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3"/>
  </bookViews>
  <sheets>
    <sheet name="使用说明" sheetId="1" state="visible" r:id="rId3"/>
    <sheet name="里程碑计划" sheetId="2" state="visible" r:id="rId4"/>
    <sheet name="项目总控台账" sheetId="3" state="visible" r:id="rId5"/>
    <sheet name="总控筛选视图" sheetId="4" state="visible" r:id="rId6"/>
    <sheet name="资源计划" sheetId="5" state="visible" r:id="rId7"/>
    <sheet name="周迭代计划" sheetId="6" state="visible" r:id="rId8"/>
    <sheet name="_数据接口" sheetId="7" state="visible" r:id="rId9"/>
  </sheets>
  <definedNames>
    <definedName function="false" hidden="false" localSheetId="6" name="_xlnm.Print_Area" vbProcedure="false">_数据接口!$A$1:$AE$138</definedName>
    <definedName function="false" hidden="false" localSheetId="6" name="_xlnm.Print_Titles" vbProcedure="false">_数据接口!$A:$E,_数据接口!$1:$3</definedName>
    <definedName function="false" hidden="true" localSheetId="3" name="_xlnm._FilterDatabase" vbProcedure="false">总控筛选视图!$A$3:$AH$138</definedName>
    <definedName function="false" hidden="false" name="迭代周列表" vbProcedure="false">周迭代计划!$Q$4:$Q$81</definedName>
    <definedName function="false" hidden="false" localSheetId="6" name="_xlnm.Print_Titles" vbProcedure="false">_数据接口!$1:$3,_数据接口!$A:$E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<sst xmlns="http://schemas.openxmlformats.org/spreadsheetml/2006/main" count="7952" uniqueCount="896">
  <si>
    <t xml:space="preserve">计划与进度管理-20260921-V1 使用说明</t>
  </si>
  <si>
    <t xml:space="preserve">维护里程碑、总控任务、资源周计划和迭代承诺。</t>
  </si>
  <si>
    <t xml:space="preserve">项目</t>
  </si>
  <si>
    <t xml:space="preserve">能源行业合同全生命周期管理系统</t>
  </si>
  <si>
    <t xml:space="preserve">适用对象</t>
  </si>
  <si>
    <t xml:space="preserve">项目集经理、项目经理、各工作流负责人</t>
  </si>
  <si>
    <t xml:space="preserve">更新频率</t>
  </si>
  <si>
    <t xml:space="preserve">每周滚动更新；里程碑和基线变化须同步评审。</t>
  </si>
  <si>
    <t xml:space="preserve">版本日期</t>
  </si>
  <si>
    <t xml:space="preserve">颜色约定</t>
  </si>
  <si>
    <t xml:space="preserve">浅蓝表头；黄色为人工输入区；白色/灰色通常为公式、说明或系统数据。</t>
  </si>
  <si>
    <t xml:space="preserve">推荐使用流程</t>
  </si>
  <si>
    <t xml:space="preserve">先维护里程碑基线</t>
  </si>
  <si>
    <t xml:space="preserve">细化总控台账任务和责任人</t>
  </si>
  <si>
    <t xml:space="preserve">按人员核对每周40小时资源负荷</t>
  </si>
  <si>
    <t xml:space="preserve">按接口清单落实外部系统责任人、联调窗口和前置条件</t>
  </si>
  <si>
    <t xml:space="preserve">复核延期、挂起、暂停和阻塞项</t>
  </si>
  <si>
    <t xml:space="preserve">工作表导航</t>
  </si>
  <si>
    <t xml:space="preserve">顺序</t>
  </si>
  <si>
    <t xml:space="preserve">工作表</t>
  </si>
  <si>
    <t xml:space="preserve">用途</t>
  </si>
  <si>
    <t xml:space="preserve">里程碑计划</t>
  </si>
  <si>
    <t xml:space="preserve">维护阶段里程碑、计划与实际日期。</t>
  </si>
  <si>
    <t xml:space="preserve">项目总控台账</t>
  </si>
  <si>
    <t xml:space="preserve">原始维护页；按层级合并展示，不建议直接筛选或排序。</t>
  </si>
  <si>
    <t xml:space="preserve">资源计划</t>
  </si>
  <si>
    <t xml:space="preserve">按人员查看每周任务和工时负荷。</t>
  </si>
  <si>
    <t xml:space="preserve">周迭代计划</t>
  </si>
  <si>
    <t xml:space="preserve">管理当周承诺、执行结果和滚动安排。</t>
  </si>
  <si>
    <r>
      <rPr>
        <sz val="10"/>
        <color rgb="FF404040"/>
        <rFont val="Arial"/>
        <family val="0"/>
        <charset val="134"/>
      </rPr>
      <t xml:space="preserve">_</t>
    </r>
    <r>
      <rPr>
        <sz val="10"/>
        <color rgb="FF404040"/>
        <rFont val="微软雅黑"/>
        <family val="0"/>
        <charset val="1"/>
      </rPr>
      <t xml:space="preserve">数据接口</t>
    </r>
  </si>
  <si>
    <t xml:space="preserve">供AI PMO和跨文件联动使用的内部数据</t>
  </si>
  <si>
    <t xml:space="preserve">维护与检查规则</t>
  </si>
  <si>
    <t xml:space="preserve">先维护唯一编号、责任人、计划日期和状态，再补充说明与证据。</t>
  </si>
  <si>
    <t xml:space="preserve">状态变化时同步更新实际日期、完成比例、阻塞原因或验证结果。</t>
  </si>
  <si>
    <t xml:space="preserve">涉及基线、预算、范围、合同或上线门禁的变化，须先履行评审或审批。</t>
  </si>
  <si>
    <t xml:space="preserve">不要覆盖公式、汇总区、图表数据区和“_数据接口”中的系统字段。</t>
  </si>
  <si>
    <t xml:space="preserve">每周检查空责任人、逾期未完成、状态与日期矛盾、缺少证据和公式错误。</t>
  </si>
  <si>
    <t xml:space="preserve">文件升级后，将被替换版本移入本模块_archive目录，不在正式目录保留多个现行版本。</t>
  </si>
  <si>
    <t xml:space="preserve">系统集成联动</t>
  </si>
  <si>
    <t xml:space="preserve">总控台账T096-T135保留40个系统/阶段工作包；470项实施明细在系统集成管理V1维护</t>
  </si>
  <si>
    <t xml:space="preserve">资源同步规则</t>
  </si>
  <si>
    <t xml:space="preserve">系统集成建议资源按人员和总控任务同步到资源计划；多人并行时共享个人当周40小时，具体任务工时在说明列展示</t>
  </si>
  <si>
    <t xml:space="preserve">文件边界</t>
  </si>
  <si>
    <t xml:space="preserve">计划文件负责里程碑与总控；系统集成文件负责规格、实施、联调、测试和上线证据</t>
  </si>
  <si>
    <t xml:space="preserve">总控筛选视图</t>
  </si>
  <si>
    <t xml:space="preserve">只读公式联动页；用于筛选、排序和快速定位任务，所有业务数据仍在项目总控台账维护。</t>
  </si>
  <si>
    <t xml:space="preserve">迭代周生成</t>
  </si>
  <si>
    <t xml:space="preserve">在项目总控台账AF列"迭代周"填 ISO 周（如 2026-W40）人工指定迭代；留空不纳入。填写后运行 automation/scripts/generate_iteration_plan.py --apply 生成周迭代计划明细（任务ID联动，改总控自动跟随）。</t>
  </si>
  <si>
    <t xml:space="preserve">总体状态回算</t>
  </si>
  <si>
    <t xml:space="preserve">G列"总体状态"由公式按四专业状态（M/Q/U/Y列）自动回算：暂停/挂起→暂停，全部完成→已完成，有进行中→进行中，有待确认→待确认，其余→未开始，无责任人→未分配。人工只维护四专业状态列，勿改G列公式。</t>
  </si>
  <si>
    <t xml:space="preserve">预测完成日期</t>
  </si>
  <si>
    <t xml:space="preserve">AG列人工维护：每次迭代评审后刷新该任务的当前预测完成日期，留空表示尚未评估。</t>
  </si>
  <si>
    <t xml:space="preserve">基线偏差天数</t>
  </si>
  <si>
    <t xml:space="preserve">AH列公式自动计算＝预测完成日期－基线计划完成（J列），负数表示预计早于基线。</t>
  </si>
  <si>
    <t xml:space="preserve">能源行业合同全生命周期管理系统｜里程碑计划</t>
  </si>
  <si>
    <t xml:space="preserve">里程碑ID</t>
  </si>
  <si>
    <t xml:space="preserve">阶段</t>
  </si>
  <si>
    <t xml:space="preserve">里程碑名称</t>
  </si>
  <si>
    <t xml:space="preserve">验收/完成标准</t>
  </si>
  <si>
    <t xml:space="preserve">负责人</t>
  </si>
  <si>
    <t xml:space="preserve">配合人</t>
  </si>
  <si>
    <t xml:space="preserve">计划开始日期</t>
  </si>
  <si>
    <t xml:space="preserve">计划结束日期</t>
  </si>
  <si>
    <t xml:space="preserve">实际开始日期</t>
  </si>
  <si>
    <t xml:space="preserve">实际结束日期</t>
  </si>
  <si>
    <t xml:space="preserve">状态</t>
  </si>
  <si>
    <t xml:space="preserve">偏差天数</t>
  </si>
  <si>
    <t xml:space="preserve">健康度</t>
  </si>
  <si>
    <t xml:space="preserve">交付物</t>
  </si>
  <si>
    <t xml:space="preserve">MS001</t>
  </si>
  <si>
    <t xml:space="preserve">可研与原业务梳理</t>
  </si>
  <si>
    <t xml:space="preserve">可研工作启动</t>
  </si>
  <si>
    <t xml:space="preserve">范围、负责人和调研计划确认</t>
  </si>
  <si>
    <t xml:space="preserve">项目经理</t>
  </si>
  <si>
    <t xml:space="preserve">项目集经理、产品经理</t>
  </si>
  <si>
    <t xml:space="preserve">已完成</t>
  </si>
  <si>
    <t xml:space="preserve">可研工作方案</t>
  </si>
  <si>
    <t xml:space="preserve">MS002</t>
  </si>
  <si>
    <t xml:space="preserve">可行性研究完成</t>
  </si>
  <si>
    <t xml:space="preserve">业务、技术、投资和实施可行性完成评审</t>
  </si>
  <si>
    <t xml:space="preserve">技术经理、产品经理</t>
  </si>
  <si>
    <t xml:space="preserve">项目可行性研究报告</t>
  </si>
  <si>
    <t xml:space="preserve">MS003</t>
  </si>
  <si>
    <t xml:space="preserve">原业务梳理完成</t>
  </si>
  <si>
    <t xml:space="preserve">核心业务部门确认现状基线</t>
  </si>
  <si>
    <t xml:space="preserve">产品经理</t>
  </si>
  <si>
    <t xml:space="preserve">项目经理、业务代表</t>
  </si>
  <si>
    <t xml:space="preserve">进行中</t>
  </si>
  <si>
    <t xml:space="preserve">现状流程、问题及改进机会清单</t>
  </si>
  <si>
    <t xml:space="preserve">MS004</t>
  </si>
  <si>
    <t xml:space="preserve">项目规范梳理与技术架构搭建</t>
  </si>
  <si>
    <t xml:space="preserve">项目规范基线确认</t>
  </si>
  <si>
    <t xml:space="preserve">计划、需求、质量、变更和配置规范通过评审</t>
  </si>
  <si>
    <t xml:space="preserve">项目集经理、技术经理、产品经理、高级测试人员、中级测试人员、配置人员</t>
  </si>
  <si>
    <t xml:space="preserve">项目管理与研发规范</t>
  </si>
  <si>
    <t xml:space="preserve">MS005</t>
  </si>
  <si>
    <t xml:space="preserve">技术架构基线确认</t>
  </si>
  <si>
    <t xml:space="preserve">应用、数据、集成、安全和部署架构通过评审</t>
  </si>
  <si>
    <t xml:space="preserve">技术经理</t>
  </si>
  <si>
    <t xml:space="preserve">高级开发人员、配置人员</t>
  </si>
  <si>
    <t xml:space="preserve">总体技术架构和环境基础</t>
  </si>
  <si>
    <t xml:space="preserve">MS017</t>
  </si>
  <si>
    <t xml:space="preserve">外部产品POC验证完成</t>
  </si>
  <si>
    <r>
      <rPr>
        <sz val="11"/>
        <color rgb="FF1F2937"/>
        <rFont val="Calibri"/>
        <family val="0"/>
        <charset val="134"/>
      </rPr>
      <t xml:space="preserve">CA</t>
    </r>
    <r>
      <rPr>
        <sz val="11"/>
        <color rgb="FF1F2937"/>
        <rFont val="微软雅黑"/>
        <family val="0"/>
        <charset val="1"/>
      </rPr>
      <t xml:space="preserve">完成证书签发、身份认证、电子签名及验签验证；电子文档完成模板生成、在线预览、格式转换、水印和归档验证；</t>
    </r>
    <r>
      <rPr>
        <sz val="11"/>
        <color rgb="FF1F2937"/>
        <rFont val="Calibri"/>
        <family val="0"/>
        <charset val="134"/>
      </rPr>
      <t xml:space="preserve">BI</t>
    </r>
    <r>
      <rPr>
        <sz val="11"/>
        <color rgb="FF1F2937"/>
        <rFont val="微软雅黑"/>
        <family val="0"/>
        <charset val="1"/>
      </rPr>
      <t xml:space="preserve">报表完成核心经营指标、权限控制、钻取导出及性能验证；三类产品形成问题清单、适配结论和选型建议并通过评审</t>
    </r>
  </si>
  <si>
    <t xml:space="preserve">项目经理、产品经理、高级开发人员、高级测试人员、中级测试人员、外部产品厂商</t>
  </si>
  <si>
    <r>
      <rPr>
        <sz val="11"/>
        <color rgb="FF1F2937"/>
        <rFont val="Calibri"/>
        <family val="0"/>
        <charset val="134"/>
      </rPr>
      <t xml:space="preserve">CA</t>
    </r>
    <r>
      <rPr>
        <sz val="11"/>
        <color rgb="FF1F2937"/>
        <rFont val="微软雅黑"/>
        <family val="0"/>
        <charset val="1"/>
      </rPr>
      <t xml:space="preserve">、电子文档、</t>
    </r>
    <r>
      <rPr>
        <sz val="11"/>
        <color rgb="FF1F2937"/>
        <rFont val="Calibri"/>
        <family val="0"/>
        <charset val="134"/>
      </rPr>
      <t xml:space="preserve">BI</t>
    </r>
    <r>
      <rPr>
        <sz val="11"/>
        <color rgb="FF1F2937"/>
        <rFont val="微软雅黑"/>
        <family val="0"/>
        <charset val="1"/>
      </rPr>
      <t xml:space="preserve">报表</t>
    </r>
    <r>
      <rPr>
        <sz val="11"/>
        <color rgb="FF1F2937"/>
        <rFont val="Calibri"/>
        <family val="0"/>
        <charset val="134"/>
      </rPr>
      <t xml:space="preserve">POC</t>
    </r>
    <r>
      <rPr>
        <sz val="11"/>
        <color rgb="FF1F2937"/>
        <rFont val="微软雅黑"/>
        <family val="0"/>
        <charset val="1"/>
      </rPr>
      <t xml:space="preserve">报告、量化评分表、联合评审记录及产品选型建议</t>
    </r>
  </si>
  <si>
    <t xml:space="preserve">MS006</t>
  </si>
  <si>
    <t xml:space="preserve">正式启动准备</t>
  </si>
  <si>
    <t xml:space="preserve">启动准备评审通过</t>
  </si>
  <si>
    <t xml:space="preserve">范围、组织、预算、计划和治理机制具备启动条件</t>
  </si>
  <si>
    <t xml:space="preserve">项目集经理</t>
  </si>
  <si>
    <t xml:space="preserve">项目经理、技术经理、产品经理</t>
  </si>
  <si>
    <t xml:space="preserve">未开始</t>
  </si>
  <si>
    <t xml:space="preserve">项目章程、整体管理计划、启动门禁清单及评审结论</t>
  </si>
  <si>
    <t xml:space="preserve">MS007</t>
  </si>
  <si>
    <t xml:space="preserve">正式实施与上线准备</t>
  </si>
  <si>
    <t xml:space="preserve">项目正式启动</t>
  </si>
  <si>
    <t xml:space="preserve">项目组织到位、职责明确、计划发布</t>
  </si>
  <si>
    <t xml:space="preserve">启动会纪要与行动项</t>
  </si>
  <si>
    <t xml:space="preserve">MS008</t>
  </si>
  <si>
    <t xml:space="preserve">需求基线确认</t>
  </si>
  <si>
    <r>
      <rPr>
        <sz val="11"/>
        <color rgb="FF1F2937"/>
        <rFont val="Calibri"/>
        <family val="0"/>
        <charset val="134"/>
      </rPr>
      <t xml:space="preserve">P0/P1/P2</t>
    </r>
    <r>
      <rPr>
        <sz val="11"/>
        <color rgb="FF1F2937"/>
        <rFont val="微软雅黑"/>
        <family val="0"/>
        <charset val="1"/>
      </rPr>
      <t xml:space="preserve">范围、验收标准和变更机制确认</t>
    </r>
  </si>
  <si>
    <t xml:space="preserve">项目经理、业务代表、技术经理</t>
  </si>
  <si>
    <t xml:space="preserve">需求规格说明书与跟踪矩阵</t>
  </si>
  <si>
    <t xml:space="preserve">MS009</t>
  </si>
  <si>
    <t xml:space="preserve">详细设计完成</t>
  </si>
  <si>
    <t xml:space="preserve">核心模块、数据、权限和安全设计通过评审；94条P0接口完成规格编制并获得合同系统、外部系统、业务和测试联合批准</t>
  </si>
  <si>
    <t xml:space="preserve">产品经理、高级开发人员、配置人员</t>
  </si>
  <si>
    <t xml:space="preserve">详细设计、数据设计、94条P0接口批准版规格及评审记录</t>
  </si>
  <si>
    <t xml:space="preserve">MS010</t>
  </si>
  <si>
    <t xml:space="preserve">核心功能开发完成</t>
  </si>
  <si>
    <r>
      <rPr>
        <sz val="11"/>
        <color rgb="FF1F2937"/>
        <rFont val="Calibri"/>
        <family val="0"/>
        <charset val="134"/>
      </rPr>
      <t xml:space="preserve">P0</t>
    </r>
    <r>
      <rPr>
        <sz val="11"/>
        <color rgb="FF1F2937"/>
        <rFont val="微软雅黑"/>
        <family val="0"/>
        <charset val="1"/>
      </rPr>
      <t xml:space="preserve">功能完成且单元测试通过</t>
    </r>
  </si>
  <si>
    <t xml:space="preserve">高级开发人员</t>
  </si>
  <si>
    <t xml:space="preserve">技术经理、中级开发人员、高级测试人员、中级测试人员</t>
  </si>
  <si>
    <t xml:space="preserve">可测试版本</t>
  </si>
  <si>
    <t xml:space="preserve">MS011</t>
  </si>
  <si>
    <t xml:space="preserve">内部系统集成完成</t>
  </si>
  <si>
    <t xml:space="preserve">合同起草、审批、履约、收付款、变更、归档、权限和数据流端到端贯通</t>
  </si>
  <si>
    <t xml:space="preserve">高级开发人员、中级开发人员、高级测试人员、中级测试人员、配置人员</t>
  </si>
  <si>
    <t xml:space="preserve">内部集成测试报告</t>
  </si>
  <si>
    <t xml:space="preserve">MS012</t>
  </si>
  <si>
    <t xml:space="preserve">外部系统集成完成</t>
  </si>
  <si>
    <t xml:space="preserve">接口范围分级经联合评审批准；P0 94条接口完成规格、责任、环境、联调、异常补偿和对账验证；P1/P2形成后续排期</t>
  </si>
  <si>
    <t xml:space="preserve">高级开发人员、中级开发人员、高级测试人员、中级测试人员、外部接口负责人</t>
  </si>
  <si>
    <t xml:space="preserve">接口分级评审记录、范围基线、接口规格、联调与对账报告</t>
  </si>
  <si>
    <t xml:space="preserve">MS013</t>
  </si>
  <si>
    <t xml:space="preserve">系统测试完成</t>
  </si>
  <si>
    <t xml:space="preserve">阻断及严重缺陷关闭，内部与外部集成回归通过</t>
  </si>
  <si>
    <t xml:space="preserve">高级测试人员、中级测试人员</t>
  </si>
  <si>
    <t xml:space="preserve">技术经理、高级开发人员、中级开发人员、产品经理</t>
  </si>
  <si>
    <t xml:space="preserve">系统测试报告</t>
  </si>
  <si>
    <t xml:space="preserve">MS014</t>
  </si>
  <si>
    <r>
      <rPr>
        <sz val="11"/>
        <color rgb="FF1F2937"/>
        <rFont val="Calibri"/>
        <family val="0"/>
        <charset val="134"/>
      </rPr>
      <t xml:space="preserve">UAT</t>
    </r>
    <r>
      <rPr>
        <sz val="11"/>
        <color rgb="FF1F2937"/>
        <rFont val="微软雅黑"/>
        <family val="0"/>
        <charset val="1"/>
      </rPr>
      <t xml:space="preserve">验收完成</t>
    </r>
  </si>
  <si>
    <r>
      <rPr>
        <sz val="11"/>
        <color rgb="FF1F2937"/>
        <rFont val="Calibri"/>
        <family val="0"/>
        <charset val="134"/>
      </rPr>
      <t xml:space="preserve">P0</t>
    </r>
    <r>
      <rPr>
        <sz val="11"/>
        <color rgb="FF1F2937"/>
        <rFont val="微软雅黑"/>
        <family val="0"/>
        <charset val="1"/>
      </rPr>
      <t xml:space="preserve">场景验收通过，遗留事项获得批准</t>
    </r>
  </si>
  <si>
    <t xml:space="preserve">业务代表、高级测试人员、中级测试人员、项目经理</t>
  </si>
  <si>
    <r>
      <rPr>
        <sz val="11"/>
        <color rgb="FF1F2937"/>
        <rFont val="Calibri"/>
        <family val="0"/>
        <charset val="134"/>
      </rPr>
      <t xml:space="preserve">UAT</t>
    </r>
    <r>
      <rPr>
        <sz val="11"/>
        <color rgb="FF1F2937"/>
        <rFont val="微软雅黑"/>
        <family val="0"/>
        <charset val="1"/>
      </rPr>
      <t xml:space="preserve">报告与业务确认单</t>
    </r>
  </si>
  <si>
    <t xml:space="preserve">MS015</t>
  </si>
  <si>
    <t xml:space="preserve">上线准入评审通过</t>
  </si>
  <si>
    <t xml:space="preserve">数据、接口、权限、回退、培训和运维准备就绪</t>
  </si>
  <si>
    <t xml:space="preserve">项目经理、技术经理、产品经理、高级测试人员、中级测试人员、配置人员</t>
  </si>
  <si>
    <t xml:space="preserve">上线检查表和批准记录</t>
  </si>
  <si>
    <t xml:space="preserve">MS016</t>
  </si>
  <si>
    <t xml:space="preserve">系统上线与试运行</t>
  </si>
  <si>
    <t xml:space="preserve">生产上线并进入试运行</t>
  </si>
  <si>
    <t xml:space="preserve">生产验证通过、监控启用、支持机制生效</t>
  </si>
  <si>
    <t xml:space="preserve">项目集经理、项目经理、配置人员、高级测试人员、中级测试人员</t>
  </si>
  <si>
    <t xml:space="preserve">上线确认单和试运行计划</t>
  </si>
  <si>
    <t xml:space="preserve">能源行业合同全生命周期管理系统｜项目总控台账</t>
  </si>
  <si>
    <t xml:space="preserve">蓝色字段为计划分解项；黄色字段为执行维护项；进度与延期由公式自动计算。</t>
  </si>
  <si>
    <t xml:space="preserve">任务ID</t>
  </si>
  <si>
    <t xml:space="preserve">一级功能</t>
  </si>
  <si>
    <t xml:space="preserve">二级功能</t>
  </si>
  <si>
    <t xml:space="preserve">三级功能</t>
  </si>
  <si>
    <t xml:space="preserve">四级功能</t>
  </si>
  <si>
    <t xml:space="preserve">批次</t>
  </si>
  <si>
    <t xml:space="preserve">总体状态</t>
  </si>
  <si>
    <t xml:space="preserve">主责人</t>
  </si>
  <si>
    <t xml:space="preserve">计划开始</t>
  </si>
  <si>
    <t xml:space="preserve">计划完成</t>
  </si>
  <si>
    <t xml:space="preserve">计划上线</t>
  </si>
  <si>
    <t xml:space="preserve">业务负责人</t>
  </si>
  <si>
    <t xml:space="preserve">业务状态</t>
  </si>
  <si>
    <t xml:space="preserve">业务开始</t>
  </si>
  <si>
    <t xml:space="preserve">业务结束</t>
  </si>
  <si>
    <t xml:space="preserve">后端负责人</t>
  </si>
  <si>
    <t xml:space="preserve">后端状态</t>
  </si>
  <si>
    <t xml:space="preserve">后端开始</t>
  </si>
  <si>
    <t xml:space="preserve">后端结束</t>
  </si>
  <si>
    <t xml:space="preserve">前端负责人</t>
  </si>
  <si>
    <t xml:space="preserve">前端状态</t>
  </si>
  <si>
    <t xml:space="preserve">前端开始</t>
  </si>
  <si>
    <t xml:space="preserve">前端结束</t>
  </si>
  <si>
    <t xml:space="preserve">测试负责人</t>
  </si>
  <si>
    <t xml:space="preserve">测试状态</t>
  </si>
  <si>
    <t xml:space="preserve">测试开始</t>
  </si>
  <si>
    <t xml:space="preserve">测试结束</t>
  </si>
  <si>
    <t xml:space="preserve">综合进度</t>
  </si>
  <si>
    <t xml:space="preserve">延期状态</t>
  </si>
  <si>
    <t xml:space="preserve">当前问题/阻塞</t>
  </si>
  <si>
    <t xml:space="preserve">备注</t>
  </si>
  <si>
    <t xml:space="preserve">迭代周</t>
  </si>
  <si>
    <t xml:space="preserve">T001</t>
  </si>
  <si>
    <t xml:space="preserve">可研启动</t>
  </si>
  <si>
    <t xml:space="preserve">明确可研目标、范围与边界</t>
  </si>
  <si>
    <t xml:space="preserve">T002</t>
  </si>
  <si>
    <t xml:space="preserve">建立相关方清单与访谈计划</t>
  </si>
  <si>
    <t xml:space="preserve">T003</t>
  </si>
  <si>
    <t xml:space="preserve">评审并发布可研工作方案</t>
  </si>
  <si>
    <t xml:space="preserve">T004</t>
  </si>
  <si>
    <t xml:space="preserve">可行性研究</t>
  </si>
  <si>
    <t xml:space="preserve">完成业务可行性与需求价值分析</t>
  </si>
  <si>
    <t xml:space="preserve">T005</t>
  </si>
  <si>
    <t xml:space="preserve">完成技术路线与系统边界论证</t>
  </si>
  <si>
    <t xml:space="preserve">T006</t>
  </si>
  <si>
    <t xml:space="preserve">测算投资、成本与预期收益</t>
  </si>
  <si>
    <t xml:space="preserve">T007</t>
  </si>
  <si>
    <t xml:space="preserve">形成实施路径、资源与风险建议</t>
  </si>
  <si>
    <t xml:space="preserve">T008</t>
  </si>
  <si>
    <t xml:space="preserve">汇编可研报告并组织评审</t>
  </si>
  <si>
    <t xml:space="preserve">2026-W40</t>
  </si>
  <si>
    <t xml:space="preserve">T009</t>
  </si>
  <si>
    <t xml:space="preserve">现状调研</t>
  </si>
  <si>
    <t xml:space="preserve">梳理合同业务组织与职责</t>
  </si>
  <si>
    <t xml:space="preserve">T010</t>
  </si>
  <si>
    <t xml:space="preserve">盘点合同全生命周期业务流程</t>
  </si>
  <si>
    <t xml:space="preserve">T011</t>
  </si>
  <si>
    <t xml:space="preserve">盘点既有系统、接口与数据</t>
  </si>
  <si>
    <t xml:space="preserve">T012</t>
  </si>
  <si>
    <t xml:space="preserve">问题分析</t>
  </si>
  <si>
    <t xml:space="preserve">访谈业务部门并形成痛点清单</t>
  </si>
  <si>
    <t xml:space="preserve">T013</t>
  </si>
  <si>
    <t xml:space="preserve">现状基线</t>
  </si>
  <si>
    <t xml:space="preserve">确认现状流程、问题与改进机会基线</t>
  </si>
  <si>
    <t xml:space="preserve">T014</t>
  </si>
  <si>
    <t xml:space="preserve">项目规范</t>
  </si>
  <si>
    <t xml:space="preserve">制定项目治理、会议与报告机制</t>
  </si>
  <si>
    <t xml:space="preserve">待确认</t>
  </si>
  <si>
    <t xml:space="preserve">T015</t>
  </si>
  <si>
    <t xml:space="preserve">需求规范</t>
  </si>
  <si>
    <t xml:space="preserve">制定需求分级、跟踪与变更规范</t>
  </si>
  <si>
    <t xml:space="preserve">T016</t>
  </si>
  <si>
    <t xml:space="preserve">研发规范</t>
  </si>
  <si>
    <t xml:space="preserve">制定设计、编码与代码评审规范</t>
  </si>
  <si>
    <t xml:space="preserve">T017</t>
  </si>
  <si>
    <t xml:space="preserve">质量规范</t>
  </si>
  <si>
    <t xml:space="preserve">制定测试、缺陷与质量门禁规范</t>
  </si>
  <si>
    <t xml:space="preserve">T018</t>
  </si>
  <si>
    <t xml:space="preserve">配置规范</t>
  </si>
  <si>
    <t xml:space="preserve">制定配置、发布与文档归档规范</t>
  </si>
  <si>
    <t xml:space="preserve">配置人员</t>
  </si>
  <si>
    <t xml:space="preserve">T019</t>
  </si>
  <si>
    <t xml:space="preserve">应用架构</t>
  </si>
  <si>
    <t xml:space="preserve">完成系统分层、模块与服务边界设计</t>
  </si>
  <si>
    <t xml:space="preserve">T020</t>
  </si>
  <si>
    <t xml:space="preserve">数据架构</t>
  </si>
  <si>
    <t xml:space="preserve">完成主数据、交易数据与分析数据架构</t>
  </si>
  <si>
    <t xml:space="preserve">T021</t>
  </si>
  <si>
    <t xml:space="preserve">集成架构</t>
  </si>
  <si>
    <t xml:space="preserve">完成内部及外部接口总体架构</t>
  </si>
  <si>
    <t xml:space="preserve">T022</t>
  </si>
  <si>
    <t xml:space="preserve">安全架构</t>
  </si>
  <si>
    <t xml:space="preserve">完成身份、权限、审计与数据安全设计</t>
  </si>
  <si>
    <t xml:space="preserve">T023</t>
  </si>
  <si>
    <t xml:space="preserve">部署架构</t>
  </si>
  <si>
    <t xml:space="preserve">完成环境、网络、容灾和DevOps设计</t>
  </si>
  <si>
    <t xml:space="preserve">T024</t>
  </si>
  <si>
    <t xml:space="preserve">架构评审</t>
  </si>
  <si>
    <t xml:space="preserve">汇编总体技术架构并完成基线评审</t>
  </si>
  <si>
    <t xml:space="preserve">T025</t>
  </si>
  <si>
    <r>
      <rPr>
        <sz val="11"/>
        <color rgb="FF1F2937"/>
        <rFont val="Calibri"/>
        <family val="0"/>
        <charset val="134"/>
      </rPr>
      <t xml:space="preserve">POC</t>
    </r>
    <r>
      <rPr>
        <sz val="11"/>
        <color rgb="FF1F2937"/>
        <rFont val="微软雅黑"/>
        <family val="0"/>
        <charset val="1"/>
      </rPr>
      <t xml:space="preserve">准备</t>
    </r>
  </si>
  <si>
    <t xml:space="preserve">编制CA、电子文档、BI报表POC方案与评分标准</t>
  </si>
  <si>
    <t xml:space="preserve">执行工具：项目启动与治理/POC评分表；评分标准完成后由联合评审组确认。</t>
  </si>
  <si>
    <t xml:space="preserve">T026</t>
  </si>
  <si>
    <r>
      <rPr>
        <sz val="11"/>
        <color rgb="FF1F2937"/>
        <rFont val="Calibri"/>
        <family val="0"/>
        <charset val="134"/>
      </rPr>
      <t xml:space="preserve">CA</t>
    </r>
    <r>
      <rPr>
        <sz val="11"/>
        <color rgb="FF1F2937"/>
        <rFont val="微软雅黑"/>
        <family val="0"/>
        <charset val="1"/>
      </rPr>
      <t xml:space="preserve">验证</t>
    </r>
  </si>
  <si>
    <t xml:space="preserve">验证证书签发、身份认证和证书管理</t>
  </si>
  <si>
    <t xml:space="preserve">T027</t>
  </si>
  <si>
    <t xml:space="preserve">验证电子签名、验签、时间戳和审计追溯</t>
  </si>
  <si>
    <t xml:space="preserve">T028</t>
  </si>
  <si>
    <t xml:space="preserve">电子文档验证</t>
  </si>
  <si>
    <t xml:space="preserve">验证模板生成、在线预览和格式转换</t>
  </si>
  <si>
    <t xml:space="preserve">中级开发人员</t>
  </si>
  <si>
    <t xml:space="preserve">T029</t>
  </si>
  <si>
    <t xml:space="preserve">验证水印、权限控制、归档和大文件性能</t>
  </si>
  <si>
    <t xml:space="preserve">T030</t>
  </si>
  <si>
    <r>
      <rPr>
        <sz val="11"/>
        <color rgb="FF1F2937"/>
        <rFont val="Calibri"/>
        <family val="0"/>
        <charset val="134"/>
      </rPr>
      <t xml:space="preserve">BI</t>
    </r>
    <r>
      <rPr>
        <sz val="11"/>
        <color rgb="FF1F2937"/>
        <rFont val="微软雅黑"/>
        <family val="0"/>
        <charset val="1"/>
      </rPr>
      <t xml:space="preserve">报表验证</t>
    </r>
  </si>
  <si>
    <t xml:space="preserve">验证数据接入、指标模型和经营报表</t>
  </si>
  <si>
    <t xml:space="preserve">T031</t>
  </si>
  <si>
    <t xml:space="preserve">验证权限、钻取、导出和查询性能</t>
  </si>
  <si>
    <t xml:space="preserve">T032</t>
  </si>
  <si>
    <r>
      <rPr>
        <sz val="11"/>
        <color rgb="FF1F2937"/>
        <rFont val="Calibri"/>
        <family val="0"/>
        <charset val="134"/>
      </rPr>
      <t xml:space="preserve">POC</t>
    </r>
    <r>
      <rPr>
        <sz val="11"/>
        <color rgb="FF1F2937"/>
        <rFont val="微软雅黑"/>
        <family val="0"/>
        <charset val="1"/>
      </rPr>
      <t xml:space="preserve">结论</t>
    </r>
  </si>
  <si>
    <t xml:space="preserve">汇总问题清单、适配结论和产品选型建议</t>
  </si>
  <si>
    <t xml:space="preserve">执行工具：项目启动与治理/供应商POC计划、POC评分表；输出选型建议。</t>
  </si>
  <si>
    <t xml:space="preserve">T033</t>
  </si>
  <si>
    <t xml:space="preserve">启动准备</t>
  </si>
  <si>
    <t xml:space="preserve">编制并审批项目章程</t>
  </si>
  <si>
    <t xml:space="preserve">T034</t>
  </si>
  <si>
    <t xml:space="preserve">编制范围、里程碑和主进度计划</t>
  </si>
  <si>
    <t xml:space="preserve">T035</t>
  </si>
  <si>
    <t xml:space="preserve">组织准备</t>
  </si>
  <si>
    <t xml:space="preserve">建立项目组织、RACI与沟通机制</t>
  </si>
  <si>
    <t xml:space="preserve">执行工具：项目启动与治理/相关方管理；确认RACI与沟通责任人。</t>
  </si>
  <si>
    <t xml:space="preserve">T036</t>
  </si>
  <si>
    <t xml:space="preserve">资源准备</t>
  </si>
  <si>
    <t xml:space="preserve">确认30人团队投入与阶段资源计划</t>
  </si>
  <si>
    <t xml:space="preserve">T037</t>
  </si>
  <si>
    <t xml:space="preserve">治理准备</t>
  </si>
  <si>
    <t xml:space="preserve">建立风险、问题、变更和决策台账</t>
  </si>
  <si>
    <t xml:space="preserve">T038</t>
  </si>
  <si>
    <t xml:space="preserve">启动门禁</t>
  </si>
  <si>
    <t xml:space="preserve">完成启动条件检查与评审</t>
  </si>
  <si>
    <t xml:space="preserve">执行工具：项目启动与治理/启动门禁清单；必过项未通过不得正式启动。</t>
  </si>
  <si>
    <t xml:space="preserve">T039</t>
  </si>
  <si>
    <t xml:space="preserve">正式启动</t>
  </si>
  <si>
    <t xml:space="preserve">准备启动会材料与项目目标宣贯</t>
  </si>
  <si>
    <t xml:space="preserve">T040</t>
  </si>
  <si>
    <t xml:space="preserve">召开项目启动会并确认职责</t>
  </si>
  <si>
    <t xml:space="preserve">T041</t>
  </si>
  <si>
    <t xml:space="preserve">发布会议纪要、行动项和基准计划</t>
  </si>
  <si>
    <t xml:space="preserve">T042</t>
  </si>
  <si>
    <t xml:space="preserve">需求调研</t>
  </si>
  <si>
    <t xml:space="preserve">开展业务场景与用户需求工作坊</t>
  </si>
  <si>
    <t xml:space="preserve">T043</t>
  </si>
  <si>
    <t xml:space="preserve">范围管理</t>
  </si>
  <si>
    <t xml:space="preserve">形成需求清单并完成P0/P1/P2分级</t>
  </si>
  <si>
    <t xml:space="preserve">T044</t>
  </si>
  <si>
    <t xml:space="preserve">需求分析</t>
  </si>
  <si>
    <t xml:space="preserve">设计目标流程、用例和业务规则</t>
  </si>
  <si>
    <t xml:space="preserve">T045</t>
  </si>
  <si>
    <t xml:space="preserve">原型设计</t>
  </si>
  <si>
    <t xml:space="preserve">完成核心功能原型和交互确认</t>
  </si>
  <si>
    <t xml:space="preserve">美工</t>
  </si>
  <si>
    <t xml:space="preserve">T046</t>
  </si>
  <si>
    <t xml:space="preserve">非功能需求</t>
  </si>
  <si>
    <t xml:space="preserve">明确性能、安全、可用性和合规要求</t>
  </si>
  <si>
    <t xml:space="preserve">T047</t>
  </si>
  <si>
    <t xml:space="preserve">需求基线</t>
  </si>
  <si>
    <t xml:space="preserve">建立需求跟踪矩阵并完成基线评审</t>
  </si>
  <si>
    <t xml:space="preserve">T048</t>
  </si>
  <si>
    <t xml:space="preserve">详细设计</t>
  </si>
  <si>
    <t xml:space="preserve">完成核心模块和服务详细设计</t>
  </si>
  <si>
    <t xml:space="preserve">T049</t>
  </si>
  <si>
    <t xml:space="preserve">数据设计</t>
  </si>
  <si>
    <t xml:space="preserve">完成数据模型、字典和数据质量规则</t>
  </si>
  <si>
    <t xml:space="preserve">T050</t>
  </si>
  <si>
    <t xml:space="preserve">接口设计</t>
  </si>
  <si>
    <t xml:space="preserve">完成内部与外部接口详细设计</t>
  </si>
  <si>
    <t xml:space="preserve">T051</t>
  </si>
  <si>
    <t xml:space="preserve">安全设计</t>
  </si>
  <si>
    <t xml:space="preserve">完成角色权限、数据权限和审计设计</t>
  </si>
  <si>
    <t xml:space="preserve">T052</t>
  </si>
  <si>
    <t xml:space="preserve">界面设计</t>
  </si>
  <si>
    <t xml:space="preserve">完成核心页面视觉与交互设计</t>
  </si>
  <si>
    <t xml:space="preserve">T053</t>
  </si>
  <si>
    <t xml:space="preserve">设计评审</t>
  </si>
  <si>
    <t xml:space="preserve">完成设计走查、问题关闭和版本基线</t>
  </si>
  <si>
    <t xml:space="preserve">T054</t>
  </si>
  <si>
    <t xml:space="preserve">基础平台</t>
  </si>
  <si>
    <t xml:space="preserve">搭建项目工程、公共组件和持续集成</t>
  </si>
  <si>
    <t xml:space="preserve">T055</t>
  </si>
  <si>
    <t xml:space="preserve">合同模板</t>
  </si>
  <si>
    <t xml:space="preserve">开发合同模板、范本和条款库管理</t>
  </si>
  <si>
    <t xml:space="preserve">T056</t>
  </si>
  <si>
    <t xml:space="preserve">合同起草</t>
  </si>
  <si>
    <t xml:space="preserve">开发合同拟稿、协同编辑和版本管理</t>
  </si>
  <si>
    <t xml:space="preserve">T057</t>
  </si>
  <si>
    <t xml:space="preserve">合同审批</t>
  </si>
  <si>
    <t xml:space="preserve">开发合同审查、审批和用印流程</t>
  </si>
  <si>
    <t xml:space="preserve">T058</t>
  </si>
  <si>
    <t xml:space="preserve">合同签署</t>
  </si>
  <si>
    <t xml:space="preserve">开发签署状态、签章和合同生效管理</t>
  </si>
  <si>
    <t xml:space="preserve">T059</t>
  </si>
  <si>
    <t xml:space="preserve">履约管理</t>
  </si>
  <si>
    <t xml:space="preserve">开发履约计划、交付、验收和预警</t>
  </si>
  <si>
    <t xml:space="preserve">T060</t>
  </si>
  <si>
    <t xml:space="preserve">收付款管理</t>
  </si>
  <si>
    <t xml:space="preserve">开发应收应付、开票和付款计划</t>
  </si>
  <si>
    <t xml:space="preserve">T061</t>
  </si>
  <si>
    <t xml:space="preserve">变更归档</t>
  </si>
  <si>
    <t xml:space="preserve">开发变更、解除、终止和电子归档</t>
  </si>
  <si>
    <t xml:space="preserve">T062</t>
  </si>
  <si>
    <t xml:space="preserve">查询分析</t>
  </si>
  <si>
    <t xml:space="preserve">开发合同检索、台账和经营分析页面</t>
  </si>
  <si>
    <t xml:space="preserve">T063</t>
  </si>
  <si>
    <t xml:space="preserve">内部集成</t>
  </si>
  <si>
    <t xml:space="preserve">制定端到端集成场景和测试数据</t>
  </si>
  <si>
    <t xml:space="preserve">T064</t>
  </si>
  <si>
    <t xml:space="preserve">贯通合同起草、审批、签署和生效流程</t>
  </si>
  <si>
    <t xml:space="preserve">T065</t>
  </si>
  <si>
    <t xml:space="preserve">贯通履约、收付款、变更和归档流程</t>
  </si>
  <si>
    <t xml:space="preserve">T066</t>
  </si>
  <si>
    <t xml:space="preserve">验证主数据、权限和审计数据流</t>
  </si>
  <si>
    <t xml:space="preserve">T067</t>
  </si>
  <si>
    <t xml:space="preserve">异常处理</t>
  </si>
  <si>
    <t xml:space="preserve">验证异常补偿、重试和一致性处理</t>
  </si>
  <si>
    <t xml:space="preserve">T068</t>
  </si>
  <si>
    <t xml:space="preserve">集成验收</t>
  </si>
  <si>
    <t xml:space="preserve">完成内部集成回归并出具报告</t>
  </si>
  <si>
    <t xml:space="preserve">T069</t>
  </si>
  <si>
    <t xml:space="preserve">外部接口</t>
  </si>
  <si>
    <t xml:space="preserve">确认外部系统清单、接口规范和联调计划</t>
  </si>
  <si>
    <t xml:space="preserve">T070</t>
  </si>
  <si>
    <r>
      <rPr>
        <sz val="11"/>
        <color rgb="FF1F2937"/>
        <rFont val="Calibri"/>
        <family val="0"/>
        <charset val="134"/>
      </rPr>
      <t xml:space="preserve">ERP</t>
    </r>
    <r>
      <rPr>
        <sz val="11"/>
        <color rgb="FF1F2937"/>
        <rFont val="微软雅黑"/>
        <family val="0"/>
        <charset val="1"/>
      </rPr>
      <t xml:space="preserve">集成</t>
    </r>
  </si>
  <si>
    <t xml:space="preserve">完成ERP及主数据接口联调</t>
  </si>
  <si>
    <t xml:space="preserve">T071</t>
  </si>
  <si>
    <t xml:space="preserve">财务集成</t>
  </si>
  <si>
    <t xml:space="preserve">完成财务、开票和收付款接口联调</t>
  </si>
  <si>
    <t xml:space="preserve">T072</t>
  </si>
  <si>
    <r>
      <rPr>
        <sz val="11"/>
        <color rgb="FF1F2937"/>
        <rFont val="Calibri"/>
        <family val="0"/>
        <charset val="134"/>
      </rPr>
      <t xml:space="preserve">OA</t>
    </r>
    <r>
      <rPr>
        <sz val="11"/>
        <color rgb="FF1F2937"/>
        <rFont val="微软雅黑"/>
        <family val="0"/>
        <charset val="1"/>
      </rPr>
      <t xml:space="preserve">集成</t>
    </r>
  </si>
  <si>
    <t xml:space="preserve">完成OA待办、审批和消息接口联调</t>
  </si>
  <si>
    <t xml:space="preserve">T073</t>
  </si>
  <si>
    <t xml:space="preserve">签章集成</t>
  </si>
  <si>
    <t xml:space="preserve">完成电子签章、CA和时间戳接口联调</t>
  </si>
  <si>
    <t xml:space="preserve">T074</t>
  </si>
  <si>
    <t xml:space="preserve">接口质量</t>
  </si>
  <si>
    <t xml:space="preserve">验证对账、幂等、补偿和监控机制</t>
  </si>
  <si>
    <t xml:space="preserve">T075</t>
  </si>
  <si>
    <t xml:space="preserve">联调验收</t>
  </si>
  <si>
    <t xml:space="preserve">完成外部系统联合测试并出具报告</t>
  </si>
  <si>
    <t xml:space="preserve">T076</t>
  </si>
  <si>
    <t xml:space="preserve">测试准备</t>
  </si>
  <si>
    <t xml:space="preserve">编制系统测试计划、用例和测试数据</t>
  </si>
  <si>
    <t xml:space="preserve">T077</t>
  </si>
  <si>
    <t xml:space="preserve">功能测试</t>
  </si>
  <si>
    <t xml:space="preserve">完成P0/P1功能与业务规则测试</t>
  </si>
  <si>
    <t xml:space="preserve">T078</t>
  </si>
  <si>
    <t xml:space="preserve">集成回归</t>
  </si>
  <si>
    <t xml:space="preserve">完成内部外部接口及端到端回归</t>
  </si>
  <si>
    <t xml:space="preserve">T079</t>
  </si>
  <si>
    <t xml:space="preserve">专项测试</t>
  </si>
  <si>
    <t xml:space="preserve">完成性能、安全、兼容性和可靠性测试</t>
  </si>
  <si>
    <t xml:space="preserve">T080</t>
  </si>
  <si>
    <t xml:space="preserve">缺陷治理</t>
  </si>
  <si>
    <t xml:space="preserve">完成阻断及严重缺陷修复和复测</t>
  </si>
  <si>
    <t xml:space="preserve">T081</t>
  </si>
  <si>
    <t xml:space="preserve">测试结论</t>
  </si>
  <si>
    <t xml:space="preserve">汇总覆盖率、缺陷和质量结论并评审</t>
  </si>
  <si>
    <t xml:space="preserve">T082</t>
  </si>
  <si>
    <r>
      <rPr>
        <sz val="11"/>
        <color rgb="FF1F2937"/>
        <rFont val="Calibri"/>
        <family val="0"/>
        <charset val="134"/>
      </rPr>
      <t xml:space="preserve">UAT</t>
    </r>
    <r>
      <rPr>
        <sz val="11"/>
        <color rgb="FF1F2937"/>
        <rFont val="微软雅黑"/>
        <family val="0"/>
        <charset val="1"/>
      </rPr>
      <t xml:space="preserve">准备</t>
    </r>
  </si>
  <si>
    <t xml:space="preserve">确认UAT场景、用户、数据和验收安排</t>
  </si>
  <si>
    <t xml:space="preserve">T083</t>
  </si>
  <si>
    <r>
      <rPr>
        <sz val="11"/>
        <color rgb="FF1F2937"/>
        <rFont val="Calibri"/>
        <family val="0"/>
        <charset val="134"/>
      </rPr>
      <t xml:space="preserve">UAT</t>
    </r>
    <r>
      <rPr>
        <sz val="11"/>
        <color rgb="FF1F2937"/>
        <rFont val="微软雅黑"/>
        <family val="0"/>
        <charset val="1"/>
      </rPr>
      <t xml:space="preserve">执行</t>
    </r>
  </si>
  <si>
    <t xml:space="preserve">组织业务用户执行P0场景验收</t>
  </si>
  <si>
    <t xml:space="preserve">T084</t>
  </si>
  <si>
    <t xml:space="preserve">问题闭环</t>
  </si>
  <si>
    <t xml:space="preserve">修复UAT问题并完成业务回归</t>
  </si>
  <si>
    <t xml:space="preserve">T085</t>
  </si>
  <si>
    <t xml:space="preserve">业务验收</t>
  </si>
  <si>
    <t xml:space="preserve">形成UAT报告、遗留事项和确认单</t>
  </si>
  <si>
    <t xml:space="preserve">T086</t>
  </si>
  <si>
    <t xml:space="preserve">上线准备</t>
  </si>
  <si>
    <t xml:space="preserve">完成生产部署、发布和回退方案</t>
  </si>
  <si>
    <t xml:space="preserve">T087</t>
  </si>
  <si>
    <t xml:space="preserve">数据准备</t>
  </si>
  <si>
    <t xml:space="preserve">完成数据迁移、清洗和对账演练</t>
  </si>
  <si>
    <t xml:space="preserve">T088</t>
  </si>
  <si>
    <t xml:space="preserve">上线检查</t>
  </si>
  <si>
    <t xml:space="preserve">核查接口、权限、证书和配置参数</t>
  </si>
  <si>
    <t xml:space="preserve">T089</t>
  </si>
  <si>
    <t xml:space="preserve">运维准备</t>
  </si>
  <si>
    <t xml:space="preserve">建立监控、告警、备份和支持机制</t>
  </si>
  <si>
    <t xml:space="preserve">T090</t>
  </si>
  <si>
    <t xml:space="preserve">培训交接</t>
  </si>
  <si>
    <t xml:space="preserve">完成用户培训、手册和运维交接</t>
  </si>
  <si>
    <t xml:space="preserve">T091</t>
  </si>
  <si>
    <t xml:space="preserve">准入评审</t>
  </si>
  <si>
    <t xml:space="preserve">执行上线检查表并获得上线批准</t>
  </si>
  <si>
    <t xml:space="preserve">T092</t>
  </si>
  <si>
    <t xml:space="preserve">生产发布</t>
  </si>
  <si>
    <t xml:space="preserve">执行生产部署、数据切换和版本发布</t>
  </si>
  <si>
    <t xml:space="preserve">T093</t>
  </si>
  <si>
    <t xml:space="preserve">上线验证</t>
  </si>
  <si>
    <t xml:space="preserve">执行生产冒烟和关键业务链路验证</t>
  </si>
  <si>
    <t xml:space="preserve">T094</t>
  </si>
  <si>
    <t xml:space="preserve">试运行</t>
  </si>
  <si>
    <t xml:space="preserve">启动监控、问题响应和试运行支持</t>
  </si>
  <si>
    <t xml:space="preserve">T095</t>
  </si>
  <si>
    <t xml:space="preserve">上线确认</t>
  </si>
  <si>
    <t xml:space="preserve">形成上线确认单和试运行跟踪计划</t>
  </si>
  <si>
    <t xml:space="preserve">T096</t>
  </si>
  <si>
    <t xml:space="preserve">大集中ERP</t>
  </si>
  <si>
    <t xml:space="preserve">外部系统接口实施</t>
  </si>
  <si>
    <t xml:space="preserve">设计</t>
  </si>
  <si>
    <t xml:space="preserve">大集中ERPP0接口设计工作包：接口设计说明、字段映射、异常与安全方案通过评审</t>
  </si>
  <si>
    <t xml:space="preserve">实施明细见“04_系统集成管理/系统集成管理-20260918-V1.xlsx”；大集中ERP共23条P0接口</t>
  </si>
  <si>
    <t xml:space="preserve">T097</t>
  </si>
  <si>
    <t xml:space="preserve">开发</t>
  </si>
  <si>
    <t xml:space="preserve">大集中ERPP0接口开发工作包：接口代码、自测记录及部署包完成</t>
  </si>
  <si>
    <t xml:space="preserve">高级开发人员-01</t>
  </si>
  <si>
    <t xml:space="preserve">T098</t>
  </si>
  <si>
    <t xml:space="preserve">联调</t>
  </si>
  <si>
    <t xml:space="preserve">大集中ERPP0接口联调工作包：双向联调通过，异常、重试与补偿验证完成</t>
  </si>
  <si>
    <t xml:space="preserve">T099</t>
  </si>
  <si>
    <t xml:space="preserve">测试</t>
  </si>
  <si>
    <t xml:space="preserve">大集中ERPP0接口测试工作包：集成测试用例执行通过，缺陷闭环</t>
  </si>
  <si>
    <t xml:space="preserve">高级测试人员-01</t>
  </si>
  <si>
    <t xml:space="preserve">T100</t>
  </si>
  <si>
    <t xml:space="preserve">大集中ERPP0接口上线准备工作包：生产配置、发布步骤和回退方案就绪</t>
  </si>
  <si>
    <t xml:space="preserve">T101</t>
  </si>
  <si>
    <t xml:space="preserve">昆仑ERP</t>
  </si>
  <si>
    <t xml:space="preserve">昆仑ERPP0接口设计工作包：接口设计说明、字段映射、异常与安全方案通过评审</t>
  </si>
  <si>
    <t xml:space="preserve">实施明细见“04_系统集成管理/系统集成管理-20260918-V1.xlsx”；昆仑ERP共23条P0接口</t>
  </si>
  <si>
    <t xml:space="preserve">T102</t>
  </si>
  <si>
    <t xml:space="preserve">昆仑ERPP0接口开发工作包：接口代码、自测记录及部署包完成</t>
  </si>
  <si>
    <t xml:space="preserve">高级开发人员-02</t>
  </si>
  <si>
    <t xml:space="preserve">T103</t>
  </si>
  <si>
    <t xml:space="preserve">昆仑ERPP0接口联调工作包：双向联调通过，异常、重试与补偿验证完成</t>
  </si>
  <si>
    <t xml:space="preserve">T104</t>
  </si>
  <si>
    <t xml:space="preserve">昆仑ERPP0接口测试工作包：集成测试用例执行通过，缺陷闭环</t>
  </si>
  <si>
    <t xml:space="preserve">中级测试人员-01</t>
  </si>
  <si>
    <t xml:space="preserve">T105</t>
  </si>
  <si>
    <t xml:space="preserve">昆仑ERPP0接口上线准备工作包：生产配置、发布步骤和回退方案就绪</t>
  </si>
  <si>
    <t xml:space="preserve">T106</t>
  </si>
  <si>
    <t xml:space="preserve">云梦泽</t>
  </si>
  <si>
    <t xml:space="preserve">云梦泽P0接口设计工作包：接口设计说明、字段映射、异常与安全方案通过评审</t>
  </si>
  <si>
    <t xml:space="preserve">实施明细见“04_系统集成管理/系统集成管理-20260918-V1.xlsx”；云梦泽共13条P0接口</t>
  </si>
  <si>
    <t xml:space="preserve">T107</t>
  </si>
  <si>
    <t xml:space="preserve">云梦泽P0接口开发工作包：接口代码、自测记录及部署包完成</t>
  </si>
  <si>
    <t xml:space="preserve">高级开发人员-03</t>
  </si>
  <si>
    <t xml:space="preserve">T108</t>
  </si>
  <si>
    <t xml:space="preserve">云梦泽P0接口联调工作包：双向联调通过，异常、重试与补偿验证完成</t>
  </si>
  <si>
    <t xml:space="preserve">T109</t>
  </si>
  <si>
    <t xml:space="preserve">云梦泽P0接口测试工作包：集成测试用例执行通过，缺陷闭环</t>
  </si>
  <si>
    <t xml:space="preserve">中级测试人员-02</t>
  </si>
  <si>
    <t xml:space="preserve">T110</t>
  </si>
  <si>
    <t xml:space="preserve">云梦泽P0接口上线准备工作包：生产配置、发布步骤和回退方案就绪</t>
  </si>
  <si>
    <t xml:space="preserve">T111</t>
  </si>
  <si>
    <t xml:space="preserve">财务共享</t>
  </si>
  <si>
    <t xml:space="preserve">财务共享P0接口设计工作包：接口设计说明、字段映射、异常与安全方案通过评审</t>
  </si>
  <si>
    <t xml:space="preserve">实施明细见“04_系统集成管理/系统集成管理-20260918-V1.xlsx”；财务共享共9条P0接口</t>
  </si>
  <si>
    <t xml:space="preserve">T112</t>
  </si>
  <si>
    <t xml:space="preserve">财务共享P0接口开发工作包：接口代码、自测记录及部署包完成</t>
  </si>
  <si>
    <t xml:space="preserve">中级开发人员-01</t>
  </si>
  <si>
    <t xml:space="preserve">T113</t>
  </si>
  <si>
    <t xml:space="preserve">财务共享P0接口联调工作包：双向联调通过，异常、重试与补偿验证完成</t>
  </si>
  <si>
    <t xml:space="preserve">T114</t>
  </si>
  <si>
    <t xml:space="preserve">财务共享P0接口测试工作包：集成测试用例执行通过，缺陷闭环</t>
  </si>
  <si>
    <t xml:space="preserve">测试经理</t>
  </si>
  <si>
    <t xml:space="preserve">T115</t>
  </si>
  <si>
    <t xml:space="preserve">财务共享P0接口上线准备工作包：生产配置、发布步骤和回退方案就绪</t>
  </si>
  <si>
    <t xml:space="preserve">配置经理</t>
  </si>
  <si>
    <t xml:space="preserve">T116</t>
  </si>
  <si>
    <t xml:space="preserve">档案系统</t>
  </si>
  <si>
    <t xml:space="preserve">档案系统P0接口设计工作包：接口设计说明、字段映射、异常与安全方案通过评审</t>
  </si>
  <si>
    <t xml:space="preserve">实施明细见“04_系统集成管理/系统集成管理-20260918-V1.xlsx”；档案系统共7条P0接口</t>
  </si>
  <si>
    <t xml:space="preserve">T117</t>
  </si>
  <si>
    <t xml:space="preserve">档案系统P0接口开发工作包：接口代码、自测记录及部署包完成</t>
  </si>
  <si>
    <t xml:space="preserve">中级开发人员-02</t>
  </si>
  <si>
    <t xml:space="preserve">T118</t>
  </si>
  <si>
    <t xml:space="preserve">档案系统P0接口联调工作包：双向联调通过，异常、重试与补偿验证完成</t>
  </si>
  <si>
    <t xml:space="preserve">T119</t>
  </si>
  <si>
    <t xml:space="preserve">档案系统P0接口测试工作包：集成测试用例执行通过，缺陷闭环</t>
  </si>
  <si>
    <t xml:space="preserve">T120</t>
  </si>
  <si>
    <t xml:space="preserve">档案系统P0接口上线准备工作包：生产配置、发布步骤和回退方案就绪</t>
  </si>
  <si>
    <t xml:space="preserve">T121</t>
  </si>
  <si>
    <t xml:space="preserve">IAM</t>
  </si>
  <si>
    <r>
      <rPr>
        <sz val="9"/>
        <color rgb="FF404040"/>
        <rFont val="Arial"/>
        <family val="0"/>
        <charset val="134"/>
      </rPr>
      <t xml:space="preserve">IAMP0</t>
    </r>
    <r>
      <rPr>
        <sz val="9"/>
        <color rgb="FF404040"/>
        <rFont val="微软雅黑"/>
        <family val="0"/>
        <charset val="1"/>
      </rPr>
      <t xml:space="preserve">接口设计工作包：接口设计说明、字段映射、异常与安全方案通过评审</t>
    </r>
  </si>
  <si>
    <t xml:space="preserve">实施明细见“04_系统集成管理/系统集成管理-20260918-V1.xlsx”；IAM共1条P0接口</t>
  </si>
  <si>
    <t xml:space="preserve">T122</t>
  </si>
  <si>
    <r>
      <rPr>
        <sz val="9"/>
        <color rgb="FF404040"/>
        <rFont val="Arial"/>
        <family val="0"/>
        <charset val="134"/>
      </rPr>
      <t xml:space="preserve">IAMP0</t>
    </r>
    <r>
      <rPr>
        <sz val="9"/>
        <color rgb="FF404040"/>
        <rFont val="微软雅黑"/>
        <family val="0"/>
        <charset val="1"/>
      </rPr>
      <t xml:space="preserve">接口开发工作包：接口代码、自测记录及部署包完成</t>
    </r>
  </si>
  <si>
    <t xml:space="preserve">中级开发人员-03</t>
  </si>
  <si>
    <t xml:space="preserve">T123</t>
  </si>
  <si>
    <r>
      <rPr>
        <sz val="9"/>
        <color rgb="FF404040"/>
        <rFont val="Arial"/>
        <family val="0"/>
        <charset val="134"/>
      </rPr>
      <t xml:space="preserve">IAMP0</t>
    </r>
    <r>
      <rPr>
        <sz val="9"/>
        <color rgb="FF404040"/>
        <rFont val="微软雅黑"/>
        <family val="0"/>
        <charset val="1"/>
      </rPr>
      <t xml:space="preserve">接口联调工作包：双向联调通过，异常、重试与补偿验证完成</t>
    </r>
  </si>
  <si>
    <t xml:space="preserve">T124</t>
  </si>
  <si>
    <r>
      <rPr>
        <sz val="9"/>
        <color rgb="FF404040"/>
        <rFont val="Arial"/>
        <family val="0"/>
        <charset val="134"/>
      </rPr>
      <t xml:space="preserve">IAMP0</t>
    </r>
    <r>
      <rPr>
        <sz val="9"/>
        <color rgb="FF404040"/>
        <rFont val="微软雅黑"/>
        <family val="0"/>
        <charset val="1"/>
      </rPr>
      <t xml:space="preserve">接口测试工作包：集成测试用例执行通过，缺陷闭环</t>
    </r>
  </si>
  <si>
    <t xml:space="preserve">T125</t>
  </si>
  <si>
    <r>
      <rPr>
        <sz val="9"/>
        <color rgb="FF404040"/>
        <rFont val="Arial"/>
        <family val="0"/>
        <charset val="134"/>
      </rPr>
      <t xml:space="preserve">IAMP0</t>
    </r>
    <r>
      <rPr>
        <sz val="9"/>
        <color rgb="FF404040"/>
        <rFont val="微软雅黑"/>
        <family val="0"/>
        <charset val="1"/>
      </rPr>
      <t xml:space="preserve">接口上线准备工作包：生产配置、发布步骤和回退方案就绪</t>
    </r>
  </si>
  <si>
    <t xml:space="preserve">T126</t>
  </si>
  <si>
    <t xml:space="preserve">工程建设EPM</t>
  </si>
  <si>
    <t xml:space="preserve">工程建设EPMP0接口设计工作包：接口设计说明、字段映射、异常与安全方案通过评审</t>
  </si>
  <si>
    <t xml:space="preserve">实施明细见“04_系统集成管理/系统集成管理-20260918-V1.xlsx”；工程建设EPM共2条P0接口</t>
  </si>
  <si>
    <t xml:space="preserve">T127</t>
  </si>
  <si>
    <t xml:space="preserve">工程建设EPMP0接口开发工作包：接口代码、自测记录及部署包完成</t>
  </si>
  <si>
    <t xml:space="preserve">中级开发人员-04</t>
  </si>
  <si>
    <t xml:space="preserve">T128</t>
  </si>
  <si>
    <t xml:space="preserve">工程建设EPMP0接口联调工作包：双向联调通过，异常、重试与补偿验证完成</t>
  </si>
  <si>
    <t xml:space="preserve">T129</t>
  </si>
  <si>
    <t xml:space="preserve">工程建设EPMP0接口测试工作包：集成测试用例执行通过，缺陷闭环</t>
  </si>
  <si>
    <t xml:space="preserve">T130</t>
  </si>
  <si>
    <t xml:space="preserve">工程建设EPMP0接口上线准备工作包：生产配置、发布步骤和回退方案就绪</t>
  </si>
  <si>
    <t xml:space="preserve">T131</t>
  </si>
  <si>
    <t xml:space="preserve">MDG</t>
  </si>
  <si>
    <r>
      <rPr>
        <sz val="9"/>
        <color rgb="FF404040"/>
        <rFont val="Arial"/>
        <family val="0"/>
        <charset val="134"/>
      </rPr>
      <t xml:space="preserve">MDGP0</t>
    </r>
    <r>
      <rPr>
        <sz val="9"/>
        <color rgb="FF404040"/>
        <rFont val="微软雅黑"/>
        <family val="0"/>
        <charset val="1"/>
      </rPr>
      <t xml:space="preserve">接口设计工作包：接口设计说明、字段映射、异常与安全方案通过评审</t>
    </r>
  </si>
  <si>
    <t xml:space="preserve">实施明细见“04_系统集成管理/系统集成管理-20260918-V1.xlsx”；MDG共16条P0接口</t>
  </si>
  <si>
    <t xml:space="preserve">T132</t>
  </si>
  <si>
    <r>
      <rPr>
        <sz val="9"/>
        <color rgb="FF404040"/>
        <rFont val="Arial"/>
        <family val="0"/>
        <charset val="134"/>
      </rPr>
      <t xml:space="preserve">MDGP0</t>
    </r>
    <r>
      <rPr>
        <sz val="9"/>
        <color rgb="FF404040"/>
        <rFont val="微软雅黑"/>
        <family val="0"/>
        <charset val="1"/>
      </rPr>
      <t xml:space="preserve">接口开发工作包：接口代码、自测记录及部署包完成</t>
    </r>
  </si>
  <si>
    <t xml:space="preserve">中级开发人员-05</t>
  </si>
  <si>
    <t xml:space="preserve">T133</t>
  </si>
  <si>
    <r>
      <rPr>
        <sz val="9"/>
        <color rgb="FF404040"/>
        <rFont val="Arial"/>
        <family val="0"/>
        <charset val="134"/>
      </rPr>
      <t xml:space="preserve">MDGP0</t>
    </r>
    <r>
      <rPr>
        <sz val="9"/>
        <color rgb="FF404040"/>
        <rFont val="微软雅黑"/>
        <family val="0"/>
        <charset val="1"/>
      </rPr>
      <t xml:space="preserve">接口联调工作包：双向联调通过，异常、重试与补偿验证完成</t>
    </r>
  </si>
  <si>
    <t xml:space="preserve">T134</t>
  </si>
  <si>
    <r>
      <rPr>
        <sz val="9"/>
        <color rgb="FF404040"/>
        <rFont val="Arial"/>
        <family val="0"/>
        <charset val="134"/>
      </rPr>
      <t xml:space="preserve">MDGP0</t>
    </r>
    <r>
      <rPr>
        <sz val="9"/>
        <color rgb="FF404040"/>
        <rFont val="微软雅黑"/>
        <family val="0"/>
        <charset val="1"/>
      </rPr>
      <t xml:space="preserve">接口测试工作包：集成测试用例执行通过，缺陷闭环</t>
    </r>
  </si>
  <si>
    <t xml:space="preserve">T135</t>
  </si>
  <si>
    <r>
      <rPr>
        <sz val="9"/>
        <color rgb="FF404040"/>
        <rFont val="Arial"/>
        <family val="0"/>
        <charset val="134"/>
      </rPr>
      <t xml:space="preserve">MDGP0</t>
    </r>
    <r>
      <rPr>
        <sz val="9"/>
        <color rgb="FF404040"/>
        <rFont val="微软雅黑"/>
        <family val="0"/>
        <charset val="1"/>
      </rPr>
      <t xml:space="preserve">接口上线准备工作包：生产配置、发布步骤和回退方案就绪</t>
    </r>
  </si>
  <si>
    <t xml:space="preserve">能源行业合同全生命周期管理系统｜总控筛选视图</t>
  </si>
  <si>
    <t xml:space="preserve">只读筛选视图：数据与项目总控台账公式联动；筛选、排序可在本页执行，业务数据请回项目总控台账维护。</t>
  </si>
  <si>
    <t xml:space="preserve">资源周计划按每人每周40小时控制；接口任务依据系统集成管理的建议资源人同步，多个并行任务平均分配当周40小时；人员成本预算不在本文件调整。</t>
  </si>
  <si>
    <t xml:space="preserve">人员</t>
  </si>
  <si>
    <t xml:space="preserve">角色</t>
  </si>
  <si>
    <t xml:space="preserve">任务数</t>
  </si>
  <si>
    <t xml:space="preserve">未完成任务</t>
  </si>
  <si>
    <t xml:space="preserve">最早开始</t>
  </si>
  <si>
    <t xml:space="preserve">最晚结束</t>
  </si>
  <si>
    <t xml:space="preserve">周可用工时</t>
  </si>
  <si>
    <t xml:space="preserve">计划投入工时</t>
  </si>
  <si>
    <t xml:space="preserve">负荷率</t>
  </si>
  <si>
    <t xml:space="preserve">负荷判断</t>
  </si>
  <si>
    <t xml:space="preserve">资源建议</t>
  </si>
  <si>
    <t xml:space="preserve">项目集经理-01</t>
  </si>
  <si>
    <t xml:space="preserve">可承接同角色新增任务</t>
  </si>
  <si>
    <t xml:space="preserve">角色占位资源，待实名替换</t>
  </si>
  <si>
    <t xml:space="preserve">项目经理-01</t>
  </si>
  <si>
    <t xml:space="preserve">项目经理-02</t>
  </si>
  <si>
    <t xml:space="preserve">技术经理-01</t>
  </si>
  <si>
    <t xml:space="preserve">技术经理-02</t>
  </si>
  <si>
    <t xml:space="preserve">产品经理-01</t>
  </si>
  <si>
    <t xml:space="preserve">产品经理-02</t>
  </si>
  <si>
    <t xml:space="preserve">美工-01</t>
  </si>
  <si>
    <t xml:space="preserve">中级开发人员-06</t>
  </si>
  <si>
    <t xml:space="preserve">中级开发人员-07</t>
  </si>
  <si>
    <t xml:space="preserve">中级开发人员-08</t>
  </si>
  <si>
    <t xml:space="preserve">中级开发人员-09</t>
  </si>
  <si>
    <t xml:space="preserve">中级开发人员-10</t>
  </si>
  <si>
    <t xml:space="preserve">中级开发人员-11</t>
  </si>
  <si>
    <t xml:space="preserve">中级开发人员-12</t>
  </si>
  <si>
    <t xml:space="preserve">中级开发人员-13</t>
  </si>
  <si>
    <t xml:space="preserve">中级开发人员-14</t>
  </si>
  <si>
    <t xml:space="preserve">中级开发人员-15</t>
  </si>
  <si>
    <t xml:space="preserve">高级测试人员</t>
  </si>
  <si>
    <t xml:space="preserve">中级测试人员</t>
  </si>
  <si>
    <t xml:space="preserve">配置人员-01</t>
  </si>
  <si>
    <t xml:space="preserve">资源周计划</t>
  </si>
  <si>
    <t xml:space="preserve">任务与日期来自新的总控台账；有任务周按每人40小时安排，无任务周保留为可用容量。</t>
  </si>
  <si>
    <t xml:space="preserve">人员名称为角色占位，可替换为实名</t>
  </si>
  <si>
    <t xml:space="preserve">周开始</t>
  </si>
  <si>
    <t xml:space="preserve">周结束</t>
  </si>
  <si>
    <t xml:space="preserve">是否有任务</t>
  </si>
  <si>
    <t xml:space="preserve">周计划工时</t>
  </si>
  <si>
    <t xml:space="preserve">任务清单</t>
  </si>
  <si>
    <t xml:space="preserve">说明</t>
  </si>
  <si>
    <t xml:space="preserve">无</t>
  </si>
  <si>
    <t xml:space="preserve">本周可承接任务</t>
  </si>
  <si>
    <t xml:space="preserve">有</t>
  </si>
  <si>
    <r>
      <rPr>
        <sz val="10"/>
        <color rgb="FF1F2937"/>
        <rFont val="Calibri"/>
        <family val="0"/>
        <charset val="134"/>
      </rPr>
      <t xml:space="preserve">T003 </t>
    </r>
    <r>
      <rPr>
        <sz val="10"/>
        <color rgb="FF1F2937"/>
        <rFont val="微软雅黑"/>
        <family val="0"/>
        <charset val="1"/>
      </rPr>
      <t xml:space="preserve">评审并发布可研工作方案</t>
    </r>
  </si>
  <si>
    <t xml:space="preserve">本周40小时按1项任务平均，每项40.0小时</t>
  </si>
  <si>
    <r>
      <rPr>
        <sz val="10"/>
        <color rgb="FF1F2937"/>
        <rFont val="Calibri"/>
        <family val="0"/>
        <charset val="134"/>
      </rPr>
      <t xml:space="preserve">T008 </t>
    </r>
    <r>
      <rPr>
        <sz val="10"/>
        <color rgb="FF1F2937"/>
        <rFont val="微软雅黑"/>
        <family val="0"/>
        <charset val="1"/>
      </rPr>
      <t xml:space="preserve">汇编可研报告并组织评审</t>
    </r>
  </si>
  <si>
    <r>
      <rPr>
        <sz val="10"/>
        <color rgb="FF1F2937"/>
        <rFont val="Calibri"/>
        <family val="0"/>
        <charset val="134"/>
      </rPr>
      <t xml:space="preserve">T033 </t>
    </r>
    <r>
      <rPr>
        <sz val="10"/>
        <color rgb="FF1F2937"/>
        <rFont val="微软雅黑"/>
        <family val="0"/>
        <charset val="1"/>
      </rPr>
      <t xml:space="preserve">编制并审批项目章程</t>
    </r>
  </si>
  <si>
    <r>
      <rPr>
        <sz val="10"/>
        <color rgb="FF1F2937"/>
        <rFont val="Calibri"/>
        <family val="0"/>
        <charset val="134"/>
      </rPr>
      <t xml:space="preserve">T036 </t>
    </r>
    <r>
      <rPr>
        <sz val="10"/>
        <color rgb="FF1F2937"/>
        <rFont val="微软雅黑"/>
        <family val="0"/>
        <charset val="1"/>
      </rPr>
      <t xml:space="preserve">确认</t>
    </r>
    <r>
      <rPr>
        <sz val="10"/>
        <color rgb="FF1F2937"/>
        <rFont val="Calibri"/>
        <family val="0"/>
        <charset val="134"/>
      </rPr>
      <t xml:space="preserve">30</t>
    </r>
    <r>
      <rPr>
        <sz val="10"/>
        <color rgb="FF1F2937"/>
        <rFont val="微软雅黑"/>
        <family val="0"/>
        <charset val="1"/>
      </rPr>
      <t xml:space="preserve">人团队投入与阶段资源计划</t>
    </r>
  </si>
  <si>
    <r>
      <rPr>
        <sz val="10"/>
        <color rgb="FF1F2937"/>
        <rFont val="Calibri"/>
        <family val="0"/>
        <charset val="134"/>
      </rPr>
      <t xml:space="preserve">T038 </t>
    </r>
    <r>
      <rPr>
        <sz val="10"/>
        <color rgb="FF1F2937"/>
        <rFont val="微软雅黑"/>
        <family val="0"/>
        <charset val="1"/>
      </rPr>
      <t xml:space="preserve">完成启动条件检查与评审</t>
    </r>
  </si>
  <si>
    <r>
      <rPr>
        <sz val="10"/>
        <color rgb="FF1F2937"/>
        <rFont val="Calibri"/>
        <family val="0"/>
        <charset val="134"/>
      </rPr>
      <t xml:space="preserve">T040 </t>
    </r>
    <r>
      <rPr>
        <sz val="10"/>
        <color rgb="FF1F2937"/>
        <rFont val="微软雅黑"/>
        <family val="0"/>
        <charset val="1"/>
      </rPr>
      <t xml:space="preserve">召开项目启动会并确认职责</t>
    </r>
  </si>
  <si>
    <r>
      <rPr>
        <sz val="10"/>
        <color rgb="FF1F2937"/>
        <rFont val="Calibri"/>
        <family val="0"/>
        <charset val="134"/>
      </rPr>
      <t xml:space="preserve">T091 </t>
    </r>
    <r>
      <rPr>
        <sz val="10"/>
        <color rgb="FF1F2937"/>
        <rFont val="微软雅黑"/>
        <family val="0"/>
        <charset val="1"/>
      </rPr>
      <t xml:space="preserve">执行上线检查表并获得上线批准</t>
    </r>
  </si>
  <si>
    <r>
      <rPr>
        <sz val="10"/>
        <color rgb="FF1F2937"/>
        <rFont val="Calibri"/>
        <family val="0"/>
        <charset val="134"/>
      </rPr>
      <t xml:space="preserve">T001 </t>
    </r>
    <r>
      <rPr>
        <sz val="10"/>
        <color rgb="FF1F2937"/>
        <rFont val="微软雅黑"/>
        <family val="0"/>
        <charset val="1"/>
      </rPr>
      <t xml:space="preserve">明确可研目标、范围与边界</t>
    </r>
  </si>
  <si>
    <r>
      <rPr>
        <sz val="10"/>
        <color rgb="FF1F2937"/>
        <rFont val="Calibri"/>
        <family val="0"/>
        <charset val="134"/>
      </rPr>
      <t xml:space="preserve">T007 </t>
    </r>
    <r>
      <rPr>
        <sz val="10"/>
        <color rgb="FF1F2937"/>
        <rFont val="微软雅黑"/>
        <family val="0"/>
        <charset val="1"/>
      </rPr>
      <t xml:space="preserve">形成实施路径、资源与风险建议</t>
    </r>
  </si>
  <si>
    <r>
      <rPr>
        <sz val="10"/>
        <color rgb="FF1F2937"/>
        <rFont val="Calibri"/>
        <family val="0"/>
        <charset val="134"/>
      </rPr>
      <t xml:space="preserve">T007 </t>
    </r>
    <r>
      <rPr>
        <sz val="10"/>
        <color rgb="FF1F2937"/>
        <rFont val="微软雅黑"/>
        <family val="0"/>
        <charset val="1"/>
      </rPr>
      <t xml:space="preserve">形成实施路径、资源与风险建议；</t>
    </r>
    <r>
      <rPr>
        <sz val="10"/>
        <color rgb="FF1F2937"/>
        <rFont val="Calibri"/>
        <family val="0"/>
        <charset val="134"/>
      </rPr>
      <t xml:space="preserve">T014 </t>
    </r>
    <r>
      <rPr>
        <sz val="10"/>
        <color rgb="FF1F2937"/>
        <rFont val="微软雅黑"/>
        <family val="0"/>
        <charset val="1"/>
      </rPr>
      <t xml:space="preserve">制定项目治理、会议与报告机制</t>
    </r>
  </si>
  <si>
    <t xml:space="preserve">本周40小时按2项任务平均，每项20.0小时</t>
  </si>
  <si>
    <r>
      <rPr>
        <sz val="10"/>
        <color rgb="FF1F2937"/>
        <rFont val="Calibri"/>
        <family val="0"/>
        <charset val="134"/>
      </rPr>
      <t xml:space="preserve">T034 </t>
    </r>
    <r>
      <rPr>
        <sz val="10"/>
        <color rgb="FF1F2937"/>
        <rFont val="微软雅黑"/>
        <family val="0"/>
        <charset val="1"/>
      </rPr>
      <t xml:space="preserve">编制范围、里程碑和主进度计划</t>
    </r>
  </si>
  <si>
    <r>
      <rPr>
        <sz val="10"/>
        <color rgb="FF1F2937"/>
        <rFont val="Calibri"/>
        <family val="0"/>
        <charset val="134"/>
      </rPr>
      <t xml:space="preserve">T034 </t>
    </r>
    <r>
      <rPr>
        <sz val="10"/>
        <color rgb="FF1F2937"/>
        <rFont val="微软雅黑"/>
        <family val="0"/>
        <charset val="1"/>
      </rPr>
      <t xml:space="preserve">编制范围、里程碑和主进度计划；</t>
    </r>
    <r>
      <rPr>
        <sz val="10"/>
        <color rgb="FF1F2937"/>
        <rFont val="Calibri"/>
        <family val="0"/>
        <charset val="134"/>
      </rPr>
      <t xml:space="preserve">T037 </t>
    </r>
    <r>
      <rPr>
        <sz val="10"/>
        <color rgb="FF1F2937"/>
        <rFont val="微软雅黑"/>
        <family val="0"/>
        <charset val="1"/>
      </rPr>
      <t xml:space="preserve">建立风险、问题、变更和决策台账</t>
    </r>
  </si>
  <si>
    <r>
      <rPr>
        <sz val="10"/>
        <color rgb="FF1F2937"/>
        <rFont val="Calibri"/>
        <family val="0"/>
        <charset val="134"/>
      </rPr>
      <t xml:space="preserve">T037 </t>
    </r>
    <r>
      <rPr>
        <sz val="10"/>
        <color rgb="FF1F2937"/>
        <rFont val="微软雅黑"/>
        <family val="0"/>
        <charset val="1"/>
      </rPr>
      <t xml:space="preserve">建立风险、问题、变更和决策台账</t>
    </r>
  </si>
  <si>
    <r>
      <rPr>
        <sz val="10"/>
        <color rgb="FF1F2937"/>
        <rFont val="Calibri"/>
        <family val="0"/>
        <charset val="134"/>
      </rPr>
      <t xml:space="preserve">T041 </t>
    </r>
    <r>
      <rPr>
        <sz val="10"/>
        <color rgb="FF1F2937"/>
        <rFont val="微软雅黑"/>
        <family val="0"/>
        <charset val="1"/>
      </rPr>
      <t xml:space="preserve">发布会议纪要、行动项和基准计划</t>
    </r>
  </si>
  <si>
    <r>
      <rPr>
        <sz val="11"/>
        <color theme="1"/>
        <rFont val="Calibri"/>
        <family val="0"/>
        <charset val="134"/>
      </rPr>
      <t xml:space="preserve">T085 </t>
    </r>
    <r>
      <rPr>
        <sz val="11"/>
        <color theme="1"/>
        <rFont val="微软雅黑"/>
        <family val="0"/>
        <charset val="1"/>
      </rPr>
      <t xml:space="preserve">形成</t>
    </r>
    <r>
      <rPr>
        <sz val="11"/>
        <color theme="1"/>
        <rFont val="Calibri"/>
        <family val="0"/>
        <charset val="134"/>
      </rPr>
      <t xml:space="preserve">UAT</t>
    </r>
    <r>
      <rPr>
        <sz val="11"/>
        <color theme="1"/>
        <rFont val="微软雅黑"/>
        <family val="0"/>
        <charset val="1"/>
      </rPr>
      <t xml:space="preserve">报告、遗留事项和确认单</t>
    </r>
  </si>
  <si>
    <r>
      <rPr>
        <sz val="11"/>
        <color theme="1"/>
        <rFont val="Calibri"/>
        <family val="0"/>
        <charset val="134"/>
      </rPr>
      <t xml:space="preserve">T006 </t>
    </r>
    <r>
      <rPr>
        <sz val="11"/>
        <color theme="1"/>
        <rFont val="微软雅黑"/>
        <family val="0"/>
        <charset val="1"/>
      </rPr>
      <t xml:space="preserve">测算投资、成本与预期收益</t>
    </r>
  </si>
  <si>
    <r>
      <rPr>
        <sz val="11"/>
        <color theme="1"/>
        <rFont val="Calibri"/>
        <family val="0"/>
        <charset val="134"/>
      </rPr>
      <t xml:space="preserve">T006 </t>
    </r>
    <r>
      <rPr>
        <sz val="11"/>
        <color theme="1"/>
        <rFont val="微软雅黑"/>
        <family val="0"/>
        <charset val="1"/>
      </rPr>
      <t xml:space="preserve">测算投资、成本与预期收益；</t>
    </r>
    <r>
      <rPr>
        <sz val="11"/>
        <color theme="1"/>
        <rFont val="Calibri"/>
        <family val="0"/>
        <charset val="134"/>
      </rPr>
      <t xml:space="preserve">T013 </t>
    </r>
    <r>
      <rPr>
        <sz val="11"/>
        <color theme="1"/>
        <rFont val="微软雅黑"/>
        <family val="0"/>
        <charset val="1"/>
      </rPr>
      <t xml:space="preserve">确认现状流程、问题与改进机会基线</t>
    </r>
  </si>
  <si>
    <r>
      <rPr>
        <sz val="11"/>
        <color theme="1"/>
        <rFont val="Calibri"/>
        <family val="0"/>
        <charset val="134"/>
      </rPr>
      <t xml:space="preserve">T013 </t>
    </r>
    <r>
      <rPr>
        <sz val="11"/>
        <color theme="1"/>
        <rFont val="微软雅黑"/>
        <family val="0"/>
        <charset val="1"/>
      </rPr>
      <t xml:space="preserve">确认现状流程、问题与改进机会基线</t>
    </r>
  </si>
  <si>
    <r>
      <rPr>
        <sz val="11"/>
        <color theme="1"/>
        <rFont val="Calibri"/>
        <family val="0"/>
        <charset val="134"/>
      </rPr>
      <t xml:space="preserve">T032 </t>
    </r>
    <r>
      <rPr>
        <sz val="11"/>
        <color theme="1"/>
        <rFont val="微软雅黑"/>
        <family val="0"/>
        <charset val="1"/>
      </rPr>
      <t xml:space="preserve">汇总问题清单、适配结论和产品选型建议</t>
    </r>
  </si>
  <si>
    <r>
      <rPr>
        <sz val="11"/>
        <color theme="1"/>
        <rFont val="Calibri"/>
        <family val="0"/>
        <charset val="134"/>
      </rPr>
      <t xml:space="preserve">T035 </t>
    </r>
    <r>
      <rPr>
        <sz val="11"/>
        <color theme="1"/>
        <rFont val="微软雅黑"/>
        <family val="0"/>
        <charset val="1"/>
      </rPr>
      <t xml:space="preserve">建立项目组织、</t>
    </r>
    <r>
      <rPr>
        <sz val="11"/>
        <color theme="1"/>
        <rFont val="Calibri"/>
        <family val="0"/>
        <charset val="134"/>
      </rPr>
      <t xml:space="preserve">RACI</t>
    </r>
    <r>
      <rPr>
        <sz val="11"/>
        <color theme="1"/>
        <rFont val="微软雅黑"/>
        <family val="0"/>
        <charset val="1"/>
      </rPr>
      <t xml:space="preserve">与沟通机制</t>
    </r>
  </si>
  <si>
    <r>
      <rPr>
        <sz val="11"/>
        <color theme="1"/>
        <rFont val="Calibri"/>
        <family val="0"/>
        <charset val="134"/>
      </rPr>
      <t xml:space="preserve">T039 </t>
    </r>
    <r>
      <rPr>
        <sz val="11"/>
        <color theme="1"/>
        <rFont val="微软雅黑"/>
        <family val="0"/>
        <charset val="1"/>
      </rPr>
      <t xml:space="preserve">准备启动会材料与项目目标宣贯</t>
    </r>
  </si>
  <si>
    <r>
      <rPr>
        <sz val="11"/>
        <color theme="1"/>
        <rFont val="Calibri"/>
        <family val="0"/>
        <charset val="134"/>
      </rPr>
      <t xml:space="preserve">T047 </t>
    </r>
    <r>
      <rPr>
        <sz val="11"/>
        <color theme="1"/>
        <rFont val="微软雅黑"/>
        <family val="0"/>
        <charset val="1"/>
      </rPr>
      <t xml:space="preserve">建立需求跟踪矩阵并完成基线评审</t>
    </r>
  </si>
  <si>
    <r>
      <rPr>
        <sz val="11"/>
        <color theme="1"/>
        <rFont val="Calibri"/>
        <family val="0"/>
        <charset val="134"/>
      </rPr>
      <t xml:space="preserve">T095 </t>
    </r>
    <r>
      <rPr>
        <sz val="11"/>
        <color theme="1"/>
        <rFont val="微软雅黑"/>
        <family val="0"/>
        <charset val="1"/>
      </rPr>
      <t xml:space="preserve">形成上线确认单和试运行跟踪计划</t>
    </r>
  </si>
  <si>
    <r>
      <rPr>
        <sz val="11"/>
        <color theme="1"/>
        <rFont val="Calibri"/>
        <family val="0"/>
        <charset val="134"/>
      </rPr>
      <t xml:space="preserve">T005 </t>
    </r>
    <r>
      <rPr>
        <sz val="11"/>
        <color theme="1"/>
        <rFont val="微软雅黑"/>
        <family val="0"/>
        <charset val="1"/>
      </rPr>
      <t xml:space="preserve">完成技术路线与系统边界论证</t>
    </r>
  </si>
  <si>
    <r>
      <rPr>
        <sz val="11"/>
        <color theme="1"/>
        <rFont val="Calibri"/>
        <family val="0"/>
        <charset val="134"/>
      </rPr>
      <t xml:space="preserve">T020 </t>
    </r>
    <r>
      <rPr>
        <sz val="11"/>
        <color theme="1"/>
        <rFont val="微软雅黑"/>
        <family val="0"/>
        <charset val="1"/>
      </rPr>
      <t xml:space="preserve">完成主数据、交易数据与分析数据架构</t>
    </r>
  </si>
  <si>
    <r>
      <rPr>
        <sz val="11"/>
        <color theme="1"/>
        <rFont val="Calibri"/>
        <family val="0"/>
        <charset val="134"/>
      </rPr>
      <t xml:space="preserve">T016 </t>
    </r>
    <r>
      <rPr>
        <sz val="11"/>
        <color theme="1"/>
        <rFont val="微软雅黑"/>
        <family val="0"/>
        <charset val="1"/>
      </rPr>
      <t xml:space="preserve">制定设计、编码与代码评审规范；</t>
    </r>
    <r>
      <rPr>
        <sz val="11"/>
        <color theme="1"/>
        <rFont val="Calibri"/>
        <family val="0"/>
        <charset val="134"/>
      </rPr>
      <t xml:space="preserve">T020 </t>
    </r>
    <r>
      <rPr>
        <sz val="11"/>
        <color theme="1"/>
        <rFont val="微软雅黑"/>
        <family val="0"/>
        <charset val="1"/>
      </rPr>
      <t xml:space="preserve">完成主数据、交易数据与分析数据架构</t>
    </r>
  </si>
  <si>
    <r>
      <rPr>
        <sz val="11"/>
        <color theme="1"/>
        <rFont val="Calibri"/>
        <family val="0"/>
        <charset val="134"/>
      </rPr>
      <t xml:space="preserve">T016 </t>
    </r>
    <r>
      <rPr>
        <sz val="11"/>
        <color theme="1"/>
        <rFont val="微软雅黑"/>
        <family val="0"/>
        <charset val="1"/>
      </rPr>
      <t xml:space="preserve">制定设计、编码与代码评审规范</t>
    </r>
  </si>
  <si>
    <r>
      <rPr>
        <sz val="11"/>
        <color theme="1"/>
        <rFont val="Calibri"/>
        <family val="0"/>
        <charset val="134"/>
      </rPr>
      <t xml:space="preserve">T024 </t>
    </r>
    <r>
      <rPr>
        <sz val="11"/>
        <color theme="1"/>
        <rFont val="微软雅黑"/>
        <family val="0"/>
        <charset val="1"/>
      </rPr>
      <t xml:space="preserve">汇编总体技术架构并完成基线评审</t>
    </r>
  </si>
  <si>
    <r>
      <rPr>
        <sz val="11"/>
        <color theme="1"/>
        <rFont val="Calibri"/>
        <family val="0"/>
        <charset val="134"/>
      </rPr>
      <t xml:space="preserve">T096 </t>
    </r>
    <r>
      <rPr>
        <sz val="11"/>
        <color theme="1"/>
        <rFont val="微软雅黑"/>
        <family val="0"/>
        <charset val="1"/>
      </rPr>
      <t xml:space="preserve">大集中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接口设计工作包：接口设计说明、字段映射、异常与安全方案通过评审；</t>
    </r>
    <r>
      <rPr>
        <sz val="11"/>
        <color theme="1"/>
        <rFont val="Calibri"/>
        <family val="0"/>
        <charset val="134"/>
      </rPr>
      <t xml:space="preserve">T101 </t>
    </r>
    <r>
      <rPr>
        <sz val="11"/>
        <color theme="1"/>
        <rFont val="微软雅黑"/>
        <family val="0"/>
        <charset val="1"/>
      </rPr>
      <t xml:space="preserve">昆仑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接口设计工作包：接口设计说明、字段映射、异常与安全方案通过评审；</t>
    </r>
    <r>
      <rPr>
        <sz val="11"/>
        <color theme="1"/>
        <rFont val="Calibri"/>
        <family val="0"/>
        <charset val="134"/>
      </rPr>
      <t xml:space="preserve">T106 </t>
    </r>
    <r>
      <rPr>
        <sz val="11"/>
        <color theme="1"/>
        <rFont val="微软雅黑"/>
        <family val="0"/>
        <charset val="1"/>
      </rPr>
      <t xml:space="preserve">云梦泽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接口设计工作包：接口设计说明、字段映射、异常与安全方案通过评审；</t>
    </r>
    <r>
      <rPr>
        <sz val="11"/>
        <color theme="1"/>
        <rFont val="Calibri"/>
        <family val="0"/>
        <charset val="134"/>
      </rPr>
      <t xml:space="preserve">T111 </t>
    </r>
    <r>
      <rPr>
        <sz val="11"/>
        <color theme="1"/>
        <rFont val="微软雅黑"/>
        <family val="0"/>
        <charset val="1"/>
      </rPr>
      <t xml:space="preserve">财务共享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接口设计工作包：接口设计说明、字段映射、异常与安全方案通过评审；</t>
    </r>
    <r>
      <rPr>
        <sz val="11"/>
        <color theme="1"/>
        <rFont val="Calibri"/>
        <family val="0"/>
        <charset val="134"/>
      </rPr>
      <t xml:space="preserve">T116 </t>
    </r>
    <r>
      <rPr>
        <sz val="11"/>
        <color theme="1"/>
        <rFont val="微软雅黑"/>
        <family val="0"/>
        <charset val="1"/>
      </rPr>
      <t xml:space="preserve">档案系统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接口设计工作包：接口设计说明、字段映射、异常与安全方案通过评审；</t>
    </r>
    <r>
      <rPr>
        <sz val="11"/>
        <color theme="1"/>
        <rFont val="Calibri"/>
        <family val="0"/>
        <charset val="134"/>
      </rPr>
      <t xml:space="preserve">T126 </t>
    </r>
    <r>
      <rPr>
        <sz val="11"/>
        <color theme="1"/>
        <rFont val="微软雅黑"/>
        <family val="0"/>
        <charset val="1"/>
      </rPr>
      <t xml:space="preserve">工程建设</t>
    </r>
    <r>
      <rPr>
        <sz val="11"/>
        <color theme="1"/>
        <rFont val="Calibri"/>
        <family val="0"/>
        <charset val="134"/>
      </rPr>
      <t xml:space="preserve">EPMP0</t>
    </r>
    <r>
      <rPr>
        <sz val="11"/>
        <color theme="1"/>
        <rFont val="微软雅黑"/>
        <family val="0"/>
        <charset val="1"/>
      </rPr>
      <t xml:space="preserve">接口设计工作包：接口设计说明、字段映射、异常与安全方案通过评审；</t>
    </r>
    <r>
      <rPr>
        <sz val="11"/>
        <color theme="1"/>
        <rFont val="Calibri"/>
        <family val="0"/>
        <charset val="134"/>
      </rPr>
      <t xml:space="preserve">T131 MDGP0</t>
    </r>
    <r>
      <rPr>
        <sz val="11"/>
        <color theme="1"/>
        <rFont val="微软雅黑"/>
        <family val="0"/>
        <charset val="1"/>
      </rPr>
      <t xml:space="preserve">接口设计工作包：接口设计说明、字段映射、异常与安全方案通过评审</t>
    </r>
  </si>
  <si>
    <t xml:space="preserve">本周40小时按7项任务平均，每项5.7小时</t>
  </si>
  <si>
    <r>
      <rPr>
        <sz val="11"/>
        <color theme="1"/>
        <rFont val="Calibri"/>
        <family val="0"/>
        <charset val="134"/>
      </rPr>
      <t xml:space="preserve">T046 </t>
    </r>
    <r>
      <rPr>
        <sz val="11"/>
        <color theme="1"/>
        <rFont val="微软雅黑"/>
        <family val="0"/>
        <charset val="1"/>
      </rPr>
      <t xml:space="preserve">明确性能、安全、可用性和合规要求；</t>
    </r>
    <r>
      <rPr>
        <sz val="11"/>
        <color theme="1"/>
        <rFont val="Calibri"/>
        <family val="0"/>
        <charset val="134"/>
      </rPr>
      <t xml:space="preserve">T096 </t>
    </r>
    <r>
      <rPr>
        <sz val="11"/>
        <color theme="1"/>
        <rFont val="微软雅黑"/>
        <family val="0"/>
        <charset val="1"/>
      </rPr>
      <t xml:space="preserve">大集中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接口设计工作包：接口设计说明、字段映射、异常与安全方案通过评审；</t>
    </r>
    <r>
      <rPr>
        <sz val="11"/>
        <color theme="1"/>
        <rFont val="Calibri"/>
        <family val="0"/>
        <charset val="134"/>
      </rPr>
      <t xml:space="preserve">T101 </t>
    </r>
    <r>
      <rPr>
        <sz val="11"/>
        <color theme="1"/>
        <rFont val="微软雅黑"/>
        <family val="0"/>
        <charset val="1"/>
      </rPr>
      <t xml:space="preserve">昆仑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接口设计工作包：接口设计说明、字段映射、异常与安全方案通过评审；</t>
    </r>
    <r>
      <rPr>
        <sz val="11"/>
        <color theme="1"/>
        <rFont val="Calibri"/>
        <family val="0"/>
        <charset val="134"/>
      </rPr>
      <t xml:space="preserve">T106 </t>
    </r>
    <r>
      <rPr>
        <sz val="11"/>
        <color theme="1"/>
        <rFont val="微软雅黑"/>
        <family val="0"/>
        <charset val="1"/>
      </rPr>
      <t xml:space="preserve">云梦泽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接口设计工作包：接口设计说明、字段映射、异常与安全方案通过评审；</t>
    </r>
    <r>
      <rPr>
        <sz val="11"/>
        <color theme="1"/>
        <rFont val="Calibri"/>
        <family val="0"/>
        <charset val="134"/>
      </rPr>
      <t xml:space="preserve">T111 </t>
    </r>
    <r>
      <rPr>
        <sz val="11"/>
        <color theme="1"/>
        <rFont val="微软雅黑"/>
        <family val="0"/>
        <charset val="1"/>
      </rPr>
      <t xml:space="preserve">财务共享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接口设计工作包：接口设计说明、字段映射、异常与安全方案通过评审；</t>
    </r>
    <r>
      <rPr>
        <sz val="11"/>
        <color theme="1"/>
        <rFont val="Calibri"/>
        <family val="0"/>
        <charset val="134"/>
      </rPr>
      <t xml:space="preserve">T116 </t>
    </r>
    <r>
      <rPr>
        <sz val="11"/>
        <color theme="1"/>
        <rFont val="微软雅黑"/>
        <family val="0"/>
        <charset val="1"/>
      </rPr>
      <t xml:space="preserve">档案系统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接口设计工作包：接口设计说明、字段映射、异常与安全方案通过评审；</t>
    </r>
    <r>
      <rPr>
        <sz val="11"/>
        <color theme="1"/>
        <rFont val="Calibri"/>
        <family val="0"/>
        <charset val="134"/>
      </rPr>
      <t xml:space="preserve">T126 </t>
    </r>
    <r>
      <rPr>
        <sz val="11"/>
        <color theme="1"/>
        <rFont val="微软雅黑"/>
        <family val="0"/>
        <charset val="1"/>
      </rPr>
      <t xml:space="preserve">工程建设</t>
    </r>
    <r>
      <rPr>
        <sz val="11"/>
        <color theme="1"/>
        <rFont val="Calibri"/>
        <family val="0"/>
        <charset val="134"/>
      </rPr>
      <t xml:space="preserve">EPMP0</t>
    </r>
    <r>
      <rPr>
        <sz val="11"/>
        <color theme="1"/>
        <rFont val="微软雅黑"/>
        <family val="0"/>
        <charset val="1"/>
      </rPr>
      <t xml:space="preserve">接口设计工作包：接口设计说明、字段映射、异常与安全方案通过评审；</t>
    </r>
    <r>
      <rPr>
        <sz val="11"/>
        <color theme="1"/>
        <rFont val="Calibri"/>
        <family val="0"/>
        <charset val="134"/>
      </rPr>
      <t xml:space="preserve">T131 MDGP0</t>
    </r>
    <r>
      <rPr>
        <sz val="11"/>
        <color theme="1"/>
        <rFont val="微软雅黑"/>
        <family val="0"/>
        <charset val="1"/>
      </rPr>
      <t xml:space="preserve">接口设计工作包：接口设计说明、字段映射、异常与安全方案通过评审</t>
    </r>
  </si>
  <si>
    <t xml:space="preserve">本周40小时按8项任务平均，每项5.0小时</t>
  </si>
  <si>
    <r>
      <rPr>
        <sz val="11"/>
        <color theme="1"/>
        <rFont val="Calibri"/>
        <family val="0"/>
        <charset val="134"/>
      </rPr>
      <t xml:space="preserve">T096 </t>
    </r>
    <r>
      <rPr>
        <sz val="11"/>
        <color theme="1"/>
        <rFont val="微软雅黑"/>
        <family val="0"/>
        <charset val="1"/>
      </rPr>
      <t xml:space="preserve">大集中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接口设计工作包：接口设计说明、字段映射、异常与安全方案通过评审；</t>
    </r>
    <r>
      <rPr>
        <sz val="11"/>
        <color theme="1"/>
        <rFont val="Calibri"/>
        <family val="0"/>
        <charset val="134"/>
      </rPr>
      <t xml:space="preserve">T101 </t>
    </r>
    <r>
      <rPr>
        <sz val="11"/>
        <color theme="1"/>
        <rFont val="微软雅黑"/>
        <family val="0"/>
        <charset val="1"/>
      </rPr>
      <t xml:space="preserve">昆仑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接口设计工作包：接口设计说明、字段映射、异常与安全方案通过评审；</t>
    </r>
    <r>
      <rPr>
        <sz val="11"/>
        <color theme="1"/>
        <rFont val="Calibri"/>
        <family val="0"/>
        <charset val="134"/>
      </rPr>
      <t xml:space="preserve">T106 </t>
    </r>
    <r>
      <rPr>
        <sz val="11"/>
        <color theme="1"/>
        <rFont val="微软雅黑"/>
        <family val="0"/>
        <charset val="1"/>
      </rPr>
      <t xml:space="preserve">云梦泽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接口设计工作包：接口设计说明、字段映射、异常与安全方案通过评审；</t>
    </r>
    <r>
      <rPr>
        <sz val="11"/>
        <color theme="1"/>
        <rFont val="Calibri"/>
        <family val="0"/>
        <charset val="134"/>
      </rPr>
      <t xml:space="preserve">T111 </t>
    </r>
    <r>
      <rPr>
        <sz val="11"/>
        <color theme="1"/>
        <rFont val="微软雅黑"/>
        <family val="0"/>
        <charset val="1"/>
      </rPr>
      <t xml:space="preserve">财务共享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接口设计工作包：接口设计说明、字段映射、异常与安全方案通过评审；</t>
    </r>
    <r>
      <rPr>
        <sz val="11"/>
        <color theme="1"/>
        <rFont val="Calibri"/>
        <family val="0"/>
        <charset val="134"/>
      </rPr>
      <t xml:space="preserve">T116 </t>
    </r>
    <r>
      <rPr>
        <sz val="11"/>
        <color theme="1"/>
        <rFont val="微软雅黑"/>
        <family val="0"/>
        <charset val="1"/>
      </rPr>
      <t xml:space="preserve">档案系统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接口设计工作包：接口设计说明、字段映射、异常与安全方案通过评审；</t>
    </r>
    <r>
      <rPr>
        <sz val="11"/>
        <color theme="1"/>
        <rFont val="Calibri"/>
        <family val="0"/>
        <charset val="134"/>
      </rPr>
      <t xml:space="preserve">T126 </t>
    </r>
    <r>
      <rPr>
        <sz val="11"/>
        <color theme="1"/>
        <rFont val="微软雅黑"/>
        <family val="0"/>
        <charset val="1"/>
      </rPr>
      <t xml:space="preserve">工程建设</t>
    </r>
    <r>
      <rPr>
        <sz val="11"/>
        <color theme="1"/>
        <rFont val="Calibri"/>
        <family val="0"/>
        <charset val="134"/>
      </rPr>
      <t xml:space="preserve">EPMP0</t>
    </r>
    <r>
      <rPr>
        <sz val="11"/>
        <color theme="1"/>
        <rFont val="微软雅黑"/>
        <family val="0"/>
        <charset val="1"/>
      </rPr>
      <t xml:space="preserve">接口设计工作包：接口设计说明、字段映射、异常与安全方案通过评审</t>
    </r>
  </si>
  <si>
    <t xml:space="preserve">本周40小时按6项任务平均，每项6.7小时</t>
  </si>
  <si>
    <r>
      <rPr>
        <sz val="11"/>
        <color theme="1"/>
        <rFont val="Calibri"/>
        <family val="0"/>
        <charset val="134"/>
      </rPr>
      <t xml:space="preserve">T051 </t>
    </r>
    <r>
      <rPr>
        <sz val="11"/>
        <color theme="1"/>
        <rFont val="微软雅黑"/>
        <family val="0"/>
        <charset val="1"/>
      </rPr>
      <t xml:space="preserve">完成角色权限、数据权限和审计设计；</t>
    </r>
    <r>
      <rPr>
        <sz val="11"/>
        <color theme="1"/>
        <rFont val="Calibri"/>
        <family val="0"/>
        <charset val="134"/>
      </rPr>
      <t xml:space="preserve">T096 </t>
    </r>
    <r>
      <rPr>
        <sz val="11"/>
        <color theme="1"/>
        <rFont val="微软雅黑"/>
        <family val="0"/>
        <charset val="1"/>
      </rPr>
      <t xml:space="preserve">大集中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接口设计工作包：接口设计说明、字段映射、异常与安全方案通过评审；</t>
    </r>
    <r>
      <rPr>
        <sz val="11"/>
        <color theme="1"/>
        <rFont val="Calibri"/>
        <family val="0"/>
        <charset val="134"/>
      </rPr>
      <t xml:space="preserve">T101 </t>
    </r>
    <r>
      <rPr>
        <sz val="11"/>
        <color theme="1"/>
        <rFont val="微软雅黑"/>
        <family val="0"/>
        <charset val="1"/>
      </rPr>
      <t xml:space="preserve">昆仑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接口设计工作包：接口设计说明、字段映射、异常与安全方案通过评审；</t>
    </r>
    <r>
      <rPr>
        <sz val="11"/>
        <color theme="1"/>
        <rFont val="Calibri"/>
        <family val="0"/>
        <charset val="134"/>
      </rPr>
      <t xml:space="preserve">T106 </t>
    </r>
    <r>
      <rPr>
        <sz val="11"/>
        <color theme="1"/>
        <rFont val="微软雅黑"/>
        <family val="0"/>
        <charset val="1"/>
      </rPr>
      <t xml:space="preserve">云梦泽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接口设计工作包：接口设计说明、字段映射、异常与安全方案通过评审；</t>
    </r>
    <r>
      <rPr>
        <sz val="11"/>
        <color theme="1"/>
        <rFont val="Calibri"/>
        <family val="0"/>
        <charset val="134"/>
      </rPr>
      <t xml:space="preserve">T111 </t>
    </r>
    <r>
      <rPr>
        <sz val="11"/>
        <color theme="1"/>
        <rFont val="微软雅黑"/>
        <family val="0"/>
        <charset val="1"/>
      </rPr>
      <t xml:space="preserve">财务共享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接口设计工作包：接口设计说明、字段映射、异常与安全方案通过评审；</t>
    </r>
    <r>
      <rPr>
        <sz val="11"/>
        <color theme="1"/>
        <rFont val="Calibri"/>
        <family val="0"/>
        <charset val="134"/>
      </rPr>
      <t xml:space="preserve">T116 </t>
    </r>
    <r>
      <rPr>
        <sz val="11"/>
        <color theme="1"/>
        <rFont val="微软雅黑"/>
        <family val="0"/>
        <charset val="1"/>
      </rPr>
      <t xml:space="preserve">档案系统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接口设计工作包：接口设计说明、字段映射、异常与安全方案通过评审；</t>
    </r>
    <r>
      <rPr>
        <sz val="11"/>
        <color theme="1"/>
        <rFont val="Calibri"/>
        <family val="0"/>
        <charset val="134"/>
      </rPr>
      <t xml:space="preserve">T126 </t>
    </r>
    <r>
      <rPr>
        <sz val="11"/>
        <color theme="1"/>
        <rFont val="微软雅黑"/>
        <family val="0"/>
        <charset val="1"/>
      </rPr>
      <t xml:space="preserve">工程建设</t>
    </r>
    <r>
      <rPr>
        <sz val="11"/>
        <color theme="1"/>
        <rFont val="Calibri"/>
        <family val="0"/>
        <charset val="134"/>
      </rPr>
      <t xml:space="preserve">EPMP0</t>
    </r>
    <r>
      <rPr>
        <sz val="11"/>
        <color theme="1"/>
        <rFont val="微软雅黑"/>
        <family val="0"/>
        <charset val="1"/>
      </rPr>
      <t xml:space="preserve">接口设计工作包：接口设计说明、字段映射、异常与安全方案通过评审</t>
    </r>
  </si>
  <si>
    <r>
      <rPr>
        <sz val="11"/>
        <color theme="1"/>
        <rFont val="Calibri"/>
        <family val="0"/>
        <charset val="134"/>
      </rPr>
      <t xml:space="preserve">T051 </t>
    </r>
    <r>
      <rPr>
        <sz val="11"/>
        <color theme="1"/>
        <rFont val="微软雅黑"/>
        <family val="0"/>
        <charset val="1"/>
      </rPr>
      <t xml:space="preserve">完成角色权限、数据权限和审计设计；</t>
    </r>
    <r>
      <rPr>
        <sz val="11"/>
        <color theme="1"/>
        <rFont val="Calibri"/>
        <family val="0"/>
        <charset val="134"/>
      </rPr>
      <t xml:space="preserve">T116 </t>
    </r>
    <r>
      <rPr>
        <sz val="11"/>
        <color theme="1"/>
        <rFont val="微软雅黑"/>
        <family val="0"/>
        <charset val="1"/>
      </rPr>
      <t xml:space="preserve">档案系统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接口设计工作包：接口设计说明、字段映射、异常与安全方案通过评审；</t>
    </r>
    <r>
      <rPr>
        <sz val="11"/>
        <color theme="1"/>
        <rFont val="Calibri"/>
        <family val="0"/>
        <charset val="134"/>
      </rPr>
      <t xml:space="preserve">T126 </t>
    </r>
    <r>
      <rPr>
        <sz val="11"/>
        <color theme="1"/>
        <rFont val="微软雅黑"/>
        <family val="0"/>
        <charset val="1"/>
      </rPr>
      <t xml:space="preserve">工程建设</t>
    </r>
    <r>
      <rPr>
        <sz val="11"/>
        <color theme="1"/>
        <rFont val="Calibri"/>
        <family val="0"/>
        <charset val="134"/>
      </rPr>
      <t xml:space="preserve">EPMP0</t>
    </r>
    <r>
      <rPr>
        <sz val="11"/>
        <color theme="1"/>
        <rFont val="微软雅黑"/>
        <family val="0"/>
        <charset val="1"/>
      </rPr>
      <t xml:space="preserve">接口设计工作包：接口设计说明、字段映射、异常与安全方案通过评审</t>
    </r>
  </si>
  <si>
    <t xml:space="preserve">本周40小时按3项任务平均，每项13.3小时</t>
  </si>
  <si>
    <r>
      <rPr>
        <sz val="11"/>
        <color theme="1"/>
        <rFont val="Calibri"/>
        <family val="0"/>
        <charset val="134"/>
      </rPr>
      <t xml:space="preserve">T063 </t>
    </r>
    <r>
      <rPr>
        <sz val="11"/>
        <color theme="1"/>
        <rFont val="微软雅黑"/>
        <family val="0"/>
        <charset val="1"/>
      </rPr>
      <t xml:space="preserve">制定端到端集成场景和测试数据</t>
    </r>
  </si>
  <si>
    <r>
      <rPr>
        <sz val="11"/>
        <color theme="1"/>
        <rFont val="Calibri"/>
        <family val="0"/>
        <charset val="134"/>
      </rPr>
      <t xml:space="preserve">T075 </t>
    </r>
    <r>
      <rPr>
        <sz val="11"/>
        <color theme="1"/>
        <rFont val="微软雅黑"/>
        <family val="0"/>
        <charset val="1"/>
      </rPr>
      <t xml:space="preserve">完成外部系统联合测试并出具报告</t>
    </r>
  </si>
  <si>
    <r>
      <rPr>
        <sz val="11"/>
        <color theme="1"/>
        <rFont val="Calibri"/>
        <family val="0"/>
        <charset val="134"/>
      </rPr>
      <t xml:space="preserve">T094 </t>
    </r>
    <r>
      <rPr>
        <sz val="11"/>
        <color theme="1"/>
        <rFont val="微软雅黑"/>
        <family val="0"/>
        <charset val="1"/>
      </rPr>
      <t xml:space="preserve">启动监控、问题响应和试运行支持</t>
    </r>
  </si>
  <si>
    <r>
      <rPr>
        <sz val="11"/>
        <color theme="1"/>
        <rFont val="Calibri"/>
        <family val="0"/>
        <charset val="134"/>
      </rPr>
      <t xml:space="preserve">T011 </t>
    </r>
    <r>
      <rPr>
        <sz val="11"/>
        <color theme="1"/>
        <rFont val="微软雅黑"/>
        <family val="0"/>
        <charset val="1"/>
      </rPr>
      <t xml:space="preserve">盘点既有系统、接口与数据</t>
    </r>
  </si>
  <si>
    <r>
      <rPr>
        <sz val="11"/>
        <color theme="1"/>
        <rFont val="Calibri"/>
        <family val="0"/>
        <charset val="134"/>
      </rPr>
      <t xml:space="preserve">T019 </t>
    </r>
    <r>
      <rPr>
        <sz val="11"/>
        <color theme="1"/>
        <rFont val="微软雅黑"/>
        <family val="0"/>
        <charset val="1"/>
      </rPr>
      <t xml:space="preserve">完成系统分层、模块与服务边界设计</t>
    </r>
  </si>
  <si>
    <r>
      <rPr>
        <sz val="11"/>
        <color theme="1"/>
        <rFont val="Calibri"/>
        <family val="0"/>
        <charset val="134"/>
      </rPr>
      <t xml:space="preserve">T022 </t>
    </r>
    <r>
      <rPr>
        <sz val="11"/>
        <color theme="1"/>
        <rFont val="微软雅黑"/>
        <family val="0"/>
        <charset val="1"/>
      </rPr>
      <t xml:space="preserve">完成身份、权限、审计与数据安全设计；</t>
    </r>
    <r>
      <rPr>
        <sz val="11"/>
        <color theme="1"/>
        <rFont val="Calibri"/>
        <family val="0"/>
        <charset val="134"/>
      </rPr>
      <t xml:space="preserve">T025 </t>
    </r>
    <r>
      <rPr>
        <sz val="11"/>
        <color theme="1"/>
        <rFont val="微软雅黑"/>
        <family val="0"/>
        <charset val="1"/>
      </rPr>
      <t xml:space="preserve">编制</t>
    </r>
    <r>
      <rPr>
        <sz val="11"/>
        <color theme="1"/>
        <rFont val="Calibri"/>
        <family val="0"/>
        <charset val="134"/>
      </rPr>
      <t xml:space="preserve">CA</t>
    </r>
    <r>
      <rPr>
        <sz val="11"/>
        <color theme="1"/>
        <rFont val="微软雅黑"/>
        <family val="0"/>
        <charset val="1"/>
      </rPr>
      <t xml:space="preserve">、电子文档、</t>
    </r>
    <r>
      <rPr>
        <sz val="11"/>
        <color theme="1"/>
        <rFont val="Calibri"/>
        <family val="0"/>
        <charset val="134"/>
      </rPr>
      <t xml:space="preserve">BI</t>
    </r>
    <r>
      <rPr>
        <sz val="11"/>
        <color theme="1"/>
        <rFont val="微软雅黑"/>
        <family val="0"/>
        <charset val="1"/>
      </rPr>
      <t xml:space="preserve">报表</t>
    </r>
    <r>
      <rPr>
        <sz val="11"/>
        <color theme="1"/>
        <rFont val="Calibri"/>
        <family val="0"/>
        <charset val="134"/>
      </rPr>
      <t xml:space="preserve">POC</t>
    </r>
    <r>
      <rPr>
        <sz val="11"/>
        <color theme="1"/>
        <rFont val="微软雅黑"/>
        <family val="0"/>
        <charset val="1"/>
      </rPr>
      <t xml:space="preserve">方案与评分标准</t>
    </r>
  </si>
  <si>
    <r>
      <rPr>
        <sz val="11"/>
        <color theme="1"/>
        <rFont val="Calibri"/>
        <family val="0"/>
        <charset val="134"/>
      </rPr>
      <t xml:space="preserve">T022 </t>
    </r>
    <r>
      <rPr>
        <sz val="11"/>
        <color theme="1"/>
        <rFont val="微软雅黑"/>
        <family val="0"/>
        <charset val="1"/>
      </rPr>
      <t xml:space="preserve">完成身份、权限、审计与数据安全设计</t>
    </r>
  </si>
  <si>
    <r>
      <rPr>
        <sz val="11"/>
        <color theme="1"/>
        <rFont val="Calibri"/>
        <family val="0"/>
        <charset val="134"/>
      </rPr>
      <t xml:space="preserve">T048 </t>
    </r>
    <r>
      <rPr>
        <sz val="11"/>
        <color theme="1"/>
        <rFont val="微软雅黑"/>
        <family val="0"/>
        <charset val="1"/>
      </rPr>
      <t xml:space="preserve">完成核心模块和服务详细设计；</t>
    </r>
    <r>
      <rPr>
        <sz val="11"/>
        <color theme="1"/>
        <rFont val="Calibri"/>
        <family val="0"/>
        <charset val="134"/>
      </rPr>
      <t xml:space="preserve">T096 </t>
    </r>
    <r>
      <rPr>
        <sz val="11"/>
        <color theme="1"/>
        <rFont val="微软雅黑"/>
        <family val="0"/>
        <charset val="1"/>
      </rPr>
      <t xml:space="preserve">大集中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接口设计工作包：接口设计说明、字段映射、异常与安全方案通过评审；</t>
    </r>
    <r>
      <rPr>
        <sz val="11"/>
        <color theme="1"/>
        <rFont val="Calibri"/>
        <family val="0"/>
        <charset val="134"/>
      </rPr>
      <t xml:space="preserve">T101 </t>
    </r>
    <r>
      <rPr>
        <sz val="11"/>
        <color theme="1"/>
        <rFont val="微软雅黑"/>
        <family val="0"/>
        <charset val="1"/>
      </rPr>
      <t xml:space="preserve">昆仑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接口设计工作包：接口设计说明、字段映射、异常与安全方案通过评审；</t>
    </r>
    <r>
      <rPr>
        <sz val="11"/>
        <color theme="1"/>
        <rFont val="Calibri"/>
        <family val="0"/>
        <charset val="134"/>
      </rPr>
      <t xml:space="preserve">T106 </t>
    </r>
    <r>
      <rPr>
        <sz val="11"/>
        <color theme="1"/>
        <rFont val="微软雅黑"/>
        <family val="0"/>
        <charset val="1"/>
      </rPr>
      <t xml:space="preserve">云梦泽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接口设计工作包：接口设计说明、字段映射、异常与安全方案通过评审；</t>
    </r>
    <r>
      <rPr>
        <sz val="11"/>
        <color theme="1"/>
        <rFont val="Calibri"/>
        <family val="0"/>
        <charset val="134"/>
      </rPr>
      <t xml:space="preserve">T111 </t>
    </r>
    <r>
      <rPr>
        <sz val="11"/>
        <color theme="1"/>
        <rFont val="微软雅黑"/>
        <family val="0"/>
        <charset val="1"/>
      </rPr>
      <t xml:space="preserve">财务共享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接口设计工作包：接口设计说明、字段映射、异常与安全方案通过评审；</t>
    </r>
    <r>
      <rPr>
        <sz val="11"/>
        <color theme="1"/>
        <rFont val="Calibri"/>
        <family val="0"/>
        <charset val="134"/>
      </rPr>
      <t xml:space="preserve">T116 </t>
    </r>
    <r>
      <rPr>
        <sz val="11"/>
        <color theme="1"/>
        <rFont val="微软雅黑"/>
        <family val="0"/>
        <charset val="1"/>
      </rPr>
      <t xml:space="preserve">档案系统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接口设计工作包：接口设计说明、字段映射、异常与安全方案通过评审；</t>
    </r>
    <r>
      <rPr>
        <sz val="11"/>
        <color theme="1"/>
        <rFont val="Calibri"/>
        <family val="0"/>
        <charset val="134"/>
      </rPr>
      <t xml:space="preserve">T121 IAMP0</t>
    </r>
    <r>
      <rPr>
        <sz val="11"/>
        <color theme="1"/>
        <rFont val="微软雅黑"/>
        <family val="0"/>
        <charset val="1"/>
      </rPr>
      <t xml:space="preserve">接口设计工作包：接口设计说明、字段映射、异常与安全方案通过评审；</t>
    </r>
    <r>
      <rPr>
        <sz val="11"/>
        <color theme="1"/>
        <rFont val="Calibri"/>
        <family val="0"/>
        <charset val="134"/>
      </rPr>
      <t xml:space="preserve">T126 </t>
    </r>
    <r>
      <rPr>
        <sz val="11"/>
        <color theme="1"/>
        <rFont val="微软雅黑"/>
        <family val="0"/>
        <charset val="1"/>
      </rPr>
      <t xml:space="preserve">工程建设</t>
    </r>
    <r>
      <rPr>
        <sz val="11"/>
        <color theme="1"/>
        <rFont val="Calibri"/>
        <family val="0"/>
        <charset val="134"/>
      </rPr>
      <t xml:space="preserve">EPMP0</t>
    </r>
    <r>
      <rPr>
        <sz val="11"/>
        <color theme="1"/>
        <rFont val="微软雅黑"/>
        <family val="0"/>
        <charset val="1"/>
      </rPr>
      <t xml:space="preserve">接口设计工作包：接口设计说明、字段映射、异常与安全方案通过评审；</t>
    </r>
    <r>
      <rPr>
        <sz val="11"/>
        <color theme="1"/>
        <rFont val="Calibri"/>
        <family val="0"/>
        <charset val="134"/>
      </rPr>
      <t xml:space="preserve">T131 MDGP0</t>
    </r>
    <r>
      <rPr>
        <sz val="11"/>
        <color theme="1"/>
        <rFont val="微软雅黑"/>
        <family val="0"/>
        <charset val="1"/>
      </rPr>
      <t xml:space="preserve">接口设计工作包：接口设计说明、字段映射、异常与安全方案通过评审</t>
    </r>
  </si>
  <si>
    <t xml:space="preserve">本周40小时按9项任务平均，每项4.4小时</t>
  </si>
  <si>
    <r>
      <rPr>
        <sz val="11"/>
        <color theme="1"/>
        <rFont val="Calibri"/>
        <family val="0"/>
        <charset val="134"/>
      </rPr>
      <t xml:space="preserve">T096 </t>
    </r>
    <r>
      <rPr>
        <sz val="11"/>
        <color theme="1"/>
        <rFont val="微软雅黑"/>
        <family val="0"/>
        <charset val="1"/>
      </rPr>
      <t xml:space="preserve">大集中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接口设计工作包：接口设计说明、字段映射、异常与安全方案通过评审；</t>
    </r>
    <r>
      <rPr>
        <sz val="11"/>
        <color theme="1"/>
        <rFont val="Calibri"/>
        <family val="0"/>
        <charset val="134"/>
      </rPr>
      <t xml:space="preserve">T101 </t>
    </r>
    <r>
      <rPr>
        <sz val="11"/>
        <color theme="1"/>
        <rFont val="微软雅黑"/>
        <family val="0"/>
        <charset val="1"/>
      </rPr>
      <t xml:space="preserve">昆仑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接口设计工作包：接口设计说明、字段映射、异常与安全方案通过评审；</t>
    </r>
    <r>
      <rPr>
        <sz val="11"/>
        <color theme="1"/>
        <rFont val="Calibri"/>
        <family val="0"/>
        <charset val="134"/>
      </rPr>
      <t xml:space="preserve">T106 </t>
    </r>
    <r>
      <rPr>
        <sz val="11"/>
        <color theme="1"/>
        <rFont val="微软雅黑"/>
        <family val="0"/>
        <charset val="1"/>
      </rPr>
      <t xml:space="preserve">云梦泽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接口设计工作包：接口设计说明、字段映射、异常与安全方案通过评审；</t>
    </r>
    <r>
      <rPr>
        <sz val="11"/>
        <color theme="1"/>
        <rFont val="Calibri"/>
        <family val="0"/>
        <charset val="134"/>
      </rPr>
      <t xml:space="preserve">T111 </t>
    </r>
    <r>
      <rPr>
        <sz val="11"/>
        <color theme="1"/>
        <rFont val="微软雅黑"/>
        <family val="0"/>
        <charset val="1"/>
      </rPr>
      <t xml:space="preserve">财务共享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接口设计工作包：接口设计说明、字段映射、异常与安全方案通过评审；</t>
    </r>
    <r>
      <rPr>
        <sz val="11"/>
        <color theme="1"/>
        <rFont val="Calibri"/>
        <family val="0"/>
        <charset val="134"/>
      </rPr>
      <t xml:space="preserve">T116 </t>
    </r>
    <r>
      <rPr>
        <sz val="11"/>
        <color theme="1"/>
        <rFont val="微软雅黑"/>
        <family val="0"/>
        <charset val="1"/>
      </rPr>
      <t xml:space="preserve">档案系统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接口设计工作包：接口设计说明、字段映射、异常与安全方案通过评审；</t>
    </r>
    <r>
      <rPr>
        <sz val="11"/>
        <color theme="1"/>
        <rFont val="Calibri"/>
        <family val="0"/>
        <charset val="134"/>
      </rPr>
      <t xml:space="preserve">T121 IAMP0</t>
    </r>
    <r>
      <rPr>
        <sz val="11"/>
        <color theme="1"/>
        <rFont val="微软雅黑"/>
        <family val="0"/>
        <charset val="1"/>
      </rPr>
      <t xml:space="preserve">接口设计工作包：接口设计说明、字段映射、异常与安全方案通过评审；</t>
    </r>
    <r>
      <rPr>
        <sz val="11"/>
        <color theme="1"/>
        <rFont val="Calibri"/>
        <family val="0"/>
        <charset val="134"/>
      </rPr>
      <t xml:space="preserve">T126 </t>
    </r>
    <r>
      <rPr>
        <sz val="11"/>
        <color theme="1"/>
        <rFont val="微软雅黑"/>
        <family val="0"/>
        <charset val="1"/>
      </rPr>
      <t xml:space="preserve">工程建设</t>
    </r>
    <r>
      <rPr>
        <sz val="11"/>
        <color theme="1"/>
        <rFont val="Calibri"/>
        <family val="0"/>
        <charset val="134"/>
      </rPr>
      <t xml:space="preserve">EPMP0</t>
    </r>
    <r>
      <rPr>
        <sz val="11"/>
        <color theme="1"/>
        <rFont val="微软雅黑"/>
        <family val="0"/>
        <charset val="1"/>
      </rPr>
      <t xml:space="preserve">接口设计工作包：接口设计说明、字段映射、异常与安全方案通过评审；</t>
    </r>
    <r>
      <rPr>
        <sz val="11"/>
        <color theme="1"/>
        <rFont val="Calibri"/>
        <family val="0"/>
        <charset val="134"/>
      </rPr>
      <t xml:space="preserve">T131 MDGP0</t>
    </r>
    <r>
      <rPr>
        <sz val="11"/>
        <color theme="1"/>
        <rFont val="微软雅黑"/>
        <family val="0"/>
        <charset val="1"/>
      </rPr>
      <t xml:space="preserve">接口设计工作包：接口设计说明、字段映射、异常与安全方案通过评审</t>
    </r>
  </si>
  <si>
    <r>
      <rPr>
        <sz val="11"/>
        <color theme="1"/>
        <rFont val="Calibri"/>
        <family val="0"/>
        <charset val="134"/>
      </rPr>
      <t xml:space="preserve">T116 </t>
    </r>
    <r>
      <rPr>
        <sz val="11"/>
        <color theme="1"/>
        <rFont val="微软雅黑"/>
        <family val="0"/>
        <charset val="1"/>
      </rPr>
      <t xml:space="preserve">档案系统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接口设计工作包：接口设计说明、字段映射、异常与安全方案通过评审；</t>
    </r>
    <r>
      <rPr>
        <sz val="11"/>
        <color theme="1"/>
        <rFont val="Calibri"/>
        <family val="0"/>
        <charset val="134"/>
      </rPr>
      <t xml:space="preserve">T126 </t>
    </r>
    <r>
      <rPr>
        <sz val="11"/>
        <color theme="1"/>
        <rFont val="微软雅黑"/>
        <family val="0"/>
        <charset val="1"/>
      </rPr>
      <t xml:space="preserve">工程建设</t>
    </r>
    <r>
      <rPr>
        <sz val="11"/>
        <color theme="1"/>
        <rFont val="Calibri"/>
        <family val="0"/>
        <charset val="134"/>
      </rPr>
      <t xml:space="preserve">EPMP0</t>
    </r>
    <r>
      <rPr>
        <sz val="11"/>
        <color theme="1"/>
        <rFont val="微软雅黑"/>
        <family val="0"/>
        <charset val="1"/>
      </rPr>
      <t xml:space="preserve">接口设计工作包：接口设计说明、字段映射、异常与安全方案通过评审</t>
    </r>
  </si>
  <si>
    <r>
      <rPr>
        <sz val="11"/>
        <color theme="1"/>
        <rFont val="Calibri"/>
        <family val="0"/>
        <charset val="134"/>
      </rPr>
      <t xml:space="preserve">T053 </t>
    </r>
    <r>
      <rPr>
        <sz val="11"/>
        <color theme="1"/>
        <rFont val="微软雅黑"/>
        <family val="0"/>
        <charset val="1"/>
      </rPr>
      <t xml:space="preserve">完成设计走查、问题关闭和版本基线</t>
    </r>
  </si>
  <si>
    <r>
      <rPr>
        <sz val="11"/>
        <color theme="1"/>
        <rFont val="Calibri"/>
        <family val="0"/>
        <charset val="134"/>
      </rPr>
      <t xml:space="preserve">T069 </t>
    </r>
    <r>
      <rPr>
        <sz val="11"/>
        <color theme="1"/>
        <rFont val="微软雅黑"/>
        <family val="0"/>
        <charset val="1"/>
      </rPr>
      <t xml:space="preserve">确认外部系统清单、接口规范和联调计划</t>
    </r>
  </si>
  <si>
    <r>
      <rPr>
        <sz val="11"/>
        <color theme="1"/>
        <rFont val="Calibri"/>
        <family val="0"/>
        <charset val="134"/>
      </rPr>
      <t xml:space="preserve">T088 </t>
    </r>
    <r>
      <rPr>
        <sz val="11"/>
        <color theme="1"/>
        <rFont val="微软雅黑"/>
        <family val="0"/>
        <charset val="1"/>
      </rPr>
      <t xml:space="preserve">核查接口、权限、证书和配置参数</t>
    </r>
  </si>
  <si>
    <r>
      <rPr>
        <sz val="11"/>
        <color theme="1"/>
        <rFont val="Calibri"/>
        <family val="0"/>
        <charset val="134"/>
      </rPr>
      <t xml:space="preserve">T002 </t>
    </r>
    <r>
      <rPr>
        <sz val="11"/>
        <color theme="1"/>
        <rFont val="微软雅黑"/>
        <family val="0"/>
        <charset val="1"/>
      </rPr>
      <t xml:space="preserve">建立相关方清单与访谈计划</t>
    </r>
  </si>
  <si>
    <r>
      <rPr>
        <sz val="11"/>
        <color theme="1"/>
        <rFont val="Calibri"/>
        <family val="0"/>
        <charset val="134"/>
      </rPr>
      <t xml:space="preserve">T009 </t>
    </r>
    <r>
      <rPr>
        <sz val="11"/>
        <color theme="1"/>
        <rFont val="微软雅黑"/>
        <family val="0"/>
        <charset val="1"/>
      </rPr>
      <t xml:space="preserve">梳理合同业务组织与职责</t>
    </r>
  </si>
  <si>
    <r>
      <rPr>
        <sz val="11"/>
        <color theme="1"/>
        <rFont val="Calibri"/>
        <family val="0"/>
        <charset val="134"/>
      </rPr>
      <t xml:space="preserve">T012 </t>
    </r>
    <r>
      <rPr>
        <sz val="11"/>
        <color theme="1"/>
        <rFont val="微软雅黑"/>
        <family val="0"/>
        <charset val="1"/>
      </rPr>
      <t xml:space="preserve">访谈业务部门并形成痛点清单</t>
    </r>
  </si>
  <si>
    <r>
      <rPr>
        <sz val="11"/>
        <color theme="1"/>
        <rFont val="Calibri"/>
        <family val="0"/>
        <charset val="134"/>
      </rPr>
      <t xml:space="preserve">T042 </t>
    </r>
    <r>
      <rPr>
        <sz val="11"/>
        <color theme="1"/>
        <rFont val="微软雅黑"/>
        <family val="0"/>
        <charset val="1"/>
      </rPr>
      <t xml:space="preserve">开展业务场景与用户需求工作坊</t>
    </r>
  </si>
  <si>
    <r>
      <rPr>
        <sz val="11"/>
        <color theme="1"/>
        <rFont val="Calibri"/>
        <family val="0"/>
        <charset val="134"/>
      </rPr>
      <t xml:space="preserve">T044 </t>
    </r>
    <r>
      <rPr>
        <sz val="11"/>
        <color theme="1"/>
        <rFont val="微软雅黑"/>
        <family val="0"/>
        <charset val="1"/>
      </rPr>
      <t xml:space="preserve">设计目标流程、用例和业务规则</t>
    </r>
  </si>
  <si>
    <r>
      <rPr>
        <sz val="11"/>
        <color theme="1"/>
        <rFont val="Calibri"/>
        <family val="0"/>
        <charset val="134"/>
      </rPr>
      <t xml:space="preserve">T083 </t>
    </r>
    <r>
      <rPr>
        <sz val="11"/>
        <color theme="1"/>
        <rFont val="微软雅黑"/>
        <family val="0"/>
        <charset val="1"/>
      </rPr>
      <t xml:space="preserve">组织业务用户执行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场景验收</t>
    </r>
  </si>
  <si>
    <r>
      <rPr>
        <sz val="11"/>
        <color theme="1"/>
        <rFont val="Calibri"/>
        <family val="0"/>
        <charset val="134"/>
      </rPr>
      <t xml:space="preserve">T004 </t>
    </r>
    <r>
      <rPr>
        <sz val="11"/>
        <color theme="1"/>
        <rFont val="微软雅黑"/>
        <family val="0"/>
        <charset val="1"/>
      </rPr>
      <t xml:space="preserve">完成业务可行性与需求价值分析</t>
    </r>
  </si>
  <si>
    <r>
      <rPr>
        <sz val="11"/>
        <color theme="1"/>
        <rFont val="Calibri"/>
        <family val="0"/>
        <charset val="134"/>
      </rPr>
      <t xml:space="preserve">T004 </t>
    </r>
    <r>
      <rPr>
        <sz val="11"/>
        <color theme="1"/>
        <rFont val="微软雅黑"/>
        <family val="0"/>
        <charset val="1"/>
      </rPr>
      <t xml:space="preserve">完成业务可行性与需求价值分析；</t>
    </r>
    <r>
      <rPr>
        <sz val="11"/>
        <color theme="1"/>
        <rFont val="Calibri"/>
        <family val="0"/>
        <charset val="134"/>
      </rPr>
      <t xml:space="preserve">T010 </t>
    </r>
    <r>
      <rPr>
        <sz val="11"/>
        <color theme="1"/>
        <rFont val="微软雅黑"/>
        <family val="0"/>
        <charset val="1"/>
      </rPr>
      <t xml:space="preserve">盘点合同全生命周期业务流程</t>
    </r>
  </si>
  <si>
    <r>
      <rPr>
        <sz val="11"/>
        <color theme="1"/>
        <rFont val="Calibri"/>
        <family val="0"/>
        <charset val="134"/>
      </rPr>
      <t xml:space="preserve">T010 </t>
    </r>
    <r>
      <rPr>
        <sz val="11"/>
        <color theme="1"/>
        <rFont val="微软雅黑"/>
        <family val="0"/>
        <charset val="1"/>
      </rPr>
      <t xml:space="preserve">盘点合同全生命周期业务流程</t>
    </r>
  </si>
  <si>
    <r>
      <rPr>
        <sz val="11"/>
        <color theme="1"/>
        <rFont val="Calibri"/>
        <family val="0"/>
        <charset val="134"/>
      </rPr>
      <t xml:space="preserve">T015 </t>
    </r>
    <r>
      <rPr>
        <sz val="11"/>
        <color theme="1"/>
        <rFont val="微软雅黑"/>
        <family val="0"/>
        <charset val="1"/>
      </rPr>
      <t xml:space="preserve">制定需求分级、跟踪与变更规范</t>
    </r>
  </si>
  <si>
    <r>
      <rPr>
        <sz val="11"/>
        <color theme="1"/>
        <rFont val="Calibri"/>
        <family val="0"/>
        <charset val="134"/>
      </rPr>
      <t xml:space="preserve">T043 </t>
    </r>
    <r>
      <rPr>
        <sz val="11"/>
        <color theme="1"/>
        <rFont val="微软雅黑"/>
        <family val="0"/>
        <charset val="1"/>
      </rPr>
      <t xml:space="preserve">形成需求清单并完成</t>
    </r>
    <r>
      <rPr>
        <sz val="11"/>
        <color theme="1"/>
        <rFont val="Calibri"/>
        <family val="0"/>
        <charset val="134"/>
      </rPr>
      <t xml:space="preserve">P0/P1/P2</t>
    </r>
    <r>
      <rPr>
        <sz val="11"/>
        <color theme="1"/>
        <rFont val="微软雅黑"/>
        <family val="0"/>
        <charset val="1"/>
      </rPr>
      <t xml:space="preserve">分级</t>
    </r>
  </si>
  <si>
    <r>
      <rPr>
        <sz val="11"/>
        <color theme="1"/>
        <rFont val="Calibri"/>
        <family val="0"/>
        <charset val="134"/>
      </rPr>
      <t xml:space="preserve">T082 </t>
    </r>
    <r>
      <rPr>
        <sz val="11"/>
        <color theme="1"/>
        <rFont val="微软雅黑"/>
        <family val="0"/>
        <charset val="1"/>
      </rPr>
      <t xml:space="preserve">确认</t>
    </r>
    <r>
      <rPr>
        <sz val="11"/>
        <color theme="1"/>
        <rFont val="Calibri"/>
        <family val="0"/>
        <charset val="134"/>
      </rPr>
      <t xml:space="preserve">UAT</t>
    </r>
    <r>
      <rPr>
        <sz val="11"/>
        <color theme="1"/>
        <rFont val="微软雅黑"/>
        <family val="0"/>
        <charset val="1"/>
      </rPr>
      <t xml:space="preserve">场景、用户、数据和验收安排</t>
    </r>
  </si>
  <si>
    <r>
      <rPr>
        <sz val="11"/>
        <color theme="1"/>
        <rFont val="Calibri"/>
        <family val="0"/>
        <charset val="134"/>
      </rPr>
      <t xml:space="preserve">T090 </t>
    </r>
    <r>
      <rPr>
        <sz val="11"/>
        <color theme="1"/>
        <rFont val="微软雅黑"/>
        <family val="0"/>
        <charset val="1"/>
      </rPr>
      <t xml:space="preserve">完成用户培训、手册和运维交接</t>
    </r>
  </si>
  <si>
    <r>
      <rPr>
        <sz val="11"/>
        <color theme="1"/>
        <rFont val="Calibri"/>
        <family val="0"/>
        <charset val="134"/>
      </rPr>
      <t xml:space="preserve">T045 </t>
    </r>
    <r>
      <rPr>
        <sz val="11"/>
        <color theme="1"/>
        <rFont val="微软雅黑"/>
        <family val="0"/>
        <charset val="1"/>
      </rPr>
      <t xml:space="preserve">完成核心功能原型和交互确认</t>
    </r>
  </si>
  <si>
    <r>
      <rPr>
        <sz val="11"/>
        <color theme="1"/>
        <rFont val="Calibri"/>
        <family val="0"/>
        <charset val="134"/>
      </rPr>
      <t xml:space="preserve">T052 </t>
    </r>
    <r>
      <rPr>
        <sz val="11"/>
        <color theme="1"/>
        <rFont val="微软雅黑"/>
        <family val="0"/>
        <charset val="1"/>
      </rPr>
      <t xml:space="preserve">完成核心页面视觉与交互设计</t>
    </r>
  </si>
  <si>
    <r>
      <rPr>
        <sz val="11"/>
        <color theme="1"/>
        <rFont val="Calibri"/>
        <family val="0"/>
        <charset val="134"/>
      </rPr>
      <t xml:space="preserve">T021 </t>
    </r>
    <r>
      <rPr>
        <sz val="11"/>
        <color theme="1"/>
        <rFont val="微软雅黑"/>
        <family val="0"/>
        <charset val="1"/>
      </rPr>
      <t xml:space="preserve">完成内部及外部接口总体架构</t>
    </r>
  </si>
  <si>
    <r>
      <rPr>
        <sz val="11"/>
        <color theme="1"/>
        <rFont val="Calibri"/>
        <family val="0"/>
        <charset val="134"/>
      </rPr>
      <t xml:space="preserve">T049 </t>
    </r>
    <r>
      <rPr>
        <sz val="11"/>
        <color theme="1"/>
        <rFont val="微软雅黑"/>
        <family val="0"/>
        <charset val="1"/>
      </rPr>
      <t xml:space="preserve">完成数据模型、字典和数据质量规则</t>
    </r>
  </si>
  <si>
    <r>
      <rPr>
        <sz val="11"/>
        <color theme="1"/>
        <rFont val="Calibri"/>
        <family val="0"/>
        <charset val="134"/>
      </rPr>
      <t xml:space="preserve">T049 </t>
    </r>
    <r>
      <rPr>
        <sz val="11"/>
        <color theme="1"/>
        <rFont val="微软雅黑"/>
        <family val="0"/>
        <charset val="1"/>
      </rPr>
      <t xml:space="preserve">完成数据模型、字典和数据质量规则；</t>
    </r>
    <r>
      <rPr>
        <sz val="11"/>
        <color theme="1"/>
        <rFont val="Calibri"/>
        <family val="0"/>
        <charset val="134"/>
      </rPr>
      <t xml:space="preserve">T132 MDGP0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</t>
    </r>
  </si>
  <si>
    <r>
      <rPr>
        <sz val="11"/>
        <color theme="1"/>
        <rFont val="Calibri"/>
        <family val="0"/>
        <charset val="134"/>
      </rPr>
      <t xml:space="preserve">T132 MDGP0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</t>
    </r>
  </si>
  <si>
    <r>
      <rPr>
        <sz val="11"/>
        <color theme="1"/>
        <rFont val="Calibri"/>
        <family val="0"/>
        <charset val="134"/>
      </rPr>
      <t xml:space="preserve">T097 </t>
    </r>
    <r>
      <rPr>
        <sz val="11"/>
        <color theme="1"/>
        <rFont val="微软雅黑"/>
        <family val="0"/>
        <charset val="1"/>
      </rPr>
      <t xml:space="preserve">大集中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T102 </t>
    </r>
    <r>
      <rPr>
        <sz val="11"/>
        <color theme="1"/>
        <rFont val="微软雅黑"/>
        <family val="0"/>
        <charset val="1"/>
      </rPr>
      <t xml:space="preserve">昆仑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T132 MDGP0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</t>
    </r>
  </si>
  <si>
    <r>
      <rPr>
        <sz val="11"/>
        <color theme="1"/>
        <rFont val="Calibri"/>
        <family val="0"/>
        <charset val="134"/>
      </rPr>
      <t xml:space="preserve">T097 </t>
    </r>
    <r>
      <rPr>
        <sz val="11"/>
        <color theme="1"/>
        <rFont val="微软雅黑"/>
        <family val="0"/>
        <charset val="1"/>
      </rPr>
      <t xml:space="preserve">大集中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T102 </t>
    </r>
    <r>
      <rPr>
        <sz val="11"/>
        <color theme="1"/>
        <rFont val="微软雅黑"/>
        <family val="0"/>
        <charset val="1"/>
      </rPr>
      <t xml:space="preserve">昆仑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T117 </t>
    </r>
    <r>
      <rPr>
        <sz val="11"/>
        <color theme="1"/>
        <rFont val="微软雅黑"/>
        <family val="0"/>
        <charset val="1"/>
      </rPr>
      <t xml:space="preserve">档案系统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T132 MDGP0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</t>
    </r>
  </si>
  <si>
    <t xml:space="preserve">本周40小时按4项任务平均，每项10.0小时</t>
  </si>
  <si>
    <r>
      <rPr>
        <sz val="11"/>
        <color theme="1"/>
        <rFont val="Calibri"/>
        <family val="0"/>
        <charset val="134"/>
      </rPr>
      <t xml:space="preserve">T057 </t>
    </r>
    <r>
      <rPr>
        <sz val="11"/>
        <color theme="1"/>
        <rFont val="微软雅黑"/>
        <family val="0"/>
        <charset val="1"/>
      </rPr>
      <t xml:space="preserve">开发合同审查、审批和用印流程；</t>
    </r>
    <r>
      <rPr>
        <sz val="11"/>
        <color theme="1"/>
        <rFont val="Calibri"/>
        <family val="0"/>
        <charset val="134"/>
      </rPr>
      <t xml:space="preserve">T097 </t>
    </r>
    <r>
      <rPr>
        <sz val="11"/>
        <color theme="1"/>
        <rFont val="微软雅黑"/>
        <family val="0"/>
        <charset val="1"/>
      </rPr>
      <t xml:space="preserve">大集中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T102 </t>
    </r>
    <r>
      <rPr>
        <sz val="11"/>
        <color theme="1"/>
        <rFont val="微软雅黑"/>
        <family val="0"/>
        <charset val="1"/>
      </rPr>
      <t xml:space="preserve">昆仑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T117 </t>
    </r>
    <r>
      <rPr>
        <sz val="11"/>
        <color theme="1"/>
        <rFont val="微软雅黑"/>
        <family val="0"/>
        <charset val="1"/>
      </rPr>
      <t xml:space="preserve">档案系统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T132 MDGP0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</t>
    </r>
  </si>
  <si>
    <t xml:space="preserve">本周40小时按5项任务平均，每项8.0小时</t>
  </si>
  <si>
    <r>
      <rPr>
        <sz val="11"/>
        <color theme="1"/>
        <rFont val="Calibri"/>
        <family val="0"/>
        <charset val="134"/>
      </rPr>
      <t xml:space="preserve">T065 </t>
    </r>
    <r>
      <rPr>
        <sz val="11"/>
        <color theme="1"/>
        <rFont val="微软雅黑"/>
        <family val="0"/>
        <charset val="1"/>
      </rPr>
      <t xml:space="preserve">贯通履约、收付款、变更和归档流程；</t>
    </r>
    <r>
      <rPr>
        <sz val="11"/>
        <color theme="1"/>
        <rFont val="Calibri"/>
        <family val="0"/>
        <charset val="134"/>
      </rPr>
      <t xml:space="preserve">T097 </t>
    </r>
    <r>
      <rPr>
        <sz val="11"/>
        <color theme="1"/>
        <rFont val="微软雅黑"/>
        <family val="0"/>
        <charset val="1"/>
      </rPr>
      <t xml:space="preserve">大集中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T102 </t>
    </r>
    <r>
      <rPr>
        <sz val="11"/>
        <color theme="1"/>
        <rFont val="微软雅黑"/>
        <family val="0"/>
        <charset val="1"/>
      </rPr>
      <t xml:space="preserve">昆仑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T117 </t>
    </r>
    <r>
      <rPr>
        <sz val="11"/>
        <color theme="1"/>
        <rFont val="微软雅黑"/>
        <family val="0"/>
        <charset val="1"/>
      </rPr>
      <t xml:space="preserve">档案系统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T132 MDGP0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</t>
    </r>
  </si>
  <si>
    <r>
      <rPr>
        <sz val="11"/>
        <color theme="1"/>
        <rFont val="Calibri"/>
        <family val="0"/>
        <charset val="134"/>
      </rPr>
      <t xml:space="preserve">T065 </t>
    </r>
    <r>
      <rPr>
        <sz val="11"/>
        <color theme="1"/>
        <rFont val="微软雅黑"/>
        <family val="0"/>
        <charset val="1"/>
      </rPr>
      <t xml:space="preserve">贯通履约、收付款、变更和归档流程；</t>
    </r>
    <r>
      <rPr>
        <sz val="11"/>
        <color theme="1"/>
        <rFont val="Calibri"/>
        <family val="0"/>
        <charset val="134"/>
      </rPr>
      <t xml:space="preserve">T098 </t>
    </r>
    <r>
      <rPr>
        <sz val="11"/>
        <color theme="1"/>
        <rFont val="微软雅黑"/>
        <family val="0"/>
        <charset val="1"/>
      </rPr>
      <t xml:space="preserve">大集中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接口联调工作包：双向联调通过，异常、重试与补偿验证完成；</t>
    </r>
    <r>
      <rPr>
        <sz val="11"/>
        <color theme="1"/>
        <rFont val="Calibri"/>
        <family val="0"/>
        <charset val="134"/>
      </rPr>
      <t xml:space="preserve">T103 </t>
    </r>
    <r>
      <rPr>
        <sz val="11"/>
        <color theme="1"/>
        <rFont val="微软雅黑"/>
        <family val="0"/>
        <charset val="1"/>
      </rPr>
      <t xml:space="preserve">昆仑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接口联调工作包：双向联调通过，异常、重试与补偿验证完成；</t>
    </r>
    <r>
      <rPr>
        <sz val="11"/>
        <color theme="1"/>
        <rFont val="Calibri"/>
        <family val="0"/>
        <charset val="134"/>
      </rPr>
      <t xml:space="preserve">T108 </t>
    </r>
    <r>
      <rPr>
        <sz val="11"/>
        <color theme="1"/>
        <rFont val="微软雅黑"/>
        <family val="0"/>
        <charset val="1"/>
      </rPr>
      <t xml:space="preserve">云梦泽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接口联调工作包：双向联调通过，异常、重试与补偿验证完成；</t>
    </r>
    <r>
      <rPr>
        <sz val="11"/>
        <color theme="1"/>
        <rFont val="Calibri"/>
        <family val="0"/>
        <charset val="134"/>
      </rPr>
      <t xml:space="preserve">T113 </t>
    </r>
    <r>
      <rPr>
        <sz val="11"/>
        <color theme="1"/>
        <rFont val="微软雅黑"/>
        <family val="0"/>
        <charset val="1"/>
      </rPr>
      <t xml:space="preserve">财务共享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接口联调工作包：双向联调通过，异常、重试与补偿验证完成；</t>
    </r>
    <r>
      <rPr>
        <sz val="11"/>
        <color theme="1"/>
        <rFont val="Calibri"/>
        <family val="0"/>
        <charset val="134"/>
      </rPr>
      <t xml:space="preserve">T118 </t>
    </r>
    <r>
      <rPr>
        <sz val="11"/>
        <color theme="1"/>
        <rFont val="微软雅黑"/>
        <family val="0"/>
        <charset val="1"/>
      </rPr>
      <t xml:space="preserve">档案系统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接口联调工作包：双向联调通过，异常、重试与补偿验证完成；</t>
    </r>
    <r>
      <rPr>
        <sz val="11"/>
        <color theme="1"/>
        <rFont val="Calibri"/>
        <family val="0"/>
        <charset val="134"/>
      </rPr>
      <t xml:space="preserve">T123 IAMP0</t>
    </r>
    <r>
      <rPr>
        <sz val="11"/>
        <color theme="1"/>
        <rFont val="微软雅黑"/>
        <family val="0"/>
        <charset val="1"/>
      </rPr>
      <t xml:space="preserve">接口联调工作包：双向联调通过，异常、重试与补偿验证完成；</t>
    </r>
    <r>
      <rPr>
        <sz val="11"/>
        <color theme="1"/>
        <rFont val="Calibri"/>
        <family val="0"/>
        <charset val="134"/>
      </rPr>
      <t xml:space="preserve">T133 MDGP0</t>
    </r>
    <r>
      <rPr>
        <sz val="11"/>
        <color theme="1"/>
        <rFont val="微软雅黑"/>
        <family val="0"/>
        <charset val="1"/>
      </rPr>
      <t xml:space="preserve">接口联调工作包：双向联调通过，异常、重试与补偿验证完成</t>
    </r>
  </si>
  <si>
    <r>
      <rPr>
        <sz val="11"/>
        <color theme="1"/>
        <rFont val="Calibri"/>
        <family val="0"/>
        <charset val="134"/>
      </rPr>
      <t xml:space="preserve">T071 </t>
    </r>
    <r>
      <rPr>
        <sz val="11"/>
        <color theme="1"/>
        <rFont val="微软雅黑"/>
        <family val="0"/>
        <charset val="1"/>
      </rPr>
      <t xml:space="preserve">完成财务、开票和收付款接口联调；</t>
    </r>
    <r>
      <rPr>
        <sz val="11"/>
        <color theme="1"/>
        <rFont val="Calibri"/>
        <family val="0"/>
        <charset val="134"/>
      </rPr>
      <t xml:space="preserve">T098 </t>
    </r>
    <r>
      <rPr>
        <sz val="11"/>
        <color theme="1"/>
        <rFont val="微软雅黑"/>
        <family val="0"/>
        <charset val="1"/>
      </rPr>
      <t xml:space="preserve">大集中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接口联调工作包：双向联调通过，异常、重试与补偿验证完成；</t>
    </r>
    <r>
      <rPr>
        <sz val="11"/>
        <color theme="1"/>
        <rFont val="Calibri"/>
        <family val="0"/>
        <charset val="134"/>
      </rPr>
      <t xml:space="preserve">T103 </t>
    </r>
    <r>
      <rPr>
        <sz val="11"/>
        <color theme="1"/>
        <rFont val="微软雅黑"/>
        <family val="0"/>
        <charset val="1"/>
      </rPr>
      <t xml:space="preserve">昆仑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接口联调工作包：双向联调通过，异常、重试与补偿验证完成；</t>
    </r>
    <r>
      <rPr>
        <sz val="11"/>
        <color theme="1"/>
        <rFont val="Calibri"/>
        <family val="0"/>
        <charset val="134"/>
      </rPr>
      <t xml:space="preserve">T108 </t>
    </r>
    <r>
      <rPr>
        <sz val="11"/>
        <color theme="1"/>
        <rFont val="微软雅黑"/>
        <family val="0"/>
        <charset val="1"/>
      </rPr>
      <t xml:space="preserve">云梦泽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接口联调工作包：双向联调通过，异常、重试与补偿验证完成；</t>
    </r>
    <r>
      <rPr>
        <sz val="11"/>
        <color theme="1"/>
        <rFont val="Calibri"/>
        <family val="0"/>
        <charset val="134"/>
      </rPr>
      <t xml:space="preserve">T113 </t>
    </r>
    <r>
      <rPr>
        <sz val="11"/>
        <color theme="1"/>
        <rFont val="微软雅黑"/>
        <family val="0"/>
        <charset val="1"/>
      </rPr>
      <t xml:space="preserve">财务共享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接口联调工作包：双向联调通过，异常、重试与补偿验证完成；</t>
    </r>
    <r>
      <rPr>
        <sz val="11"/>
        <color theme="1"/>
        <rFont val="Calibri"/>
        <family val="0"/>
        <charset val="134"/>
      </rPr>
      <t xml:space="preserve">T118 </t>
    </r>
    <r>
      <rPr>
        <sz val="11"/>
        <color theme="1"/>
        <rFont val="微软雅黑"/>
        <family val="0"/>
        <charset val="1"/>
      </rPr>
      <t xml:space="preserve">档案系统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接口联调工作包：双向联调通过，异常、重试与补偿验证完成；</t>
    </r>
    <r>
      <rPr>
        <sz val="11"/>
        <color theme="1"/>
        <rFont val="Calibri"/>
        <family val="0"/>
        <charset val="134"/>
      </rPr>
      <t xml:space="preserve">T123 IAMP0</t>
    </r>
    <r>
      <rPr>
        <sz val="11"/>
        <color theme="1"/>
        <rFont val="微软雅黑"/>
        <family val="0"/>
        <charset val="1"/>
      </rPr>
      <t xml:space="preserve">接口联调工作包：双向联调通过，异常、重试与补偿验证完成；</t>
    </r>
    <r>
      <rPr>
        <sz val="11"/>
        <color theme="1"/>
        <rFont val="Calibri"/>
        <family val="0"/>
        <charset val="134"/>
      </rPr>
      <t xml:space="preserve">T133 MDGP0</t>
    </r>
    <r>
      <rPr>
        <sz val="11"/>
        <color theme="1"/>
        <rFont val="微软雅黑"/>
        <family val="0"/>
        <charset val="1"/>
      </rPr>
      <t xml:space="preserve">接口联调工作包：双向联调通过，异常、重试与补偿验证完成</t>
    </r>
  </si>
  <si>
    <r>
      <rPr>
        <sz val="11"/>
        <color theme="1"/>
        <rFont val="Calibri"/>
        <family val="0"/>
        <charset val="134"/>
      </rPr>
      <t xml:space="preserve">T098 </t>
    </r>
    <r>
      <rPr>
        <sz val="11"/>
        <color theme="1"/>
        <rFont val="微软雅黑"/>
        <family val="0"/>
        <charset val="1"/>
      </rPr>
      <t xml:space="preserve">大集中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接口联调工作包：双向联调通过，异常、重试与补偿验证完成；</t>
    </r>
    <r>
      <rPr>
        <sz val="11"/>
        <color theme="1"/>
        <rFont val="Calibri"/>
        <family val="0"/>
        <charset val="134"/>
      </rPr>
      <t xml:space="preserve">T103 </t>
    </r>
    <r>
      <rPr>
        <sz val="11"/>
        <color theme="1"/>
        <rFont val="微软雅黑"/>
        <family val="0"/>
        <charset val="1"/>
      </rPr>
      <t xml:space="preserve">昆仑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接口联调工作包：双向联调通过，异常、重试与补偿验证完成；</t>
    </r>
    <r>
      <rPr>
        <sz val="11"/>
        <color theme="1"/>
        <rFont val="Calibri"/>
        <family val="0"/>
        <charset val="134"/>
      </rPr>
      <t xml:space="preserve">T108 </t>
    </r>
    <r>
      <rPr>
        <sz val="11"/>
        <color theme="1"/>
        <rFont val="微软雅黑"/>
        <family val="0"/>
        <charset val="1"/>
      </rPr>
      <t xml:space="preserve">云梦泽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接口联调工作包：双向联调通过，异常、重试与补偿验证完成；</t>
    </r>
    <r>
      <rPr>
        <sz val="11"/>
        <color theme="1"/>
        <rFont val="Calibri"/>
        <family val="0"/>
        <charset val="134"/>
      </rPr>
      <t xml:space="preserve">T113 </t>
    </r>
    <r>
      <rPr>
        <sz val="11"/>
        <color theme="1"/>
        <rFont val="微软雅黑"/>
        <family val="0"/>
        <charset val="1"/>
      </rPr>
      <t xml:space="preserve">财务共享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接口联调工作包：双向联调通过，异常、重试与补偿验证完成；</t>
    </r>
    <r>
      <rPr>
        <sz val="11"/>
        <color theme="1"/>
        <rFont val="Calibri"/>
        <family val="0"/>
        <charset val="134"/>
      </rPr>
      <t xml:space="preserve">T118 </t>
    </r>
    <r>
      <rPr>
        <sz val="11"/>
        <color theme="1"/>
        <rFont val="微软雅黑"/>
        <family val="0"/>
        <charset val="1"/>
      </rPr>
      <t xml:space="preserve">档案系统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接口联调工作包：双向联调通过，异常、重试与补偿验证完成；</t>
    </r>
    <r>
      <rPr>
        <sz val="11"/>
        <color theme="1"/>
        <rFont val="Calibri"/>
        <family val="0"/>
        <charset val="134"/>
      </rPr>
      <t xml:space="preserve">T123 IAMP0</t>
    </r>
    <r>
      <rPr>
        <sz val="11"/>
        <color theme="1"/>
        <rFont val="微软雅黑"/>
        <family val="0"/>
        <charset val="1"/>
      </rPr>
      <t xml:space="preserve">接口联调工作包：双向联调通过，异常、重试与补偿验证完成；</t>
    </r>
    <r>
      <rPr>
        <sz val="11"/>
        <color theme="1"/>
        <rFont val="Calibri"/>
        <family val="0"/>
        <charset val="134"/>
      </rPr>
      <t xml:space="preserve">T133 MDGP0</t>
    </r>
    <r>
      <rPr>
        <sz val="11"/>
        <color theme="1"/>
        <rFont val="微软雅黑"/>
        <family val="0"/>
        <charset val="1"/>
      </rPr>
      <t xml:space="preserve">接口联调工作包：双向联调通过，异常、重试与补偿验证完成</t>
    </r>
  </si>
  <si>
    <r>
      <rPr>
        <sz val="11"/>
        <color theme="1"/>
        <rFont val="Calibri"/>
        <family val="0"/>
        <charset val="134"/>
      </rPr>
      <t xml:space="preserve">T084 </t>
    </r>
    <r>
      <rPr>
        <sz val="11"/>
        <color theme="1"/>
        <rFont val="微软雅黑"/>
        <family val="0"/>
        <charset val="1"/>
      </rPr>
      <t xml:space="preserve">修复</t>
    </r>
    <r>
      <rPr>
        <sz val="11"/>
        <color theme="1"/>
        <rFont val="Calibri"/>
        <family val="0"/>
        <charset val="134"/>
      </rPr>
      <t xml:space="preserve">UAT</t>
    </r>
    <r>
      <rPr>
        <sz val="11"/>
        <color theme="1"/>
        <rFont val="微软雅黑"/>
        <family val="0"/>
        <charset val="1"/>
      </rPr>
      <t xml:space="preserve">问题并完成业务回归</t>
    </r>
  </si>
  <si>
    <r>
      <rPr>
        <sz val="11"/>
        <color theme="1"/>
        <rFont val="Calibri"/>
        <family val="0"/>
        <charset val="134"/>
      </rPr>
      <t xml:space="preserve">T026 </t>
    </r>
    <r>
      <rPr>
        <sz val="11"/>
        <color theme="1"/>
        <rFont val="微软雅黑"/>
        <family val="0"/>
        <charset val="1"/>
      </rPr>
      <t xml:space="preserve">验证证书签发、身份认证和证书管理</t>
    </r>
  </si>
  <si>
    <r>
      <rPr>
        <sz val="11"/>
        <color theme="1"/>
        <rFont val="Calibri"/>
        <family val="0"/>
        <charset val="134"/>
      </rPr>
      <t xml:space="preserve">T050 </t>
    </r>
    <r>
      <rPr>
        <sz val="11"/>
        <color theme="1"/>
        <rFont val="微软雅黑"/>
        <family val="0"/>
        <charset val="1"/>
      </rPr>
      <t xml:space="preserve">完成内部与外部接口详细设计；</t>
    </r>
    <r>
      <rPr>
        <sz val="11"/>
        <color theme="1"/>
        <rFont val="Calibri"/>
        <family val="0"/>
        <charset val="134"/>
      </rPr>
      <t xml:space="preserve">T132 MDGP0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</t>
    </r>
  </si>
  <si>
    <r>
      <rPr>
        <sz val="11"/>
        <color theme="1"/>
        <rFont val="Calibri"/>
        <family val="0"/>
        <charset val="134"/>
      </rPr>
      <t xml:space="preserve">T050 </t>
    </r>
    <r>
      <rPr>
        <sz val="11"/>
        <color theme="1"/>
        <rFont val="微软雅黑"/>
        <family val="0"/>
        <charset val="1"/>
      </rPr>
      <t xml:space="preserve">完成内部与外部接口详细设计；</t>
    </r>
    <r>
      <rPr>
        <sz val="11"/>
        <color theme="1"/>
        <rFont val="Calibri"/>
        <family val="0"/>
        <charset val="134"/>
      </rPr>
      <t xml:space="preserve">T097 </t>
    </r>
    <r>
      <rPr>
        <sz val="11"/>
        <color theme="1"/>
        <rFont val="微软雅黑"/>
        <family val="0"/>
        <charset val="1"/>
      </rPr>
      <t xml:space="preserve">大集中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T102 </t>
    </r>
    <r>
      <rPr>
        <sz val="11"/>
        <color theme="1"/>
        <rFont val="微软雅黑"/>
        <family val="0"/>
        <charset val="1"/>
      </rPr>
      <t xml:space="preserve">昆仑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T132 MDGP0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</t>
    </r>
  </si>
  <si>
    <r>
      <rPr>
        <sz val="11"/>
        <color theme="1"/>
        <rFont val="Calibri"/>
        <family val="0"/>
        <charset val="134"/>
      </rPr>
      <t xml:space="preserve">T058 </t>
    </r>
    <r>
      <rPr>
        <sz val="11"/>
        <color theme="1"/>
        <rFont val="微软雅黑"/>
        <family val="0"/>
        <charset val="1"/>
      </rPr>
      <t xml:space="preserve">开发签署状态、签章和合同生效管理；</t>
    </r>
    <r>
      <rPr>
        <sz val="11"/>
        <color theme="1"/>
        <rFont val="Calibri"/>
        <family val="0"/>
        <charset val="134"/>
      </rPr>
      <t xml:space="preserve">T097 </t>
    </r>
    <r>
      <rPr>
        <sz val="11"/>
        <color theme="1"/>
        <rFont val="微软雅黑"/>
        <family val="0"/>
        <charset val="1"/>
      </rPr>
      <t xml:space="preserve">大集中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T102 </t>
    </r>
    <r>
      <rPr>
        <sz val="11"/>
        <color theme="1"/>
        <rFont val="微软雅黑"/>
        <family val="0"/>
        <charset val="1"/>
      </rPr>
      <t xml:space="preserve">昆仑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T117 </t>
    </r>
    <r>
      <rPr>
        <sz val="11"/>
        <color theme="1"/>
        <rFont val="微软雅黑"/>
        <family val="0"/>
        <charset val="1"/>
      </rPr>
      <t xml:space="preserve">档案系统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T132 MDGP0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</t>
    </r>
  </si>
  <si>
    <r>
      <rPr>
        <sz val="11"/>
        <color theme="1"/>
        <rFont val="Calibri"/>
        <family val="0"/>
        <charset val="134"/>
      </rPr>
      <t xml:space="preserve">T098 </t>
    </r>
    <r>
      <rPr>
        <sz val="11"/>
        <color theme="1"/>
        <rFont val="微软雅黑"/>
        <family val="0"/>
        <charset val="1"/>
      </rPr>
      <t xml:space="preserve">大集中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接口联调工作包：双向联调通过，异常、重试与补偿验证完成；</t>
    </r>
    <r>
      <rPr>
        <sz val="11"/>
        <color theme="1"/>
        <rFont val="Calibri"/>
        <family val="0"/>
        <charset val="134"/>
      </rPr>
      <t xml:space="preserve">T103 </t>
    </r>
    <r>
      <rPr>
        <sz val="11"/>
        <color theme="1"/>
        <rFont val="微软雅黑"/>
        <family val="0"/>
        <charset val="1"/>
      </rPr>
      <t xml:space="preserve">昆仑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接口联调工作包：双向联调通过，异常、重试与补偿验证完成；</t>
    </r>
    <r>
      <rPr>
        <sz val="11"/>
        <color theme="1"/>
        <rFont val="Calibri"/>
        <family val="0"/>
        <charset val="134"/>
      </rPr>
      <t xml:space="preserve">T108 </t>
    </r>
    <r>
      <rPr>
        <sz val="11"/>
        <color theme="1"/>
        <rFont val="微软雅黑"/>
        <family val="0"/>
        <charset val="1"/>
      </rPr>
      <t xml:space="preserve">云梦泽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接口联调工作包：双向联调通过，异常、重试与补偿验证完成；</t>
    </r>
    <r>
      <rPr>
        <sz val="11"/>
        <color theme="1"/>
        <rFont val="Calibri"/>
        <family val="0"/>
        <charset val="134"/>
      </rPr>
      <t xml:space="preserve">T113 </t>
    </r>
    <r>
      <rPr>
        <sz val="11"/>
        <color theme="1"/>
        <rFont val="微软雅黑"/>
        <family val="0"/>
        <charset val="1"/>
      </rPr>
      <t xml:space="preserve">财务共享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接口联调工作包：双向联调通过，异常、重试与补偿验证完成；</t>
    </r>
    <r>
      <rPr>
        <sz val="11"/>
        <color theme="1"/>
        <rFont val="Calibri"/>
        <family val="0"/>
        <charset val="134"/>
      </rPr>
      <t xml:space="preserve">T118 </t>
    </r>
    <r>
      <rPr>
        <sz val="11"/>
        <color theme="1"/>
        <rFont val="微软雅黑"/>
        <family val="0"/>
        <charset val="1"/>
      </rPr>
      <t xml:space="preserve">档案系统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接口联调工作包：双向联调通过，异常、重试与补偿验证完成；</t>
    </r>
    <r>
      <rPr>
        <sz val="11"/>
        <color theme="1"/>
        <rFont val="Calibri"/>
        <family val="0"/>
        <charset val="134"/>
      </rPr>
      <t xml:space="preserve">T128 </t>
    </r>
    <r>
      <rPr>
        <sz val="11"/>
        <color theme="1"/>
        <rFont val="微软雅黑"/>
        <family val="0"/>
        <charset val="1"/>
      </rPr>
      <t xml:space="preserve">工程建设</t>
    </r>
    <r>
      <rPr>
        <sz val="11"/>
        <color theme="1"/>
        <rFont val="Calibri"/>
        <family val="0"/>
        <charset val="134"/>
      </rPr>
      <t xml:space="preserve">EPMP0</t>
    </r>
    <r>
      <rPr>
        <sz val="11"/>
        <color theme="1"/>
        <rFont val="微软雅黑"/>
        <family val="0"/>
        <charset val="1"/>
      </rPr>
      <t xml:space="preserve">接口联调工作包：双向联调通过，异常、重试与补偿验证完成；</t>
    </r>
    <r>
      <rPr>
        <sz val="11"/>
        <color theme="1"/>
        <rFont val="Calibri"/>
        <family val="0"/>
        <charset val="134"/>
      </rPr>
      <t xml:space="preserve">T133 MDGP0</t>
    </r>
    <r>
      <rPr>
        <sz val="11"/>
        <color theme="1"/>
        <rFont val="微软雅黑"/>
        <family val="0"/>
        <charset val="1"/>
      </rPr>
      <t xml:space="preserve">接口联调工作包：双向联调通过，异常、重试与补偿验证完成</t>
    </r>
  </si>
  <si>
    <r>
      <rPr>
        <sz val="11"/>
        <color theme="1"/>
        <rFont val="Calibri"/>
        <family val="0"/>
        <charset val="134"/>
      </rPr>
      <t xml:space="preserve">T067 </t>
    </r>
    <r>
      <rPr>
        <sz val="11"/>
        <color theme="1"/>
        <rFont val="微软雅黑"/>
        <family val="0"/>
        <charset val="1"/>
      </rPr>
      <t xml:space="preserve">验证异常补偿、重试和一致性处理；</t>
    </r>
    <r>
      <rPr>
        <sz val="11"/>
        <color theme="1"/>
        <rFont val="Calibri"/>
        <family val="0"/>
        <charset val="134"/>
      </rPr>
      <t xml:space="preserve">T098 </t>
    </r>
    <r>
      <rPr>
        <sz val="11"/>
        <color theme="1"/>
        <rFont val="微软雅黑"/>
        <family val="0"/>
        <charset val="1"/>
      </rPr>
      <t xml:space="preserve">大集中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接口联调工作包：双向联调通过，异常、重试与补偿验证完成；</t>
    </r>
    <r>
      <rPr>
        <sz val="11"/>
        <color theme="1"/>
        <rFont val="Calibri"/>
        <family val="0"/>
        <charset val="134"/>
      </rPr>
      <t xml:space="preserve">T103 </t>
    </r>
    <r>
      <rPr>
        <sz val="11"/>
        <color theme="1"/>
        <rFont val="微软雅黑"/>
        <family val="0"/>
        <charset val="1"/>
      </rPr>
      <t xml:space="preserve">昆仑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接口联调工作包：双向联调通过，异常、重试与补偿验证完成；</t>
    </r>
    <r>
      <rPr>
        <sz val="11"/>
        <color theme="1"/>
        <rFont val="Calibri"/>
        <family val="0"/>
        <charset val="134"/>
      </rPr>
      <t xml:space="preserve">T108 </t>
    </r>
    <r>
      <rPr>
        <sz val="11"/>
        <color theme="1"/>
        <rFont val="微软雅黑"/>
        <family val="0"/>
        <charset val="1"/>
      </rPr>
      <t xml:space="preserve">云梦泽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接口联调工作包：双向联调通过，异常、重试与补偿验证完成；</t>
    </r>
    <r>
      <rPr>
        <sz val="11"/>
        <color theme="1"/>
        <rFont val="Calibri"/>
        <family val="0"/>
        <charset val="134"/>
      </rPr>
      <t xml:space="preserve">T113 </t>
    </r>
    <r>
      <rPr>
        <sz val="11"/>
        <color theme="1"/>
        <rFont val="微软雅黑"/>
        <family val="0"/>
        <charset val="1"/>
      </rPr>
      <t xml:space="preserve">财务共享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接口联调工作包：双向联调通过，异常、重试与补偿验证完成；</t>
    </r>
    <r>
      <rPr>
        <sz val="11"/>
        <color theme="1"/>
        <rFont val="Calibri"/>
        <family val="0"/>
        <charset val="134"/>
      </rPr>
      <t xml:space="preserve">T118 </t>
    </r>
    <r>
      <rPr>
        <sz val="11"/>
        <color theme="1"/>
        <rFont val="微软雅黑"/>
        <family val="0"/>
        <charset val="1"/>
      </rPr>
      <t xml:space="preserve">档案系统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接口联调工作包：双向联调通过，异常、重试与补偿验证完成；</t>
    </r>
    <r>
      <rPr>
        <sz val="11"/>
        <color theme="1"/>
        <rFont val="Calibri"/>
        <family val="0"/>
        <charset val="134"/>
      </rPr>
      <t xml:space="preserve">T128 </t>
    </r>
    <r>
      <rPr>
        <sz val="11"/>
        <color theme="1"/>
        <rFont val="微软雅黑"/>
        <family val="0"/>
        <charset val="1"/>
      </rPr>
      <t xml:space="preserve">工程建设</t>
    </r>
    <r>
      <rPr>
        <sz val="11"/>
        <color theme="1"/>
        <rFont val="Calibri"/>
        <family val="0"/>
        <charset val="134"/>
      </rPr>
      <t xml:space="preserve">EPMP0</t>
    </r>
    <r>
      <rPr>
        <sz val="11"/>
        <color theme="1"/>
        <rFont val="微软雅黑"/>
        <family val="0"/>
        <charset val="1"/>
      </rPr>
      <t xml:space="preserve">接口联调工作包：双向联调通过，异常、重试与补偿验证完成；</t>
    </r>
    <r>
      <rPr>
        <sz val="11"/>
        <color theme="1"/>
        <rFont val="Calibri"/>
        <family val="0"/>
        <charset val="134"/>
      </rPr>
      <t xml:space="preserve">T133 MDGP0</t>
    </r>
    <r>
      <rPr>
        <sz val="11"/>
        <color theme="1"/>
        <rFont val="微软雅黑"/>
        <family val="0"/>
        <charset val="1"/>
      </rPr>
      <t xml:space="preserve">接口联调工作包：双向联调通过，异常、重试与补偿验证完成</t>
    </r>
  </si>
  <si>
    <r>
      <rPr>
        <sz val="11"/>
        <color theme="1"/>
        <rFont val="Calibri"/>
        <family val="0"/>
        <charset val="134"/>
      </rPr>
      <t xml:space="preserve">T067 </t>
    </r>
    <r>
      <rPr>
        <sz val="11"/>
        <color theme="1"/>
        <rFont val="微软雅黑"/>
        <family val="0"/>
        <charset val="1"/>
      </rPr>
      <t xml:space="preserve">验证异常补偿、重试和一致性处理；</t>
    </r>
    <r>
      <rPr>
        <sz val="11"/>
        <color theme="1"/>
        <rFont val="Calibri"/>
        <family val="0"/>
        <charset val="134"/>
      </rPr>
      <t xml:space="preserve">T073 </t>
    </r>
    <r>
      <rPr>
        <sz val="11"/>
        <color theme="1"/>
        <rFont val="微软雅黑"/>
        <family val="0"/>
        <charset val="1"/>
      </rPr>
      <t xml:space="preserve">完成电子签章、</t>
    </r>
    <r>
      <rPr>
        <sz val="11"/>
        <color theme="1"/>
        <rFont val="Calibri"/>
        <family val="0"/>
        <charset val="134"/>
      </rPr>
      <t xml:space="preserve">CA</t>
    </r>
    <r>
      <rPr>
        <sz val="11"/>
        <color theme="1"/>
        <rFont val="微软雅黑"/>
        <family val="0"/>
        <charset val="1"/>
      </rPr>
      <t xml:space="preserve">和时间戳接口联调；</t>
    </r>
    <r>
      <rPr>
        <sz val="11"/>
        <color theme="1"/>
        <rFont val="Calibri"/>
        <family val="0"/>
        <charset val="134"/>
      </rPr>
      <t xml:space="preserve">T098 </t>
    </r>
    <r>
      <rPr>
        <sz val="11"/>
        <color theme="1"/>
        <rFont val="微软雅黑"/>
        <family val="0"/>
        <charset val="1"/>
      </rPr>
      <t xml:space="preserve">大集中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接口联调工作包：双向联调通过，异常、重试与补偿验证完成；</t>
    </r>
    <r>
      <rPr>
        <sz val="11"/>
        <color theme="1"/>
        <rFont val="Calibri"/>
        <family val="0"/>
        <charset val="134"/>
      </rPr>
      <t xml:space="preserve">T103 </t>
    </r>
    <r>
      <rPr>
        <sz val="11"/>
        <color theme="1"/>
        <rFont val="微软雅黑"/>
        <family val="0"/>
        <charset val="1"/>
      </rPr>
      <t xml:space="preserve">昆仑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接口联调工作包：双向联调通过，异常、重试与补偿验证完成；</t>
    </r>
    <r>
      <rPr>
        <sz val="11"/>
        <color theme="1"/>
        <rFont val="Calibri"/>
        <family val="0"/>
        <charset val="134"/>
      </rPr>
      <t xml:space="preserve">T108 </t>
    </r>
    <r>
      <rPr>
        <sz val="11"/>
        <color theme="1"/>
        <rFont val="微软雅黑"/>
        <family val="0"/>
        <charset val="1"/>
      </rPr>
      <t xml:space="preserve">云梦泽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接口联调工作包：双向联调通过，异常、重试与补偿验证完成；</t>
    </r>
    <r>
      <rPr>
        <sz val="11"/>
        <color theme="1"/>
        <rFont val="Calibri"/>
        <family val="0"/>
        <charset val="134"/>
      </rPr>
      <t xml:space="preserve">T113 </t>
    </r>
    <r>
      <rPr>
        <sz val="11"/>
        <color theme="1"/>
        <rFont val="微软雅黑"/>
        <family val="0"/>
        <charset val="1"/>
      </rPr>
      <t xml:space="preserve">财务共享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接口联调工作包：双向联调通过，异常、重试与补偿验证完成；</t>
    </r>
    <r>
      <rPr>
        <sz val="11"/>
        <color theme="1"/>
        <rFont val="Calibri"/>
        <family val="0"/>
        <charset val="134"/>
      </rPr>
      <t xml:space="preserve">T118 </t>
    </r>
    <r>
      <rPr>
        <sz val="11"/>
        <color theme="1"/>
        <rFont val="微软雅黑"/>
        <family val="0"/>
        <charset val="1"/>
      </rPr>
      <t xml:space="preserve">档案系统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接口联调工作包：双向联调通过，异常、重试与补偿验证完成；</t>
    </r>
    <r>
      <rPr>
        <sz val="11"/>
        <color theme="1"/>
        <rFont val="Calibri"/>
        <family val="0"/>
        <charset val="134"/>
      </rPr>
      <t xml:space="preserve">T128 </t>
    </r>
    <r>
      <rPr>
        <sz val="11"/>
        <color theme="1"/>
        <rFont val="微软雅黑"/>
        <family val="0"/>
        <charset val="1"/>
      </rPr>
      <t xml:space="preserve">工程建设</t>
    </r>
    <r>
      <rPr>
        <sz val="11"/>
        <color theme="1"/>
        <rFont val="Calibri"/>
        <family val="0"/>
        <charset val="134"/>
      </rPr>
      <t xml:space="preserve">EPMP0</t>
    </r>
    <r>
      <rPr>
        <sz val="11"/>
        <color theme="1"/>
        <rFont val="微软雅黑"/>
        <family val="0"/>
        <charset val="1"/>
      </rPr>
      <t xml:space="preserve">接口联调工作包：双向联调通过，异常、重试与补偿验证完成；</t>
    </r>
    <r>
      <rPr>
        <sz val="11"/>
        <color theme="1"/>
        <rFont val="Calibri"/>
        <family val="0"/>
        <charset val="134"/>
      </rPr>
      <t xml:space="preserve">T133 MDGP0</t>
    </r>
    <r>
      <rPr>
        <sz val="11"/>
        <color theme="1"/>
        <rFont val="微软雅黑"/>
        <family val="0"/>
        <charset val="1"/>
      </rPr>
      <t xml:space="preserve">接口联调工作包：双向联调通过，异常、重试与补偿验证完成</t>
    </r>
  </si>
  <si>
    <r>
      <rPr>
        <sz val="11"/>
        <color theme="1"/>
        <rFont val="Calibri"/>
        <family val="0"/>
        <charset val="134"/>
      </rPr>
      <t xml:space="preserve">T073 </t>
    </r>
    <r>
      <rPr>
        <sz val="11"/>
        <color theme="1"/>
        <rFont val="微软雅黑"/>
        <family val="0"/>
        <charset val="1"/>
      </rPr>
      <t xml:space="preserve">完成电子签章、</t>
    </r>
    <r>
      <rPr>
        <sz val="11"/>
        <color theme="1"/>
        <rFont val="Calibri"/>
        <family val="0"/>
        <charset val="134"/>
      </rPr>
      <t xml:space="preserve">CA</t>
    </r>
    <r>
      <rPr>
        <sz val="11"/>
        <color theme="1"/>
        <rFont val="微软雅黑"/>
        <family val="0"/>
        <charset val="1"/>
      </rPr>
      <t xml:space="preserve">和时间戳接口联调</t>
    </r>
  </si>
  <si>
    <r>
      <rPr>
        <sz val="11"/>
        <color theme="1"/>
        <rFont val="Calibri"/>
        <family val="0"/>
        <charset val="134"/>
      </rPr>
      <t xml:space="preserve">T087 </t>
    </r>
    <r>
      <rPr>
        <sz val="11"/>
        <color theme="1"/>
        <rFont val="微软雅黑"/>
        <family val="0"/>
        <charset val="1"/>
      </rPr>
      <t xml:space="preserve">完成数据迁移、清洗和对账演练</t>
    </r>
  </si>
  <si>
    <r>
      <rPr>
        <sz val="11"/>
        <color theme="1"/>
        <rFont val="Calibri"/>
        <family val="0"/>
        <charset val="134"/>
      </rPr>
      <t xml:space="preserve">T030 </t>
    </r>
    <r>
      <rPr>
        <sz val="11"/>
        <color theme="1"/>
        <rFont val="微软雅黑"/>
        <family val="0"/>
        <charset val="1"/>
      </rPr>
      <t xml:space="preserve">验证数据接入、指标模型和经营报表</t>
    </r>
  </si>
  <si>
    <r>
      <rPr>
        <sz val="11"/>
        <color theme="1"/>
        <rFont val="Calibri"/>
        <family val="0"/>
        <charset val="134"/>
      </rPr>
      <t xml:space="preserve">T054 </t>
    </r>
    <r>
      <rPr>
        <sz val="11"/>
        <color theme="1"/>
        <rFont val="微软雅黑"/>
        <family val="0"/>
        <charset val="1"/>
      </rPr>
      <t xml:space="preserve">搭建项目工程、公共组件和持续集成；</t>
    </r>
    <r>
      <rPr>
        <sz val="11"/>
        <color theme="1"/>
        <rFont val="Calibri"/>
        <family val="0"/>
        <charset val="134"/>
      </rPr>
      <t xml:space="preserve">T132 MDGP0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</t>
    </r>
  </si>
  <si>
    <r>
      <rPr>
        <sz val="11"/>
        <color theme="1"/>
        <rFont val="Calibri"/>
        <family val="0"/>
        <charset val="134"/>
      </rPr>
      <t xml:space="preserve">T054 </t>
    </r>
    <r>
      <rPr>
        <sz val="11"/>
        <color theme="1"/>
        <rFont val="微软雅黑"/>
        <family val="0"/>
        <charset val="1"/>
      </rPr>
      <t xml:space="preserve">搭建项目工程、公共组件和持续集成；</t>
    </r>
    <r>
      <rPr>
        <sz val="11"/>
        <color theme="1"/>
        <rFont val="Calibri"/>
        <family val="0"/>
        <charset val="134"/>
      </rPr>
      <t xml:space="preserve">T097 </t>
    </r>
    <r>
      <rPr>
        <sz val="11"/>
        <color theme="1"/>
        <rFont val="微软雅黑"/>
        <family val="0"/>
        <charset val="1"/>
      </rPr>
      <t xml:space="preserve">大集中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T102 </t>
    </r>
    <r>
      <rPr>
        <sz val="11"/>
        <color theme="1"/>
        <rFont val="微软雅黑"/>
        <family val="0"/>
        <charset val="1"/>
      </rPr>
      <t xml:space="preserve">昆仑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T132 MDGP0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</t>
    </r>
  </si>
  <si>
    <r>
      <rPr>
        <sz val="11"/>
        <color theme="1"/>
        <rFont val="Calibri"/>
        <family val="0"/>
        <charset val="134"/>
      </rPr>
      <t xml:space="preserve">T064 </t>
    </r>
    <r>
      <rPr>
        <sz val="11"/>
        <color theme="1"/>
        <rFont val="微软雅黑"/>
        <family val="0"/>
        <charset val="1"/>
      </rPr>
      <t xml:space="preserve">贯通合同起草、审批、签署和生效流程；</t>
    </r>
    <r>
      <rPr>
        <sz val="11"/>
        <color theme="1"/>
        <rFont val="Calibri"/>
        <family val="0"/>
        <charset val="134"/>
      </rPr>
      <t xml:space="preserve">T097 </t>
    </r>
    <r>
      <rPr>
        <sz val="11"/>
        <color theme="1"/>
        <rFont val="微软雅黑"/>
        <family val="0"/>
        <charset val="1"/>
      </rPr>
      <t xml:space="preserve">大集中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T102 </t>
    </r>
    <r>
      <rPr>
        <sz val="11"/>
        <color theme="1"/>
        <rFont val="微软雅黑"/>
        <family val="0"/>
        <charset val="1"/>
      </rPr>
      <t xml:space="preserve">昆仑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T117 </t>
    </r>
    <r>
      <rPr>
        <sz val="11"/>
        <color theme="1"/>
        <rFont val="微软雅黑"/>
        <family val="0"/>
        <charset val="1"/>
      </rPr>
      <t xml:space="preserve">档案系统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T132 MDGP0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</t>
    </r>
  </si>
  <si>
    <r>
      <rPr>
        <sz val="11"/>
        <color theme="1"/>
        <rFont val="Calibri"/>
        <family val="0"/>
        <charset val="134"/>
      </rPr>
      <t xml:space="preserve">T070 </t>
    </r>
    <r>
      <rPr>
        <sz val="11"/>
        <color theme="1"/>
        <rFont val="微软雅黑"/>
        <family val="0"/>
        <charset val="1"/>
      </rPr>
      <t xml:space="preserve">完成</t>
    </r>
    <r>
      <rPr>
        <sz val="11"/>
        <color theme="1"/>
        <rFont val="Calibri"/>
        <family val="0"/>
        <charset val="134"/>
      </rPr>
      <t xml:space="preserve">ERP</t>
    </r>
    <r>
      <rPr>
        <sz val="11"/>
        <color theme="1"/>
        <rFont val="微软雅黑"/>
        <family val="0"/>
        <charset val="1"/>
      </rPr>
      <t xml:space="preserve">及主数据接口联调；</t>
    </r>
    <r>
      <rPr>
        <sz val="11"/>
        <color theme="1"/>
        <rFont val="Calibri"/>
        <family val="0"/>
        <charset val="134"/>
      </rPr>
      <t xml:space="preserve">T098 </t>
    </r>
    <r>
      <rPr>
        <sz val="11"/>
        <color theme="1"/>
        <rFont val="微软雅黑"/>
        <family val="0"/>
        <charset val="1"/>
      </rPr>
      <t xml:space="preserve">大集中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接口联调工作包：双向联调通过，异常、重试与补偿验证完成；</t>
    </r>
    <r>
      <rPr>
        <sz val="11"/>
        <color theme="1"/>
        <rFont val="Calibri"/>
        <family val="0"/>
        <charset val="134"/>
      </rPr>
      <t xml:space="preserve">T103 </t>
    </r>
    <r>
      <rPr>
        <sz val="11"/>
        <color theme="1"/>
        <rFont val="微软雅黑"/>
        <family val="0"/>
        <charset val="1"/>
      </rPr>
      <t xml:space="preserve">昆仑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接口联调工作包：双向联调通过，异常、重试与补偿验证完成；</t>
    </r>
    <r>
      <rPr>
        <sz val="11"/>
        <color theme="1"/>
        <rFont val="Calibri"/>
        <family val="0"/>
        <charset val="134"/>
      </rPr>
      <t xml:space="preserve">T108 </t>
    </r>
    <r>
      <rPr>
        <sz val="11"/>
        <color theme="1"/>
        <rFont val="微软雅黑"/>
        <family val="0"/>
        <charset val="1"/>
      </rPr>
      <t xml:space="preserve">云梦泽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接口联调工作包：双向联调通过，异常、重试与补偿验证完成；</t>
    </r>
    <r>
      <rPr>
        <sz val="11"/>
        <color theme="1"/>
        <rFont val="Calibri"/>
        <family val="0"/>
        <charset val="134"/>
      </rPr>
      <t xml:space="preserve">T113 </t>
    </r>
    <r>
      <rPr>
        <sz val="11"/>
        <color theme="1"/>
        <rFont val="微软雅黑"/>
        <family val="0"/>
        <charset val="1"/>
      </rPr>
      <t xml:space="preserve">财务共享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接口联调工作包：双向联调通过，异常、重试与补偿验证完成；</t>
    </r>
    <r>
      <rPr>
        <sz val="11"/>
        <color theme="1"/>
        <rFont val="Calibri"/>
        <family val="0"/>
        <charset val="134"/>
      </rPr>
      <t xml:space="preserve">T118 </t>
    </r>
    <r>
      <rPr>
        <sz val="11"/>
        <color theme="1"/>
        <rFont val="微软雅黑"/>
        <family val="0"/>
        <charset val="1"/>
      </rPr>
      <t xml:space="preserve">档案系统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接口联调工作包：双向联调通过，异常、重试与补偿验证完成；</t>
    </r>
    <r>
      <rPr>
        <sz val="11"/>
        <color theme="1"/>
        <rFont val="Calibri"/>
        <family val="0"/>
        <charset val="134"/>
      </rPr>
      <t xml:space="preserve">T128 </t>
    </r>
    <r>
      <rPr>
        <sz val="11"/>
        <color theme="1"/>
        <rFont val="微软雅黑"/>
        <family val="0"/>
        <charset val="1"/>
      </rPr>
      <t xml:space="preserve">工程建设</t>
    </r>
    <r>
      <rPr>
        <sz val="11"/>
        <color theme="1"/>
        <rFont val="Calibri"/>
        <family val="0"/>
        <charset val="134"/>
      </rPr>
      <t xml:space="preserve">EPMP0</t>
    </r>
    <r>
      <rPr>
        <sz val="11"/>
        <color theme="1"/>
        <rFont val="微软雅黑"/>
        <family val="0"/>
        <charset val="1"/>
      </rPr>
      <t xml:space="preserve">接口联调工作包：双向联调通过，异常、重试与补偿验证完成；</t>
    </r>
    <r>
      <rPr>
        <sz val="11"/>
        <color theme="1"/>
        <rFont val="Calibri"/>
        <family val="0"/>
        <charset val="134"/>
      </rPr>
      <t xml:space="preserve">T133 MDGP0</t>
    </r>
    <r>
      <rPr>
        <sz val="11"/>
        <color theme="1"/>
        <rFont val="微软雅黑"/>
        <family val="0"/>
        <charset val="1"/>
      </rPr>
      <t xml:space="preserve">接口联调工作包：双向联调通过，异常、重试与补偿验证完成</t>
    </r>
  </si>
  <si>
    <r>
      <rPr>
        <sz val="11"/>
        <color theme="1"/>
        <rFont val="Calibri"/>
        <family val="0"/>
        <charset val="134"/>
      </rPr>
      <t xml:space="preserve">T080 </t>
    </r>
    <r>
      <rPr>
        <sz val="11"/>
        <color theme="1"/>
        <rFont val="微软雅黑"/>
        <family val="0"/>
        <charset val="1"/>
      </rPr>
      <t xml:space="preserve">完成阻断及严重缺陷修复和复测</t>
    </r>
  </si>
  <si>
    <r>
      <rPr>
        <sz val="11"/>
        <color theme="1"/>
        <rFont val="Calibri"/>
        <family val="0"/>
        <charset val="134"/>
      </rPr>
      <t xml:space="preserve">T028 </t>
    </r>
    <r>
      <rPr>
        <sz val="11"/>
        <color theme="1"/>
        <rFont val="微软雅黑"/>
        <family val="0"/>
        <charset val="1"/>
      </rPr>
      <t xml:space="preserve">验证模板生成、在线预览和格式转换</t>
    </r>
  </si>
  <si>
    <r>
      <rPr>
        <sz val="11"/>
        <color theme="1"/>
        <rFont val="Calibri"/>
        <family val="0"/>
        <charset val="134"/>
      </rPr>
      <t xml:space="preserve">T122 IAMP0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T132 MDGP0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</t>
    </r>
  </si>
  <si>
    <r>
      <rPr>
        <sz val="11"/>
        <color theme="1"/>
        <rFont val="Calibri"/>
        <family val="0"/>
        <charset val="134"/>
      </rPr>
      <t xml:space="preserve">T097 </t>
    </r>
    <r>
      <rPr>
        <sz val="11"/>
        <color theme="1"/>
        <rFont val="微软雅黑"/>
        <family val="0"/>
        <charset val="1"/>
      </rPr>
      <t xml:space="preserve">大集中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T102 </t>
    </r>
    <r>
      <rPr>
        <sz val="11"/>
        <color theme="1"/>
        <rFont val="微软雅黑"/>
        <family val="0"/>
        <charset val="1"/>
      </rPr>
      <t xml:space="preserve">昆仑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T122 IAMP0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T132 MDGP0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</t>
    </r>
  </si>
  <si>
    <r>
      <rPr>
        <sz val="11"/>
        <color theme="1"/>
        <rFont val="Calibri"/>
        <family val="0"/>
        <charset val="134"/>
      </rPr>
      <t xml:space="preserve">T072 </t>
    </r>
    <r>
      <rPr>
        <sz val="11"/>
        <color theme="1"/>
        <rFont val="微软雅黑"/>
        <family val="0"/>
        <charset val="1"/>
      </rPr>
      <t xml:space="preserve">完成</t>
    </r>
    <r>
      <rPr>
        <sz val="11"/>
        <color theme="1"/>
        <rFont val="Calibri"/>
        <family val="0"/>
        <charset val="134"/>
      </rPr>
      <t xml:space="preserve">OA</t>
    </r>
    <r>
      <rPr>
        <sz val="11"/>
        <color theme="1"/>
        <rFont val="微软雅黑"/>
        <family val="0"/>
        <charset val="1"/>
      </rPr>
      <t xml:space="preserve">待办、审批和消息接口联调</t>
    </r>
  </si>
  <si>
    <r>
      <rPr>
        <sz val="11"/>
        <color theme="1"/>
        <rFont val="Calibri"/>
        <family val="0"/>
        <charset val="134"/>
      </rPr>
      <t xml:space="preserve">T097 </t>
    </r>
    <r>
      <rPr>
        <sz val="11"/>
        <color theme="1"/>
        <rFont val="微软雅黑"/>
        <family val="0"/>
        <charset val="1"/>
      </rPr>
      <t xml:space="preserve">大集中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T102 </t>
    </r>
    <r>
      <rPr>
        <sz val="11"/>
        <color theme="1"/>
        <rFont val="微软雅黑"/>
        <family val="0"/>
        <charset val="1"/>
      </rPr>
      <t xml:space="preserve">昆仑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</t>
    </r>
  </si>
  <si>
    <r>
      <rPr>
        <sz val="11"/>
        <color theme="1"/>
        <rFont val="Calibri"/>
        <family val="0"/>
        <charset val="134"/>
      </rPr>
      <t xml:space="preserve">T097 </t>
    </r>
    <r>
      <rPr>
        <sz val="11"/>
        <color theme="1"/>
        <rFont val="微软雅黑"/>
        <family val="0"/>
        <charset val="1"/>
      </rPr>
      <t xml:space="preserve">大集中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T102 </t>
    </r>
    <r>
      <rPr>
        <sz val="11"/>
        <color theme="1"/>
        <rFont val="微软雅黑"/>
        <family val="0"/>
        <charset val="1"/>
      </rPr>
      <t xml:space="preserve">昆仑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T127 </t>
    </r>
    <r>
      <rPr>
        <sz val="11"/>
        <color theme="1"/>
        <rFont val="微软雅黑"/>
        <family val="0"/>
        <charset val="1"/>
      </rPr>
      <t xml:space="preserve">工程建设</t>
    </r>
    <r>
      <rPr>
        <sz val="11"/>
        <color theme="1"/>
        <rFont val="Calibri"/>
        <family val="0"/>
        <charset val="134"/>
      </rPr>
      <t xml:space="preserve">EPMP0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</t>
    </r>
  </si>
  <si>
    <r>
      <rPr>
        <sz val="11"/>
        <color theme="1"/>
        <rFont val="Calibri"/>
        <family val="0"/>
        <charset val="134"/>
      </rPr>
      <t xml:space="preserve">T055 </t>
    </r>
    <r>
      <rPr>
        <sz val="11"/>
        <color theme="1"/>
        <rFont val="微软雅黑"/>
        <family val="0"/>
        <charset val="1"/>
      </rPr>
      <t xml:space="preserve">开发合同模板、范本和条款库管理；</t>
    </r>
    <r>
      <rPr>
        <sz val="11"/>
        <color theme="1"/>
        <rFont val="Calibri"/>
        <family val="0"/>
        <charset val="134"/>
      </rPr>
      <t xml:space="preserve">T097 </t>
    </r>
    <r>
      <rPr>
        <sz val="11"/>
        <color theme="1"/>
        <rFont val="微软雅黑"/>
        <family val="0"/>
        <charset val="1"/>
      </rPr>
      <t xml:space="preserve">大集中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T102 </t>
    </r>
    <r>
      <rPr>
        <sz val="11"/>
        <color theme="1"/>
        <rFont val="微软雅黑"/>
        <family val="0"/>
        <charset val="1"/>
      </rPr>
      <t xml:space="preserve">昆仑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T107 </t>
    </r>
    <r>
      <rPr>
        <sz val="11"/>
        <color theme="1"/>
        <rFont val="微软雅黑"/>
        <family val="0"/>
        <charset val="1"/>
      </rPr>
      <t xml:space="preserve">云梦泽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T112 </t>
    </r>
    <r>
      <rPr>
        <sz val="11"/>
        <color theme="1"/>
        <rFont val="微软雅黑"/>
        <family val="0"/>
        <charset val="1"/>
      </rPr>
      <t xml:space="preserve">财务共享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</t>
    </r>
  </si>
  <si>
    <r>
      <rPr>
        <sz val="11"/>
        <color theme="1"/>
        <rFont val="Calibri"/>
        <family val="0"/>
        <charset val="134"/>
      </rPr>
      <t xml:space="preserve">T055 </t>
    </r>
    <r>
      <rPr>
        <sz val="11"/>
        <color theme="1"/>
        <rFont val="微软雅黑"/>
        <family val="0"/>
        <charset val="1"/>
      </rPr>
      <t xml:space="preserve">开发合同模板、范本和条款库管理；</t>
    </r>
    <r>
      <rPr>
        <sz val="11"/>
        <color theme="1"/>
        <rFont val="Calibri"/>
        <family val="0"/>
        <charset val="134"/>
      </rPr>
      <t xml:space="preserve">T097 </t>
    </r>
    <r>
      <rPr>
        <sz val="11"/>
        <color theme="1"/>
        <rFont val="微软雅黑"/>
        <family val="0"/>
        <charset val="1"/>
      </rPr>
      <t xml:space="preserve">大集中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T102 </t>
    </r>
    <r>
      <rPr>
        <sz val="11"/>
        <color theme="1"/>
        <rFont val="微软雅黑"/>
        <family val="0"/>
        <charset val="1"/>
      </rPr>
      <t xml:space="preserve">昆仑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T107 </t>
    </r>
    <r>
      <rPr>
        <sz val="11"/>
        <color theme="1"/>
        <rFont val="微软雅黑"/>
        <family val="0"/>
        <charset val="1"/>
      </rPr>
      <t xml:space="preserve">云梦泽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T112 </t>
    </r>
    <r>
      <rPr>
        <sz val="11"/>
        <color theme="1"/>
        <rFont val="微软雅黑"/>
        <family val="0"/>
        <charset val="1"/>
      </rPr>
      <t xml:space="preserve">财务共享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T127 </t>
    </r>
    <r>
      <rPr>
        <sz val="11"/>
        <color theme="1"/>
        <rFont val="微软雅黑"/>
        <family val="0"/>
        <charset val="1"/>
      </rPr>
      <t xml:space="preserve">工程建设</t>
    </r>
    <r>
      <rPr>
        <sz val="11"/>
        <color theme="1"/>
        <rFont val="Calibri"/>
        <family val="0"/>
        <charset val="134"/>
      </rPr>
      <t xml:space="preserve">EPMP0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</t>
    </r>
  </si>
  <si>
    <r>
      <rPr>
        <sz val="11"/>
        <color theme="1"/>
        <rFont val="Calibri"/>
        <family val="0"/>
        <charset val="134"/>
      </rPr>
      <t xml:space="preserve">T097 </t>
    </r>
    <r>
      <rPr>
        <sz val="11"/>
        <color theme="1"/>
        <rFont val="微软雅黑"/>
        <family val="0"/>
        <charset val="1"/>
      </rPr>
      <t xml:space="preserve">大集中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T102 </t>
    </r>
    <r>
      <rPr>
        <sz val="11"/>
        <color theme="1"/>
        <rFont val="微软雅黑"/>
        <family val="0"/>
        <charset val="1"/>
      </rPr>
      <t xml:space="preserve">昆仑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T107 </t>
    </r>
    <r>
      <rPr>
        <sz val="11"/>
        <color theme="1"/>
        <rFont val="微软雅黑"/>
        <family val="0"/>
        <charset val="1"/>
      </rPr>
      <t xml:space="preserve">云梦泽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T112 </t>
    </r>
    <r>
      <rPr>
        <sz val="11"/>
        <color theme="1"/>
        <rFont val="微软雅黑"/>
        <family val="0"/>
        <charset val="1"/>
      </rPr>
      <t xml:space="preserve">财务共享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T127 </t>
    </r>
    <r>
      <rPr>
        <sz val="11"/>
        <color theme="1"/>
        <rFont val="微软雅黑"/>
        <family val="0"/>
        <charset val="1"/>
      </rPr>
      <t xml:space="preserve">工程建设</t>
    </r>
    <r>
      <rPr>
        <sz val="11"/>
        <color theme="1"/>
        <rFont val="Calibri"/>
        <family val="0"/>
        <charset val="134"/>
      </rPr>
      <t xml:space="preserve">EPMP0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</t>
    </r>
  </si>
  <si>
    <r>
      <rPr>
        <sz val="11"/>
        <color theme="1"/>
        <rFont val="Calibri"/>
        <family val="0"/>
        <charset val="134"/>
      </rPr>
      <t xml:space="preserve">T055 </t>
    </r>
    <r>
      <rPr>
        <sz val="11"/>
        <color theme="1"/>
        <rFont val="微软雅黑"/>
        <family val="0"/>
        <charset val="1"/>
      </rPr>
      <t xml:space="preserve">开发合同模板、范本和条款库管理；</t>
    </r>
    <r>
      <rPr>
        <sz val="11"/>
        <color theme="1"/>
        <rFont val="Calibri"/>
        <family val="0"/>
        <charset val="134"/>
      </rPr>
      <t xml:space="preserve">T097 </t>
    </r>
    <r>
      <rPr>
        <sz val="11"/>
        <color theme="1"/>
        <rFont val="微软雅黑"/>
        <family val="0"/>
        <charset val="1"/>
      </rPr>
      <t xml:space="preserve">大集中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T102 </t>
    </r>
    <r>
      <rPr>
        <sz val="11"/>
        <color theme="1"/>
        <rFont val="微软雅黑"/>
        <family val="0"/>
        <charset val="1"/>
      </rPr>
      <t xml:space="preserve">昆仑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T107 </t>
    </r>
    <r>
      <rPr>
        <sz val="11"/>
        <color theme="1"/>
        <rFont val="微软雅黑"/>
        <family val="0"/>
        <charset val="1"/>
      </rPr>
      <t xml:space="preserve">云梦泽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T112 </t>
    </r>
    <r>
      <rPr>
        <sz val="11"/>
        <color theme="1"/>
        <rFont val="微软雅黑"/>
        <family val="0"/>
        <charset val="1"/>
      </rPr>
      <t xml:space="preserve">财务共享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T132 MDGP0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</t>
    </r>
  </si>
  <si>
    <r>
      <rPr>
        <sz val="11"/>
        <color theme="1"/>
        <rFont val="Calibri"/>
        <family val="0"/>
        <charset val="134"/>
      </rPr>
      <t xml:space="preserve">T097 </t>
    </r>
    <r>
      <rPr>
        <sz val="11"/>
        <color theme="1"/>
        <rFont val="微软雅黑"/>
        <family val="0"/>
        <charset val="1"/>
      </rPr>
      <t xml:space="preserve">大集中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T102 </t>
    </r>
    <r>
      <rPr>
        <sz val="11"/>
        <color theme="1"/>
        <rFont val="微软雅黑"/>
        <family val="0"/>
        <charset val="1"/>
      </rPr>
      <t xml:space="preserve">昆仑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T107 </t>
    </r>
    <r>
      <rPr>
        <sz val="11"/>
        <color theme="1"/>
        <rFont val="微软雅黑"/>
        <family val="0"/>
        <charset val="1"/>
      </rPr>
      <t xml:space="preserve">云梦泽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T112 </t>
    </r>
    <r>
      <rPr>
        <sz val="11"/>
        <color theme="1"/>
        <rFont val="微软雅黑"/>
        <family val="0"/>
        <charset val="1"/>
      </rPr>
      <t xml:space="preserve">财务共享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T132 MDGP0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</t>
    </r>
  </si>
  <si>
    <r>
      <rPr>
        <sz val="11"/>
        <color theme="1"/>
        <rFont val="Calibri"/>
        <family val="0"/>
        <charset val="134"/>
      </rPr>
      <t xml:space="preserve">T056 </t>
    </r>
    <r>
      <rPr>
        <sz val="11"/>
        <color theme="1"/>
        <rFont val="微软雅黑"/>
        <family val="0"/>
        <charset val="1"/>
      </rPr>
      <t xml:space="preserve">开发合同拟稿、协同编辑和版本管理；</t>
    </r>
    <r>
      <rPr>
        <sz val="11"/>
        <color theme="1"/>
        <rFont val="Calibri"/>
        <family val="0"/>
        <charset val="134"/>
      </rPr>
      <t xml:space="preserve">T097 </t>
    </r>
    <r>
      <rPr>
        <sz val="11"/>
        <color theme="1"/>
        <rFont val="微软雅黑"/>
        <family val="0"/>
        <charset val="1"/>
      </rPr>
      <t xml:space="preserve">大集中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T102 </t>
    </r>
    <r>
      <rPr>
        <sz val="11"/>
        <color theme="1"/>
        <rFont val="微软雅黑"/>
        <family val="0"/>
        <charset val="1"/>
      </rPr>
      <t xml:space="preserve">昆仑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T107 </t>
    </r>
    <r>
      <rPr>
        <sz val="11"/>
        <color theme="1"/>
        <rFont val="微软雅黑"/>
        <family val="0"/>
        <charset val="1"/>
      </rPr>
      <t xml:space="preserve">云梦泽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T112 </t>
    </r>
    <r>
      <rPr>
        <sz val="11"/>
        <color theme="1"/>
        <rFont val="微软雅黑"/>
        <family val="0"/>
        <charset val="1"/>
      </rPr>
      <t xml:space="preserve">财务共享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T132 MDGP0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</t>
    </r>
  </si>
  <si>
    <r>
      <rPr>
        <sz val="11"/>
        <color theme="1"/>
        <rFont val="Calibri"/>
        <family val="0"/>
        <charset val="134"/>
      </rPr>
      <t xml:space="preserve">T059 </t>
    </r>
    <r>
      <rPr>
        <sz val="11"/>
        <color theme="1"/>
        <rFont val="微软雅黑"/>
        <family val="0"/>
        <charset val="1"/>
      </rPr>
      <t xml:space="preserve">开发履约计划、交付、验收和预警；</t>
    </r>
    <r>
      <rPr>
        <sz val="11"/>
        <color theme="1"/>
        <rFont val="Calibri"/>
        <family val="0"/>
        <charset val="134"/>
      </rPr>
      <t xml:space="preserve">T097 </t>
    </r>
    <r>
      <rPr>
        <sz val="11"/>
        <color theme="1"/>
        <rFont val="微软雅黑"/>
        <family val="0"/>
        <charset val="1"/>
      </rPr>
      <t xml:space="preserve">大集中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T102 </t>
    </r>
    <r>
      <rPr>
        <sz val="11"/>
        <color theme="1"/>
        <rFont val="微软雅黑"/>
        <family val="0"/>
        <charset val="1"/>
      </rPr>
      <t xml:space="preserve">昆仑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T107 </t>
    </r>
    <r>
      <rPr>
        <sz val="11"/>
        <color theme="1"/>
        <rFont val="微软雅黑"/>
        <family val="0"/>
        <charset val="1"/>
      </rPr>
      <t xml:space="preserve">云梦泽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T112 </t>
    </r>
    <r>
      <rPr>
        <sz val="11"/>
        <color theme="1"/>
        <rFont val="微软雅黑"/>
        <family val="0"/>
        <charset val="1"/>
      </rPr>
      <t xml:space="preserve">财务共享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T132 MDGP0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</t>
    </r>
  </si>
  <si>
    <r>
      <rPr>
        <sz val="11"/>
        <color theme="1"/>
        <rFont val="Calibri"/>
        <family val="0"/>
        <charset val="134"/>
      </rPr>
      <t xml:space="preserve">T060 </t>
    </r>
    <r>
      <rPr>
        <sz val="11"/>
        <color theme="1"/>
        <rFont val="微软雅黑"/>
        <family val="0"/>
        <charset val="1"/>
      </rPr>
      <t xml:space="preserve">开发应收应付、开票和付款计划；</t>
    </r>
    <r>
      <rPr>
        <sz val="11"/>
        <color theme="1"/>
        <rFont val="Calibri"/>
        <family val="0"/>
        <charset val="134"/>
      </rPr>
      <t xml:space="preserve">T097 </t>
    </r>
    <r>
      <rPr>
        <sz val="11"/>
        <color theme="1"/>
        <rFont val="微软雅黑"/>
        <family val="0"/>
        <charset val="1"/>
      </rPr>
      <t xml:space="preserve">大集中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T102 </t>
    </r>
    <r>
      <rPr>
        <sz val="11"/>
        <color theme="1"/>
        <rFont val="微软雅黑"/>
        <family val="0"/>
        <charset val="1"/>
      </rPr>
      <t xml:space="preserve">昆仑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T107 </t>
    </r>
    <r>
      <rPr>
        <sz val="11"/>
        <color theme="1"/>
        <rFont val="微软雅黑"/>
        <family val="0"/>
        <charset val="1"/>
      </rPr>
      <t xml:space="preserve">云梦泽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T112 </t>
    </r>
    <r>
      <rPr>
        <sz val="11"/>
        <color theme="1"/>
        <rFont val="微软雅黑"/>
        <family val="0"/>
        <charset val="1"/>
      </rPr>
      <t xml:space="preserve">财务共享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T132 MDGP0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</t>
    </r>
  </si>
  <si>
    <r>
      <rPr>
        <sz val="11"/>
        <color theme="1"/>
        <rFont val="Calibri"/>
        <family val="0"/>
        <charset val="134"/>
      </rPr>
      <t xml:space="preserve">T060 </t>
    </r>
    <r>
      <rPr>
        <sz val="11"/>
        <color theme="1"/>
        <rFont val="微软雅黑"/>
        <family val="0"/>
        <charset val="1"/>
      </rPr>
      <t xml:space="preserve">开发应收应付、开票和付款计划</t>
    </r>
  </si>
  <si>
    <r>
      <rPr>
        <sz val="11"/>
        <color theme="1"/>
        <rFont val="Calibri"/>
        <family val="0"/>
        <charset val="134"/>
      </rPr>
      <t xml:space="preserve">T061 </t>
    </r>
    <r>
      <rPr>
        <sz val="11"/>
        <color theme="1"/>
        <rFont val="微软雅黑"/>
        <family val="0"/>
        <charset val="1"/>
      </rPr>
      <t xml:space="preserve">开发变更、解除、终止和电子归档</t>
    </r>
  </si>
  <si>
    <r>
      <rPr>
        <sz val="11"/>
        <color theme="1"/>
        <rFont val="Calibri"/>
        <family val="0"/>
        <charset val="134"/>
      </rPr>
      <t xml:space="preserve">T097 </t>
    </r>
    <r>
      <rPr>
        <sz val="11"/>
        <color theme="1"/>
        <rFont val="微软雅黑"/>
        <family val="0"/>
        <charset val="1"/>
      </rPr>
      <t xml:space="preserve">大集中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T102 </t>
    </r>
    <r>
      <rPr>
        <sz val="11"/>
        <color theme="1"/>
        <rFont val="微软雅黑"/>
        <family val="0"/>
        <charset val="1"/>
      </rPr>
      <t xml:space="preserve">昆仑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T107 </t>
    </r>
    <r>
      <rPr>
        <sz val="11"/>
        <color theme="1"/>
        <rFont val="微软雅黑"/>
        <family val="0"/>
        <charset val="1"/>
      </rPr>
      <t xml:space="preserve">云梦泽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T132 MDGP0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</t>
    </r>
  </si>
  <si>
    <r>
      <rPr>
        <sz val="11"/>
        <color theme="1"/>
        <rFont val="Calibri"/>
        <family val="0"/>
        <charset val="134"/>
      </rPr>
      <t xml:space="preserve">T097 </t>
    </r>
    <r>
      <rPr>
        <sz val="11"/>
        <color theme="1"/>
        <rFont val="微软雅黑"/>
        <family val="0"/>
        <charset val="1"/>
      </rPr>
      <t xml:space="preserve">大集中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T102 </t>
    </r>
    <r>
      <rPr>
        <sz val="11"/>
        <color theme="1"/>
        <rFont val="微软雅黑"/>
        <family val="0"/>
        <charset val="1"/>
      </rPr>
      <t xml:space="preserve">昆仑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T107 </t>
    </r>
    <r>
      <rPr>
        <sz val="11"/>
        <color theme="1"/>
        <rFont val="微软雅黑"/>
        <family val="0"/>
        <charset val="1"/>
      </rPr>
      <t xml:space="preserve">云梦泽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T117 </t>
    </r>
    <r>
      <rPr>
        <sz val="11"/>
        <color theme="1"/>
        <rFont val="微软雅黑"/>
        <family val="0"/>
        <charset val="1"/>
      </rPr>
      <t xml:space="preserve">档案系统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接口开发工作包：接口代码、自测记录及部署包完成；</t>
    </r>
    <r>
      <rPr>
        <sz val="11"/>
        <color theme="1"/>
        <rFont val="Calibri"/>
        <family val="0"/>
        <charset val="134"/>
      </rPr>
      <t xml:space="preserve">T132 MDGP0</t>
    </r>
    <r>
      <rPr>
        <sz val="11"/>
        <color theme="1"/>
        <rFont val="微软雅黑"/>
        <family val="0"/>
        <charset val="1"/>
      </rPr>
      <t xml:space="preserve">接口开发工作包：接口代码、自测记录及部署包完成</t>
    </r>
  </si>
  <si>
    <r>
      <rPr>
        <sz val="11"/>
        <color theme="1"/>
        <rFont val="Calibri"/>
        <family val="0"/>
        <charset val="134"/>
      </rPr>
      <t xml:space="preserve">T062 </t>
    </r>
    <r>
      <rPr>
        <sz val="11"/>
        <color theme="1"/>
        <rFont val="微软雅黑"/>
        <family val="0"/>
        <charset val="1"/>
      </rPr>
      <t xml:space="preserve">开发合同检索、台账和经营分析页面</t>
    </r>
  </si>
  <si>
    <r>
      <rPr>
        <sz val="11"/>
        <color theme="1"/>
        <rFont val="Calibri"/>
        <family val="0"/>
        <charset val="134"/>
      </rPr>
      <t xml:space="preserve">T017 </t>
    </r>
    <r>
      <rPr>
        <sz val="11"/>
        <color theme="1"/>
        <rFont val="微软雅黑"/>
        <family val="0"/>
        <charset val="1"/>
      </rPr>
      <t xml:space="preserve">制定测试、缺陷与质量门禁规范</t>
    </r>
  </si>
  <si>
    <r>
      <rPr>
        <sz val="11"/>
        <color theme="1"/>
        <rFont val="Calibri"/>
        <family val="0"/>
        <charset val="134"/>
      </rPr>
      <t xml:space="preserve">T031 </t>
    </r>
    <r>
      <rPr>
        <sz val="11"/>
        <color theme="1"/>
        <rFont val="微软雅黑"/>
        <family val="0"/>
        <charset val="1"/>
      </rPr>
      <t xml:space="preserve">验证权限、钻取、导出和查询性能</t>
    </r>
  </si>
  <si>
    <r>
      <rPr>
        <sz val="11"/>
        <color theme="1"/>
        <rFont val="Calibri"/>
        <family val="0"/>
        <charset val="134"/>
      </rPr>
      <t xml:space="preserve">T076 </t>
    </r>
    <r>
      <rPr>
        <sz val="11"/>
        <color theme="1"/>
        <rFont val="微软雅黑"/>
        <family val="0"/>
        <charset val="1"/>
      </rPr>
      <t xml:space="preserve">编制系统测试计划、用例和测试数据；</t>
    </r>
    <r>
      <rPr>
        <sz val="11"/>
        <color theme="1"/>
        <rFont val="Calibri"/>
        <family val="0"/>
        <charset val="134"/>
      </rPr>
      <t xml:space="preserve">T099 </t>
    </r>
    <r>
      <rPr>
        <sz val="11"/>
        <color theme="1"/>
        <rFont val="微软雅黑"/>
        <family val="0"/>
        <charset val="1"/>
      </rPr>
      <t xml:space="preserve">大集中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T104 </t>
    </r>
    <r>
      <rPr>
        <sz val="11"/>
        <color theme="1"/>
        <rFont val="微软雅黑"/>
        <family val="0"/>
        <charset val="1"/>
      </rPr>
      <t xml:space="preserve">昆仑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T109 </t>
    </r>
    <r>
      <rPr>
        <sz val="11"/>
        <color theme="1"/>
        <rFont val="微软雅黑"/>
        <family val="0"/>
        <charset val="1"/>
      </rPr>
      <t xml:space="preserve">云梦泽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T114 </t>
    </r>
    <r>
      <rPr>
        <sz val="11"/>
        <color theme="1"/>
        <rFont val="微软雅黑"/>
        <family val="0"/>
        <charset val="1"/>
      </rPr>
      <t xml:space="preserve">财务共享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T119 </t>
    </r>
    <r>
      <rPr>
        <sz val="11"/>
        <color theme="1"/>
        <rFont val="微软雅黑"/>
        <family val="0"/>
        <charset val="1"/>
      </rPr>
      <t xml:space="preserve">档案系统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T124 IAMP0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T134 MDGP0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</t>
    </r>
  </si>
  <si>
    <r>
      <rPr>
        <sz val="11"/>
        <color theme="1"/>
        <rFont val="Calibri"/>
        <family val="0"/>
        <charset val="134"/>
      </rPr>
      <t xml:space="preserve">T099 </t>
    </r>
    <r>
      <rPr>
        <sz val="11"/>
        <color theme="1"/>
        <rFont val="微软雅黑"/>
        <family val="0"/>
        <charset val="1"/>
      </rPr>
      <t xml:space="preserve">大集中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T104 </t>
    </r>
    <r>
      <rPr>
        <sz val="11"/>
        <color theme="1"/>
        <rFont val="微软雅黑"/>
        <family val="0"/>
        <charset val="1"/>
      </rPr>
      <t xml:space="preserve">昆仑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T109 </t>
    </r>
    <r>
      <rPr>
        <sz val="11"/>
        <color theme="1"/>
        <rFont val="微软雅黑"/>
        <family val="0"/>
        <charset val="1"/>
      </rPr>
      <t xml:space="preserve">云梦泽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T114 </t>
    </r>
    <r>
      <rPr>
        <sz val="11"/>
        <color theme="1"/>
        <rFont val="微软雅黑"/>
        <family val="0"/>
        <charset val="1"/>
      </rPr>
      <t xml:space="preserve">财务共享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T119 </t>
    </r>
    <r>
      <rPr>
        <sz val="11"/>
        <color theme="1"/>
        <rFont val="微软雅黑"/>
        <family val="0"/>
        <charset val="1"/>
      </rPr>
      <t xml:space="preserve">档案系统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T124 IAMP0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T134 MDGP0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</t>
    </r>
  </si>
  <si>
    <r>
      <rPr>
        <sz val="11"/>
        <color theme="1"/>
        <rFont val="Calibri"/>
        <family val="0"/>
        <charset val="134"/>
      </rPr>
      <t xml:space="preserve">T081 </t>
    </r>
    <r>
      <rPr>
        <sz val="11"/>
        <color theme="1"/>
        <rFont val="微软雅黑"/>
        <family val="0"/>
        <charset val="1"/>
      </rPr>
      <t xml:space="preserve">汇总覆盖率、缺陷和质量结论并评审；</t>
    </r>
    <r>
      <rPr>
        <sz val="11"/>
        <color theme="1"/>
        <rFont val="Calibri"/>
        <family val="0"/>
        <charset val="134"/>
      </rPr>
      <t xml:space="preserve">T099 </t>
    </r>
    <r>
      <rPr>
        <sz val="11"/>
        <color theme="1"/>
        <rFont val="微软雅黑"/>
        <family val="0"/>
        <charset val="1"/>
      </rPr>
      <t xml:space="preserve">大集中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T104 </t>
    </r>
    <r>
      <rPr>
        <sz val="11"/>
        <color theme="1"/>
        <rFont val="微软雅黑"/>
        <family val="0"/>
        <charset val="1"/>
      </rPr>
      <t xml:space="preserve">昆仑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T109 </t>
    </r>
    <r>
      <rPr>
        <sz val="11"/>
        <color theme="1"/>
        <rFont val="微软雅黑"/>
        <family val="0"/>
        <charset val="1"/>
      </rPr>
      <t xml:space="preserve">云梦泽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T114 </t>
    </r>
    <r>
      <rPr>
        <sz val="11"/>
        <color theme="1"/>
        <rFont val="微软雅黑"/>
        <family val="0"/>
        <charset val="1"/>
      </rPr>
      <t xml:space="preserve">财务共享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T119 </t>
    </r>
    <r>
      <rPr>
        <sz val="11"/>
        <color theme="1"/>
        <rFont val="微软雅黑"/>
        <family val="0"/>
        <charset val="1"/>
      </rPr>
      <t xml:space="preserve">档案系统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T124 IAMP0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T134 MDGP0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</t>
    </r>
  </si>
  <si>
    <r>
      <rPr>
        <sz val="11"/>
        <color theme="1"/>
        <rFont val="Calibri"/>
        <family val="0"/>
        <charset val="134"/>
      </rPr>
      <t xml:space="preserve">T093 </t>
    </r>
    <r>
      <rPr>
        <sz val="11"/>
        <color theme="1"/>
        <rFont val="微软雅黑"/>
        <family val="0"/>
        <charset val="1"/>
      </rPr>
      <t xml:space="preserve">执行生产冒烟和关键业务链路验证</t>
    </r>
  </si>
  <si>
    <r>
      <rPr>
        <sz val="11"/>
        <color theme="1"/>
        <rFont val="Calibri"/>
        <family val="0"/>
        <charset val="134"/>
      </rPr>
      <t xml:space="preserve">T027 </t>
    </r>
    <r>
      <rPr>
        <sz val="11"/>
        <color theme="1"/>
        <rFont val="微软雅黑"/>
        <family val="0"/>
        <charset val="1"/>
      </rPr>
      <t xml:space="preserve">验证电子签名、验签、时间戳和审计追溯</t>
    </r>
  </si>
  <si>
    <r>
      <rPr>
        <sz val="11"/>
        <color theme="1"/>
        <rFont val="Calibri"/>
        <family val="0"/>
        <charset val="134"/>
      </rPr>
      <t xml:space="preserve">T066 </t>
    </r>
    <r>
      <rPr>
        <sz val="11"/>
        <color theme="1"/>
        <rFont val="微软雅黑"/>
        <family val="0"/>
        <charset val="1"/>
      </rPr>
      <t xml:space="preserve">验证主数据、权限和审计数据流</t>
    </r>
  </si>
  <si>
    <r>
      <rPr>
        <sz val="11"/>
        <color theme="1"/>
        <rFont val="Calibri"/>
        <family val="0"/>
        <charset val="134"/>
      </rPr>
      <t xml:space="preserve">T099 </t>
    </r>
    <r>
      <rPr>
        <sz val="11"/>
        <color theme="1"/>
        <rFont val="微软雅黑"/>
        <family val="0"/>
        <charset val="1"/>
      </rPr>
      <t xml:space="preserve">大集中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T104 </t>
    </r>
    <r>
      <rPr>
        <sz val="11"/>
        <color theme="1"/>
        <rFont val="微软雅黑"/>
        <family val="0"/>
        <charset val="1"/>
      </rPr>
      <t xml:space="preserve">昆仑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T109 </t>
    </r>
    <r>
      <rPr>
        <sz val="11"/>
        <color theme="1"/>
        <rFont val="微软雅黑"/>
        <family val="0"/>
        <charset val="1"/>
      </rPr>
      <t xml:space="preserve">云梦泽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T114 </t>
    </r>
    <r>
      <rPr>
        <sz val="11"/>
        <color theme="1"/>
        <rFont val="微软雅黑"/>
        <family val="0"/>
        <charset val="1"/>
      </rPr>
      <t xml:space="preserve">财务共享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T119 </t>
    </r>
    <r>
      <rPr>
        <sz val="11"/>
        <color theme="1"/>
        <rFont val="微软雅黑"/>
        <family val="0"/>
        <charset val="1"/>
      </rPr>
      <t xml:space="preserve">档案系统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T129 </t>
    </r>
    <r>
      <rPr>
        <sz val="11"/>
        <color theme="1"/>
        <rFont val="微软雅黑"/>
        <family val="0"/>
        <charset val="1"/>
      </rPr>
      <t xml:space="preserve">工程建设</t>
    </r>
    <r>
      <rPr>
        <sz val="11"/>
        <color theme="1"/>
        <rFont val="Calibri"/>
        <family val="0"/>
        <charset val="134"/>
      </rPr>
      <t xml:space="preserve">EPMP0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T134 MDGP0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</t>
    </r>
  </si>
  <si>
    <r>
      <rPr>
        <sz val="11"/>
        <color theme="1"/>
        <rFont val="Calibri"/>
        <family val="0"/>
        <charset val="134"/>
      </rPr>
      <t xml:space="preserve">T074 </t>
    </r>
    <r>
      <rPr>
        <sz val="11"/>
        <color theme="1"/>
        <rFont val="微软雅黑"/>
        <family val="0"/>
        <charset val="1"/>
      </rPr>
      <t xml:space="preserve">验证对账、幂等、补偿和监控机制；</t>
    </r>
    <r>
      <rPr>
        <sz val="11"/>
        <color theme="1"/>
        <rFont val="Calibri"/>
        <family val="0"/>
        <charset val="134"/>
      </rPr>
      <t xml:space="preserve">T099 </t>
    </r>
    <r>
      <rPr>
        <sz val="11"/>
        <color theme="1"/>
        <rFont val="微软雅黑"/>
        <family val="0"/>
        <charset val="1"/>
      </rPr>
      <t xml:space="preserve">大集中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T104 </t>
    </r>
    <r>
      <rPr>
        <sz val="11"/>
        <color theme="1"/>
        <rFont val="微软雅黑"/>
        <family val="0"/>
        <charset val="1"/>
      </rPr>
      <t xml:space="preserve">昆仑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T109 </t>
    </r>
    <r>
      <rPr>
        <sz val="11"/>
        <color theme="1"/>
        <rFont val="微软雅黑"/>
        <family val="0"/>
        <charset val="1"/>
      </rPr>
      <t xml:space="preserve">云梦泽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T114 </t>
    </r>
    <r>
      <rPr>
        <sz val="11"/>
        <color theme="1"/>
        <rFont val="微软雅黑"/>
        <family val="0"/>
        <charset val="1"/>
      </rPr>
      <t xml:space="preserve">财务共享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T119 </t>
    </r>
    <r>
      <rPr>
        <sz val="11"/>
        <color theme="1"/>
        <rFont val="微软雅黑"/>
        <family val="0"/>
        <charset val="1"/>
      </rPr>
      <t xml:space="preserve">档案系统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T129 </t>
    </r>
    <r>
      <rPr>
        <sz val="11"/>
        <color theme="1"/>
        <rFont val="微软雅黑"/>
        <family val="0"/>
        <charset val="1"/>
      </rPr>
      <t xml:space="preserve">工程建设</t>
    </r>
    <r>
      <rPr>
        <sz val="11"/>
        <color theme="1"/>
        <rFont val="Calibri"/>
        <family val="0"/>
        <charset val="134"/>
      </rPr>
      <t xml:space="preserve">EPMP0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T134 MDGP0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</t>
    </r>
  </si>
  <si>
    <r>
      <rPr>
        <sz val="11"/>
        <color theme="1"/>
        <rFont val="Calibri"/>
        <family val="0"/>
        <charset val="134"/>
      </rPr>
      <t xml:space="preserve">T079 </t>
    </r>
    <r>
      <rPr>
        <sz val="11"/>
        <color theme="1"/>
        <rFont val="微软雅黑"/>
        <family val="0"/>
        <charset val="1"/>
      </rPr>
      <t xml:space="preserve">完成性能、安全、兼容性和可靠性测试；</t>
    </r>
    <r>
      <rPr>
        <sz val="11"/>
        <color theme="1"/>
        <rFont val="Calibri"/>
        <family val="0"/>
        <charset val="134"/>
      </rPr>
      <t xml:space="preserve">T099 </t>
    </r>
    <r>
      <rPr>
        <sz val="11"/>
        <color theme="1"/>
        <rFont val="微软雅黑"/>
        <family val="0"/>
        <charset val="1"/>
      </rPr>
      <t xml:space="preserve">大集中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T104 </t>
    </r>
    <r>
      <rPr>
        <sz val="11"/>
        <color theme="1"/>
        <rFont val="微软雅黑"/>
        <family val="0"/>
        <charset val="1"/>
      </rPr>
      <t xml:space="preserve">昆仑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T109 </t>
    </r>
    <r>
      <rPr>
        <sz val="11"/>
        <color theme="1"/>
        <rFont val="微软雅黑"/>
        <family val="0"/>
        <charset val="1"/>
      </rPr>
      <t xml:space="preserve">云梦泽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T114 </t>
    </r>
    <r>
      <rPr>
        <sz val="11"/>
        <color theme="1"/>
        <rFont val="微软雅黑"/>
        <family val="0"/>
        <charset val="1"/>
      </rPr>
      <t xml:space="preserve">财务共享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T119 </t>
    </r>
    <r>
      <rPr>
        <sz val="11"/>
        <color theme="1"/>
        <rFont val="微软雅黑"/>
        <family val="0"/>
        <charset val="1"/>
      </rPr>
      <t xml:space="preserve">档案系统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T129 </t>
    </r>
    <r>
      <rPr>
        <sz val="11"/>
        <color theme="1"/>
        <rFont val="微软雅黑"/>
        <family val="0"/>
        <charset val="1"/>
      </rPr>
      <t xml:space="preserve">工程建设</t>
    </r>
    <r>
      <rPr>
        <sz val="11"/>
        <color theme="1"/>
        <rFont val="Calibri"/>
        <family val="0"/>
        <charset val="134"/>
      </rPr>
      <t xml:space="preserve">EPMP0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T134 MDGP0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</t>
    </r>
  </si>
  <si>
    <r>
      <rPr>
        <sz val="11"/>
        <color theme="1"/>
        <rFont val="Calibri"/>
        <family val="0"/>
        <charset val="134"/>
      </rPr>
      <t xml:space="preserve">T029 </t>
    </r>
    <r>
      <rPr>
        <sz val="11"/>
        <color theme="1"/>
        <rFont val="微软雅黑"/>
        <family val="0"/>
        <charset val="1"/>
      </rPr>
      <t xml:space="preserve">验证水印、权限控制、归档和大文件性能</t>
    </r>
  </si>
  <si>
    <r>
      <rPr>
        <sz val="11"/>
        <color theme="1"/>
        <rFont val="Calibri"/>
        <family val="0"/>
        <charset val="134"/>
      </rPr>
      <t xml:space="preserve">T068 </t>
    </r>
    <r>
      <rPr>
        <sz val="11"/>
        <color theme="1"/>
        <rFont val="微软雅黑"/>
        <family val="0"/>
        <charset val="1"/>
      </rPr>
      <t xml:space="preserve">完成内部集成回归并出具报告；</t>
    </r>
    <r>
      <rPr>
        <sz val="11"/>
        <color theme="1"/>
        <rFont val="Calibri"/>
        <family val="0"/>
        <charset val="134"/>
      </rPr>
      <t xml:space="preserve">T099 </t>
    </r>
    <r>
      <rPr>
        <sz val="11"/>
        <color theme="1"/>
        <rFont val="微软雅黑"/>
        <family val="0"/>
        <charset val="1"/>
      </rPr>
      <t xml:space="preserve">大集中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T104 </t>
    </r>
    <r>
      <rPr>
        <sz val="11"/>
        <color theme="1"/>
        <rFont val="微软雅黑"/>
        <family val="0"/>
        <charset val="1"/>
      </rPr>
      <t xml:space="preserve">昆仑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T109 </t>
    </r>
    <r>
      <rPr>
        <sz val="11"/>
        <color theme="1"/>
        <rFont val="微软雅黑"/>
        <family val="0"/>
        <charset val="1"/>
      </rPr>
      <t xml:space="preserve">云梦泽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T114 </t>
    </r>
    <r>
      <rPr>
        <sz val="11"/>
        <color theme="1"/>
        <rFont val="微软雅黑"/>
        <family val="0"/>
        <charset val="1"/>
      </rPr>
      <t xml:space="preserve">财务共享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T119 </t>
    </r>
    <r>
      <rPr>
        <sz val="11"/>
        <color theme="1"/>
        <rFont val="微软雅黑"/>
        <family val="0"/>
        <charset val="1"/>
      </rPr>
      <t xml:space="preserve">档案系统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T129 </t>
    </r>
    <r>
      <rPr>
        <sz val="11"/>
        <color theme="1"/>
        <rFont val="微软雅黑"/>
        <family val="0"/>
        <charset val="1"/>
      </rPr>
      <t xml:space="preserve">工程建设</t>
    </r>
    <r>
      <rPr>
        <sz val="11"/>
        <color theme="1"/>
        <rFont val="Calibri"/>
        <family val="0"/>
        <charset val="134"/>
      </rPr>
      <t xml:space="preserve">EPMP0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T134 MDGP0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</t>
    </r>
  </si>
  <si>
    <r>
      <rPr>
        <sz val="11"/>
        <color theme="1"/>
        <rFont val="Calibri"/>
        <family val="0"/>
        <charset val="134"/>
      </rPr>
      <t xml:space="preserve">T068 </t>
    </r>
    <r>
      <rPr>
        <sz val="11"/>
        <color theme="1"/>
        <rFont val="微软雅黑"/>
        <family val="0"/>
        <charset val="1"/>
      </rPr>
      <t xml:space="preserve">完成内部集成回归并出具报告；</t>
    </r>
    <r>
      <rPr>
        <sz val="11"/>
        <color theme="1"/>
        <rFont val="Calibri"/>
        <family val="0"/>
        <charset val="134"/>
      </rPr>
      <t xml:space="preserve">T077 </t>
    </r>
    <r>
      <rPr>
        <sz val="11"/>
        <color theme="1"/>
        <rFont val="微软雅黑"/>
        <family val="0"/>
        <charset val="1"/>
      </rPr>
      <t xml:space="preserve">完成</t>
    </r>
    <r>
      <rPr>
        <sz val="11"/>
        <color theme="1"/>
        <rFont val="Calibri"/>
        <family val="0"/>
        <charset val="134"/>
      </rPr>
      <t xml:space="preserve">P0/P1</t>
    </r>
    <r>
      <rPr>
        <sz val="11"/>
        <color theme="1"/>
        <rFont val="微软雅黑"/>
        <family val="0"/>
        <charset val="1"/>
      </rPr>
      <t xml:space="preserve">功能与业务规则测试；</t>
    </r>
    <r>
      <rPr>
        <sz val="11"/>
        <color theme="1"/>
        <rFont val="Calibri"/>
        <family val="0"/>
        <charset val="134"/>
      </rPr>
      <t xml:space="preserve">T099 </t>
    </r>
    <r>
      <rPr>
        <sz val="11"/>
        <color theme="1"/>
        <rFont val="微软雅黑"/>
        <family val="0"/>
        <charset val="1"/>
      </rPr>
      <t xml:space="preserve">大集中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T104 </t>
    </r>
    <r>
      <rPr>
        <sz val="11"/>
        <color theme="1"/>
        <rFont val="微软雅黑"/>
        <family val="0"/>
        <charset val="1"/>
      </rPr>
      <t xml:space="preserve">昆仑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T109 </t>
    </r>
    <r>
      <rPr>
        <sz val="11"/>
        <color theme="1"/>
        <rFont val="微软雅黑"/>
        <family val="0"/>
        <charset val="1"/>
      </rPr>
      <t xml:space="preserve">云梦泽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T114 </t>
    </r>
    <r>
      <rPr>
        <sz val="11"/>
        <color theme="1"/>
        <rFont val="微软雅黑"/>
        <family val="0"/>
        <charset val="1"/>
      </rPr>
      <t xml:space="preserve">财务共享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T119 </t>
    </r>
    <r>
      <rPr>
        <sz val="11"/>
        <color theme="1"/>
        <rFont val="微软雅黑"/>
        <family val="0"/>
        <charset val="1"/>
      </rPr>
      <t xml:space="preserve">档案系统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T129 </t>
    </r>
    <r>
      <rPr>
        <sz val="11"/>
        <color theme="1"/>
        <rFont val="微软雅黑"/>
        <family val="0"/>
        <charset val="1"/>
      </rPr>
      <t xml:space="preserve">工程建设</t>
    </r>
    <r>
      <rPr>
        <sz val="11"/>
        <color theme="1"/>
        <rFont val="Calibri"/>
        <family val="0"/>
        <charset val="134"/>
      </rPr>
      <t xml:space="preserve">EPMP0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T134 MDGP0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</t>
    </r>
  </si>
  <si>
    <r>
      <rPr>
        <sz val="11"/>
        <color theme="1"/>
        <rFont val="Calibri"/>
        <family val="0"/>
        <charset val="134"/>
      </rPr>
      <t xml:space="preserve">T077 </t>
    </r>
    <r>
      <rPr>
        <sz val="11"/>
        <color theme="1"/>
        <rFont val="微软雅黑"/>
        <family val="0"/>
        <charset val="1"/>
      </rPr>
      <t xml:space="preserve">完成</t>
    </r>
    <r>
      <rPr>
        <sz val="11"/>
        <color theme="1"/>
        <rFont val="Calibri"/>
        <family val="0"/>
        <charset val="134"/>
      </rPr>
      <t xml:space="preserve">P0/P1</t>
    </r>
    <r>
      <rPr>
        <sz val="11"/>
        <color theme="1"/>
        <rFont val="微软雅黑"/>
        <family val="0"/>
        <charset val="1"/>
      </rPr>
      <t xml:space="preserve">功能与业务规则测试；</t>
    </r>
    <r>
      <rPr>
        <sz val="11"/>
        <color theme="1"/>
        <rFont val="Calibri"/>
        <family val="0"/>
        <charset val="134"/>
      </rPr>
      <t xml:space="preserve">T078 </t>
    </r>
    <r>
      <rPr>
        <sz val="11"/>
        <color theme="1"/>
        <rFont val="微软雅黑"/>
        <family val="0"/>
        <charset val="1"/>
      </rPr>
      <t xml:space="preserve">完成内部外部接口及端到端回归；</t>
    </r>
    <r>
      <rPr>
        <sz val="11"/>
        <color theme="1"/>
        <rFont val="Calibri"/>
        <family val="0"/>
        <charset val="134"/>
      </rPr>
      <t xml:space="preserve">T099 </t>
    </r>
    <r>
      <rPr>
        <sz val="11"/>
        <color theme="1"/>
        <rFont val="微软雅黑"/>
        <family val="0"/>
        <charset val="1"/>
      </rPr>
      <t xml:space="preserve">大集中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T104 </t>
    </r>
    <r>
      <rPr>
        <sz val="11"/>
        <color theme="1"/>
        <rFont val="微软雅黑"/>
        <family val="0"/>
        <charset val="1"/>
      </rPr>
      <t xml:space="preserve">昆仑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T109 </t>
    </r>
    <r>
      <rPr>
        <sz val="11"/>
        <color theme="1"/>
        <rFont val="微软雅黑"/>
        <family val="0"/>
        <charset val="1"/>
      </rPr>
      <t xml:space="preserve">云梦泽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T114 </t>
    </r>
    <r>
      <rPr>
        <sz val="11"/>
        <color theme="1"/>
        <rFont val="微软雅黑"/>
        <family val="0"/>
        <charset val="1"/>
      </rPr>
      <t xml:space="preserve">财务共享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T119 </t>
    </r>
    <r>
      <rPr>
        <sz val="11"/>
        <color theme="1"/>
        <rFont val="微软雅黑"/>
        <family val="0"/>
        <charset val="1"/>
      </rPr>
      <t xml:space="preserve">档案系统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T129 </t>
    </r>
    <r>
      <rPr>
        <sz val="11"/>
        <color theme="1"/>
        <rFont val="微软雅黑"/>
        <family val="0"/>
        <charset val="1"/>
      </rPr>
      <t xml:space="preserve">工程建设</t>
    </r>
    <r>
      <rPr>
        <sz val="11"/>
        <color theme="1"/>
        <rFont val="Calibri"/>
        <family val="0"/>
        <charset val="134"/>
      </rPr>
      <t xml:space="preserve">EPMP0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T134 MDGP0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</t>
    </r>
  </si>
  <si>
    <r>
      <rPr>
        <sz val="11"/>
        <color theme="1"/>
        <rFont val="Calibri"/>
        <family val="0"/>
        <charset val="134"/>
      </rPr>
      <t xml:space="preserve">T078 </t>
    </r>
    <r>
      <rPr>
        <sz val="11"/>
        <color theme="1"/>
        <rFont val="微软雅黑"/>
        <family val="0"/>
        <charset val="1"/>
      </rPr>
      <t xml:space="preserve">完成内部外部接口及端到端回归；</t>
    </r>
    <r>
      <rPr>
        <sz val="11"/>
        <color theme="1"/>
        <rFont val="Calibri"/>
        <family val="0"/>
        <charset val="134"/>
      </rPr>
      <t xml:space="preserve">T099 </t>
    </r>
    <r>
      <rPr>
        <sz val="11"/>
        <color theme="1"/>
        <rFont val="微软雅黑"/>
        <family val="0"/>
        <charset val="1"/>
      </rPr>
      <t xml:space="preserve">大集中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T104 </t>
    </r>
    <r>
      <rPr>
        <sz val="11"/>
        <color theme="1"/>
        <rFont val="微软雅黑"/>
        <family val="0"/>
        <charset val="1"/>
      </rPr>
      <t xml:space="preserve">昆仑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T109 </t>
    </r>
    <r>
      <rPr>
        <sz val="11"/>
        <color theme="1"/>
        <rFont val="微软雅黑"/>
        <family val="0"/>
        <charset val="1"/>
      </rPr>
      <t xml:space="preserve">云梦泽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T114 </t>
    </r>
    <r>
      <rPr>
        <sz val="11"/>
        <color theme="1"/>
        <rFont val="微软雅黑"/>
        <family val="0"/>
        <charset val="1"/>
      </rPr>
      <t xml:space="preserve">财务共享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T119 </t>
    </r>
    <r>
      <rPr>
        <sz val="11"/>
        <color theme="1"/>
        <rFont val="微软雅黑"/>
        <family val="0"/>
        <charset val="1"/>
      </rPr>
      <t xml:space="preserve">档案系统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T129 </t>
    </r>
    <r>
      <rPr>
        <sz val="11"/>
        <color theme="1"/>
        <rFont val="微软雅黑"/>
        <family val="0"/>
        <charset val="1"/>
      </rPr>
      <t xml:space="preserve">工程建设</t>
    </r>
    <r>
      <rPr>
        <sz val="11"/>
        <color theme="1"/>
        <rFont val="Calibri"/>
        <family val="0"/>
        <charset val="134"/>
      </rPr>
      <t xml:space="preserve">EPMP0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接口测试工作包：集成测试用例执行通过，缺陷闭环；</t>
    </r>
    <r>
      <rPr>
        <sz val="11"/>
        <color theme="1"/>
        <rFont val="Calibri"/>
        <family val="0"/>
        <charset val="134"/>
      </rPr>
      <t xml:space="preserve">T134 MDGP0</t>
    </r>
    <r>
      <rPr>
        <sz val="11"/>
        <color theme="1"/>
        <rFont val="微软雅黑"/>
        <family val="0"/>
        <charset val="1"/>
      </rPr>
      <t xml:space="preserve">接口测试工作包：集成测试用例执行通过，缺陷闭环</t>
    </r>
  </si>
  <si>
    <r>
      <rPr>
        <sz val="11"/>
        <color theme="1"/>
        <rFont val="Calibri"/>
        <family val="0"/>
        <charset val="134"/>
      </rPr>
      <t xml:space="preserve">T018 </t>
    </r>
    <r>
      <rPr>
        <sz val="11"/>
        <color theme="1"/>
        <rFont val="微软雅黑"/>
        <family val="0"/>
        <charset val="1"/>
      </rPr>
      <t xml:space="preserve">制定配置、发布与文档归档规范</t>
    </r>
  </si>
  <si>
    <r>
      <rPr>
        <sz val="11"/>
        <color theme="1"/>
        <rFont val="Calibri"/>
        <family val="0"/>
        <charset val="134"/>
      </rPr>
      <t xml:space="preserve">T018 </t>
    </r>
    <r>
      <rPr>
        <sz val="11"/>
        <color theme="1"/>
        <rFont val="微软雅黑"/>
        <family val="0"/>
        <charset val="1"/>
      </rPr>
      <t xml:space="preserve">制定配置、发布与文档归档规范；</t>
    </r>
    <r>
      <rPr>
        <sz val="11"/>
        <color theme="1"/>
        <rFont val="Calibri"/>
        <family val="0"/>
        <charset val="134"/>
      </rPr>
      <t xml:space="preserve">T023 </t>
    </r>
    <r>
      <rPr>
        <sz val="11"/>
        <color theme="1"/>
        <rFont val="微软雅黑"/>
        <family val="0"/>
        <charset val="1"/>
      </rPr>
      <t xml:space="preserve">完成环境、网络、容灾和</t>
    </r>
    <r>
      <rPr>
        <sz val="11"/>
        <color theme="1"/>
        <rFont val="Calibri"/>
        <family val="0"/>
        <charset val="134"/>
      </rPr>
      <t xml:space="preserve">DevOps</t>
    </r>
    <r>
      <rPr>
        <sz val="11"/>
        <color theme="1"/>
        <rFont val="微软雅黑"/>
        <family val="0"/>
        <charset val="1"/>
      </rPr>
      <t xml:space="preserve">设计</t>
    </r>
  </si>
  <si>
    <r>
      <rPr>
        <sz val="11"/>
        <color theme="1"/>
        <rFont val="Calibri"/>
        <family val="0"/>
        <charset val="134"/>
      </rPr>
      <t xml:space="preserve">T023 </t>
    </r>
    <r>
      <rPr>
        <sz val="11"/>
        <color theme="1"/>
        <rFont val="微软雅黑"/>
        <family val="0"/>
        <charset val="1"/>
      </rPr>
      <t xml:space="preserve">完成环境、网络、容灾和</t>
    </r>
    <r>
      <rPr>
        <sz val="11"/>
        <color theme="1"/>
        <rFont val="Calibri"/>
        <family val="0"/>
        <charset val="134"/>
      </rPr>
      <t xml:space="preserve">DevOps</t>
    </r>
    <r>
      <rPr>
        <sz val="11"/>
        <color theme="1"/>
        <rFont val="微软雅黑"/>
        <family val="0"/>
        <charset val="1"/>
      </rPr>
      <t xml:space="preserve">设计</t>
    </r>
  </si>
  <si>
    <r>
      <rPr>
        <sz val="11"/>
        <color theme="1"/>
        <rFont val="Calibri"/>
        <family val="0"/>
        <charset val="134"/>
      </rPr>
      <t xml:space="preserve">T086 </t>
    </r>
    <r>
      <rPr>
        <sz val="11"/>
        <color theme="1"/>
        <rFont val="微软雅黑"/>
        <family val="0"/>
        <charset val="1"/>
      </rPr>
      <t xml:space="preserve">完成生产部署、发布和回退方案；</t>
    </r>
    <r>
      <rPr>
        <sz val="11"/>
        <color theme="1"/>
        <rFont val="Calibri"/>
        <family val="0"/>
        <charset val="134"/>
      </rPr>
      <t xml:space="preserve">T100 </t>
    </r>
    <r>
      <rPr>
        <sz val="11"/>
        <color theme="1"/>
        <rFont val="微软雅黑"/>
        <family val="0"/>
        <charset val="1"/>
      </rPr>
      <t xml:space="preserve">大集中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接口上线准备工作包：生产配置、发布步骤和回退方案就绪；</t>
    </r>
    <r>
      <rPr>
        <sz val="11"/>
        <color theme="1"/>
        <rFont val="Calibri"/>
        <family val="0"/>
        <charset val="134"/>
      </rPr>
      <t xml:space="preserve">T105 </t>
    </r>
    <r>
      <rPr>
        <sz val="11"/>
        <color theme="1"/>
        <rFont val="微软雅黑"/>
        <family val="0"/>
        <charset val="1"/>
      </rPr>
      <t xml:space="preserve">昆仑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接口上线准备工作包：生产配置、发布步骤和回退方案就绪；</t>
    </r>
    <r>
      <rPr>
        <sz val="11"/>
        <color theme="1"/>
        <rFont val="Calibri"/>
        <family val="0"/>
        <charset val="134"/>
      </rPr>
      <t xml:space="preserve">T110 </t>
    </r>
    <r>
      <rPr>
        <sz val="11"/>
        <color theme="1"/>
        <rFont val="微软雅黑"/>
        <family val="0"/>
        <charset val="1"/>
      </rPr>
      <t xml:space="preserve">云梦泽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接口上线准备工作包：生产配置、发布步骤和回退方案就绪；</t>
    </r>
    <r>
      <rPr>
        <sz val="11"/>
        <color theme="1"/>
        <rFont val="Calibri"/>
        <family val="0"/>
        <charset val="134"/>
      </rPr>
      <t xml:space="preserve">T115 </t>
    </r>
    <r>
      <rPr>
        <sz val="11"/>
        <color theme="1"/>
        <rFont val="微软雅黑"/>
        <family val="0"/>
        <charset val="1"/>
      </rPr>
      <t xml:space="preserve">财务共享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接口上线准备工作包：生产配置、发布步骤和回退方案就绪；</t>
    </r>
    <r>
      <rPr>
        <sz val="11"/>
        <color theme="1"/>
        <rFont val="Calibri"/>
        <family val="0"/>
        <charset val="134"/>
      </rPr>
      <t xml:space="preserve">T120 </t>
    </r>
    <r>
      <rPr>
        <sz val="11"/>
        <color theme="1"/>
        <rFont val="微软雅黑"/>
        <family val="0"/>
        <charset val="1"/>
      </rPr>
      <t xml:space="preserve">档案系统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接口上线准备工作包：生产配置、发布步骤和回退方案就绪；</t>
    </r>
    <r>
      <rPr>
        <sz val="11"/>
        <color theme="1"/>
        <rFont val="Calibri"/>
        <family val="0"/>
        <charset val="134"/>
      </rPr>
      <t xml:space="preserve">T125 IAMP0</t>
    </r>
    <r>
      <rPr>
        <sz val="11"/>
        <color theme="1"/>
        <rFont val="微软雅黑"/>
        <family val="0"/>
        <charset val="1"/>
      </rPr>
      <t xml:space="preserve">接口上线准备工作包：生产配置、发布步骤和回退方案就绪；</t>
    </r>
    <r>
      <rPr>
        <sz val="11"/>
        <color theme="1"/>
        <rFont val="Calibri"/>
        <family val="0"/>
        <charset val="134"/>
      </rPr>
      <t xml:space="preserve">T130 </t>
    </r>
    <r>
      <rPr>
        <sz val="11"/>
        <color theme="1"/>
        <rFont val="微软雅黑"/>
        <family val="0"/>
        <charset val="1"/>
      </rPr>
      <t xml:space="preserve">工程建设</t>
    </r>
    <r>
      <rPr>
        <sz val="11"/>
        <color theme="1"/>
        <rFont val="Calibri"/>
        <family val="0"/>
        <charset val="134"/>
      </rPr>
      <t xml:space="preserve">EPMP0</t>
    </r>
    <r>
      <rPr>
        <sz val="11"/>
        <color theme="1"/>
        <rFont val="微软雅黑"/>
        <family val="0"/>
        <charset val="1"/>
      </rPr>
      <t xml:space="preserve">接口上线准备工作包：生产配置、发布步骤和回退方案就绪；</t>
    </r>
    <r>
      <rPr>
        <sz val="11"/>
        <color theme="1"/>
        <rFont val="Calibri"/>
        <family val="0"/>
        <charset val="134"/>
      </rPr>
      <t xml:space="preserve">T135 MDGP0</t>
    </r>
    <r>
      <rPr>
        <sz val="11"/>
        <color theme="1"/>
        <rFont val="微软雅黑"/>
        <family val="0"/>
        <charset val="1"/>
      </rPr>
      <t xml:space="preserve">接口上线准备工作包：生产配置、发布步骤和回退方案就绪</t>
    </r>
  </si>
  <si>
    <r>
      <rPr>
        <sz val="11"/>
        <color theme="1"/>
        <rFont val="Calibri"/>
        <family val="0"/>
        <charset val="134"/>
      </rPr>
      <t xml:space="preserve">T089 </t>
    </r>
    <r>
      <rPr>
        <sz val="11"/>
        <color theme="1"/>
        <rFont val="微软雅黑"/>
        <family val="0"/>
        <charset val="1"/>
      </rPr>
      <t xml:space="preserve">建立监控、告警、备份和支持机制；</t>
    </r>
    <r>
      <rPr>
        <sz val="11"/>
        <color theme="1"/>
        <rFont val="Calibri"/>
        <family val="0"/>
        <charset val="134"/>
      </rPr>
      <t xml:space="preserve">T100 </t>
    </r>
    <r>
      <rPr>
        <sz val="11"/>
        <color theme="1"/>
        <rFont val="微软雅黑"/>
        <family val="0"/>
        <charset val="1"/>
      </rPr>
      <t xml:space="preserve">大集中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接口上线准备工作包：生产配置、发布步骤和回退方案就绪；</t>
    </r>
    <r>
      <rPr>
        <sz val="11"/>
        <color theme="1"/>
        <rFont val="Calibri"/>
        <family val="0"/>
        <charset val="134"/>
      </rPr>
      <t xml:space="preserve">T105 </t>
    </r>
    <r>
      <rPr>
        <sz val="11"/>
        <color theme="1"/>
        <rFont val="微软雅黑"/>
        <family val="0"/>
        <charset val="1"/>
      </rPr>
      <t xml:space="preserve">昆仑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接口上线准备工作包：生产配置、发布步骤和回退方案就绪；</t>
    </r>
    <r>
      <rPr>
        <sz val="11"/>
        <color theme="1"/>
        <rFont val="Calibri"/>
        <family val="0"/>
        <charset val="134"/>
      </rPr>
      <t xml:space="preserve">T110 </t>
    </r>
    <r>
      <rPr>
        <sz val="11"/>
        <color theme="1"/>
        <rFont val="微软雅黑"/>
        <family val="0"/>
        <charset val="1"/>
      </rPr>
      <t xml:space="preserve">云梦泽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接口上线准备工作包：生产配置、发布步骤和回退方案就绪；</t>
    </r>
    <r>
      <rPr>
        <sz val="11"/>
        <color theme="1"/>
        <rFont val="Calibri"/>
        <family val="0"/>
        <charset val="134"/>
      </rPr>
      <t xml:space="preserve">T115 </t>
    </r>
    <r>
      <rPr>
        <sz val="11"/>
        <color theme="1"/>
        <rFont val="微软雅黑"/>
        <family val="0"/>
        <charset val="1"/>
      </rPr>
      <t xml:space="preserve">财务共享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接口上线准备工作包：生产配置、发布步骤和回退方案就绪；</t>
    </r>
    <r>
      <rPr>
        <sz val="11"/>
        <color theme="1"/>
        <rFont val="Calibri"/>
        <family val="0"/>
        <charset val="134"/>
      </rPr>
      <t xml:space="preserve">T120 </t>
    </r>
    <r>
      <rPr>
        <sz val="11"/>
        <color theme="1"/>
        <rFont val="微软雅黑"/>
        <family val="0"/>
        <charset val="1"/>
      </rPr>
      <t xml:space="preserve">档案系统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接口上线准备工作包：生产配置、发布步骤和回退方案就绪；</t>
    </r>
    <r>
      <rPr>
        <sz val="11"/>
        <color theme="1"/>
        <rFont val="Calibri"/>
        <family val="0"/>
        <charset val="134"/>
      </rPr>
      <t xml:space="preserve">T125 IAMP0</t>
    </r>
    <r>
      <rPr>
        <sz val="11"/>
        <color theme="1"/>
        <rFont val="微软雅黑"/>
        <family val="0"/>
        <charset val="1"/>
      </rPr>
      <t xml:space="preserve">接口上线准备工作包：生产配置、发布步骤和回退方案就绪；</t>
    </r>
    <r>
      <rPr>
        <sz val="11"/>
        <color theme="1"/>
        <rFont val="Calibri"/>
        <family val="0"/>
        <charset val="134"/>
      </rPr>
      <t xml:space="preserve">T130 </t>
    </r>
    <r>
      <rPr>
        <sz val="11"/>
        <color theme="1"/>
        <rFont val="微软雅黑"/>
        <family val="0"/>
        <charset val="1"/>
      </rPr>
      <t xml:space="preserve">工程建设</t>
    </r>
    <r>
      <rPr>
        <sz val="11"/>
        <color theme="1"/>
        <rFont val="Calibri"/>
        <family val="0"/>
        <charset val="134"/>
      </rPr>
      <t xml:space="preserve">EPMP0</t>
    </r>
    <r>
      <rPr>
        <sz val="11"/>
        <color theme="1"/>
        <rFont val="微软雅黑"/>
        <family val="0"/>
        <charset val="1"/>
      </rPr>
      <t xml:space="preserve">接口上线准备工作包：生产配置、发布步骤和回退方案就绪；</t>
    </r>
    <r>
      <rPr>
        <sz val="11"/>
        <color theme="1"/>
        <rFont val="Calibri"/>
        <family val="0"/>
        <charset val="134"/>
      </rPr>
      <t xml:space="preserve">T135 MDGP0</t>
    </r>
    <r>
      <rPr>
        <sz val="11"/>
        <color theme="1"/>
        <rFont val="微软雅黑"/>
        <family val="0"/>
        <charset val="1"/>
      </rPr>
      <t xml:space="preserve">接口上线准备工作包：生产配置、发布步骤和回退方案就绪</t>
    </r>
  </si>
  <si>
    <r>
      <rPr>
        <sz val="11"/>
        <color theme="1"/>
        <rFont val="Calibri"/>
        <family val="0"/>
        <charset val="134"/>
      </rPr>
      <t xml:space="preserve">T100 </t>
    </r>
    <r>
      <rPr>
        <sz val="11"/>
        <color theme="1"/>
        <rFont val="微软雅黑"/>
        <family val="0"/>
        <charset val="1"/>
      </rPr>
      <t xml:space="preserve">大集中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接口上线准备工作包：生产配置、发布步骤和回退方案就绪；</t>
    </r>
    <r>
      <rPr>
        <sz val="11"/>
        <color theme="1"/>
        <rFont val="Calibri"/>
        <family val="0"/>
        <charset val="134"/>
      </rPr>
      <t xml:space="preserve">T105 </t>
    </r>
    <r>
      <rPr>
        <sz val="11"/>
        <color theme="1"/>
        <rFont val="微软雅黑"/>
        <family val="0"/>
        <charset val="1"/>
      </rPr>
      <t xml:space="preserve">昆仑</t>
    </r>
    <r>
      <rPr>
        <sz val="11"/>
        <color theme="1"/>
        <rFont val="Calibri"/>
        <family val="0"/>
        <charset val="134"/>
      </rPr>
      <t xml:space="preserve">ERPP0</t>
    </r>
    <r>
      <rPr>
        <sz val="11"/>
        <color theme="1"/>
        <rFont val="微软雅黑"/>
        <family val="0"/>
        <charset val="1"/>
      </rPr>
      <t xml:space="preserve">接口上线准备工作包：生产配置、发布步骤和回退方案就绪；</t>
    </r>
    <r>
      <rPr>
        <sz val="11"/>
        <color theme="1"/>
        <rFont val="Calibri"/>
        <family val="0"/>
        <charset val="134"/>
      </rPr>
      <t xml:space="preserve">T110 </t>
    </r>
    <r>
      <rPr>
        <sz val="11"/>
        <color theme="1"/>
        <rFont val="微软雅黑"/>
        <family val="0"/>
        <charset val="1"/>
      </rPr>
      <t xml:space="preserve">云梦泽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接口上线准备工作包：生产配置、发布步骤和回退方案就绪；</t>
    </r>
    <r>
      <rPr>
        <sz val="11"/>
        <color theme="1"/>
        <rFont val="Calibri"/>
        <family val="0"/>
        <charset val="134"/>
      </rPr>
      <t xml:space="preserve">T115 </t>
    </r>
    <r>
      <rPr>
        <sz val="11"/>
        <color theme="1"/>
        <rFont val="微软雅黑"/>
        <family val="0"/>
        <charset val="1"/>
      </rPr>
      <t xml:space="preserve">财务共享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接口上线准备工作包：生产配置、发布步骤和回退方案就绪；</t>
    </r>
    <r>
      <rPr>
        <sz val="11"/>
        <color theme="1"/>
        <rFont val="Calibri"/>
        <family val="0"/>
        <charset val="134"/>
      </rPr>
      <t xml:space="preserve">T120 </t>
    </r>
    <r>
      <rPr>
        <sz val="11"/>
        <color theme="1"/>
        <rFont val="微软雅黑"/>
        <family val="0"/>
        <charset val="1"/>
      </rPr>
      <t xml:space="preserve">档案系统</t>
    </r>
    <r>
      <rPr>
        <sz val="11"/>
        <color theme="1"/>
        <rFont val="Calibri"/>
        <family val="0"/>
        <charset val="134"/>
      </rPr>
      <t xml:space="preserve">P0</t>
    </r>
    <r>
      <rPr>
        <sz val="11"/>
        <color theme="1"/>
        <rFont val="微软雅黑"/>
        <family val="0"/>
        <charset val="1"/>
      </rPr>
      <t xml:space="preserve">接口上线准备工作包：生产配置、发布步骤和回退方案就绪；</t>
    </r>
    <r>
      <rPr>
        <sz val="11"/>
        <color theme="1"/>
        <rFont val="Calibri"/>
        <family val="0"/>
        <charset val="134"/>
      </rPr>
      <t xml:space="preserve">T125 IAMP0</t>
    </r>
    <r>
      <rPr>
        <sz val="11"/>
        <color theme="1"/>
        <rFont val="微软雅黑"/>
        <family val="0"/>
        <charset val="1"/>
      </rPr>
      <t xml:space="preserve">接口上线准备工作包：生产配置、发布步骤和回退方案就绪；</t>
    </r>
    <r>
      <rPr>
        <sz val="11"/>
        <color theme="1"/>
        <rFont val="Calibri"/>
        <family val="0"/>
        <charset val="134"/>
      </rPr>
      <t xml:space="preserve">T130 </t>
    </r>
    <r>
      <rPr>
        <sz val="11"/>
        <color theme="1"/>
        <rFont val="微软雅黑"/>
        <family val="0"/>
        <charset val="1"/>
      </rPr>
      <t xml:space="preserve">工程建设</t>
    </r>
    <r>
      <rPr>
        <sz val="11"/>
        <color theme="1"/>
        <rFont val="Calibri"/>
        <family val="0"/>
        <charset val="134"/>
      </rPr>
      <t xml:space="preserve">EPMP0</t>
    </r>
    <r>
      <rPr>
        <sz val="11"/>
        <color theme="1"/>
        <rFont val="微软雅黑"/>
        <family val="0"/>
        <charset val="1"/>
      </rPr>
      <t xml:space="preserve">接口上线准备工作包：生产配置、发布步骤和回退方案就绪；</t>
    </r>
    <r>
      <rPr>
        <sz val="11"/>
        <color theme="1"/>
        <rFont val="Calibri"/>
        <family val="0"/>
        <charset val="134"/>
      </rPr>
      <t xml:space="preserve">T135 MDGP0</t>
    </r>
    <r>
      <rPr>
        <sz val="11"/>
        <color theme="1"/>
        <rFont val="微软雅黑"/>
        <family val="0"/>
        <charset val="1"/>
      </rPr>
      <t xml:space="preserve">接口上线准备工作包：生产配置、发布步骤和回退方案就绪</t>
    </r>
  </si>
  <si>
    <r>
      <rPr>
        <sz val="11"/>
        <color theme="1"/>
        <rFont val="Calibri"/>
        <family val="0"/>
        <charset val="134"/>
      </rPr>
      <t xml:space="preserve">T092 </t>
    </r>
    <r>
      <rPr>
        <sz val="11"/>
        <color theme="1"/>
        <rFont val="微软雅黑"/>
        <family val="0"/>
        <charset val="1"/>
      </rPr>
      <t xml:space="preserve">执行生产部署、数据切换和版本发布</t>
    </r>
  </si>
  <si>
    <t xml:space="preserve">周迭代计划与完成跟踪</t>
  </si>
  <si>
    <t xml:space="preserve">上方汇总承诺完成、延期和暂停；下方按总控任务四阶段展开。周目标和复盘人工填写，其余内容更新V2时重建。</t>
  </si>
  <si>
    <t xml:space="preserve">迭代周选项</t>
  </si>
  <si>
    <t xml:space="preserve">开始日期</t>
  </si>
  <si>
    <t xml:space="preserve">结束日期</t>
  </si>
  <si>
    <t xml:space="preserve">周目标</t>
  </si>
  <si>
    <t xml:space="preserve">原周计划摘要</t>
  </si>
  <si>
    <t xml:space="preserve">计划完成阶段数</t>
  </si>
  <si>
    <t xml:space="preserve">实际完成阶段数</t>
  </si>
  <si>
    <t xml:space="preserve">承诺完成率</t>
  </si>
  <si>
    <t xml:space="preserve">延期数</t>
  </si>
  <si>
    <t xml:space="preserve">暂停数</t>
  </si>
  <si>
    <t xml:space="preserve">周状态</t>
  </si>
  <si>
    <t xml:space="preserve">复盘结论</t>
  </si>
  <si>
    <t xml:space="preserve">_key</t>
  </si>
  <si>
    <t xml:space="preserve">2026-W01</t>
  </si>
  <si>
    <t xml:space="preserve">完成外部产品POC问题清单、适配结论和选型建议汇总</t>
  </si>
  <si>
    <t xml:space="preserve">2026-W02</t>
  </si>
  <si>
    <t xml:space="preserve">2026-W03</t>
  </si>
  <si>
    <t xml:space="preserve">2026-W04</t>
  </si>
  <si>
    <t xml:space="preserve">2026-W05</t>
  </si>
  <si>
    <t xml:space="preserve">2026-W06</t>
  </si>
  <si>
    <t xml:space="preserve">2026-W07</t>
  </si>
  <si>
    <t xml:space="preserve">2026-W08</t>
  </si>
  <si>
    <t xml:space="preserve">2026-W09</t>
  </si>
  <si>
    <t xml:space="preserve">2026-W10</t>
  </si>
  <si>
    <t xml:space="preserve">2026-W11</t>
  </si>
  <si>
    <t xml:space="preserve">2026-W12</t>
  </si>
  <si>
    <t xml:space="preserve">2026-W13</t>
  </si>
  <si>
    <t xml:space="preserve">2026-W14</t>
  </si>
  <si>
    <t xml:space="preserve">2026-W15</t>
  </si>
  <si>
    <t xml:space="preserve">2026-W16</t>
  </si>
  <si>
    <t xml:space="preserve">2026-W17</t>
  </si>
  <si>
    <t xml:space="preserve">2026-W18</t>
  </si>
  <si>
    <t xml:space="preserve">2026-W19</t>
  </si>
  <si>
    <t xml:space="preserve">2026-W20</t>
  </si>
  <si>
    <t xml:space="preserve">2026-W21</t>
  </si>
  <si>
    <t xml:space="preserve">2026-W22</t>
  </si>
  <si>
    <t xml:space="preserve">2026-W23</t>
  </si>
  <si>
    <t xml:space="preserve">2026-W24</t>
  </si>
  <si>
    <t xml:space="preserve">2026-W25</t>
  </si>
  <si>
    <t xml:space="preserve">周任务明细</t>
  </si>
  <si>
    <t xml:space="preserve">2026-W26</t>
  </si>
  <si>
    <t xml:space="preserve">任务名称</t>
  </si>
  <si>
    <t xml:space="preserve">专业阶段</t>
  </si>
  <si>
    <t xml:space="preserve">阶段状态</t>
  </si>
  <si>
    <t xml:space="preserve">实际完成日期</t>
  </si>
  <si>
    <t xml:space="preserve">是否延期</t>
  </si>
  <si>
    <t xml:space="preserve">异常提示</t>
  </si>
  <si>
    <t xml:space="preserve">复盘说明</t>
  </si>
  <si>
    <t xml:space="preserve">_detail_key</t>
  </si>
  <si>
    <t xml:space="preserve">2026-W27</t>
  </si>
  <si>
    <t xml:space="preserve">业务</t>
  </si>
  <si>
    <t xml:space="preserve">2026-W28</t>
  </si>
  <si>
    <t xml:space="preserve">2026-W29</t>
  </si>
  <si>
    <t xml:space="preserve">2026-W30</t>
  </si>
  <si>
    <t xml:space="preserve">2026-W31</t>
  </si>
  <si>
    <t xml:space="preserve">2026-W32</t>
  </si>
  <si>
    <t xml:space="preserve">2026-W33</t>
  </si>
  <si>
    <t xml:space="preserve">2026-W34</t>
  </si>
  <si>
    <t xml:space="preserve">2026-W35</t>
  </si>
  <si>
    <t xml:space="preserve">2026-W36</t>
  </si>
  <si>
    <t xml:space="preserve">2026-W37</t>
  </si>
  <si>
    <t xml:space="preserve">2026-W38</t>
  </si>
  <si>
    <t xml:space="preserve">2026-W39</t>
  </si>
  <si>
    <t xml:space="preserve">2026-W41</t>
  </si>
  <si>
    <t xml:space="preserve">2026-W42</t>
  </si>
  <si>
    <t xml:space="preserve">2026-W43</t>
  </si>
  <si>
    <t xml:space="preserve">2026-W44</t>
  </si>
  <si>
    <t xml:space="preserve">2026-W45</t>
  </si>
  <si>
    <t xml:space="preserve">2026-W46</t>
  </si>
  <si>
    <t xml:space="preserve">2026-W47</t>
  </si>
  <si>
    <t xml:space="preserve">2026-W48</t>
  </si>
  <si>
    <t xml:space="preserve">2026-W49</t>
  </si>
  <si>
    <t xml:space="preserve">2026-W50</t>
  </si>
  <si>
    <t xml:space="preserve">2026-W51</t>
  </si>
  <si>
    <t xml:space="preserve">2026-W52</t>
  </si>
  <si>
    <t xml:space="preserve">2027-W01</t>
  </si>
  <si>
    <t xml:space="preserve">2027-W02</t>
  </si>
  <si>
    <t xml:space="preserve">2027-W03</t>
  </si>
  <si>
    <t xml:space="preserve">2027-W04</t>
  </si>
  <si>
    <t xml:space="preserve">2027-W05</t>
  </si>
  <si>
    <t xml:space="preserve">2027-W06</t>
  </si>
  <si>
    <t xml:space="preserve">2027-W07</t>
  </si>
  <si>
    <t xml:space="preserve">2027-W08</t>
  </si>
  <si>
    <t xml:space="preserve">2027-W09</t>
  </si>
  <si>
    <t xml:space="preserve">2027-W10</t>
  </si>
  <si>
    <t xml:space="preserve">2027-W11</t>
  </si>
  <si>
    <t xml:space="preserve">2027-W12</t>
  </si>
  <si>
    <t xml:space="preserve">2027-W13</t>
  </si>
  <si>
    <t xml:space="preserve">2027-W14</t>
  </si>
  <si>
    <t xml:space="preserve">2027-W15</t>
  </si>
  <si>
    <t xml:space="preserve">2027-W16</t>
  </si>
  <si>
    <t xml:space="preserve">2027-W17</t>
  </si>
  <si>
    <t xml:space="preserve">2027-W18</t>
  </si>
  <si>
    <t xml:space="preserve">2027-W19</t>
  </si>
  <si>
    <t xml:space="preserve">2027-W20</t>
  </si>
  <si>
    <t xml:space="preserve">2027-W21</t>
  </si>
  <si>
    <t xml:space="preserve">2027-W22</t>
  </si>
  <si>
    <t xml:space="preserve">2027-W23</t>
  </si>
  <si>
    <t xml:space="preserve">2027-W24</t>
  </si>
  <si>
    <t xml:space="preserve">2027-W25</t>
  </si>
  <si>
    <t xml:space="preserve">2027-W26</t>
  </si>
  <si>
    <t xml:space="preserve">字段</t>
  </si>
  <si>
    <t xml:space="preserve">值</t>
  </si>
  <si>
    <t xml:space="preserve">Project_ID</t>
  </si>
  <si>
    <t xml:space="preserve">ECM-2026</t>
  </si>
  <si>
    <t xml:space="preserve">项目名称</t>
  </si>
  <si>
    <t xml:space="preserve">模块编码</t>
  </si>
  <si>
    <t xml:space="preserve">02</t>
  </si>
  <si>
    <t xml:space="preserve">生成日期</t>
  </si>
  <si>
    <t xml:space="preserve">2026-09-16</t>
  </si>
  <si>
    <t xml:space="preserve">中央数据库</t>
  </si>
  <si>
    <r>
      <rPr>
        <sz val="11"/>
        <color theme="1"/>
        <rFont val="Calibri"/>
        <family val="0"/>
        <charset val="134"/>
      </rPr>
      <t xml:space="preserve">../90_</t>
    </r>
    <r>
      <rPr>
        <sz val="11"/>
        <color theme="1"/>
        <rFont val="微软雅黑"/>
        <family val="0"/>
        <charset val="1"/>
      </rPr>
      <t xml:space="preserve">项目数据中心</t>
    </r>
    <r>
      <rPr>
        <sz val="11"/>
        <color theme="1"/>
        <rFont val="Calibri"/>
        <family val="0"/>
        <charset val="134"/>
      </rPr>
      <t xml:space="preserve">/ai_pmo.db</t>
    </r>
  </si>
  <si>
    <t xml:space="preserve">数据日期</t>
  </si>
  <si>
    <t xml:space="preserve">可研完成日期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</si>
</sst>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0%"/>
    <numFmt numFmtId="167" formatCode="0"/>
    <numFmt numFmtId="168" formatCode="0.0"/>
    <numFmt numFmtId="169" formatCode="0.0%"/>
  </numFmts>
  <fonts count="33">
    <font>
      <sz val="11"/>
      <color theme="1"/>
      <name val="微软雅黑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微软雅黑"/>
      <family val="0"/>
      <charset val="1"/>
    </font>
    <font>
      <i val="true"/>
      <sz val="10"/>
      <color rgb="FF666666"/>
      <name val="微软雅黑"/>
      <family val="0"/>
      <charset val="1"/>
    </font>
    <font>
      <sz val="10"/>
      <color rgb="FF404040"/>
      <name val="微软雅黑"/>
      <family val="0"/>
      <charset val="1"/>
    </font>
    <font>
      <sz val="10"/>
      <color rgb="FF404040"/>
      <name val="Arial"/>
      <family val="0"/>
      <charset val="134"/>
    </font>
    <font>
      <b val="true"/>
      <sz val="11"/>
      <color rgb="FF1F4E78"/>
      <name val="微软雅黑"/>
      <family val="0"/>
      <charset val="1"/>
    </font>
    <font>
      <b val="true"/>
      <sz val="10"/>
      <color rgb="FF1F4E78"/>
      <name val="微软雅黑"/>
      <family val="0"/>
      <charset val="1"/>
    </font>
    <font>
      <b val="true"/>
      <sz val="11"/>
      <color rgb="FFFFFFFF"/>
      <name val="微软雅黑"/>
      <family val="0"/>
      <charset val="1"/>
    </font>
    <font>
      <sz val="11"/>
      <color rgb="FF1F2937"/>
      <name val="Calibri"/>
      <family val="0"/>
      <charset val="134"/>
    </font>
    <font>
      <sz val="11"/>
      <color rgb="FF1F2937"/>
      <name val="微软雅黑"/>
      <family val="0"/>
      <charset val="1"/>
    </font>
    <font>
      <i val="true"/>
      <sz val="11"/>
      <color rgb="FF17365D"/>
      <name val="微软雅黑"/>
      <family val="0"/>
      <charset val="1"/>
    </font>
    <font>
      <sz val="9"/>
      <color rgb="FF404040"/>
      <name val="Arial"/>
      <family val="0"/>
      <charset val="134"/>
    </font>
    <font>
      <b val="true"/>
      <sz val="9"/>
      <color rgb="FF1F4E78"/>
      <name val="微软雅黑"/>
      <family val="0"/>
      <charset val="1"/>
    </font>
    <font>
      <sz val="9"/>
      <color rgb="FF404040"/>
      <name val="微软雅黑"/>
      <family val="0"/>
      <charset val="1"/>
    </font>
    <font>
      <b val="true"/>
      <sz val="9"/>
      <color rgb="FF1F4E78"/>
      <name val="Arial"/>
      <family val="0"/>
      <charset val="134"/>
    </font>
    <font>
      <b val="true"/>
      <sz val="14"/>
      <color rgb="FFFFFFFF"/>
      <name val="微软雅黑"/>
      <family val="0"/>
      <charset val="1"/>
    </font>
    <font>
      <i val="true"/>
      <sz val="11"/>
      <color rgb="FF1F4E78"/>
      <name val="微软雅黑"/>
      <family val="0"/>
      <charset val="1"/>
    </font>
    <font>
      <sz val="11"/>
      <color theme="1"/>
      <name val="Calibri"/>
      <family val="0"/>
      <charset val="134"/>
    </font>
    <font>
      <b val="true"/>
      <sz val="16"/>
      <color rgb="FF17365D"/>
      <name val="微软雅黑"/>
      <family val="0"/>
      <charset val="1"/>
    </font>
    <font>
      <b val="true"/>
      <i val="true"/>
      <sz val="10"/>
      <color rgb="FF7F6000"/>
      <name val="微软雅黑"/>
      <family val="0"/>
      <charset val="1"/>
    </font>
    <font>
      <sz val="11"/>
      <name val="微软雅黑"/>
      <family val="0"/>
      <charset val="1"/>
    </font>
    <font>
      <sz val="10"/>
      <color rgb="FF1F2937"/>
      <name val="微软雅黑"/>
      <family val="0"/>
      <charset val="1"/>
    </font>
    <font>
      <sz val="10"/>
      <color rgb="FF1F2937"/>
      <name val="Calibri"/>
      <family val="0"/>
      <charset val="134"/>
    </font>
    <font>
      <b val="true"/>
      <sz val="12"/>
      <color rgb="FFFFFFFF"/>
      <name val="微软雅黑"/>
      <family val="0"/>
      <charset val="1"/>
    </font>
    <font>
      <i val="true"/>
      <sz val="10"/>
      <color rgb="FF44546A"/>
      <name val="微软雅黑"/>
      <family val="0"/>
      <charset val="1"/>
    </font>
    <font>
      <i val="true"/>
      <sz val="10"/>
      <color rgb="FF5B6573"/>
      <name val="微软雅黑"/>
      <family val="0"/>
      <charset val="1"/>
    </font>
    <font>
      <b val="true"/>
      <sz val="10"/>
      <color rgb="FFFFFFFF"/>
      <name val="微软雅黑"/>
      <family val="0"/>
      <charset val="1"/>
    </font>
    <font>
      <sz val="11"/>
      <name val="Calibri"/>
      <family val="0"/>
      <charset val="134"/>
    </font>
    <font>
      <b val="true"/>
      <sz val="12"/>
      <color rgb="FF17365D"/>
      <name val="微软雅黑"/>
      <family val="0"/>
      <charset val="1"/>
    </font>
    <font>
      <b val="true"/>
      <sz val="10"/>
      <color rgb="FFFFFFFF"/>
      <name val="Calibri"/>
      <family val="0"/>
      <charset val="134"/>
    </font>
  </fonts>
  <fills count="12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BDD7EE"/>
        <bgColor rgb="FFB4C7E7"/>
      </patternFill>
    </fill>
    <fill>
      <patternFill patternType="solid">
        <fgColor rgb="FFEAF2F8"/>
        <bgColor rgb="FFF2F2F2"/>
      </patternFill>
    </fill>
    <fill>
      <patternFill patternType="solid">
        <fgColor rgb="FF17365D"/>
        <bgColor rgb="FF1F2937"/>
      </patternFill>
    </fill>
    <fill>
      <patternFill patternType="solid">
        <fgColor rgb="FF0070C0"/>
        <bgColor rgb="FF087EBC"/>
      </patternFill>
    </fill>
    <fill>
      <patternFill patternType="solid">
        <fgColor rgb="FFDDEBF7"/>
        <bgColor rgb="FFD9EAF7"/>
      </patternFill>
    </fill>
    <fill>
      <patternFill patternType="solid">
        <fgColor rgb="FFD9EAF7"/>
        <bgColor rgb="FFDDEBF7"/>
      </patternFill>
    </fill>
    <fill>
      <patternFill patternType="solid">
        <fgColor rgb="FF087EBC"/>
        <bgColor rgb="FF0070C0"/>
      </patternFill>
    </fill>
    <fill>
      <patternFill patternType="solid">
        <fgColor rgb="FFFFFFFF"/>
        <bgColor rgb="FFF2F2F2"/>
      </patternFill>
    </fill>
    <fill>
      <patternFill patternType="solid">
        <fgColor rgb="FF1F4E78"/>
        <bgColor rgb="FF17365D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 diagonalUp="false" diagonalDown="false">
      <left style="thin">
        <color rgb="FFB4C7E7"/>
      </left>
      <right style="thin">
        <color rgb="FFB4C7E7"/>
      </right>
      <top style="thin">
        <color rgb="FFB4C7E7"/>
      </top>
      <bottom style="thin">
        <color rgb="FFB4C7E7"/>
      </bottom>
      <diagonal/>
    </border>
    <border diagonalUp="false" diagonalDown="false"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 diagonalUp="false" diagonalDown="false">
      <left style="thin"/>
      <right style="thin"/>
      <top style="thin">
        <color rgb="FFD9E1F2"/>
      </top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>
        <color rgb="FFB4C7E7"/>
      </left>
      <right/>
      <top style="thin">
        <color rgb="FFB4C7E7"/>
      </top>
      <bottom style="thin">
        <color rgb="FFB4C7E7"/>
      </bottom>
      <diagonal/>
    </border>
    <border diagonalUp="false" diagonalDown="false">
      <left style="thin">
        <color rgb="FFD9E1F2"/>
      </left>
      <right style="thin">
        <color rgb="FFD9E1F2"/>
      </right>
      <top/>
      <bottom/>
      <diagonal/>
    </border>
    <border diagonalUp="false" diagonalDown="false">
      <left/>
      <right/>
      <top style="thin">
        <color rgb="FFD9E1F2"/>
      </top>
      <bottom style="thin">
        <color rgb="FFD9E1F2"/>
      </bottom>
      <diagonal/>
    </border>
    <border diagonalUp="false" diagonalDown="false">
      <left/>
      <right style="thin">
        <color rgb="FFD9E1F2"/>
      </right>
      <top style="thin">
        <color rgb="FFD9E1F2"/>
      </top>
      <bottom style="thin">
        <color rgb="FFD9E1F2"/>
      </bottom>
      <diagonal/>
    </border>
    <border diagonalUp="false" diagonalDown="false">
      <left style="thin">
        <color rgb="FFD9E1F2"/>
      </left>
      <right style="thin">
        <color rgb="FFD9E1F2"/>
      </right>
      <top/>
      <bottom style="thin">
        <color rgb="FFD9E1F2"/>
      </bottom>
      <diagonal/>
    </border>
    <border diagonalUp="false" diagonalDown="false">
      <left style="thin"/>
      <right style="thin"/>
      <top style="thin"/>
      <bottom style="thin">
        <color rgb="FFD9E1F2"/>
      </bottom>
      <diagonal/>
    </border>
    <border diagonalUp="false" diagonalDown="false">
      <left style="thin"/>
      <right style="thin"/>
      <top style="thin">
        <color rgb="FFD9E1F2"/>
      </top>
      <bottom style="thin">
        <color rgb="FFD9E1F2"/>
      </bottom>
      <diagonal/>
    </border>
    <border diagonalUp="false" diagonalDown="false">
      <left style="thin"/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2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2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2" fillId="2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1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1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1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1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4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6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4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8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20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20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20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20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20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20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1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25" fillId="1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25" fillId="1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25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2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5" fillId="10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25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1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4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24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24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11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2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2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25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2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25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24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2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24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24" fillId="0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2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24" fillId="0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24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24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2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8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24" fillId="8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24" fillId="8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1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1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1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25" fillId="0" borderId="1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2" borderId="1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4">
    <dxf>
      <font>
        <b val="1"/>
        <color rgb="FF9C0006"/>
      </font>
      <fill>
        <patternFill>
          <bgColor rgb="FFF4CCCC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274E13"/>
      </font>
      <fill>
        <patternFill>
          <bgColor rgb="FFD9EAD3"/>
        </patternFill>
      </fill>
    </dxf>
    <dxf>
      <font>
        <b val="1"/>
        <color rgb="FF375623"/>
      </font>
      <fill>
        <patternFill>
          <bgColor rgb="FFE2F0D9"/>
        </patternFill>
      </fill>
    </dxf>
    <dxf>
      <font>
        <b val="1"/>
        <color rgb="FF1F4E78"/>
      </font>
      <fill>
        <patternFill>
          <bgColor rgb="FFDDEBF7"/>
        </patternFill>
      </fill>
    </dxf>
    <dxf>
      <font>
        <b val="1"/>
        <color rgb="FF7F6000"/>
      </font>
      <fill>
        <patternFill>
          <bgColor rgb="FFFFF2CC"/>
        </patternFill>
      </fill>
    </dxf>
    <dxf>
      <font>
        <b val="1"/>
        <color rgb="FF9C5700"/>
      </font>
      <fill>
        <patternFill>
          <bgColor rgb="FFFCE4D6"/>
        </patternFill>
      </fill>
    </dxf>
    <dxf>
      <font>
        <b val="1"/>
        <color rgb="FF595959"/>
      </font>
      <fill>
        <patternFill>
          <bgColor rgb="FFE7E6E6"/>
        </patternFill>
      </fill>
    </dxf>
    <dxf>
      <font>
        <b val="1"/>
        <color rgb="FF595959"/>
      </font>
      <fill>
        <patternFill>
          <bgColor rgb="FFF2F2F2"/>
        </patternFill>
      </fill>
    </dxf>
    <dxf>
      <font>
        <color rgb="FF375623"/>
      </font>
      <fill>
        <patternFill>
          <bgColor rgb="FFE2F0D9"/>
        </patternFill>
      </fill>
    </dxf>
    <dxf>
      <fill>
        <patternFill patternType="solid">
          <fgColor rgb="FF087EB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9C000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D9EAD3"/>
      <rgbColor rgb="FFFF00FF"/>
      <rgbColor rgb="FF00FFFF"/>
      <rgbColor rgb="FF9C0006"/>
      <rgbColor rgb="FF375623"/>
      <rgbColor rgb="FF000080"/>
      <rgbColor rgb="FF7F6000"/>
      <rgbColor rgb="FF800080"/>
      <rgbColor rgb="FF087EBC"/>
      <rgbColor rgb="FFB4C6E7"/>
      <rgbColor rgb="FF7F8C8D"/>
      <rgbColor rgb="FF5B9BD5"/>
      <rgbColor rgb="FF595959"/>
      <rgbColor rgb="FFFFF2CC"/>
      <rgbColor rgb="FFD9EAF7"/>
      <rgbColor rgb="FF660066"/>
      <rgbColor rgb="FFFF8080"/>
      <rgbColor rgb="FF0070C0"/>
      <rgbColor rgb="FFBDD7EE"/>
      <rgbColor rgb="FF000080"/>
      <rgbColor rgb="FFFF00FF"/>
      <rgbColor rgb="FFF2F2F2"/>
      <rgbColor rgb="FF00FFFF"/>
      <rgbColor rgb="FF800080"/>
      <rgbColor rgb="FF800000"/>
      <rgbColor rgb="FF44546A"/>
      <rgbColor rgb="FF0000FF"/>
      <rgbColor rgb="FF00CCFF"/>
      <rgbColor rgb="FFDDEBF7"/>
      <rgbColor rgb="FFE2F0D9"/>
      <rgbColor rgb="FFFCE4D6"/>
      <rgbColor rgb="FFB4C7E7"/>
      <rgbColor rgb="FFE7E6E6"/>
      <rgbColor rgb="FFD9E1F2"/>
      <rgbColor rgb="FFF4CCCC"/>
      <rgbColor rgb="FF4472C4"/>
      <rgbColor rgb="FF33CCCC"/>
      <rgbColor rgb="FF99CC00"/>
      <rgbColor rgb="FFEAF2F8"/>
      <rgbColor rgb="FFFF9900"/>
      <rgbColor rgb="FFFF6600"/>
      <rgbColor rgb="FF5B6573"/>
      <rgbColor rgb="FF666666"/>
      <rgbColor rgb="FF17365D"/>
      <rgbColor rgb="FF339966"/>
      <rgbColor rgb="FF274E13"/>
      <rgbColor rgb="FF1F2937"/>
      <rgbColor rgb="FF9C5700"/>
      <rgbColor rgb="FF9C650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8C8D"/>
    <pageSetUpPr fitToPage="fals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7.75390625" defaultRowHeight="15" customHeight="false" zeroHeight="false" outlineLevelRow="0" outlineLevelCol="0"/>
  <cols>
    <col collapsed="false" customWidth="true" hidden="false" outlineLevel="0" max="1" min="1" style="1" width="8.61"/>
    <col collapsed="false" customWidth="true" hidden="false" outlineLevel="0" max="2" min="2" style="1" width="24.09"/>
    <col collapsed="false" customWidth="true" hidden="false" outlineLevel="0" max="3" min="3" style="1" width="53.35"/>
    <col collapsed="false" customWidth="true" hidden="false" outlineLevel="0" max="8" min="4" style="1" width="12.05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21.75" hidden="false" customHeight="true" outlineLevel="0" collapsed="false">
      <c r="A3" s="4"/>
      <c r="B3" s="4"/>
      <c r="C3" s="4"/>
      <c r="D3" s="4"/>
      <c r="E3" s="4"/>
      <c r="F3" s="4"/>
      <c r="G3" s="4"/>
      <c r="H3" s="4"/>
    </row>
    <row r="4" customFormat="false" ht="21.75" hidden="false" customHeight="true" outlineLevel="0" collapsed="false">
      <c r="A4" s="5" t="s">
        <v>2</v>
      </c>
      <c r="B4" s="6" t="s">
        <v>3</v>
      </c>
      <c r="C4" s="4"/>
      <c r="D4" s="4"/>
      <c r="E4" s="4"/>
      <c r="F4" s="4"/>
      <c r="G4" s="4"/>
      <c r="H4" s="4"/>
    </row>
    <row r="5" customFormat="false" ht="21.75" hidden="false" customHeight="true" outlineLevel="0" collapsed="false">
      <c r="A5" s="5" t="s">
        <v>4</v>
      </c>
      <c r="B5" s="6" t="s">
        <v>5</v>
      </c>
      <c r="C5" s="4"/>
      <c r="D5" s="4"/>
      <c r="E5" s="4"/>
      <c r="F5" s="4"/>
      <c r="G5" s="4"/>
      <c r="H5" s="4"/>
    </row>
    <row r="6" customFormat="false" ht="21.75" hidden="false" customHeight="true" outlineLevel="0" collapsed="false">
      <c r="A6" s="5" t="s">
        <v>6</v>
      </c>
      <c r="B6" s="6" t="s">
        <v>7</v>
      </c>
      <c r="C6" s="4"/>
      <c r="D6" s="4"/>
      <c r="E6" s="4"/>
      <c r="F6" s="4"/>
      <c r="G6" s="4"/>
      <c r="H6" s="4"/>
    </row>
    <row r="7" customFormat="false" ht="21.75" hidden="false" customHeight="true" outlineLevel="0" collapsed="false">
      <c r="A7" s="5" t="s">
        <v>8</v>
      </c>
      <c r="B7" s="7" t="n">
        <v>46288</v>
      </c>
      <c r="C7" s="4"/>
      <c r="D7" s="4"/>
      <c r="E7" s="4"/>
      <c r="F7" s="4"/>
      <c r="G7" s="4"/>
      <c r="H7" s="4"/>
    </row>
    <row r="8" customFormat="false" ht="21.75" hidden="false" customHeight="true" outlineLevel="0" collapsed="false">
      <c r="A8" s="5" t="s">
        <v>9</v>
      </c>
      <c r="B8" s="6" t="s">
        <v>10</v>
      </c>
      <c r="C8" s="4"/>
      <c r="D8" s="4"/>
      <c r="E8" s="4"/>
      <c r="F8" s="4"/>
      <c r="G8" s="4"/>
      <c r="H8" s="4"/>
    </row>
    <row r="9" customFormat="false" ht="21.75" hidden="false" customHeight="tru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21.75" hidden="false" customHeight="true" outlineLevel="0" collapsed="false">
      <c r="A10" s="8" t="s">
        <v>11</v>
      </c>
      <c r="B10" s="8"/>
      <c r="C10" s="8"/>
      <c r="D10" s="8"/>
      <c r="E10" s="8"/>
      <c r="F10" s="8"/>
      <c r="G10" s="8"/>
      <c r="H10" s="8"/>
    </row>
    <row r="11" customFormat="false" ht="21.75" hidden="false" customHeight="true" outlineLevel="0" collapsed="false">
      <c r="A11" s="4" t="n">
        <v>1</v>
      </c>
      <c r="B11" s="9" t="s">
        <v>12</v>
      </c>
      <c r="C11" s="9"/>
      <c r="D11" s="9"/>
      <c r="E11" s="9"/>
      <c r="F11" s="9"/>
      <c r="G11" s="9"/>
      <c r="H11" s="9"/>
    </row>
    <row r="12" customFormat="false" ht="21.75" hidden="false" customHeight="true" outlineLevel="0" collapsed="false">
      <c r="A12" s="4" t="n">
        <v>2</v>
      </c>
      <c r="B12" s="9" t="s">
        <v>13</v>
      </c>
      <c r="C12" s="9"/>
      <c r="D12" s="9"/>
      <c r="E12" s="9"/>
      <c r="F12" s="9"/>
      <c r="G12" s="9"/>
      <c r="H12" s="9"/>
    </row>
    <row r="13" customFormat="false" ht="21.75" hidden="false" customHeight="true" outlineLevel="0" collapsed="false">
      <c r="A13" s="4" t="n">
        <v>3</v>
      </c>
      <c r="B13" s="9" t="s">
        <v>14</v>
      </c>
      <c r="C13" s="9"/>
      <c r="D13" s="9"/>
      <c r="E13" s="9"/>
      <c r="F13" s="9"/>
      <c r="G13" s="9"/>
      <c r="H13" s="9"/>
    </row>
    <row r="14" customFormat="false" ht="21.75" hidden="false" customHeight="true" outlineLevel="0" collapsed="false">
      <c r="A14" s="4" t="n">
        <v>4</v>
      </c>
      <c r="B14" s="9" t="s">
        <v>15</v>
      </c>
      <c r="C14" s="9"/>
      <c r="D14" s="9"/>
      <c r="E14" s="9"/>
      <c r="F14" s="9"/>
      <c r="G14" s="9"/>
      <c r="H14" s="9"/>
    </row>
    <row r="15" customFormat="false" ht="21.75" hidden="false" customHeight="true" outlineLevel="0" collapsed="false">
      <c r="A15" s="4" t="n">
        <v>5</v>
      </c>
      <c r="B15" s="9" t="s">
        <v>16</v>
      </c>
      <c r="C15" s="9"/>
      <c r="D15" s="9"/>
      <c r="E15" s="9"/>
      <c r="F15" s="9"/>
      <c r="G15" s="9"/>
      <c r="H15" s="9"/>
    </row>
    <row r="16" customFormat="false" ht="21.75" hidden="false" customHeight="true" outlineLevel="0" collapsed="false">
      <c r="A16" s="4"/>
      <c r="B16" s="4"/>
      <c r="C16" s="4"/>
      <c r="D16" s="4"/>
      <c r="E16" s="4"/>
      <c r="F16" s="4"/>
      <c r="G16" s="4"/>
      <c r="H16" s="4"/>
    </row>
    <row r="17" customFormat="false" ht="21.75" hidden="false" customHeight="true" outlineLevel="0" collapsed="false">
      <c r="A17" s="4"/>
      <c r="B17" s="4"/>
      <c r="C17" s="4"/>
      <c r="D17" s="4"/>
      <c r="E17" s="4"/>
      <c r="F17" s="4"/>
      <c r="G17" s="4"/>
      <c r="H17" s="4"/>
    </row>
    <row r="18" customFormat="false" ht="21.75" hidden="false" customHeight="true" outlineLevel="0" collapsed="false">
      <c r="A18" s="8" t="s">
        <v>17</v>
      </c>
      <c r="B18" s="8"/>
      <c r="C18" s="8"/>
      <c r="D18" s="8"/>
      <c r="E18" s="8"/>
      <c r="F18" s="8"/>
      <c r="G18" s="8"/>
      <c r="H18" s="8"/>
    </row>
    <row r="19" customFormat="false" ht="21.75" hidden="false" customHeight="true" outlineLevel="0" collapsed="false">
      <c r="A19" s="10" t="s">
        <v>18</v>
      </c>
      <c r="B19" s="10" t="s">
        <v>19</v>
      </c>
      <c r="C19" s="10" t="s">
        <v>20</v>
      </c>
      <c r="D19" s="4"/>
      <c r="E19" s="4"/>
      <c r="F19" s="4"/>
      <c r="G19" s="4"/>
      <c r="H19" s="4"/>
    </row>
    <row r="20" customFormat="false" ht="21.75" hidden="false" customHeight="true" outlineLevel="0" collapsed="false">
      <c r="A20" s="5" t="n">
        <v>1</v>
      </c>
      <c r="B20" s="5" t="s">
        <v>21</v>
      </c>
      <c r="C20" s="5" t="s">
        <v>22</v>
      </c>
      <c r="D20" s="4"/>
      <c r="E20" s="4"/>
      <c r="F20" s="4"/>
      <c r="G20" s="4"/>
      <c r="H20" s="4"/>
    </row>
    <row r="21" customFormat="false" ht="21.75" hidden="false" customHeight="true" outlineLevel="0" collapsed="false">
      <c r="A21" s="5" t="n">
        <v>2</v>
      </c>
      <c r="B21" s="5" t="s">
        <v>23</v>
      </c>
      <c r="C21" s="5" t="s">
        <v>24</v>
      </c>
      <c r="D21" s="4"/>
      <c r="E21" s="4"/>
      <c r="F21" s="4"/>
      <c r="G21" s="4"/>
      <c r="H21" s="4"/>
    </row>
    <row r="22" customFormat="false" ht="21.75" hidden="false" customHeight="true" outlineLevel="0" collapsed="false">
      <c r="A22" s="5" t="n">
        <v>3</v>
      </c>
      <c r="B22" s="5" t="s">
        <v>25</v>
      </c>
      <c r="C22" s="5" t="s">
        <v>26</v>
      </c>
      <c r="D22" s="4"/>
      <c r="E22" s="4"/>
      <c r="F22" s="4"/>
      <c r="G22" s="4"/>
      <c r="H22" s="4"/>
    </row>
    <row r="23" customFormat="false" ht="21.75" hidden="false" customHeight="true" outlineLevel="0" collapsed="false">
      <c r="A23" s="5" t="n">
        <v>4</v>
      </c>
      <c r="B23" s="5" t="s">
        <v>27</v>
      </c>
      <c r="C23" s="5" t="s">
        <v>28</v>
      </c>
      <c r="D23" s="4"/>
      <c r="E23" s="4"/>
      <c r="F23" s="4"/>
      <c r="G23" s="4"/>
      <c r="H23" s="4"/>
    </row>
    <row r="24" customFormat="false" ht="21.75" hidden="false" customHeight="true" outlineLevel="0" collapsed="false">
      <c r="A24" s="5" t="n">
        <v>5</v>
      </c>
      <c r="B24" s="11" t="s">
        <v>29</v>
      </c>
      <c r="C24" s="5" t="s">
        <v>30</v>
      </c>
      <c r="D24" s="4"/>
      <c r="E24" s="4"/>
      <c r="F24" s="4"/>
      <c r="G24" s="4"/>
      <c r="H24" s="4"/>
    </row>
    <row r="25" customFormat="false" ht="21.75" hidden="false" customHeight="true" outlineLevel="0" collapsed="false">
      <c r="A25" s="4"/>
      <c r="B25" s="4"/>
      <c r="C25" s="4"/>
      <c r="D25" s="4"/>
      <c r="E25" s="4"/>
      <c r="F25" s="4"/>
      <c r="G25" s="4"/>
      <c r="H25" s="4"/>
    </row>
    <row r="26" customFormat="false" ht="21.75" hidden="false" customHeight="true" outlineLevel="0" collapsed="false">
      <c r="A26" s="8" t="s">
        <v>31</v>
      </c>
      <c r="B26" s="8"/>
      <c r="C26" s="8"/>
      <c r="D26" s="8"/>
      <c r="E26" s="8"/>
      <c r="F26" s="8"/>
      <c r="G26" s="8"/>
      <c r="H26" s="8"/>
    </row>
    <row r="27" customFormat="false" ht="21.75" hidden="false" customHeight="true" outlineLevel="0" collapsed="false">
      <c r="A27" s="4" t="n">
        <v>1</v>
      </c>
      <c r="B27" s="9" t="s">
        <v>32</v>
      </c>
      <c r="C27" s="9"/>
      <c r="D27" s="9"/>
      <c r="E27" s="9"/>
      <c r="F27" s="9"/>
      <c r="G27" s="9"/>
      <c r="H27" s="9"/>
    </row>
    <row r="28" customFormat="false" ht="21.75" hidden="false" customHeight="true" outlineLevel="0" collapsed="false">
      <c r="A28" s="4" t="n">
        <v>2</v>
      </c>
      <c r="B28" s="9" t="s">
        <v>33</v>
      </c>
      <c r="C28" s="9"/>
      <c r="D28" s="9"/>
      <c r="E28" s="9"/>
      <c r="F28" s="9"/>
      <c r="G28" s="9"/>
      <c r="H28" s="9"/>
    </row>
    <row r="29" customFormat="false" ht="21.75" hidden="false" customHeight="true" outlineLevel="0" collapsed="false">
      <c r="A29" s="4" t="n">
        <v>3</v>
      </c>
      <c r="B29" s="9" t="s">
        <v>34</v>
      </c>
      <c r="C29" s="9"/>
      <c r="D29" s="9"/>
      <c r="E29" s="9"/>
      <c r="F29" s="9"/>
      <c r="G29" s="9"/>
      <c r="H29" s="9"/>
    </row>
    <row r="30" customFormat="false" ht="21.75" hidden="false" customHeight="true" outlineLevel="0" collapsed="false">
      <c r="A30" s="4" t="n">
        <v>4</v>
      </c>
      <c r="B30" s="9" t="s">
        <v>35</v>
      </c>
      <c r="C30" s="9"/>
      <c r="D30" s="9"/>
      <c r="E30" s="9"/>
      <c r="F30" s="9"/>
      <c r="G30" s="9"/>
      <c r="H30" s="9"/>
    </row>
    <row r="31" customFormat="false" ht="21.75" hidden="false" customHeight="true" outlineLevel="0" collapsed="false">
      <c r="A31" s="4" t="n">
        <v>5</v>
      </c>
      <c r="B31" s="9" t="s">
        <v>36</v>
      </c>
      <c r="C31" s="9"/>
      <c r="D31" s="9"/>
      <c r="E31" s="9"/>
      <c r="F31" s="9"/>
      <c r="G31" s="9"/>
      <c r="H31" s="9"/>
    </row>
    <row r="32" customFormat="false" ht="21.75" hidden="false" customHeight="true" outlineLevel="0" collapsed="false">
      <c r="A32" s="4" t="n">
        <v>6</v>
      </c>
      <c r="B32" s="9" t="s">
        <v>37</v>
      </c>
      <c r="C32" s="9"/>
      <c r="D32" s="9"/>
      <c r="E32" s="9"/>
      <c r="F32" s="9"/>
      <c r="G32" s="9"/>
      <c r="H32" s="9"/>
    </row>
    <row r="33" customFormat="false" ht="45.75" hidden="false" customHeight="true" outlineLevel="0" collapsed="false">
      <c r="A33" s="12" t="s">
        <v>38</v>
      </c>
      <c r="B33" s="12" t="s">
        <v>39</v>
      </c>
      <c r="C33" s="12"/>
    </row>
    <row r="34" customFormat="false" ht="45.75" hidden="false" customHeight="true" outlineLevel="0" collapsed="false">
      <c r="A34" s="12" t="s">
        <v>40</v>
      </c>
      <c r="B34" s="12" t="s">
        <v>41</v>
      </c>
      <c r="C34" s="12"/>
    </row>
    <row r="35" customFormat="false" ht="45.75" hidden="false" customHeight="true" outlineLevel="0" collapsed="false">
      <c r="A35" s="12" t="s">
        <v>42</v>
      </c>
      <c r="B35" s="12" t="s">
        <v>43</v>
      </c>
      <c r="C35" s="12"/>
    </row>
    <row r="36" customFormat="false" ht="16.5" hidden="false" customHeight="true" outlineLevel="0" collapsed="false">
      <c r="A36" s="1" t="s">
        <v>44</v>
      </c>
      <c r="B36" s="1" t="s">
        <v>45</v>
      </c>
    </row>
    <row r="37" customFormat="false" ht="16.5" hidden="false" customHeight="true" outlineLevel="0" collapsed="false">
      <c r="A37" s="1" t="s">
        <v>46</v>
      </c>
      <c r="B37" s="1" t="s">
        <v>47</v>
      </c>
    </row>
    <row r="38" customFormat="false" ht="15.75" hidden="false" customHeight="true" outlineLevel="0" collapsed="false">
      <c r="A38" s="1" t="s">
        <v>48</v>
      </c>
      <c r="B38" s="1" t="s">
        <v>49</v>
      </c>
    </row>
    <row r="39" customFormat="false" ht="15.75" hidden="false" customHeight="true" outlineLevel="0" collapsed="false">
      <c r="A39" s="1" t="s">
        <v>50</v>
      </c>
      <c r="B39" s="1" t="s">
        <v>51</v>
      </c>
    </row>
    <row r="40" customFormat="false" ht="15.75" hidden="false" customHeight="true" outlineLevel="0" collapsed="false">
      <c r="A40" s="1" t="s">
        <v>52</v>
      </c>
      <c r="B40" s="1" t="s">
        <v>53</v>
      </c>
    </row>
  </sheetData>
  <mergeCells count="16">
    <mergeCell ref="A1:H1"/>
    <mergeCell ref="A2:H2"/>
    <mergeCell ref="A10:H10"/>
    <mergeCell ref="B11:H11"/>
    <mergeCell ref="B12:H12"/>
    <mergeCell ref="B13:H13"/>
    <mergeCell ref="B14:H14"/>
    <mergeCell ref="B15:H15"/>
    <mergeCell ref="A18:H18"/>
    <mergeCell ref="A26:H26"/>
    <mergeCell ref="B27:H27"/>
    <mergeCell ref="B28:H28"/>
    <mergeCell ref="B29:H29"/>
    <mergeCell ref="B30:H30"/>
    <mergeCell ref="B31:H31"/>
    <mergeCell ref="B32:H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13" activePane="bottomLeft" state="frozen"/>
      <selection pane="topLeft" activeCell="A1" activeCellId="0" sqref="A1"/>
      <selection pane="bottomLeft" activeCell="H8" activeCellId="0" sqref="H8"/>
    </sheetView>
  </sheetViews>
  <sheetFormatPr defaultColWidth="7.75390625" defaultRowHeight="15" customHeight="false" zeroHeight="false" outlineLevelRow="0" outlineLevelCol="0"/>
  <cols>
    <col collapsed="false" customWidth="true" hidden="false" outlineLevel="0" max="1" min="1" style="1" width="6.72"/>
    <col collapsed="false" customWidth="true" hidden="false" outlineLevel="0" max="2" min="2" style="1" width="13.78"/>
    <col collapsed="false" customWidth="true" hidden="false" outlineLevel="0" max="3" min="3" style="1" width="13.58"/>
    <col collapsed="false" customWidth="true" hidden="false" outlineLevel="0" max="4" min="4" style="1" width="37.54"/>
    <col collapsed="false" customWidth="true" hidden="false" outlineLevel="0" max="5" min="5" style="1" width="9.8"/>
    <col collapsed="false" customWidth="true" hidden="false" outlineLevel="0" max="6" min="6" style="1" width="25.82"/>
    <col collapsed="false" customWidth="true" hidden="false" outlineLevel="0" max="10" min="7" style="1" width="12.05"/>
    <col collapsed="false" customWidth="true" hidden="false" outlineLevel="0" max="11" min="11" style="1" width="18.93"/>
    <col collapsed="false" customWidth="true" hidden="false" outlineLevel="0" max="12" min="12" style="1" width="9.47"/>
    <col collapsed="false" customWidth="true" hidden="false" outlineLevel="0" max="13" min="13" style="1" width="8.61"/>
    <col collapsed="false" customWidth="true" hidden="false" outlineLevel="0" max="14" min="14" style="1" width="29.26"/>
  </cols>
  <sheetData>
    <row r="1" customFormat="false" ht="33.75" hidden="false" customHeight="true" outlineLevel="0" collapsed="false">
      <c r="A1" s="13" t="s">
        <v>54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3" customFormat="false" ht="30" hidden="false" customHeight="true" outlineLevel="0" collapsed="false">
      <c r="A3" s="14" t="s">
        <v>55</v>
      </c>
      <c r="B3" s="14" t="s">
        <v>56</v>
      </c>
      <c r="C3" s="14" t="s">
        <v>57</v>
      </c>
      <c r="D3" s="14" t="s">
        <v>58</v>
      </c>
      <c r="E3" s="14" t="s">
        <v>59</v>
      </c>
      <c r="F3" s="14" t="s">
        <v>60</v>
      </c>
      <c r="G3" s="14" t="s">
        <v>61</v>
      </c>
      <c r="H3" s="14" t="s">
        <v>62</v>
      </c>
      <c r="I3" s="14" t="s">
        <v>63</v>
      </c>
      <c r="J3" s="14" t="s">
        <v>64</v>
      </c>
      <c r="K3" s="14" t="s">
        <v>65</v>
      </c>
      <c r="L3" s="14" t="s">
        <v>66</v>
      </c>
      <c r="M3" s="14" t="s">
        <v>67</v>
      </c>
      <c r="N3" s="14" t="s">
        <v>68</v>
      </c>
    </row>
    <row r="4" customFormat="false" ht="39.75" hidden="false" customHeight="true" outlineLevel="0" collapsed="false">
      <c r="A4" s="15" t="s">
        <v>69</v>
      </c>
      <c r="B4" s="16" t="s">
        <v>70</v>
      </c>
      <c r="C4" s="17" t="s">
        <v>71</v>
      </c>
      <c r="D4" s="17" t="s">
        <v>72</v>
      </c>
      <c r="E4" s="17" t="s">
        <v>73</v>
      </c>
      <c r="F4" s="17" t="s">
        <v>74</v>
      </c>
      <c r="G4" s="18" t="n">
        <v>46054</v>
      </c>
      <c r="H4" s="18" t="n">
        <v>46063</v>
      </c>
      <c r="I4" s="18" t="n">
        <v>46054</v>
      </c>
      <c r="J4" s="18" t="n">
        <v>46063</v>
      </c>
      <c r="K4" s="19" t="s">
        <v>75</v>
      </c>
      <c r="L4" s="15" t="n">
        <f aca="false">IF(J4&lt;&gt;"",J4-H4,MAX(0,DATE(2026,9,16)-H4))</f>
        <v>0</v>
      </c>
      <c r="M4" s="15" t="str">
        <f aca="false">IF(K4="已完成","绿",IF(H4&lt;DATE(2026,9,16),"红",IF(H4&lt;=DATE(2026,9,23),"黄","绿")))</f>
        <v>绿</v>
      </c>
      <c r="N4" s="17" t="s">
        <v>76</v>
      </c>
    </row>
    <row r="5" customFormat="false" ht="39.75" hidden="false" customHeight="true" outlineLevel="0" collapsed="false">
      <c r="A5" s="20" t="s">
        <v>77</v>
      </c>
      <c r="B5" s="16"/>
      <c r="C5" s="21" t="s">
        <v>78</v>
      </c>
      <c r="D5" s="21" t="s">
        <v>79</v>
      </c>
      <c r="E5" s="21" t="s">
        <v>73</v>
      </c>
      <c r="F5" s="21" t="s">
        <v>80</v>
      </c>
      <c r="G5" s="22" t="n">
        <v>46054</v>
      </c>
      <c r="H5" s="22" t="n">
        <v>46283</v>
      </c>
      <c r="I5" s="22" t="n">
        <v>46054</v>
      </c>
      <c r="J5" s="22" t="n">
        <v>46283</v>
      </c>
      <c r="K5" s="23" t="s">
        <v>75</v>
      </c>
      <c r="L5" s="20" t="n">
        <f aca="false">IF(J5&lt;&gt;"",J5-H5,MAX(0,DATE(2026,9,16)-H5))</f>
        <v>0</v>
      </c>
      <c r="M5" s="20" t="str">
        <f aca="false">IF(K5="已完成","绿",IF(H5&lt;DATE(2026,9,16),"红",IF(H5&lt;=DATE(2026,9,23),"黄","绿")))</f>
        <v>绿</v>
      </c>
      <c r="N5" s="21" t="s">
        <v>81</v>
      </c>
    </row>
    <row r="6" customFormat="false" ht="39.75" hidden="false" customHeight="true" outlineLevel="0" collapsed="false">
      <c r="A6" s="20" t="s">
        <v>82</v>
      </c>
      <c r="B6" s="16"/>
      <c r="C6" s="21" t="s">
        <v>83</v>
      </c>
      <c r="D6" s="21" t="s">
        <v>84</v>
      </c>
      <c r="E6" s="21" t="s">
        <v>85</v>
      </c>
      <c r="F6" s="21" t="s">
        <v>86</v>
      </c>
      <c r="G6" s="22" t="n">
        <v>46153</v>
      </c>
      <c r="H6" s="22" t="n">
        <v>46295</v>
      </c>
      <c r="I6" s="22" t="n">
        <v>46153</v>
      </c>
      <c r="J6" s="24"/>
      <c r="K6" s="23" t="s">
        <v>87</v>
      </c>
      <c r="L6" s="20" t="n">
        <f aca="false">IF(J6&lt;&gt;"",J6-H6,MAX(0,DATE(2026,9,16)-H6))</f>
        <v>0</v>
      </c>
      <c r="M6" s="20" t="str">
        <f aca="false">IF(K6="已完成","绿",IF(H6&lt;DATE(2026,9,16),"红",IF(H6&lt;=DATE(2026,9,23),"黄","绿")))</f>
        <v>绿</v>
      </c>
      <c r="N6" s="21" t="s">
        <v>88</v>
      </c>
    </row>
    <row r="7" customFormat="false" ht="39.75" hidden="false" customHeight="true" outlineLevel="0" collapsed="false">
      <c r="A7" s="20" t="s">
        <v>89</v>
      </c>
      <c r="B7" s="25" t="s">
        <v>90</v>
      </c>
      <c r="C7" s="21" t="s">
        <v>91</v>
      </c>
      <c r="D7" s="21" t="s">
        <v>92</v>
      </c>
      <c r="E7" s="21" t="s">
        <v>73</v>
      </c>
      <c r="F7" s="21" t="s">
        <v>93</v>
      </c>
      <c r="G7" s="22" t="n">
        <v>46204</v>
      </c>
      <c r="H7" s="22" t="n">
        <v>46265</v>
      </c>
      <c r="I7" s="22" t="n">
        <v>46204</v>
      </c>
      <c r="J7" s="22" t="n">
        <v>46265</v>
      </c>
      <c r="K7" s="23" t="s">
        <v>75</v>
      </c>
      <c r="L7" s="20" t="n">
        <f aca="false">IF(J7&lt;&gt;"",J7-H7,MAX(0,DATE(2026,9,16)-H7))</f>
        <v>0</v>
      </c>
      <c r="M7" s="20" t="str">
        <f aca="false">IF(K7="已完成","绿",IF(H7&lt;DATE(2026,9,16),"红",IF(H7&lt;=DATE(2026,9,23),"黄","绿")))</f>
        <v>绿</v>
      </c>
      <c r="N7" s="21" t="s">
        <v>94</v>
      </c>
    </row>
    <row r="8" customFormat="false" ht="39.75" hidden="false" customHeight="true" outlineLevel="0" collapsed="false">
      <c r="A8" s="20" t="s">
        <v>95</v>
      </c>
      <c r="B8" s="25"/>
      <c r="C8" s="21" t="s">
        <v>96</v>
      </c>
      <c r="D8" s="21" t="s">
        <v>97</v>
      </c>
      <c r="E8" s="21" t="s">
        <v>98</v>
      </c>
      <c r="F8" s="21" t="s">
        <v>99</v>
      </c>
      <c r="G8" s="22" t="n">
        <v>46204</v>
      </c>
      <c r="H8" s="22" t="n">
        <v>46295</v>
      </c>
      <c r="I8" s="22" t="n">
        <v>46204</v>
      </c>
      <c r="J8" s="22"/>
      <c r="K8" s="23" t="s">
        <v>87</v>
      </c>
      <c r="L8" s="20" t="n">
        <f aca="false">IF(J8&lt;&gt;"",J8-H8,MAX(0,DATE(2026,9,16)-H8))</f>
        <v>0</v>
      </c>
      <c r="M8" s="20" t="str">
        <f aca="false">IF(K8="已完成","绿",IF(H8&lt;DATE(2026,9,16),"红",IF(H8&lt;=DATE(2026,9,23),"黄","绿")))</f>
        <v>绿</v>
      </c>
      <c r="N8" s="21" t="s">
        <v>100</v>
      </c>
    </row>
    <row r="9" customFormat="false" ht="84" hidden="false" customHeight="true" outlineLevel="0" collapsed="false">
      <c r="A9" s="20" t="s">
        <v>101</v>
      </c>
      <c r="B9" s="25"/>
      <c r="C9" s="21" t="s">
        <v>102</v>
      </c>
      <c r="D9" s="20" t="s">
        <v>103</v>
      </c>
      <c r="E9" s="21" t="s">
        <v>98</v>
      </c>
      <c r="F9" s="21" t="s">
        <v>104</v>
      </c>
      <c r="G9" s="22" t="n">
        <v>46249</v>
      </c>
      <c r="H9" s="22" t="n">
        <v>46320</v>
      </c>
      <c r="I9" s="22" t="n">
        <v>46249</v>
      </c>
      <c r="J9" s="24"/>
      <c r="K9" s="23" t="s">
        <v>87</v>
      </c>
      <c r="L9" s="20" t="n">
        <f aca="false">IF(J9&lt;&gt;"",J9-H9,MAX(0,DATE(2026,9,16)-H9))</f>
        <v>0</v>
      </c>
      <c r="M9" s="20" t="str">
        <f aca="false">IF(K9="已完成","绿",IF(H9&lt;DATE(2026,9,16),"红",IF(H9&lt;=DATE(2026,9,23),"黄","绿")))</f>
        <v>绿</v>
      </c>
      <c r="N9" s="20" t="s">
        <v>105</v>
      </c>
    </row>
    <row r="10" customFormat="false" ht="39.75" hidden="false" customHeight="true" outlineLevel="0" collapsed="false">
      <c r="A10" s="20" t="s">
        <v>106</v>
      </c>
      <c r="B10" s="21" t="s">
        <v>107</v>
      </c>
      <c r="C10" s="21" t="s">
        <v>108</v>
      </c>
      <c r="D10" s="21" t="s">
        <v>109</v>
      </c>
      <c r="E10" s="21" t="s">
        <v>110</v>
      </c>
      <c r="F10" s="21" t="s">
        <v>111</v>
      </c>
      <c r="G10" s="22" t="n">
        <v>46296</v>
      </c>
      <c r="H10" s="22" t="n">
        <v>46311</v>
      </c>
      <c r="I10" s="22"/>
      <c r="J10" s="24"/>
      <c r="K10" s="23" t="s">
        <v>112</v>
      </c>
      <c r="L10" s="20" t="n">
        <f aca="false">IF(J10&lt;&gt;"",J10-H10,MAX(0,DATE(2026,9,16)-H10))</f>
        <v>0</v>
      </c>
      <c r="M10" s="20" t="str">
        <f aca="false">IF(K10="已完成","绿",IF(H10&lt;DATE(2026,9,16),"红",IF(H10&lt;=DATE(2026,9,23),"黄","绿")))</f>
        <v>绿</v>
      </c>
      <c r="N10" s="21" t="s">
        <v>113</v>
      </c>
    </row>
    <row r="11" customFormat="false" ht="39.75" hidden="false" customHeight="true" outlineLevel="0" collapsed="false">
      <c r="A11" s="20" t="s">
        <v>114</v>
      </c>
      <c r="B11" s="25" t="s">
        <v>115</v>
      </c>
      <c r="C11" s="21" t="s">
        <v>116</v>
      </c>
      <c r="D11" s="21" t="s">
        <v>117</v>
      </c>
      <c r="E11" s="21" t="s">
        <v>110</v>
      </c>
      <c r="F11" s="21" t="s">
        <v>111</v>
      </c>
      <c r="G11" s="22" t="n">
        <v>46315</v>
      </c>
      <c r="H11" s="22" t="n">
        <v>46315</v>
      </c>
      <c r="I11" s="22"/>
      <c r="J11" s="24"/>
      <c r="K11" s="23" t="s">
        <v>112</v>
      </c>
      <c r="L11" s="20" t="n">
        <f aca="false">IF(J11&lt;&gt;"",J11-H11,MAX(0,DATE(2026,9,16)-H11))</f>
        <v>0</v>
      </c>
      <c r="M11" s="20" t="str">
        <f aca="false">IF(K11="已完成","绿",IF(H11&lt;DATE(2026,9,16),"红",IF(H11&lt;=DATE(2026,9,23),"黄","绿")))</f>
        <v>绿</v>
      </c>
      <c r="N11" s="21" t="s">
        <v>118</v>
      </c>
    </row>
    <row r="12" customFormat="false" ht="39.75" hidden="false" customHeight="true" outlineLevel="0" collapsed="false">
      <c r="A12" s="20" t="s">
        <v>119</v>
      </c>
      <c r="B12" s="25"/>
      <c r="C12" s="21" t="s">
        <v>120</v>
      </c>
      <c r="D12" s="20" t="s">
        <v>121</v>
      </c>
      <c r="E12" s="21" t="s">
        <v>85</v>
      </c>
      <c r="F12" s="21" t="s">
        <v>122</v>
      </c>
      <c r="G12" s="22" t="n">
        <v>46316</v>
      </c>
      <c r="H12" s="22" t="n">
        <v>46356</v>
      </c>
      <c r="I12" s="22"/>
      <c r="J12" s="24"/>
      <c r="K12" s="23" t="s">
        <v>112</v>
      </c>
      <c r="L12" s="20" t="n">
        <f aca="false">IF(J12&lt;&gt;"",J12-H12,MAX(0,DATE(2026,9,16)-H12))</f>
        <v>0</v>
      </c>
      <c r="M12" s="20" t="str">
        <f aca="false">IF(K12="已完成","绿",IF(H12&lt;DATE(2026,9,16),"红",IF(H12&lt;=DATE(2026,9,23),"黄","绿")))</f>
        <v>绿</v>
      </c>
      <c r="N12" s="21" t="s">
        <v>123</v>
      </c>
    </row>
    <row r="13" customFormat="false" ht="39.75" hidden="false" customHeight="true" outlineLevel="0" collapsed="false">
      <c r="A13" s="20" t="s">
        <v>124</v>
      </c>
      <c r="B13" s="25"/>
      <c r="C13" s="21" t="s">
        <v>125</v>
      </c>
      <c r="D13" s="21" t="s">
        <v>126</v>
      </c>
      <c r="E13" s="21" t="s">
        <v>98</v>
      </c>
      <c r="F13" s="21" t="s">
        <v>127</v>
      </c>
      <c r="G13" s="22" t="n">
        <v>46341</v>
      </c>
      <c r="H13" s="22" t="n">
        <v>46387</v>
      </c>
      <c r="I13" s="22"/>
      <c r="J13" s="24"/>
      <c r="K13" s="23" t="s">
        <v>112</v>
      </c>
      <c r="L13" s="20" t="n">
        <f aca="false">IF(J13&lt;&gt;"",J13-H13,MAX(0,DATE(2026,9,16)-H13))</f>
        <v>0</v>
      </c>
      <c r="M13" s="20" t="str">
        <f aca="false">IF(K13="已完成","绿",IF(H13&lt;DATE(2026,9,16),"红",IF(H13&lt;=DATE(2026,9,23),"黄","绿")))</f>
        <v>绿</v>
      </c>
      <c r="N13" s="21" t="s">
        <v>128</v>
      </c>
    </row>
    <row r="14" customFormat="false" ht="39.75" hidden="false" customHeight="true" outlineLevel="0" collapsed="false">
      <c r="A14" s="20" t="s">
        <v>129</v>
      </c>
      <c r="B14" s="25"/>
      <c r="C14" s="21" t="s">
        <v>130</v>
      </c>
      <c r="D14" s="20" t="s">
        <v>131</v>
      </c>
      <c r="E14" s="21" t="s">
        <v>132</v>
      </c>
      <c r="F14" s="21" t="s">
        <v>133</v>
      </c>
      <c r="G14" s="22" t="n">
        <v>46357</v>
      </c>
      <c r="H14" s="22" t="n">
        <v>46461</v>
      </c>
      <c r="I14" s="22"/>
      <c r="J14" s="24"/>
      <c r="K14" s="23" t="s">
        <v>112</v>
      </c>
      <c r="L14" s="20" t="n">
        <f aca="false">IF(J14&lt;&gt;"",J14-H14,MAX(0,DATE(2026,9,16)-H14))</f>
        <v>0</v>
      </c>
      <c r="M14" s="20" t="str">
        <f aca="false">IF(K14="已完成","绿",IF(H14&lt;DATE(2026,9,16),"红",IF(H14&lt;=DATE(2026,9,23),"黄","绿")))</f>
        <v>绿</v>
      </c>
      <c r="N14" s="21" t="s">
        <v>134</v>
      </c>
    </row>
    <row r="15" customFormat="false" ht="39.75" hidden="false" customHeight="true" outlineLevel="0" collapsed="false">
      <c r="A15" s="20" t="s">
        <v>135</v>
      </c>
      <c r="B15" s="25"/>
      <c r="C15" s="21" t="s">
        <v>136</v>
      </c>
      <c r="D15" s="21" t="s">
        <v>137</v>
      </c>
      <c r="E15" s="21" t="s">
        <v>98</v>
      </c>
      <c r="F15" s="21" t="s">
        <v>138</v>
      </c>
      <c r="G15" s="22" t="n">
        <v>46419</v>
      </c>
      <c r="H15" s="22" t="n">
        <v>46456</v>
      </c>
      <c r="I15" s="22"/>
      <c r="J15" s="24"/>
      <c r="K15" s="23" t="s">
        <v>112</v>
      </c>
      <c r="L15" s="20" t="n">
        <f aca="false">IF(J15&lt;&gt;"",J15-H15,MAX(0,DATE(2026,9,16)-H15))</f>
        <v>0</v>
      </c>
      <c r="M15" s="20" t="str">
        <f aca="false">IF(K15="已完成","绿",IF(H15&lt;DATE(2026,9,16),"红",IF(H15&lt;=DATE(2026,9,23),"黄","绿")))</f>
        <v>绿</v>
      </c>
      <c r="N15" s="21" t="s">
        <v>139</v>
      </c>
    </row>
    <row r="16" customFormat="false" ht="51" hidden="false" customHeight="true" outlineLevel="0" collapsed="false">
      <c r="A16" s="20" t="s">
        <v>140</v>
      </c>
      <c r="B16" s="25"/>
      <c r="C16" s="21" t="s">
        <v>141</v>
      </c>
      <c r="D16" s="21" t="s">
        <v>142</v>
      </c>
      <c r="E16" s="21" t="s">
        <v>98</v>
      </c>
      <c r="F16" s="21" t="s">
        <v>143</v>
      </c>
      <c r="G16" s="22" t="n">
        <v>46433</v>
      </c>
      <c r="H16" s="22" t="n">
        <v>46466</v>
      </c>
      <c r="I16" s="22"/>
      <c r="J16" s="24"/>
      <c r="K16" s="23" t="s">
        <v>112</v>
      </c>
      <c r="L16" s="20" t="n">
        <f aca="false">IF(J16&lt;&gt;"",J16-H16,MAX(0,DATE(2026,9,16)-H16))</f>
        <v>0</v>
      </c>
      <c r="M16" s="20" t="str">
        <f aca="false">IF(K16="已完成","绿",IF(H16&lt;DATE(2026,9,16),"红",IF(H16&lt;=DATE(2026,9,23),"黄","绿")))</f>
        <v>绿</v>
      </c>
      <c r="N16" s="21" t="s">
        <v>144</v>
      </c>
    </row>
    <row r="17" customFormat="false" ht="39.75" hidden="false" customHeight="true" outlineLevel="0" collapsed="false">
      <c r="A17" s="20" t="s">
        <v>145</v>
      </c>
      <c r="B17" s="25"/>
      <c r="C17" s="21" t="s">
        <v>146</v>
      </c>
      <c r="D17" s="21" t="s">
        <v>147</v>
      </c>
      <c r="E17" s="21" t="s">
        <v>148</v>
      </c>
      <c r="F17" s="21" t="s">
        <v>149</v>
      </c>
      <c r="G17" s="22" t="n">
        <v>46447</v>
      </c>
      <c r="H17" s="22" t="n">
        <v>46492</v>
      </c>
      <c r="I17" s="22"/>
      <c r="J17" s="24"/>
      <c r="K17" s="23" t="s">
        <v>112</v>
      </c>
      <c r="L17" s="20" t="n">
        <f aca="false">IF(J17&lt;&gt;"",J17-H17,MAX(0,DATE(2026,9,16)-H17))</f>
        <v>0</v>
      </c>
      <c r="M17" s="20" t="str">
        <f aca="false">IF(K17="已完成","绿",IF(H17&lt;DATE(2026,9,16),"红",IF(H17&lt;=DATE(2026,9,23),"黄","绿")))</f>
        <v>绿</v>
      </c>
      <c r="N17" s="21" t="s">
        <v>150</v>
      </c>
    </row>
    <row r="18" customFormat="false" ht="39.75" hidden="false" customHeight="true" outlineLevel="0" collapsed="false">
      <c r="A18" s="20" t="s">
        <v>151</v>
      </c>
      <c r="B18" s="25"/>
      <c r="C18" s="20" t="s">
        <v>152</v>
      </c>
      <c r="D18" s="20" t="s">
        <v>153</v>
      </c>
      <c r="E18" s="21" t="s">
        <v>85</v>
      </c>
      <c r="F18" s="21" t="s">
        <v>154</v>
      </c>
      <c r="G18" s="22" t="n">
        <v>46493</v>
      </c>
      <c r="H18" s="22" t="n">
        <v>46517</v>
      </c>
      <c r="I18" s="22"/>
      <c r="J18" s="22"/>
      <c r="K18" s="23" t="s">
        <v>112</v>
      </c>
      <c r="L18" s="20" t="n">
        <f aca="false">IF(J18&lt;&gt;"",J18-H18,MAX(0,DATE(2026,9,16)-H18))</f>
        <v>0</v>
      </c>
      <c r="M18" s="20" t="str">
        <f aca="false">IF(K18="已完成","绿",IF(H18&lt;DATE(2026,9,16),"红",IF(H18&lt;=DATE(2026,9,23),"黄","绿")))</f>
        <v>绿</v>
      </c>
      <c r="N18" s="20" t="s">
        <v>155</v>
      </c>
    </row>
    <row r="19" customFormat="false" ht="39.75" hidden="false" customHeight="true" outlineLevel="0" collapsed="false">
      <c r="A19" s="20" t="s">
        <v>156</v>
      </c>
      <c r="B19" s="25"/>
      <c r="C19" s="21" t="s">
        <v>157</v>
      </c>
      <c r="D19" s="21" t="s">
        <v>158</v>
      </c>
      <c r="E19" s="21" t="s">
        <v>110</v>
      </c>
      <c r="F19" s="21" t="s">
        <v>159</v>
      </c>
      <c r="G19" s="22" t="n">
        <v>46518</v>
      </c>
      <c r="H19" s="22" t="n">
        <v>46531</v>
      </c>
      <c r="I19" s="22"/>
      <c r="J19" s="22"/>
      <c r="K19" s="23" t="s">
        <v>112</v>
      </c>
      <c r="L19" s="20" t="n">
        <f aca="false">IF(J19&lt;&gt;"",J19-H19,MAX(0,DATE(2026,9,16)-H19))</f>
        <v>0</v>
      </c>
      <c r="M19" s="20" t="str">
        <f aca="false">IF(K19="已完成","绿",IF(H19&lt;DATE(2026,9,16),"红",IF(H19&lt;=DATE(2026,9,23),"黄","绿")))</f>
        <v>绿</v>
      </c>
      <c r="N19" s="21" t="s">
        <v>160</v>
      </c>
    </row>
    <row r="20" customFormat="false" ht="39.75" hidden="false" customHeight="true" outlineLevel="0" collapsed="false">
      <c r="A20" s="20" t="s">
        <v>161</v>
      </c>
      <c r="B20" s="21" t="s">
        <v>162</v>
      </c>
      <c r="C20" s="21" t="s">
        <v>163</v>
      </c>
      <c r="D20" s="21" t="s">
        <v>164</v>
      </c>
      <c r="E20" s="21" t="s">
        <v>98</v>
      </c>
      <c r="F20" s="21" t="s">
        <v>165</v>
      </c>
      <c r="G20" s="22" t="n">
        <v>46538</v>
      </c>
      <c r="H20" s="22" t="n">
        <v>46538</v>
      </c>
      <c r="I20" s="22"/>
      <c r="J20" s="22"/>
      <c r="K20" s="23" t="s">
        <v>112</v>
      </c>
      <c r="L20" s="20" t="n">
        <f aca="false">IF(J20&lt;&gt;"",J20-H20,MAX(0,DATE(2026,9,16)-H20))</f>
        <v>0</v>
      </c>
      <c r="M20" s="20" t="str">
        <f aca="false">IF(K20="已完成","绿",IF(H20&lt;DATE(2026,9,16),"红",IF(H20&lt;=DATE(2026,9,23),"黄","绿")))</f>
        <v>绿</v>
      </c>
      <c r="N20" s="21" t="s">
        <v>166</v>
      </c>
    </row>
    <row r="21" customFormat="false" ht="16.5" hidden="false" customHeight="true" outlineLevel="0" collapsed="false">
      <c r="G21" s="26"/>
      <c r="H21" s="26"/>
      <c r="I21" s="26"/>
      <c r="J21" s="26"/>
    </row>
    <row r="22" customFormat="false" ht="16.5" hidden="false" customHeight="true" outlineLevel="0" collapsed="false">
      <c r="G22" s="26"/>
      <c r="H22" s="26"/>
      <c r="I22" s="26"/>
      <c r="J22" s="26"/>
    </row>
    <row r="23" customFormat="false" ht="16.5" hidden="false" customHeight="true" outlineLevel="0" collapsed="false">
      <c r="G23" s="26"/>
      <c r="H23" s="26"/>
      <c r="I23" s="26"/>
      <c r="J23" s="26"/>
    </row>
  </sheetData>
  <mergeCells count="4">
    <mergeCell ref="A1:N1"/>
    <mergeCell ref="B4:B6"/>
    <mergeCell ref="B7:B9"/>
    <mergeCell ref="B11:B19"/>
  </mergeCells>
  <conditionalFormatting sqref="J6 J9:J17">
    <cfRule type="containsText" priority="2" operator="containsText" aboveAverage="0" equalAverage="0" bottom="0" percent="0" rank="0" text="红" dxfId="0">
      <formula>NOT(ISERROR(SEARCH("红",J6)))</formula>
    </cfRule>
    <cfRule type="containsText" priority="3" operator="containsText" aboveAverage="0" equalAverage="0" bottom="0" percent="0" rank="0" text="黄" dxfId="1">
      <formula>NOT(ISERROR(SEARCH("黄",J6)))</formula>
    </cfRule>
    <cfRule type="containsText" priority="4" operator="containsText" aboveAverage="0" equalAverage="0" bottom="0" percent="0" rank="0" text="绿" dxfId="2">
      <formula>NOT(ISERROR(SEARCH("绿",J6)))</formula>
    </cfRule>
  </conditionalFormatting>
  <conditionalFormatting sqref="L4:L17">
    <cfRule type="containsText" priority="5" operator="containsText" aboveAverage="0" equalAverage="0" bottom="0" percent="0" rank="0" text="红" dxfId="0">
      <formula>NOT(ISERROR(SEARCH("红",L4)))</formula>
    </cfRule>
    <cfRule type="containsText" priority="6" operator="containsText" aboveAverage="0" equalAverage="0" bottom="0" percent="0" rank="0" text="黄" dxfId="1">
      <formula>NOT(ISERROR(SEARCH("黄",L4)))</formula>
    </cfRule>
    <cfRule type="containsText" priority="7" operator="containsText" aboveAverage="0" equalAverage="0" bottom="0" percent="0" rank="0" text="绿" dxfId="2">
      <formula>NOT(ISERROR(SEARCH("绿",L4)))</formula>
    </cfRule>
  </conditionalFormatting>
  <conditionalFormatting sqref="M4:M19">
    <cfRule type="containsText" priority="8" operator="containsText" aboveAverage="0" equalAverage="0" bottom="0" percent="0" rank="0" text="红" dxfId="0">
      <formula>NOT(ISERROR(SEARCH("红",M4)))</formula>
    </cfRule>
    <cfRule type="containsText" priority="9" operator="containsText" aboveAverage="0" equalAverage="0" bottom="0" percent="0" rank="0" text="黄" dxfId="1">
      <formula>NOT(ISERROR(SEARCH("黄",M4)))</formula>
    </cfRule>
    <cfRule type="containsText" priority="10" operator="containsText" aboveAverage="0" equalAverage="0" bottom="0" percent="0" rank="0" text="绿" dxfId="2">
      <formula>NOT(ISERROR(SEARCH("绿",M4)))</formula>
    </cfRule>
  </conditionalFormatting>
  <conditionalFormatting sqref="M4:M20">
    <cfRule type="containsText" priority="11" operator="containsText" aboveAverage="0" equalAverage="0" bottom="0" percent="0" rank="0" text="红" dxfId="0">
      <formula>NOT(ISERROR(SEARCH("红",M4)))</formula>
    </cfRule>
    <cfRule type="containsText" priority="12" operator="containsText" aboveAverage="0" equalAverage="0" bottom="0" percent="0" rank="0" text="黄" dxfId="1">
      <formula>NOT(ISERROR(SEARCH("黄",M4)))</formula>
    </cfRule>
    <cfRule type="containsText" priority="13" operator="containsText" aboveAverage="0" equalAverage="0" bottom="0" percent="0" rank="0" text="绿" dxfId="2">
      <formula>NOT(ISERROR(SEARCH("绿",M4)))</formula>
    </cfRule>
  </conditionalFormatting>
  <dataValidations count="2">
    <dataValidation allowBlank="true" errorStyle="stop" operator="between" showDropDown="false" showErrorMessage="true" showInputMessage="true" sqref="K4:K23" type="list">
      <formula1>"未开始,进行中,进行中（待确认）,暂停,计划日期已到，待确认,已完成,已取消"</formula1>
      <formula2>0</formula2>
    </dataValidation>
    <dataValidation allowBlank="true" error="请输入有效的Excel日期，例如2026-10-20" errorStyle="stop" errorTitle="日期格式错误" operator="between" prompt="请输入日期，格式为yyyy-mm-dd" promptTitle="日期字段" showDropDown="false" showErrorMessage="true" showInputMessage="true" sqref="G4:J23" type="date">
      <formula1>DATE(2020,1,1)</formula1>
      <formula2>DATE(2099,12,31)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70" activePane="bottomRight" state="frozen"/>
      <selection pane="topLeft" activeCell="A1" activeCellId="0" sqref="A1"/>
      <selection pane="topRight" activeCell="F1" activeCellId="0" sqref="F1"/>
      <selection pane="bottomLeft" activeCell="A70" activeCellId="0" sqref="A70"/>
      <selection pane="bottomRight" activeCell="I36" activeCellId="0" sqref="I36"/>
    </sheetView>
  </sheetViews>
  <sheetFormatPr defaultColWidth="7.75390625" defaultRowHeight="15" customHeight="false" zeroHeight="false" outlineLevelRow="0" outlineLevelCol="1"/>
  <cols>
    <col collapsed="false" customWidth="true" hidden="false" outlineLevel="0" max="1" min="1" style="1" width="9.47"/>
    <col collapsed="false" customWidth="true" hidden="false" outlineLevel="0" max="2" min="2" style="1" width="20.3"/>
    <col collapsed="false" customWidth="true" hidden="false" outlineLevel="0" max="3" min="3" style="1" width="16"/>
    <col collapsed="false" customWidth="true" hidden="false" outlineLevel="0" max="4" min="4" style="1" width="9.8"/>
    <col collapsed="false" customWidth="true" hidden="false" outlineLevel="0" max="5" min="5" style="1" width="34.42"/>
    <col collapsed="false" customWidth="true" hidden="false" outlineLevel="0" max="6" min="6" style="1" width="9.47"/>
    <col collapsed="false" customWidth="true" hidden="false" outlineLevel="0" max="8" min="8" style="1" width="12.05"/>
    <col collapsed="false" customWidth="true" hidden="false" outlineLevel="0" max="9" min="9" style="1" width="10.33"/>
    <col collapsed="false" customWidth="true" hidden="false" outlineLevel="0" max="11" min="10" style="1" width="10.65"/>
    <col collapsed="false" customWidth="true" hidden="false" outlineLevel="0" max="12" min="12" style="1" width="12.05"/>
    <col collapsed="false" customWidth="true" hidden="false" outlineLevel="0" max="13" min="13" style="1" width="9.47"/>
    <col collapsed="false" customWidth="true" hidden="false" outlineLevel="1" max="14" min="14" style="1" width="10.33"/>
    <col collapsed="false" customWidth="true" hidden="false" outlineLevel="1" max="15" min="15" style="1" width="10.65"/>
    <col collapsed="false" customWidth="true" hidden="false" outlineLevel="0" max="16" min="16" style="1" width="14.63"/>
    <col collapsed="false" customWidth="true" hidden="false" outlineLevel="0" max="17" min="17" style="1" width="9.47"/>
    <col collapsed="false" customWidth="true" hidden="false" outlineLevel="1" max="19" min="18" style="1" width="10.65"/>
    <col collapsed="false" customWidth="true" hidden="false" outlineLevel="0" max="20" min="20" style="1" width="12.05"/>
    <col collapsed="false" customWidth="true" hidden="false" outlineLevel="0" max="21" min="21" style="1" width="9.47"/>
    <col collapsed="false" customWidth="true" hidden="false" outlineLevel="1" max="22" min="22" style="1" width="10.33"/>
    <col collapsed="false" customWidth="true" hidden="false" outlineLevel="1" max="23" min="23" style="1" width="11"/>
    <col collapsed="false" customWidth="true" hidden="false" outlineLevel="0" max="24" min="24" style="1" width="12.05"/>
    <col collapsed="false" customWidth="true" hidden="false" outlineLevel="0" max="25" min="25" style="1" width="9.47"/>
    <col collapsed="false" customWidth="true" hidden="false" outlineLevel="1" max="26" min="26" style="1" width="10.33"/>
    <col collapsed="false" customWidth="true" hidden="false" outlineLevel="1" max="27" min="27" style="1" width="10.65"/>
    <col collapsed="false" customWidth="true" hidden="false" outlineLevel="0" max="28" min="28" style="1" width="9.47"/>
    <col collapsed="false" customWidth="true" hidden="false" outlineLevel="0" max="29" min="29" style="1" width="10.33"/>
    <col collapsed="false" customWidth="true" hidden="false" outlineLevel="0" max="30" min="30" style="1" width="24.09"/>
    <col collapsed="false" customWidth="true" hidden="false" outlineLevel="0" max="31" min="31" style="1" width="25.82"/>
    <col collapsed="false" customWidth="true" hidden="false" outlineLevel="0" max="32" min="32" style="1" width="10.33"/>
    <col collapsed="false" customWidth="true" hidden="false" outlineLevel="0" max="33" min="33" style="1" width="13"/>
    <col collapsed="false" customWidth="true" hidden="false" outlineLevel="0" max="34" min="34" style="1" width="11"/>
  </cols>
  <sheetData>
    <row r="1" customFormat="false" ht="33.75" hidden="false" customHeight="true" outlineLevel="0" collapsed="false">
      <c r="A1" s="13" t="s">
        <v>167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</row>
    <row r="2" customFormat="false" ht="16.5" hidden="false" customHeight="true" outlineLevel="0" collapsed="false">
      <c r="A2" s="27" t="s">
        <v>168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</row>
    <row r="3" customFormat="false" ht="30" hidden="false" customHeight="true" outlineLevel="0" collapsed="false">
      <c r="A3" s="14" t="s">
        <v>169</v>
      </c>
      <c r="B3" s="14" t="s">
        <v>170</v>
      </c>
      <c r="C3" s="14" t="s">
        <v>171</v>
      </c>
      <c r="D3" s="14" t="s">
        <v>172</v>
      </c>
      <c r="E3" s="14" t="s">
        <v>173</v>
      </c>
      <c r="F3" s="14" t="s">
        <v>174</v>
      </c>
      <c r="G3" s="14" t="s">
        <v>175</v>
      </c>
      <c r="H3" s="14" t="s">
        <v>176</v>
      </c>
      <c r="I3" s="14" t="s">
        <v>177</v>
      </c>
      <c r="J3" s="14" t="s">
        <v>178</v>
      </c>
      <c r="K3" s="14" t="s">
        <v>179</v>
      </c>
      <c r="L3" s="14" t="s">
        <v>180</v>
      </c>
      <c r="M3" s="14" t="s">
        <v>181</v>
      </c>
      <c r="N3" s="14" t="s">
        <v>182</v>
      </c>
      <c r="O3" s="14" t="s">
        <v>183</v>
      </c>
      <c r="P3" s="14" t="s">
        <v>184</v>
      </c>
      <c r="Q3" s="14" t="s">
        <v>185</v>
      </c>
      <c r="R3" s="14" t="s">
        <v>186</v>
      </c>
      <c r="S3" s="14" t="s">
        <v>187</v>
      </c>
      <c r="T3" s="14" t="s">
        <v>188</v>
      </c>
      <c r="U3" s="14" t="s">
        <v>189</v>
      </c>
      <c r="V3" s="14" t="s">
        <v>190</v>
      </c>
      <c r="W3" s="14" t="s">
        <v>191</v>
      </c>
      <c r="X3" s="14" t="s">
        <v>192</v>
      </c>
      <c r="Y3" s="14" t="s">
        <v>193</v>
      </c>
      <c r="Z3" s="14" t="s">
        <v>194</v>
      </c>
      <c r="AA3" s="14" t="s">
        <v>195</v>
      </c>
      <c r="AB3" s="14" t="s">
        <v>196</v>
      </c>
      <c r="AC3" s="14" t="s">
        <v>197</v>
      </c>
      <c r="AD3" s="14" t="s">
        <v>198</v>
      </c>
      <c r="AE3" s="14" t="s">
        <v>199</v>
      </c>
      <c r="AF3" s="14" t="s">
        <v>200</v>
      </c>
      <c r="AG3" s="14" t="s">
        <v>50</v>
      </c>
      <c r="AH3" s="14" t="s">
        <v>52</v>
      </c>
    </row>
    <row r="4" customFormat="false" ht="31.5" hidden="false" customHeight="true" outlineLevel="0" collapsed="false">
      <c r="A4" s="15" t="s">
        <v>201</v>
      </c>
      <c r="B4" s="16" t="s">
        <v>70</v>
      </c>
      <c r="C4" s="16" t="s">
        <v>71</v>
      </c>
      <c r="D4" s="28" t="s">
        <v>202</v>
      </c>
      <c r="E4" s="17" t="s">
        <v>203</v>
      </c>
      <c r="F4" s="15" t="s">
        <v>69</v>
      </c>
      <c r="G4" s="17" t="str">
        <f aca="false">IF(OR(M4="暂停",M4="挂起",Q4="暂停",Q4="挂起",U4="暂停",U4="挂起",Y4="暂停",Y4="挂起"),"暂停",IF(COUNTA(L4,P4,T4,X4)=0,"未分配",IF(IF(L4&lt;&gt;"",M4="已完成",0)+IF(P4&lt;&gt;"",Q4="已完成",0)+IF(T4&lt;&gt;"",U4="已完成",0)+IF(X4&lt;&gt;"",Y4="已完成",0)=COUNTA(L4,P4,T4,X4),"已完成",IF(IF(L4&lt;&gt;"",M4="进行中",0)+IF(P4&lt;&gt;"",Q4="进行中",0)+IF(T4&lt;&gt;"",U4="进行中",0)+IF(X4&lt;&gt;"",Y4="进行中",0)&gt;0,"进行中",IF(IF(L4&lt;&gt;"",M4="待确认",0)+IF(P4&lt;&gt;"",Q4="待确认",0)+IF(T4&lt;&gt;"",U4="待确认",0)+IF(X4&lt;&gt;"",Y4="待确认",0)&gt;0,"待确认","未开始")))))</f>
        <v>已完成</v>
      </c>
      <c r="H4" s="15" t="str">
        <f aca="false">IF(L4&lt;&gt;"",L4,IF(P4&lt;&gt;"",P4,IF(T4&lt;&gt;"",T4,X4)))</f>
        <v>项目经理</v>
      </c>
      <c r="I4" s="29" t="n">
        <f aca="false">IF(COUNT(N4,R4,V4,Z4)=0,"",MIN(N4,R4,V4,Z4))</f>
        <v>46054</v>
      </c>
      <c r="J4" s="29" t="n">
        <f aca="false">IF(COUNT(O4,S4,W4,AA4)=0,"",MAX(O4,S4,W4,AA4))</f>
        <v>46056</v>
      </c>
      <c r="K4" s="29" t="n">
        <v>46063</v>
      </c>
      <c r="L4" s="17" t="s">
        <v>73</v>
      </c>
      <c r="M4" s="17" t="s">
        <v>75</v>
      </c>
      <c r="N4" s="29" t="n">
        <v>46054</v>
      </c>
      <c r="O4" s="29" t="n">
        <v>46056</v>
      </c>
      <c r="P4" s="15"/>
      <c r="Q4" s="17"/>
      <c r="R4" s="29"/>
      <c r="S4" s="29"/>
      <c r="T4" s="15"/>
      <c r="U4" s="17"/>
      <c r="V4" s="29"/>
      <c r="W4" s="29"/>
      <c r="X4" s="15"/>
      <c r="Y4" s="17"/>
      <c r="Z4" s="29"/>
      <c r="AA4" s="29"/>
      <c r="AB4" s="30" t="n">
        <f aca="false">IFERROR((IF(L4&lt;&gt;"",IF(M4="已完成",1,IF(M4="进行中",0.5,0))*15%,0)+IF(P4&lt;&gt;"",IF(Q4="已完成",1,IF(Q4="进行中",0.5,0))*35%,0)+IF(T4&lt;&gt;"",IF(U4="已完成",1,IF(U4="进行中",0.5,0))*30%,0)+IF(X4&lt;&gt;"",IF(Y4="已完成",1,IF(Y4="进行中",0.5,0))*20%,0))/(IF(L4&lt;&gt;"",15%,0)+IF(P4&lt;&gt;"",35%,0)+IF(T4&lt;&gt;"",30%,0)+IF(X4&lt;&gt;"",20%,0)),0)</f>
        <v>1</v>
      </c>
      <c r="AC4" s="17" t="str">
        <f aca="false">IF($A4="","",IF(G4="已完成","正常",IF(G4="暂停","暂停",IF(J4="","日期缺失",IF(J4&lt;_数据接口!$B$7,"已延期",IF(J4&lt;=_数据接口!$B$7+7,"临近到期","正常"))))))</f>
        <v>正常</v>
      </c>
      <c r="AD4" s="17"/>
      <c r="AE4" s="17"/>
      <c r="AG4" s="29"/>
      <c r="AH4" s="31" t="str">
        <f aca="false">IF(OR($A4="",J4="",AG4=""),"",AG4-J4)</f>
        <v/>
      </c>
    </row>
    <row r="5" customFormat="false" ht="31.5" hidden="false" customHeight="true" outlineLevel="0" collapsed="false">
      <c r="A5" s="20" t="s">
        <v>204</v>
      </c>
      <c r="B5" s="16"/>
      <c r="C5" s="16"/>
      <c r="D5" s="16"/>
      <c r="E5" s="21" t="s">
        <v>205</v>
      </c>
      <c r="F5" s="20" t="s">
        <v>69</v>
      </c>
      <c r="G5" s="21" t="str">
        <f aca="false">IF(OR(M5="暂停",M5="挂起",Q5="暂停",Q5="挂起",U5="暂停",U5="挂起",Y5="暂停",Y5="挂起"),"暂停",IF(COUNTA(L5,P5,T5,X5)=0,"未分配",IF(IF(L5&lt;&gt;"",M5="已完成",0)+IF(P5&lt;&gt;"",Q5="已完成",0)+IF(T5&lt;&gt;"",U5="已完成",0)+IF(X5&lt;&gt;"",Y5="已完成",0)=COUNTA(L5,P5,T5,X5),"已完成",IF(IF(L5&lt;&gt;"",M5="进行中",0)+IF(P5&lt;&gt;"",Q5="进行中",0)+IF(T5&lt;&gt;"",U5="进行中",0)+IF(X5&lt;&gt;"",Y5="进行中",0)&gt;0,"进行中",IF(IF(L5&lt;&gt;"",M5="待确认",0)+IF(P5&lt;&gt;"",Q5="待确认",0)+IF(T5&lt;&gt;"",U5="待确认",0)+IF(X5&lt;&gt;"",Y5="待确认",0)&gt;0,"待确认","未开始")))))</f>
        <v>已完成</v>
      </c>
      <c r="H5" s="20" t="str">
        <f aca="false">IF(L5&lt;&gt;"",L5,IF(P5&lt;&gt;"",P5,IF(T5&lt;&gt;"",T5,X5)))</f>
        <v>产品经理</v>
      </c>
      <c r="I5" s="32" t="n">
        <f aca="false">IF(COUNT(N5,R5,V5,Z5)=0,"",MIN(N5,R5,V5,Z5))</f>
        <v>46057</v>
      </c>
      <c r="J5" s="32" t="n">
        <f aca="false">IF(COUNT(O5,S5,W5,AA5)=0,"",MAX(O5,S5,W5,AA5))</f>
        <v>46059</v>
      </c>
      <c r="K5" s="32" t="n">
        <v>46063</v>
      </c>
      <c r="L5" s="21" t="s">
        <v>85</v>
      </c>
      <c r="M5" s="21" t="s">
        <v>75</v>
      </c>
      <c r="N5" s="32" t="n">
        <v>46057</v>
      </c>
      <c r="O5" s="32" t="n">
        <v>46059</v>
      </c>
      <c r="P5" s="20"/>
      <c r="Q5" s="21"/>
      <c r="R5" s="32"/>
      <c r="S5" s="32"/>
      <c r="T5" s="20"/>
      <c r="U5" s="21"/>
      <c r="V5" s="32"/>
      <c r="W5" s="32"/>
      <c r="X5" s="20"/>
      <c r="Y5" s="21"/>
      <c r="Z5" s="32"/>
      <c r="AA5" s="32"/>
      <c r="AB5" s="33" t="n">
        <f aca="false">IFERROR((IF(L5&lt;&gt;"",IF(M5="已完成",1,IF(M5="进行中",0.5,0))*15%,0)+IF(P5&lt;&gt;"",IF(Q5="已完成",1,IF(Q5="进行中",0.5,0))*35%,0)+IF(T5&lt;&gt;"",IF(U5="已完成",1,IF(U5="进行中",0.5,0))*30%,0)+IF(X5&lt;&gt;"",IF(Y5="已完成",1,IF(Y5="进行中",0.5,0))*20%,0))/(IF(L5&lt;&gt;"",15%,0)+IF(P5&lt;&gt;"",35%,0)+IF(T5&lt;&gt;"",30%,0)+IF(X5&lt;&gt;"",20%,0)),0)</f>
        <v>1</v>
      </c>
      <c r="AC5" s="21" t="str">
        <f aca="false">IF($A5="","",IF(G5="已完成","正常",IF(G5="暂停","暂停",IF(J5="","日期缺失",IF(J5&lt;_数据接口!$B$7,"已延期",IF(J5&lt;=_数据接口!$B$7+7,"临近到期","正常"))))))</f>
        <v>正常</v>
      </c>
      <c r="AD5" s="21"/>
      <c r="AE5" s="21"/>
      <c r="AG5" s="32"/>
      <c r="AH5" s="34" t="str">
        <f aca="false">IF(OR($A5="",J5="",AG5=""),"",AG5-J5)</f>
        <v/>
      </c>
    </row>
    <row r="6" customFormat="false" ht="31.5" hidden="false" customHeight="true" outlineLevel="0" collapsed="false">
      <c r="A6" s="20" t="s">
        <v>206</v>
      </c>
      <c r="B6" s="16"/>
      <c r="C6" s="16"/>
      <c r="D6" s="16"/>
      <c r="E6" s="21" t="s">
        <v>207</v>
      </c>
      <c r="F6" s="20" t="s">
        <v>69</v>
      </c>
      <c r="G6" s="21" t="str">
        <f aca="false">IF(OR(M6="暂停",M6="挂起",Q6="暂停",Q6="挂起",U6="暂停",U6="挂起",Y6="暂停",Y6="挂起"),"暂停",IF(COUNTA(L6,P6,T6,X6)=0,"未分配",IF(IF(L6&lt;&gt;"",M6="已完成",0)+IF(P6&lt;&gt;"",Q6="已完成",0)+IF(T6&lt;&gt;"",U6="已完成",0)+IF(X6&lt;&gt;"",Y6="已完成",0)=COUNTA(L6,P6,T6,X6),"已完成",IF(IF(L6&lt;&gt;"",M6="进行中",0)+IF(P6&lt;&gt;"",Q6="进行中",0)+IF(T6&lt;&gt;"",U6="进行中",0)+IF(X6&lt;&gt;"",Y6="进行中",0)&gt;0,"进行中",IF(IF(L6&lt;&gt;"",M6="待确认",0)+IF(P6&lt;&gt;"",Q6="待确认",0)+IF(T6&lt;&gt;"",U6="待确认",0)+IF(X6&lt;&gt;"",Y6="待确认",0)&gt;0,"待确认","未开始")))))</f>
        <v>已完成</v>
      </c>
      <c r="H6" s="20" t="str">
        <f aca="false">IF(L6&lt;&gt;"",L6,IF(P6&lt;&gt;"",P6,IF(T6&lt;&gt;"",T6,X6)))</f>
        <v>项目集经理</v>
      </c>
      <c r="I6" s="32" t="n">
        <f aca="false">IF(COUNT(N6,R6,V6,Z6)=0,"",MIN(N6,R6,V6,Z6))</f>
        <v>46060</v>
      </c>
      <c r="J6" s="32" t="n">
        <f aca="false">IF(COUNT(O6,S6,W6,AA6)=0,"",MAX(O6,S6,W6,AA6))</f>
        <v>46063</v>
      </c>
      <c r="K6" s="32" t="n">
        <v>46063</v>
      </c>
      <c r="L6" s="21" t="s">
        <v>110</v>
      </c>
      <c r="M6" s="21" t="s">
        <v>75</v>
      </c>
      <c r="N6" s="32" t="n">
        <v>46060</v>
      </c>
      <c r="O6" s="32" t="n">
        <v>46063</v>
      </c>
      <c r="P6" s="20"/>
      <c r="Q6" s="21"/>
      <c r="R6" s="32"/>
      <c r="S6" s="32"/>
      <c r="T6" s="20"/>
      <c r="U6" s="21"/>
      <c r="V6" s="32"/>
      <c r="W6" s="32"/>
      <c r="X6" s="20"/>
      <c r="Y6" s="21"/>
      <c r="Z6" s="32"/>
      <c r="AA6" s="32"/>
      <c r="AB6" s="33" t="n">
        <f aca="false">IFERROR((IF(L6&lt;&gt;"",IF(M6="已完成",1,IF(M6="进行中",0.5,0))*15%,0)+IF(P6&lt;&gt;"",IF(Q6="已完成",1,IF(Q6="进行中",0.5,0))*35%,0)+IF(T6&lt;&gt;"",IF(U6="已完成",1,IF(U6="进行中",0.5,0))*30%,0)+IF(X6&lt;&gt;"",IF(Y6="已完成",1,IF(Y6="进行中",0.5,0))*20%,0))/(IF(L6&lt;&gt;"",15%,0)+IF(P6&lt;&gt;"",35%,0)+IF(T6&lt;&gt;"",30%,0)+IF(X6&lt;&gt;"",20%,0)),0)</f>
        <v>1</v>
      </c>
      <c r="AC6" s="21" t="str">
        <f aca="false">IF($A6="","",IF(G6="已完成","正常",IF(G6="暂停","暂停",IF(J6="","日期缺失",IF(J6&lt;_数据接口!$B$7,"已延期",IF(J6&lt;=_数据接口!$B$7+7,"临近到期","正常"))))))</f>
        <v>正常</v>
      </c>
      <c r="AD6" s="21"/>
      <c r="AE6" s="21"/>
      <c r="AG6" s="32"/>
      <c r="AH6" s="34" t="str">
        <f aca="false">IF(OR($A6="",J6="",AG6=""),"",AG6-J6)</f>
        <v/>
      </c>
    </row>
    <row r="7" customFormat="false" ht="31.5" hidden="false" customHeight="true" outlineLevel="0" collapsed="false">
      <c r="A7" s="20" t="s">
        <v>208</v>
      </c>
      <c r="B7" s="16"/>
      <c r="C7" s="25" t="s">
        <v>78</v>
      </c>
      <c r="D7" s="35" t="s">
        <v>209</v>
      </c>
      <c r="E7" s="21" t="s">
        <v>210</v>
      </c>
      <c r="F7" s="20" t="s">
        <v>77</v>
      </c>
      <c r="G7" s="21" t="str">
        <f aca="false">IF(OR(M7="暂停",M7="挂起",Q7="暂停",Q7="挂起",U7="暂停",U7="挂起",Y7="暂停",Y7="挂起"),"暂停",IF(COUNTA(L7,P7,T7,X7)=0,"未分配",IF(IF(L7&lt;&gt;"",M7="已完成",0)+IF(P7&lt;&gt;"",Q7="已完成",0)+IF(T7&lt;&gt;"",U7="已完成",0)+IF(X7&lt;&gt;"",Y7="已完成",0)=COUNTA(L7,P7,T7,X7),"已完成",IF(IF(L7&lt;&gt;"",M7="进行中",0)+IF(P7&lt;&gt;"",Q7="进行中",0)+IF(T7&lt;&gt;"",U7="进行中",0)+IF(X7&lt;&gt;"",Y7="进行中",0)&gt;0,"进行中",IF(IF(L7&lt;&gt;"",M7="待确认",0)+IF(P7&lt;&gt;"",Q7="待确认",0)+IF(T7&lt;&gt;"",U7="待确认",0)+IF(X7&lt;&gt;"",Y7="待确认",0)&gt;0,"待确认","未开始")))))</f>
        <v>已完成</v>
      </c>
      <c r="H7" s="20" t="str">
        <f aca="false">IF(L7&lt;&gt;"",L7,IF(P7&lt;&gt;"",P7,IF(T7&lt;&gt;"",T7,X7)))</f>
        <v>产品经理</v>
      </c>
      <c r="I7" s="32" t="n">
        <f aca="false">IF(COUNT(N7,R7,V7,Z7)=0,"",MIN(N7,R7,V7,Z7))</f>
        <v>46054</v>
      </c>
      <c r="J7" s="32" t="n">
        <f aca="false">IF(COUNT(O7,S7,W7,AA7)=0,"",MAX(O7,S7,W7,AA7))</f>
        <v>46099</v>
      </c>
      <c r="K7" s="32" t="n">
        <v>46283</v>
      </c>
      <c r="L7" s="21" t="s">
        <v>85</v>
      </c>
      <c r="M7" s="21" t="s">
        <v>75</v>
      </c>
      <c r="N7" s="32" t="n">
        <v>46054</v>
      </c>
      <c r="O7" s="32" t="n">
        <v>46099</v>
      </c>
      <c r="P7" s="20"/>
      <c r="Q7" s="21"/>
      <c r="R7" s="32"/>
      <c r="S7" s="32"/>
      <c r="T7" s="20"/>
      <c r="U7" s="21"/>
      <c r="V7" s="32"/>
      <c r="W7" s="32"/>
      <c r="X7" s="20"/>
      <c r="Y7" s="21"/>
      <c r="Z7" s="32"/>
      <c r="AA7" s="32"/>
      <c r="AB7" s="33" t="n">
        <f aca="false">IFERROR((IF(L7&lt;&gt;"",IF(M7="已完成",1,IF(M7="进行中",0.5,0))*15%,0)+IF(P7&lt;&gt;"",IF(Q7="已完成",1,IF(Q7="进行中",0.5,0))*35%,0)+IF(T7&lt;&gt;"",IF(U7="已完成",1,IF(U7="进行中",0.5,0))*30%,0)+IF(X7&lt;&gt;"",IF(Y7="已完成",1,IF(Y7="进行中",0.5,0))*20%,0))/(IF(L7&lt;&gt;"",15%,0)+IF(P7&lt;&gt;"",35%,0)+IF(T7&lt;&gt;"",30%,0)+IF(X7&lt;&gt;"",20%,0)),0)</f>
        <v>1</v>
      </c>
      <c r="AC7" s="21" t="str">
        <f aca="false">IF($A7="","",IF(G7="已完成","正常",IF(G7="暂停","暂停",IF(J7="","日期缺失",IF(J7&lt;_数据接口!$B$7,"已延期",IF(J7&lt;=_数据接口!$B$7+7,"临近到期","正常"))))))</f>
        <v>正常</v>
      </c>
      <c r="AD7" s="21"/>
      <c r="AE7" s="21"/>
      <c r="AG7" s="32"/>
      <c r="AH7" s="34" t="str">
        <f aca="false">IF(OR($A7="",J7="",AG7=""),"",AG7-J7)</f>
        <v/>
      </c>
    </row>
    <row r="8" customFormat="false" ht="31.5" hidden="false" customHeight="true" outlineLevel="0" collapsed="false">
      <c r="A8" s="20" t="s">
        <v>211</v>
      </c>
      <c r="B8" s="16"/>
      <c r="C8" s="16"/>
      <c r="D8" s="16"/>
      <c r="E8" s="21" t="s">
        <v>212</v>
      </c>
      <c r="F8" s="20" t="s">
        <v>77</v>
      </c>
      <c r="G8" s="21" t="str">
        <f aca="false">IF(OR(M8="暂停",M8="挂起",Q8="暂停",Q8="挂起",U8="暂停",U8="挂起",Y8="暂停",Y8="挂起"),"暂停",IF(COUNTA(L8,P8,T8,X8)=0,"未分配",IF(IF(L8&lt;&gt;"",M8="已完成",0)+IF(P8&lt;&gt;"",Q8="已完成",0)+IF(T8&lt;&gt;"",U8="已完成",0)+IF(X8&lt;&gt;"",Y8="已完成",0)=COUNTA(L8,P8,T8,X8),"已完成",IF(IF(L8&lt;&gt;"",M8="进行中",0)+IF(P8&lt;&gt;"",Q8="进行中",0)+IF(T8&lt;&gt;"",U8="进行中",0)+IF(X8&lt;&gt;"",Y8="进行中",0)&gt;0,"进行中",IF(IF(L8&lt;&gt;"",M8="待确认",0)+IF(P8&lt;&gt;"",Q8="待确认",0)+IF(T8&lt;&gt;"",U8="待确认",0)+IF(X8&lt;&gt;"",Y8="待确认",0)&gt;0,"待确认","未开始")))))</f>
        <v>已完成</v>
      </c>
      <c r="H8" s="20" t="str">
        <f aca="false">IF(L8&lt;&gt;"",L8,IF(P8&lt;&gt;"",P8,IF(T8&lt;&gt;"",T8,X8)))</f>
        <v>技术经理</v>
      </c>
      <c r="I8" s="32" t="n">
        <f aca="false">IF(COUNT(N8,R8,V8,Z8)=0,"",MIN(N8,R8,V8,Z8))</f>
        <v>46100</v>
      </c>
      <c r="J8" s="32" t="n">
        <f aca="false">IF(COUNT(O8,S8,W8,AA8)=0,"",MAX(O8,S8,W8,AA8))</f>
        <v>46145</v>
      </c>
      <c r="K8" s="32" t="n">
        <v>46283</v>
      </c>
      <c r="L8" s="20"/>
      <c r="M8" s="21" t="s">
        <v>75</v>
      </c>
      <c r="N8" s="32"/>
      <c r="O8" s="32"/>
      <c r="P8" s="21" t="s">
        <v>98</v>
      </c>
      <c r="Q8" s="21" t="s">
        <v>75</v>
      </c>
      <c r="R8" s="32" t="n">
        <v>46100</v>
      </c>
      <c r="S8" s="32" t="n">
        <v>46145</v>
      </c>
      <c r="T8" s="20"/>
      <c r="U8" s="21"/>
      <c r="V8" s="32"/>
      <c r="W8" s="32"/>
      <c r="X8" s="20"/>
      <c r="Y8" s="21"/>
      <c r="Z8" s="32"/>
      <c r="AA8" s="32"/>
      <c r="AB8" s="33" t="n">
        <f aca="false">IFERROR((IF(L8&lt;&gt;"",IF(M8="已完成",1,IF(M8="进行中",0.5,0))*15%,0)+IF(P8&lt;&gt;"",IF(Q8="已完成",1,IF(Q8="进行中",0.5,0))*35%,0)+IF(T8&lt;&gt;"",IF(U8="已完成",1,IF(U8="进行中",0.5,0))*30%,0)+IF(X8&lt;&gt;"",IF(Y8="已完成",1,IF(Y8="进行中",0.5,0))*20%,0))/(IF(L8&lt;&gt;"",15%,0)+IF(P8&lt;&gt;"",35%,0)+IF(T8&lt;&gt;"",30%,0)+IF(X8&lt;&gt;"",20%,0)),0)</f>
        <v>1</v>
      </c>
      <c r="AC8" s="21" t="str">
        <f aca="false">IF($A8="","",IF(G8="已完成","正常",IF(G8="暂停","暂停",IF(J8="","日期缺失",IF(J8&lt;_数据接口!$B$7,"已延期",IF(J8&lt;=_数据接口!$B$7+7,"临近到期","正常"))))))</f>
        <v>正常</v>
      </c>
      <c r="AD8" s="21"/>
      <c r="AE8" s="21"/>
      <c r="AF8" s="36"/>
      <c r="AG8" s="32"/>
      <c r="AH8" s="34" t="str">
        <f aca="false">IF(OR($A8="",J8="",AG8=""),"",AG8-J8)</f>
        <v/>
      </c>
    </row>
    <row r="9" customFormat="false" ht="31.5" hidden="false" customHeight="true" outlineLevel="0" collapsed="false">
      <c r="A9" s="20" t="s">
        <v>213</v>
      </c>
      <c r="B9" s="16"/>
      <c r="C9" s="16"/>
      <c r="D9" s="16"/>
      <c r="E9" s="21" t="s">
        <v>214</v>
      </c>
      <c r="F9" s="20" t="s">
        <v>77</v>
      </c>
      <c r="G9" s="21" t="str">
        <f aca="false">IF(OR(M9="暂停",M9="挂起",Q9="暂停",Q9="挂起",U9="暂停",U9="挂起",Y9="暂停",Y9="挂起"),"暂停",IF(COUNTA(L9,P9,T9,X9)=0,"未分配",IF(IF(L9&lt;&gt;"",M9="已完成",0)+IF(P9&lt;&gt;"",Q9="已完成",0)+IF(T9&lt;&gt;"",U9="已完成",0)+IF(X9&lt;&gt;"",Y9="已完成",0)=COUNTA(L9,P9,T9,X9),"已完成",IF(IF(L9&lt;&gt;"",M9="进行中",0)+IF(P9&lt;&gt;"",Q9="进行中",0)+IF(T9&lt;&gt;"",U9="进行中",0)+IF(X9&lt;&gt;"",Y9="进行中",0)&gt;0,"进行中",IF(IF(L9&lt;&gt;"",M9="待确认",0)+IF(P9&lt;&gt;"",Q9="待确认",0)+IF(T9&lt;&gt;"",U9="待确认",0)+IF(X9&lt;&gt;"",Y9="待确认",0)&gt;0,"待确认","未开始")))))</f>
        <v>已完成</v>
      </c>
      <c r="H9" s="20" t="str">
        <f aca="false">IF(L9&lt;&gt;"",L9,IF(P9&lt;&gt;"",P9,IF(T9&lt;&gt;"",T9,X9)))</f>
        <v>项目经理</v>
      </c>
      <c r="I9" s="32" t="n">
        <f aca="false">IF(COUNT(N9,R9,V9,Z9)=0,"",MIN(N9,R9,V9,Z9))</f>
        <v>46146</v>
      </c>
      <c r="J9" s="32" t="n">
        <f aca="false">IF(COUNT(O9,S9,W9,AA9)=0,"",MAX(O9,S9,W9,AA9))</f>
        <v>46191</v>
      </c>
      <c r="K9" s="32" t="n">
        <v>46283</v>
      </c>
      <c r="L9" s="21" t="s">
        <v>73</v>
      </c>
      <c r="M9" s="21" t="s">
        <v>75</v>
      </c>
      <c r="N9" s="32" t="n">
        <v>46146</v>
      </c>
      <c r="O9" s="32" t="n">
        <v>46191</v>
      </c>
      <c r="P9" s="20"/>
      <c r="Q9" s="21"/>
      <c r="R9" s="32"/>
      <c r="S9" s="32"/>
      <c r="T9" s="20"/>
      <c r="U9" s="21"/>
      <c r="V9" s="32"/>
      <c r="W9" s="32"/>
      <c r="X9" s="20"/>
      <c r="Y9" s="21"/>
      <c r="Z9" s="32"/>
      <c r="AA9" s="32"/>
      <c r="AB9" s="33" t="n">
        <f aca="false">IFERROR((IF(L9&lt;&gt;"",IF(M9="已完成",1,IF(M9="进行中",0.5,0))*15%,0)+IF(P9&lt;&gt;"",IF(Q9="已完成",1,IF(Q9="进行中",0.5,0))*35%,0)+IF(T9&lt;&gt;"",IF(U9="已完成",1,IF(U9="进行中",0.5,0))*30%,0)+IF(X9&lt;&gt;"",IF(Y9="已完成",1,IF(Y9="进行中",0.5,0))*20%,0))/(IF(L9&lt;&gt;"",15%,0)+IF(P9&lt;&gt;"",35%,0)+IF(T9&lt;&gt;"",30%,0)+IF(X9&lt;&gt;"",20%,0)),0)</f>
        <v>1</v>
      </c>
      <c r="AC9" s="21" t="str">
        <f aca="false">IF($A9="","",IF(G9="已完成","正常",IF(G9="暂停","暂停",IF(J9="","日期缺失",IF(J9&lt;_数据接口!$B$7,"已延期",IF(J9&lt;=_数据接口!$B$7+7,"临近到期","正常"))))))</f>
        <v>正常</v>
      </c>
      <c r="AD9" s="21"/>
      <c r="AE9" s="21"/>
      <c r="AF9" s="36"/>
      <c r="AG9" s="32"/>
      <c r="AH9" s="34" t="str">
        <f aca="false">IF(OR($A9="",J9="",AG9=""),"",AG9-J9)</f>
        <v/>
      </c>
    </row>
    <row r="10" customFormat="false" ht="31.5" hidden="false" customHeight="true" outlineLevel="0" collapsed="false">
      <c r="A10" s="20" t="s">
        <v>215</v>
      </c>
      <c r="B10" s="16"/>
      <c r="C10" s="16"/>
      <c r="D10" s="16"/>
      <c r="E10" s="21" t="s">
        <v>216</v>
      </c>
      <c r="F10" s="20" t="s">
        <v>77</v>
      </c>
      <c r="G10" s="21" t="str">
        <f aca="false">IF(OR(M10="暂停",M10="挂起",Q10="暂停",Q10="挂起",U10="暂停",U10="挂起",Y10="暂停",Y10="挂起"),"暂停",IF(COUNTA(L10,P10,T10,X10)=0,"未分配",IF(IF(L10&lt;&gt;"",M10="已完成",0)+IF(P10&lt;&gt;"",Q10="已完成",0)+IF(T10&lt;&gt;"",U10="已完成",0)+IF(X10&lt;&gt;"",Y10="已完成",0)=COUNTA(L10,P10,T10,X10),"已完成",IF(IF(L10&lt;&gt;"",M10="进行中",0)+IF(P10&lt;&gt;"",Q10="进行中",0)+IF(T10&lt;&gt;"",U10="进行中",0)+IF(X10&lt;&gt;"",Y10="进行中",0)&gt;0,"进行中",IF(IF(L10&lt;&gt;"",M10="待确认",0)+IF(P10&lt;&gt;"",Q10="待确认",0)+IF(T10&lt;&gt;"",U10="待确认",0)+IF(X10&lt;&gt;"",Y10="待确认",0)&gt;0,"待确认","未开始")))))</f>
        <v>已完成</v>
      </c>
      <c r="H10" s="20" t="str">
        <f aca="false">IF(L10&lt;&gt;"",L10,IF(P10&lt;&gt;"",P10,IF(T10&lt;&gt;"",T10,X10)))</f>
        <v>项目经理</v>
      </c>
      <c r="I10" s="32" t="n">
        <f aca="false">IF(COUNT(N10,R10,V10,Z10)=0,"",MIN(N10,R10,V10,Z10))</f>
        <v>46192</v>
      </c>
      <c r="J10" s="32" t="n">
        <f aca="false">IF(COUNT(O10,S10,W10,AA10)=0,"",MAX(O10,S10,W10,AA10))</f>
        <v>46237</v>
      </c>
      <c r="K10" s="32" t="n">
        <v>46283</v>
      </c>
      <c r="L10" s="21" t="s">
        <v>73</v>
      </c>
      <c r="M10" s="21" t="s">
        <v>75</v>
      </c>
      <c r="N10" s="32" t="n">
        <v>46192</v>
      </c>
      <c r="O10" s="32" t="n">
        <v>46237</v>
      </c>
      <c r="P10" s="20"/>
      <c r="Q10" s="21"/>
      <c r="R10" s="32"/>
      <c r="S10" s="32"/>
      <c r="T10" s="20"/>
      <c r="U10" s="21"/>
      <c r="V10" s="32"/>
      <c r="W10" s="32"/>
      <c r="X10" s="20"/>
      <c r="Y10" s="21"/>
      <c r="Z10" s="32"/>
      <c r="AA10" s="32"/>
      <c r="AB10" s="33" t="n">
        <f aca="false">IFERROR((IF(L10&lt;&gt;"",IF(M10="已完成",1,IF(M10="进行中",0.5,0))*15%,0)+IF(P10&lt;&gt;"",IF(Q10="已完成",1,IF(Q10="进行中",0.5,0))*35%,0)+IF(T10&lt;&gt;"",IF(U10="已完成",1,IF(U10="进行中",0.5,0))*30%,0)+IF(X10&lt;&gt;"",IF(Y10="已完成",1,IF(Y10="进行中",0.5,0))*20%,0))/(IF(L10&lt;&gt;"",15%,0)+IF(P10&lt;&gt;"",35%,0)+IF(T10&lt;&gt;"",30%,0)+IF(X10&lt;&gt;"",20%,0)),0)</f>
        <v>1</v>
      </c>
      <c r="AC10" s="21" t="str">
        <f aca="false">IF($A10="","",IF(G10="已完成","正常",IF(G10="暂停","暂停",IF(J10="","日期缺失",IF(J10&lt;_数据接口!$B$7,"已延期",IF(J10&lt;=_数据接口!$B$7+7,"临近到期","正常"))))))</f>
        <v>正常</v>
      </c>
      <c r="AD10" s="21"/>
      <c r="AE10" s="21"/>
      <c r="AF10" s="36"/>
      <c r="AG10" s="32"/>
      <c r="AH10" s="34" t="str">
        <f aca="false">IF(OR($A10="",J10="",AG10=""),"",AG10-J10)</f>
        <v/>
      </c>
    </row>
    <row r="11" customFormat="false" ht="31.5" hidden="false" customHeight="true" outlineLevel="0" collapsed="false">
      <c r="A11" s="20" t="s">
        <v>217</v>
      </c>
      <c r="B11" s="16"/>
      <c r="C11" s="25"/>
      <c r="D11" s="25"/>
      <c r="E11" s="21" t="s">
        <v>218</v>
      </c>
      <c r="F11" s="20" t="s">
        <v>77</v>
      </c>
      <c r="G11" s="21" t="str">
        <f aca="false">IF(OR(M11="暂停",M11="挂起",Q11="暂停",Q11="挂起",U11="暂停",U11="挂起",Y11="暂停",Y11="挂起"),"暂停",IF(COUNTA(L11,P11,T11,X11)=0,"未分配",IF(IF(L11&lt;&gt;"",M11="已完成",0)+IF(P11&lt;&gt;"",Q11="已完成",0)+IF(T11&lt;&gt;"",U11="已完成",0)+IF(X11&lt;&gt;"",Y11="已完成",0)=COUNTA(L11,P11,T11,X11),"已完成",IF(IF(L11&lt;&gt;"",M11="进行中",0)+IF(P11&lt;&gt;"",Q11="进行中",0)+IF(T11&lt;&gt;"",U11="进行中",0)+IF(X11&lt;&gt;"",Y11="进行中",0)&gt;0,"进行中",IF(IF(L11&lt;&gt;"",M11="待确认",0)+IF(P11&lt;&gt;"",Q11="待确认",0)+IF(T11&lt;&gt;"",U11="待确认",0)+IF(X11&lt;&gt;"",Y11="待确认",0)&gt;0,"待确认","未开始")))))</f>
        <v>已完成</v>
      </c>
      <c r="H11" s="20" t="str">
        <f aca="false">IF(L11&lt;&gt;"",L11,IF(P11&lt;&gt;"",P11,IF(T11&lt;&gt;"",T11,X11)))</f>
        <v>项目经理</v>
      </c>
      <c r="I11" s="32" t="n">
        <f aca="false">IF(COUNT(N11,R11,V11,Z11)=0,"",MIN(N11,R11,V11,Z11))</f>
        <v>46238</v>
      </c>
      <c r="J11" s="32" t="n">
        <f aca="false">IF(COUNT(O11,S11,W11,AA11)=0,"",MAX(O11,S11,W11,AA11))</f>
        <v>46283</v>
      </c>
      <c r="K11" s="32" t="n">
        <v>46283</v>
      </c>
      <c r="L11" s="21" t="s">
        <v>73</v>
      </c>
      <c r="M11" s="21" t="s">
        <v>75</v>
      </c>
      <c r="N11" s="32" t="n">
        <v>46238</v>
      </c>
      <c r="O11" s="32" t="n">
        <v>46283</v>
      </c>
      <c r="P11" s="20"/>
      <c r="Q11" s="21"/>
      <c r="R11" s="32"/>
      <c r="S11" s="32"/>
      <c r="T11" s="20"/>
      <c r="U11" s="21"/>
      <c r="V11" s="32"/>
      <c r="W11" s="32"/>
      <c r="X11" s="20"/>
      <c r="Y11" s="21"/>
      <c r="Z11" s="32"/>
      <c r="AA11" s="32"/>
      <c r="AB11" s="33" t="n">
        <f aca="false">IFERROR((IF(L11&lt;&gt;"",IF(M11="已完成",1,IF(M11="进行中",0.5,0))*15%,0)+IF(P11&lt;&gt;"",IF(Q11="已完成",1,IF(Q11="进行中",0.5,0))*35%,0)+IF(T11&lt;&gt;"",IF(U11="已完成",1,IF(U11="进行中",0.5,0))*30%,0)+IF(X11&lt;&gt;"",IF(Y11="已完成",1,IF(Y11="进行中",0.5,0))*20%,0))/(IF(L11&lt;&gt;"",15%,0)+IF(P11&lt;&gt;"",35%,0)+IF(T11&lt;&gt;"",30%,0)+IF(X11&lt;&gt;"",20%,0)),0)</f>
        <v>1</v>
      </c>
      <c r="AC11" s="21" t="str">
        <f aca="false">IF($A11="","",IF(G11="已完成","正常",IF(G11="暂停","暂停",IF(J11="","日期缺失",IF(J11&lt;_数据接口!$B$7,"已延期",IF(J11&lt;=_数据接口!$B$7+7,"临近到期","正常"))))))</f>
        <v>正常</v>
      </c>
      <c r="AD11" s="21"/>
      <c r="AE11" s="21"/>
      <c r="AF11" s="37" t="s">
        <v>219</v>
      </c>
      <c r="AG11" s="32"/>
      <c r="AH11" s="34" t="str">
        <f aca="false">IF(OR($A11="",J11="",AG11=""),"",AG11-J11)</f>
        <v/>
      </c>
    </row>
    <row r="12" customFormat="false" ht="31.5" hidden="false" customHeight="true" outlineLevel="0" collapsed="false">
      <c r="A12" s="20" t="s">
        <v>220</v>
      </c>
      <c r="B12" s="16"/>
      <c r="C12" s="25" t="s">
        <v>83</v>
      </c>
      <c r="D12" s="35" t="s">
        <v>221</v>
      </c>
      <c r="E12" s="21" t="s">
        <v>222</v>
      </c>
      <c r="F12" s="20" t="s">
        <v>82</v>
      </c>
      <c r="G12" s="21" t="str">
        <f aca="false">IF(OR(M12="暂停",M12="挂起",Q12="暂停",Q12="挂起",U12="暂停",U12="挂起",Y12="暂停",Y12="挂起"),"暂停",IF(COUNTA(L12,P12,T12,X12)=0,"未分配",IF(IF(L12&lt;&gt;"",M12="已完成",0)+IF(P12&lt;&gt;"",Q12="已完成",0)+IF(T12&lt;&gt;"",U12="已完成",0)+IF(X12&lt;&gt;"",Y12="已完成",0)=COUNTA(L12,P12,T12,X12),"已完成",IF(IF(L12&lt;&gt;"",M12="进行中",0)+IF(P12&lt;&gt;"",Q12="进行中",0)+IF(T12&lt;&gt;"",U12="进行中",0)+IF(X12&lt;&gt;"",Y12="进行中",0)&gt;0,"进行中",IF(IF(L12&lt;&gt;"",M12="待确认",0)+IF(P12&lt;&gt;"",Q12="待确认",0)+IF(T12&lt;&gt;"",U12="待确认",0)+IF(X12&lt;&gt;"",Y12="待确认",0)&gt;0,"待确认","未开始")))))</f>
        <v>已完成</v>
      </c>
      <c r="H12" s="20" t="str">
        <f aca="false">IF(L12&lt;&gt;"",L12,IF(P12&lt;&gt;"",P12,IF(T12&lt;&gt;"",T12,X12)))</f>
        <v>产品经理</v>
      </c>
      <c r="I12" s="32" t="n">
        <f aca="false">IF(COUNT(N12,R12,V12,Z12)=0,"",MIN(N12,R12,V12,Z12))</f>
        <v>46064</v>
      </c>
      <c r="J12" s="32" t="n">
        <f aca="false">IF(COUNT(O12,S12,W12,AA12)=0,"",MAX(O12,S12,W12,AA12))</f>
        <v>46091</v>
      </c>
      <c r="K12" s="32" t="n">
        <v>46203</v>
      </c>
      <c r="L12" s="21" t="s">
        <v>85</v>
      </c>
      <c r="M12" s="21" t="s">
        <v>75</v>
      </c>
      <c r="N12" s="32" t="n">
        <v>46064</v>
      </c>
      <c r="O12" s="32" t="n">
        <v>46091</v>
      </c>
      <c r="P12" s="20"/>
      <c r="Q12" s="21"/>
      <c r="R12" s="32"/>
      <c r="S12" s="32"/>
      <c r="T12" s="20"/>
      <c r="U12" s="21"/>
      <c r="V12" s="32"/>
      <c r="W12" s="32"/>
      <c r="X12" s="20"/>
      <c r="Y12" s="21"/>
      <c r="Z12" s="32"/>
      <c r="AA12" s="32"/>
      <c r="AB12" s="33" t="n">
        <f aca="false">IFERROR((IF(L12&lt;&gt;"",IF(M12="已完成",1,IF(M12="进行中",0.5,0))*15%,0)+IF(P12&lt;&gt;"",IF(Q12="已完成",1,IF(Q12="进行中",0.5,0))*35%,0)+IF(T12&lt;&gt;"",IF(U12="已完成",1,IF(U12="进行中",0.5,0))*30%,0)+IF(X12&lt;&gt;"",IF(Y12="已完成",1,IF(Y12="进行中",0.5,0))*20%,0))/(IF(L12&lt;&gt;"",15%,0)+IF(P12&lt;&gt;"",35%,0)+IF(T12&lt;&gt;"",30%,0)+IF(X12&lt;&gt;"",20%,0)),0)</f>
        <v>1</v>
      </c>
      <c r="AC12" s="21" t="str">
        <f aca="false">IF($A12="","",IF(G12="已完成","正常",IF(G12="暂停","暂停",IF(J12="","日期缺失",IF(J12&lt;_数据接口!$B$7,"已延期",IF(J12&lt;=_数据接口!$B$7+7,"临近到期","正常"))))))</f>
        <v>正常</v>
      </c>
      <c r="AD12" s="21"/>
      <c r="AE12" s="21"/>
      <c r="AF12" s="36"/>
      <c r="AG12" s="32"/>
      <c r="AH12" s="34" t="str">
        <f aca="false">IF(OR($A12="",J12="",AG12=""),"",AG12-J12)</f>
        <v/>
      </c>
    </row>
    <row r="13" customFormat="false" ht="31.5" hidden="false" customHeight="true" outlineLevel="0" collapsed="false">
      <c r="A13" s="20" t="s">
        <v>223</v>
      </c>
      <c r="B13" s="16"/>
      <c r="C13" s="16"/>
      <c r="D13" s="16"/>
      <c r="E13" s="21" t="s">
        <v>224</v>
      </c>
      <c r="F13" s="20" t="s">
        <v>82</v>
      </c>
      <c r="G13" s="21" t="str">
        <f aca="false">IF(OR(M13="暂停",M13="挂起",Q13="暂停",Q13="挂起",U13="暂停",U13="挂起",Y13="暂停",Y13="挂起"),"暂停",IF(COUNTA(L13,P13,T13,X13)=0,"未分配",IF(IF(L13&lt;&gt;"",M13="已完成",0)+IF(P13&lt;&gt;"",Q13="已完成",0)+IF(T13&lt;&gt;"",U13="已完成",0)+IF(X13&lt;&gt;"",Y13="已完成",0)=COUNTA(L13,P13,T13,X13),"已完成",IF(IF(L13&lt;&gt;"",M13="进行中",0)+IF(P13&lt;&gt;"",Q13="进行中",0)+IF(T13&lt;&gt;"",U13="进行中",0)+IF(X13&lt;&gt;"",Y13="进行中",0)&gt;0,"进行中",IF(IF(L13&lt;&gt;"",M13="待确认",0)+IF(P13&lt;&gt;"",Q13="待确认",0)+IF(T13&lt;&gt;"",U13="待确认",0)+IF(X13&lt;&gt;"",Y13="待确认",0)&gt;0,"待确认","未开始")))))</f>
        <v>已完成</v>
      </c>
      <c r="H13" s="20" t="str">
        <f aca="false">IF(L13&lt;&gt;"",L13,IF(P13&lt;&gt;"",P13,IF(T13&lt;&gt;"",T13,X13)))</f>
        <v>产品经理</v>
      </c>
      <c r="I13" s="32" t="n">
        <f aca="false">IF(COUNT(N13,R13,V13,Z13)=0,"",MIN(N13,R13,V13,Z13))</f>
        <v>46092</v>
      </c>
      <c r="J13" s="32" t="n">
        <f aca="false">IF(COUNT(O13,S13,W13,AA13)=0,"",MAX(O13,S13,W13,AA13))</f>
        <v>46119</v>
      </c>
      <c r="K13" s="32" t="n">
        <v>46203</v>
      </c>
      <c r="L13" s="21" t="s">
        <v>85</v>
      </c>
      <c r="M13" s="21" t="s">
        <v>75</v>
      </c>
      <c r="N13" s="32" t="n">
        <v>46092</v>
      </c>
      <c r="O13" s="32" t="n">
        <v>46119</v>
      </c>
      <c r="P13" s="20"/>
      <c r="Q13" s="21"/>
      <c r="R13" s="32"/>
      <c r="S13" s="32"/>
      <c r="T13" s="20"/>
      <c r="U13" s="21"/>
      <c r="V13" s="32"/>
      <c r="W13" s="32"/>
      <c r="X13" s="20"/>
      <c r="Y13" s="21"/>
      <c r="Z13" s="32"/>
      <c r="AA13" s="32"/>
      <c r="AB13" s="33" t="n">
        <f aca="false">IFERROR((IF(L13&lt;&gt;"",IF(M13="已完成",1,IF(M13="进行中",0.5,0))*15%,0)+IF(P13&lt;&gt;"",IF(Q13="已完成",1,IF(Q13="进行中",0.5,0))*35%,0)+IF(T13&lt;&gt;"",IF(U13="已完成",1,IF(U13="进行中",0.5,0))*30%,0)+IF(X13&lt;&gt;"",IF(Y13="已完成",1,IF(Y13="进行中",0.5,0))*20%,0))/(IF(L13&lt;&gt;"",15%,0)+IF(P13&lt;&gt;"",35%,0)+IF(T13&lt;&gt;"",30%,0)+IF(X13&lt;&gt;"",20%,0)),0)</f>
        <v>1</v>
      </c>
      <c r="AC13" s="21" t="str">
        <f aca="false">IF($A13="","",IF(G13="已完成","正常",IF(G13="暂停","暂停",IF(J13="","日期缺失",IF(J13&lt;_数据接口!$B$7,"已延期",IF(J13&lt;=_数据接口!$B$7+7,"临近到期","正常"))))))</f>
        <v>正常</v>
      </c>
      <c r="AD13" s="21"/>
      <c r="AE13" s="21"/>
      <c r="AF13" s="36"/>
      <c r="AG13" s="32"/>
      <c r="AH13" s="34" t="str">
        <f aca="false">IF(OR($A13="",J13="",AG13=""),"",AG13-J13)</f>
        <v/>
      </c>
    </row>
    <row r="14" customFormat="false" ht="31.5" hidden="false" customHeight="true" outlineLevel="0" collapsed="false">
      <c r="A14" s="20" t="s">
        <v>225</v>
      </c>
      <c r="B14" s="16"/>
      <c r="C14" s="16"/>
      <c r="D14" s="35"/>
      <c r="E14" s="21" t="s">
        <v>226</v>
      </c>
      <c r="F14" s="20" t="s">
        <v>82</v>
      </c>
      <c r="G14" s="21" t="str">
        <f aca="false">IF(OR(M14="暂停",M14="挂起",Q14="暂停",Q14="挂起",U14="暂停",U14="挂起",Y14="暂停",Y14="挂起"),"暂停",IF(COUNTA(L14,P14,T14,X14)=0,"未分配",IF(IF(L14&lt;&gt;"",M14="已完成",0)+IF(P14&lt;&gt;"",Q14="已完成",0)+IF(T14&lt;&gt;"",U14="已完成",0)+IF(X14&lt;&gt;"",Y14="已完成",0)=COUNTA(L14,P14,T14,X14),"已完成",IF(IF(L14&lt;&gt;"",M14="进行中",0)+IF(P14&lt;&gt;"",Q14="进行中",0)+IF(T14&lt;&gt;"",U14="进行中",0)+IF(X14&lt;&gt;"",Y14="进行中",0)&gt;0,"进行中",IF(IF(L14&lt;&gt;"",M14="待确认",0)+IF(P14&lt;&gt;"",Q14="待确认",0)+IF(T14&lt;&gt;"",U14="待确认",0)+IF(X14&lt;&gt;"",Y14="待确认",0)&gt;0,"待确认","未开始")))))</f>
        <v>进行中</v>
      </c>
      <c r="H14" s="20" t="str">
        <f aca="false">IF(L14&lt;&gt;"",L14,IF(P14&lt;&gt;"",P14,IF(T14&lt;&gt;"",T14,X14)))</f>
        <v>技术经理</v>
      </c>
      <c r="I14" s="32" t="n">
        <f aca="false">IF(COUNT(N14,R14,V14,Z14)=0,"",MIN(N14,R14,V14,Z14))</f>
        <v>46120</v>
      </c>
      <c r="J14" s="32" t="n">
        <f aca="false">IF(COUNT(O14,S14,W14,AA14)=0,"",MAX(O14,S14,W14,AA14))</f>
        <v>46147</v>
      </c>
      <c r="K14" s="32" t="n">
        <v>46203</v>
      </c>
      <c r="L14" s="20"/>
      <c r="M14" s="21" t="s">
        <v>87</v>
      </c>
      <c r="N14" s="32"/>
      <c r="O14" s="32"/>
      <c r="P14" s="21" t="s">
        <v>98</v>
      </c>
      <c r="Q14" s="21" t="s">
        <v>87</v>
      </c>
      <c r="R14" s="32" t="n">
        <v>46120</v>
      </c>
      <c r="S14" s="32" t="n">
        <v>46147</v>
      </c>
      <c r="T14" s="20"/>
      <c r="U14" s="21"/>
      <c r="V14" s="32"/>
      <c r="W14" s="32"/>
      <c r="X14" s="20"/>
      <c r="Y14" s="21"/>
      <c r="Z14" s="32"/>
      <c r="AA14" s="32"/>
      <c r="AB14" s="33" t="n">
        <f aca="false">IFERROR((IF(L14&lt;&gt;"",IF(M14="已完成",1,IF(M14="进行中",0.5,0))*15%,0)+IF(P14&lt;&gt;"",IF(Q14="已完成",1,IF(Q14="进行中",0.5,0))*35%,0)+IF(T14&lt;&gt;"",IF(U14="已完成",1,IF(U14="进行中",0.5,0))*30%,0)+IF(X14&lt;&gt;"",IF(Y14="已完成",1,IF(Y14="进行中",0.5,0))*20%,0))/(IF(L14&lt;&gt;"",15%,0)+IF(P14&lt;&gt;"",35%,0)+IF(T14&lt;&gt;"",30%,0)+IF(X14&lt;&gt;"",20%,0)),0)</f>
        <v>0.5</v>
      </c>
      <c r="AC14" s="21" t="str">
        <f aca="false">IF($A14="","",IF(G14="已完成","正常",IF(G14="暂停","暂停",IF(J14="","日期缺失",IF(J14&lt;_数据接口!$B$7,"已延期",IF(J14&lt;=_数据接口!$B$7+7,"临近到期","正常"))))))</f>
        <v>已延期</v>
      </c>
      <c r="AD14" s="21"/>
      <c r="AE14" s="21"/>
      <c r="AF14" s="37" t="s">
        <v>219</v>
      </c>
      <c r="AG14" s="32"/>
      <c r="AH14" s="34" t="str">
        <f aca="false">IF(OR($A14="",J14="",AG14=""),"",AG14-J14)</f>
        <v/>
      </c>
    </row>
    <row r="15" customFormat="false" ht="31.5" hidden="false" customHeight="true" outlineLevel="0" collapsed="false">
      <c r="A15" s="20" t="s">
        <v>227</v>
      </c>
      <c r="B15" s="16"/>
      <c r="C15" s="16"/>
      <c r="D15" s="21" t="s">
        <v>228</v>
      </c>
      <c r="E15" s="21" t="s">
        <v>229</v>
      </c>
      <c r="F15" s="20" t="s">
        <v>82</v>
      </c>
      <c r="G15" s="21" t="str">
        <f aca="false">IF(OR(M15="暂停",M15="挂起",Q15="暂停",Q15="挂起",U15="暂停",U15="挂起",Y15="暂停",Y15="挂起"),"暂停",IF(COUNTA(L15,P15,T15,X15)=0,"未分配",IF(IF(L15&lt;&gt;"",M15="已完成",0)+IF(P15&lt;&gt;"",Q15="已完成",0)+IF(T15&lt;&gt;"",U15="已完成",0)+IF(X15&lt;&gt;"",Y15="已完成",0)=COUNTA(L15,P15,T15,X15),"已完成",IF(IF(L15&lt;&gt;"",M15="进行中",0)+IF(P15&lt;&gt;"",Q15="进行中",0)+IF(T15&lt;&gt;"",U15="进行中",0)+IF(X15&lt;&gt;"",Y15="进行中",0)&gt;0,"进行中",IF(IF(L15&lt;&gt;"",M15="待确认",0)+IF(P15&lt;&gt;"",Q15="待确认",0)+IF(T15&lt;&gt;"",U15="待确认",0)+IF(X15&lt;&gt;"",Y15="待确认",0)&gt;0,"待确认","未开始")))))</f>
        <v>已完成</v>
      </c>
      <c r="H15" s="20" t="str">
        <f aca="false">IF(L15&lt;&gt;"",L15,IF(P15&lt;&gt;"",P15,IF(T15&lt;&gt;"",T15,X15)))</f>
        <v>产品经理</v>
      </c>
      <c r="I15" s="32" t="n">
        <f aca="false">IF(COUNT(N15,R15,V15,Z15)=0,"",MIN(N15,R15,V15,Z15))</f>
        <v>46148</v>
      </c>
      <c r="J15" s="32" t="n">
        <f aca="false">IF(COUNT(O15,S15,W15,AA15)=0,"",MAX(O15,S15,W15,AA15))</f>
        <v>46175</v>
      </c>
      <c r="K15" s="32" t="n">
        <v>46203</v>
      </c>
      <c r="L15" s="21" t="s">
        <v>85</v>
      </c>
      <c r="M15" s="21" t="s">
        <v>75</v>
      </c>
      <c r="N15" s="32" t="n">
        <v>46148</v>
      </c>
      <c r="O15" s="32" t="n">
        <v>46175</v>
      </c>
      <c r="P15" s="20"/>
      <c r="Q15" s="21"/>
      <c r="R15" s="32"/>
      <c r="S15" s="32"/>
      <c r="T15" s="20"/>
      <c r="U15" s="21"/>
      <c r="V15" s="32"/>
      <c r="W15" s="32"/>
      <c r="X15" s="20"/>
      <c r="Y15" s="21"/>
      <c r="Z15" s="32"/>
      <c r="AA15" s="32"/>
      <c r="AB15" s="33" t="n">
        <f aca="false">IFERROR((IF(L15&lt;&gt;"",IF(M15="已完成",1,IF(M15="进行中",0.5,0))*15%,0)+IF(P15&lt;&gt;"",IF(Q15="已完成",1,IF(Q15="进行中",0.5,0))*35%,0)+IF(T15&lt;&gt;"",IF(U15="已完成",1,IF(U15="进行中",0.5,0))*30%,0)+IF(X15&lt;&gt;"",IF(Y15="已完成",1,IF(Y15="进行中",0.5,0))*20%,0))/(IF(L15&lt;&gt;"",15%,0)+IF(P15&lt;&gt;"",35%,0)+IF(T15&lt;&gt;"",30%,0)+IF(X15&lt;&gt;"",20%,0)),0)</f>
        <v>1</v>
      </c>
      <c r="AC15" s="21" t="str">
        <f aca="false">IF($A15="","",IF(G15="已完成","正常",IF(G15="暂停","暂停",IF(J15="","日期缺失",IF(J15&lt;_数据接口!$B$7,"已延期",IF(J15&lt;=_数据接口!$B$7+7,"临近到期","正常"))))))</f>
        <v>正常</v>
      </c>
      <c r="AD15" s="21"/>
      <c r="AE15" s="21"/>
      <c r="AF15" s="36"/>
      <c r="AG15" s="32"/>
      <c r="AH15" s="34" t="str">
        <f aca="false">IF(OR($A15="",J15="",AG15=""),"",AG15-J15)</f>
        <v/>
      </c>
    </row>
    <row r="16" customFormat="false" ht="31.5" hidden="false" customHeight="true" outlineLevel="0" collapsed="false">
      <c r="A16" s="20" t="s">
        <v>230</v>
      </c>
      <c r="B16" s="16"/>
      <c r="C16" s="16"/>
      <c r="D16" s="21" t="s">
        <v>231</v>
      </c>
      <c r="E16" s="21" t="s">
        <v>232</v>
      </c>
      <c r="F16" s="20" t="s">
        <v>82</v>
      </c>
      <c r="G16" s="21" t="str">
        <f aca="false">IF(OR(M16="暂停",M16="挂起",Q16="暂停",Q16="挂起",U16="暂停",U16="挂起",Y16="暂停",Y16="挂起"),"暂停",IF(COUNTA(L16,P16,T16,X16)=0,"未分配",IF(IF(L16&lt;&gt;"",M16="已完成",0)+IF(P16&lt;&gt;"",Q16="已完成",0)+IF(T16&lt;&gt;"",U16="已完成",0)+IF(X16&lt;&gt;"",Y16="已完成",0)=COUNTA(L16,P16,T16,X16),"已完成",IF(IF(L16&lt;&gt;"",M16="进行中",0)+IF(P16&lt;&gt;"",Q16="进行中",0)+IF(T16&lt;&gt;"",U16="进行中",0)+IF(X16&lt;&gt;"",Y16="进行中",0)&gt;0,"进行中",IF(IF(L16&lt;&gt;"",M16="待确认",0)+IF(P16&lt;&gt;"",Q16="待确认",0)+IF(T16&lt;&gt;"",U16="待确认",0)+IF(X16&lt;&gt;"",Y16="待确认",0)&gt;0,"待确认","未开始")))))</f>
        <v>已完成</v>
      </c>
      <c r="H16" s="20" t="str">
        <f aca="false">IF(L16&lt;&gt;"",L16,IF(P16&lt;&gt;"",P16,IF(T16&lt;&gt;"",T16,X16)))</f>
        <v>项目经理</v>
      </c>
      <c r="I16" s="32" t="n">
        <f aca="false">IF(COUNT(N16,R16,V16,Z16)=0,"",MIN(N16,R16,V16,Z16))</f>
        <v>46176</v>
      </c>
      <c r="J16" s="32" t="n">
        <f aca="false">IF(COUNT(O16,S16,W16,AA16)=0,"",MAX(O16,S16,W16,AA16))</f>
        <v>46203</v>
      </c>
      <c r="K16" s="32" t="n">
        <v>46203</v>
      </c>
      <c r="L16" s="21" t="s">
        <v>73</v>
      </c>
      <c r="M16" s="21" t="s">
        <v>75</v>
      </c>
      <c r="N16" s="32" t="n">
        <v>46176</v>
      </c>
      <c r="O16" s="32" t="n">
        <v>46203</v>
      </c>
      <c r="P16" s="20"/>
      <c r="Q16" s="21"/>
      <c r="R16" s="32"/>
      <c r="S16" s="32"/>
      <c r="T16" s="20"/>
      <c r="U16" s="21"/>
      <c r="V16" s="32"/>
      <c r="W16" s="32"/>
      <c r="X16" s="20"/>
      <c r="Y16" s="21"/>
      <c r="Z16" s="32"/>
      <c r="AA16" s="32"/>
      <c r="AB16" s="33" t="n">
        <f aca="false">IFERROR((IF(L16&lt;&gt;"",IF(M16="已完成",1,IF(M16="进行中",0.5,0))*15%,0)+IF(P16&lt;&gt;"",IF(Q16="已完成",1,IF(Q16="进行中",0.5,0))*35%,0)+IF(T16&lt;&gt;"",IF(U16="已完成",1,IF(U16="进行中",0.5,0))*30%,0)+IF(X16&lt;&gt;"",IF(Y16="已完成",1,IF(Y16="进行中",0.5,0))*20%,0))/(IF(L16&lt;&gt;"",15%,0)+IF(P16&lt;&gt;"",35%,0)+IF(T16&lt;&gt;"",30%,0)+IF(X16&lt;&gt;"",20%,0)),0)</f>
        <v>1</v>
      </c>
      <c r="AC16" s="21" t="str">
        <f aca="false">IF($A16="","",IF(G16="已完成","正常",IF(G16="暂停","暂停",IF(J16="","日期缺失",IF(J16&lt;_数据接口!$B$7,"已延期",IF(J16&lt;=_数据接口!$B$7+7,"临近到期","正常"))))))</f>
        <v>正常</v>
      </c>
      <c r="AD16" s="21"/>
      <c r="AE16" s="21"/>
      <c r="AF16" s="36"/>
      <c r="AG16" s="32"/>
      <c r="AH16" s="34" t="str">
        <f aca="false">IF(OR($A16="",J16="",AG16=""),"",AG16-J16)</f>
        <v/>
      </c>
    </row>
    <row r="17" customFormat="false" ht="31.5" hidden="false" customHeight="true" outlineLevel="0" collapsed="false">
      <c r="A17" s="20" t="s">
        <v>233</v>
      </c>
      <c r="B17" s="25" t="s">
        <v>90</v>
      </c>
      <c r="C17" s="25" t="s">
        <v>91</v>
      </c>
      <c r="D17" s="21" t="s">
        <v>234</v>
      </c>
      <c r="E17" s="21" t="s">
        <v>235</v>
      </c>
      <c r="F17" s="20" t="s">
        <v>89</v>
      </c>
      <c r="G17" s="21" t="str">
        <f aca="false">IF(OR(M17="暂停",M17="挂起",Q17="暂停",Q17="挂起",U17="暂停",U17="挂起",Y17="暂停",Y17="挂起"),"暂停",IF(COUNTA(L17,P17,T17,X17)=0,"未分配",IF(IF(L17&lt;&gt;"",M17="已完成",0)+IF(P17&lt;&gt;"",Q17="已完成",0)+IF(T17&lt;&gt;"",U17="已完成",0)+IF(X17&lt;&gt;"",Y17="已完成",0)=COUNTA(L17,P17,T17,X17),"已完成",IF(IF(L17&lt;&gt;"",M17="进行中",0)+IF(P17&lt;&gt;"",Q17="进行中",0)+IF(T17&lt;&gt;"",U17="进行中",0)+IF(X17&lt;&gt;"",Y17="进行中",0)&gt;0,"进行中",IF(IF(L17&lt;&gt;"",M17="待确认",0)+IF(P17&lt;&gt;"",Q17="待确认",0)+IF(T17&lt;&gt;"",U17="待确认",0)+IF(X17&lt;&gt;"",Y17="待确认",0)&gt;0,"待确认","未开始")))))</f>
        <v>待确认</v>
      </c>
      <c r="H17" s="20" t="str">
        <f aca="false">IF(L17&lt;&gt;"",L17,IF(P17&lt;&gt;"",P17,IF(T17&lt;&gt;"",T17,X17)))</f>
        <v>项目经理</v>
      </c>
      <c r="I17" s="32" t="n">
        <f aca="false">IF(COUNT(N17,R17,V17,Z17)=0,"",MIN(N17,R17,V17,Z17))</f>
        <v>46204</v>
      </c>
      <c r="J17" s="32" t="n">
        <f aca="false">IF(COUNT(O17,S17,W17,AA17)=0,"",MAX(O17,S17,W17,AA17))</f>
        <v>46215</v>
      </c>
      <c r="K17" s="32" t="n">
        <v>46265</v>
      </c>
      <c r="L17" s="21" t="s">
        <v>73</v>
      </c>
      <c r="M17" s="21" t="s">
        <v>236</v>
      </c>
      <c r="N17" s="32" t="n">
        <v>46204</v>
      </c>
      <c r="O17" s="32" t="n">
        <v>46215</v>
      </c>
      <c r="P17" s="20"/>
      <c r="Q17" s="21"/>
      <c r="R17" s="32"/>
      <c r="S17" s="32"/>
      <c r="T17" s="20"/>
      <c r="U17" s="21"/>
      <c r="V17" s="32"/>
      <c r="W17" s="32"/>
      <c r="X17" s="20"/>
      <c r="Y17" s="21"/>
      <c r="Z17" s="32"/>
      <c r="AA17" s="32"/>
      <c r="AB17" s="33" t="n">
        <f aca="false">IFERROR((IF(L17&lt;&gt;"",IF(M17="已完成",1,IF(M17="进行中",0.5,0))*15%,0)+IF(P17&lt;&gt;"",IF(Q17="已完成",1,IF(Q17="进行中",0.5,0))*35%,0)+IF(T17&lt;&gt;"",IF(U17="已完成",1,IF(U17="进行中",0.5,0))*30%,0)+IF(X17&lt;&gt;"",IF(Y17="已完成",1,IF(Y17="进行中",0.5,0))*20%,0))/(IF(L17&lt;&gt;"",15%,0)+IF(P17&lt;&gt;"",35%,0)+IF(T17&lt;&gt;"",30%,0)+IF(X17&lt;&gt;"",20%,0)),0)</f>
        <v>0</v>
      </c>
      <c r="AC17" s="21" t="str">
        <f aca="false">IF($A17="","",IF(G17="已完成","正常",IF(G17="暂停","暂停",IF(J17="","日期缺失",IF(J17&lt;_数据接口!$B$7,"已延期",IF(J17&lt;=_数据接口!$B$7+7,"临近到期","正常"))))))</f>
        <v>已延期</v>
      </c>
      <c r="AD17" s="21"/>
      <c r="AE17" s="21"/>
      <c r="AF17" s="36"/>
      <c r="AG17" s="32"/>
      <c r="AH17" s="34" t="str">
        <f aca="false">IF(OR($A17="",J17="",AG17=""),"",AG17-J17)</f>
        <v/>
      </c>
    </row>
    <row r="18" customFormat="false" ht="31.5" hidden="false" customHeight="true" outlineLevel="0" collapsed="false">
      <c r="A18" s="20" t="s">
        <v>237</v>
      </c>
      <c r="B18" s="25"/>
      <c r="C18" s="25"/>
      <c r="D18" s="21" t="s">
        <v>238</v>
      </c>
      <c r="E18" s="21" t="s">
        <v>239</v>
      </c>
      <c r="F18" s="20" t="s">
        <v>89</v>
      </c>
      <c r="G18" s="21" t="str">
        <f aca="false">IF(OR(M18="暂停",M18="挂起",Q18="暂停",Q18="挂起",U18="暂停",U18="挂起",Y18="暂停",Y18="挂起"),"暂停",IF(COUNTA(L18,P18,T18,X18)=0,"未分配",IF(IF(L18&lt;&gt;"",M18="已完成",0)+IF(P18&lt;&gt;"",Q18="已完成",0)+IF(T18&lt;&gt;"",U18="已完成",0)+IF(X18&lt;&gt;"",Y18="已完成",0)=COUNTA(L18,P18,T18,X18),"已完成",IF(IF(L18&lt;&gt;"",M18="进行中",0)+IF(P18&lt;&gt;"",Q18="进行中",0)+IF(T18&lt;&gt;"",U18="进行中",0)+IF(X18&lt;&gt;"",Y18="进行中",0)&gt;0,"进行中",IF(IF(L18&lt;&gt;"",M18="待确认",0)+IF(P18&lt;&gt;"",Q18="待确认",0)+IF(T18&lt;&gt;"",U18="待确认",0)+IF(X18&lt;&gt;"",Y18="待确认",0)&gt;0,"待确认","未开始")))))</f>
        <v>待确认</v>
      </c>
      <c r="H18" s="20" t="str">
        <f aca="false">IF(L18&lt;&gt;"",L18,IF(P18&lt;&gt;"",P18,IF(T18&lt;&gt;"",T18,X18)))</f>
        <v>产品经理</v>
      </c>
      <c r="I18" s="32" t="n">
        <f aca="false">IF(COUNT(N18,R18,V18,Z18)=0,"",MIN(N18,R18,V18,Z18))</f>
        <v>46216</v>
      </c>
      <c r="J18" s="32" t="n">
        <f aca="false">IF(COUNT(O18,S18,W18,AA18)=0,"",MAX(O18,S18,W18,AA18))</f>
        <v>46227</v>
      </c>
      <c r="K18" s="32" t="n">
        <v>46265</v>
      </c>
      <c r="L18" s="21" t="s">
        <v>85</v>
      </c>
      <c r="M18" s="21" t="s">
        <v>236</v>
      </c>
      <c r="N18" s="32" t="n">
        <v>46216</v>
      </c>
      <c r="O18" s="32" t="n">
        <v>46227</v>
      </c>
      <c r="P18" s="20"/>
      <c r="Q18" s="21"/>
      <c r="R18" s="32"/>
      <c r="S18" s="32"/>
      <c r="T18" s="20"/>
      <c r="U18" s="21"/>
      <c r="V18" s="32"/>
      <c r="W18" s="32"/>
      <c r="X18" s="20"/>
      <c r="Y18" s="21"/>
      <c r="Z18" s="32"/>
      <c r="AA18" s="32"/>
      <c r="AB18" s="33" t="n">
        <f aca="false">IFERROR((IF(L18&lt;&gt;"",IF(M18="已完成",1,IF(M18="进行中",0.5,0))*15%,0)+IF(P18&lt;&gt;"",IF(Q18="已完成",1,IF(Q18="进行中",0.5,0))*35%,0)+IF(T18&lt;&gt;"",IF(U18="已完成",1,IF(U18="进行中",0.5,0))*30%,0)+IF(X18&lt;&gt;"",IF(Y18="已完成",1,IF(Y18="进行中",0.5,0))*20%,0))/(IF(L18&lt;&gt;"",15%,0)+IF(P18&lt;&gt;"",35%,0)+IF(T18&lt;&gt;"",30%,0)+IF(X18&lt;&gt;"",20%,0)),0)</f>
        <v>0</v>
      </c>
      <c r="AC18" s="21" t="str">
        <f aca="false">IF($A18="","",IF(G18="已完成","正常",IF(G18="暂停","暂停",IF(J18="","日期缺失",IF(J18&lt;_数据接口!$B$7,"已延期",IF(J18&lt;=_数据接口!$B$7+7,"临近到期","正常"))))))</f>
        <v>已延期</v>
      </c>
      <c r="AD18" s="21"/>
      <c r="AE18" s="21"/>
      <c r="AF18" s="36"/>
      <c r="AG18" s="32"/>
      <c r="AH18" s="34" t="str">
        <f aca="false">IF(OR($A18="",J18="",AG18=""),"",AG18-J18)</f>
        <v/>
      </c>
    </row>
    <row r="19" customFormat="false" ht="31.5" hidden="false" customHeight="true" outlineLevel="0" collapsed="false">
      <c r="A19" s="20" t="s">
        <v>240</v>
      </c>
      <c r="B19" s="25"/>
      <c r="C19" s="25"/>
      <c r="D19" s="21" t="s">
        <v>241</v>
      </c>
      <c r="E19" s="21" t="s">
        <v>242</v>
      </c>
      <c r="F19" s="20" t="s">
        <v>89</v>
      </c>
      <c r="G19" s="21" t="str">
        <f aca="false">IF(OR(M19="暂停",M19="挂起",Q19="暂停",Q19="挂起",U19="暂停",U19="挂起",Y19="暂停",Y19="挂起"),"暂停",IF(COUNTA(L19,P19,T19,X19)=0,"未分配",IF(IF(L19&lt;&gt;"",M19="已完成",0)+IF(P19&lt;&gt;"",Q19="已完成",0)+IF(T19&lt;&gt;"",U19="已完成",0)+IF(X19&lt;&gt;"",Y19="已完成",0)=COUNTA(L19,P19,T19,X19),"已完成",IF(IF(L19&lt;&gt;"",M19="进行中",0)+IF(P19&lt;&gt;"",Q19="进行中",0)+IF(T19&lt;&gt;"",U19="进行中",0)+IF(X19&lt;&gt;"",Y19="进行中",0)&gt;0,"进行中",IF(IF(L19&lt;&gt;"",M19="待确认",0)+IF(P19&lt;&gt;"",Q19="待确认",0)+IF(T19&lt;&gt;"",U19="待确认",0)+IF(X19&lt;&gt;"",Y19="待确认",0)&gt;0,"待确认","未开始")))))</f>
        <v>待确认</v>
      </c>
      <c r="H19" s="20" t="str">
        <f aca="false">IF(L19&lt;&gt;"",L19,IF(P19&lt;&gt;"",P19,IF(T19&lt;&gt;"",T19,X19)))</f>
        <v>技术经理</v>
      </c>
      <c r="I19" s="32" t="n">
        <f aca="false">IF(COUNT(N19,R19,V19,Z19)=0,"",MIN(N19,R19,V19,Z19))</f>
        <v>46228</v>
      </c>
      <c r="J19" s="32" t="n">
        <f aca="false">IF(COUNT(O19,S19,W19,AA19)=0,"",MAX(O19,S19,W19,AA19))</f>
        <v>46240</v>
      </c>
      <c r="K19" s="32" t="n">
        <v>46265</v>
      </c>
      <c r="L19" s="20"/>
      <c r="M19" s="21"/>
      <c r="N19" s="32"/>
      <c r="O19" s="32"/>
      <c r="P19" s="21" t="s">
        <v>98</v>
      </c>
      <c r="Q19" s="21" t="s">
        <v>236</v>
      </c>
      <c r="R19" s="32" t="n">
        <v>46228</v>
      </c>
      <c r="S19" s="32" t="n">
        <v>46240</v>
      </c>
      <c r="T19" s="20"/>
      <c r="U19" s="21"/>
      <c r="V19" s="32"/>
      <c r="W19" s="32"/>
      <c r="X19" s="20"/>
      <c r="Y19" s="21"/>
      <c r="Z19" s="32"/>
      <c r="AA19" s="32"/>
      <c r="AB19" s="33" t="n">
        <f aca="false">IFERROR((IF(L19&lt;&gt;"",IF(M19="已完成",1,IF(M19="进行中",0.5,0))*15%,0)+IF(P19&lt;&gt;"",IF(Q19="已完成",1,IF(Q19="进行中",0.5,0))*35%,0)+IF(T19&lt;&gt;"",IF(U19="已完成",1,IF(U19="进行中",0.5,0))*30%,0)+IF(X19&lt;&gt;"",IF(Y19="已完成",1,IF(Y19="进行中",0.5,0))*20%,0))/(IF(L19&lt;&gt;"",15%,0)+IF(P19&lt;&gt;"",35%,0)+IF(T19&lt;&gt;"",30%,0)+IF(X19&lt;&gt;"",20%,0)),0)</f>
        <v>0</v>
      </c>
      <c r="AC19" s="21" t="str">
        <f aca="false">IF($A19="","",IF(G19="已完成","正常",IF(G19="暂停","暂停",IF(J19="","日期缺失",IF(J19&lt;_数据接口!$B$7,"已延期",IF(J19&lt;=_数据接口!$B$7+7,"临近到期","正常"))))))</f>
        <v>已延期</v>
      </c>
      <c r="AD19" s="21"/>
      <c r="AE19" s="21"/>
      <c r="AF19" s="36"/>
      <c r="AG19" s="32"/>
      <c r="AH19" s="34" t="str">
        <f aca="false">IF(OR($A19="",J19="",AG19=""),"",AG19-J19)</f>
        <v/>
      </c>
    </row>
    <row r="20" customFormat="false" ht="31.5" hidden="false" customHeight="true" outlineLevel="0" collapsed="false">
      <c r="A20" s="20" t="s">
        <v>243</v>
      </c>
      <c r="B20" s="25"/>
      <c r="C20" s="25"/>
      <c r="D20" s="21" t="s">
        <v>244</v>
      </c>
      <c r="E20" s="21" t="s">
        <v>245</v>
      </c>
      <c r="F20" s="20" t="s">
        <v>89</v>
      </c>
      <c r="G20" s="21" t="str">
        <f aca="false">IF(OR(M20="暂停",M20="挂起",Q20="暂停",Q20="挂起",U20="暂停",U20="挂起",Y20="暂停",Y20="挂起"),"暂停",IF(COUNTA(L20,P20,T20,X20)=0,"未分配",IF(IF(L20&lt;&gt;"",M20="已完成",0)+IF(P20&lt;&gt;"",Q20="已完成",0)+IF(T20&lt;&gt;"",U20="已完成",0)+IF(X20&lt;&gt;"",Y20="已完成",0)=COUNTA(L20,P20,T20,X20),"已完成",IF(IF(L20&lt;&gt;"",M20="进行中",0)+IF(P20&lt;&gt;"",Q20="进行中",0)+IF(T20&lt;&gt;"",U20="进行中",0)+IF(X20&lt;&gt;"",Y20="进行中",0)&gt;0,"进行中",IF(IF(L20&lt;&gt;"",M20="待确认",0)+IF(P20&lt;&gt;"",Q20="待确认",0)+IF(T20&lt;&gt;"",U20="待确认",0)+IF(X20&lt;&gt;"",Y20="待确认",0)&gt;0,"待确认","未开始")))))</f>
        <v>待确认</v>
      </c>
      <c r="H20" s="20" t="str">
        <f aca="false">IF(L20&lt;&gt;"",L20,IF(P20&lt;&gt;"",P20,IF(T20&lt;&gt;"",T20,X20)))</f>
        <v>高级测试人员、中级测试人员</v>
      </c>
      <c r="I20" s="32" t="n">
        <f aca="false">IF(COUNT(N20,R20,V20,Z20)=0,"",MIN(N20,R20,V20,Z20))</f>
        <v>46241</v>
      </c>
      <c r="J20" s="32" t="n">
        <f aca="false">IF(COUNT(O20,S20,W20,AA20)=0,"",MAX(O20,S20,W20,AA20))</f>
        <v>46252</v>
      </c>
      <c r="K20" s="32" t="n">
        <v>46265</v>
      </c>
      <c r="L20" s="20"/>
      <c r="M20" s="21"/>
      <c r="N20" s="32"/>
      <c r="O20" s="32"/>
      <c r="P20" s="20"/>
      <c r="Q20" s="21"/>
      <c r="R20" s="32"/>
      <c r="S20" s="32"/>
      <c r="T20" s="20"/>
      <c r="U20" s="21"/>
      <c r="V20" s="32"/>
      <c r="W20" s="32"/>
      <c r="X20" s="21" t="s">
        <v>148</v>
      </c>
      <c r="Y20" s="21" t="s">
        <v>236</v>
      </c>
      <c r="Z20" s="32" t="n">
        <v>46241</v>
      </c>
      <c r="AA20" s="32" t="n">
        <v>46252</v>
      </c>
      <c r="AB20" s="33" t="n">
        <f aca="false">IFERROR((IF(L20&lt;&gt;"",IF(M20="已完成",1,IF(M20="进行中",0.5,0))*15%,0)+IF(P20&lt;&gt;"",IF(Q20="已完成",1,IF(Q20="进行中",0.5,0))*35%,0)+IF(T20&lt;&gt;"",IF(U20="已完成",1,IF(U20="进行中",0.5,0))*30%,0)+IF(X20&lt;&gt;"",IF(Y20="已完成",1,IF(Y20="进行中",0.5,0))*20%,0))/(IF(L20&lt;&gt;"",15%,0)+IF(P20&lt;&gt;"",35%,0)+IF(T20&lt;&gt;"",30%,0)+IF(X20&lt;&gt;"",20%,0)),0)</f>
        <v>0</v>
      </c>
      <c r="AC20" s="21" t="str">
        <f aca="false">IF($A20="","",IF(G20="已完成","正常",IF(G20="暂停","暂停",IF(J20="","日期缺失",IF(J20&lt;_数据接口!$B$7,"已延期",IF(J20&lt;=_数据接口!$B$7+7,"临近到期","正常"))))))</f>
        <v>已延期</v>
      </c>
      <c r="AD20" s="21"/>
      <c r="AE20" s="21"/>
      <c r="AF20" s="36"/>
      <c r="AG20" s="32"/>
      <c r="AH20" s="34" t="str">
        <f aca="false">IF(OR($A20="",J20="",AG20=""),"",AG20-J20)</f>
        <v/>
      </c>
    </row>
    <row r="21" customFormat="false" ht="31.5" hidden="false" customHeight="true" outlineLevel="0" collapsed="false">
      <c r="A21" s="20" t="s">
        <v>246</v>
      </c>
      <c r="B21" s="25"/>
      <c r="C21" s="25"/>
      <c r="D21" s="21" t="s">
        <v>247</v>
      </c>
      <c r="E21" s="21" t="s">
        <v>248</v>
      </c>
      <c r="F21" s="20" t="s">
        <v>89</v>
      </c>
      <c r="G21" s="21" t="str">
        <f aca="false">IF(OR(M21="暂停",M21="挂起",Q21="暂停",Q21="挂起",U21="暂停",U21="挂起",Y21="暂停",Y21="挂起"),"暂停",IF(COUNTA(L21,P21,T21,X21)=0,"未分配",IF(IF(L21&lt;&gt;"",M21="已完成",0)+IF(P21&lt;&gt;"",Q21="已完成",0)+IF(T21&lt;&gt;"",U21="已完成",0)+IF(X21&lt;&gt;"",Y21="已完成",0)=COUNTA(L21,P21,T21,X21),"已完成",IF(IF(L21&lt;&gt;"",M21="进行中",0)+IF(P21&lt;&gt;"",Q21="进行中",0)+IF(T21&lt;&gt;"",U21="进行中",0)+IF(X21&lt;&gt;"",Y21="进行中",0)&gt;0,"进行中",IF(IF(L21&lt;&gt;"",M21="待确认",0)+IF(P21&lt;&gt;"",Q21="待确认",0)+IF(T21&lt;&gt;"",U21="待确认",0)+IF(X21&lt;&gt;"",Y21="待确认",0)&gt;0,"待确认","未开始")))))</f>
        <v>待确认</v>
      </c>
      <c r="H21" s="20" t="str">
        <f aca="false">IF(L21&lt;&gt;"",L21,IF(P21&lt;&gt;"",P21,IF(T21&lt;&gt;"",T21,X21)))</f>
        <v>配置人员</v>
      </c>
      <c r="I21" s="32" t="n">
        <f aca="false">IF(COUNT(N21,R21,V21,Z21)=0,"",MIN(N21,R21,V21,Z21))</f>
        <v>46253</v>
      </c>
      <c r="J21" s="32" t="n">
        <f aca="false">IF(COUNT(O21,S21,W21,AA21)=0,"",MAX(O21,S21,W21,AA21))</f>
        <v>46265</v>
      </c>
      <c r="K21" s="32" t="n">
        <v>46265</v>
      </c>
      <c r="L21" s="20"/>
      <c r="M21" s="21"/>
      <c r="N21" s="32"/>
      <c r="O21" s="32"/>
      <c r="P21" s="21" t="s">
        <v>249</v>
      </c>
      <c r="Q21" s="21" t="s">
        <v>236</v>
      </c>
      <c r="R21" s="32" t="n">
        <v>46253</v>
      </c>
      <c r="S21" s="32" t="n">
        <v>46265</v>
      </c>
      <c r="T21" s="20"/>
      <c r="U21" s="21"/>
      <c r="V21" s="32"/>
      <c r="W21" s="32"/>
      <c r="X21" s="20"/>
      <c r="Y21" s="21"/>
      <c r="Z21" s="32"/>
      <c r="AA21" s="32"/>
      <c r="AB21" s="33" t="n">
        <f aca="false">IFERROR((IF(L21&lt;&gt;"",IF(M21="已完成",1,IF(M21="进行中",0.5,0))*15%,0)+IF(P21&lt;&gt;"",IF(Q21="已完成",1,IF(Q21="进行中",0.5,0))*35%,0)+IF(T21&lt;&gt;"",IF(U21="已完成",1,IF(U21="进行中",0.5,0))*30%,0)+IF(X21&lt;&gt;"",IF(Y21="已完成",1,IF(Y21="进行中",0.5,0))*20%,0))/(IF(L21&lt;&gt;"",15%,0)+IF(P21&lt;&gt;"",35%,0)+IF(T21&lt;&gt;"",30%,0)+IF(X21&lt;&gt;"",20%,0)),0)</f>
        <v>0</v>
      </c>
      <c r="AC21" s="21" t="str">
        <f aca="false">IF($A21="","",IF(G21="已完成","正常",IF(G21="暂停","暂停",IF(J21="","日期缺失",IF(J21&lt;_数据接口!$B$7,"已延期",IF(J21&lt;=_数据接口!$B$7+7,"临近到期","正常"))))))</f>
        <v>已延期</v>
      </c>
      <c r="AD21" s="21"/>
      <c r="AE21" s="21"/>
      <c r="AF21" s="36"/>
      <c r="AG21" s="32"/>
      <c r="AH21" s="34" t="str">
        <f aca="false">IF(OR($A21="",J21="",AG21=""),"",AG21-J21)</f>
        <v/>
      </c>
    </row>
    <row r="22" customFormat="false" ht="31.5" hidden="false" customHeight="true" outlineLevel="0" collapsed="false">
      <c r="A22" s="20" t="s">
        <v>250</v>
      </c>
      <c r="B22" s="25"/>
      <c r="C22" s="25" t="s">
        <v>96</v>
      </c>
      <c r="D22" s="21" t="s">
        <v>251</v>
      </c>
      <c r="E22" s="21" t="s">
        <v>252</v>
      </c>
      <c r="F22" s="20" t="s">
        <v>95</v>
      </c>
      <c r="G22" s="21" t="str">
        <f aca="false">IF(OR(M22="暂停",M22="挂起",Q22="暂停",Q22="挂起",U22="暂停",U22="挂起",Y22="暂停",Y22="挂起"),"暂停",IF(COUNTA(L22,P22,T22,X22)=0,"未分配",IF(IF(L22&lt;&gt;"",M22="已完成",0)+IF(P22&lt;&gt;"",Q22="已完成",0)+IF(T22&lt;&gt;"",U22="已完成",0)+IF(X22&lt;&gt;"",Y22="已完成",0)=COUNTA(L22,P22,T22,X22),"已完成",IF(IF(L22&lt;&gt;"",M22="进行中",0)+IF(P22&lt;&gt;"",Q22="进行中",0)+IF(T22&lt;&gt;"",U22="进行中",0)+IF(X22&lt;&gt;"",Y22="进行中",0)&gt;0,"进行中",IF(IF(L22&lt;&gt;"",M22="待确认",0)+IF(P22&lt;&gt;"",Q22="待确认",0)+IF(T22&lt;&gt;"",U22="待确认",0)+IF(X22&lt;&gt;"",Y22="待确认",0)&gt;0,"待确认","未开始")))))</f>
        <v>待确认</v>
      </c>
      <c r="H22" s="20" t="str">
        <f aca="false">IF(L22&lt;&gt;"",L22,IF(P22&lt;&gt;"",P22,IF(T22&lt;&gt;"",T22,X22)))</f>
        <v>技术经理</v>
      </c>
      <c r="I22" s="32" t="n">
        <f aca="false">IF(COUNT(N22,R22,V22,Z22)=0,"",MIN(N22,R22,V22,Z22))</f>
        <v>46204</v>
      </c>
      <c r="J22" s="32" t="n">
        <f aca="false">IF(COUNT(O22,S22,W22,AA22)=0,"",MAX(O22,S22,W22,AA22))</f>
        <v>46218</v>
      </c>
      <c r="K22" s="32" t="n">
        <v>46295</v>
      </c>
      <c r="L22" s="20"/>
      <c r="M22" s="21"/>
      <c r="N22" s="32"/>
      <c r="O22" s="32"/>
      <c r="P22" s="21" t="s">
        <v>98</v>
      </c>
      <c r="Q22" s="21" t="s">
        <v>236</v>
      </c>
      <c r="R22" s="32" t="n">
        <v>46204</v>
      </c>
      <c r="S22" s="32" t="n">
        <v>46218</v>
      </c>
      <c r="T22" s="20"/>
      <c r="U22" s="21"/>
      <c r="V22" s="32"/>
      <c r="W22" s="32"/>
      <c r="X22" s="20"/>
      <c r="Y22" s="21"/>
      <c r="Z22" s="32"/>
      <c r="AA22" s="32"/>
      <c r="AB22" s="33" t="n">
        <f aca="false">IFERROR((IF(L22&lt;&gt;"",IF(M22="已完成",1,IF(M22="进行中",0.5,0))*15%,0)+IF(P22&lt;&gt;"",IF(Q22="已完成",1,IF(Q22="进行中",0.5,0))*35%,0)+IF(T22&lt;&gt;"",IF(U22="已完成",1,IF(U22="进行中",0.5,0))*30%,0)+IF(X22&lt;&gt;"",IF(Y22="已完成",1,IF(Y22="进行中",0.5,0))*20%,0))/(IF(L22&lt;&gt;"",15%,0)+IF(P22&lt;&gt;"",35%,0)+IF(T22&lt;&gt;"",30%,0)+IF(X22&lt;&gt;"",20%,0)),0)</f>
        <v>0</v>
      </c>
      <c r="AC22" s="21" t="str">
        <f aca="false">IF($A22="","",IF(G22="已完成","正常",IF(G22="暂停","暂停",IF(J22="","日期缺失",IF(J22&lt;_数据接口!$B$7,"已延期",IF(J22&lt;=_数据接口!$B$7+7,"临近到期","正常"))))))</f>
        <v>已延期</v>
      </c>
      <c r="AD22" s="21"/>
      <c r="AE22" s="21"/>
      <c r="AF22" s="36"/>
      <c r="AG22" s="32"/>
      <c r="AH22" s="34" t="str">
        <f aca="false">IF(OR($A22="",J22="",AG22=""),"",AG22-J22)</f>
        <v/>
      </c>
    </row>
    <row r="23" customFormat="false" ht="31.5" hidden="false" customHeight="true" outlineLevel="0" collapsed="false">
      <c r="A23" s="20" t="s">
        <v>253</v>
      </c>
      <c r="B23" s="25"/>
      <c r="C23" s="25"/>
      <c r="D23" s="21" t="s">
        <v>254</v>
      </c>
      <c r="E23" s="21" t="s">
        <v>255</v>
      </c>
      <c r="F23" s="20" t="s">
        <v>95</v>
      </c>
      <c r="G23" s="21" t="str">
        <f aca="false">IF(OR(M23="暂停",M23="挂起",Q23="暂停",Q23="挂起",U23="暂停",U23="挂起",Y23="暂停",Y23="挂起"),"暂停",IF(COUNTA(L23,P23,T23,X23)=0,"未分配",IF(IF(L23&lt;&gt;"",M23="已完成",0)+IF(P23&lt;&gt;"",Q23="已完成",0)+IF(T23&lt;&gt;"",U23="已完成",0)+IF(X23&lt;&gt;"",Y23="已完成",0)=COUNTA(L23,P23,T23,X23),"已完成",IF(IF(L23&lt;&gt;"",M23="进行中",0)+IF(P23&lt;&gt;"",Q23="进行中",0)+IF(T23&lt;&gt;"",U23="进行中",0)+IF(X23&lt;&gt;"",Y23="进行中",0)&gt;0,"进行中",IF(IF(L23&lt;&gt;"",M23="待确认",0)+IF(P23&lt;&gt;"",Q23="待确认",0)+IF(T23&lt;&gt;"",U23="待确认",0)+IF(X23&lt;&gt;"",Y23="待确认",0)&gt;0,"待确认","未开始")))))</f>
        <v>待确认</v>
      </c>
      <c r="H23" s="20" t="str">
        <f aca="false">IF(L23&lt;&gt;"",L23,IF(P23&lt;&gt;"",P23,IF(T23&lt;&gt;"",T23,X23)))</f>
        <v>技术经理</v>
      </c>
      <c r="I23" s="32" t="n">
        <f aca="false">IF(COUNT(N23,R23,V23,Z23)=0,"",MIN(N23,R23,V23,Z23))</f>
        <v>46219</v>
      </c>
      <c r="J23" s="32" t="n">
        <f aca="false">IF(COUNT(O23,S23,W23,AA23)=0,"",MAX(O23,S23,W23,AA23))</f>
        <v>46233</v>
      </c>
      <c r="K23" s="32" t="n">
        <v>46295</v>
      </c>
      <c r="L23" s="20"/>
      <c r="M23" s="21"/>
      <c r="N23" s="32"/>
      <c r="O23" s="32"/>
      <c r="P23" s="21" t="s">
        <v>98</v>
      </c>
      <c r="Q23" s="21" t="s">
        <v>236</v>
      </c>
      <c r="R23" s="32" t="n">
        <v>46219</v>
      </c>
      <c r="S23" s="32" t="n">
        <v>46233</v>
      </c>
      <c r="T23" s="20"/>
      <c r="U23" s="21"/>
      <c r="V23" s="32"/>
      <c r="W23" s="32"/>
      <c r="X23" s="20"/>
      <c r="Y23" s="21"/>
      <c r="Z23" s="32"/>
      <c r="AA23" s="32"/>
      <c r="AB23" s="33" t="n">
        <f aca="false">IFERROR((IF(L23&lt;&gt;"",IF(M23="已完成",1,IF(M23="进行中",0.5,0))*15%,0)+IF(P23&lt;&gt;"",IF(Q23="已完成",1,IF(Q23="进行中",0.5,0))*35%,0)+IF(T23&lt;&gt;"",IF(U23="已完成",1,IF(U23="进行中",0.5,0))*30%,0)+IF(X23&lt;&gt;"",IF(Y23="已完成",1,IF(Y23="进行中",0.5,0))*20%,0))/(IF(L23&lt;&gt;"",15%,0)+IF(P23&lt;&gt;"",35%,0)+IF(T23&lt;&gt;"",30%,0)+IF(X23&lt;&gt;"",20%,0)),0)</f>
        <v>0</v>
      </c>
      <c r="AC23" s="21" t="str">
        <f aca="false">IF($A23="","",IF(G23="已完成","正常",IF(G23="暂停","暂停",IF(J23="","日期缺失",IF(J23&lt;_数据接口!$B$7,"已延期",IF(J23&lt;=_数据接口!$B$7+7,"临近到期","正常"))))))</f>
        <v>已延期</v>
      </c>
      <c r="AD23" s="21"/>
      <c r="AE23" s="21"/>
      <c r="AF23" s="36"/>
      <c r="AG23" s="32"/>
      <c r="AH23" s="34" t="str">
        <f aca="false">IF(OR($A23="",J23="",AG23=""),"",AG23-J23)</f>
        <v/>
      </c>
    </row>
    <row r="24" customFormat="false" ht="31.5" hidden="false" customHeight="true" outlineLevel="0" collapsed="false">
      <c r="A24" s="20" t="s">
        <v>256</v>
      </c>
      <c r="B24" s="25"/>
      <c r="C24" s="25"/>
      <c r="D24" s="21" t="s">
        <v>257</v>
      </c>
      <c r="E24" s="21" t="s">
        <v>258</v>
      </c>
      <c r="F24" s="20" t="s">
        <v>95</v>
      </c>
      <c r="G24" s="21" t="str">
        <f aca="false">IF(OR(M24="暂停",M24="挂起",Q24="暂停",Q24="挂起",U24="暂停",U24="挂起",Y24="暂停",Y24="挂起"),"暂停",IF(COUNTA(L24,P24,T24,X24)=0,"未分配",IF(IF(L24&lt;&gt;"",M24="已完成",0)+IF(P24&lt;&gt;"",Q24="已完成",0)+IF(T24&lt;&gt;"",U24="已完成",0)+IF(X24&lt;&gt;"",Y24="已完成",0)=COUNTA(L24,P24,T24,X24),"已完成",IF(IF(L24&lt;&gt;"",M24="进行中",0)+IF(P24&lt;&gt;"",Q24="进行中",0)+IF(T24&lt;&gt;"",U24="进行中",0)+IF(X24&lt;&gt;"",Y24="进行中",0)&gt;0,"进行中",IF(IF(L24&lt;&gt;"",M24="待确认",0)+IF(P24&lt;&gt;"",Q24="待确认",0)+IF(T24&lt;&gt;"",U24="待确认",0)+IF(X24&lt;&gt;"",Y24="待确认",0)&gt;0,"待确认","未开始")))))</f>
        <v>待确认</v>
      </c>
      <c r="H24" s="20" t="str">
        <f aca="false">IF(L24&lt;&gt;"",L24,IF(P24&lt;&gt;"",P24,IF(T24&lt;&gt;"",T24,X24)))</f>
        <v>高级开发人员</v>
      </c>
      <c r="I24" s="32" t="n">
        <f aca="false">IF(COUNT(N24,R24,V24,Z24)=0,"",MIN(N24,R24,V24,Z24))</f>
        <v>46234</v>
      </c>
      <c r="J24" s="32" t="n">
        <f aca="false">IF(COUNT(O24,S24,W24,AA24)=0,"",MAX(O24,S24,W24,AA24))</f>
        <v>46249</v>
      </c>
      <c r="K24" s="32" t="n">
        <v>46295</v>
      </c>
      <c r="L24" s="20"/>
      <c r="M24" s="21"/>
      <c r="N24" s="32"/>
      <c r="O24" s="32"/>
      <c r="P24" s="21" t="s">
        <v>132</v>
      </c>
      <c r="Q24" s="21" t="s">
        <v>236</v>
      </c>
      <c r="R24" s="32" t="n">
        <v>46234</v>
      </c>
      <c r="S24" s="32" t="n">
        <v>46249</v>
      </c>
      <c r="T24" s="20"/>
      <c r="U24" s="21"/>
      <c r="V24" s="32"/>
      <c r="W24" s="32"/>
      <c r="X24" s="20"/>
      <c r="Y24" s="21"/>
      <c r="Z24" s="32"/>
      <c r="AA24" s="32"/>
      <c r="AB24" s="33" t="n">
        <f aca="false">IFERROR((IF(L24&lt;&gt;"",IF(M24="已完成",1,IF(M24="进行中",0.5,0))*15%,0)+IF(P24&lt;&gt;"",IF(Q24="已完成",1,IF(Q24="进行中",0.5,0))*35%,0)+IF(T24&lt;&gt;"",IF(U24="已完成",1,IF(U24="进行中",0.5,0))*30%,0)+IF(X24&lt;&gt;"",IF(Y24="已完成",1,IF(Y24="进行中",0.5,0))*20%,0))/(IF(L24&lt;&gt;"",15%,0)+IF(P24&lt;&gt;"",35%,0)+IF(T24&lt;&gt;"",30%,0)+IF(X24&lt;&gt;"",20%,0)),0)</f>
        <v>0</v>
      </c>
      <c r="AC24" s="21" t="str">
        <f aca="false">IF($A24="","",IF(G24="已完成","正常",IF(G24="暂停","暂停",IF(J24="","日期缺失",IF(J24&lt;_数据接口!$B$7,"已延期",IF(J24&lt;=_数据接口!$B$7+7,"临近到期","正常"))))))</f>
        <v>已延期</v>
      </c>
      <c r="AD24" s="21"/>
      <c r="AE24" s="21"/>
      <c r="AF24" s="36"/>
      <c r="AG24" s="32"/>
      <c r="AH24" s="34" t="str">
        <f aca="false">IF(OR($A24="",J24="",AG24=""),"",AG24-J24)</f>
        <v/>
      </c>
    </row>
    <row r="25" customFormat="false" ht="31.5" hidden="false" customHeight="true" outlineLevel="0" collapsed="false">
      <c r="A25" s="20" t="s">
        <v>259</v>
      </c>
      <c r="B25" s="25"/>
      <c r="C25" s="25"/>
      <c r="D25" s="21" t="s">
        <v>260</v>
      </c>
      <c r="E25" s="21" t="s">
        <v>261</v>
      </c>
      <c r="F25" s="20" t="s">
        <v>95</v>
      </c>
      <c r="G25" s="21" t="str">
        <f aca="false">IF(OR(M25="暂停",M25="挂起",Q25="暂停",Q25="挂起",U25="暂停",U25="挂起",Y25="暂停",Y25="挂起"),"暂停",IF(COUNTA(L25,P25,T25,X25)=0,"未分配",IF(IF(L25&lt;&gt;"",M25="已完成",0)+IF(P25&lt;&gt;"",Q25="已完成",0)+IF(T25&lt;&gt;"",U25="已完成",0)+IF(X25&lt;&gt;"",Y25="已完成",0)=COUNTA(L25,P25,T25,X25),"已完成",IF(IF(L25&lt;&gt;"",M25="进行中",0)+IF(P25&lt;&gt;"",Q25="进行中",0)+IF(T25&lt;&gt;"",U25="进行中",0)+IF(X25&lt;&gt;"",Y25="进行中",0)&gt;0,"进行中",IF(IF(L25&lt;&gt;"",M25="待确认",0)+IF(P25&lt;&gt;"",Q25="待确认",0)+IF(T25&lt;&gt;"",U25="待确认",0)+IF(X25&lt;&gt;"",Y25="待确认",0)&gt;0,"待确认","未开始")))))</f>
        <v>待确认</v>
      </c>
      <c r="H25" s="20" t="str">
        <f aca="false">IF(L25&lt;&gt;"",L25,IF(P25&lt;&gt;"",P25,IF(T25&lt;&gt;"",T25,X25)))</f>
        <v>技术经理</v>
      </c>
      <c r="I25" s="32" t="n">
        <f aca="false">IF(COUNT(N25,R25,V25,Z25)=0,"",MIN(N25,R25,V25,Z25))</f>
        <v>46250</v>
      </c>
      <c r="J25" s="32" t="n">
        <f aca="false">IF(COUNT(O25,S25,W25,AA25)=0,"",MAX(O25,S25,W25,AA25))</f>
        <v>46264</v>
      </c>
      <c r="K25" s="32" t="n">
        <v>46295</v>
      </c>
      <c r="L25" s="20"/>
      <c r="M25" s="21"/>
      <c r="N25" s="32"/>
      <c r="O25" s="32"/>
      <c r="P25" s="21" t="s">
        <v>98</v>
      </c>
      <c r="Q25" s="21" t="s">
        <v>236</v>
      </c>
      <c r="R25" s="32" t="n">
        <v>46250</v>
      </c>
      <c r="S25" s="32" t="n">
        <v>46264</v>
      </c>
      <c r="T25" s="20"/>
      <c r="U25" s="21"/>
      <c r="V25" s="32"/>
      <c r="W25" s="32"/>
      <c r="X25" s="20"/>
      <c r="Y25" s="21"/>
      <c r="Z25" s="32"/>
      <c r="AA25" s="32"/>
      <c r="AB25" s="33" t="n">
        <f aca="false">IFERROR((IF(L25&lt;&gt;"",IF(M25="已完成",1,IF(M25="进行中",0.5,0))*15%,0)+IF(P25&lt;&gt;"",IF(Q25="已完成",1,IF(Q25="进行中",0.5,0))*35%,0)+IF(T25&lt;&gt;"",IF(U25="已完成",1,IF(U25="进行中",0.5,0))*30%,0)+IF(X25&lt;&gt;"",IF(Y25="已完成",1,IF(Y25="进行中",0.5,0))*20%,0))/(IF(L25&lt;&gt;"",15%,0)+IF(P25&lt;&gt;"",35%,0)+IF(T25&lt;&gt;"",30%,0)+IF(X25&lt;&gt;"",20%,0)),0)</f>
        <v>0</v>
      </c>
      <c r="AC25" s="21" t="str">
        <f aca="false">IF($A25="","",IF(G25="已完成","正常",IF(G25="暂停","暂停",IF(J25="","日期缺失",IF(J25&lt;_数据接口!$B$7,"已延期",IF(J25&lt;=_数据接口!$B$7+7,"临近到期","正常"))))))</f>
        <v>已延期</v>
      </c>
      <c r="AD25" s="21"/>
      <c r="AE25" s="21"/>
      <c r="AF25" s="36"/>
      <c r="AG25" s="32"/>
      <c r="AH25" s="34" t="str">
        <f aca="false">IF(OR($A25="",J25="",AG25=""),"",AG25-J25)</f>
        <v/>
      </c>
    </row>
    <row r="26" customFormat="false" ht="31.5" hidden="false" customHeight="true" outlineLevel="0" collapsed="false">
      <c r="A26" s="20" t="s">
        <v>262</v>
      </c>
      <c r="B26" s="25"/>
      <c r="C26" s="25"/>
      <c r="D26" s="21" t="s">
        <v>263</v>
      </c>
      <c r="E26" s="21" t="s">
        <v>264</v>
      </c>
      <c r="F26" s="20" t="s">
        <v>95</v>
      </c>
      <c r="G26" s="21" t="str">
        <f aca="false">IF(OR(M26="暂停",M26="挂起",Q26="暂停",Q26="挂起",U26="暂停",U26="挂起",Y26="暂停",Y26="挂起"),"暂停",IF(COUNTA(L26,P26,T26,X26)=0,"未分配",IF(IF(L26&lt;&gt;"",M26="已完成",0)+IF(P26&lt;&gt;"",Q26="已完成",0)+IF(T26&lt;&gt;"",U26="已完成",0)+IF(X26&lt;&gt;"",Y26="已完成",0)=COUNTA(L26,P26,T26,X26),"已完成",IF(IF(L26&lt;&gt;"",M26="进行中",0)+IF(P26&lt;&gt;"",Q26="进行中",0)+IF(T26&lt;&gt;"",U26="进行中",0)+IF(X26&lt;&gt;"",Y26="进行中",0)&gt;0,"进行中",IF(IF(L26&lt;&gt;"",M26="待确认",0)+IF(P26&lt;&gt;"",Q26="待确认",0)+IF(T26&lt;&gt;"",U26="待确认",0)+IF(X26&lt;&gt;"",Y26="待确认",0)&gt;0,"待确认","未开始")))))</f>
        <v>待确认</v>
      </c>
      <c r="H26" s="20" t="str">
        <f aca="false">IF(L26&lt;&gt;"",L26,IF(P26&lt;&gt;"",P26,IF(T26&lt;&gt;"",T26,X26)))</f>
        <v>配置人员</v>
      </c>
      <c r="I26" s="32" t="n">
        <f aca="false">IF(COUNT(N26,R26,V26,Z26)=0,"",MIN(N26,R26,V26,Z26))</f>
        <v>46265</v>
      </c>
      <c r="J26" s="32" t="n">
        <f aca="false">IF(COUNT(O26,S26,W26,AA26)=0,"",MAX(O26,S26,W26,AA26))</f>
        <v>46279</v>
      </c>
      <c r="K26" s="32" t="n">
        <v>46295</v>
      </c>
      <c r="L26" s="20"/>
      <c r="M26" s="21"/>
      <c r="N26" s="32"/>
      <c r="O26" s="32"/>
      <c r="P26" s="21" t="s">
        <v>249</v>
      </c>
      <c r="Q26" s="21" t="s">
        <v>236</v>
      </c>
      <c r="R26" s="32" t="n">
        <v>46265</v>
      </c>
      <c r="S26" s="32" t="n">
        <v>46279</v>
      </c>
      <c r="T26" s="20"/>
      <c r="U26" s="21"/>
      <c r="V26" s="32"/>
      <c r="W26" s="32"/>
      <c r="X26" s="20"/>
      <c r="Y26" s="21"/>
      <c r="Z26" s="32"/>
      <c r="AA26" s="32"/>
      <c r="AB26" s="33" t="n">
        <f aca="false">IFERROR((IF(L26&lt;&gt;"",IF(M26="已完成",1,IF(M26="进行中",0.5,0))*15%,0)+IF(P26&lt;&gt;"",IF(Q26="已完成",1,IF(Q26="进行中",0.5,0))*35%,0)+IF(T26&lt;&gt;"",IF(U26="已完成",1,IF(U26="进行中",0.5,0))*30%,0)+IF(X26&lt;&gt;"",IF(Y26="已完成",1,IF(Y26="进行中",0.5,0))*20%,0))/(IF(L26&lt;&gt;"",15%,0)+IF(P26&lt;&gt;"",35%,0)+IF(T26&lt;&gt;"",30%,0)+IF(X26&lt;&gt;"",20%,0)),0)</f>
        <v>0</v>
      </c>
      <c r="AC26" s="21" t="str">
        <f aca="false">IF($A26="","",IF(G26="已完成","正常",IF(G26="暂停","暂停",IF(J26="","日期缺失",IF(J26&lt;_数据接口!$B$7,"已延期",IF(J26&lt;=_数据接口!$B$7+7,"临近到期","正常"))))))</f>
        <v>已延期</v>
      </c>
      <c r="AD26" s="21"/>
      <c r="AE26" s="21"/>
      <c r="AF26" s="36"/>
      <c r="AG26" s="32"/>
      <c r="AH26" s="34" t="str">
        <f aca="false">IF(OR($A26="",J26="",AG26=""),"",AG26-J26)</f>
        <v/>
      </c>
    </row>
    <row r="27" customFormat="false" ht="31.5" hidden="false" customHeight="true" outlineLevel="0" collapsed="false">
      <c r="A27" s="20" t="s">
        <v>265</v>
      </c>
      <c r="B27" s="25"/>
      <c r="C27" s="25"/>
      <c r="D27" s="21" t="s">
        <v>266</v>
      </c>
      <c r="E27" s="21" t="s">
        <v>267</v>
      </c>
      <c r="F27" s="20" t="s">
        <v>95</v>
      </c>
      <c r="G27" s="21" t="str">
        <f aca="false">IF(OR(M27="暂停",M27="挂起",Q27="暂停",Q27="挂起",U27="暂停",U27="挂起",Y27="暂停",Y27="挂起"),"暂停",IF(COUNTA(L27,P27,T27,X27)=0,"未分配",IF(IF(L27&lt;&gt;"",M27="已完成",0)+IF(P27&lt;&gt;"",Q27="已完成",0)+IF(T27&lt;&gt;"",U27="已完成",0)+IF(X27&lt;&gt;"",Y27="已完成",0)=COUNTA(L27,P27,T27,X27),"已完成",IF(IF(L27&lt;&gt;"",M27="进行中",0)+IF(P27&lt;&gt;"",Q27="进行中",0)+IF(T27&lt;&gt;"",U27="进行中",0)+IF(X27&lt;&gt;"",Y27="进行中",0)&gt;0,"进行中",IF(IF(L27&lt;&gt;"",M27="待确认",0)+IF(P27&lt;&gt;"",Q27="待确认",0)+IF(T27&lt;&gt;"",U27="待确认",0)+IF(X27&lt;&gt;"",Y27="待确认",0)&gt;0,"待确认","未开始")))))</f>
        <v>进行中</v>
      </c>
      <c r="H27" s="20" t="str">
        <f aca="false">IF(L27&lt;&gt;"",L27,IF(P27&lt;&gt;"",P27,IF(T27&lt;&gt;"",T27,X27)))</f>
        <v>技术经理</v>
      </c>
      <c r="I27" s="32" t="n">
        <f aca="false">IF(COUNT(N27,R27,V27,Z27)=0,"",MIN(N27,R27,V27,Z27))</f>
        <v>46280</v>
      </c>
      <c r="J27" s="32" t="n">
        <f aca="false">IF(COUNT(O27,S27,W27,AA27)=0,"",MAX(O27,S27,W27,AA27))</f>
        <v>46295</v>
      </c>
      <c r="K27" s="32" t="n">
        <v>46295</v>
      </c>
      <c r="L27" s="20"/>
      <c r="M27" s="21"/>
      <c r="N27" s="32"/>
      <c r="O27" s="32"/>
      <c r="P27" s="21" t="s">
        <v>98</v>
      </c>
      <c r="Q27" s="21" t="s">
        <v>87</v>
      </c>
      <c r="R27" s="32" t="n">
        <v>46280</v>
      </c>
      <c r="S27" s="32" t="n">
        <v>46295</v>
      </c>
      <c r="T27" s="20"/>
      <c r="U27" s="21"/>
      <c r="V27" s="32"/>
      <c r="W27" s="32"/>
      <c r="X27" s="20"/>
      <c r="Y27" s="21"/>
      <c r="Z27" s="32"/>
      <c r="AA27" s="32"/>
      <c r="AB27" s="33" t="n">
        <f aca="false">IFERROR((IF(L27&lt;&gt;"",IF(M27="已完成",1,IF(M27="进行中",0.5,0))*15%,0)+IF(P27&lt;&gt;"",IF(Q27="已完成",1,IF(Q27="进行中",0.5,0))*35%,0)+IF(T27&lt;&gt;"",IF(U27="已完成",1,IF(U27="进行中",0.5,0))*30%,0)+IF(X27&lt;&gt;"",IF(Y27="已完成",1,IF(Y27="进行中",0.5,0))*20%,0))/(IF(L27&lt;&gt;"",15%,0)+IF(P27&lt;&gt;"",35%,0)+IF(T27&lt;&gt;"",30%,0)+IF(X27&lt;&gt;"",20%,0)),0)</f>
        <v>0.5</v>
      </c>
      <c r="AC27" s="21" t="str">
        <f aca="false">IF($A27="","",IF(G27="已完成","正常",IF(G27="暂停","暂停",IF(J27="","日期缺失",IF(J27&lt;_数据接口!$B$7,"已延期",IF(J27&lt;=_数据接口!$B$7+7,"临近到期","正常"))))))</f>
        <v>正常</v>
      </c>
      <c r="AD27" s="21"/>
      <c r="AE27" s="21"/>
      <c r="AF27" s="37" t="s">
        <v>219</v>
      </c>
      <c r="AG27" s="32"/>
      <c r="AH27" s="34" t="str">
        <f aca="false">IF(OR($A27="",J27="",AG27=""),"",AG27-J27)</f>
        <v/>
      </c>
    </row>
    <row r="28" customFormat="false" ht="31.5" hidden="false" customHeight="true" outlineLevel="0" collapsed="false">
      <c r="A28" s="20" t="s">
        <v>268</v>
      </c>
      <c r="B28" s="25"/>
      <c r="C28" s="25" t="s">
        <v>102</v>
      </c>
      <c r="D28" s="20" t="s">
        <v>269</v>
      </c>
      <c r="E28" s="21" t="s">
        <v>270</v>
      </c>
      <c r="F28" s="20" t="s">
        <v>101</v>
      </c>
      <c r="G28" s="21" t="str">
        <f aca="false">IF(OR(M28="暂停",M28="挂起",Q28="暂停",Q28="挂起",U28="暂停",U28="挂起",Y28="暂停",Y28="挂起"),"暂停",IF(COUNTA(L28,P28,T28,X28)=0,"未分配",IF(IF(L28&lt;&gt;"",M28="已完成",0)+IF(P28&lt;&gt;"",Q28="已完成",0)+IF(T28&lt;&gt;"",U28="已完成",0)+IF(X28&lt;&gt;"",Y28="已完成",0)=COUNTA(L28,P28,T28,X28),"已完成",IF(IF(L28&lt;&gt;"",M28="进行中",0)+IF(P28&lt;&gt;"",Q28="进行中",0)+IF(T28&lt;&gt;"",U28="进行中",0)+IF(X28&lt;&gt;"",Y28="进行中",0)&gt;0,"进行中",IF(IF(L28&lt;&gt;"",M28="待确认",0)+IF(P28&lt;&gt;"",Q28="待确认",0)+IF(T28&lt;&gt;"",U28="待确认",0)+IF(X28&lt;&gt;"",Y28="待确认",0)&gt;0,"待确认","未开始")))))</f>
        <v>待确认</v>
      </c>
      <c r="H28" s="20" t="str">
        <f aca="false">IF(L28&lt;&gt;"",L28,IF(P28&lt;&gt;"",P28,IF(T28&lt;&gt;"",T28,X28)))</f>
        <v>技术经理</v>
      </c>
      <c r="I28" s="32" t="n">
        <f aca="false">IF(COUNT(N28,R28,V28,Z28)=0,"",MIN(N28,R28,V28,Z28))</f>
        <v>46249</v>
      </c>
      <c r="J28" s="32" t="n">
        <f aca="false">IF(COUNT(O28,S28,W28,AA28)=0,"",MAX(O28,S28,W28,AA28))</f>
        <v>46253</v>
      </c>
      <c r="K28" s="32" t="n">
        <v>46290</v>
      </c>
      <c r="L28" s="20"/>
      <c r="M28" s="21"/>
      <c r="N28" s="32"/>
      <c r="O28" s="32"/>
      <c r="P28" s="21" t="s">
        <v>98</v>
      </c>
      <c r="Q28" s="21" t="s">
        <v>236</v>
      </c>
      <c r="R28" s="32" t="n">
        <v>46249</v>
      </c>
      <c r="S28" s="32" t="n">
        <v>46253</v>
      </c>
      <c r="T28" s="20"/>
      <c r="U28" s="21"/>
      <c r="V28" s="32"/>
      <c r="W28" s="32"/>
      <c r="X28" s="20"/>
      <c r="Y28" s="21"/>
      <c r="Z28" s="32"/>
      <c r="AA28" s="32"/>
      <c r="AB28" s="33" t="n">
        <f aca="false">IFERROR((IF(L28&lt;&gt;"",IF(M28="已完成",1,IF(M28="进行中",0.5,0))*15%,0)+IF(P28&lt;&gt;"",IF(Q28="已完成",1,IF(Q28="进行中",0.5,0))*35%,0)+IF(T28&lt;&gt;"",IF(U28="已完成",1,IF(U28="进行中",0.5,0))*30%,0)+IF(X28&lt;&gt;"",IF(Y28="已完成",1,IF(Y28="进行中",0.5,0))*20%,0))/(IF(L28&lt;&gt;"",15%,0)+IF(P28&lt;&gt;"",35%,0)+IF(T28&lt;&gt;"",30%,0)+IF(X28&lt;&gt;"",20%,0)),0)</f>
        <v>0</v>
      </c>
      <c r="AC28" s="21" t="str">
        <f aca="false">IF($A28="","",IF(G28="已完成","正常",IF(G28="暂停","暂停",IF(J28="","日期缺失",IF(J28&lt;_数据接口!$B$7,"已延期",IF(J28&lt;=_数据接口!$B$7+7,"临近到期","正常"))))))</f>
        <v>已延期</v>
      </c>
      <c r="AD28" s="21"/>
      <c r="AE28" s="21" t="s">
        <v>271</v>
      </c>
      <c r="AF28" s="36"/>
      <c r="AG28" s="32"/>
      <c r="AH28" s="34" t="str">
        <f aca="false">IF(OR($A28="",J28="",AG28=""),"",AG28-J28)</f>
        <v/>
      </c>
    </row>
    <row r="29" customFormat="false" ht="31.5" hidden="false" customHeight="true" outlineLevel="0" collapsed="false">
      <c r="A29" s="20" t="s">
        <v>272</v>
      </c>
      <c r="B29" s="25"/>
      <c r="C29" s="25"/>
      <c r="D29" s="38" t="s">
        <v>273</v>
      </c>
      <c r="E29" s="21" t="s">
        <v>274</v>
      </c>
      <c r="F29" s="20" t="s">
        <v>101</v>
      </c>
      <c r="G29" s="21" t="str">
        <f aca="false">IF(OR(M29="暂停",M29="挂起",Q29="暂停",Q29="挂起",U29="暂停",U29="挂起",Y29="暂停",Y29="挂起"),"暂停",IF(COUNTA(L29,P29,T29,X29)=0,"未分配",IF(IF(L29&lt;&gt;"",M29="已完成",0)+IF(P29&lt;&gt;"",Q29="已完成",0)+IF(T29&lt;&gt;"",U29="已完成",0)+IF(X29&lt;&gt;"",Y29="已完成",0)=COUNTA(L29,P29,T29,X29),"已完成",IF(IF(L29&lt;&gt;"",M29="进行中",0)+IF(P29&lt;&gt;"",Q29="进行中",0)+IF(T29&lt;&gt;"",U29="进行中",0)+IF(X29&lt;&gt;"",Y29="进行中",0)&gt;0,"进行中",IF(IF(L29&lt;&gt;"",M29="待确认",0)+IF(P29&lt;&gt;"",Q29="待确认",0)+IF(T29&lt;&gt;"",U29="待确认",0)+IF(X29&lt;&gt;"",Y29="待确认",0)&gt;0,"待确认","未开始")))))</f>
        <v>待确认</v>
      </c>
      <c r="H29" s="20" t="str">
        <f aca="false">IF(L29&lt;&gt;"",L29,IF(P29&lt;&gt;"",P29,IF(T29&lt;&gt;"",T29,X29)))</f>
        <v>高级开发人员</v>
      </c>
      <c r="I29" s="32" t="n">
        <f aca="false">IF(COUNT(N29,R29,V29,Z29)=0,"",MIN(N29,R29,V29,Z29))</f>
        <v>46254</v>
      </c>
      <c r="J29" s="32" t="n">
        <f aca="false">IF(COUNT(O29,S29,W29,AA29)=0,"",MAX(O29,S29,W29,AA29))</f>
        <v>46258</v>
      </c>
      <c r="K29" s="32" t="n">
        <v>46290</v>
      </c>
      <c r="L29" s="20"/>
      <c r="M29" s="21"/>
      <c r="N29" s="32"/>
      <c r="O29" s="32"/>
      <c r="P29" s="21" t="s">
        <v>132</v>
      </c>
      <c r="Q29" s="21" t="s">
        <v>236</v>
      </c>
      <c r="R29" s="32" t="n">
        <v>46254</v>
      </c>
      <c r="S29" s="32" t="n">
        <v>46258</v>
      </c>
      <c r="T29" s="20"/>
      <c r="U29" s="21"/>
      <c r="V29" s="32"/>
      <c r="W29" s="32"/>
      <c r="X29" s="20"/>
      <c r="Y29" s="21"/>
      <c r="Z29" s="32"/>
      <c r="AA29" s="32"/>
      <c r="AB29" s="33" t="n">
        <f aca="false">IFERROR((IF(L29&lt;&gt;"",IF(M29="已完成",1,IF(M29="进行中",0.5,0))*15%,0)+IF(P29&lt;&gt;"",IF(Q29="已完成",1,IF(Q29="进行中",0.5,0))*35%,0)+IF(T29&lt;&gt;"",IF(U29="已完成",1,IF(U29="进行中",0.5,0))*30%,0)+IF(X29&lt;&gt;"",IF(Y29="已完成",1,IF(Y29="进行中",0.5,0))*20%,0))/(IF(L29&lt;&gt;"",15%,0)+IF(P29&lt;&gt;"",35%,0)+IF(T29&lt;&gt;"",30%,0)+IF(X29&lt;&gt;"",20%,0)),0)</f>
        <v>0</v>
      </c>
      <c r="AC29" s="21" t="str">
        <f aca="false">IF($A29="","",IF(G29="已完成","正常",IF(G29="暂停","暂停",IF(J29="","日期缺失",IF(J29&lt;_数据接口!$B$7,"已延期",IF(J29&lt;=_数据接口!$B$7+7,"临近到期","正常"))))))</f>
        <v>已延期</v>
      </c>
      <c r="AD29" s="21"/>
      <c r="AE29" s="21"/>
      <c r="AF29" s="36"/>
      <c r="AG29" s="32"/>
      <c r="AH29" s="34" t="str">
        <f aca="false">IF(OR($A29="",J29="",AG29=""),"",AG29-J29)</f>
        <v/>
      </c>
    </row>
    <row r="30" customFormat="false" ht="31.5" hidden="false" customHeight="true" outlineLevel="0" collapsed="false">
      <c r="A30" s="20" t="s">
        <v>275</v>
      </c>
      <c r="B30" s="25"/>
      <c r="C30" s="25"/>
      <c r="D30" s="38"/>
      <c r="E30" s="21" t="s">
        <v>276</v>
      </c>
      <c r="F30" s="20" t="s">
        <v>101</v>
      </c>
      <c r="G30" s="21" t="str">
        <f aca="false">IF(OR(M30="暂停",M30="挂起",Q30="暂停",Q30="挂起",U30="暂停",U30="挂起",Y30="暂停",Y30="挂起"),"暂停",IF(COUNTA(L30,P30,T30,X30)=0,"未分配",IF(IF(L30&lt;&gt;"",M30="已完成",0)+IF(P30&lt;&gt;"",Q30="已完成",0)+IF(T30&lt;&gt;"",U30="已完成",0)+IF(X30&lt;&gt;"",Y30="已完成",0)=COUNTA(L30,P30,T30,X30),"已完成",IF(IF(L30&lt;&gt;"",M30="进行中",0)+IF(P30&lt;&gt;"",Q30="进行中",0)+IF(T30&lt;&gt;"",U30="进行中",0)+IF(X30&lt;&gt;"",Y30="进行中",0)&gt;0,"进行中",IF(IF(L30&lt;&gt;"",M30="待确认",0)+IF(P30&lt;&gt;"",Q30="待确认",0)+IF(T30&lt;&gt;"",U30="待确认",0)+IF(X30&lt;&gt;"",Y30="待确认",0)&gt;0,"待确认","未开始")))))</f>
        <v>待确认</v>
      </c>
      <c r="H30" s="20" t="str">
        <f aca="false">IF(L30&lt;&gt;"",L30,IF(P30&lt;&gt;"",P30,IF(T30&lt;&gt;"",T30,X30)))</f>
        <v>高级测试人员、中级测试人员</v>
      </c>
      <c r="I30" s="32" t="n">
        <f aca="false">IF(COUNT(N30,R30,V30,Z30)=0,"",MIN(N30,R30,V30,Z30))</f>
        <v>46259</v>
      </c>
      <c r="J30" s="32" t="n">
        <f aca="false">IF(COUNT(O30,S30,W30,AA30)=0,"",MAX(O30,S30,W30,AA30))</f>
        <v>46263</v>
      </c>
      <c r="K30" s="32" t="n">
        <v>46290</v>
      </c>
      <c r="L30" s="20"/>
      <c r="M30" s="21"/>
      <c r="N30" s="32"/>
      <c r="O30" s="32"/>
      <c r="P30" s="20"/>
      <c r="Q30" s="21"/>
      <c r="R30" s="32"/>
      <c r="S30" s="32"/>
      <c r="T30" s="20"/>
      <c r="U30" s="21"/>
      <c r="V30" s="32"/>
      <c r="W30" s="32"/>
      <c r="X30" s="21" t="s">
        <v>148</v>
      </c>
      <c r="Y30" s="21" t="s">
        <v>236</v>
      </c>
      <c r="Z30" s="32" t="n">
        <v>46259</v>
      </c>
      <c r="AA30" s="32" t="n">
        <v>46263</v>
      </c>
      <c r="AB30" s="33" t="n">
        <f aca="false">IFERROR((IF(L30&lt;&gt;"",IF(M30="已完成",1,IF(M30="进行中",0.5,0))*15%,0)+IF(P30&lt;&gt;"",IF(Q30="已完成",1,IF(Q30="进行中",0.5,0))*35%,0)+IF(T30&lt;&gt;"",IF(U30="已完成",1,IF(U30="进行中",0.5,0))*30%,0)+IF(X30&lt;&gt;"",IF(Y30="已完成",1,IF(Y30="进行中",0.5,0))*20%,0))/(IF(L30&lt;&gt;"",15%,0)+IF(P30&lt;&gt;"",35%,0)+IF(T30&lt;&gt;"",30%,0)+IF(X30&lt;&gt;"",20%,0)),0)</f>
        <v>0</v>
      </c>
      <c r="AC30" s="21" t="str">
        <f aca="false">IF($A30="","",IF(G30="已完成","正常",IF(G30="暂停","暂停",IF(J30="","日期缺失",IF(J30&lt;_数据接口!$B$7,"已延期",IF(J30&lt;=_数据接口!$B$7+7,"临近到期","正常"))))))</f>
        <v>已延期</v>
      </c>
      <c r="AD30" s="21"/>
      <c r="AE30" s="21"/>
      <c r="AF30" s="36"/>
      <c r="AG30" s="32"/>
      <c r="AH30" s="34" t="str">
        <f aca="false">IF(OR($A30="",J30="",AG30=""),"",AG30-J30)</f>
        <v/>
      </c>
    </row>
    <row r="31" customFormat="false" ht="31.5" hidden="false" customHeight="true" outlineLevel="0" collapsed="false">
      <c r="A31" s="20" t="s">
        <v>277</v>
      </c>
      <c r="B31" s="25"/>
      <c r="C31" s="25"/>
      <c r="D31" s="25" t="s">
        <v>278</v>
      </c>
      <c r="E31" s="21" t="s">
        <v>279</v>
      </c>
      <c r="F31" s="20" t="s">
        <v>101</v>
      </c>
      <c r="G31" s="21" t="str">
        <f aca="false">IF(OR(M31="暂停",M31="挂起",Q31="暂停",Q31="挂起",U31="暂停",U31="挂起",Y31="暂停",Y31="挂起"),"暂停",IF(COUNTA(L31,P31,T31,X31)=0,"未分配",IF(IF(L31&lt;&gt;"",M31="已完成",0)+IF(P31&lt;&gt;"",Q31="已完成",0)+IF(T31&lt;&gt;"",U31="已完成",0)+IF(X31&lt;&gt;"",Y31="已完成",0)=COUNTA(L31,P31,T31,X31),"已完成",IF(IF(L31&lt;&gt;"",M31="进行中",0)+IF(P31&lt;&gt;"",Q31="进行中",0)+IF(T31&lt;&gt;"",U31="进行中",0)+IF(X31&lt;&gt;"",Y31="进行中",0)&gt;0,"进行中",IF(IF(L31&lt;&gt;"",M31="待确认",0)+IF(P31&lt;&gt;"",Q31="待确认",0)+IF(T31&lt;&gt;"",U31="待确认",0)+IF(X31&lt;&gt;"",Y31="待确认",0)&gt;0,"待确认","未开始")))))</f>
        <v>待确认</v>
      </c>
      <c r="H31" s="20" t="str">
        <f aca="false">IF(L31&lt;&gt;"",L31,IF(P31&lt;&gt;"",P31,IF(T31&lt;&gt;"",T31,X31)))</f>
        <v>中级开发人员</v>
      </c>
      <c r="I31" s="32" t="n">
        <f aca="false">IF(COUNT(N31,R31,V31,Z31)=0,"",MIN(N31,R31,V31,Z31))</f>
        <v>46264</v>
      </c>
      <c r="J31" s="32" t="n">
        <f aca="false">IF(COUNT(O31,S31,W31,AA31)=0,"",MAX(O31,S31,W31,AA31))</f>
        <v>46269</v>
      </c>
      <c r="K31" s="32" t="n">
        <v>46290</v>
      </c>
      <c r="L31" s="20"/>
      <c r="M31" s="21"/>
      <c r="N31" s="32"/>
      <c r="O31" s="32"/>
      <c r="P31" s="20"/>
      <c r="Q31" s="21"/>
      <c r="R31" s="32"/>
      <c r="S31" s="32"/>
      <c r="T31" s="21" t="s">
        <v>280</v>
      </c>
      <c r="U31" s="21" t="s">
        <v>236</v>
      </c>
      <c r="V31" s="32" t="n">
        <v>46264</v>
      </c>
      <c r="W31" s="32" t="n">
        <v>46269</v>
      </c>
      <c r="X31" s="20"/>
      <c r="Y31" s="21"/>
      <c r="Z31" s="32"/>
      <c r="AA31" s="32"/>
      <c r="AB31" s="33" t="n">
        <f aca="false">IFERROR((IF(L31&lt;&gt;"",IF(M31="已完成",1,IF(M31="进行中",0.5,0))*15%,0)+IF(P31&lt;&gt;"",IF(Q31="已完成",1,IF(Q31="进行中",0.5,0))*35%,0)+IF(T31&lt;&gt;"",IF(U31="已完成",1,IF(U31="进行中",0.5,0))*30%,0)+IF(X31&lt;&gt;"",IF(Y31="已完成",1,IF(Y31="进行中",0.5,0))*20%,0))/(IF(L31&lt;&gt;"",15%,0)+IF(P31&lt;&gt;"",35%,0)+IF(T31&lt;&gt;"",30%,0)+IF(X31&lt;&gt;"",20%,0)),0)</f>
        <v>0</v>
      </c>
      <c r="AC31" s="21" t="str">
        <f aca="false">IF($A31="","",IF(G31="已完成","正常",IF(G31="暂停","暂停",IF(J31="","日期缺失",IF(J31&lt;_数据接口!$B$7,"已延期",IF(J31&lt;=_数据接口!$B$7+7,"临近到期","正常"))))))</f>
        <v>已延期</v>
      </c>
      <c r="AD31" s="21"/>
      <c r="AE31" s="21"/>
      <c r="AF31" s="36"/>
      <c r="AG31" s="32"/>
      <c r="AH31" s="34" t="str">
        <f aca="false">IF(OR($A31="",J31="",AG31=""),"",AG31-J31)</f>
        <v/>
      </c>
    </row>
    <row r="32" customFormat="false" ht="31.5" hidden="false" customHeight="true" outlineLevel="0" collapsed="false">
      <c r="A32" s="20" t="s">
        <v>281</v>
      </c>
      <c r="B32" s="25"/>
      <c r="C32" s="25"/>
      <c r="D32" s="25"/>
      <c r="E32" s="21" t="s">
        <v>282</v>
      </c>
      <c r="F32" s="20" t="s">
        <v>101</v>
      </c>
      <c r="G32" s="21" t="str">
        <f aca="false">IF(OR(M32="暂停",M32="挂起",Q32="暂停",Q32="挂起",U32="暂停",U32="挂起",Y32="暂停",Y32="挂起"),"暂停",IF(COUNTA(L32,P32,T32,X32)=0,"未分配",IF(IF(L32&lt;&gt;"",M32="已完成",0)+IF(P32&lt;&gt;"",Q32="已完成",0)+IF(T32&lt;&gt;"",U32="已完成",0)+IF(X32&lt;&gt;"",Y32="已完成",0)=COUNTA(L32,P32,T32,X32),"已完成",IF(IF(L32&lt;&gt;"",M32="进行中",0)+IF(P32&lt;&gt;"",Q32="进行中",0)+IF(T32&lt;&gt;"",U32="进行中",0)+IF(X32&lt;&gt;"",Y32="进行中",0)&gt;0,"进行中",IF(IF(L32&lt;&gt;"",M32="待确认",0)+IF(P32&lt;&gt;"",Q32="待确认",0)+IF(T32&lt;&gt;"",U32="待确认",0)+IF(X32&lt;&gt;"",Y32="待确认",0)&gt;0,"待确认","未开始")))))</f>
        <v>待确认</v>
      </c>
      <c r="H32" s="20" t="str">
        <f aca="false">IF(L32&lt;&gt;"",L32,IF(P32&lt;&gt;"",P32,IF(T32&lt;&gt;"",T32,X32)))</f>
        <v>高级测试人员、中级测试人员</v>
      </c>
      <c r="I32" s="32" t="n">
        <f aca="false">IF(COUNT(N32,R32,V32,Z32)=0,"",MIN(N32,R32,V32,Z32))</f>
        <v>46270</v>
      </c>
      <c r="J32" s="32" t="n">
        <f aca="false">IF(COUNT(O32,S32,W32,AA32)=0,"",MAX(O32,S32,W32,AA32))</f>
        <v>46274</v>
      </c>
      <c r="K32" s="32" t="n">
        <v>46290</v>
      </c>
      <c r="L32" s="20"/>
      <c r="M32" s="21"/>
      <c r="N32" s="32"/>
      <c r="O32" s="32"/>
      <c r="P32" s="20"/>
      <c r="Q32" s="21"/>
      <c r="R32" s="32"/>
      <c r="S32" s="32"/>
      <c r="T32" s="20"/>
      <c r="U32" s="21"/>
      <c r="V32" s="32"/>
      <c r="W32" s="32"/>
      <c r="X32" s="21" t="s">
        <v>148</v>
      </c>
      <c r="Y32" s="21" t="s">
        <v>236</v>
      </c>
      <c r="Z32" s="32" t="n">
        <v>46270</v>
      </c>
      <c r="AA32" s="32" t="n">
        <v>46274</v>
      </c>
      <c r="AB32" s="33" t="n">
        <f aca="false">IFERROR((IF(L32&lt;&gt;"",IF(M32="已完成",1,IF(M32="进行中",0.5,0))*15%,0)+IF(P32&lt;&gt;"",IF(Q32="已完成",1,IF(Q32="进行中",0.5,0))*35%,0)+IF(T32&lt;&gt;"",IF(U32="已完成",1,IF(U32="进行中",0.5,0))*30%,0)+IF(X32&lt;&gt;"",IF(Y32="已完成",1,IF(Y32="进行中",0.5,0))*20%,0))/(IF(L32&lt;&gt;"",15%,0)+IF(P32&lt;&gt;"",35%,0)+IF(T32&lt;&gt;"",30%,0)+IF(X32&lt;&gt;"",20%,0)),0)</f>
        <v>0</v>
      </c>
      <c r="AC32" s="21" t="str">
        <f aca="false">IF($A32="","",IF(G32="已完成","正常",IF(G32="暂停","暂停",IF(J32="","日期缺失",IF(J32&lt;_数据接口!$B$7,"已延期",IF(J32&lt;=_数据接口!$B$7+7,"临近到期","正常"))))))</f>
        <v>已延期</v>
      </c>
      <c r="AD32" s="21"/>
      <c r="AE32" s="21"/>
      <c r="AF32" s="36"/>
      <c r="AG32" s="32"/>
      <c r="AH32" s="34" t="str">
        <f aca="false">IF(OR($A32="",J32="",AG32=""),"",AG32-J32)</f>
        <v/>
      </c>
    </row>
    <row r="33" customFormat="false" ht="31.5" hidden="false" customHeight="true" outlineLevel="0" collapsed="false">
      <c r="A33" s="20" t="s">
        <v>283</v>
      </c>
      <c r="B33" s="25"/>
      <c r="C33" s="25"/>
      <c r="D33" s="38" t="s">
        <v>284</v>
      </c>
      <c r="E33" s="21" t="s">
        <v>285</v>
      </c>
      <c r="F33" s="20" t="s">
        <v>101</v>
      </c>
      <c r="G33" s="21" t="str">
        <f aca="false">IF(OR(M33="暂停",M33="挂起",Q33="暂停",Q33="挂起",U33="暂停",U33="挂起",Y33="暂停",Y33="挂起"),"暂停",IF(COUNTA(L33,P33,T33,X33)=0,"未分配",IF(IF(L33&lt;&gt;"",M33="已完成",0)+IF(P33&lt;&gt;"",Q33="已完成",0)+IF(T33&lt;&gt;"",U33="已完成",0)+IF(X33&lt;&gt;"",Y33="已完成",0)=COUNTA(L33,P33,T33,X33),"已完成",IF(IF(L33&lt;&gt;"",M33="进行中",0)+IF(P33&lt;&gt;"",Q33="进行中",0)+IF(T33&lt;&gt;"",U33="进行中",0)+IF(X33&lt;&gt;"",Y33="进行中",0)&gt;0,"进行中",IF(IF(L33&lt;&gt;"",M33="待确认",0)+IF(P33&lt;&gt;"",Q33="待确认",0)+IF(T33&lt;&gt;"",U33="待确认",0)+IF(X33&lt;&gt;"",Y33="待确认",0)&gt;0,"待确认","未开始")))))</f>
        <v>待确认</v>
      </c>
      <c r="H33" s="20" t="str">
        <f aca="false">IF(L33&lt;&gt;"",L33,IF(P33&lt;&gt;"",P33,IF(T33&lt;&gt;"",T33,X33)))</f>
        <v>高级开发人员</v>
      </c>
      <c r="I33" s="32" t="n">
        <f aca="false">IF(COUNT(N33,R33,V33,Z33)=0,"",MIN(N33,R33,V33,Z33))</f>
        <v>46275</v>
      </c>
      <c r="J33" s="32" t="n">
        <f aca="false">IF(COUNT(O33,S33,W33,AA33)=0,"",MAX(O33,S33,W33,AA33))</f>
        <v>46279</v>
      </c>
      <c r="K33" s="32" t="n">
        <v>46290</v>
      </c>
      <c r="L33" s="20"/>
      <c r="M33" s="21"/>
      <c r="N33" s="32"/>
      <c r="O33" s="32"/>
      <c r="P33" s="21" t="s">
        <v>132</v>
      </c>
      <c r="Q33" s="21" t="s">
        <v>236</v>
      </c>
      <c r="R33" s="32" t="n">
        <v>46275</v>
      </c>
      <c r="S33" s="32" t="n">
        <v>46279</v>
      </c>
      <c r="T33" s="20"/>
      <c r="U33" s="21"/>
      <c r="V33" s="32"/>
      <c r="W33" s="32"/>
      <c r="X33" s="20"/>
      <c r="Y33" s="21"/>
      <c r="Z33" s="32"/>
      <c r="AA33" s="32"/>
      <c r="AB33" s="33" t="n">
        <f aca="false">IFERROR((IF(L33&lt;&gt;"",IF(M33="已完成",1,IF(M33="进行中",0.5,0))*15%,0)+IF(P33&lt;&gt;"",IF(Q33="已完成",1,IF(Q33="进行中",0.5,0))*35%,0)+IF(T33&lt;&gt;"",IF(U33="已完成",1,IF(U33="进行中",0.5,0))*30%,0)+IF(X33&lt;&gt;"",IF(Y33="已完成",1,IF(Y33="进行中",0.5,0))*20%,0))/(IF(L33&lt;&gt;"",15%,0)+IF(P33&lt;&gt;"",35%,0)+IF(T33&lt;&gt;"",30%,0)+IF(X33&lt;&gt;"",20%,0)),0)</f>
        <v>0</v>
      </c>
      <c r="AC33" s="21" t="str">
        <f aca="false">IF($A33="","",IF(G33="已完成","正常",IF(G33="暂停","暂停",IF(J33="","日期缺失",IF(J33&lt;_数据接口!$B$7,"已延期",IF(J33&lt;=_数据接口!$B$7+7,"临近到期","正常"))))))</f>
        <v>已延期</v>
      </c>
      <c r="AD33" s="21"/>
      <c r="AE33" s="21"/>
      <c r="AF33" s="36"/>
      <c r="AG33" s="32"/>
      <c r="AH33" s="34" t="str">
        <f aca="false">IF(OR($A33="",J33="",AG33=""),"",AG33-J33)</f>
        <v/>
      </c>
    </row>
    <row r="34" customFormat="false" ht="31.5" hidden="false" customHeight="true" outlineLevel="0" collapsed="false">
      <c r="A34" s="20" t="s">
        <v>286</v>
      </c>
      <c r="B34" s="25"/>
      <c r="C34" s="25"/>
      <c r="D34" s="38"/>
      <c r="E34" s="21" t="s">
        <v>287</v>
      </c>
      <c r="F34" s="20" t="s">
        <v>101</v>
      </c>
      <c r="G34" s="21" t="str">
        <f aca="false">IF(OR(M34="暂停",M34="挂起",Q34="暂停",Q34="挂起",U34="暂停",U34="挂起",Y34="暂停",Y34="挂起"),"暂停",IF(COUNTA(L34,P34,T34,X34)=0,"未分配",IF(IF(L34&lt;&gt;"",M34="已完成",0)+IF(P34&lt;&gt;"",Q34="已完成",0)+IF(T34&lt;&gt;"",U34="已完成",0)+IF(X34&lt;&gt;"",Y34="已完成",0)=COUNTA(L34,P34,T34,X34),"已完成",IF(IF(L34&lt;&gt;"",M34="进行中",0)+IF(P34&lt;&gt;"",Q34="进行中",0)+IF(T34&lt;&gt;"",U34="进行中",0)+IF(X34&lt;&gt;"",Y34="进行中",0)&gt;0,"进行中",IF(IF(L34&lt;&gt;"",M34="待确认",0)+IF(P34&lt;&gt;"",Q34="待确认",0)+IF(T34&lt;&gt;"",U34="待确认",0)+IF(X34&lt;&gt;"",Y34="待确认",0)&gt;0,"待确认","未开始")))))</f>
        <v>进行中</v>
      </c>
      <c r="H34" s="20" t="str">
        <f aca="false">IF(L34&lt;&gt;"",L34,IF(P34&lt;&gt;"",P34,IF(T34&lt;&gt;"",T34,X34)))</f>
        <v>高级测试人员、中级测试人员</v>
      </c>
      <c r="I34" s="32" t="n">
        <f aca="false">IF(COUNT(N34,R34,V34,Z34)=0,"",MIN(N34,R34,V34,Z34))</f>
        <v>46280</v>
      </c>
      <c r="J34" s="32" t="n">
        <f aca="false">IF(COUNT(O34,S34,W34,AA34)=0,"",MAX(O34,S34,W34,AA34))</f>
        <v>46284</v>
      </c>
      <c r="K34" s="32" t="n">
        <v>46290</v>
      </c>
      <c r="L34" s="20"/>
      <c r="M34" s="21"/>
      <c r="N34" s="32"/>
      <c r="O34" s="32"/>
      <c r="P34" s="20"/>
      <c r="Q34" s="21"/>
      <c r="R34" s="32"/>
      <c r="S34" s="32"/>
      <c r="T34" s="20"/>
      <c r="U34" s="21"/>
      <c r="V34" s="32"/>
      <c r="W34" s="32"/>
      <c r="X34" s="21" t="s">
        <v>148</v>
      </c>
      <c r="Y34" s="21" t="s">
        <v>87</v>
      </c>
      <c r="Z34" s="32" t="n">
        <v>46280</v>
      </c>
      <c r="AA34" s="32" t="n">
        <v>46284</v>
      </c>
      <c r="AB34" s="33" t="n">
        <f aca="false">IFERROR((IF(L34&lt;&gt;"",IF(M34="已完成",1,IF(M34="进行中",0.5,0))*15%,0)+IF(P34&lt;&gt;"",IF(Q34="已完成",1,IF(Q34="进行中",0.5,0))*35%,0)+IF(T34&lt;&gt;"",IF(U34="已完成",1,IF(U34="进行中",0.5,0))*30%,0)+IF(X34&lt;&gt;"",IF(Y34="已完成",1,IF(Y34="进行中",0.5,0))*20%,0))/(IF(L34&lt;&gt;"",15%,0)+IF(P34&lt;&gt;"",35%,0)+IF(T34&lt;&gt;"",30%,0)+IF(X34&lt;&gt;"",20%,0)),0)</f>
        <v>0.5</v>
      </c>
      <c r="AC34" s="21" t="str">
        <f aca="false">IF($A34="","",IF(G34="已完成","正常",IF(G34="暂停","暂停",IF(J34="","日期缺失",IF(J34&lt;_数据接口!$B$7,"已延期",IF(J34&lt;=_数据接口!$B$7+7,"临近到期","正常"))))))</f>
        <v>临近到期</v>
      </c>
      <c r="AD34" s="21"/>
      <c r="AE34" s="21"/>
      <c r="AF34" s="37" t="s">
        <v>219</v>
      </c>
      <c r="AG34" s="32"/>
      <c r="AH34" s="34" t="str">
        <f aca="false">IF(OR($A34="",J34="",AG34=""),"",AG34-J34)</f>
        <v/>
      </c>
    </row>
    <row r="35" customFormat="false" ht="31.5" hidden="false" customHeight="true" outlineLevel="0" collapsed="false">
      <c r="A35" s="20" t="s">
        <v>288</v>
      </c>
      <c r="B35" s="25"/>
      <c r="C35" s="25"/>
      <c r="D35" s="20" t="s">
        <v>289</v>
      </c>
      <c r="E35" s="21" t="s">
        <v>290</v>
      </c>
      <c r="F35" s="20" t="s">
        <v>101</v>
      </c>
      <c r="G35" s="21" t="str">
        <f aca="false">IF(OR(M35="暂停",M35="挂起",Q35="暂停",Q35="挂起",U35="暂停",U35="挂起",Y35="暂停",Y35="挂起"),"暂停",IF(COUNTA(L35,P35,T35,X35)=0,"未分配",IF(IF(L35&lt;&gt;"",M35="已完成",0)+IF(P35&lt;&gt;"",Q35="已完成",0)+IF(T35&lt;&gt;"",U35="已完成",0)+IF(X35&lt;&gt;"",Y35="已完成",0)=COUNTA(L35,P35,T35,X35),"已完成",IF(IF(L35&lt;&gt;"",M35="进行中",0)+IF(P35&lt;&gt;"",Q35="进行中",0)+IF(T35&lt;&gt;"",U35="进行中",0)+IF(X35&lt;&gt;"",Y35="进行中",0)&gt;0,"进行中",IF(IF(L35&lt;&gt;"",M35="待确认",0)+IF(P35&lt;&gt;"",Q35="待确认",0)+IF(T35&lt;&gt;"",U35="待确认",0)+IF(X35&lt;&gt;"",Y35="待确认",0)&gt;0,"待确认","未开始")))))</f>
        <v>未开始</v>
      </c>
      <c r="H35" s="20" t="str">
        <f aca="false">IF(L35&lt;&gt;"",L35,IF(P35&lt;&gt;"",P35,IF(T35&lt;&gt;"",T35,X35)))</f>
        <v>项目经理</v>
      </c>
      <c r="I35" s="32" t="n">
        <f aca="false">IF(COUNT(N35,R35,V35,Z35)=0,"",MIN(N35,R35,V35,Z35))</f>
        <v>46285</v>
      </c>
      <c r="J35" s="32" t="n">
        <f aca="false">IF(COUNT(O35,S35,W35,AA35)=0,"",MAX(O35,S35,W35,AA35))</f>
        <v>46290</v>
      </c>
      <c r="K35" s="32" t="n">
        <v>46290</v>
      </c>
      <c r="L35" s="21" t="s">
        <v>73</v>
      </c>
      <c r="M35" s="21" t="s">
        <v>112</v>
      </c>
      <c r="N35" s="32" t="n">
        <v>46285</v>
      </c>
      <c r="O35" s="32" t="n">
        <v>46290</v>
      </c>
      <c r="P35" s="20"/>
      <c r="Q35" s="21"/>
      <c r="R35" s="32"/>
      <c r="S35" s="32"/>
      <c r="T35" s="20"/>
      <c r="U35" s="21"/>
      <c r="V35" s="32"/>
      <c r="W35" s="32"/>
      <c r="X35" s="20"/>
      <c r="Y35" s="21"/>
      <c r="Z35" s="32"/>
      <c r="AA35" s="32"/>
      <c r="AB35" s="33" t="n">
        <f aca="false">IFERROR((IF(L35&lt;&gt;"",IF(M35="已完成",1,IF(M35="进行中",0.5,0))*15%,0)+IF(P35&lt;&gt;"",IF(Q35="已完成",1,IF(Q35="进行中",0.5,0))*35%,0)+IF(T35&lt;&gt;"",IF(U35="已完成",1,IF(U35="进行中",0.5,0))*30%,0)+IF(X35&lt;&gt;"",IF(Y35="已完成",1,IF(Y35="进行中",0.5,0))*20%,0))/(IF(L35&lt;&gt;"",15%,0)+IF(P35&lt;&gt;"",35%,0)+IF(T35&lt;&gt;"",30%,0)+IF(X35&lt;&gt;"",20%,0)),0)</f>
        <v>0</v>
      </c>
      <c r="AC35" s="21" t="str">
        <f aca="false">IF($A35="","",IF(G35="已完成","正常",IF(G35="暂停","暂停",IF(J35="","日期缺失",IF(J35&lt;_数据接口!$B$7,"已延期",IF(J35&lt;=_数据接口!$B$7+7,"临近到期","正常"))))))</f>
        <v>正常</v>
      </c>
      <c r="AD35" s="21"/>
      <c r="AE35" s="21" t="s">
        <v>291</v>
      </c>
      <c r="AF35" s="36"/>
      <c r="AG35" s="32"/>
      <c r="AH35" s="34" t="str">
        <f aca="false">IF(OR($A35="",J35="",AG35=""),"",AG35-J35)</f>
        <v/>
      </c>
    </row>
    <row r="36" customFormat="false" ht="31.5" hidden="false" customHeight="true" outlineLevel="0" collapsed="false">
      <c r="A36" s="20" t="s">
        <v>292</v>
      </c>
      <c r="B36" s="25" t="s">
        <v>107</v>
      </c>
      <c r="C36" s="25" t="s">
        <v>108</v>
      </c>
      <c r="D36" s="35" t="s">
        <v>293</v>
      </c>
      <c r="E36" s="21" t="s">
        <v>294</v>
      </c>
      <c r="F36" s="20" t="s">
        <v>106</v>
      </c>
      <c r="G36" s="21" t="str">
        <f aca="false">IF(OR(M36="暂停",M36="挂起",Q36="暂停",Q36="挂起",U36="暂停",U36="挂起",Y36="暂停",Y36="挂起"),"暂停",IF(COUNTA(L36,P36,T36,X36)=0,"未分配",IF(IF(L36&lt;&gt;"",M36="已完成",0)+IF(P36&lt;&gt;"",Q36="已完成",0)+IF(T36&lt;&gt;"",U36="已完成",0)+IF(X36&lt;&gt;"",Y36="已完成",0)=COUNTA(L36,P36,T36,X36),"已完成",IF(IF(L36&lt;&gt;"",M36="进行中",0)+IF(P36&lt;&gt;"",Q36="进行中",0)+IF(T36&lt;&gt;"",U36="进行中",0)+IF(X36&lt;&gt;"",Y36="进行中",0)&gt;0,"进行中",IF(IF(L36&lt;&gt;"",M36="待确认",0)+IF(P36&lt;&gt;"",Q36="待确认",0)+IF(T36&lt;&gt;"",U36="待确认",0)+IF(X36&lt;&gt;"",Y36="待确认",0)&gt;0,"待确认","未开始")))))</f>
        <v>未开始</v>
      </c>
      <c r="H36" s="20" t="str">
        <f aca="false">IF(L36&lt;&gt;"",L36,IF(P36&lt;&gt;"",P36,IF(T36&lt;&gt;"",T36,X36)))</f>
        <v>项目集经理</v>
      </c>
      <c r="I36" s="32" t="n">
        <f aca="false">IF(COUNT(N36,R36,V36,Z36)=0,"",MIN(N36,R36,V36,Z36))</f>
        <v>46296</v>
      </c>
      <c r="J36" s="32" t="n">
        <f aca="false">IF(COUNT(O36,S36,W36,AA36)=0,"",MAX(O36,S36,W36,AA36))</f>
        <v>46297</v>
      </c>
      <c r="K36" s="32" t="n">
        <v>46311</v>
      </c>
      <c r="L36" s="21" t="s">
        <v>110</v>
      </c>
      <c r="M36" s="21" t="s">
        <v>112</v>
      </c>
      <c r="N36" s="32" t="n">
        <v>46296</v>
      </c>
      <c r="O36" s="32" t="n">
        <v>46297</v>
      </c>
      <c r="P36" s="20"/>
      <c r="Q36" s="21"/>
      <c r="R36" s="32"/>
      <c r="S36" s="32"/>
      <c r="T36" s="20"/>
      <c r="U36" s="21"/>
      <c r="V36" s="32"/>
      <c r="W36" s="32"/>
      <c r="X36" s="20"/>
      <c r="Y36" s="21"/>
      <c r="Z36" s="32"/>
      <c r="AA36" s="32"/>
      <c r="AB36" s="33" t="n">
        <f aca="false">IFERROR((IF(L36&lt;&gt;"",IF(M36="已完成",1,IF(M36="进行中",0.5,0))*15%,0)+IF(P36&lt;&gt;"",IF(Q36="已完成",1,IF(Q36="进行中",0.5,0))*35%,0)+IF(T36&lt;&gt;"",IF(U36="已完成",1,IF(U36="进行中",0.5,0))*30%,0)+IF(X36&lt;&gt;"",IF(Y36="已完成",1,IF(Y36="进行中",0.5,0))*20%,0))/(IF(L36&lt;&gt;"",15%,0)+IF(P36&lt;&gt;"",35%,0)+IF(T36&lt;&gt;"",30%,0)+IF(X36&lt;&gt;"",20%,0)),0)</f>
        <v>0</v>
      </c>
      <c r="AC36" s="21" t="str">
        <f aca="false">IF($A36="","",IF(G36="已完成","正常",IF(G36="暂停","暂停",IF(J36="","日期缺失",IF(J36&lt;_数据接口!$B$7,"已延期",IF(J36&lt;=_数据接口!$B$7+7,"临近到期","正常"))))))</f>
        <v>正常</v>
      </c>
      <c r="AD36" s="21"/>
      <c r="AE36" s="21"/>
      <c r="AF36" s="36"/>
      <c r="AG36" s="32"/>
      <c r="AH36" s="34" t="str">
        <f aca="false">IF(OR($A36="",J36="",AG36=""),"",AG36-J36)</f>
        <v/>
      </c>
    </row>
    <row r="37" customFormat="false" ht="31.5" hidden="false" customHeight="true" outlineLevel="0" collapsed="false">
      <c r="A37" s="20" t="s">
        <v>295</v>
      </c>
      <c r="B37" s="25"/>
      <c r="C37" s="25"/>
      <c r="D37" s="35"/>
      <c r="E37" s="21" t="s">
        <v>296</v>
      </c>
      <c r="F37" s="20" t="s">
        <v>106</v>
      </c>
      <c r="G37" s="21" t="str">
        <f aca="false">IF(OR(M37="暂停",M37="挂起",Q37="暂停",Q37="挂起",U37="暂停",U37="挂起",Y37="暂停",Y37="挂起"),"暂停",IF(COUNTA(L37,P37,T37,X37)=0,"未分配",IF(IF(L37&lt;&gt;"",M37="已完成",0)+IF(P37&lt;&gt;"",Q37="已完成",0)+IF(T37&lt;&gt;"",U37="已完成",0)+IF(X37&lt;&gt;"",Y37="已完成",0)=COUNTA(L37,P37,T37,X37),"已完成",IF(IF(L37&lt;&gt;"",M37="进行中",0)+IF(P37&lt;&gt;"",Q37="进行中",0)+IF(T37&lt;&gt;"",U37="进行中",0)+IF(X37&lt;&gt;"",Y37="进行中",0)&gt;0,"进行中",IF(IF(L37&lt;&gt;"",M37="待确认",0)+IF(P37&lt;&gt;"",Q37="待确认",0)+IF(T37&lt;&gt;"",U37="待确认",0)+IF(X37&lt;&gt;"",Y37="待确认",0)&gt;0,"待确认","未开始")))))</f>
        <v>未开始</v>
      </c>
      <c r="H37" s="20" t="str">
        <f aca="false">IF(L37&lt;&gt;"",L37,IF(P37&lt;&gt;"",P37,IF(T37&lt;&gt;"",T37,X37)))</f>
        <v>项目经理</v>
      </c>
      <c r="I37" s="32" t="n">
        <f aca="false">IF(COUNT(N37,R37,V37,Z37)=0,"",MIN(N37,R37,V37,Z37))</f>
        <v>46298</v>
      </c>
      <c r="J37" s="32" t="n">
        <f aca="false">IF(COUNT(O37,S37,W37,AA37)=0,"",MAX(O37,S37,W37,AA37))</f>
        <v>46300</v>
      </c>
      <c r="K37" s="32" t="n">
        <v>46311</v>
      </c>
      <c r="L37" s="21" t="s">
        <v>73</v>
      </c>
      <c r="M37" s="21" t="s">
        <v>112</v>
      </c>
      <c r="N37" s="32" t="n">
        <v>46298</v>
      </c>
      <c r="O37" s="32" t="n">
        <v>46300</v>
      </c>
      <c r="P37" s="20"/>
      <c r="Q37" s="21"/>
      <c r="R37" s="32"/>
      <c r="S37" s="32"/>
      <c r="T37" s="20"/>
      <c r="U37" s="21"/>
      <c r="V37" s="32"/>
      <c r="W37" s="32"/>
      <c r="X37" s="20"/>
      <c r="Y37" s="21"/>
      <c r="Z37" s="32"/>
      <c r="AA37" s="32"/>
      <c r="AB37" s="33" t="n">
        <f aca="false">IFERROR((IF(L37&lt;&gt;"",IF(M37="已完成",1,IF(M37="进行中",0.5,0))*15%,0)+IF(P37&lt;&gt;"",IF(Q37="已完成",1,IF(Q37="进行中",0.5,0))*35%,0)+IF(T37&lt;&gt;"",IF(U37="已完成",1,IF(U37="进行中",0.5,0))*30%,0)+IF(X37&lt;&gt;"",IF(Y37="已完成",1,IF(Y37="进行中",0.5,0))*20%,0))/(IF(L37&lt;&gt;"",15%,0)+IF(P37&lt;&gt;"",35%,0)+IF(T37&lt;&gt;"",30%,0)+IF(X37&lt;&gt;"",20%,0)),0)</f>
        <v>0</v>
      </c>
      <c r="AC37" s="21" t="str">
        <f aca="false">IF($A37="","",IF(G37="已完成","正常",IF(G37="暂停","暂停",IF(J37="","日期缺失",IF(J37&lt;_数据接口!$B$7,"已延期",IF(J37&lt;=_数据接口!$B$7+7,"临近到期","正常"))))))</f>
        <v>正常</v>
      </c>
      <c r="AD37" s="21"/>
      <c r="AE37" s="21"/>
      <c r="AF37" s="36"/>
      <c r="AG37" s="32"/>
      <c r="AH37" s="34" t="str">
        <f aca="false">IF(OR($A37="",J37="",AG37=""),"",AG37-J37)</f>
        <v/>
      </c>
    </row>
    <row r="38" customFormat="false" ht="31.5" hidden="false" customHeight="true" outlineLevel="0" collapsed="false">
      <c r="A38" s="20" t="s">
        <v>297</v>
      </c>
      <c r="B38" s="25"/>
      <c r="C38" s="25"/>
      <c r="D38" s="21" t="s">
        <v>298</v>
      </c>
      <c r="E38" s="21" t="s">
        <v>299</v>
      </c>
      <c r="F38" s="20" t="s">
        <v>106</v>
      </c>
      <c r="G38" s="21" t="str">
        <f aca="false">IF(OR(M38="暂停",M38="挂起",Q38="暂停",Q38="挂起",U38="暂停",U38="挂起",Y38="暂停",Y38="挂起"),"暂停",IF(COUNTA(L38,P38,T38,X38)=0,"未分配",IF(IF(L38&lt;&gt;"",M38="已完成",0)+IF(P38&lt;&gt;"",Q38="已完成",0)+IF(T38&lt;&gt;"",U38="已完成",0)+IF(X38&lt;&gt;"",Y38="已完成",0)=COUNTA(L38,P38,T38,X38),"已完成",IF(IF(L38&lt;&gt;"",M38="进行中",0)+IF(P38&lt;&gt;"",Q38="进行中",0)+IF(T38&lt;&gt;"",U38="进行中",0)+IF(X38&lt;&gt;"",Y38="进行中",0)&gt;0,"进行中",IF(IF(L38&lt;&gt;"",M38="待确认",0)+IF(P38&lt;&gt;"",Q38="待确认",0)+IF(T38&lt;&gt;"",U38="待确认",0)+IF(X38&lt;&gt;"",Y38="待确认",0)&gt;0,"待确认","未开始")))))</f>
        <v>未开始</v>
      </c>
      <c r="H38" s="20" t="str">
        <f aca="false">IF(L38&lt;&gt;"",L38,IF(P38&lt;&gt;"",P38,IF(T38&lt;&gt;"",T38,X38)))</f>
        <v>项目经理</v>
      </c>
      <c r="I38" s="32" t="n">
        <f aca="false">IF(COUNT(N38,R38,V38,Z38)=0,"",MIN(N38,R38,V38,Z38))</f>
        <v>46301</v>
      </c>
      <c r="J38" s="32" t="n">
        <f aca="false">IF(COUNT(O38,S38,W38,AA38)=0,"",MAX(O38,S38,W38,AA38))</f>
        <v>46303</v>
      </c>
      <c r="K38" s="32" t="n">
        <v>46311</v>
      </c>
      <c r="L38" s="21" t="s">
        <v>73</v>
      </c>
      <c r="M38" s="21" t="s">
        <v>112</v>
      </c>
      <c r="N38" s="32" t="n">
        <v>46301</v>
      </c>
      <c r="O38" s="32" t="n">
        <v>46303</v>
      </c>
      <c r="P38" s="20"/>
      <c r="Q38" s="21"/>
      <c r="R38" s="32"/>
      <c r="S38" s="32"/>
      <c r="T38" s="20"/>
      <c r="U38" s="21"/>
      <c r="V38" s="32"/>
      <c r="W38" s="32"/>
      <c r="X38" s="20"/>
      <c r="Y38" s="21"/>
      <c r="Z38" s="32"/>
      <c r="AA38" s="32"/>
      <c r="AB38" s="33" t="n">
        <f aca="false">IFERROR((IF(L38&lt;&gt;"",IF(M38="已完成",1,IF(M38="进行中",0.5,0))*15%,0)+IF(P38&lt;&gt;"",IF(Q38="已完成",1,IF(Q38="进行中",0.5,0))*35%,0)+IF(T38&lt;&gt;"",IF(U38="已完成",1,IF(U38="进行中",0.5,0))*30%,0)+IF(X38&lt;&gt;"",IF(Y38="已完成",1,IF(Y38="进行中",0.5,0))*20%,0))/(IF(L38&lt;&gt;"",15%,0)+IF(P38&lt;&gt;"",35%,0)+IF(T38&lt;&gt;"",30%,0)+IF(X38&lt;&gt;"",20%,0)),0)</f>
        <v>0</v>
      </c>
      <c r="AC38" s="21" t="str">
        <f aca="false">IF($A38="","",IF(G38="已完成","正常",IF(G38="暂停","暂停",IF(J38="","日期缺失",IF(J38&lt;_数据接口!$B$7,"已延期",IF(J38&lt;=_数据接口!$B$7+7,"临近到期","正常"))))))</f>
        <v>正常</v>
      </c>
      <c r="AD38" s="21"/>
      <c r="AE38" s="21" t="s">
        <v>300</v>
      </c>
      <c r="AF38" s="36"/>
      <c r="AG38" s="32"/>
      <c r="AH38" s="34" t="str">
        <f aca="false">IF(OR($A38="",J38="",AG38=""),"",AG38-J38)</f>
        <v/>
      </c>
    </row>
    <row r="39" customFormat="false" ht="31.5" hidden="false" customHeight="true" outlineLevel="0" collapsed="false">
      <c r="A39" s="20" t="s">
        <v>301</v>
      </c>
      <c r="B39" s="25"/>
      <c r="C39" s="25"/>
      <c r="D39" s="21" t="s">
        <v>302</v>
      </c>
      <c r="E39" s="21" t="s">
        <v>303</v>
      </c>
      <c r="F39" s="20" t="s">
        <v>106</v>
      </c>
      <c r="G39" s="21" t="str">
        <f aca="false">IF(OR(M39="暂停",M39="挂起",Q39="暂停",Q39="挂起",U39="暂停",U39="挂起",Y39="暂停",Y39="挂起"),"暂停",IF(COUNTA(L39,P39,T39,X39)=0,"未分配",IF(IF(L39&lt;&gt;"",M39="已完成",0)+IF(P39&lt;&gt;"",Q39="已完成",0)+IF(T39&lt;&gt;"",U39="已完成",0)+IF(X39&lt;&gt;"",Y39="已完成",0)=COUNTA(L39,P39,T39,X39),"已完成",IF(IF(L39&lt;&gt;"",M39="进行中",0)+IF(P39&lt;&gt;"",Q39="进行中",0)+IF(T39&lt;&gt;"",U39="进行中",0)+IF(X39&lt;&gt;"",Y39="进行中",0)&gt;0,"进行中",IF(IF(L39&lt;&gt;"",M39="待确认",0)+IF(P39&lt;&gt;"",Q39="待确认",0)+IF(T39&lt;&gt;"",U39="待确认",0)+IF(X39&lt;&gt;"",Y39="待确认",0)&gt;0,"待确认","未开始")))))</f>
        <v>未开始</v>
      </c>
      <c r="H39" s="20" t="str">
        <f aca="false">IF(L39&lt;&gt;"",L39,IF(P39&lt;&gt;"",P39,IF(T39&lt;&gt;"",T39,X39)))</f>
        <v>项目集经理</v>
      </c>
      <c r="I39" s="32" t="n">
        <f aca="false">IF(COUNT(N39,R39,V39,Z39)=0,"",MIN(N39,R39,V39,Z39))</f>
        <v>46304</v>
      </c>
      <c r="J39" s="32" t="n">
        <f aca="false">IF(COUNT(O39,S39,W39,AA39)=0,"",MAX(O39,S39,W39,AA39))</f>
        <v>46305</v>
      </c>
      <c r="K39" s="32" t="n">
        <v>46311</v>
      </c>
      <c r="L39" s="21" t="s">
        <v>110</v>
      </c>
      <c r="M39" s="21" t="s">
        <v>112</v>
      </c>
      <c r="N39" s="32" t="n">
        <v>46304</v>
      </c>
      <c r="O39" s="32" t="n">
        <v>46305</v>
      </c>
      <c r="P39" s="20"/>
      <c r="Q39" s="21"/>
      <c r="R39" s="32"/>
      <c r="S39" s="32"/>
      <c r="T39" s="20"/>
      <c r="U39" s="21"/>
      <c r="V39" s="32"/>
      <c r="W39" s="32"/>
      <c r="X39" s="20"/>
      <c r="Y39" s="21"/>
      <c r="Z39" s="32"/>
      <c r="AA39" s="32"/>
      <c r="AB39" s="33" t="n">
        <f aca="false">IFERROR((IF(L39&lt;&gt;"",IF(M39="已完成",1,IF(M39="进行中",0.5,0))*15%,0)+IF(P39&lt;&gt;"",IF(Q39="已完成",1,IF(Q39="进行中",0.5,0))*35%,0)+IF(T39&lt;&gt;"",IF(U39="已完成",1,IF(U39="进行中",0.5,0))*30%,0)+IF(X39&lt;&gt;"",IF(Y39="已完成",1,IF(Y39="进行中",0.5,0))*20%,0))/(IF(L39&lt;&gt;"",15%,0)+IF(P39&lt;&gt;"",35%,0)+IF(T39&lt;&gt;"",30%,0)+IF(X39&lt;&gt;"",20%,0)),0)</f>
        <v>0</v>
      </c>
      <c r="AC39" s="21" t="str">
        <f aca="false">IF($A39="","",IF(G39="已完成","正常",IF(G39="暂停","暂停",IF(J39="","日期缺失",IF(J39&lt;_数据接口!$B$7,"已延期",IF(J39&lt;=_数据接口!$B$7+7,"临近到期","正常"))))))</f>
        <v>正常</v>
      </c>
      <c r="AD39" s="21"/>
      <c r="AE39" s="21"/>
      <c r="AF39" s="36"/>
      <c r="AG39" s="32"/>
      <c r="AH39" s="34" t="str">
        <f aca="false">IF(OR($A39="",J39="",AG39=""),"",AG39-J39)</f>
        <v/>
      </c>
    </row>
    <row r="40" customFormat="false" ht="31.5" hidden="false" customHeight="true" outlineLevel="0" collapsed="false">
      <c r="A40" s="20" t="s">
        <v>304</v>
      </c>
      <c r="B40" s="25"/>
      <c r="C40" s="25"/>
      <c r="D40" s="21" t="s">
        <v>305</v>
      </c>
      <c r="E40" s="21" t="s">
        <v>306</v>
      </c>
      <c r="F40" s="20" t="s">
        <v>106</v>
      </c>
      <c r="G40" s="21" t="str">
        <f aca="false">IF(OR(M40="暂停",M40="挂起",Q40="暂停",Q40="挂起",U40="暂停",U40="挂起",Y40="暂停",Y40="挂起"),"暂停",IF(COUNTA(L40,P40,T40,X40)=0,"未分配",IF(IF(L40&lt;&gt;"",M40="已完成",0)+IF(P40&lt;&gt;"",Q40="已完成",0)+IF(T40&lt;&gt;"",U40="已完成",0)+IF(X40&lt;&gt;"",Y40="已完成",0)=COUNTA(L40,P40,T40,X40),"已完成",IF(IF(L40&lt;&gt;"",M40="进行中",0)+IF(P40&lt;&gt;"",Q40="进行中",0)+IF(T40&lt;&gt;"",U40="进行中",0)+IF(X40&lt;&gt;"",Y40="进行中",0)&gt;0,"进行中",IF(IF(L40&lt;&gt;"",M40="待确认",0)+IF(P40&lt;&gt;"",Q40="待确认",0)+IF(T40&lt;&gt;"",U40="待确认",0)+IF(X40&lt;&gt;"",Y40="待确认",0)&gt;0,"待确认","未开始")))))</f>
        <v>未开始</v>
      </c>
      <c r="H40" s="20" t="str">
        <f aca="false">IF(L40&lt;&gt;"",L40,IF(P40&lt;&gt;"",P40,IF(T40&lt;&gt;"",T40,X40)))</f>
        <v>项目经理</v>
      </c>
      <c r="I40" s="32" t="n">
        <f aca="false">IF(COUNT(N40,R40,V40,Z40)=0,"",MIN(N40,R40,V40,Z40))</f>
        <v>46306</v>
      </c>
      <c r="J40" s="32" t="n">
        <f aca="false">IF(COUNT(O40,S40,W40,AA40)=0,"",MAX(O40,S40,W40,AA40))</f>
        <v>46308</v>
      </c>
      <c r="K40" s="32" t="n">
        <v>46311</v>
      </c>
      <c r="L40" s="21" t="s">
        <v>73</v>
      </c>
      <c r="M40" s="21" t="s">
        <v>112</v>
      </c>
      <c r="N40" s="32" t="n">
        <v>46306</v>
      </c>
      <c r="O40" s="32" t="n">
        <v>46308</v>
      </c>
      <c r="P40" s="20"/>
      <c r="Q40" s="21"/>
      <c r="R40" s="32"/>
      <c r="S40" s="32"/>
      <c r="T40" s="20"/>
      <c r="U40" s="21"/>
      <c r="V40" s="32"/>
      <c r="W40" s="32"/>
      <c r="X40" s="20"/>
      <c r="Y40" s="21"/>
      <c r="Z40" s="32"/>
      <c r="AA40" s="32"/>
      <c r="AB40" s="33" t="n">
        <f aca="false">IFERROR((IF(L40&lt;&gt;"",IF(M40="已完成",1,IF(M40="进行中",0.5,0))*15%,0)+IF(P40&lt;&gt;"",IF(Q40="已完成",1,IF(Q40="进行中",0.5,0))*35%,0)+IF(T40&lt;&gt;"",IF(U40="已完成",1,IF(U40="进行中",0.5,0))*30%,0)+IF(X40&lt;&gt;"",IF(Y40="已完成",1,IF(Y40="进行中",0.5,0))*20%,0))/(IF(L40&lt;&gt;"",15%,0)+IF(P40&lt;&gt;"",35%,0)+IF(T40&lt;&gt;"",30%,0)+IF(X40&lt;&gt;"",20%,0)),0)</f>
        <v>0</v>
      </c>
      <c r="AC40" s="21" t="str">
        <f aca="false">IF($A40="","",IF(G40="已完成","正常",IF(G40="暂停","暂停",IF(J40="","日期缺失",IF(J40&lt;_数据接口!$B$7,"已延期",IF(J40&lt;=_数据接口!$B$7+7,"临近到期","正常"))))))</f>
        <v>正常</v>
      </c>
      <c r="AD40" s="21"/>
      <c r="AE40" s="21"/>
      <c r="AF40" s="36"/>
      <c r="AG40" s="32"/>
      <c r="AH40" s="34" t="str">
        <f aca="false">IF(OR($A40="",J40="",AG40=""),"",AG40-J40)</f>
        <v/>
      </c>
    </row>
    <row r="41" customFormat="false" ht="31.5" hidden="false" customHeight="true" outlineLevel="0" collapsed="false">
      <c r="A41" s="20" t="s">
        <v>307</v>
      </c>
      <c r="B41" s="25"/>
      <c r="C41" s="25"/>
      <c r="D41" s="21" t="s">
        <v>308</v>
      </c>
      <c r="E41" s="21" t="s">
        <v>309</v>
      </c>
      <c r="F41" s="20" t="s">
        <v>106</v>
      </c>
      <c r="G41" s="21" t="str">
        <f aca="false">IF(OR(M41="暂停",M41="挂起",Q41="暂停",Q41="挂起",U41="暂停",U41="挂起",Y41="暂停",Y41="挂起"),"暂停",IF(COUNTA(L41,P41,T41,X41)=0,"未分配",IF(IF(L41&lt;&gt;"",M41="已完成",0)+IF(P41&lt;&gt;"",Q41="已完成",0)+IF(T41&lt;&gt;"",U41="已完成",0)+IF(X41&lt;&gt;"",Y41="已完成",0)=COUNTA(L41,P41,T41,X41),"已完成",IF(IF(L41&lt;&gt;"",M41="进行中",0)+IF(P41&lt;&gt;"",Q41="进行中",0)+IF(T41&lt;&gt;"",U41="进行中",0)+IF(X41&lt;&gt;"",Y41="进行中",0)&gt;0,"进行中",IF(IF(L41&lt;&gt;"",M41="待确认",0)+IF(P41&lt;&gt;"",Q41="待确认",0)+IF(T41&lt;&gt;"",U41="待确认",0)+IF(X41&lt;&gt;"",Y41="待确认",0)&gt;0,"待确认","未开始")))))</f>
        <v>未开始</v>
      </c>
      <c r="H41" s="20" t="str">
        <f aca="false">IF(L41&lt;&gt;"",L41,IF(P41&lt;&gt;"",P41,IF(T41&lt;&gt;"",T41,X41)))</f>
        <v>项目集经理</v>
      </c>
      <c r="I41" s="32" t="n">
        <f aca="false">IF(COUNT(N41,R41,V41,Z41)=0,"",MIN(N41,R41,V41,Z41))</f>
        <v>46309</v>
      </c>
      <c r="J41" s="32" t="n">
        <f aca="false">IF(COUNT(O41,S41,W41,AA41)=0,"",MAX(O41,S41,W41,AA41))</f>
        <v>46311</v>
      </c>
      <c r="K41" s="32" t="n">
        <v>46311</v>
      </c>
      <c r="L41" s="21" t="s">
        <v>110</v>
      </c>
      <c r="M41" s="21" t="s">
        <v>112</v>
      </c>
      <c r="N41" s="32" t="n">
        <v>46309</v>
      </c>
      <c r="O41" s="32" t="n">
        <v>46311</v>
      </c>
      <c r="P41" s="20"/>
      <c r="Q41" s="21"/>
      <c r="R41" s="32"/>
      <c r="S41" s="32"/>
      <c r="T41" s="20"/>
      <c r="U41" s="21"/>
      <c r="V41" s="32"/>
      <c r="W41" s="32"/>
      <c r="X41" s="20"/>
      <c r="Y41" s="21"/>
      <c r="Z41" s="32"/>
      <c r="AA41" s="32"/>
      <c r="AB41" s="33" t="n">
        <f aca="false">IFERROR((IF(L41&lt;&gt;"",IF(M41="已完成",1,IF(M41="进行中",0.5,0))*15%,0)+IF(P41&lt;&gt;"",IF(Q41="已完成",1,IF(Q41="进行中",0.5,0))*35%,0)+IF(T41&lt;&gt;"",IF(U41="已完成",1,IF(U41="进行中",0.5,0))*30%,0)+IF(X41&lt;&gt;"",IF(Y41="已完成",1,IF(Y41="进行中",0.5,0))*20%,0))/(IF(L41&lt;&gt;"",15%,0)+IF(P41&lt;&gt;"",35%,0)+IF(T41&lt;&gt;"",30%,0)+IF(X41&lt;&gt;"",20%,0)),0)</f>
        <v>0</v>
      </c>
      <c r="AC41" s="21" t="str">
        <f aca="false">IF($A41="","",IF(G41="已完成","正常",IF(G41="暂停","暂停",IF(J41="","日期缺失",IF(J41&lt;_数据接口!$B$7,"已延期",IF(J41&lt;=_数据接口!$B$7+7,"临近到期","正常"))))))</f>
        <v>正常</v>
      </c>
      <c r="AD41" s="21"/>
      <c r="AE41" s="21" t="s">
        <v>310</v>
      </c>
      <c r="AF41" s="36"/>
      <c r="AG41" s="32"/>
      <c r="AH41" s="34" t="str">
        <f aca="false">IF(OR($A41="",J41="",AG41=""),"",AG41-J41)</f>
        <v/>
      </c>
    </row>
    <row r="42" customFormat="false" ht="31.5" hidden="false" customHeight="true" outlineLevel="0" collapsed="false">
      <c r="A42" s="20" t="s">
        <v>311</v>
      </c>
      <c r="B42" s="25" t="s">
        <v>115</v>
      </c>
      <c r="C42" s="25" t="s">
        <v>116</v>
      </c>
      <c r="D42" s="35" t="s">
        <v>312</v>
      </c>
      <c r="E42" s="21" t="s">
        <v>313</v>
      </c>
      <c r="F42" s="20" t="s">
        <v>114</v>
      </c>
      <c r="G42" s="21" t="str">
        <f aca="false">IF(OR(M42="暂停",M42="挂起",Q42="暂停",Q42="挂起",U42="暂停",U42="挂起",Y42="暂停",Y42="挂起"),"暂停",IF(COUNTA(L42,P42,T42,X42)=0,"未分配",IF(IF(L42&lt;&gt;"",M42="已完成",0)+IF(P42&lt;&gt;"",Q42="已完成",0)+IF(T42&lt;&gt;"",U42="已完成",0)+IF(X42&lt;&gt;"",Y42="已完成",0)=COUNTA(L42,P42,T42,X42),"已完成",IF(IF(L42&lt;&gt;"",M42="进行中",0)+IF(P42&lt;&gt;"",Q42="进行中",0)+IF(T42&lt;&gt;"",U42="进行中",0)+IF(X42&lt;&gt;"",Y42="进行中",0)&gt;0,"进行中",IF(IF(L42&lt;&gt;"",M42="待确认",0)+IF(P42&lt;&gt;"",Q42="待确认",0)+IF(T42&lt;&gt;"",U42="待确认",0)+IF(X42&lt;&gt;"",Y42="待确认",0)&gt;0,"待确认","未开始")))))</f>
        <v>未开始</v>
      </c>
      <c r="H42" s="20" t="str">
        <f aca="false">IF(L42&lt;&gt;"",L42,IF(P42&lt;&gt;"",P42,IF(T42&lt;&gt;"",T42,X42)))</f>
        <v>项目经理</v>
      </c>
      <c r="I42" s="32" t="n">
        <f aca="false">IF(COUNT(N42,R42,V42,Z42)=0,"",MIN(N42,R42,V42,Z42))</f>
        <v>46315</v>
      </c>
      <c r="J42" s="32" t="n">
        <f aca="false">IF(COUNT(O42,S42,W42,AA42)=0,"",MAX(O42,S42,W42,AA42))</f>
        <v>46315</v>
      </c>
      <c r="K42" s="32" t="n">
        <v>46315</v>
      </c>
      <c r="L42" s="21" t="s">
        <v>73</v>
      </c>
      <c r="M42" s="21" t="s">
        <v>112</v>
      </c>
      <c r="N42" s="32" t="n">
        <v>46315</v>
      </c>
      <c r="O42" s="32" t="n">
        <v>46315</v>
      </c>
      <c r="P42" s="20"/>
      <c r="Q42" s="21"/>
      <c r="R42" s="32"/>
      <c r="S42" s="32"/>
      <c r="T42" s="20"/>
      <c r="U42" s="21"/>
      <c r="V42" s="32"/>
      <c r="W42" s="32"/>
      <c r="X42" s="20"/>
      <c r="Y42" s="21"/>
      <c r="Z42" s="32"/>
      <c r="AA42" s="32"/>
      <c r="AB42" s="33" t="n">
        <f aca="false">IFERROR((IF(L42&lt;&gt;"",IF(M42="已完成",1,IF(M42="进行中",0.5,0))*15%,0)+IF(P42&lt;&gt;"",IF(Q42="已完成",1,IF(Q42="进行中",0.5,0))*35%,0)+IF(T42&lt;&gt;"",IF(U42="已完成",1,IF(U42="进行中",0.5,0))*30%,0)+IF(X42&lt;&gt;"",IF(Y42="已完成",1,IF(Y42="进行中",0.5,0))*20%,0))/(IF(L42&lt;&gt;"",15%,0)+IF(P42&lt;&gt;"",35%,0)+IF(T42&lt;&gt;"",30%,0)+IF(X42&lt;&gt;"",20%,0)),0)</f>
        <v>0</v>
      </c>
      <c r="AC42" s="21" t="str">
        <f aca="false">IF($A42="","",IF(G42="已完成","正常",IF(G42="暂停","暂停",IF(J42="","日期缺失",IF(J42&lt;_数据接口!$B$7,"已延期",IF(J42&lt;=_数据接口!$B$7+7,"临近到期","正常"))))))</f>
        <v>正常</v>
      </c>
      <c r="AD42" s="21"/>
      <c r="AE42" s="21"/>
      <c r="AF42" s="36"/>
      <c r="AG42" s="32"/>
      <c r="AH42" s="34" t="str">
        <f aca="false">IF(OR($A42="",J42="",AG42=""),"",AG42-J42)</f>
        <v/>
      </c>
    </row>
    <row r="43" customFormat="false" ht="31.5" hidden="false" customHeight="true" outlineLevel="0" collapsed="false">
      <c r="A43" s="20" t="s">
        <v>314</v>
      </c>
      <c r="B43" s="25"/>
      <c r="C43" s="25"/>
      <c r="D43" s="25"/>
      <c r="E43" s="21" t="s">
        <v>315</v>
      </c>
      <c r="F43" s="20" t="s">
        <v>114</v>
      </c>
      <c r="G43" s="21" t="str">
        <f aca="false">IF(OR(M43="暂停",M43="挂起",Q43="暂停",Q43="挂起",U43="暂停",U43="挂起",Y43="暂停",Y43="挂起"),"暂停",IF(COUNTA(L43,P43,T43,X43)=0,"未分配",IF(IF(L43&lt;&gt;"",M43="已完成",0)+IF(P43&lt;&gt;"",Q43="已完成",0)+IF(T43&lt;&gt;"",U43="已完成",0)+IF(X43&lt;&gt;"",Y43="已完成",0)=COUNTA(L43,P43,T43,X43),"已完成",IF(IF(L43&lt;&gt;"",M43="进行中",0)+IF(P43&lt;&gt;"",Q43="进行中",0)+IF(T43&lt;&gt;"",U43="进行中",0)+IF(X43&lt;&gt;"",Y43="进行中",0)&gt;0,"进行中",IF(IF(L43&lt;&gt;"",M43="待确认",0)+IF(P43&lt;&gt;"",Q43="待确认",0)+IF(T43&lt;&gt;"",U43="待确认",0)+IF(X43&lt;&gt;"",Y43="待确认",0)&gt;0,"待确认","未开始")))))</f>
        <v>未开始</v>
      </c>
      <c r="H43" s="20" t="str">
        <f aca="false">IF(L43&lt;&gt;"",L43,IF(P43&lt;&gt;"",P43,IF(T43&lt;&gt;"",T43,X43)))</f>
        <v>项目集经理</v>
      </c>
      <c r="I43" s="32" t="n">
        <f aca="false">IF(COUNT(N43,R43,V43,Z43)=0,"",MIN(N43,R43,V43,Z43))</f>
        <v>46315</v>
      </c>
      <c r="J43" s="32" t="n">
        <f aca="false">IF(COUNT(O43,S43,W43,AA43)=0,"",MAX(O43,S43,W43,AA43))</f>
        <v>46315</v>
      </c>
      <c r="K43" s="32" t="n">
        <v>46315</v>
      </c>
      <c r="L43" s="21" t="s">
        <v>110</v>
      </c>
      <c r="M43" s="21" t="s">
        <v>112</v>
      </c>
      <c r="N43" s="32" t="n">
        <v>46315</v>
      </c>
      <c r="O43" s="32" t="n">
        <v>46315</v>
      </c>
      <c r="P43" s="20"/>
      <c r="Q43" s="21"/>
      <c r="R43" s="32"/>
      <c r="S43" s="32"/>
      <c r="T43" s="20"/>
      <c r="U43" s="21"/>
      <c r="V43" s="32"/>
      <c r="W43" s="32"/>
      <c r="X43" s="20"/>
      <c r="Y43" s="21"/>
      <c r="Z43" s="32"/>
      <c r="AA43" s="32"/>
      <c r="AB43" s="33" t="n">
        <f aca="false">IFERROR((IF(L43&lt;&gt;"",IF(M43="已完成",1,IF(M43="进行中",0.5,0))*15%,0)+IF(P43&lt;&gt;"",IF(Q43="已完成",1,IF(Q43="进行中",0.5,0))*35%,0)+IF(T43&lt;&gt;"",IF(U43="已完成",1,IF(U43="进行中",0.5,0))*30%,0)+IF(X43&lt;&gt;"",IF(Y43="已完成",1,IF(Y43="进行中",0.5,0))*20%,0))/(IF(L43&lt;&gt;"",15%,0)+IF(P43&lt;&gt;"",35%,0)+IF(T43&lt;&gt;"",30%,0)+IF(X43&lt;&gt;"",20%,0)),0)</f>
        <v>0</v>
      </c>
      <c r="AC43" s="21" t="str">
        <f aca="false">IF($A43="","",IF(G43="已完成","正常",IF(G43="暂停","暂停",IF(J43="","日期缺失",IF(J43&lt;_数据接口!$B$7,"已延期",IF(J43&lt;=_数据接口!$B$7+7,"临近到期","正常"))))))</f>
        <v>正常</v>
      </c>
      <c r="AD43" s="21"/>
      <c r="AE43" s="21"/>
      <c r="AF43" s="36"/>
      <c r="AG43" s="32"/>
      <c r="AH43" s="34" t="str">
        <f aca="false">IF(OR($A43="",J43="",AG43=""),"",AG43-J43)</f>
        <v/>
      </c>
    </row>
    <row r="44" customFormat="false" ht="31.5" hidden="false" customHeight="true" outlineLevel="0" collapsed="false">
      <c r="A44" s="20" t="s">
        <v>316</v>
      </c>
      <c r="B44" s="25"/>
      <c r="C44" s="25"/>
      <c r="D44" s="25"/>
      <c r="E44" s="21" t="s">
        <v>317</v>
      </c>
      <c r="F44" s="20" t="s">
        <v>114</v>
      </c>
      <c r="G44" s="21" t="str">
        <f aca="false">IF(OR(M44="暂停",M44="挂起",Q44="暂停",Q44="挂起",U44="暂停",U44="挂起",Y44="暂停",Y44="挂起"),"暂停",IF(COUNTA(L44,P44,T44,X44)=0,"未分配",IF(IF(L44&lt;&gt;"",M44="已完成",0)+IF(P44&lt;&gt;"",Q44="已完成",0)+IF(T44&lt;&gt;"",U44="已完成",0)+IF(X44&lt;&gt;"",Y44="已完成",0)=COUNTA(L44,P44,T44,X44),"已完成",IF(IF(L44&lt;&gt;"",M44="进行中",0)+IF(P44&lt;&gt;"",Q44="进行中",0)+IF(T44&lt;&gt;"",U44="进行中",0)+IF(X44&lt;&gt;"",Y44="进行中",0)&gt;0,"进行中",IF(IF(L44&lt;&gt;"",M44="待确认",0)+IF(P44&lt;&gt;"",Q44="待确认",0)+IF(T44&lt;&gt;"",U44="待确认",0)+IF(X44&lt;&gt;"",Y44="待确认",0)&gt;0,"待确认","未开始")))))</f>
        <v>未开始</v>
      </c>
      <c r="H44" s="20" t="str">
        <f aca="false">IF(L44&lt;&gt;"",L44,IF(P44&lt;&gt;"",P44,IF(T44&lt;&gt;"",T44,X44)))</f>
        <v>项目经理</v>
      </c>
      <c r="I44" s="32" t="n">
        <f aca="false">IF(COUNT(N44,R44,V44,Z44)=0,"",MIN(N44,R44,V44,Z44))</f>
        <v>46315</v>
      </c>
      <c r="J44" s="32" t="n">
        <f aca="false">IF(COUNT(O44,S44,W44,AA44)=0,"",MAX(O44,S44,W44,AA44))</f>
        <v>46315</v>
      </c>
      <c r="K44" s="32" t="n">
        <v>46315</v>
      </c>
      <c r="L44" s="21" t="s">
        <v>73</v>
      </c>
      <c r="M44" s="21" t="s">
        <v>112</v>
      </c>
      <c r="N44" s="32" t="n">
        <v>46315</v>
      </c>
      <c r="O44" s="32" t="n">
        <v>46315</v>
      </c>
      <c r="P44" s="20"/>
      <c r="Q44" s="21"/>
      <c r="R44" s="32"/>
      <c r="S44" s="32"/>
      <c r="T44" s="20"/>
      <c r="U44" s="21"/>
      <c r="V44" s="32"/>
      <c r="W44" s="32"/>
      <c r="X44" s="20"/>
      <c r="Y44" s="21"/>
      <c r="Z44" s="32"/>
      <c r="AA44" s="32"/>
      <c r="AB44" s="33" t="n">
        <f aca="false">IFERROR((IF(L44&lt;&gt;"",IF(M44="已完成",1,IF(M44="进行中",0.5,0))*15%,0)+IF(P44&lt;&gt;"",IF(Q44="已完成",1,IF(Q44="进行中",0.5,0))*35%,0)+IF(T44&lt;&gt;"",IF(U44="已完成",1,IF(U44="进行中",0.5,0))*30%,0)+IF(X44&lt;&gt;"",IF(Y44="已完成",1,IF(Y44="进行中",0.5,0))*20%,0))/(IF(L44&lt;&gt;"",15%,0)+IF(P44&lt;&gt;"",35%,0)+IF(T44&lt;&gt;"",30%,0)+IF(X44&lt;&gt;"",20%,0)),0)</f>
        <v>0</v>
      </c>
      <c r="AC44" s="21" t="str">
        <f aca="false">IF($A44="","",IF(G44="已完成","正常",IF(G44="暂停","暂停",IF(J44="","日期缺失",IF(J44&lt;_数据接口!$B$7,"已延期",IF(J44&lt;=_数据接口!$B$7+7,"临近到期","正常"))))))</f>
        <v>正常</v>
      </c>
      <c r="AD44" s="21"/>
      <c r="AE44" s="21"/>
      <c r="AF44" s="36"/>
      <c r="AG44" s="32"/>
      <c r="AH44" s="34" t="str">
        <f aca="false">IF(OR($A44="",J44="",AG44=""),"",AG44-J44)</f>
        <v/>
      </c>
    </row>
    <row r="45" customFormat="false" ht="31.5" hidden="false" customHeight="true" outlineLevel="0" collapsed="false">
      <c r="A45" s="20" t="s">
        <v>318</v>
      </c>
      <c r="B45" s="25"/>
      <c r="C45" s="25" t="s">
        <v>120</v>
      </c>
      <c r="D45" s="21" t="s">
        <v>319</v>
      </c>
      <c r="E45" s="21" t="s">
        <v>320</v>
      </c>
      <c r="F45" s="20" t="s">
        <v>119</v>
      </c>
      <c r="G45" s="21" t="str">
        <f aca="false">IF(OR(M45="暂停",M45="挂起",Q45="暂停",Q45="挂起",U45="暂停",U45="挂起",Y45="暂停",Y45="挂起"),"暂停",IF(COUNTA(L45,P45,T45,X45)=0,"未分配",IF(IF(L45&lt;&gt;"",M45="已完成",0)+IF(P45&lt;&gt;"",Q45="已完成",0)+IF(T45&lt;&gt;"",U45="已完成",0)+IF(X45&lt;&gt;"",Y45="已完成",0)=COUNTA(L45,P45,T45,X45),"已完成",IF(IF(L45&lt;&gt;"",M45="进行中",0)+IF(P45&lt;&gt;"",Q45="进行中",0)+IF(T45&lt;&gt;"",U45="进行中",0)+IF(X45&lt;&gt;"",Y45="进行中",0)&gt;0,"进行中",IF(IF(L45&lt;&gt;"",M45="待确认",0)+IF(P45&lt;&gt;"",Q45="待确认",0)+IF(T45&lt;&gt;"",U45="待确认",0)+IF(X45&lt;&gt;"",Y45="待确认",0)&gt;0,"待确认","未开始")))))</f>
        <v>未开始</v>
      </c>
      <c r="H45" s="20" t="str">
        <f aca="false">IF(L45&lt;&gt;"",L45,IF(P45&lt;&gt;"",P45,IF(T45&lt;&gt;"",T45,X45)))</f>
        <v>产品经理</v>
      </c>
      <c r="I45" s="32" t="n">
        <f aca="false">IF(COUNT(N45,R45,V45,Z45)=0,"",MIN(N45,R45,V45,Z45))</f>
        <v>46316</v>
      </c>
      <c r="J45" s="32" t="n">
        <f aca="false">IF(COUNT(O45,S45,W45,AA45)=0,"",MAX(O45,S45,W45,AA45))</f>
        <v>46321</v>
      </c>
      <c r="K45" s="32" t="n">
        <v>46356</v>
      </c>
      <c r="L45" s="21" t="s">
        <v>85</v>
      </c>
      <c r="M45" s="21" t="s">
        <v>112</v>
      </c>
      <c r="N45" s="32" t="n">
        <v>46316</v>
      </c>
      <c r="O45" s="32" t="n">
        <v>46321</v>
      </c>
      <c r="P45" s="20"/>
      <c r="Q45" s="21"/>
      <c r="R45" s="32"/>
      <c r="S45" s="32"/>
      <c r="T45" s="20"/>
      <c r="U45" s="21"/>
      <c r="V45" s="32"/>
      <c r="W45" s="32"/>
      <c r="X45" s="20"/>
      <c r="Y45" s="21"/>
      <c r="Z45" s="32"/>
      <c r="AA45" s="32"/>
      <c r="AB45" s="33" t="n">
        <f aca="false">IFERROR((IF(L45&lt;&gt;"",IF(M45="已完成",1,IF(M45="进行中",0.5,0))*15%,0)+IF(P45&lt;&gt;"",IF(Q45="已完成",1,IF(Q45="进行中",0.5,0))*35%,0)+IF(T45&lt;&gt;"",IF(U45="已完成",1,IF(U45="进行中",0.5,0))*30%,0)+IF(X45&lt;&gt;"",IF(Y45="已完成",1,IF(Y45="进行中",0.5,0))*20%,0))/(IF(L45&lt;&gt;"",15%,0)+IF(P45&lt;&gt;"",35%,0)+IF(T45&lt;&gt;"",30%,0)+IF(X45&lt;&gt;"",20%,0)),0)</f>
        <v>0</v>
      </c>
      <c r="AC45" s="21" t="str">
        <f aca="false">IF($A45="","",IF(G45="已完成","正常",IF(G45="暂停","暂停",IF(J45="","日期缺失",IF(J45&lt;_数据接口!$B$7,"已延期",IF(J45&lt;=_数据接口!$B$7+7,"临近到期","正常"))))))</f>
        <v>正常</v>
      </c>
      <c r="AD45" s="21"/>
      <c r="AE45" s="21"/>
      <c r="AF45" s="36"/>
      <c r="AG45" s="32"/>
      <c r="AH45" s="34" t="str">
        <f aca="false">IF(OR($A45="",J45="",AG45=""),"",AG45-J45)</f>
        <v/>
      </c>
    </row>
    <row r="46" customFormat="false" ht="31.5" hidden="false" customHeight="true" outlineLevel="0" collapsed="false">
      <c r="A46" s="20" t="s">
        <v>321</v>
      </c>
      <c r="B46" s="25"/>
      <c r="C46" s="25"/>
      <c r="D46" s="21" t="s">
        <v>322</v>
      </c>
      <c r="E46" s="21" t="s">
        <v>323</v>
      </c>
      <c r="F46" s="20" t="s">
        <v>119</v>
      </c>
      <c r="G46" s="21" t="str">
        <f aca="false">IF(OR(M46="暂停",M46="挂起",Q46="暂停",Q46="挂起",U46="暂停",U46="挂起",Y46="暂停",Y46="挂起"),"暂停",IF(COUNTA(L46,P46,T46,X46)=0,"未分配",IF(IF(L46&lt;&gt;"",M46="已完成",0)+IF(P46&lt;&gt;"",Q46="已完成",0)+IF(T46&lt;&gt;"",U46="已完成",0)+IF(X46&lt;&gt;"",Y46="已完成",0)=COUNTA(L46,P46,T46,X46),"已完成",IF(IF(L46&lt;&gt;"",M46="进行中",0)+IF(P46&lt;&gt;"",Q46="进行中",0)+IF(T46&lt;&gt;"",U46="进行中",0)+IF(X46&lt;&gt;"",Y46="进行中",0)&gt;0,"进行中",IF(IF(L46&lt;&gt;"",M46="待确认",0)+IF(P46&lt;&gt;"",Q46="待确认",0)+IF(T46&lt;&gt;"",U46="待确认",0)+IF(X46&lt;&gt;"",Y46="待确认",0)&gt;0,"待确认","未开始")))))</f>
        <v>未开始</v>
      </c>
      <c r="H46" s="20" t="str">
        <f aca="false">IF(L46&lt;&gt;"",L46,IF(P46&lt;&gt;"",P46,IF(T46&lt;&gt;"",T46,X46)))</f>
        <v>产品经理</v>
      </c>
      <c r="I46" s="32" t="n">
        <f aca="false">IF(COUNT(N46,R46,V46,Z46)=0,"",MIN(N46,R46,V46,Z46))</f>
        <v>46322</v>
      </c>
      <c r="J46" s="32" t="n">
        <f aca="false">IF(COUNT(O46,S46,W46,AA46)=0,"",MAX(O46,S46,W46,AA46))</f>
        <v>46328</v>
      </c>
      <c r="K46" s="32" t="n">
        <v>46356</v>
      </c>
      <c r="L46" s="21" t="s">
        <v>85</v>
      </c>
      <c r="M46" s="21" t="s">
        <v>112</v>
      </c>
      <c r="N46" s="32" t="n">
        <v>46322</v>
      </c>
      <c r="O46" s="32" t="n">
        <v>46328</v>
      </c>
      <c r="P46" s="20"/>
      <c r="Q46" s="21"/>
      <c r="R46" s="32"/>
      <c r="S46" s="32"/>
      <c r="T46" s="20"/>
      <c r="U46" s="21"/>
      <c r="V46" s="32"/>
      <c r="W46" s="32"/>
      <c r="X46" s="20"/>
      <c r="Y46" s="21"/>
      <c r="Z46" s="32"/>
      <c r="AA46" s="32"/>
      <c r="AB46" s="33" t="n">
        <f aca="false">IFERROR((IF(L46&lt;&gt;"",IF(M46="已完成",1,IF(M46="进行中",0.5,0))*15%,0)+IF(P46&lt;&gt;"",IF(Q46="已完成",1,IF(Q46="进行中",0.5,0))*35%,0)+IF(T46&lt;&gt;"",IF(U46="已完成",1,IF(U46="进行中",0.5,0))*30%,0)+IF(X46&lt;&gt;"",IF(Y46="已完成",1,IF(Y46="进行中",0.5,0))*20%,0))/(IF(L46&lt;&gt;"",15%,0)+IF(P46&lt;&gt;"",35%,0)+IF(T46&lt;&gt;"",30%,0)+IF(X46&lt;&gt;"",20%,0)),0)</f>
        <v>0</v>
      </c>
      <c r="AC46" s="21" t="str">
        <f aca="false">IF($A46="","",IF(G46="已完成","正常",IF(G46="暂停","暂停",IF(J46="","日期缺失",IF(J46&lt;_数据接口!$B$7,"已延期",IF(J46&lt;=_数据接口!$B$7+7,"临近到期","正常"))))))</f>
        <v>正常</v>
      </c>
      <c r="AD46" s="21"/>
      <c r="AE46" s="21"/>
      <c r="AF46" s="36"/>
      <c r="AG46" s="32"/>
      <c r="AH46" s="34" t="str">
        <f aca="false">IF(OR($A46="",J46="",AG46=""),"",AG46-J46)</f>
        <v/>
      </c>
    </row>
    <row r="47" customFormat="false" ht="31.5" hidden="false" customHeight="true" outlineLevel="0" collapsed="false">
      <c r="A47" s="20" t="s">
        <v>324</v>
      </c>
      <c r="B47" s="25"/>
      <c r="C47" s="25"/>
      <c r="D47" s="21" t="s">
        <v>325</v>
      </c>
      <c r="E47" s="21" t="s">
        <v>326</v>
      </c>
      <c r="F47" s="20" t="s">
        <v>119</v>
      </c>
      <c r="G47" s="21" t="str">
        <f aca="false">IF(OR(M47="暂停",M47="挂起",Q47="暂停",Q47="挂起",U47="暂停",U47="挂起",Y47="暂停",Y47="挂起"),"暂停",IF(COUNTA(L47,P47,T47,X47)=0,"未分配",IF(IF(L47&lt;&gt;"",M47="已完成",0)+IF(P47&lt;&gt;"",Q47="已完成",0)+IF(T47&lt;&gt;"",U47="已完成",0)+IF(X47&lt;&gt;"",Y47="已完成",0)=COUNTA(L47,P47,T47,X47),"已完成",IF(IF(L47&lt;&gt;"",M47="进行中",0)+IF(P47&lt;&gt;"",Q47="进行中",0)+IF(T47&lt;&gt;"",U47="进行中",0)+IF(X47&lt;&gt;"",Y47="进行中",0)&gt;0,"进行中",IF(IF(L47&lt;&gt;"",M47="待确认",0)+IF(P47&lt;&gt;"",Q47="待确认",0)+IF(T47&lt;&gt;"",U47="待确认",0)+IF(X47&lt;&gt;"",Y47="待确认",0)&gt;0,"待确认","未开始")))))</f>
        <v>未开始</v>
      </c>
      <c r="H47" s="20" t="str">
        <f aca="false">IF(L47&lt;&gt;"",L47,IF(P47&lt;&gt;"",P47,IF(T47&lt;&gt;"",T47,X47)))</f>
        <v>产品经理</v>
      </c>
      <c r="I47" s="32" t="n">
        <f aca="false">IF(COUNT(N47,R47,V47,Z47)=0,"",MIN(N47,R47,V47,Z47))</f>
        <v>46329</v>
      </c>
      <c r="J47" s="32" t="n">
        <f aca="false">IF(COUNT(O47,S47,W47,AA47)=0,"",MAX(O47,S47,W47,AA47))</f>
        <v>46335</v>
      </c>
      <c r="K47" s="32" t="n">
        <v>46356</v>
      </c>
      <c r="L47" s="21" t="s">
        <v>85</v>
      </c>
      <c r="M47" s="21" t="s">
        <v>112</v>
      </c>
      <c r="N47" s="32" t="n">
        <v>46329</v>
      </c>
      <c r="O47" s="32" t="n">
        <v>46335</v>
      </c>
      <c r="P47" s="20"/>
      <c r="Q47" s="21"/>
      <c r="R47" s="32"/>
      <c r="S47" s="32"/>
      <c r="T47" s="20"/>
      <c r="U47" s="21"/>
      <c r="V47" s="32"/>
      <c r="W47" s="32"/>
      <c r="X47" s="20"/>
      <c r="Y47" s="21"/>
      <c r="Z47" s="32"/>
      <c r="AA47" s="32"/>
      <c r="AB47" s="33" t="n">
        <f aca="false">IFERROR((IF(L47&lt;&gt;"",IF(M47="已完成",1,IF(M47="进行中",0.5,0))*15%,0)+IF(P47&lt;&gt;"",IF(Q47="已完成",1,IF(Q47="进行中",0.5,0))*35%,0)+IF(T47&lt;&gt;"",IF(U47="已完成",1,IF(U47="进行中",0.5,0))*30%,0)+IF(X47&lt;&gt;"",IF(Y47="已完成",1,IF(Y47="进行中",0.5,0))*20%,0))/(IF(L47&lt;&gt;"",15%,0)+IF(P47&lt;&gt;"",35%,0)+IF(T47&lt;&gt;"",30%,0)+IF(X47&lt;&gt;"",20%,0)),0)</f>
        <v>0</v>
      </c>
      <c r="AC47" s="21" t="str">
        <f aca="false">IF($A47="","",IF(G47="已完成","正常",IF(G47="暂停","暂停",IF(J47="","日期缺失",IF(J47&lt;_数据接口!$B$7,"已延期",IF(J47&lt;=_数据接口!$B$7+7,"临近到期","正常"))))))</f>
        <v>正常</v>
      </c>
      <c r="AD47" s="21"/>
      <c r="AE47" s="21"/>
      <c r="AF47" s="36"/>
      <c r="AG47" s="32"/>
      <c r="AH47" s="34" t="str">
        <f aca="false">IF(OR($A47="",J47="",AG47=""),"",AG47-J47)</f>
        <v/>
      </c>
    </row>
    <row r="48" customFormat="false" ht="31.5" hidden="false" customHeight="true" outlineLevel="0" collapsed="false">
      <c r="A48" s="20" t="s">
        <v>327</v>
      </c>
      <c r="B48" s="25"/>
      <c r="C48" s="25"/>
      <c r="D48" s="21" t="s">
        <v>328</v>
      </c>
      <c r="E48" s="21" t="s">
        <v>329</v>
      </c>
      <c r="F48" s="20" t="s">
        <v>119</v>
      </c>
      <c r="G48" s="21" t="str">
        <f aca="false">IF(OR(M48="暂停",M48="挂起",Q48="暂停",Q48="挂起",U48="暂停",U48="挂起",Y48="暂停",Y48="挂起"),"暂停",IF(COUNTA(L48,P48,T48,X48)=0,"未分配",IF(IF(L48&lt;&gt;"",M48="已完成",0)+IF(P48&lt;&gt;"",Q48="已完成",0)+IF(T48&lt;&gt;"",U48="已完成",0)+IF(X48&lt;&gt;"",Y48="已完成",0)=COUNTA(L48,P48,T48,X48),"已完成",IF(IF(L48&lt;&gt;"",M48="进行中",0)+IF(P48&lt;&gt;"",Q48="进行中",0)+IF(T48&lt;&gt;"",U48="进行中",0)+IF(X48&lt;&gt;"",Y48="进行中",0)&gt;0,"进行中",IF(IF(L48&lt;&gt;"",M48="待确认",0)+IF(P48&lt;&gt;"",Q48="待确认",0)+IF(T48&lt;&gt;"",U48="待确认",0)+IF(X48&lt;&gt;"",Y48="待确认",0)&gt;0,"待确认","未开始")))))</f>
        <v>未开始</v>
      </c>
      <c r="H48" s="20" t="str">
        <f aca="false">IF(L48&lt;&gt;"",L48,IF(P48&lt;&gt;"",P48,IF(T48&lt;&gt;"",T48,X48)))</f>
        <v>美工</v>
      </c>
      <c r="I48" s="32" t="n">
        <f aca="false">IF(COUNT(N48,R48,V48,Z48)=0,"",MIN(N48,R48,V48,Z48))</f>
        <v>46336</v>
      </c>
      <c r="J48" s="32" t="n">
        <f aca="false">IF(COUNT(O48,S48,W48,AA48)=0,"",MAX(O48,S48,W48,AA48))</f>
        <v>46342</v>
      </c>
      <c r="K48" s="32" t="n">
        <v>46356</v>
      </c>
      <c r="L48" s="20"/>
      <c r="M48" s="21"/>
      <c r="N48" s="32"/>
      <c r="O48" s="32"/>
      <c r="P48" s="20"/>
      <c r="Q48" s="21"/>
      <c r="R48" s="32"/>
      <c r="S48" s="32"/>
      <c r="T48" s="21" t="s">
        <v>330</v>
      </c>
      <c r="U48" s="21" t="s">
        <v>112</v>
      </c>
      <c r="V48" s="32" t="n">
        <v>46336</v>
      </c>
      <c r="W48" s="32" t="n">
        <v>46342</v>
      </c>
      <c r="X48" s="20"/>
      <c r="Y48" s="21"/>
      <c r="Z48" s="32"/>
      <c r="AA48" s="32"/>
      <c r="AB48" s="33" t="n">
        <f aca="false">IFERROR((IF(L48&lt;&gt;"",IF(M48="已完成",1,IF(M48="进行中",0.5,0))*15%,0)+IF(P48&lt;&gt;"",IF(Q48="已完成",1,IF(Q48="进行中",0.5,0))*35%,0)+IF(T48&lt;&gt;"",IF(U48="已完成",1,IF(U48="进行中",0.5,0))*30%,0)+IF(X48&lt;&gt;"",IF(Y48="已完成",1,IF(Y48="进行中",0.5,0))*20%,0))/(IF(L48&lt;&gt;"",15%,0)+IF(P48&lt;&gt;"",35%,0)+IF(T48&lt;&gt;"",30%,0)+IF(X48&lt;&gt;"",20%,0)),0)</f>
        <v>0</v>
      </c>
      <c r="AC48" s="21" t="str">
        <f aca="false">IF($A48="","",IF(G48="已完成","正常",IF(G48="暂停","暂停",IF(J48="","日期缺失",IF(J48&lt;_数据接口!$B$7,"已延期",IF(J48&lt;=_数据接口!$B$7+7,"临近到期","正常"))))))</f>
        <v>正常</v>
      </c>
      <c r="AD48" s="21"/>
      <c r="AE48" s="21"/>
      <c r="AF48" s="36"/>
      <c r="AG48" s="32"/>
      <c r="AH48" s="34" t="str">
        <f aca="false">IF(OR($A48="",J48="",AG48=""),"",AG48-J48)</f>
        <v/>
      </c>
    </row>
    <row r="49" customFormat="false" ht="31.5" hidden="false" customHeight="true" outlineLevel="0" collapsed="false">
      <c r="A49" s="20" t="s">
        <v>331</v>
      </c>
      <c r="B49" s="25"/>
      <c r="C49" s="25"/>
      <c r="D49" s="21" t="s">
        <v>332</v>
      </c>
      <c r="E49" s="21" t="s">
        <v>333</v>
      </c>
      <c r="F49" s="20" t="s">
        <v>119</v>
      </c>
      <c r="G49" s="21" t="str">
        <f aca="false">IF(OR(M49="暂停",M49="挂起",Q49="暂停",Q49="挂起",U49="暂停",U49="挂起",Y49="暂停",Y49="挂起"),"暂停",IF(COUNTA(L49,P49,T49,X49)=0,"未分配",IF(IF(L49&lt;&gt;"",M49="已完成",0)+IF(P49&lt;&gt;"",Q49="已完成",0)+IF(T49&lt;&gt;"",U49="已完成",0)+IF(X49&lt;&gt;"",Y49="已完成",0)=COUNTA(L49,P49,T49,X49),"已完成",IF(IF(L49&lt;&gt;"",M49="进行中",0)+IF(P49&lt;&gt;"",Q49="进行中",0)+IF(T49&lt;&gt;"",U49="进行中",0)+IF(X49&lt;&gt;"",Y49="进行中",0)&gt;0,"进行中",IF(IF(L49&lt;&gt;"",M49="待确认",0)+IF(P49&lt;&gt;"",Q49="待确认",0)+IF(T49&lt;&gt;"",U49="待确认",0)+IF(X49&lt;&gt;"",Y49="待确认",0)&gt;0,"待确认","未开始")))))</f>
        <v>未开始</v>
      </c>
      <c r="H49" s="20" t="str">
        <f aca="false">IF(L49&lt;&gt;"",L49,IF(P49&lt;&gt;"",P49,IF(T49&lt;&gt;"",T49,X49)))</f>
        <v>技术经理</v>
      </c>
      <c r="I49" s="32" t="n">
        <f aca="false">IF(COUNT(N49,R49,V49,Z49)=0,"",MIN(N49,R49,V49,Z49))</f>
        <v>46343</v>
      </c>
      <c r="J49" s="32" t="n">
        <f aca="false">IF(COUNT(O49,S49,W49,AA49)=0,"",MAX(O49,S49,W49,AA49))</f>
        <v>46349</v>
      </c>
      <c r="K49" s="32" t="n">
        <v>46356</v>
      </c>
      <c r="L49" s="20"/>
      <c r="M49" s="21"/>
      <c r="N49" s="32"/>
      <c r="O49" s="32"/>
      <c r="P49" s="21" t="s">
        <v>98</v>
      </c>
      <c r="Q49" s="21" t="s">
        <v>112</v>
      </c>
      <c r="R49" s="32" t="n">
        <v>46343</v>
      </c>
      <c r="S49" s="32" t="n">
        <v>46349</v>
      </c>
      <c r="T49" s="20"/>
      <c r="U49" s="21"/>
      <c r="V49" s="32"/>
      <c r="W49" s="32"/>
      <c r="X49" s="20"/>
      <c r="Y49" s="21"/>
      <c r="Z49" s="32"/>
      <c r="AA49" s="32"/>
      <c r="AB49" s="33" t="n">
        <f aca="false">IFERROR((IF(L49&lt;&gt;"",IF(M49="已完成",1,IF(M49="进行中",0.5,0))*15%,0)+IF(P49&lt;&gt;"",IF(Q49="已完成",1,IF(Q49="进行中",0.5,0))*35%,0)+IF(T49&lt;&gt;"",IF(U49="已完成",1,IF(U49="进行中",0.5,0))*30%,0)+IF(X49&lt;&gt;"",IF(Y49="已完成",1,IF(Y49="进行中",0.5,0))*20%,0))/(IF(L49&lt;&gt;"",15%,0)+IF(P49&lt;&gt;"",35%,0)+IF(T49&lt;&gt;"",30%,0)+IF(X49&lt;&gt;"",20%,0)),0)</f>
        <v>0</v>
      </c>
      <c r="AC49" s="21" t="str">
        <f aca="false">IF($A49="","",IF(G49="已完成","正常",IF(G49="暂停","暂停",IF(J49="","日期缺失",IF(J49&lt;_数据接口!$B$7,"已延期",IF(J49&lt;=_数据接口!$B$7+7,"临近到期","正常"))))))</f>
        <v>正常</v>
      </c>
      <c r="AD49" s="21"/>
      <c r="AE49" s="21"/>
      <c r="AF49" s="36"/>
      <c r="AG49" s="32"/>
      <c r="AH49" s="34" t="str">
        <f aca="false">IF(OR($A49="",J49="",AG49=""),"",AG49-J49)</f>
        <v/>
      </c>
    </row>
    <row r="50" customFormat="false" ht="31.5" hidden="false" customHeight="true" outlineLevel="0" collapsed="false">
      <c r="A50" s="20" t="s">
        <v>334</v>
      </c>
      <c r="B50" s="25"/>
      <c r="C50" s="25"/>
      <c r="D50" s="21" t="s">
        <v>335</v>
      </c>
      <c r="E50" s="21" t="s">
        <v>336</v>
      </c>
      <c r="F50" s="20" t="s">
        <v>119</v>
      </c>
      <c r="G50" s="21" t="str">
        <f aca="false">IF(OR(M50="暂停",M50="挂起",Q50="暂停",Q50="挂起",U50="暂停",U50="挂起",Y50="暂停",Y50="挂起"),"暂停",IF(COUNTA(L50,P50,T50,X50)=0,"未分配",IF(IF(L50&lt;&gt;"",M50="已完成",0)+IF(P50&lt;&gt;"",Q50="已完成",0)+IF(T50&lt;&gt;"",U50="已完成",0)+IF(X50&lt;&gt;"",Y50="已完成",0)=COUNTA(L50,P50,T50,X50),"已完成",IF(IF(L50&lt;&gt;"",M50="进行中",0)+IF(P50&lt;&gt;"",Q50="进行中",0)+IF(T50&lt;&gt;"",U50="进行中",0)+IF(X50&lt;&gt;"",Y50="进行中",0)&gt;0,"进行中",IF(IF(L50&lt;&gt;"",M50="待确认",0)+IF(P50&lt;&gt;"",Q50="待确认",0)+IF(T50&lt;&gt;"",U50="待确认",0)+IF(X50&lt;&gt;"",Y50="待确认",0)&gt;0,"待确认","未开始")))))</f>
        <v>未开始</v>
      </c>
      <c r="H50" s="20" t="str">
        <f aca="false">IF(L50&lt;&gt;"",L50,IF(P50&lt;&gt;"",P50,IF(T50&lt;&gt;"",T50,X50)))</f>
        <v>项目经理</v>
      </c>
      <c r="I50" s="32" t="n">
        <f aca="false">IF(COUNT(N50,R50,V50,Z50)=0,"",MIN(N50,R50,V50,Z50))</f>
        <v>46350</v>
      </c>
      <c r="J50" s="32" t="n">
        <f aca="false">IF(COUNT(O50,S50,W50,AA50)=0,"",MAX(O50,S50,W50,AA50))</f>
        <v>46356</v>
      </c>
      <c r="K50" s="32" t="n">
        <v>46356</v>
      </c>
      <c r="L50" s="21" t="s">
        <v>73</v>
      </c>
      <c r="M50" s="21" t="s">
        <v>112</v>
      </c>
      <c r="N50" s="32" t="n">
        <v>46350</v>
      </c>
      <c r="O50" s="32" t="n">
        <v>46356</v>
      </c>
      <c r="P50" s="20"/>
      <c r="Q50" s="21"/>
      <c r="R50" s="32"/>
      <c r="S50" s="32"/>
      <c r="T50" s="20"/>
      <c r="U50" s="21"/>
      <c r="V50" s="32"/>
      <c r="W50" s="32"/>
      <c r="X50" s="20"/>
      <c r="Y50" s="21"/>
      <c r="Z50" s="32"/>
      <c r="AA50" s="32"/>
      <c r="AB50" s="33" t="n">
        <f aca="false">IFERROR((IF(L50&lt;&gt;"",IF(M50="已完成",1,IF(M50="进行中",0.5,0))*15%,0)+IF(P50&lt;&gt;"",IF(Q50="已完成",1,IF(Q50="进行中",0.5,0))*35%,0)+IF(T50&lt;&gt;"",IF(U50="已完成",1,IF(U50="进行中",0.5,0))*30%,0)+IF(X50&lt;&gt;"",IF(Y50="已完成",1,IF(Y50="进行中",0.5,0))*20%,0))/(IF(L50&lt;&gt;"",15%,0)+IF(P50&lt;&gt;"",35%,0)+IF(T50&lt;&gt;"",30%,0)+IF(X50&lt;&gt;"",20%,0)),0)</f>
        <v>0</v>
      </c>
      <c r="AC50" s="21" t="str">
        <f aca="false">IF($A50="","",IF(G50="已完成","正常",IF(G50="暂停","暂停",IF(J50="","日期缺失",IF(J50&lt;_数据接口!$B$7,"已延期",IF(J50&lt;=_数据接口!$B$7+7,"临近到期","正常"))))))</f>
        <v>正常</v>
      </c>
      <c r="AD50" s="21"/>
      <c r="AE50" s="21"/>
      <c r="AF50" s="36"/>
      <c r="AG50" s="32"/>
      <c r="AH50" s="34" t="str">
        <f aca="false">IF(OR($A50="",J50="",AG50=""),"",AG50-J50)</f>
        <v/>
      </c>
    </row>
    <row r="51" customFormat="false" ht="31.5" hidden="false" customHeight="true" outlineLevel="0" collapsed="false">
      <c r="A51" s="20" t="s">
        <v>337</v>
      </c>
      <c r="B51" s="25"/>
      <c r="C51" s="25" t="s">
        <v>125</v>
      </c>
      <c r="D51" s="21" t="s">
        <v>338</v>
      </c>
      <c r="E51" s="21" t="s">
        <v>339</v>
      </c>
      <c r="F51" s="20" t="s">
        <v>124</v>
      </c>
      <c r="G51" s="21" t="str">
        <f aca="false">IF(OR(M51="暂停",M51="挂起",Q51="暂停",Q51="挂起",U51="暂停",U51="挂起",Y51="暂停",Y51="挂起"),"暂停",IF(COUNTA(L51,P51,T51,X51)=0,"未分配",IF(IF(L51&lt;&gt;"",M51="已完成",0)+IF(P51&lt;&gt;"",Q51="已完成",0)+IF(T51&lt;&gt;"",U51="已完成",0)+IF(X51&lt;&gt;"",Y51="已完成",0)=COUNTA(L51,P51,T51,X51),"已完成",IF(IF(L51&lt;&gt;"",M51="进行中",0)+IF(P51&lt;&gt;"",Q51="进行中",0)+IF(T51&lt;&gt;"",U51="进行中",0)+IF(X51&lt;&gt;"",Y51="进行中",0)&gt;0,"进行中",IF(IF(L51&lt;&gt;"",M51="待确认",0)+IF(P51&lt;&gt;"",Q51="待确认",0)+IF(T51&lt;&gt;"",U51="待确认",0)+IF(X51&lt;&gt;"",Y51="待确认",0)&gt;0,"待确认","未开始")))))</f>
        <v>未开始</v>
      </c>
      <c r="H51" s="20" t="str">
        <f aca="false">IF(L51&lt;&gt;"",L51,IF(P51&lt;&gt;"",P51,IF(T51&lt;&gt;"",T51,X51)))</f>
        <v>技术经理</v>
      </c>
      <c r="I51" s="32" t="n">
        <f aca="false">IF(COUNT(N51,R51,V51,Z51)=0,"",MIN(N51,R51,V51,Z51))</f>
        <v>46341</v>
      </c>
      <c r="J51" s="32" t="n">
        <f aca="false">IF(COUNT(O51,S51,W51,AA51)=0,"",MAX(O51,S51,W51,AA51))</f>
        <v>46347</v>
      </c>
      <c r="K51" s="32" t="n">
        <v>46387</v>
      </c>
      <c r="L51" s="20"/>
      <c r="M51" s="21"/>
      <c r="N51" s="32"/>
      <c r="O51" s="32"/>
      <c r="P51" s="21" t="s">
        <v>98</v>
      </c>
      <c r="Q51" s="21" t="s">
        <v>112</v>
      </c>
      <c r="R51" s="32" t="n">
        <v>46341</v>
      </c>
      <c r="S51" s="32" t="n">
        <v>46347</v>
      </c>
      <c r="T51" s="20"/>
      <c r="U51" s="21"/>
      <c r="V51" s="32"/>
      <c r="W51" s="32"/>
      <c r="X51" s="20"/>
      <c r="Y51" s="21"/>
      <c r="Z51" s="32"/>
      <c r="AA51" s="32"/>
      <c r="AB51" s="33" t="n">
        <f aca="false">IFERROR((IF(L51&lt;&gt;"",IF(M51="已完成",1,IF(M51="进行中",0.5,0))*15%,0)+IF(P51&lt;&gt;"",IF(Q51="已完成",1,IF(Q51="进行中",0.5,0))*35%,0)+IF(T51&lt;&gt;"",IF(U51="已完成",1,IF(U51="进行中",0.5,0))*30%,0)+IF(X51&lt;&gt;"",IF(Y51="已完成",1,IF(Y51="进行中",0.5,0))*20%,0))/(IF(L51&lt;&gt;"",15%,0)+IF(P51&lt;&gt;"",35%,0)+IF(T51&lt;&gt;"",30%,0)+IF(X51&lt;&gt;"",20%,0)),0)</f>
        <v>0</v>
      </c>
      <c r="AC51" s="21" t="str">
        <f aca="false">IF($A51="","",IF(G51="已完成","正常",IF(G51="暂停","暂停",IF(J51="","日期缺失",IF(J51&lt;_数据接口!$B$7,"已延期",IF(J51&lt;=_数据接口!$B$7+7,"临近到期","正常"))))))</f>
        <v>正常</v>
      </c>
      <c r="AD51" s="21"/>
      <c r="AE51" s="21"/>
      <c r="AF51" s="36"/>
      <c r="AG51" s="32"/>
      <c r="AH51" s="34" t="str">
        <f aca="false">IF(OR($A51="",J51="",AG51=""),"",AG51-J51)</f>
        <v/>
      </c>
    </row>
    <row r="52" customFormat="false" ht="31.5" hidden="false" customHeight="true" outlineLevel="0" collapsed="false">
      <c r="A52" s="20" t="s">
        <v>340</v>
      </c>
      <c r="B52" s="25"/>
      <c r="C52" s="25"/>
      <c r="D52" s="21" t="s">
        <v>341</v>
      </c>
      <c r="E52" s="21" t="s">
        <v>342</v>
      </c>
      <c r="F52" s="20" t="s">
        <v>124</v>
      </c>
      <c r="G52" s="21" t="str">
        <f aca="false">IF(OR(M52="暂停",M52="挂起",Q52="暂停",Q52="挂起",U52="暂停",U52="挂起",Y52="暂停",Y52="挂起"),"暂停",IF(COUNTA(L52,P52,T52,X52)=0,"未分配",IF(IF(L52&lt;&gt;"",M52="已完成",0)+IF(P52&lt;&gt;"",Q52="已完成",0)+IF(T52&lt;&gt;"",U52="已完成",0)+IF(X52&lt;&gt;"",Y52="已完成",0)=COUNTA(L52,P52,T52,X52),"已完成",IF(IF(L52&lt;&gt;"",M52="进行中",0)+IF(P52&lt;&gt;"",Q52="进行中",0)+IF(T52&lt;&gt;"",U52="进行中",0)+IF(X52&lt;&gt;"",Y52="进行中",0)&gt;0,"进行中",IF(IF(L52&lt;&gt;"",M52="待确认",0)+IF(P52&lt;&gt;"",Q52="待确认",0)+IF(T52&lt;&gt;"",U52="待确认",0)+IF(X52&lt;&gt;"",Y52="待确认",0)&gt;0,"待确认","未开始")))))</f>
        <v>未开始</v>
      </c>
      <c r="H52" s="20" t="str">
        <f aca="false">IF(L52&lt;&gt;"",L52,IF(P52&lt;&gt;"",P52,IF(T52&lt;&gt;"",T52,X52)))</f>
        <v>高级开发人员</v>
      </c>
      <c r="I52" s="32" t="n">
        <f aca="false">IF(COUNT(N52,R52,V52,Z52)=0,"",MIN(N52,R52,V52,Z52))</f>
        <v>46348</v>
      </c>
      <c r="J52" s="32" t="n">
        <f aca="false">IF(COUNT(O52,S52,W52,AA52)=0,"",MAX(O52,S52,W52,AA52))</f>
        <v>46355</v>
      </c>
      <c r="K52" s="32" t="n">
        <v>46387</v>
      </c>
      <c r="L52" s="20"/>
      <c r="M52" s="21"/>
      <c r="N52" s="32"/>
      <c r="O52" s="32"/>
      <c r="P52" s="21" t="s">
        <v>132</v>
      </c>
      <c r="Q52" s="21" t="s">
        <v>112</v>
      </c>
      <c r="R52" s="32" t="n">
        <v>46348</v>
      </c>
      <c r="S52" s="32" t="n">
        <v>46355</v>
      </c>
      <c r="T52" s="20"/>
      <c r="U52" s="21"/>
      <c r="V52" s="32"/>
      <c r="W52" s="32"/>
      <c r="X52" s="20"/>
      <c r="Y52" s="21"/>
      <c r="Z52" s="32"/>
      <c r="AA52" s="32"/>
      <c r="AB52" s="33" t="n">
        <f aca="false">IFERROR((IF(L52&lt;&gt;"",IF(M52="已完成",1,IF(M52="进行中",0.5,0))*15%,0)+IF(P52&lt;&gt;"",IF(Q52="已完成",1,IF(Q52="进行中",0.5,0))*35%,0)+IF(T52&lt;&gt;"",IF(U52="已完成",1,IF(U52="进行中",0.5,0))*30%,0)+IF(X52&lt;&gt;"",IF(Y52="已完成",1,IF(Y52="进行中",0.5,0))*20%,0))/(IF(L52&lt;&gt;"",15%,0)+IF(P52&lt;&gt;"",35%,0)+IF(T52&lt;&gt;"",30%,0)+IF(X52&lt;&gt;"",20%,0)),0)</f>
        <v>0</v>
      </c>
      <c r="AC52" s="21" t="str">
        <f aca="false">IF($A52="","",IF(G52="已完成","正常",IF(G52="暂停","暂停",IF(J52="","日期缺失",IF(J52&lt;_数据接口!$B$7,"已延期",IF(J52&lt;=_数据接口!$B$7+7,"临近到期","正常"))))))</f>
        <v>正常</v>
      </c>
      <c r="AD52" s="21"/>
      <c r="AE52" s="21"/>
      <c r="AF52" s="36"/>
      <c r="AG52" s="32"/>
      <c r="AH52" s="34" t="str">
        <f aca="false">IF(OR($A52="",J52="",AG52=""),"",AG52-J52)</f>
        <v/>
      </c>
    </row>
    <row r="53" customFormat="false" ht="31.5" hidden="false" customHeight="true" outlineLevel="0" collapsed="false">
      <c r="A53" s="20" t="s">
        <v>343</v>
      </c>
      <c r="B53" s="25"/>
      <c r="C53" s="25"/>
      <c r="D53" s="21" t="s">
        <v>344</v>
      </c>
      <c r="E53" s="21" t="s">
        <v>345</v>
      </c>
      <c r="F53" s="20" t="s">
        <v>124</v>
      </c>
      <c r="G53" s="21" t="str">
        <f aca="false">IF(OR(M53="暂停",M53="挂起",Q53="暂停",Q53="挂起",U53="暂停",U53="挂起",Y53="暂停",Y53="挂起"),"暂停",IF(COUNTA(L53,P53,T53,X53)=0,"未分配",IF(IF(L53&lt;&gt;"",M53="已完成",0)+IF(P53&lt;&gt;"",Q53="已完成",0)+IF(T53&lt;&gt;"",U53="已完成",0)+IF(X53&lt;&gt;"",Y53="已完成",0)=COUNTA(L53,P53,T53,X53),"已完成",IF(IF(L53&lt;&gt;"",M53="进行中",0)+IF(P53&lt;&gt;"",Q53="进行中",0)+IF(T53&lt;&gt;"",U53="进行中",0)+IF(X53&lt;&gt;"",Y53="进行中",0)&gt;0,"进行中",IF(IF(L53&lt;&gt;"",M53="待确认",0)+IF(P53&lt;&gt;"",Q53="待确认",0)+IF(T53&lt;&gt;"",U53="待确认",0)+IF(X53&lt;&gt;"",Y53="待确认",0)&gt;0,"待确认","未开始")))))</f>
        <v>未开始</v>
      </c>
      <c r="H53" s="20" t="str">
        <f aca="false">IF(L53&lt;&gt;"",L53,IF(P53&lt;&gt;"",P53,IF(T53&lt;&gt;"",T53,X53)))</f>
        <v>高级开发人员</v>
      </c>
      <c r="I53" s="32" t="n">
        <f aca="false">IF(COUNT(N53,R53,V53,Z53)=0,"",MIN(N53,R53,V53,Z53))</f>
        <v>46356</v>
      </c>
      <c r="J53" s="32" t="n">
        <f aca="false">IF(COUNT(O53,S53,W53,AA53)=0,"",MAX(O53,S53,W53,AA53))</f>
        <v>46363</v>
      </c>
      <c r="K53" s="32" t="n">
        <v>46387</v>
      </c>
      <c r="L53" s="20"/>
      <c r="M53" s="21"/>
      <c r="N53" s="32"/>
      <c r="O53" s="32"/>
      <c r="P53" s="21" t="s">
        <v>132</v>
      </c>
      <c r="Q53" s="21" t="s">
        <v>112</v>
      </c>
      <c r="R53" s="32" t="n">
        <v>46356</v>
      </c>
      <c r="S53" s="32" t="n">
        <v>46363</v>
      </c>
      <c r="T53" s="20"/>
      <c r="U53" s="21"/>
      <c r="V53" s="32"/>
      <c r="W53" s="32"/>
      <c r="X53" s="20"/>
      <c r="Y53" s="21"/>
      <c r="Z53" s="32"/>
      <c r="AA53" s="32"/>
      <c r="AB53" s="33" t="n">
        <f aca="false">IFERROR((IF(L53&lt;&gt;"",IF(M53="已完成",1,IF(M53="进行中",0.5,0))*15%,0)+IF(P53&lt;&gt;"",IF(Q53="已完成",1,IF(Q53="进行中",0.5,0))*35%,0)+IF(T53&lt;&gt;"",IF(U53="已完成",1,IF(U53="进行中",0.5,0))*30%,0)+IF(X53&lt;&gt;"",IF(Y53="已完成",1,IF(Y53="进行中",0.5,0))*20%,0))/(IF(L53&lt;&gt;"",15%,0)+IF(P53&lt;&gt;"",35%,0)+IF(T53&lt;&gt;"",30%,0)+IF(X53&lt;&gt;"",20%,0)),0)</f>
        <v>0</v>
      </c>
      <c r="AC53" s="21" t="str">
        <f aca="false">IF($A53="","",IF(G53="已完成","正常",IF(G53="暂停","暂停",IF(J53="","日期缺失",IF(J53&lt;_数据接口!$B$7,"已延期",IF(J53&lt;=_数据接口!$B$7+7,"临近到期","正常"))))))</f>
        <v>正常</v>
      </c>
      <c r="AD53" s="21"/>
      <c r="AE53" s="21"/>
      <c r="AF53" s="36"/>
      <c r="AG53" s="32"/>
      <c r="AH53" s="34" t="str">
        <f aca="false">IF(OR($A53="",J53="",AG53=""),"",AG53-J53)</f>
        <v/>
      </c>
    </row>
    <row r="54" customFormat="false" ht="31.5" hidden="false" customHeight="true" outlineLevel="0" collapsed="false">
      <c r="A54" s="20" t="s">
        <v>346</v>
      </c>
      <c r="B54" s="25"/>
      <c r="C54" s="25"/>
      <c r="D54" s="21" t="s">
        <v>347</v>
      </c>
      <c r="E54" s="21" t="s">
        <v>348</v>
      </c>
      <c r="F54" s="20" t="s">
        <v>124</v>
      </c>
      <c r="G54" s="21" t="str">
        <f aca="false">IF(OR(M54="暂停",M54="挂起",Q54="暂停",Q54="挂起",U54="暂停",U54="挂起",Y54="暂停",Y54="挂起"),"暂停",IF(COUNTA(L54,P54,T54,X54)=0,"未分配",IF(IF(L54&lt;&gt;"",M54="已完成",0)+IF(P54&lt;&gt;"",Q54="已完成",0)+IF(T54&lt;&gt;"",U54="已完成",0)+IF(X54&lt;&gt;"",Y54="已完成",0)=COUNTA(L54,P54,T54,X54),"已完成",IF(IF(L54&lt;&gt;"",M54="进行中",0)+IF(P54&lt;&gt;"",Q54="进行中",0)+IF(T54&lt;&gt;"",U54="进行中",0)+IF(X54&lt;&gt;"",Y54="进行中",0)&gt;0,"进行中",IF(IF(L54&lt;&gt;"",M54="待确认",0)+IF(P54&lt;&gt;"",Q54="待确认",0)+IF(T54&lt;&gt;"",U54="待确认",0)+IF(X54&lt;&gt;"",Y54="待确认",0)&gt;0,"待确认","未开始")))))</f>
        <v>未开始</v>
      </c>
      <c r="H54" s="20" t="str">
        <f aca="false">IF(L54&lt;&gt;"",L54,IF(P54&lt;&gt;"",P54,IF(T54&lt;&gt;"",T54,X54)))</f>
        <v>技术经理</v>
      </c>
      <c r="I54" s="32" t="n">
        <f aca="false">IF(COUNT(N54,R54,V54,Z54)=0,"",MIN(N54,R54,V54,Z54))</f>
        <v>46364</v>
      </c>
      <c r="J54" s="32" t="n">
        <f aca="false">IF(COUNT(O54,S54,W54,AA54)=0,"",MAX(O54,S54,W54,AA54))</f>
        <v>46371</v>
      </c>
      <c r="K54" s="32" t="n">
        <v>46387</v>
      </c>
      <c r="L54" s="20"/>
      <c r="M54" s="21"/>
      <c r="N54" s="32"/>
      <c r="O54" s="32"/>
      <c r="P54" s="21" t="s">
        <v>98</v>
      </c>
      <c r="Q54" s="21" t="s">
        <v>112</v>
      </c>
      <c r="R54" s="32" t="n">
        <v>46364</v>
      </c>
      <c r="S54" s="32" t="n">
        <v>46371</v>
      </c>
      <c r="T54" s="20"/>
      <c r="U54" s="21"/>
      <c r="V54" s="32"/>
      <c r="W54" s="32"/>
      <c r="X54" s="20"/>
      <c r="Y54" s="21"/>
      <c r="Z54" s="32"/>
      <c r="AA54" s="32"/>
      <c r="AB54" s="33" t="n">
        <f aca="false">IFERROR((IF(L54&lt;&gt;"",IF(M54="已完成",1,IF(M54="进行中",0.5,0))*15%,0)+IF(P54&lt;&gt;"",IF(Q54="已完成",1,IF(Q54="进行中",0.5,0))*35%,0)+IF(T54&lt;&gt;"",IF(U54="已完成",1,IF(U54="进行中",0.5,0))*30%,0)+IF(X54&lt;&gt;"",IF(Y54="已完成",1,IF(Y54="进行中",0.5,0))*20%,0))/(IF(L54&lt;&gt;"",15%,0)+IF(P54&lt;&gt;"",35%,0)+IF(T54&lt;&gt;"",30%,0)+IF(X54&lt;&gt;"",20%,0)),0)</f>
        <v>0</v>
      </c>
      <c r="AC54" s="21" t="str">
        <f aca="false">IF($A54="","",IF(G54="已完成","正常",IF(G54="暂停","暂停",IF(J54="","日期缺失",IF(J54&lt;_数据接口!$B$7,"已延期",IF(J54&lt;=_数据接口!$B$7+7,"临近到期","正常"))))))</f>
        <v>正常</v>
      </c>
      <c r="AD54" s="21"/>
      <c r="AE54" s="21"/>
      <c r="AF54" s="36"/>
      <c r="AG54" s="32"/>
      <c r="AH54" s="34" t="str">
        <f aca="false">IF(OR($A54="",J54="",AG54=""),"",AG54-J54)</f>
        <v/>
      </c>
    </row>
    <row r="55" customFormat="false" ht="31.5" hidden="false" customHeight="true" outlineLevel="0" collapsed="false">
      <c r="A55" s="20" t="s">
        <v>349</v>
      </c>
      <c r="B55" s="25"/>
      <c r="C55" s="25"/>
      <c r="D55" s="21" t="s">
        <v>350</v>
      </c>
      <c r="E55" s="21" t="s">
        <v>351</v>
      </c>
      <c r="F55" s="20" t="s">
        <v>124</v>
      </c>
      <c r="G55" s="21" t="str">
        <f aca="false">IF(OR(M55="暂停",M55="挂起",Q55="暂停",Q55="挂起",U55="暂停",U55="挂起",Y55="暂停",Y55="挂起"),"暂停",IF(COUNTA(L55,P55,T55,X55)=0,"未分配",IF(IF(L55&lt;&gt;"",M55="已完成",0)+IF(P55&lt;&gt;"",Q55="已完成",0)+IF(T55&lt;&gt;"",U55="已完成",0)+IF(X55&lt;&gt;"",Y55="已完成",0)=COUNTA(L55,P55,T55,X55),"已完成",IF(IF(L55&lt;&gt;"",M55="进行中",0)+IF(P55&lt;&gt;"",Q55="进行中",0)+IF(T55&lt;&gt;"",U55="进行中",0)+IF(X55&lt;&gt;"",Y55="进行中",0)&gt;0,"进行中",IF(IF(L55&lt;&gt;"",M55="待确认",0)+IF(P55&lt;&gt;"",Q55="待确认",0)+IF(T55&lt;&gt;"",U55="待确认",0)+IF(X55&lt;&gt;"",Y55="待确认",0)&gt;0,"待确认","未开始")))))</f>
        <v>未开始</v>
      </c>
      <c r="H55" s="20" t="str">
        <f aca="false">IF(L55&lt;&gt;"",L55,IF(P55&lt;&gt;"",P55,IF(T55&lt;&gt;"",T55,X55)))</f>
        <v>美工</v>
      </c>
      <c r="I55" s="32" t="n">
        <f aca="false">IF(COUNT(N55,R55,V55,Z55)=0,"",MIN(N55,R55,V55,Z55))</f>
        <v>46372</v>
      </c>
      <c r="J55" s="32" t="n">
        <f aca="false">IF(COUNT(O55,S55,W55,AA55)=0,"",MAX(O55,S55,W55,AA55))</f>
        <v>46379</v>
      </c>
      <c r="K55" s="32" t="n">
        <v>46387</v>
      </c>
      <c r="L55" s="20"/>
      <c r="M55" s="21"/>
      <c r="N55" s="32"/>
      <c r="O55" s="32"/>
      <c r="P55" s="20"/>
      <c r="Q55" s="21"/>
      <c r="R55" s="32"/>
      <c r="S55" s="32"/>
      <c r="T55" s="21" t="s">
        <v>330</v>
      </c>
      <c r="U55" s="21" t="s">
        <v>112</v>
      </c>
      <c r="V55" s="32" t="n">
        <v>46372</v>
      </c>
      <c r="W55" s="32" t="n">
        <v>46379</v>
      </c>
      <c r="X55" s="20"/>
      <c r="Y55" s="21"/>
      <c r="Z55" s="32"/>
      <c r="AA55" s="32"/>
      <c r="AB55" s="33" t="n">
        <f aca="false">IFERROR((IF(L55&lt;&gt;"",IF(M55="已完成",1,IF(M55="进行中",0.5,0))*15%,0)+IF(P55&lt;&gt;"",IF(Q55="已完成",1,IF(Q55="进行中",0.5,0))*35%,0)+IF(T55&lt;&gt;"",IF(U55="已完成",1,IF(U55="进行中",0.5,0))*30%,0)+IF(X55&lt;&gt;"",IF(Y55="已完成",1,IF(Y55="进行中",0.5,0))*20%,0))/(IF(L55&lt;&gt;"",15%,0)+IF(P55&lt;&gt;"",35%,0)+IF(T55&lt;&gt;"",30%,0)+IF(X55&lt;&gt;"",20%,0)),0)</f>
        <v>0</v>
      </c>
      <c r="AC55" s="21" t="str">
        <f aca="false">IF($A55="","",IF(G55="已完成","正常",IF(G55="暂停","暂停",IF(J55="","日期缺失",IF(J55&lt;_数据接口!$B$7,"已延期",IF(J55&lt;=_数据接口!$B$7+7,"临近到期","正常"))))))</f>
        <v>正常</v>
      </c>
      <c r="AD55" s="21"/>
      <c r="AE55" s="21"/>
      <c r="AF55" s="36"/>
      <c r="AG55" s="32"/>
      <c r="AH55" s="34" t="str">
        <f aca="false">IF(OR($A55="",J55="",AG55=""),"",AG55-J55)</f>
        <v/>
      </c>
    </row>
    <row r="56" customFormat="false" ht="31.5" hidden="false" customHeight="true" outlineLevel="0" collapsed="false">
      <c r="A56" s="20" t="s">
        <v>352</v>
      </c>
      <c r="B56" s="25"/>
      <c r="C56" s="25"/>
      <c r="D56" s="21" t="s">
        <v>353</v>
      </c>
      <c r="E56" s="21" t="s">
        <v>354</v>
      </c>
      <c r="F56" s="20" t="s">
        <v>124</v>
      </c>
      <c r="G56" s="21" t="str">
        <f aca="false">IF(OR(M56="暂停",M56="挂起",Q56="暂停",Q56="挂起",U56="暂停",U56="挂起",Y56="暂停",Y56="挂起"),"暂停",IF(COUNTA(L56,P56,T56,X56)=0,"未分配",IF(IF(L56&lt;&gt;"",M56="已完成",0)+IF(P56&lt;&gt;"",Q56="已完成",0)+IF(T56&lt;&gt;"",U56="已完成",0)+IF(X56&lt;&gt;"",Y56="已完成",0)=COUNTA(L56,P56,T56,X56),"已完成",IF(IF(L56&lt;&gt;"",M56="进行中",0)+IF(P56&lt;&gt;"",Q56="进行中",0)+IF(T56&lt;&gt;"",U56="进行中",0)+IF(X56&lt;&gt;"",Y56="进行中",0)&gt;0,"进行中",IF(IF(L56&lt;&gt;"",M56="待确认",0)+IF(P56&lt;&gt;"",Q56="待确认",0)+IF(T56&lt;&gt;"",U56="待确认",0)+IF(X56&lt;&gt;"",Y56="待确认",0)&gt;0,"待确认","未开始")))))</f>
        <v>未开始</v>
      </c>
      <c r="H56" s="20" t="str">
        <f aca="false">IF(L56&lt;&gt;"",L56,IF(P56&lt;&gt;"",P56,IF(T56&lt;&gt;"",T56,X56)))</f>
        <v>技术经理</v>
      </c>
      <c r="I56" s="32" t="n">
        <f aca="false">IF(COUNT(N56,R56,V56,Z56)=0,"",MIN(N56,R56,V56,Z56))</f>
        <v>46380</v>
      </c>
      <c r="J56" s="32" t="n">
        <f aca="false">IF(COUNT(O56,S56,W56,AA56)=0,"",MAX(O56,S56,W56,AA56))</f>
        <v>46387</v>
      </c>
      <c r="K56" s="32" t="n">
        <v>46387</v>
      </c>
      <c r="L56" s="20"/>
      <c r="M56" s="21"/>
      <c r="N56" s="32"/>
      <c r="O56" s="32"/>
      <c r="P56" s="21" t="s">
        <v>98</v>
      </c>
      <c r="Q56" s="21" t="s">
        <v>112</v>
      </c>
      <c r="R56" s="32" t="n">
        <v>46380</v>
      </c>
      <c r="S56" s="32" t="n">
        <v>46387</v>
      </c>
      <c r="T56" s="20"/>
      <c r="U56" s="21"/>
      <c r="V56" s="32"/>
      <c r="W56" s="32"/>
      <c r="X56" s="20"/>
      <c r="Y56" s="21"/>
      <c r="Z56" s="32"/>
      <c r="AA56" s="32"/>
      <c r="AB56" s="33" t="n">
        <f aca="false">IFERROR((IF(L56&lt;&gt;"",IF(M56="已完成",1,IF(M56="进行中",0.5,0))*15%,0)+IF(P56&lt;&gt;"",IF(Q56="已完成",1,IF(Q56="进行中",0.5,0))*35%,0)+IF(T56&lt;&gt;"",IF(U56="已完成",1,IF(U56="进行中",0.5,0))*30%,0)+IF(X56&lt;&gt;"",IF(Y56="已完成",1,IF(Y56="进行中",0.5,0))*20%,0))/(IF(L56&lt;&gt;"",15%,0)+IF(P56&lt;&gt;"",35%,0)+IF(T56&lt;&gt;"",30%,0)+IF(X56&lt;&gt;"",20%,0)),0)</f>
        <v>0</v>
      </c>
      <c r="AC56" s="21" t="str">
        <f aca="false">IF($A56="","",IF(G56="已完成","正常",IF(G56="暂停","暂停",IF(J56="","日期缺失",IF(J56&lt;_数据接口!$B$7,"已延期",IF(J56&lt;=_数据接口!$B$7+7,"临近到期","正常"))))))</f>
        <v>正常</v>
      </c>
      <c r="AD56" s="21"/>
      <c r="AE56" s="21"/>
      <c r="AF56" s="36"/>
      <c r="AG56" s="32"/>
      <c r="AH56" s="34" t="str">
        <f aca="false">IF(OR($A56="",J56="",AG56=""),"",AG56-J56)</f>
        <v/>
      </c>
    </row>
    <row r="57" customFormat="false" ht="31.5" hidden="false" customHeight="true" outlineLevel="0" collapsed="false">
      <c r="A57" s="20" t="s">
        <v>355</v>
      </c>
      <c r="B57" s="25"/>
      <c r="C57" s="25" t="s">
        <v>130</v>
      </c>
      <c r="D57" s="21" t="s">
        <v>356</v>
      </c>
      <c r="E57" s="21" t="s">
        <v>357</v>
      </c>
      <c r="F57" s="20" t="s">
        <v>129</v>
      </c>
      <c r="G57" s="21" t="str">
        <f aca="false">IF(OR(M57="暂停",M57="挂起",Q57="暂停",Q57="挂起",U57="暂停",U57="挂起",Y57="暂停",Y57="挂起"),"暂停",IF(COUNTA(L57,P57,T57,X57)=0,"未分配",IF(IF(L57&lt;&gt;"",M57="已完成",0)+IF(P57&lt;&gt;"",Q57="已完成",0)+IF(T57&lt;&gt;"",U57="已完成",0)+IF(X57&lt;&gt;"",Y57="已完成",0)=COUNTA(L57,P57,T57,X57),"已完成",IF(IF(L57&lt;&gt;"",M57="进行中",0)+IF(P57&lt;&gt;"",Q57="进行中",0)+IF(T57&lt;&gt;"",U57="进行中",0)+IF(X57&lt;&gt;"",Y57="进行中",0)&gt;0,"进行中",IF(IF(L57&lt;&gt;"",M57="待确认",0)+IF(P57&lt;&gt;"",Q57="待确认",0)+IF(T57&lt;&gt;"",U57="待确认",0)+IF(X57&lt;&gt;"",Y57="待确认",0)&gt;0,"待确认","未开始")))))</f>
        <v>未开始</v>
      </c>
      <c r="H57" s="20" t="str">
        <f aca="false">IF(L57&lt;&gt;"",L57,IF(P57&lt;&gt;"",P57,IF(T57&lt;&gt;"",T57,X57)))</f>
        <v>高级开发人员</v>
      </c>
      <c r="I57" s="32" t="n">
        <f aca="false">IF(COUNT(N57,R57,V57,Z57)=0,"",MIN(N57,R57,V57,Z57))</f>
        <v>46357</v>
      </c>
      <c r="J57" s="32" t="n">
        <f aca="false">IF(COUNT(O57,S57,W57,AA57)=0,"",MAX(O57,S57,W57,AA57))</f>
        <v>46367</v>
      </c>
      <c r="K57" s="32" t="n">
        <v>46461</v>
      </c>
      <c r="L57" s="20"/>
      <c r="M57" s="21"/>
      <c r="N57" s="32"/>
      <c r="O57" s="32"/>
      <c r="P57" s="21" t="s">
        <v>132</v>
      </c>
      <c r="Q57" s="21" t="s">
        <v>112</v>
      </c>
      <c r="R57" s="32" t="n">
        <v>46357</v>
      </c>
      <c r="S57" s="32" t="n">
        <v>46367</v>
      </c>
      <c r="T57" s="20"/>
      <c r="U57" s="21"/>
      <c r="V57" s="32"/>
      <c r="W57" s="32"/>
      <c r="X57" s="20"/>
      <c r="Y57" s="21"/>
      <c r="Z57" s="32"/>
      <c r="AA57" s="32"/>
      <c r="AB57" s="33" t="n">
        <f aca="false">IFERROR((IF(L57&lt;&gt;"",IF(M57="已完成",1,IF(M57="进行中",0.5,0))*15%,0)+IF(P57&lt;&gt;"",IF(Q57="已完成",1,IF(Q57="进行中",0.5,0))*35%,0)+IF(T57&lt;&gt;"",IF(U57="已完成",1,IF(U57="进行中",0.5,0))*30%,0)+IF(X57&lt;&gt;"",IF(Y57="已完成",1,IF(Y57="进行中",0.5,0))*20%,0))/(IF(L57&lt;&gt;"",15%,0)+IF(P57&lt;&gt;"",35%,0)+IF(T57&lt;&gt;"",30%,0)+IF(X57&lt;&gt;"",20%,0)),0)</f>
        <v>0</v>
      </c>
      <c r="AC57" s="21" t="str">
        <f aca="false">IF($A57="","",IF(G57="已完成","正常",IF(G57="暂停","暂停",IF(J57="","日期缺失",IF(J57&lt;_数据接口!$B$7,"已延期",IF(J57&lt;=_数据接口!$B$7+7,"临近到期","正常"))))))</f>
        <v>正常</v>
      </c>
      <c r="AD57" s="21"/>
      <c r="AE57" s="21"/>
      <c r="AF57" s="36"/>
      <c r="AG57" s="32"/>
      <c r="AH57" s="34" t="str">
        <f aca="false">IF(OR($A57="",J57="",AG57=""),"",AG57-J57)</f>
        <v/>
      </c>
    </row>
    <row r="58" customFormat="false" ht="31.5" hidden="false" customHeight="true" outlineLevel="0" collapsed="false">
      <c r="A58" s="20" t="s">
        <v>358</v>
      </c>
      <c r="B58" s="25"/>
      <c r="C58" s="25"/>
      <c r="D58" s="21" t="s">
        <v>359</v>
      </c>
      <c r="E58" s="21" t="s">
        <v>360</v>
      </c>
      <c r="F58" s="20" t="s">
        <v>129</v>
      </c>
      <c r="G58" s="21" t="str">
        <f aca="false">IF(OR(M58="暂停",M58="挂起",Q58="暂停",Q58="挂起",U58="暂停",U58="挂起",Y58="暂停",Y58="挂起"),"暂停",IF(COUNTA(L58,P58,T58,X58)=0,"未分配",IF(IF(L58&lt;&gt;"",M58="已完成",0)+IF(P58&lt;&gt;"",Q58="已完成",0)+IF(T58&lt;&gt;"",U58="已完成",0)+IF(X58&lt;&gt;"",Y58="已完成",0)=COUNTA(L58,P58,T58,X58),"已完成",IF(IF(L58&lt;&gt;"",M58="进行中",0)+IF(P58&lt;&gt;"",Q58="进行中",0)+IF(T58&lt;&gt;"",U58="进行中",0)+IF(X58&lt;&gt;"",Y58="进行中",0)&gt;0,"进行中",IF(IF(L58&lt;&gt;"",M58="待确认",0)+IF(P58&lt;&gt;"",Q58="待确认",0)+IF(T58&lt;&gt;"",U58="待确认",0)+IF(X58&lt;&gt;"",Y58="待确认",0)&gt;0,"待确认","未开始")))))</f>
        <v>未开始</v>
      </c>
      <c r="H58" s="20" t="str">
        <f aca="false">IF(L58&lt;&gt;"",L58,IF(P58&lt;&gt;"",P58,IF(T58&lt;&gt;"",T58,X58)))</f>
        <v>中级开发人员</v>
      </c>
      <c r="I58" s="32" t="n">
        <f aca="false">IF(COUNT(N58,R58,V58,Z58)=0,"",MIN(N58,R58,V58,Z58))</f>
        <v>46368</v>
      </c>
      <c r="J58" s="32" t="n">
        <f aca="false">IF(COUNT(O58,S58,W58,AA58)=0,"",MAX(O58,S58,W58,AA58))</f>
        <v>46379</v>
      </c>
      <c r="K58" s="32" t="n">
        <v>46461</v>
      </c>
      <c r="L58" s="20"/>
      <c r="M58" s="21"/>
      <c r="N58" s="32"/>
      <c r="O58" s="32"/>
      <c r="P58" s="20"/>
      <c r="Q58" s="21"/>
      <c r="R58" s="32"/>
      <c r="S58" s="32"/>
      <c r="T58" s="21" t="s">
        <v>280</v>
      </c>
      <c r="U58" s="21" t="s">
        <v>112</v>
      </c>
      <c r="V58" s="32" t="n">
        <v>46368</v>
      </c>
      <c r="W58" s="32" t="n">
        <v>46379</v>
      </c>
      <c r="X58" s="20"/>
      <c r="Y58" s="21"/>
      <c r="Z58" s="32"/>
      <c r="AA58" s="32"/>
      <c r="AB58" s="33" t="n">
        <f aca="false">IFERROR((IF(L58&lt;&gt;"",IF(M58="已完成",1,IF(M58="进行中",0.5,0))*15%,0)+IF(P58&lt;&gt;"",IF(Q58="已完成",1,IF(Q58="进行中",0.5,0))*35%,0)+IF(T58&lt;&gt;"",IF(U58="已完成",1,IF(U58="进行中",0.5,0))*30%,0)+IF(X58&lt;&gt;"",IF(Y58="已完成",1,IF(Y58="进行中",0.5,0))*20%,0))/(IF(L58&lt;&gt;"",15%,0)+IF(P58&lt;&gt;"",35%,0)+IF(T58&lt;&gt;"",30%,0)+IF(X58&lt;&gt;"",20%,0)),0)</f>
        <v>0</v>
      </c>
      <c r="AC58" s="21" t="str">
        <f aca="false">IF($A58="","",IF(G58="已完成","正常",IF(G58="暂停","暂停",IF(J58="","日期缺失",IF(J58&lt;_数据接口!$B$7,"已延期",IF(J58&lt;=_数据接口!$B$7+7,"临近到期","正常"))))))</f>
        <v>正常</v>
      </c>
      <c r="AD58" s="21"/>
      <c r="AE58" s="39"/>
      <c r="AF58" s="36"/>
      <c r="AG58" s="32"/>
      <c r="AH58" s="34" t="str">
        <f aca="false">IF(OR($A58="",J58="",AG58=""),"",AG58-J58)</f>
        <v/>
      </c>
    </row>
    <row r="59" customFormat="false" ht="31.5" hidden="false" customHeight="true" outlineLevel="0" collapsed="false">
      <c r="A59" s="20" t="s">
        <v>361</v>
      </c>
      <c r="B59" s="25"/>
      <c r="C59" s="25"/>
      <c r="D59" s="21" t="s">
        <v>362</v>
      </c>
      <c r="E59" s="21" t="s">
        <v>363</v>
      </c>
      <c r="F59" s="20" t="s">
        <v>129</v>
      </c>
      <c r="G59" s="21" t="str">
        <f aca="false">IF(OR(M59="暂停",M59="挂起",Q59="暂停",Q59="挂起",U59="暂停",U59="挂起",Y59="暂停",Y59="挂起"),"暂停",IF(COUNTA(L59,P59,T59,X59)=0,"未分配",IF(IF(L59&lt;&gt;"",M59="已完成",0)+IF(P59&lt;&gt;"",Q59="已完成",0)+IF(T59&lt;&gt;"",U59="已完成",0)+IF(X59&lt;&gt;"",Y59="已完成",0)=COUNTA(L59,P59,T59,X59),"已完成",IF(IF(L59&lt;&gt;"",M59="进行中",0)+IF(P59&lt;&gt;"",Q59="进行中",0)+IF(T59&lt;&gt;"",U59="进行中",0)+IF(X59&lt;&gt;"",Y59="进行中",0)&gt;0,"进行中",IF(IF(L59&lt;&gt;"",M59="待确认",0)+IF(P59&lt;&gt;"",Q59="待确认",0)+IF(T59&lt;&gt;"",U59="待确认",0)+IF(X59&lt;&gt;"",Y59="待确认",0)&gt;0,"待确认","未开始")))))</f>
        <v>未开始</v>
      </c>
      <c r="H59" s="20" t="str">
        <f aca="false">IF(L59&lt;&gt;"",L59,IF(P59&lt;&gt;"",P59,IF(T59&lt;&gt;"",T59,X59)))</f>
        <v>中级开发人员</v>
      </c>
      <c r="I59" s="32" t="n">
        <f aca="false">IF(COUNT(N59,R59,V59,Z59)=0,"",MIN(N59,R59,V59,Z59))</f>
        <v>46380</v>
      </c>
      <c r="J59" s="32" t="n">
        <f aca="false">IF(COUNT(O59,S59,W59,AA59)=0,"",MAX(O59,S59,W59,AA59))</f>
        <v>46391</v>
      </c>
      <c r="K59" s="32" t="n">
        <v>46461</v>
      </c>
      <c r="L59" s="20"/>
      <c r="M59" s="21"/>
      <c r="N59" s="32"/>
      <c r="O59" s="32"/>
      <c r="P59" s="20"/>
      <c r="Q59" s="21"/>
      <c r="R59" s="32"/>
      <c r="S59" s="32"/>
      <c r="T59" s="21" t="s">
        <v>280</v>
      </c>
      <c r="U59" s="21" t="s">
        <v>112</v>
      </c>
      <c r="V59" s="32" t="n">
        <v>46380</v>
      </c>
      <c r="W59" s="32" t="n">
        <v>46391</v>
      </c>
      <c r="X59" s="20"/>
      <c r="Y59" s="21"/>
      <c r="Z59" s="32"/>
      <c r="AA59" s="32"/>
      <c r="AB59" s="33" t="n">
        <f aca="false">IFERROR((IF(L59&lt;&gt;"",IF(M59="已完成",1,IF(M59="进行中",0.5,0))*15%,0)+IF(P59&lt;&gt;"",IF(Q59="已完成",1,IF(Q59="进行中",0.5,0))*35%,0)+IF(T59&lt;&gt;"",IF(U59="已完成",1,IF(U59="进行中",0.5,0))*30%,0)+IF(X59&lt;&gt;"",IF(Y59="已完成",1,IF(Y59="进行中",0.5,0))*20%,0))/(IF(L59&lt;&gt;"",15%,0)+IF(P59&lt;&gt;"",35%,0)+IF(T59&lt;&gt;"",30%,0)+IF(X59&lt;&gt;"",20%,0)),0)</f>
        <v>0</v>
      </c>
      <c r="AC59" s="21" t="str">
        <f aca="false">IF($A59="","",IF(G59="已完成","正常",IF(G59="暂停","暂停",IF(J59="","日期缺失",IF(J59&lt;_数据接口!$B$7,"已延期",IF(J59&lt;=_数据接口!$B$7+7,"临近到期","正常"))))))</f>
        <v>正常</v>
      </c>
      <c r="AD59" s="21"/>
      <c r="AE59" s="39"/>
      <c r="AF59" s="36"/>
      <c r="AG59" s="32"/>
      <c r="AH59" s="34" t="str">
        <f aca="false">IF(OR($A59="",J59="",AG59=""),"",AG59-J59)</f>
        <v/>
      </c>
    </row>
    <row r="60" customFormat="false" ht="31.5" hidden="false" customHeight="true" outlineLevel="0" collapsed="false">
      <c r="A60" s="20" t="s">
        <v>364</v>
      </c>
      <c r="B60" s="25"/>
      <c r="C60" s="25"/>
      <c r="D60" s="21" t="s">
        <v>365</v>
      </c>
      <c r="E60" s="21" t="s">
        <v>366</v>
      </c>
      <c r="F60" s="20" t="s">
        <v>129</v>
      </c>
      <c r="G60" s="21" t="str">
        <f aca="false">IF(OR(M60="暂停",M60="挂起",Q60="暂停",Q60="挂起",U60="暂停",U60="挂起",Y60="暂停",Y60="挂起"),"暂停",IF(COUNTA(L60,P60,T60,X60)=0,"未分配",IF(IF(L60&lt;&gt;"",M60="已完成",0)+IF(P60&lt;&gt;"",Q60="已完成",0)+IF(T60&lt;&gt;"",U60="已完成",0)+IF(X60&lt;&gt;"",Y60="已完成",0)=COUNTA(L60,P60,T60,X60),"已完成",IF(IF(L60&lt;&gt;"",M60="进行中",0)+IF(P60&lt;&gt;"",Q60="进行中",0)+IF(T60&lt;&gt;"",U60="进行中",0)+IF(X60&lt;&gt;"",Y60="进行中",0)&gt;0,"进行中",IF(IF(L60&lt;&gt;"",M60="待确认",0)+IF(P60&lt;&gt;"",Q60="待确认",0)+IF(T60&lt;&gt;"",U60="待确认",0)+IF(X60&lt;&gt;"",Y60="待确认",0)&gt;0,"待确认","未开始")))))</f>
        <v>未开始</v>
      </c>
      <c r="H60" s="20" t="str">
        <f aca="false">IF(L60&lt;&gt;"",L60,IF(P60&lt;&gt;"",P60,IF(T60&lt;&gt;"",T60,X60)))</f>
        <v>高级开发人员</v>
      </c>
      <c r="I60" s="32" t="n">
        <f aca="false">IF(COUNT(N60,R60,V60,Z60)=0,"",MIN(N60,R60,V60,Z60))</f>
        <v>46392</v>
      </c>
      <c r="J60" s="32" t="n">
        <f aca="false">IF(COUNT(O60,S60,W60,AA60)=0,"",MAX(O60,S60,W60,AA60))</f>
        <v>46402</v>
      </c>
      <c r="K60" s="32" t="n">
        <v>46461</v>
      </c>
      <c r="L60" s="20"/>
      <c r="M60" s="21"/>
      <c r="N60" s="32"/>
      <c r="O60" s="32"/>
      <c r="P60" s="21" t="s">
        <v>132</v>
      </c>
      <c r="Q60" s="21" t="s">
        <v>112</v>
      </c>
      <c r="R60" s="32" t="n">
        <v>46392</v>
      </c>
      <c r="S60" s="32" t="n">
        <v>46402</v>
      </c>
      <c r="T60" s="20"/>
      <c r="U60" s="21"/>
      <c r="V60" s="32"/>
      <c r="W60" s="32"/>
      <c r="X60" s="20"/>
      <c r="Y60" s="21"/>
      <c r="Z60" s="32"/>
      <c r="AA60" s="32"/>
      <c r="AB60" s="33" t="n">
        <f aca="false">IFERROR((IF(L60&lt;&gt;"",IF(M60="已完成",1,IF(M60="进行中",0.5,0))*15%,0)+IF(P60&lt;&gt;"",IF(Q60="已完成",1,IF(Q60="进行中",0.5,0))*35%,0)+IF(T60&lt;&gt;"",IF(U60="已完成",1,IF(U60="进行中",0.5,0))*30%,0)+IF(X60&lt;&gt;"",IF(Y60="已完成",1,IF(Y60="进行中",0.5,0))*20%,0))/(IF(L60&lt;&gt;"",15%,0)+IF(P60&lt;&gt;"",35%,0)+IF(T60&lt;&gt;"",30%,0)+IF(X60&lt;&gt;"",20%,0)),0)</f>
        <v>0</v>
      </c>
      <c r="AC60" s="21" t="str">
        <f aca="false">IF($A60="","",IF(G60="已完成","正常",IF(G60="暂停","暂停",IF(J60="","日期缺失",IF(J60&lt;_数据接口!$B$7,"已延期",IF(J60&lt;=_数据接口!$B$7+7,"临近到期","正常"))))))</f>
        <v>正常</v>
      </c>
      <c r="AD60" s="21"/>
      <c r="AE60" s="39"/>
      <c r="AF60" s="36"/>
      <c r="AG60" s="32"/>
      <c r="AH60" s="34" t="str">
        <f aca="false">IF(OR($A60="",J60="",AG60=""),"",AG60-J60)</f>
        <v/>
      </c>
    </row>
    <row r="61" customFormat="false" ht="31.5" hidden="false" customHeight="true" outlineLevel="0" collapsed="false">
      <c r="A61" s="20" t="s">
        <v>367</v>
      </c>
      <c r="B61" s="25"/>
      <c r="C61" s="25"/>
      <c r="D61" s="21" t="s">
        <v>368</v>
      </c>
      <c r="E61" s="21" t="s">
        <v>369</v>
      </c>
      <c r="F61" s="20" t="s">
        <v>129</v>
      </c>
      <c r="G61" s="21" t="str">
        <f aca="false">IF(OR(M61="暂停",M61="挂起",Q61="暂停",Q61="挂起",U61="暂停",U61="挂起",Y61="暂停",Y61="挂起"),"暂停",IF(COUNTA(L61,P61,T61,X61)=0,"未分配",IF(IF(L61&lt;&gt;"",M61="已完成",0)+IF(P61&lt;&gt;"",Q61="已完成",0)+IF(T61&lt;&gt;"",U61="已完成",0)+IF(X61&lt;&gt;"",Y61="已完成",0)=COUNTA(L61,P61,T61,X61),"已完成",IF(IF(L61&lt;&gt;"",M61="进行中",0)+IF(P61&lt;&gt;"",Q61="进行中",0)+IF(T61&lt;&gt;"",U61="进行中",0)+IF(X61&lt;&gt;"",Y61="进行中",0)&gt;0,"进行中",IF(IF(L61&lt;&gt;"",M61="待确认",0)+IF(P61&lt;&gt;"",Q61="待确认",0)+IF(T61&lt;&gt;"",U61="待确认",0)+IF(X61&lt;&gt;"",Y61="待确认",0)&gt;0,"待确认","未开始")))))</f>
        <v>未开始</v>
      </c>
      <c r="H61" s="20" t="str">
        <f aca="false">IF(L61&lt;&gt;"",L61,IF(P61&lt;&gt;"",P61,IF(T61&lt;&gt;"",T61,X61)))</f>
        <v>高级开发人员</v>
      </c>
      <c r="I61" s="32" t="n">
        <f aca="false">IF(COUNT(N61,R61,V61,Z61)=0,"",MIN(N61,R61,V61,Z61))</f>
        <v>46403</v>
      </c>
      <c r="J61" s="32" t="n">
        <f aca="false">IF(COUNT(O61,S61,W61,AA61)=0,"",MAX(O61,S61,W61,AA61))</f>
        <v>46414</v>
      </c>
      <c r="K61" s="32" t="n">
        <v>46461</v>
      </c>
      <c r="L61" s="20"/>
      <c r="M61" s="21"/>
      <c r="N61" s="32"/>
      <c r="O61" s="32"/>
      <c r="P61" s="21" t="s">
        <v>132</v>
      </c>
      <c r="Q61" s="21" t="s">
        <v>112</v>
      </c>
      <c r="R61" s="32" t="n">
        <v>46403</v>
      </c>
      <c r="S61" s="32" t="n">
        <v>46414</v>
      </c>
      <c r="T61" s="20"/>
      <c r="U61" s="21"/>
      <c r="V61" s="32"/>
      <c r="W61" s="32"/>
      <c r="X61" s="20"/>
      <c r="Y61" s="21"/>
      <c r="Z61" s="32"/>
      <c r="AA61" s="32"/>
      <c r="AB61" s="33" t="n">
        <f aca="false">IFERROR((IF(L61&lt;&gt;"",IF(M61="已完成",1,IF(M61="进行中",0.5,0))*15%,0)+IF(P61&lt;&gt;"",IF(Q61="已完成",1,IF(Q61="进行中",0.5,0))*35%,0)+IF(T61&lt;&gt;"",IF(U61="已完成",1,IF(U61="进行中",0.5,0))*30%,0)+IF(X61&lt;&gt;"",IF(Y61="已完成",1,IF(Y61="进行中",0.5,0))*20%,0))/(IF(L61&lt;&gt;"",15%,0)+IF(P61&lt;&gt;"",35%,0)+IF(T61&lt;&gt;"",30%,0)+IF(X61&lt;&gt;"",20%,0)),0)</f>
        <v>0</v>
      </c>
      <c r="AC61" s="21" t="str">
        <f aca="false">IF($A61="","",IF(G61="已完成","正常",IF(G61="暂停","暂停",IF(J61="","日期缺失",IF(J61&lt;_数据接口!$B$7,"已延期",IF(J61&lt;=_数据接口!$B$7+7,"临近到期","正常"))))))</f>
        <v>正常</v>
      </c>
      <c r="AD61" s="21"/>
      <c r="AE61" s="39"/>
      <c r="AF61" s="36"/>
      <c r="AG61" s="32"/>
      <c r="AH61" s="34" t="str">
        <f aca="false">IF(OR($A61="",J61="",AG61=""),"",AG61-J61)</f>
        <v/>
      </c>
    </row>
    <row r="62" customFormat="false" ht="31.5" hidden="false" customHeight="true" outlineLevel="0" collapsed="false">
      <c r="A62" s="20" t="s">
        <v>370</v>
      </c>
      <c r="B62" s="25"/>
      <c r="C62" s="25"/>
      <c r="D62" s="21" t="s">
        <v>371</v>
      </c>
      <c r="E62" s="21" t="s">
        <v>372</v>
      </c>
      <c r="F62" s="20" t="s">
        <v>129</v>
      </c>
      <c r="G62" s="21" t="str">
        <f aca="false">IF(OR(M62="暂停",M62="挂起",Q62="暂停",Q62="挂起",U62="暂停",U62="挂起",Y62="暂停",Y62="挂起"),"暂停",IF(COUNTA(L62,P62,T62,X62)=0,"未分配",IF(IF(L62&lt;&gt;"",M62="已完成",0)+IF(P62&lt;&gt;"",Q62="已完成",0)+IF(T62&lt;&gt;"",U62="已完成",0)+IF(X62&lt;&gt;"",Y62="已完成",0)=COUNTA(L62,P62,T62,X62),"已完成",IF(IF(L62&lt;&gt;"",M62="进行中",0)+IF(P62&lt;&gt;"",Q62="进行中",0)+IF(T62&lt;&gt;"",U62="进行中",0)+IF(X62&lt;&gt;"",Y62="进行中",0)&gt;0,"进行中",IF(IF(L62&lt;&gt;"",M62="待确认",0)+IF(P62&lt;&gt;"",Q62="待确认",0)+IF(T62&lt;&gt;"",U62="待确认",0)+IF(X62&lt;&gt;"",Y62="待确认",0)&gt;0,"待确认","未开始")))))</f>
        <v>未开始</v>
      </c>
      <c r="H62" s="20" t="str">
        <f aca="false">IF(L62&lt;&gt;"",L62,IF(P62&lt;&gt;"",P62,IF(T62&lt;&gt;"",T62,X62)))</f>
        <v>中级开发人员</v>
      </c>
      <c r="I62" s="32" t="n">
        <f aca="false">IF(COUNT(N62,R62,V62,Z62)=0,"",MIN(N62,R62,V62,Z62))</f>
        <v>46415</v>
      </c>
      <c r="J62" s="32" t="n">
        <f aca="false">IF(COUNT(O62,S62,W62,AA62)=0,"",MAX(O62,S62,W62,AA62))</f>
        <v>46426</v>
      </c>
      <c r="K62" s="32" t="n">
        <v>46461</v>
      </c>
      <c r="L62" s="20"/>
      <c r="M62" s="21"/>
      <c r="N62" s="32"/>
      <c r="O62" s="32"/>
      <c r="P62" s="21" t="s">
        <v>280</v>
      </c>
      <c r="Q62" s="21" t="s">
        <v>112</v>
      </c>
      <c r="R62" s="32" t="n">
        <v>46415</v>
      </c>
      <c r="S62" s="32" t="n">
        <v>46426</v>
      </c>
      <c r="T62" s="20"/>
      <c r="U62" s="21"/>
      <c r="V62" s="32"/>
      <c r="W62" s="32"/>
      <c r="X62" s="20"/>
      <c r="Y62" s="21"/>
      <c r="Z62" s="32"/>
      <c r="AA62" s="32"/>
      <c r="AB62" s="33" t="n">
        <f aca="false">IFERROR((IF(L62&lt;&gt;"",IF(M62="已完成",1,IF(M62="进行中",0.5,0))*15%,0)+IF(P62&lt;&gt;"",IF(Q62="已完成",1,IF(Q62="进行中",0.5,0))*35%,0)+IF(T62&lt;&gt;"",IF(U62="已完成",1,IF(U62="进行中",0.5,0))*30%,0)+IF(X62&lt;&gt;"",IF(Y62="已完成",1,IF(Y62="进行中",0.5,0))*20%,0))/(IF(L62&lt;&gt;"",15%,0)+IF(P62&lt;&gt;"",35%,0)+IF(T62&lt;&gt;"",30%,0)+IF(X62&lt;&gt;"",20%,0)),0)</f>
        <v>0</v>
      </c>
      <c r="AC62" s="21" t="str">
        <f aca="false">IF($A62="","",IF(G62="已完成","正常",IF(G62="暂停","暂停",IF(J62="","日期缺失",IF(J62&lt;_数据接口!$B$7,"已延期",IF(J62&lt;=_数据接口!$B$7+7,"临近到期","正常"))))))</f>
        <v>正常</v>
      </c>
      <c r="AD62" s="21"/>
      <c r="AE62" s="39"/>
      <c r="AF62" s="36"/>
      <c r="AG62" s="32"/>
      <c r="AH62" s="34" t="str">
        <f aca="false">IF(OR($A62="",J62="",AG62=""),"",AG62-J62)</f>
        <v/>
      </c>
    </row>
    <row r="63" customFormat="false" ht="31.5" hidden="false" customHeight="true" outlineLevel="0" collapsed="false">
      <c r="A63" s="20" t="s">
        <v>373</v>
      </c>
      <c r="B63" s="25"/>
      <c r="C63" s="25"/>
      <c r="D63" s="21" t="s">
        <v>374</v>
      </c>
      <c r="E63" s="21" t="s">
        <v>375</v>
      </c>
      <c r="F63" s="20" t="s">
        <v>129</v>
      </c>
      <c r="G63" s="21" t="str">
        <f aca="false">IF(OR(M63="暂停",M63="挂起",Q63="暂停",Q63="挂起",U63="暂停",U63="挂起",Y63="暂停",Y63="挂起"),"暂停",IF(COUNTA(L63,P63,T63,X63)=0,"未分配",IF(IF(L63&lt;&gt;"",M63="已完成",0)+IF(P63&lt;&gt;"",Q63="已完成",0)+IF(T63&lt;&gt;"",U63="已完成",0)+IF(X63&lt;&gt;"",Y63="已完成",0)=COUNTA(L63,P63,T63,X63),"已完成",IF(IF(L63&lt;&gt;"",M63="进行中",0)+IF(P63&lt;&gt;"",Q63="进行中",0)+IF(T63&lt;&gt;"",U63="进行中",0)+IF(X63&lt;&gt;"",Y63="进行中",0)&gt;0,"进行中",IF(IF(L63&lt;&gt;"",M63="待确认",0)+IF(P63&lt;&gt;"",Q63="待确认",0)+IF(T63&lt;&gt;"",U63="待确认",0)+IF(X63&lt;&gt;"",Y63="待确认",0)&gt;0,"待确认","未开始")))))</f>
        <v>未开始</v>
      </c>
      <c r="H63" s="20" t="str">
        <f aca="false">IF(L63&lt;&gt;"",L63,IF(P63&lt;&gt;"",P63,IF(T63&lt;&gt;"",T63,X63)))</f>
        <v>中级开发人员</v>
      </c>
      <c r="I63" s="32" t="n">
        <f aca="false">IF(COUNT(N63,R63,V63,Z63)=0,"",MIN(N63,R63,V63,Z63))</f>
        <v>46427</v>
      </c>
      <c r="J63" s="32" t="n">
        <f aca="false">IF(COUNT(O63,S63,W63,AA63)=0,"",MAX(O63,S63,W63,AA63))</f>
        <v>46437</v>
      </c>
      <c r="K63" s="32" t="n">
        <v>46461</v>
      </c>
      <c r="L63" s="20"/>
      <c r="M63" s="21"/>
      <c r="N63" s="32"/>
      <c r="O63" s="32"/>
      <c r="P63" s="21" t="s">
        <v>280</v>
      </c>
      <c r="Q63" s="21" t="s">
        <v>112</v>
      </c>
      <c r="R63" s="32" t="n">
        <v>46427</v>
      </c>
      <c r="S63" s="32" t="n">
        <v>46437</v>
      </c>
      <c r="T63" s="20"/>
      <c r="U63" s="21"/>
      <c r="V63" s="32"/>
      <c r="W63" s="32"/>
      <c r="X63" s="20"/>
      <c r="Y63" s="21"/>
      <c r="Z63" s="32"/>
      <c r="AA63" s="32"/>
      <c r="AB63" s="33" t="n">
        <f aca="false">IFERROR((IF(L63&lt;&gt;"",IF(M63="已完成",1,IF(M63="进行中",0.5,0))*15%,0)+IF(P63&lt;&gt;"",IF(Q63="已完成",1,IF(Q63="进行中",0.5,0))*35%,0)+IF(T63&lt;&gt;"",IF(U63="已完成",1,IF(U63="进行中",0.5,0))*30%,0)+IF(X63&lt;&gt;"",IF(Y63="已完成",1,IF(Y63="进行中",0.5,0))*20%,0))/(IF(L63&lt;&gt;"",15%,0)+IF(P63&lt;&gt;"",35%,0)+IF(T63&lt;&gt;"",30%,0)+IF(X63&lt;&gt;"",20%,0)),0)</f>
        <v>0</v>
      </c>
      <c r="AC63" s="21" t="str">
        <f aca="false">IF($A63="","",IF(G63="已完成","正常",IF(G63="暂停","暂停",IF(J63="","日期缺失",IF(J63&lt;_数据接口!$B$7,"已延期",IF(J63&lt;=_数据接口!$B$7+7,"临近到期","正常"))))))</f>
        <v>正常</v>
      </c>
      <c r="AD63" s="21"/>
      <c r="AE63" s="39"/>
      <c r="AF63" s="36"/>
      <c r="AG63" s="32"/>
      <c r="AH63" s="34" t="str">
        <f aca="false">IF(OR($A63="",J63="",AG63=""),"",AG63-J63)</f>
        <v/>
      </c>
    </row>
    <row r="64" customFormat="false" ht="31.5" hidden="false" customHeight="true" outlineLevel="0" collapsed="false">
      <c r="A64" s="20" t="s">
        <v>376</v>
      </c>
      <c r="B64" s="25"/>
      <c r="C64" s="25"/>
      <c r="D64" s="21" t="s">
        <v>377</v>
      </c>
      <c r="E64" s="21" t="s">
        <v>378</v>
      </c>
      <c r="F64" s="20" t="s">
        <v>129</v>
      </c>
      <c r="G64" s="21" t="str">
        <f aca="false">IF(OR(M64="暂停",M64="挂起",Q64="暂停",Q64="挂起",U64="暂停",U64="挂起",Y64="暂停",Y64="挂起"),"暂停",IF(COUNTA(L64,P64,T64,X64)=0,"未分配",IF(IF(L64&lt;&gt;"",M64="已完成",0)+IF(P64&lt;&gt;"",Q64="已完成",0)+IF(T64&lt;&gt;"",U64="已完成",0)+IF(X64&lt;&gt;"",Y64="已完成",0)=COUNTA(L64,P64,T64,X64),"已完成",IF(IF(L64&lt;&gt;"",M64="进行中",0)+IF(P64&lt;&gt;"",Q64="进行中",0)+IF(T64&lt;&gt;"",U64="进行中",0)+IF(X64&lt;&gt;"",Y64="进行中",0)&gt;0,"进行中",IF(IF(L64&lt;&gt;"",M64="待确认",0)+IF(P64&lt;&gt;"",Q64="待确认",0)+IF(T64&lt;&gt;"",U64="待确认",0)+IF(X64&lt;&gt;"",Y64="待确认",0)&gt;0,"待确认","未开始")))))</f>
        <v>未开始</v>
      </c>
      <c r="H64" s="20" t="str">
        <f aca="false">IF(L64&lt;&gt;"",L64,IF(P64&lt;&gt;"",P64,IF(T64&lt;&gt;"",T64,X64)))</f>
        <v>中级开发人员</v>
      </c>
      <c r="I64" s="32" t="n">
        <f aca="false">IF(COUNT(N64,R64,V64,Z64)=0,"",MIN(N64,R64,V64,Z64))</f>
        <v>46438</v>
      </c>
      <c r="J64" s="32" t="n">
        <f aca="false">IF(COUNT(O64,S64,W64,AA64)=0,"",MAX(O64,S64,W64,AA64))</f>
        <v>46449</v>
      </c>
      <c r="K64" s="32" t="n">
        <v>46461</v>
      </c>
      <c r="L64" s="20"/>
      <c r="M64" s="21"/>
      <c r="N64" s="32"/>
      <c r="O64" s="32"/>
      <c r="P64" s="21" t="s">
        <v>280</v>
      </c>
      <c r="Q64" s="21" t="s">
        <v>112</v>
      </c>
      <c r="R64" s="32" t="n">
        <v>46438</v>
      </c>
      <c r="S64" s="32" t="n">
        <v>46449</v>
      </c>
      <c r="T64" s="20"/>
      <c r="U64" s="21"/>
      <c r="V64" s="32"/>
      <c r="W64" s="32"/>
      <c r="X64" s="20"/>
      <c r="Y64" s="21"/>
      <c r="Z64" s="32"/>
      <c r="AA64" s="32"/>
      <c r="AB64" s="33" t="n">
        <f aca="false">IFERROR((IF(L64&lt;&gt;"",IF(M64="已完成",1,IF(M64="进行中",0.5,0))*15%,0)+IF(P64&lt;&gt;"",IF(Q64="已完成",1,IF(Q64="进行中",0.5,0))*35%,0)+IF(T64&lt;&gt;"",IF(U64="已完成",1,IF(U64="进行中",0.5,0))*30%,0)+IF(X64&lt;&gt;"",IF(Y64="已完成",1,IF(Y64="进行中",0.5,0))*20%,0))/(IF(L64&lt;&gt;"",15%,0)+IF(P64&lt;&gt;"",35%,0)+IF(T64&lt;&gt;"",30%,0)+IF(X64&lt;&gt;"",20%,0)),0)</f>
        <v>0</v>
      </c>
      <c r="AC64" s="21" t="str">
        <f aca="false">IF($A64="","",IF(G64="已完成","正常",IF(G64="暂停","暂停",IF(J64="","日期缺失",IF(J64&lt;_数据接口!$B$7,"已延期",IF(J64&lt;=_数据接口!$B$7+7,"临近到期","正常"))))))</f>
        <v>正常</v>
      </c>
      <c r="AD64" s="21"/>
      <c r="AE64" s="39"/>
      <c r="AF64" s="36"/>
      <c r="AG64" s="32"/>
      <c r="AH64" s="34" t="str">
        <f aca="false">IF(OR($A64="",J64="",AG64=""),"",AG64-J64)</f>
        <v/>
      </c>
    </row>
    <row r="65" customFormat="false" ht="31.5" hidden="false" customHeight="true" outlineLevel="0" collapsed="false">
      <c r="A65" s="20" t="s">
        <v>379</v>
      </c>
      <c r="B65" s="25"/>
      <c r="C65" s="25"/>
      <c r="D65" s="21" t="s">
        <v>380</v>
      </c>
      <c r="E65" s="21" t="s">
        <v>381</v>
      </c>
      <c r="F65" s="20" t="s">
        <v>129</v>
      </c>
      <c r="G65" s="21" t="str">
        <f aca="false">IF(OR(M65="暂停",M65="挂起",Q65="暂停",Q65="挂起",U65="暂停",U65="挂起",Y65="暂停",Y65="挂起"),"暂停",IF(COUNTA(L65,P65,T65,X65)=0,"未分配",IF(IF(L65&lt;&gt;"",M65="已完成",0)+IF(P65&lt;&gt;"",Q65="已完成",0)+IF(T65&lt;&gt;"",U65="已完成",0)+IF(X65&lt;&gt;"",Y65="已完成",0)=COUNTA(L65,P65,T65,X65),"已完成",IF(IF(L65&lt;&gt;"",M65="进行中",0)+IF(P65&lt;&gt;"",Q65="进行中",0)+IF(T65&lt;&gt;"",U65="进行中",0)+IF(X65&lt;&gt;"",Y65="进行中",0)&gt;0,"进行中",IF(IF(L65&lt;&gt;"",M65="待确认",0)+IF(P65&lt;&gt;"",Q65="待确认",0)+IF(T65&lt;&gt;"",U65="待确认",0)+IF(X65&lt;&gt;"",Y65="待确认",0)&gt;0,"待确认","未开始")))))</f>
        <v>未开始</v>
      </c>
      <c r="H65" s="20" t="str">
        <f aca="false">IF(L65&lt;&gt;"",L65,IF(P65&lt;&gt;"",P65,IF(T65&lt;&gt;"",T65,X65)))</f>
        <v>中级开发人员</v>
      </c>
      <c r="I65" s="32" t="n">
        <f aca="false">IF(COUNT(N65,R65,V65,Z65)=0,"",MIN(N65,R65,V65,Z65))</f>
        <v>46450</v>
      </c>
      <c r="J65" s="32" t="n">
        <f aca="false">IF(COUNT(O65,S65,W65,AA65)=0,"",MAX(O65,S65,W65,AA65))</f>
        <v>46461</v>
      </c>
      <c r="K65" s="32" t="n">
        <v>46461</v>
      </c>
      <c r="L65" s="20"/>
      <c r="M65" s="21"/>
      <c r="N65" s="32"/>
      <c r="O65" s="32"/>
      <c r="P65" s="20"/>
      <c r="Q65" s="21"/>
      <c r="R65" s="32"/>
      <c r="S65" s="32"/>
      <c r="T65" s="21" t="s">
        <v>280</v>
      </c>
      <c r="U65" s="21" t="s">
        <v>112</v>
      </c>
      <c r="V65" s="32" t="n">
        <v>46450</v>
      </c>
      <c r="W65" s="32" t="n">
        <v>46461</v>
      </c>
      <c r="X65" s="20"/>
      <c r="Y65" s="21"/>
      <c r="Z65" s="32"/>
      <c r="AA65" s="32"/>
      <c r="AB65" s="33" t="n">
        <f aca="false">IFERROR((IF(L65&lt;&gt;"",IF(M65="已完成",1,IF(M65="进行中",0.5,0))*15%,0)+IF(P65&lt;&gt;"",IF(Q65="已完成",1,IF(Q65="进行中",0.5,0))*35%,0)+IF(T65&lt;&gt;"",IF(U65="已完成",1,IF(U65="进行中",0.5,0))*30%,0)+IF(X65&lt;&gt;"",IF(Y65="已完成",1,IF(Y65="进行中",0.5,0))*20%,0))/(IF(L65&lt;&gt;"",15%,0)+IF(P65&lt;&gt;"",35%,0)+IF(T65&lt;&gt;"",30%,0)+IF(X65&lt;&gt;"",20%,0)),0)</f>
        <v>0</v>
      </c>
      <c r="AC65" s="21" t="str">
        <f aca="false">IF($A65="","",IF(G65="已完成","正常",IF(G65="暂停","暂停",IF(J65="","日期缺失",IF(J65&lt;_数据接口!$B$7,"已延期",IF(J65&lt;=_数据接口!$B$7+7,"临近到期","正常"))))))</f>
        <v>正常</v>
      </c>
      <c r="AD65" s="21"/>
      <c r="AE65" s="39"/>
      <c r="AF65" s="36"/>
      <c r="AG65" s="32"/>
      <c r="AH65" s="34" t="str">
        <f aca="false">IF(OR($A65="",J65="",AG65=""),"",AG65-J65)</f>
        <v/>
      </c>
    </row>
    <row r="66" customFormat="false" ht="31.5" hidden="false" customHeight="true" outlineLevel="0" collapsed="false">
      <c r="A66" s="20" t="s">
        <v>382</v>
      </c>
      <c r="B66" s="25"/>
      <c r="C66" s="25" t="s">
        <v>136</v>
      </c>
      <c r="D66" s="35" t="s">
        <v>383</v>
      </c>
      <c r="E66" s="21" t="s">
        <v>384</v>
      </c>
      <c r="F66" s="20" t="s">
        <v>135</v>
      </c>
      <c r="G66" s="21" t="str">
        <f aca="false">IF(OR(M66="暂停",M66="挂起",Q66="暂停",Q66="挂起",U66="暂停",U66="挂起",Y66="暂停",Y66="挂起"),"暂停",IF(COUNTA(L66,P66,T66,X66)=0,"未分配",IF(IF(L66&lt;&gt;"",M66="已完成",0)+IF(P66&lt;&gt;"",Q66="已完成",0)+IF(T66&lt;&gt;"",U66="已完成",0)+IF(X66&lt;&gt;"",Y66="已完成",0)=COUNTA(L66,P66,T66,X66),"已完成",IF(IF(L66&lt;&gt;"",M66="进行中",0)+IF(P66&lt;&gt;"",Q66="进行中",0)+IF(T66&lt;&gt;"",U66="进行中",0)+IF(X66&lt;&gt;"",Y66="进行中",0)&gt;0,"进行中",IF(IF(L66&lt;&gt;"",M66="待确认",0)+IF(P66&lt;&gt;"",Q66="待确认",0)+IF(T66&lt;&gt;"",U66="待确认",0)+IF(X66&lt;&gt;"",Y66="待确认",0)&gt;0,"待确认","未开始")))))</f>
        <v>未开始</v>
      </c>
      <c r="H66" s="20" t="str">
        <f aca="false">IF(L66&lt;&gt;"",L66,IF(P66&lt;&gt;"",P66,IF(T66&lt;&gt;"",T66,X66)))</f>
        <v>技术经理</v>
      </c>
      <c r="I66" s="32" t="n">
        <f aca="false">IF(COUNT(N66,R66,V66,Z66)=0,"",MIN(N66,R66,V66,Z66))</f>
        <v>46419</v>
      </c>
      <c r="J66" s="32" t="n">
        <f aca="false">IF(COUNT(O66,S66,W66,AA66)=0,"",MAX(O66,S66,W66,AA66))</f>
        <v>46424</v>
      </c>
      <c r="K66" s="32" t="n">
        <v>46456</v>
      </c>
      <c r="L66" s="20"/>
      <c r="M66" s="21"/>
      <c r="N66" s="32"/>
      <c r="O66" s="32"/>
      <c r="P66" s="21" t="s">
        <v>98</v>
      </c>
      <c r="Q66" s="21" t="s">
        <v>112</v>
      </c>
      <c r="R66" s="32" t="n">
        <v>46419</v>
      </c>
      <c r="S66" s="32" t="n">
        <v>46424</v>
      </c>
      <c r="T66" s="20"/>
      <c r="U66" s="21"/>
      <c r="V66" s="32"/>
      <c r="W66" s="32"/>
      <c r="X66" s="20"/>
      <c r="Y66" s="21"/>
      <c r="Z66" s="32"/>
      <c r="AA66" s="32"/>
      <c r="AB66" s="33" t="n">
        <f aca="false">IFERROR((IF(L66&lt;&gt;"",IF(M66="已完成",1,IF(M66="进行中",0.5,0))*15%,0)+IF(P66&lt;&gt;"",IF(Q66="已完成",1,IF(Q66="进行中",0.5,0))*35%,0)+IF(T66&lt;&gt;"",IF(U66="已完成",1,IF(U66="进行中",0.5,0))*30%,0)+IF(X66&lt;&gt;"",IF(Y66="已完成",1,IF(Y66="进行中",0.5,0))*20%,0))/(IF(L66&lt;&gt;"",15%,0)+IF(P66&lt;&gt;"",35%,0)+IF(T66&lt;&gt;"",30%,0)+IF(X66&lt;&gt;"",20%,0)),0)</f>
        <v>0</v>
      </c>
      <c r="AC66" s="21" t="str">
        <f aca="false">IF($A66="","",IF(G66="已完成","正常",IF(G66="暂停","暂停",IF(J66="","日期缺失",IF(J66&lt;_数据接口!$B$7,"已延期",IF(J66&lt;=_数据接口!$B$7+7,"临近到期","正常"))))))</f>
        <v>正常</v>
      </c>
      <c r="AD66" s="21"/>
      <c r="AE66" s="39"/>
      <c r="AF66" s="36"/>
      <c r="AG66" s="32"/>
      <c r="AH66" s="34" t="str">
        <f aca="false">IF(OR($A66="",J66="",AG66=""),"",AG66-J66)</f>
        <v/>
      </c>
    </row>
    <row r="67" customFormat="false" ht="31.5" hidden="false" customHeight="true" outlineLevel="0" collapsed="false">
      <c r="A67" s="20" t="s">
        <v>385</v>
      </c>
      <c r="B67" s="25"/>
      <c r="C67" s="25"/>
      <c r="D67" s="25"/>
      <c r="E67" s="21" t="s">
        <v>386</v>
      </c>
      <c r="F67" s="20" t="s">
        <v>135</v>
      </c>
      <c r="G67" s="21" t="str">
        <f aca="false">IF(OR(M67="暂停",M67="挂起",Q67="暂停",Q67="挂起",U67="暂停",U67="挂起",Y67="暂停",Y67="挂起"),"暂停",IF(COUNTA(L67,P67,T67,X67)=0,"未分配",IF(IF(L67&lt;&gt;"",M67="已完成",0)+IF(P67&lt;&gt;"",Q67="已完成",0)+IF(T67&lt;&gt;"",U67="已完成",0)+IF(X67&lt;&gt;"",Y67="已完成",0)=COUNTA(L67,P67,T67,X67),"已完成",IF(IF(L67&lt;&gt;"",M67="进行中",0)+IF(P67&lt;&gt;"",Q67="进行中",0)+IF(T67&lt;&gt;"",U67="进行中",0)+IF(X67&lt;&gt;"",Y67="进行中",0)&gt;0,"进行中",IF(IF(L67&lt;&gt;"",M67="待确认",0)+IF(P67&lt;&gt;"",Q67="待确认",0)+IF(T67&lt;&gt;"",U67="待确认",0)+IF(X67&lt;&gt;"",Y67="待确认",0)&gt;0,"待确认","未开始")))))</f>
        <v>未开始</v>
      </c>
      <c r="H67" s="20" t="str">
        <f aca="false">IF(L67&lt;&gt;"",L67,IF(P67&lt;&gt;"",P67,IF(T67&lt;&gt;"",T67,X67)))</f>
        <v>高级开发人员</v>
      </c>
      <c r="I67" s="32" t="n">
        <f aca="false">IF(COUNT(N67,R67,V67,Z67)=0,"",MIN(N67,R67,V67,Z67))</f>
        <v>46425</v>
      </c>
      <c r="J67" s="32" t="n">
        <f aca="false">IF(COUNT(O67,S67,W67,AA67)=0,"",MAX(O67,S67,W67,AA67))</f>
        <v>46430</v>
      </c>
      <c r="K67" s="32" t="n">
        <v>46456</v>
      </c>
      <c r="L67" s="20"/>
      <c r="M67" s="21"/>
      <c r="N67" s="32"/>
      <c r="O67" s="32"/>
      <c r="P67" s="21" t="s">
        <v>132</v>
      </c>
      <c r="Q67" s="21" t="s">
        <v>112</v>
      </c>
      <c r="R67" s="32" t="n">
        <v>46425</v>
      </c>
      <c r="S67" s="32" t="n">
        <v>46430</v>
      </c>
      <c r="T67" s="20"/>
      <c r="U67" s="21"/>
      <c r="V67" s="32"/>
      <c r="W67" s="32"/>
      <c r="X67" s="20"/>
      <c r="Y67" s="21"/>
      <c r="Z67" s="32"/>
      <c r="AA67" s="32"/>
      <c r="AB67" s="33" t="n">
        <f aca="false">IFERROR((IF(L67&lt;&gt;"",IF(M67="已完成",1,IF(M67="进行中",0.5,0))*15%,0)+IF(P67&lt;&gt;"",IF(Q67="已完成",1,IF(Q67="进行中",0.5,0))*35%,0)+IF(T67&lt;&gt;"",IF(U67="已完成",1,IF(U67="进行中",0.5,0))*30%,0)+IF(X67&lt;&gt;"",IF(Y67="已完成",1,IF(Y67="进行中",0.5,0))*20%,0))/(IF(L67&lt;&gt;"",15%,0)+IF(P67&lt;&gt;"",35%,0)+IF(T67&lt;&gt;"",30%,0)+IF(X67&lt;&gt;"",20%,0)),0)</f>
        <v>0</v>
      </c>
      <c r="AC67" s="21" t="str">
        <f aca="false">IF($A67="","",IF(G67="已完成","正常",IF(G67="暂停","暂停",IF(J67="","日期缺失",IF(J67&lt;_数据接口!$B$7,"已延期",IF(J67&lt;=_数据接口!$B$7+7,"临近到期","正常"))))))</f>
        <v>正常</v>
      </c>
      <c r="AD67" s="21"/>
      <c r="AE67" s="39"/>
      <c r="AF67" s="36"/>
      <c r="AG67" s="32"/>
      <c r="AH67" s="34" t="str">
        <f aca="false">IF(OR($A67="",J67="",AG67=""),"",AG67-J67)</f>
        <v/>
      </c>
    </row>
    <row r="68" customFormat="false" ht="31.5" hidden="false" customHeight="true" outlineLevel="0" collapsed="false">
      <c r="A68" s="20" t="s">
        <v>387</v>
      </c>
      <c r="B68" s="25"/>
      <c r="C68" s="25"/>
      <c r="D68" s="25"/>
      <c r="E68" s="21" t="s">
        <v>388</v>
      </c>
      <c r="F68" s="20" t="s">
        <v>135</v>
      </c>
      <c r="G68" s="21" t="str">
        <f aca="false">IF(OR(M68="暂停",M68="挂起",Q68="暂停",Q68="挂起",U68="暂停",U68="挂起",Y68="暂停",Y68="挂起"),"暂停",IF(COUNTA(L68,P68,T68,X68)=0,"未分配",IF(IF(L68&lt;&gt;"",M68="已完成",0)+IF(P68&lt;&gt;"",Q68="已完成",0)+IF(T68&lt;&gt;"",U68="已完成",0)+IF(X68&lt;&gt;"",Y68="已完成",0)=COUNTA(L68,P68,T68,X68),"已完成",IF(IF(L68&lt;&gt;"",M68="进行中",0)+IF(P68&lt;&gt;"",Q68="进行中",0)+IF(T68&lt;&gt;"",U68="进行中",0)+IF(X68&lt;&gt;"",Y68="进行中",0)&gt;0,"进行中",IF(IF(L68&lt;&gt;"",M68="待确认",0)+IF(P68&lt;&gt;"",Q68="待确认",0)+IF(T68&lt;&gt;"",U68="待确认",0)+IF(X68&lt;&gt;"",Y68="待确认",0)&gt;0,"待确认","未开始")))))</f>
        <v>未开始</v>
      </c>
      <c r="H68" s="20" t="str">
        <f aca="false">IF(L68&lt;&gt;"",L68,IF(P68&lt;&gt;"",P68,IF(T68&lt;&gt;"",T68,X68)))</f>
        <v>高级开发人员</v>
      </c>
      <c r="I68" s="32" t="n">
        <f aca="false">IF(COUNT(N68,R68,V68,Z68)=0,"",MIN(N68,R68,V68,Z68))</f>
        <v>46431</v>
      </c>
      <c r="J68" s="32" t="n">
        <f aca="false">IF(COUNT(O68,S68,W68,AA68)=0,"",MAX(O68,S68,W68,AA68))</f>
        <v>46437</v>
      </c>
      <c r="K68" s="32" t="n">
        <v>46456</v>
      </c>
      <c r="L68" s="20"/>
      <c r="M68" s="21"/>
      <c r="N68" s="32"/>
      <c r="O68" s="32"/>
      <c r="P68" s="21" t="s">
        <v>132</v>
      </c>
      <c r="Q68" s="21" t="s">
        <v>112</v>
      </c>
      <c r="R68" s="32" t="n">
        <v>46431</v>
      </c>
      <c r="S68" s="32" t="n">
        <v>46437</v>
      </c>
      <c r="T68" s="20"/>
      <c r="U68" s="21"/>
      <c r="V68" s="32"/>
      <c r="W68" s="32"/>
      <c r="X68" s="20"/>
      <c r="Y68" s="21"/>
      <c r="Z68" s="32"/>
      <c r="AA68" s="32"/>
      <c r="AB68" s="33" t="n">
        <f aca="false">IFERROR((IF(L68&lt;&gt;"",IF(M68="已完成",1,IF(M68="进行中",0.5,0))*15%,0)+IF(P68&lt;&gt;"",IF(Q68="已完成",1,IF(Q68="进行中",0.5,0))*35%,0)+IF(T68&lt;&gt;"",IF(U68="已完成",1,IF(U68="进行中",0.5,0))*30%,0)+IF(X68&lt;&gt;"",IF(Y68="已完成",1,IF(Y68="进行中",0.5,0))*20%,0))/(IF(L68&lt;&gt;"",15%,0)+IF(P68&lt;&gt;"",35%,0)+IF(T68&lt;&gt;"",30%,0)+IF(X68&lt;&gt;"",20%,0)),0)</f>
        <v>0</v>
      </c>
      <c r="AC68" s="21" t="str">
        <f aca="false">IF($A68="","",IF(G68="已完成","正常",IF(G68="暂停","暂停",IF(J68="","日期缺失",IF(J68&lt;_数据接口!$B$7,"已延期",IF(J68&lt;=_数据接口!$B$7+7,"临近到期","正常"))))))</f>
        <v>正常</v>
      </c>
      <c r="AD68" s="21"/>
      <c r="AE68" s="39"/>
      <c r="AF68" s="36"/>
      <c r="AG68" s="32"/>
      <c r="AH68" s="34" t="str">
        <f aca="false">IF(OR($A68="",J68="",AG68=""),"",AG68-J68)</f>
        <v/>
      </c>
    </row>
    <row r="69" customFormat="false" ht="31.5" hidden="false" customHeight="true" outlineLevel="0" collapsed="false">
      <c r="A69" s="20" t="s">
        <v>389</v>
      </c>
      <c r="B69" s="25"/>
      <c r="C69" s="25"/>
      <c r="D69" s="35"/>
      <c r="E69" s="21" t="s">
        <v>390</v>
      </c>
      <c r="F69" s="20" t="s">
        <v>135</v>
      </c>
      <c r="G69" s="21" t="str">
        <f aca="false">IF(OR(M69="暂停",M69="挂起",Q69="暂停",Q69="挂起",U69="暂停",U69="挂起",Y69="暂停",Y69="挂起"),"暂停",IF(COUNTA(L69,P69,T69,X69)=0,"未分配",IF(IF(L69&lt;&gt;"",M69="已完成",0)+IF(P69&lt;&gt;"",Q69="已完成",0)+IF(T69&lt;&gt;"",U69="已完成",0)+IF(X69&lt;&gt;"",Y69="已完成",0)=COUNTA(L69,P69,T69,X69),"已完成",IF(IF(L69&lt;&gt;"",M69="进行中",0)+IF(P69&lt;&gt;"",Q69="进行中",0)+IF(T69&lt;&gt;"",U69="进行中",0)+IF(X69&lt;&gt;"",Y69="进行中",0)&gt;0,"进行中",IF(IF(L69&lt;&gt;"",M69="待确认",0)+IF(P69&lt;&gt;"",Q69="待确认",0)+IF(T69&lt;&gt;"",U69="待确认",0)+IF(X69&lt;&gt;"",Y69="待确认",0)&gt;0,"待确认","未开始")))))</f>
        <v>未开始</v>
      </c>
      <c r="H69" s="20" t="str">
        <f aca="false">IF(L69&lt;&gt;"",L69,IF(P69&lt;&gt;"",P69,IF(T69&lt;&gt;"",T69,X69)))</f>
        <v>高级测试人员、中级测试人员</v>
      </c>
      <c r="I69" s="32" t="n">
        <f aca="false">IF(COUNT(N69,R69,V69,Z69)=0,"",MIN(N69,R69,V69,Z69))</f>
        <v>46438</v>
      </c>
      <c r="J69" s="32" t="n">
        <f aca="false">IF(COUNT(O69,S69,W69,AA69)=0,"",MAX(O69,S69,W69,AA69))</f>
        <v>46443</v>
      </c>
      <c r="K69" s="32" t="n">
        <v>46456</v>
      </c>
      <c r="L69" s="20"/>
      <c r="M69" s="21"/>
      <c r="N69" s="32"/>
      <c r="O69" s="32"/>
      <c r="P69" s="20"/>
      <c r="Q69" s="21"/>
      <c r="R69" s="32"/>
      <c r="S69" s="32"/>
      <c r="T69" s="20"/>
      <c r="U69" s="21"/>
      <c r="V69" s="32"/>
      <c r="W69" s="32"/>
      <c r="X69" s="21" t="s">
        <v>148</v>
      </c>
      <c r="Y69" s="21" t="s">
        <v>112</v>
      </c>
      <c r="Z69" s="32" t="n">
        <v>46438</v>
      </c>
      <c r="AA69" s="32" t="n">
        <v>46443</v>
      </c>
      <c r="AB69" s="33" t="n">
        <f aca="false">IFERROR((IF(L69&lt;&gt;"",IF(M69="已完成",1,IF(M69="进行中",0.5,0))*15%,0)+IF(P69&lt;&gt;"",IF(Q69="已完成",1,IF(Q69="进行中",0.5,0))*35%,0)+IF(T69&lt;&gt;"",IF(U69="已完成",1,IF(U69="进行中",0.5,0))*30%,0)+IF(X69&lt;&gt;"",IF(Y69="已完成",1,IF(Y69="进行中",0.5,0))*20%,0))/(IF(L69&lt;&gt;"",15%,0)+IF(P69&lt;&gt;"",35%,0)+IF(T69&lt;&gt;"",30%,0)+IF(X69&lt;&gt;"",20%,0)),0)</f>
        <v>0</v>
      </c>
      <c r="AC69" s="21" t="str">
        <f aca="false">IF($A69="","",IF(G69="已完成","正常",IF(G69="暂停","暂停",IF(J69="","日期缺失",IF(J69&lt;_数据接口!$B$7,"已延期",IF(J69&lt;=_数据接口!$B$7+7,"临近到期","正常"))))))</f>
        <v>正常</v>
      </c>
      <c r="AD69" s="21"/>
      <c r="AE69" s="39"/>
      <c r="AF69" s="36"/>
      <c r="AG69" s="32"/>
      <c r="AH69" s="34" t="str">
        <f aca="false">IF(OR($A69="",J69="",AG69=""),"",AG69-J69)</f>
        <v/>
      </c>
    </row>
    <row r="70" customFormat="false" ht="31.5" hidden="false" customHeight="true" outlineLevel="0" collapsed="false">
      <c r="A70" s="20" t="s">
        <v>391</v>
      </c>
      <c r="B70" s="25"/>
      <c r="C70" s="25"/>
      <c r="D70" s="21" t="s">
        <v>392</v>
      </c>
      <c r="E70" s="21" t="s">
        <v>393</v>
      </c>
      <c r="F70" s="20" t="s">
        <v>135</v>
      </c>
      <c r="G70" s="21" t="str">
        <f aca="false">IF(OR(M70="暂停",M70="挂起",Q70="暂停",Q70="挂起",U70="暂停",U70="挂起",Y70="暂停",Y70="挂起"),"暂停",IF(COUNTA(L70,P70,T70,X70)=0,"未分配",IF(IF(L70&lt;&gt;"",M70="已完成",0)+IF(P70&lt;&gt;"",Q70="已完成",0)+IF(T70&lt;&gt;"",U70="已完成",0)+IF(X70&lt;&gt;"",Y70="已完成",0)=COUNTA(L70,P70,T70,X70),"已完成",IF(IF(L70&lt;&gt;"",M70="进行中",0)+IF(P70&lt;&gt;"",Q70="进行中",0)+IF(T70&lt;&gt;"",U70="进行中",0)+IF(X70&lt;&gt;"",Y70="进行中",0)&gt;0,"进行中",IF(IF(L70&lt;&gt;"",M70="待确认",0)+IF(P70&lt;&gt;"",Q70="待确认",0)+IF(T70&lt;&gt;"",U70="待确认",0)+IF(X70&lt;&gt;"",Y70="待确认",0)&gt;0,"待确认","未开始")))))</f>
        <v>未开始</v>
      </c>
      <c r="H70" s="20" t="str">
        <f aca="false">IF(L70&lt;&gt;"",L70,IF(P70&lt;&gt;"",P70,IF(T70&lt;&gt;"",T70,X70)))</f>
        <v>高级开发人员</v>
      </c>
      <c r="I70" s="32" t="n">
        <f aca="false">IF(COUNT(N70,R70,V70,Z70)=0,"",MIN(N70,R70,V70,Z70))</f>
        <v>46444</v>
      </c>
      <c r="J70" s="32" t="n">
        <f aca="false">IF(COUNT(O70,S70,W70,AA70)=0,"",MAX(O70,S70,W70,AA70))</f>
        <v>46449</v>
      </c>
      <c r="K70" s="32" t="n">
        <v>46456</v>
      </c>
      <c r="L70" s="20"/>
      <c r="M70" s="21"/>
      <c r="N70" s="32"/>
      <c r="O70" s="32"/>
      <c r="P70" s="21" t="s">
        <v>132</v>
      </c>
      <c r="Q70" s="21" t="s">
        <v>112</v>
      </c>
      <c r="R70" s="32" t="n">
        <v>46444</v>
      </c>
      <c r="S70" s="32" t="n">
        <v>46449</v>
      </c>
      <c r="T70" s="20"/>
      <c r="U70" s="21"/>
      <c r="V70" s="32"/>
      <c r="W70" s="32"/>
      <c r="X70" s="20"/>
      <c r="Y70" s="21"/>
      <c r="Z70" s="32"/>
      <c r="AA70" s="32"/>
      <c r="AB70" s="33" t="n">
        <f aca="false">IFERROR((IF(L70&lt;&gt;"",IF(M70="已完成",1,IF(M70="进行中",0.5,0))*15%,0)+IF(P70&lt;&gt;"",IF(Q70="已完成",1,IF(Q70="进行中",0.5,0))*35%,0)+IF(T70&lt;&gt;"",IF(U70="已完成",1,IF(U70="进行中",0.5,0))*30%,0)+IF(X70&lt;&gt;"",IF(Y70="已完成",1,IF(Y70="进行中",0.5,0))*20%,0))/(IF(L70&lt;&gt;"",15%,0)+IF(P70&lt;&gt;"",35%,0)+IF(T70&lt;&gt;"",30%,0)+IF(X70&lt;&gt;"",20%,0)),0)</f>
        <v>0</v>
      </c>
      <c r="AC70" s="21" t="str">
        <f aca="false">IF($A70="","",IF(G70="已完成","正常",IF(G70="暂停","暂停",IF(J70="","日期缺失",IF(J70&lt;_数据接口!$B$7,"已延期",IF(J70&lt;=_数据接口!$B$7+7,"临近到期","正常"))))))</f>
        <v>正常</v>
      </c>
      <c r="AD70" s="21"/>
      <c r="AE70" s="39"/>
      <c r="AF70" s="36"/>
      <c r="AG70" s="32"/>
      <c r="AH70" s="34" t="str">
        <f aca="false">IF(OR($A70="",J70="",AG70=""),"",AG70-J70)</f>
        <v/>
      </c>
    </row>
    <row r="71" customFormat="false" ht="31.5" hidden="false" customHeight="true" outlineLevel="0" collapsed="false">
      <c r="A71" s="20" t="s">
        <v>394</v>
      </c>
      <c r="B71" s="25"/>
      <c r="C71" s="25"/>
      <c r="D71" s="21" t="s">
        <v>395</v>
      </c>
      <c r="E71" s="21" t="s">
        <v>396</v>
      </c>
      <c r="F71" s="20" t="s">
        <v>135</v>
      </c>
      <c r="G71" s="21" t="str">
        <f aca="false">IF(OR(M71="暂停",M71="挂起",Q71="暂停",Q71="挂起",U71="暂停",U71="挂起",Y71="暂停",Y71="挂起"),"暂停",IF(COUNTA(L71,P71,T71,X71)=0,"未分配",IF(IF(L71&lt;&gt;"",M71="已完成",0)+IF(P71&lt;&gt;"",Q71="已完成",0)+IF(T71&lt;&gt;"",U71="已完成",0)+IF(X71&lt;&gt;"",Y71="已完成",0)=COUNTA(L71,P71,T71,X71),"已完成",IF(IF(L71&lt;&gt;"",M71="进行中",0)+IF(P71&lt;&gt;"",Q71="进行中",0)+IF(T71&lt;&gt;"",U71="进行中",0)+IF(X71&lt;&gt;"",Y71="进行中",0)&gt;0,"进行中",IF(IF(L71&lt;&gt;"",M71="待确认",0)+IF(P71&lt;&gt;"",Q71="待确认",0)+IF(T71&lt;&gt;"",U71="待确认",0)+IF(X71&lt;&gt;"",Y71="待确认",0)&gt;0,"待确认","未开始")))))</f>
        <v>未开始</v>
      </c>
      <c r="H71" s="20" t="str">
        <f aca="false">IF(L71&lt;&gt;"",L71,IF(P71&lt;&gt;"",P71,IF(T71&lt;&gt;"",T71,X71)))</f>
        <v>高级测试人员、中级测试人员</v>
      </c>
      <c r="I71" s="32" t="n">
        <f aca="false">IF(COUNT(N71,R71,V71,Z71)=0,"",MIN(N71,R71,V71,Z71))</f>
        <v>46450</v>
      </c>
      <c r="J71" s="32" t="n">
        <f aca="false">IF(COUNT(O71,S71,W71,AA71)=0,"",MAX(O71,S71,W71,AA71))</f>
        <v>46456</v>
      </c>
      <c r="K71" s="32" t="n">
        <v>46456</v>
      </c>
      <c r="L71" s="20"/>
      <c r="M71" s="21"/>
      <c r="N71" s="32"/>
      <c r="O71" s="32"/>
      <c r="P71" s="20"/>
      <c r="Q71" s="21"/>
      <c r="R71" s="32"/>
      <c r="S71" s="32"/>
      <c r="T71" s="20"/>
      <c r="U71" s="21"/>
      <c r="V71" s="32"/>
      <c r="W71" s="32"/>
      <c r="X71" s="21" t="s">
        <v>148</v>
      </c>
      <c r="Y71" s="21" t="s">
        <v>112</v>
      </c>
      <c r="Z71" s="32" t="n">
        <v>46450</v>
      </c>
      <c r="AA71" s="32" t="n">
        <v>46456</v>
      </c>
      <c r="AB71" s="33" t="n">
        <f aca="false">IFERROR((IF(L71&lt;&gt;"",IF(M71="已完成",1,IF(M71="进行中",0.5,0))*15%,0)+IF(P71&lt;&gt;"",IF(Q71="已完成",1,IF(Q71="进行中",0.5,0))*35%,0)+IF(T71&lt;&gt;"",IF(U71="已完成",1,IF(U71="进行中",0.5,0))*30%,0)+IF(X71&lt;&gt;"",IF(Y71="已完成",1,IF(Y71="进行中",0.5,0))*20%,0))/(IF(L71&lt;&gt;"",15%,0)+IF(P71&lt;&gt;"",35%,0)+IF(T71&lt;&gt;"",30%,0)+IF(X71&lt;&gt;"",20%,0)),0)</f>
        <v>0</v>
      </c>
      <c r="AC71" s="21" t="str">
        <f aca="false">IF($A71="","",IF(G71="已完成","正常",IF(G71="暂停","暂停",IF(J71="","日期缺失",IF(J71&lt;_数据接口!$B$7,"已延期",IF(J71&lt;=_数据接口!$B$7+7,"临近到期","正常"))))))</f>
        <v>正常</v>
      </c>
      <c r="AD71" s="21"/>
      <c r="AE71" s="39"/>
      <c r="AF71" s="36"/>
      <c r="AG71" s="32"/>
      <c r="AH71" s="34" t="str">
        <f aca="false">IF(OR($A71="",J71="",AG71=""),"",AG71-J71)</f>
        <v/>
      </c>
    </row>
    <row r="72" customFormat="false" ht="31.5" hidden="false" customHeight="true" outlineLevel="0" collapsed="false">
      <c r="A72" s="20" t="s">
        <v>397</v>
      </c>
      <c r="B72" s="25"/>
      <c r="C72" s="25" t="s">
        <v>141</v>
      </c>
      <c r="D72" s="21" t="s">
        <v>398</v>
      </c>
      <c r="E72" s="21" t="s">
        <v>399</v>
      </c>
      <c r="F72" s="20" t="s">
        <v>140</v>
      </c>
      <c r="G72" s="21" t="str">
        <f aca="false">IF(OR(M72="暂停",M72="挂起",Q72="暂停",Q72="挂起",U72="暂停",U72="挂起",Y72="暂停",Y72="挂起"),"暂停",IF(COUNTA(L72,P72,T72,X72)=0,"未分配",IF(IF(L72&lt;&gt;"",M72="已完成",0)+IF(P72&lt;&gt;"",Q72="已完成",0)+IF(T72&lt;&gt;"",U72="已完成",0)+IF(X72&lt;&gt;"",Y72="已完成",0)=COUNTA(L72,P72,T72,X72),"已完成",IF(IF(L72&lt;&gt;"",M72="进行中",0)+IF(P72&lt;&gt;"",Q72="进行中",0)+IF(T72&lt;&gt;"",U72="进行中",0)+IF(X72&lt;&gt;"",Y72="进行中",0)&gt;0,"进行中",IF(IF(L72&lt;&gt;"",M72="待确认",0)+IF(P72&lt;&gt;"",Q72="待确认",0)+IF(T72&lt;&gt;"",U72="待确认",0)+IF(X72&lt;&gt;"",Y72="待确认",0)&gt;0,"待确认","未开始")))))</f>
        <v>未开始</v>
      </c>
      <c r="H72" s="20" t="str">
        <f aca="false">IF(L72&lt;&gt;"",L72,IF(P72&lt;&gt;"",P72,IF(T72&lt;&gt;"",T72,X72)))</f>
        <v>技术经理</v>
      </c>
      <c r="I72" s="32" t="n">
        <f aca="false">IF(COUNT(N72,R72,V72,Z72)=0,"",MIN(N72,R72,V72,Z72))</f>
        <v>46433</v>
      </c>
      <c r="J72" s="32" t="n">
        <f aca="false">IF(COUNT(O72,S72,W72,AA72)=0,"",MAX(O72,S72,W72,AA72))</f>
        <v>46436</v>
      </c>
      <c r="K72" s="32" t="n">
        <v>46466</v>
      </c>
      <c r="L72" s="20"/>
      <c r="M72" s="21"/>
      <c r="N72" s="32"/>
      <c r="O72" s="32"/>
      <c r="P72" s="21" t="s">
        <v>98</v>
      </c>
      <c r="Q72" s="21" t="s">
        <v>112</v>
      </c>
      <c r="R72" s="32" t="n">
        <v>46433</v>
      </c>
      <c r="S72" s="32" t="n">
        <v>46436</v>
      </c>
      <c r="T72" s="20"/>
      <c r="U72" s="21"/>
      <c r="V72" s="32"/>
      <c r="W72" s="32"/>
      <c r="X72" s="20"/>
      <c r="Y72" s="21"/>
      <c r="Z72" s="32"/>
      <c r="AA72" s="32"/>
      <c r="AB72" s="33" t="n">
        <f aca="false">IFERROR((IF(L72&lt;&gt;"",IF(M72="已完成",1,IF(M72="进行中",0.5,0))*15%,0)+IF(P72&lt;&gt;"",IF(Q72="已完成",1,IF(Q72="进行中",0.5,0))*35%,0)+IF(T72&lt;&gt;"",IF(U72="已完成",1,IF(U72="进行中",0.5,0))*30%,0)+IF(X72&lt;&gt;"",IF(Y72="已完成",1,IF(Y72="进行中",0.5,0))*20%,0))/(IF(L72&lt;&gt;"",15%,0)+IF(P72&lt;&gt;"",35%,0)+IF(T72&lt;&gt;"",30%,0)+IF(X72&lt;&gt;"",20%,0)),0)</f>
        <v>0</v>
      </c>
      <c r="AC72" s="21" t="str">
        <f aca="false">IF($A72="","",IF(G72="已完成","正常",IF(G72="暂停","暂停",IF(J72="","日期缺失",IF(J72&lt;_数据接口!$B$7,"已延期",IF(J72&lt;=_数据接口!$B$7+7,"临近到期","正常"))))))</f>
        <v>正常</v>
      </c>
      <c r="AD72" s="21"/>
      <c r="AE72" s="39"/>
      <c r="AF72" s="36"/>
      <c r="AG72" s="32"/>
      <c r="AH72" s="34" t="str">
        <f aca="false">IF(OR($A72="",J72="",AG72=""),"",AG72-J72)</f>
        <v/>
      </c>
    </row>
    <row r="73" customFormat="false" ht="31.5" hidden="false" customHeight="true" outlineLevel="0" collapsed="false">
      <c r="A73" s="20" t="s">
        <v>400</v>
      </c>
      <c r="B73" s="25"/>
      <c r="C73" s="25"/>
      <c r="D73" s="20" t="s">
        <v>401</v>
      </c>
      <c r="E73" s="21" t="s">
        <v>402</v>
      </c>
      <c r="F73" s="20" t="s">
        <v>140</v>
      </c>
      <c r="G73" s="21" t="str">
        <f aca="false">IF(OR(M73="暂停",M73="挂起",Q73="暂停",Q73="挂起",U73="暂停",U73="挂起",Y73="暂停",Y73="挂起"),"暂停",IF(COUNTA(L73,P73,T73,X73)=0,"未分配",IF(IF(L73&lt;&gt;"",M73="已完成",0)+IF(P73&lt;&gt;"",Q73="已完成",0)+IF(T73&lt;&gt;"",U73="已完成",0)+IF(X73&lt;&gt;"",Y73="已完成",0)=COUNTA(L73,P73,T73,X73),"已完成",IF(IF(L73&lt;&gt;"",M73="进行中",0)+IF(P73&lt;&gt;"",Q73="进行中",0)+IF(T73&lt;&gt;"",U73="进行中",0)+IF(X73&lt;&gt;"",Y73="进行中",0)&gt;0,"进行中",IF(IF(L73&lt;&gt;"",M73="待确认",0)+IF(P73&lt;&gt;"",Q73="待确认",0)+IF(T73&lt;&gt;"",U73="待确认",0)+IF(X73&lt;&gt;"",Y73="待确认",0)&gt;0,"待确认","未开始")))))</f>
        <v>未开始</v>
      </c>
      <c r="H73" s="20" t="str">
        <f aca="false">IF(L73&lt;&gt;"",L73,IF(P73&lt;&gt;"",P73,IF(T73&lt;&gt;"",T73,X73)))</f>
        <v>高级开发人员</v>
      </c>
      <c r="I73" s="32" t="n">
        <f aca="false">IF(COUNT(N73,R73,V73,Z73)=0,"",MIN(N73,R73,V73,Z73))</f>
        <v>46437</v>
      </c>
      <c r="J73" s="32" t="n">
        <f aca="false">IF(COUNT(O73,S73,W73,AA73)=0,"",MAX(O73,S73,W73,AA73))</f>
        <v>46441</v>
      </c>
      <c r="K73" s="32" t="n">
        <v>46466</v>
      </c>
      <c r="L73" s="20"/>
      <c r="M73" s="21"/>
      <c r="N73" s="32"/>
      <c r="O73" s="32"/>
      <c r="P73" s="21" t="s">
        <v>132</v>
      </c>
      <c r="Q73" s="21" t="s">
        <v>112</v>
      </c>
      <c r="R73" s="32" t="n">
        <v>46437</v>
      </c>
      <c r="S73" s="32" t="n">
        <v>46441</v>
      </c>
      <c r="T73" s="20"/>
      <c r="U73" s="21"/>
      <c r="V73" s="32"/>
      <c r="W73" s="32"/>
      <c r="X73" s="20"/>
      <c r="Y73" s="21"/>
      <c r="Z73" s="32"/>
      <c r="AA73" s="32"/>
      <c r="AB73" s="33" t="n">
        <f aca="false">IFERROR((IF(L73&lt;&gt;"",IF(M73="已完成",1,IF(M73="进行中",0.5,0))*15%,0)+IF(P73&lt;&gt;"",IF(Q73="已完成",1,IF(Q73="进行中",0.5,0))*35%,0)+IF(T73&lt;&gt;"",IF(U73="已完成",1,IF(U73="进行中",0.5,0))*30%,0)+IF(X73&lt;&gt;"",IF(Y73="已完成",1,IF(Y73="进行中",0.5,0))*20%,0))/(IF(L73&lt;&gt;"",15%,0)+IF(P73&lt;&gt;"",35%,0)+IF(T73&lt;&gt;"",30%,0)+IF(X73&lt;&gt;"",20%,0)),0)</f>
        <v>0</v>
      </c>
      <c r="AC73" s="21" t="str">
        <f aca="false">IF($A73="","",IF(G73="已完成","正常",IF(G73="暂停","暂停",IF(J73="","日期缺失",IF(J73&lt;_数据接口!$B$7,"已延期",IF(J73&lt;=_数据接口!$B$7+7,"临近到期","正常"))))))</f>
        <v>正常</v>
      </c>
      <c r="AD73" s="21"/>
      <c r="AE73" s="39"/>
      <c r="AF73" s="36"/>
      <c r="AG73" s="32"/>
      <c r="AH73" s="34" t="str">
        <f aca="false">IF(OR($A73="",J73="",AG73=""),"",AG73-J73)</f>
        <v/>
      </c>
    </row>
    <row r="74" customFormat="false" ht="31.5" hidden="false" customHeight="true" outlineLevel="0" collapsed="false">
      <c r="A74" s="20" t="s">
        <v>403</v>
      </c>
      <c r="B74" s="25"/>
      <c r="C74" s="25"/>
      <c r="D74" s="21" t="s">
        <v>404</v>
      </c>
      <c r="E74" s="21" t="s">
        <v>405</v>
      </c>
      <c r="F74" s="20" t="s">
        <v>140</v>
      </c>
      <c r="G74" s="21" t="str">
        <f aca="false">IF(OR(M74="暂停",M74="挂起",Q74="暂停",Q74="挂起",U74="暂停",U74="挂起",Y74="暂停",Y74="挂起"),"暂停",IF(COUNTA(L74,P74,T74,X74)=0,"未分配",IF(IF(L74&lt;&gt;"",M74="已完成",0)+IF(P74&lt;&gt;"",Q74="已完成",0)+IF(T74&lt;&gt;"",U74="已完成",0)+IF(X74&lt;&gt;"",Y74="已完成",0)=COUNTA(L74,P74,T74,X74),"已完成",IF(IF(L74&lt;&gt;"",M74="进行中",0)+IF(P74&lt;&gt;"",Q74="进行中",0)+IF(T74&lt;&gt;"",U74="进行中",0)+IF(X74&lt;&gt;"",Y74="进行中",0)&gt;0,"进行中",IF(IF(L74&lt;&gt;"",M74="待确认",0)+IF(P74&lt;&gt;"",Q74="待确认",0)+IF(T74&lt;&gt;"",U74="待确认",0)+IF(X74&lt;&gt;"",Y74="待确认",0)&gt;0,"待确认","未开始")))))</f>
        <v>未开始</v>
      </c>
      <c r="H74" s="20" t="str">
        <f aca="false">IF(L74&lt;&gt;"",L74,IF(P74&lt;&gt;"",P74,IF(T74&lt;&gt;"",T74,X74)))</f>
        <v>高级开发人员</v>
      </c>
      <c r="I74" s="32" t="n">
        <f aca="false">IF(COUNT(N74,R74,V74,Z74)=0,"",MIN(N74,R74,V74,Z74))</f>
        <v>46442</v>
      </c>
      <c r="J74" s="32" t="n">
        <f aca="false">IF(COUNT(O74,S74,W74,AA74)=0,"",MAX(O74,S74,W74,AA74))</f>
        <v>46446</v>
      </c>
      <c r="K74" s="32" t="n">
        <v>46466</v>
      </c>
      <c r="L74" s="20"/>
      <c r="M74" s="21"/>
      <c r="N74" s="32"/>
      <c r="O74" s="32"/>
      <c r="P74" s="21" t="s">
        <v>132</v>
      </c>
      <c r="Q74" s="21" t="s">
        <v>112</v>
      </c>
      <c r="R74" s="32" t="n">
        <v>46442</v>
      </c>
      <c r="S74" s="32" t="n">
        <v>46446</v>
      </c>
      <c r="T74" s="20"/>
      <c r="U74" s="21"/>
      <c r="V74" s="32"/>
      <c r="W74" s="32"/>
      <c r="X74" s="20"/>
      <c r="Y74" s="21"/>
      <c r="Z74" s="32"/>
      <c r="AA74" s="32"/>
      <c r="AB74" s="33" t="n">
        <f aca="false">IFERROR((IF(L74&lt;&gt;"",IF(M74="已完成",1,IF(M74="进行中",0.5,0))*15%,0)+IF(P74&lt;&gt;"",IF(Q74="已完成",1,IF(Q74="进行中",0.5,0))*35%,0)+IF(T74&lt;&gt;"",IF(U74="已完成",1,IF(U74="进行中",0.5,0))*30%,0)+IF(X74&lt;&gt;"",IF(Y74="已完成",1,IF(Y74="进行中",0.5,0))*20%,0))/(IF(L74&lt;&gt;"",15%,0)+IF(P74&lt;&gt;"",35%,0)+IF(T74&lt;&gt;"",30%,0)+IF(X74&lt;&gt;"",20%,0)),0)</f>
        <v>0</v>
      </c>
      <c r="AC74" s="21" t="str">
        <f aca="false">IF($A74="","",IF(G74="已完成","正常",IF(G74="暂停","暂停",IF(J74="","日期缺失",IF(J74&lt;_数据接口!$B$7,"已延期",IF(J74&lt;=_数据接口!$B$7+7,"临近到期","正常"))))))</f>
        <v>正常</v>
      </c>
      <c r="AD74" s="21"/>
      <c r="AE74" s="39"/>
      <c r="AF74" s="36"/>
      <c r="AG74" s="32"/>
      <c r="AH74" s="34" t="str">
        <f aca="false">IF(OR($A74="",J74="",AG74=""),"",AG74-J74)</f>
        <v/>
      </c>
    </row>
    <row r="75" customFormat="false" ht="31.5" hidden="false" customHeight="true" outlineLevel="0" collapsed="false">
      <c r="A75" s="20" t="s">
        <v>406</v>
      </c>
      <c r="B75" s="25"/>
      <c r="C75" s="25"/>
      <c r="D75" s="20" t="s">
        <v>407</v>
      </c>
      <c r="E75" s="21" t="s">
        <v>408</v>
      </c>
      <c r="F75" s="20" t="s">
        <v>140</v>
      </c>
      <c r="G75" s="21" t="str">
        <f aca="false">IF(OR(M75="暂停",M75="挂起",Q75="暂停",Q75="挂起",U75="暂停",U75="挂起",Y75="暂停",Y75="挂起"),"暂停",IF(COUNTA(L75,P75,T75,X75)=0,"未分配",IF(IF(L75&lt;&gt;"",M75="已完成",0)+IF(P75&lt;&gt;"",Q75="已完成",0)+IF(T75&lt;&gt;"",U75="已完成",0)+IF(X75&lt;&gt;"",Y75="已完成",0)=COUNTA(L75,P75,T75,X75),"已完成",IF(IF(L75&lt;&gt;"",M75="进行中",0)+IF(P75&lt;&gt;"",Q75="进行中",0)+IF(T75&lt;&gt;"",U75="进行中",0)+IF(X75&lt;&gt;"",Y75="进行中",0)&gt;0,"进行中",IF(IF(L75&lt;&gt;"",M75="待确认",0)+IF(P75&lt;&gt;"",Q75="待确认",0)+IF(T75&lt;&gt;"",U75="待确认",0)+IF(X75&lt;&gt;"",Y75="待确认",0)&gt;0,"待确认","未开始")))))</f>
        <v>未开始</v>
      </c>
      <c r="H75" s="20" t="str">
        <f aca="false">IF(L75&lt;&gt;"",L75,IF(P75&lt;&gt;"",P75,IF(T75&lt;&gt;"",T75,X75)))</f>
        <v>中级开发人员</v>
      </c>
      <c r="I75" s="32" t="n">
        <f aca="false">IF(COUNT(N75,R75,V75,Z75)=0,"",MIN(N75,R75,V75,Z75))</f>
        <v>46447</v>
      </c>
      <c r="J75" s="32" t="n">
        <f aca="false">IF(COUNT(O75,S75,W75,AA75)=0,"",MAX(O75,S75,W75,AA75))</f>
        <v>46451</v>
      </c>
      <c r="K75" s="32" t="n">
        <v>46466</v>
      </c>
      <c r="L75" s="20"/>
      <c r="M75" s="21"/>
      <c r="N75" s="32"/>
      <c r="O75" s="32"/>
      <c r="P75" s="21" t="s">
        <v>280</v>
      </c>
      <c r="Q75" s="21" t="s">
        <v>112</v>
      </c>
      <c r="R75" s="32" t="n">
        <v>46447</v>
      </c>
      <c r="S75" s="32" t="n">
        <v>46451</v>
      </c>
      <c r="T75" s="20"/>
      <c r="U75" s="21"/>
      <c r="V75" s="32"/>
      <c r="W75" s="32"/>
      <c r="X75" s="20"/>
      <c r="Y75" s="21"/>
      <c r="Z75" s="32"/>
      <c r="AA75" s="32"/>
      <c r="AB75" s="33" t="n">
        <f aca="false">IFERROR((IF(L75&lt;&gt;"",IF(M75="已完成",1,IF(M75="进行中",0.5,0))*15%,0)+IF(P75&lt;&gt;"",IF(Q75="已完成",1,IF(Q75="进行中",0.5,0))*35%,0)+IF(T75&lt;&gt;"",IF(U75="已完成",1,IF(U75="进行中",0.5,0))*30%,0)+IF(X75&lt;&gt;"",IF(Y75="已完成",1,IF(Y75="进行中",0.5,0))*20%,0))/(IF(L75&lt;&gt;"",15%,0)+IF(P75&lt;&gt;"",35%,0)+IF(T75&lt;&gt;"",30%,0)+IF(X75&lt;&gt;"",20%,0)),0)</f>
        <v>0</v>
      </c>
      <c r="AC75" s="21" t="str">
        <f aca="false">IF($A75="","",IF(G75="已完成","正常",IF(G75="暂停","暂停",IF(J75="","日期缺失",IF(J75&lt;_数据接口!$B$7,"已延期",IF(J75&lt;=_数据接口!$B$7+7,"临近到期","正常"))))))</f>
        <v>正常</v>
      </c>
      <c r="AD75" s="21"/>
      <c r="AE75" s="39"/>
      <c r="AF75" s="36"/>
      <c r="AG75" s="32"/>
      <c r="AH75" s="34" t="str">
        <f aca="false">IF(OR($A75="",J75="",AG75=""),"",AG75-J75)</f>
        <v/>
      </c>
    </row>
    <row r="76" customFormat="false" ht="31.5" hidden="false" customHeight="true" outlineLevel="0" collapsed="false">
      <c r="A76" s="20" t="s">
        <v>409</v>
      </c>
      <c r="B76" s="25"/>
      <c r="C76" s="25"/>
      <c r="D76" s="21" t="s">
        <v>410</v>
      </c>
      <c r="E76" s="21" t="s">
        <v>411</v>
      </c>
      <c r="F76" s="20" t="s">
        <v>140</v>
      </c>
      <c r="G76" s="21" t="str">
        <f aca="false">IF(OR(M76="暂停",M76="挂起",Q76="暂停",Q76="挂起",U76="暂停",U76="挂起",Y76="暂停",Y76="挂起"),"暂停",IF(COUNTA(L76,P76,T76,X76)=0,"未分配",IF(IF(L76&lt;&gt;"",M76="已完成",0)+IF(P76&lt;&gt;"",Q76="已完成",0)+IF(T76&lt;&gt;"",U76="已完成",0)+IF(X76&lt;&gt;"",Y76="已完成",0)=COUNTA(L76,P76,T76,X76),"已完成",IF(IF(L76&lt;&gt;"",M76="进行中",0)+IF(P76&lt;&gt;"",Q76="进行中",0)+IF(T76&lt;&gt;"",U76="进行中",0)+IF(X76&lt;&gt;"",Y76="进行中",0)&gt;0,"进行中",IF(IF(L76&lt;&gt;"",M76="待确认",0)+IF(P76&lt;&gt;"",Q76="待确认",0)+IF(T76&lt;&gt;"",U76="待确认",0)+IF(X76&lt;&gt;"",Y76="待确认",0)&gt;0,"待确认","未开始")))))</f>
        <v>未开始</v>
      </c>
      <c r="H76" s="20" t="str">
        <f aca="false">IF(L76&lt;&gt;"",L76,IF(P76&lt;&gt;"",P76,IF(T76&lt;&gt;"",T76,X76)))</f>
        <v>高级开发人员</v>
      </c>
      <c r="I76" s="32" t="n">
        <f aca="false">IF(COUNT(N76,R76,V76,Z76)=0,"",MIN(N76,R76,V76,Z76))</f>
        <v>46452</v>
      </c>
      <c r="J76" s="32" t="n">
        <f aca="false">IF(COUNT(O76,S76,W76,AA76)=0,"",MAX(O76,S76,W76,AA76))</f>
        <v>46456</v>
      </c>
      <c r="K76" s="32" t="n">
        <v>46466</v>
      </c>
      <c r="L76" s="20"/>
      <c r="M76" s="21"/>
      <c r="N76" s="32"/>
      <c r="O76" s="32"/>
      <c r="P76" s="21" t="s">
        <v>132</v>
      </c>
      <c r="Q76" s="21" t="s">
        <v>112</v>
      </c>
      <c r="R76" s="32" t="n">
        <v>46452</v>
      </c>
      <c r="S76" s="32" t="n">
        <v>46456</v>
      </c>
      <c r="T76" s="20"/>
      <c r="U76" s="21"/>
      <c r="V76" s="32"/>
      <c r="W76" s="32"/>
      <c r="X76" s="20"/>
      <c r="Y76" s="21"/>
      <c r="Z76" s="32"/>
      <c r="AA76" s="32"/>
      <c r="AB76" s="33" t="n">
        <f aca="false">IFERROR((IF(L76&lt;&gt;"",IF(M76="已完成",1,IF(M76="进行中",0.5,0))*15%,0)+IF(P76&lt;&gt;"",IF(Q76="已完成",1,IF(Q76="进行中",0.5,0))*35%,0)+IF(T76&lt;&gt;"",IF(U76="已完成",1,IF(U76="进行中",0.5,0))*30%,0)+IF(X76&lt;&gt;"",IF(Y76="已完成",1,IF(Y76="进行中",0.5,0))*20%,0))/(IF(L76&lt;&gt;"",15%,0)+IF(P76&lt;&gt;"",35%,0)+IF(T76&lt;&gt;"",30%,0)+IF(X76&lt;&gt;"",20%,0)),0)</f>
        <v>0</v>
      </c>
      <c r="AC76" s="21" t="str">
        <f aca="false">IF($A76="","",IF(G76="已完成","正常",IF(G76="暂停","暂停",IF(J76="","日期缺失",IF(J76&lt;_数据接口!$B$7,"已延期",IF(J76&lt;=_数据接口!$B$7+7,"临近到期","正常"))))))</f>
        <v>正常</v>
      </c>
      <c r="AD76" s="21"/>
      <c r="AE76" s="39"/>
      <c r="AF76" s="36"/>
      <c r="AG76" s="32"/>
      <c r="AH76" s="34" t="str">
        <f aca="false">IF(OR($A76="",J76="",AG76=""),"",AG76-J76)</f>
        <v/>
      </c>
    </row>
    <row r="77" customFormat="false" ht="31.5" hidden="false" customHeight="true" outlineLevel="0" collapsed="false">
      <c r="A77" s="20" t="s">
        <v>412</v>
      </c>
      <c r="B77" s="25"/>
      <c r="C77" s="25"/>
      <c r="D77" s="21" t="s">
        <v>413</v>
      </c>
      <c r="E77" s="21" t="s">
        <v>414</v>
      </c>
      <c r="F77" s="20" t="s">
        <v>140</v>
      </c>
      <c r="G77" s="21" t="str">
        <f aca="false">IF(OR(M77="暂停",M77="挂起",Q77="暂停",Q77="挂起",U77="暂停",U77="挂起",Y77="暂停",Y77="挂起"),"暂停",IF(COUNTA(L77,P77,T77,X77)=0,"未分配",IF(IF(L77&lt;&gt;"",M77="已完成",0)+IF(P77&lt;&gt;"",Q77="已完成",0)+IF(T77&lt;&gt;"",U77="已完成",0)+IF(X77&lt;&gt;"",Y77="已完成",0)=COUNTA(L77,P77,T77,X77),"已完成",IF(IF(L77&lt;&gt;"",M77="进行中",0)+IF(P77&lt;&gt;"",Q77="进行中",0)+IF(T77&lt;&gt;"",U77="进行中",0)+IF(X77&lt;&gt;"",Y77="进行中",0)&gt;0,"进行中",IF(IF(L77&lt;&gt;"",M77="待确认",0)+IF(P77&lt;&gt;"",Q77="待确认",0)+IF(T77&lt;&gt;"",U77="待确认",0)+IF(X77&lt;&gt;"",Y77="待确认",0)&gt;0,"待确认","未开始")))))</f>
        <v>未开始</v>
      </c>
      <c r="H77" s="20" t="str">
        <f aca="false">IF(L77&lt;&gt;"",L77,IF(P77&lt;&gt;"",P77,IF(T77&lt;&gt;"",T77,X77)))</f>
        <v>高级测试人员、中级测试人员</v>
      </c>
      <c r="I77" s="32" t="n">
        <f aca="false">IF(COUNT(N77,R77,V77,Z77)=0,"",MIN(N77,R77,V77,Z77))</f>
        <v>46457</v>
      </c>
      <c r="J77" s="32" t="n">
        <f aca="false">IF(COUNT(O77,S77,W77,AA77)=0,"",MAX(O77,S77,W77,AA77))</f>
        <v>46461</v>
      </c>
      <c r="K77" s="32" t="n">
        <v>46466</v>
      </c>
      <c r="L77" s="20"/>
      <c r="M77" s="21"/>
      <c r="N77" s="32"/>
      <c r="O77" s="32"/>
      <c r="P77" s="20"/>
      <c r="Q77" s="21"/>
      <c r="R77" s="32"/>
      <c r="S77" s="32"/>
      <c r="T77" s="20"/>
      <c r="U77" s="21"/>
      <c r="V77" s="32"/>
      <c r="W77" s="32"/>
      <c r="X77" s="21" t="s">
        <v>148</v>
      </c>
      <c r="Y77" s="21" t="s">
        <v>112</v>
      </c>
      <c r="Z77" s="32" t="n">
        <v>46457</v>
      </c>
      <c r="AA77" s="32" t="n">
        <v>46461</v>
      </c>
      <c r="AB77" s="33" t="n">
        <f aca="false">IFERROR((IF(L77&lt;&gt;"",IF(M77="已完成",1,IF(M77="进行中",0.5,0))*15%,0)+IF(P77&lt;&gt;"",IF(Q77="已完成",1,IF(Q77="进行中",0.5,0))*35%,0)+IF(T77&lt;&gt;"",IF(U77="已完成",1,IF(U77="进行中",0.5,0))*30%,0)+IF(X77&lt;&gt;"",IF(Y77="已完成",1,IF(Y77="进行中",0.5,0))*20%,0))/(IF(L77&lt;&gt;"",15%,0)+IF(P77&lt;&gt;"",35%,0)+IF(T77&lt;&gt;"",30%,0)+IF(X77&lt;&gt;"",20%,0)),0)</f>
        <v>0</v>
      </c>
      <c r="AC77" s="21" t="str">
        <f aca="false">IF($A77="","",IF(G77="已完成","正常",IF(G77="暂停","暂停",IF(J77="","日期缺失",IF(J77&lt;_数据接口!$B$7,"已延期",IF(J77&lt;=_数据接口!$B$7+7,"临近到期","正常"))))))</f>
        <v>正常</v>
      </c>
      <c r="AD77" s="21"/>
      <c r="AE77" s="39"/>
      <c r="AF77" s="36"/>
      <c r="AG77" s="32"/>
      <c r="AH77" s="34" t="str">
        <f aca="false">IF(OR($A77="",J77="",AG77=""),"",AG77-J77)</f>
        <v/>
      </c>
    </row>
    <row r="78" customFormat="false" ht="31.5" hidden="false" customHeight="true" outlineLevel="0" collapsed="false">
      <c r="A78" s="20" t="s">
        <v>415</v>
      </c>
      <c r="B78" s="25"/>
      <c r="C78" s="25"/>
      <c r="D78" s="21" t="s">
        <v>416</v>
      </c>
      <c r="E78" s="21" t="s">
        <v>417</v>
      </c>
      <c r="F78" s="20" t="s">
        <v>140</v>
      </c>
      <c r="G78" s="21" t="str">
        <f aca="false">IF(OR(M78="暂停",M78="挂起",Q78="暂停",Q78="挂起",U78="暂停",U78="挂起",Y78="暂停",Y78="挂起"),"暂停",IF(COUNTA(L78,P78,T78,X78)=0,"未分配",IF(IF(L78&lt;&gt;"",M78="已完成",0)+IF(P78&lt;&gt;"",Q78="已完成",0)+IF(T78&lt;&gt;"",U78="已完成",0)+IF(X78&lt;&gt;"",Y78="已完成",0)=COUNTA(L78,P78,T78,X78),"已完成",IF(IF(L78&lt;&gt;"",M78="进行中",0)+IF(P78&lt;&gt;"",Q78="进行中",0)+IF(T78&lt;&gt;"",U78="进行中",0)+IF(X78&lt;&gt;"",Y78="进行中",0)&gt;0,"进行中",IF(IF(L78&lt;&gt;"",M78="待确认",0)+IF(P78&lt;&gt;"",Q78="待确认",0)+IF(T78&lt;&gt;"",U78="待确认",0)+IF(X78&lt;&gt;"",Y78="待确认",0)&gt;0,"待确认","未开始")))))</f>
        <v>未开始</v>
      </c>
      <c r="H78" s="20" t="str">
        <f aca="false">IF(L78&lt;&gt;"",L78,IF(P78&lt;&gt;"",P78,IF(T78&lt;&gt;"",T78,X78)))</f>
        <v>技术经理</v>
      </c>
      <c r="I78" s="32" t="n">
        <f aca="false">IF(COUNT(N78,R78,V78,Z78)=0,"",MIN(N78,R78,V78,Z78))</f>
        <v>46462</v>
      </c>
      <c r="J78" s="32" t="n">
        <f aca="false">IF(COUNT(O78,S78,W78,AA78)=0,"",MAX(O78,S78,W78,AA78))</f>
        <v>46466</v>
      </c>
      <c r="K78" s="32" t="n">
        <v>46466</v>
      </c>
      <c r="L78" s="20"/>
      <c r="M78" s="21"/>
      <c r="N78" s="32"/>
      <c r="O78" s="32"/>
      <c r="P78" s="21" t="s">
        <v>98</v>
      </c>
      <c r="Q78" s="21" t="s">
        <v>112</v>
      </c>
      <c r="R78" s="32" t="n">
        <v>46462</v>
      </c>
      <c r="S78" s="32" t="n">
        <v>46466</v>
      </c>
      <c r="T78" s="20"/>
      <c r="U78" s="21"/>
      <c r="V78" s="32"/>
      <c r="W78" s="32"/>
      <c r="X78" s="20"/>
      <c r="Y78" s="21"/>
      <c r="Z78" s="32"/>
      <c r="AA78" s="32"/>
      <c r="AB78" s="33" t="n">
        <f aca="false">IFERROR((IF(L78&lt;&gt;"",IF(M78="已完成",1,IF(M78="进行中",0.5,0))*15%,0)+IF(P78&lt;&gt;"",IF(Q78="已完成",1,IF(Q78="进行中",0.5,0))*35%,0)+IF(T78&lt;&gt;"",IF(U78="已完成",1,IF(U78="进行中",0.5,0))*30%,0)+IF(X78&lt;&gt;"",IF(Y78="已完成",1,IF(Y78="进行中",0.5,0))*20%,0))/(IF(L78&lt;&gt;"",15%,0)+IF(P78&lt;&gt;"",35%,0)+IF(T78&lt;&gt;"",30%,0)+IF(X78&lt;&gt;"",20%,0)),0)</f>
        <v>0</v>
      </c>
      <c r="AC78" s="21" t="str">
        <f aca="false">IF($A78="","",IF(G78="已完成","正常",IF(G78="暂停","暂停",IF(J78="","日期缺失",IF(J78&lt;_数据接口!$B$7,"已延期",IF(J78&lt;=_数据接口!$B$7+7,"临近到期","正常"))))))</f>
        <v>正常</v>
      </c>
      <c r="AD78" s="21"/>
      <c r="AE78" s="39"/>
      <c r="AF78" s="36"/>
      <c r="AG78" s="32"/>
      <c r="AH78" s="34" t="str">
        <f aca="false">IF(OR($A78="",J78="",AG78=""),"",AG78-J78)</f>
        <v/>
      </c>
    </row>
    <row r="79" customFormat="false" ht="31.5" hidden="false" customHeight="true" outlineLevel="0" collapsed="false">
      <c r="A79" s="20" t="s">
        <v>418</v>
      </c>
      <c r="B79" s="25"/>
      <c r="C79" s="25" t="s">
        <v>146</v>
      </c>
      <c r="D79" s="21" t="s">
        <v>419</v>
      </c>
      <c r="E79" s="21" t="s">
        <v>420</v>
      </c>
      <c r="F79" s="20" t="s">
        <v>145</v>
      </c>
      <c r="G79" s="21" t="str">
        <f aca="false">IF(OR(M79="暂停",M79="挂起",Q79="暂停",Q79="挂起",U79="暂停",U79="挂起",Y79="暂停",Y79="挂起"),"暂停",IF(COUNTA(L79,P79,T79,X79)=0,"未分配",IF(IF(L79&lt;&gt;"",M79="已完成",0)+IF(P79&lt;&gt;"",Q79="已完成",0)+IF(T79&lt;&gt;"",U79="已完成",0)+IF(X79&lt;&gt;"",Y79="已完成",0)=COUNTA(L79,P79,T79,X79),"已完成",IF(IF(L79&lt;&gt;"",M79="进行中",0)+IF(P79&lt;&gt;"",Q79="进行中",0)+IF(T79&lt;&gt;"",U79="进行中",0)+IF(X79&lt;&gt;"",Y79="进行中",0)&gt;0,"进行中",IF(IF(L79&lt;&gt;"",M79="待确认",0)+IF(P79&lt;&gt;"",Q79="待确认",0)+IF(T79&lt;&gt;"",U79="待确认",0)+IF(X79&lt;&gt;"",Y79="待确认",0)&gt;0,"待确认","未开始")))))</f>
        <v>未开始</v>
      </c>
      <c r="H79" s="20" t="str">
        <f aca="false">IF(L79&lt;&gt;"",L79,IF(P79&lt;&gt;"",P79,IF(T79&lt;&gt;"",T79,X79)))</f>
        <v>高级测试人员、中级测试人员</v>
      </c>
      <c r="I79" s="32" t="n">
        <f aca="false">IF(COUNT(N79,R79,V79,Z79)=0,"",MIN(N79,R79,V79,Z79))</f>
        <v>46447</v>
      </c>
      <c r="J79" s="32" t="n">
        <f aca="false">IF(COUNT(O79,S79,W79,AA79)=0,"",MAX(O79,S79,W79,AA79))</f>
        <v>46453</v>
      </c>
      <c r="K79" s="32" t="n">
        <v>46492</v>
      </c>
      <c r="L79" s="20"/>
      <c r="M79" s="21"/>
      <c r="N79" s="32"/>
      <c r="O79" s="32"/>
      <c r="P79" s="20"/>
      <c r="Q79" s="21"/>
      <c r="R79" s="32"/>
      <c r="S79" s="32"/>
      <c r="T79" s="20"/>
      <c r="U79" s="21"/>
      <c r="V79" s="32"/>
      <c r="W79" s="32"/>
      <c r="X79" s="21" t="s">
        <v>148</v>
      </c>
      <c r="Y79" s="21" t="s">
        <v>112</v>
      </c>
      <c r="Z79" s="32" t="n">
        <v>46447</v>
      </c>
      <c r="AA79" s="32" t="n">
        <v>46453</v>
      </c>
      <c r="AB79" s="33" t="n">
        <f aca="false">IFERROR((IF(L79&lt;&gt;"",IF(M79="已完成",1,IF(M79="进行中",0.5,0))*15%,0)+IF(P79&lt;&gt;"",IF(Q79="已完成",1,IF(Q79="进行中",0.5,0))*35%,0)+IF(T79&lt;&gt;"",IF(U79="已完成",1,IF(U79="进行中",0.5,0))*30%,0)+IF(X79&lt;&gt;"",IF(Y79="已完成",1,IF(Y79="进行中",0.5,0))*20%,0))/(IF(L79&lt;&gt;"",15%,0)+IF(P79&lt;&gt;"",35%,0)+IF(T79&lt;&gt;"",30%,0)+IF(X79&lt;&gt;"",20%,0)),0)</f>
        <v>0</v>
      </c>
      <c r="AC79" s="21" t="str">
        <f aca="false">IF($A79="","",IF(G79="已完成","正常",IF(G79="暂停","暂停",IF(J79="","日期缺失",IF(J79&lt;_数据接口!$B$7,"已延期",IF(J79&lt;=_数据接口!$B$7+7,"临近到期","正常"))))))</f>
        <v>正常</v>
      </c>
      <c r="AD79" s="21"/>
      <c r="AE79" s="39"/>
      <c r="AF79" s="36"/>
      <c r="AG79" s="32"/>
      <c r="AH79" s="34" t="str">
        <f aca="false">IF(OR($A79="",J79="",AG79=""),"",AG79-J79)</f>
        <v/>
      </c>
    </row>
    <row r="80" customFormat="false" ht="31.5" hidden="false" customHeight="true" outlineLevel="0" collapsed="false">
      <c r="A80" s="20" t="s">
        <v>421</v>
      </c>
      <c r="B80" s="25"/>
      <c r="C80" s="25"/>
      <c r="D80" s="21" t="s">
        <v>422</v>
      </c>
      <c r="E80" s="21" t="s">
        <v>423</v>
      </c>
      <c r="F80" s="20" t="s">
        <v>145</v>
      </c>
      <c r="G80" s="21" t="str">
        <f aca="false">IF(OR(M80="暂停",M80="挂起",Q80="暂停",Q80="挂起",U80="暂停",U80="挂起",Y80="暂停",Y80="挂起"),"暂停",IF(COUNTA(L80,P80,T80,X80)=0,"未分配",IF(IF(L80&lt;&gt;"",M80="已完成",0)+IF(P80&lt;&gt;"",Q80="已完成",0)+IF(T80&lt;&gt;"",U80="已完成",0)+IF(X80&lt;&gt;"",Y80="已完成",0)=COUNTA(L80,P80,T80,X80),"已完成",IF(IF(L80&lt;&gt;"",M80="进行中",0)+IF(P80&lt;&gt;"",Q80="进行中",0)+IF(T80&lt;&gt;"",U80="进行中",0)+IF(X80&lt;&gt;"",Y80="进行中",0)&gt;0,"进行中",IF(IF(L80&lt;&gt;"",M80="待确认",0)+IF(P80&lt;&gt;"",Q80="待确认",0)+IF(T80&lt;&gt;"",U80="待确认",0)+IF(X80&lt;&gt;"",Y80="待确认",0)&gt;0,"待确认","未开始")))))</f>
        <v>未开始</v>
      </c>
      <c r="H80" s="20" t="str">
        <f aca="false">IF(L80&lt;&gt;"",L80,IF(P80&lt;&gt;"",P80,IF(T80&lt;&gt;"",T80,X80)))</f>
        <v>高级测试人员、中级测试人员</v>
      </c>
      <c r="I80" s="32" t="n">
        <f aca="false">IF(COUNT(N80,R80,V80,Z80)=0,"",MIN(N80,R80,V80,Z80))</f>
        <v>46454</v>
      </c>
      <c r="J80" s="32" t="n">
        <f aca="false">IF(COUNT(O80,S80,W80,AA80)=0,"",MAX(O80,S80,W80,AA80))</f>
        <v>46461</v>
      </c>
      <c r="K80" s="32" t="n">
        <v>46492</v>
      </c>
      <c r="L80" s="20"/>
      <c r="M80" s="21"/>
      <c r="N80" s="32"/>
      <c r="O80" s="32"/>
      <c r="P80" s="20"/>
      <c r="Q80" s="21"/>
      <c r="R80" s="32"/>
      <c r="S80" s="32"/>
      <c r="T80" s="20"/>
      <c r="U80" s="21"/>
      <c r="V80" s="32"/>
      <c r="W80" s="32"/>
      <c r="X80" s="21" t="s">
        <v>148</v>
      </c>
      <c r="Y80" s="21" t="s">
        <v>112</v>
      </c>
      <c r="Z80" s="32" t="n">
        <v>46454</v>
      </c>
      <c r="AA80" s="32" t="n">
        <v>46461</v>
      </c>
      <c r="AB80" s="33" t="n">
        <f aca="false">IFERROR((IF(L80&lt;&gt;"",IF(M80="已完成",1,IF(M80="进行中",0.5,0))*15%,0)+IF(P80&lt;&gt;"",IF(Q80="已完成",1,IF(Q80="进行中",0.5,0))*35%,0)+IF(T80&lt;&gt;"",IF(U80="已完成",1,IF(U80="进行中",0.5,0))*30%,0)+IF(X80&lt;&gt;"",IF(Y80="已完成",1,IF(Y80="进行中",0.5,0))*20%,0))/(IF(L80&lt;&gt;"",15%,0)+IF(P80&lt;&gt;"",35%,0)+IF(T80&lt;&gt;"",30%,0)+IF(X80&lt;&gt;"",20%,0)),0)</f>
        <v>0</v>
      </c>
      <c r="AC80" s="21" t="str">
        <f aca="false">IF($A80="","",IF(G80="已完成","正常",IF(G80="暂停","暂停",IF(J80="","日期缺失",IF(J80&lt;_数据接口!$B$7,"已延期",IF(J80&lt;=_数据接口!$B$7+7,"临近到期","正常"))))))</f>
        <v>正常</v>
      </c>
      <c r="AD80" s="21"/>
      <c r="AE80" s="39"/>
      <c r="AF80" s="36"/>
      <c r="AG80" s="32"/>
      <c r="AH80" s="34" t="str">
        <f aca="false">IF(OR($A80="",J80="",AG80=""),"",AG80-J80)</f>
        <v/>
      </c>
    </row>
    <row r="81" customFormat="false" ht="31.5" hidden="false" customHeight="true" outlineLevel="0" collapsed="false">
      <c r="A81" s="20" t="s">
        <v>424</v>
      </c>
      <c r="B81" s="25"/>
      <c r="C81" s="25"/>
      <c r="D81" s="21" t="s">
        <v>425</v>
      </c>
      <c r="E81" s="21" t="s">
        <v>426</v>
      </c>
      <c r="F81" s="20" t="s">
        <v>145</v>
      </c>
      <c r="G81" s="21" t="str">
        <f aca="false">IF(OR(M81="暂停",M81="挂起",Q81="暂停",Q81="挂起",U81="暂停",U81="挂起",Y81="暂停",Y81="挂起"),"暂停",IF(COUNTA(L81,P81,T81,X81)=0,"未分配",IF(IF(L81&lt;&gt;"",M81="已完成",0)+IF(P81&lt;&gt;"",Q81="已完成",0)+IF(T81&lt;&gt;"",U81="已完成",0)+IF(X81&lt;&gt;"",Y81="已完成",0)=COUNTA(L81,P81,T81,X81),"已完成",IF(IF(L81&lt;&gt;"",M81="进行中",0)+IF(P81&lt;&gt;"",Q81="进行中",0)+IF(T81&lt;&gt;"",U81="进行中",0)+IF(X81&lt;&gt;"",Y81="进行中",0)&gt;0,"进行中",IF(IF(L81&lt;&gt;"",M81="待确认",0)+IF(P81&lt;&gt;"",Q81="待确认",0)+IF(T81&lt;&gt;"",U81="待确认",0)+IF(X81&lt;&gt;"",Y81="待确认",0)&gt;0,"待确认","未开始")))))</f>
        <v>未开始</v>
      </c>
      <c r="H81" s="20" t="str">
        <f aca="false">IF(L81&lt;&gt;"",L81,IF(P81&lt;&gt;"",P81,IF(T81&lt;&gt;"",T81,X81)))</f>
        <v>高级测试人员、中级测试人员</v>
      </c>
      <c r="I81" s="32" t="n">
        <f aca="false">IF(COUNT(N81,R81,V81,Z81)=0,"",MIN(N81,R81,V81,Z81))</f>
        <v>46462</v>
      </c>
      <c r="J81" s="32" t="n">
        <f aca="false">IF(COUNT(O81,S81,W81,AA81)=0,"",MAX(O81,S81,W81,AA81))</f>
        <v>46469</v>
      </c>
      <c r="K81" s="32" t="n">
        <v>46492</v>
      </c>
      <c r="L81" s="20"/>
      <c r="M81" s="21"/>
      <c r="N81" s="32"/>
      <c r="O81" s="32"/>
      <c r="P81" s="20"/>
      <c r="Q81" s="21"/>
      <c r="R81" s="32"/>
      <c r="S81" s="32"/>
      <c r="T81" s="20"/>
      <c r="U81" s="21"/>
      <c r="V81" s="32"/>
      <c r="W81" s="32"/>
      <c r="X81" s="21" t="s">
        <v>148</v>
      </c>
      <c r="Y81" s="21" t="s">
        <v>112</v>
      </c>
      <c r="Z81" s="32" t="n">
        <v>46462</v>
      </c>
      <c r="AA81" s="32" t="n">
        <v>46469</v>
      </c>
      <c r="AB81" s="33" t="n">
        <f aca="false">IFERROR((IF(L81&lt;&gt;"",IF(M81="已完成",1,IF(M81="进行中",0.5,0))*15%,0)+IF(P81&lt;&gt;"",IF(Q81="已完成",1,IF(Q81="进行中",0.5,0))*35%,0)+IF(T81&lt;&gt;"",IF(U81="已完成",1,IF(U81="进行中",0.5,0))*30%,0)+IF(X81&lt;&gt;"",IF(Y81="已完成",1,IF(Y81="进行中",0.5,0))*20%,0))/(IF(L81&lt;&gt;"",15%,0)+IF(P81&lt;&gt;"",35%,0)+IF(T81&lt;&gt;"",30%,0)+IF(X81&lt;&gt;"",20%,0)),0)</f>
        <v>0</v>
      </c>
      <c r="AC81" s="21" t="str">
        <f aca="false">IF($A81="","",IF(G81="已完成","正常",IF(G81="暂停","暂停",IF(J81="","日期缺失",IF(J81&lt;_数据接口!$B$7,"已延期",IF(J81&lt;=_数据接口!$B$7+7,"临近到期","正常"))))))</f>
        <v>正常</v>
      </c>
      <c r="AD81" s="21"/>
      <c r="AE81" s="39"/>
      <c r="AF81" s="36"/>
      <c r="AG81" s="32"/>
      <c r="AH81" s="34" t="str">
        <f aca="false">IF(OR($A81="",J81="",AG81=""),"",AG81-J81)</f>
        <v/>
      </c>
    </row>
    <row r="82" customFormat="false" ht="31.5" hidden="false" customHeight="true" outlineLevel="0" collapsed="false">
      <c r="A82" s="20" t="s">
        <v>427</v>
      </c>
      <c r="B82" s="25"/>
      <c r="C82" s="25"/>
      <c r="D82" s="21" t="s">
        <v>428</v>
      </c>
      <c r="E82" s="21" t="s">
        <v>429</v>
      </c>
      <c r="F82" s="20" t="s">
        <v>145</v>
      </c>
      <c r="G82" s="21" t="str">
        <f aca="false">IF(OR(M82="暂停",M82="挂起",Q82="暂停",Q82="挂起",U82="暂停",U82="挂起",Y82="暂停",Y82="挂起"),"暂停",IF(COUNTA(L82,P82,T82,X82)=0,"未分配",IF(IF(L82&lt;&gt;"",M82="已完成",0)+IF(P82&lt;&gt;"",Q82="已完成",0)+IF(T82&lt;&gt;"",U82="已完成",0)+IF(X82&lt;&gt;"",Y82="已完成",0)=COUNTA(L82,P82,T82,X82),"已完成",IF(IF(L82&lt;&gt;"",M82="进行中",0)+IF(P82&lt;&gt;"",Q82="进行中",0)+IF(T82&lt;&gt;"",U82="进行中",0)+IF(X82&lt;&gt;"",Y82="进行中",0)&gt;0,"进行中",IF(IF(L82&lt;&gt;"",M82="待确认",0)+IF(P82&lt;&gt;"",Q82="待确认",0)+IF(T82&lt;&gt;"",U82="待确认",0)+IF(X82&lt;&gt;"",Y82="待确认",0)&gt;0,"待确认","未开始")))))</f>
        <v>未开始</v>
      </c>
      <c r="H82" s="20" t="str">
        <f aca="false">IF(L82&lt;&gt;"",L82,IF(P82&lt;&gt;"",P82,IF(T82&lt;&gt;"",T82,X82)))</f>
        <v>高级测试人员、中级测试人员</v>
      </c>
      <c r="I82" s="32" t="n">
        <f aca="false">IF(COUNT(N82,R82,V82,Z82)=0,"",MIN(N82,R82,V82,Z82))</f>
        <v>46470</v>
      </c>
      <c r="J82" s="32" t="n">
        <f aca="false">IF(COUNT(O82,S82,W82,AA82)=0,"",MAX(O82,S82,W82,AA82))</f>
        <v>46476</v>
      </c>
      <c r="K82" s="32" t="n">
        <v>46492</v>
      </c>
      <c r="L82" s="20"/>
      <c r="M82" s="21"/>
      <c r="N82" s="32"/>
      <c r="O82" s="32"/>
      <c r="P82" s="20"/>
      <c r="Q82" s="21"/>
      <c r="R82" s="32"/>
      <c r="S82" s="32"/>
      <c r="T82" s="20"/>
      <c r="U82" s="21"/>
      <c r="V82" s="32"/>
      <c r="W82" s="32"/>
      <c r="X82" s="21" t="s">
        <v>148</v>
      </c>
      <c r="Y82" s="21" t="s">
        <v>112</v>
      </c>
      <c r="Z82" s="32" t="n">
        <v>46470</v>
      </c>
      <c r="AA82" s="32" t="n">
        <v>46476</v>
      </c>
      <c r="AB82" s="33" t="n">
        <f aca="false">IFERROR((IF(L82&lt;&gt;"",IF(M82="已完成",1,IF(M82="进行中",0.5,0))*15%,0)+IF(P82&lt;&gt;"",IF(Q82="已完成",1,IF(Q82="进行中",0.5,0))*35%,0)+IF(T82&lt;&gt;"",IF(U82="已完成",1,IF(U82="进行中",0.5,0))*30%,0)+IF(X82&lt;&gt;"",IF(Y82="已完成",1,IF(Y82="进行中",0.5,0))*20%,0))/(IF(L82&lt;&gt;"",15%,0)+IF(P82&lt;&gt;"",35%,0)+IF(T82&lt;&gt;"",30%,0)+IF(X82&lt;&gt;"",20%,0)),0)</f>
        <v>0</v>
      </c>
      <c r="AC82" s="21" t="str">
        <f aca="false">IF($A82="","",IF(G82="已完成","正常",IF(G82="暂停","暂停",IF(J82="","日期缺失",IF(J82&lt;_数据接口!$B$7,"已延期",IF(J82&lt;=_数据接口!$B$7+7,"临近到期","正常"))))))</f>
        <v>正常</v>
      </c>
      <c r="AD82" s="21"/>
      <c r="AE82" s="39"/>
      <c r="AF82" s="36"/>
      <c r="AG82" s="32"/>
      <c r="AH82" s="34" t="str">
        <f aca="false">IF(OR($A82="",J82="",AG82=""),"",AG82-J82)</f>
        <v/>
      </c>
    </row>
    <row r="83" customFormat="false" ht="31.5" hidden="false" customHeight="true" outlineLevel="0" collapsed="false">
      <c r="A83" s="20" t="s">
        <v>430</v>
      </c>
      <c r="B83" s="25"/>
      <c r="C83" s="25"/>
      <c r="D83" s="21" t="s">
        <v>431</v>
      </c>
      <c r="E83" s="21" t="s">
        <v>432</v>
      </c>
      <c r="F83" s="20" t="s">
        <v>145</v>
      </c>
      <c r="G83" s="21" t="str">
        <f aca="false">IF(OR(M83="暂停",M83="挂起",Q83="暂停",Q83="挂起",U83="暂停",U83="挂起",Y83="暂停",Y83="挂起"),"暂停",IF(COUNTA(L83,P83,T83,X83)=0,"未分配",IF(IF(L83&lt;&gt;"",M83="已完成",0)+IF(P83&lt;&gt;"",Q83="已完成",0)+IF(T83&lt;&gt;"",U83="已完成",0)+IF(X83&lt;&gt;"",Y83="已完成",0)=COUNTA(L83,P83,T83,X83),"已完成",IF(IF(L83&lt;&gt;"",M83="进行中",0)+IF(P83&lt;&gt;"",Q83="进行中",0)+IF(T83&lt;&gt;"",U83="进行中",0)+IF(X83&lt;&gt;"",Y83="进行中",0)&gt;0,"进行中",IF(IF(L83&lt;&gt;"",M83="待确认",0)+IF(P83&lt;&gt;"",Q83="待确认",0)+IF(T83&lt;&gt;"",U83="待确认",0)+IF(X83&lt;&gt;"",Y83="待确认",0)&gt;0,"待确认","未开始")))))</f>
        <v>未开始</v>
      </c>
      <c r="H83" s="20" t="str">
        <f aca="false">IF(L83&lt;&gt;"",L83,IF(P83&lt;&gt;"",P83,IF(T83&lt;&gt;"",T83,X83)))</f>
        <v>高级开发人员</v>
      </c>
      <c r="I83" s="32" t="n">
        <f aca="false">IF(COUNT(N83,R83,V83,Z83)=0,"",MIN(N83,R83,V83,Z83))</f>
        <v>46477</v>
      </c>
      <c r="J83" s="32" t="n">
        <f aca="false">IF(COUNT(O83,S83,W83,AA83)=0,"",MAX(O83,S83,W83,AA83))</f>
        <v>46484</v>
      </c>
      <c r="K83" s="32" t="n">
        <v>46492</v>
      </c>
      <c r="L83" s="20"/>
      <c r="M83" s="21"/>
      <c r="N83" s="32"/>
      <c r="O83" s="32"/>
      <c r="P83" s="21" t="s">
        <v>132</v>
      </c>
      <c r="Q83" s="21" t="s">
        <v>112</v>
      </c>
      <c r="R83" s="32" t="n">
        <v>46477</v>
      </c>
      <c r="S83" s="32" t="n">
        <v>46484</v>
      </c>
      <c r="T83" s="20"/>
      <c r="U83" s="21"/>
      <c r="V83" s="32"/>
      <c r="W83" s="32"/>
      <c r="X83" s="20"/>
      <c r="Y83" s="21"/>
      <c r="Z83" s="32"/>
      <c r="AA83" s="32"/>
      <c r="AB83" s="33" t="n">
        <f aca="false">IFERROR((IF(L83&lt;&gt;"",IF(M83="已完成",1,IF(M83="进行中",0.5,0))*15%,0)+IF(P83&lt;&gt;"",IF(Q83="已完成",1,IF(Q83="进行中",0.5,0))*35%,0)+IF(T83&lt;&gt;"",IF(U83="已完成",1,IF(U83="进行中",0.5,0))*30%,0)+IF(X83&lt;&gt;"",IF(Y83="已完成",1,IF(Y83="进行中",0.5,0))*20%,0))/(IF(L83&lt;&gt;"",15%,0)+IF(P83&lt;&gt;"",35%,0)+IF(T83&lt;&gt;"",30%,0)+IF(X83&lt;&gt;"",20%,0)),0)</f>
        <v>0</v>
      </c>
      <c r="AC83" s="21" t="str">
        <f aca="false">IF($A83="","",IF(G83="已完成","正常",IF(G83="暂停","暂停",IF(J83="","日期缺失",IF(J83&lt;_数据接口!$B$7,"已延期",IF(J83&lt;=_数据接口!$B$7+7,"临近到期","正常"))))))</f>
        <v>正常</v>
      </c>
      <c r="AD83" s="21"/>
      <c r="AE83" s="39"/>
      <c r="AF83" s="36"/>
      <c r="AG83" s="32"/>
      <c r="AH83" s="34" t="str">
        <f aca="false">IF(OR($A83="",J83="",AG83=""),"",AG83-J83)</f>
        <v/>
      </c>
    </row>
    <row r="84" customFormat="false" ht="31.5" hidden="false" customHeight="true" outlineLevel="0" collapsed="false">
      <c r="A84" s="20" t="s">
        <v>433</v>
      </c>
      <c r="B84" s="25"/>
      <c r="C84" s="25"/>
      <c r="D84" s="21" t="s">
        <v>434</v>
      </c>
      <c r="E84" s="21" t="s">
        <v>435</v>
      </c>
      <c r="F84" s="20" t="s">
        <v>145</v>
      </c>
      <c r="G84" s="21" t="str">
        <f aca="false">IF(OR(M84="暂停",M84="挂起",Q84="暂停",Q84="挂起",U84="暂停",U84="挂起",Y84="暂停",Y84="挂起"),"暂停",IF(COUNTA(L84,P84,T84,X84)=0,"未分配",IF(IF(L84&lt;&gt;"",M84="已完成",0)+IF(P84&lt;&gt;"",Q84="已完成",0)+IF(T84&lt;&gt;"",U84="已完成",0)+IF(X84&lt;&gt;"",Y84="已完成",0)=COUNTA(L84,P84,T84,X84),"已完成",IF(IF(L84&lt;&gt;"",M84="进行中",0)+IF(P84&lt;&gt;"",Q84="进行中",0)+IF(T84&lt;&gt;"",U84="进行中",0)+IF(X84&lt;&gt;"",Y84="进行中",0)&gt;0,"进行中",IF(IF(L84&lt;&gt;"",M84="待确认",0)+IF(P84&lt;&gt;"",Q84="待确认",0)+IF(T84&lt;&gt;"",U84="待确认",0)+IF(X84&lt;&gt;"",Y84="待确认",0)&gt;0,"待确认","未开始")))))</f>
        <v>未开始</v>
      </c>
      <c r="H84" s="20" t="str">
        <f aca="false">IF(L84&lt;&gt;"",L84,IF(P84&lt;&gt;"",P84,IF(T84&lt;&gt;"",T84,X84)))</f>
        <v>高级测试人员、中级测试人员</v>
      </c>
      <c r="I84" s="32" t="n">
        <f aca="false">IF(COUNT(N84,R84,V84,Z84)=0,"",MIN(N84,R84,V84,Z84))</f>
        <v>46485</v>
      </c>
      <c r="J84" s="32" t="n">
        <f aca="false">IF(COUNT(O84,S84,W84,AA84)=0,"",MAX(O84,S84,W84,AA84))</f>
        <v>46492</v>
      </c>
      <c r="K84" s="32" t="n">
        <v>46492</v>
      </c>
      <c r="L84" s="20"/>
      <c r="M84" s="21"/>
      <c r="N84" s="32"/>
      <c r="O84" s="32"/>
      <c r="P84" s="20"/>
      <c r="Q84" s="21"/>
      <c r="R84" s="32"/>
      <c r="S84" s="32"/>
      <c r="T84" s="20"/>
      <c r="U84" s="21"/>
      <c r="V84" s="32"/>
      <c r="W84" s="32"/>
      <c r="X84" s="21" t="s">
        <v>148</v>
      </c>
      <c r="Y84" s="21" t="s">
        <v>112</v>
      </c>
      <c r="Z84" s="32" t="n">
        <v>46485</v>
      </c>
      <c r="AA84" s="32" t="n">
        <v>46492</v>
      </c>
      <c r="AB84" s="33" t="n">
        <f aca="false">IFERROR((IF(L84&lt;&gt;"",IF(M84="已完成",1,IF(M84="进行中",0.5,0))*15%,0)+IF(P84&lt;&gt;"",IF(Q84="已完成",1,IF(Q84="进行中",0.5,0))*35%,0)+IF(T84&lt;&gt;"",IF(U84="已完成",1,IF(U84="进行中",0.5,0))*30%,0)+IF(X84&lt;&gt;"",IF(Y84="已完成",1,IF(Y84="进行中",0.5,0))*20%,0))/(IF(L84&lt;&gt;"",15%,0)+IF(P84&lt;&gt;"",35%,0)+IF(T84&lt;&gt;"",30%,0)+IF(X84&lt;&gt;"",20%,0)),0)</f>
        <v>0</v>
      </c>
      <c r="AC84" s="21" t="str">
        <f aca="false">IF($A84="","",IF(G84="已完成","正常",IF(G84="暂停","暂停",IF(J84="","日期缺失",IF(J84&lt;_数据接口!$B$7,"已延期",IF(J84&lt;=_数据接口!$B$7+7,"临近到期","正常"))))))</f>
        <v>正常</v>
      </c>
      <c r="AD84" s="21"/>
      <c r="AE84" s="39"/>
      <c r="AF84" s="36"/>
      <c r="AG84" s="32"/>
      <c r="AH84" s="34" t="str">
        <f aca="false">IF(OR($A84="",J84="",AG84=""),"",AG84-J84)</f>
        <v/>
      </c>
    </row>
    <row r="85" customFormat="false" ht="31.5" hidden="false" customHeight="true" outlineLevel="0" collapsed="false">
      <c r="A85" s="20" t="s">
        <v>436</v>
      </c>
      <c r="B85" s="25"/>
      <c r="C85" s="40" t="s">
        <v>152</v>
      </c>
      <c r="D85" s="20" t="s">
        <v>437</v>
      </c>
      <c r="E85" s="21" t="s">
        <v>438</v>
      </c>
      <c r="F85" s="20" t="s">
        <v>151</v>
      </c>
      <c r="G85" s="21" t="str">
        <f aca="false">IF(OR(M85="暂停",M85="挂起",Q85="暂停",Q85="挂起",U85="暂停",U85="挂起",Y85="暂停",Y85="挂起"),"暂停",IF(COUNTA(L85,P85,T85,X85)=0,"未分配",IF(IF(L85&lt;&gt;"",M85="已完成",0)+IF(P85&lt;&gt;"",Q85="已完成",0)+IF(T85&lt;&gt;"",U85="已完成",0)+IF(X85&lt;&gt;"",Y85="已完成",0)=COUNTA(L85,P85,T85,X85),"已完成",IF(IF(L85&lt;&gt;"",M85="进行中",0)+IF(P85&lt;&gt;"",Q85="进行中",0)+IF(T85&lt;&gt;"",U85="进行中",0)+IF(X85&lt;&gt;"",Y85="进行中",0)&gt;0,"进行中",IF(IF(L85&lt;&gt;"",M85="待确认",0)+IF(P85&lt;&gt;"",Q85="待确认",0)+IF(T85&lt;&gt;"",U85="待确认",0)+IF(X85&lt;&gt;"",Y85="待确认",0)&gt;0,"待确认","未开始")))))</f>
        <v>未开始</v>
      </c>
      <c r="H85" s="20" t="str">
        <f aca="false">IF(L85&lt;&gt;"",L85,IF(P85&lt;&gt;"",P85,IF(T85&lt;&gt;"",T85,X85)))</f>
        <v>产品经理</v>
      </c>
      <c r="I85" s="32" t="n">
        <f aca="false">IF(COUNT(N85,R85,V85,Z85)=0,"",MIN(N85,R85,V85,Z85))</f>
        <v>46493</v>
      </c>
      <c r="J85" s="32" t="n">
        <f aca="false">IF(COUNT(O85,S85,W85,AA85)=0,"",MAX(O85,S85,W85,AA85))</f>
        <v>46498</v>
      </c>
      <c r="K85" s="32" t="n">
        <v>46517</v>
      </c>
      <c r="L85" s="21" t="s">
        <v>85</v>
      </c>
      <c r="M85" s="21" t="s">
        <v>112</v>
      </c>
      <c r="N85" s="32" t="n">
        <v>46493</v>
      </c>
      <c r="O85" s="32" t="n">
        <v>46498</v>
      </c>
      <c r="P85" s="20"/>
      <c r="Q85" s="21"/>
      <c r="R85" s="32"/>
      <c r="S85" s="32"/>
      <c r="T85" s="20"/>
      <c r="U85" s="21"/>
      <c r="V85" s="32"/>
      <c r="W85" s="32"/>
      <c r="X85" s="20"/>
      <c r="Y85" s="21"/>
      <c r="Z85" s="32"/>
      <c r="AA85" s="32"/>
      <c r="AB85" s="33" t="n">
        <f aca="false">IFERROR((IF(L85&lt;&gt;"",IF(M85="已完成",1,IF(M85="进行中",0.5,0))*15%,0)+IF(P85&lt;&gt;"",IF(Q85="已完成",1,IF(Q85="进行中",0.5,0))*35%,0)+IF(T85&lt;&gt;"",IF(U85="已完成",1,IF(U85="进行中",0.5,0))*30%,0)+IF(X85&lt;&gt;"",IF(Y85="已完成",1,IF(Y85="进行中",0.5,0))*20%,0))/(IF(L85&lt;&gt;"",15%,0)+IF(P85&lt;&gt;"",35%,0)+IF(T85&lt;&gt;"",30%,0)+IF(X85&lt;&gt;"",20%,0)),0)</f>
        <v>0</v>
      </c>
      <c r="AC85" s="21" t="str">
        <f aca="false">IF($A85="","",IF(G85="已完成","正常",IF(G85="暂停","暂停",IF(J85="","日期缺失",IF(J85&lt;_数据接口!$B$7,"已延期",IF(J85&lt;=_数据接口!$B$7+7,"临近到期","正常"))))))</f>
        <v>正常</v>
      </c>
      <c r="AD85" s="21"/>
      <c r="AE85" s="39"/>
      <c r="AF85" s="36"/>
      <c r="AG85" s="32"/>
      <c r="AH85" s="34" t="str">
        <f aca="false">IF(OR($A85="",J85="",AG85=""),"",AG85-J85)</f>
        <v/>
      </c>
    </row>
    <row r="86" customFormat="false" ht="31.5" hidden="false" customHeight="true" outlineLevel="0" collapsed="false">
      <c r="A86" s="20" t="s">
        <v>439</v>
      </c>
      <c r="B86" s="25"/>
      <c r="C86" s="25"/>
      <c r="D86" s="20" t="s">
        <v>440</v>
      </c>
      <c r="E86" s="21" t="s">
        <v>441</v>
      </c>
      <c r="F86" s="20" t="s">
        <v>151</v>
      </c>
      <c r="G86" s="21" t="str">
        <f aca="false">IF(OR(M86="暂停",M86="挂起",Q86="暂停",Q86="挂起",U86="暂停",U86="挂起",Y86="暂停",Y86="挂起"),"暂停",IF(COUNTA(L86,P86,T86,X86)=0,"未分配",IF(IF(L86&lt;&gt;"",M86="已完成",0)+IF(P86&lt;&gt;"",Q86="已完成",0)+IF(T86&lt;&gt;"",U86="已完成",0)+IF(X86&lt;&gt;"",Y86="已完成",0)=COUNTA(L86,P86,T86,X86),"已完成",IF(IF(L86&lt;&gt;"",M86="进行中",0)+IF(P86&lt;&gt;"",Q86="进行中",0)+IF(T86&lt;&gt;"",U86="进行中",0)+IF(X86&lt;&gt;"",Y86="进行中",0)&gt;0,"进行中",IF(IF(L86&lt;&gt;"",M86="待确认",0)+IF(P86&lt;&gt;"",Q86="待确认",0)+IF(T86&lt;&gt;"",U86="待确认",0)+IF(X86&lt;&gt;"",Y86="待确认",0)&gt;0,"待确认","未开始")))))</f>
        <v>未开始</v>
      </c>
      <c r="H86" s="20" t="str">
        <f aca="false">IF(L86&lt;&gt;"",L86,IF(P86&lt;&gt;"",P86,IF(T86&lt;&gt;"",T86,X86)))</f>
        <v>产品经理</v>
      </c>
      <c r="I86" s="32" t="n">
        <f aca="false">IF(COUNT(N86,R86,V86,Z86)=0,"",MIN(N86,R86,V86,Z86))</f>
        <v>46499</v>
      </c>
      <c r="J86" s="32" t="n">
        <f aca="false">IF(COUNT(O86,S86,W86,AA86)=0,"",MAX(O86,S86,W86,AA86))</f>
        <v>46504</v>
      </c>
      <c r="K86" s="32" t="n">
        <v>46517</v>
      </c>
      <c r="L86" s="21" t="s">
        <v>85</v>
      </c>
      <c r="M86" s="21" t="s">
        <v>112</v>
      </c>
      <c r="N86" s="32" t="n">
        <v>46499</v>
      </c>
      <c r="O86" s="32" t="n">
        <v>46504</v>
      </c>
      <c r="P86" s="20"/>
      <c r="Q86" s="21"/>
      <c r="R86" s="32"/>
      <c r="S86" s="32"/>
      <c r="T86" s="20"/>
      <c r="U86" s="21"/>
      <c r="V86" s="32"/>
      <c r="W86" s="32"/>
      <c r="X86" s="20"/>
      <c r="Y86" s="21"/>
      <c r="Z86" s="32"/>
      <c r="AA86" s="32"/>
      <c r="AB86" s="33" t="n">
        <f aca="false">IFERROR((IF(L86&lt;&gt;"",IF(M86="已完成",1,IF(M86="进行中",0.5,0))*15%,0)+IF(P86&lt;&gt;"",IF(Q86="已完成",1,IF(Q86="进行中",0.5,0))*35%,0)+IF(T86&lt;&gt;"",IF(U86="已完成",1,IF(U86="进行中",0.5,0))*30%,0)+IF(X86&lt;&gt;"",IF(Y86="已完成",1,IF(Y86="进行中",0.5,0))*20%,0))/(IF(L86&lt;&gt;"",15%,0)+IF(P86&lt;&gt;"",35%,0)+IF(T86&lt;&gt;"",30%,0)+IF(X86&lt;&gt;"",20%,0)),0)</f>
        <v>0</v>
      </c>
      <c r="AC86" s="21" t="str">
        <f aca="false">IF($A86="","",IF(G86="已完成","正常",IF(G86="暂停","暂停",IF(J86="","日期缺失",IF(J86&lt;_数据接口!$B$7,"已延期",IF(J86&lt;=_数据接口!$B$7+7,"临近到期","正常"))))))</f>
        <v>正常</v>
      </c>
      <c r="AD86" s="21"/>
      <c r="AE86" s="39"/>
      <c r="AF86" s="36"/>
      <c r="AG86" s="32"/>
      <c r="AH86" s="34" t="str">
        <f aca="false">IF(OR($A86="",J86="",AG86=""),"",AG86-J86)</f>
        <v/>
      </c>
    </row>
    <row r="87" customFormat="false" ht="31.5" hidden="false" customHeight="true" outlineLevel="0" collapsed="false">
      <c r="A87" s="20" t="s">
        <v>442</v>
      </c>
      <c r="B87" s="25"/>
      <c r="C87" s="25"/>
      <c r="D87" s="21" t="s">
        <v>443</v>
      </c>
      <c r="E87" s="21" t="s">
        <v>444</v>
      </c>
      <c r="F87" s="20" t="s">
        <v>151</v>
      </c>
      <c r="G87" s="21" t="str">
        <f aca="false">IF(OR(M87="暂停",M87="挂起",Q87="暂停",Q87="挂起",U87="暂停",U87="挂起",Y87="暂停",Y87="挂起"),"暂停",IF(COUNTA(L87,P87,T87,X87)=0,"未分配",IF(IF(L87&lt;&gt;"",M87="已完成",0)+IF(P87&lt;&gt;"",Q87="已完成",0)+IF(T87&lt;&gt;"",U87="已完成",0)+IF(X87&lt;&gt;"",Y87="已完成",0)=COUNTA(L87,P87,T87,X87),"已完成",IF(IF(L87&lt;&gt;"",M87="进行中",0)+IF(P87&lt;&gt;"",Q87="进行中",0)+IF(T87&lt;&gt;"",U87="进行中",0)+IF(X87&lt;&gt;"",Y87="进行中",0)&gt;0,"进行中",IF(IF(L87&lt;&gt;"",M87="待确认",0)+IF(P87&lt;&gt;"",Q87="待确认",0)+IF(T87&lt;&gt;"",U87="待确认",0)+IF(X87&lt;&gt;"",Y87="待确认",0)&gt;0,"待确认","未开始")))))</f>
        <v>未开始</v>
      </c>
      <c r="H87" s="20" t="str">
        <f aca="false">IF(L87&lt;&gt;"",L87,IF(P87&lt;&gt;"",P87,IF(T87&lt;&gt;"",T87,X87)))</f>
        <v>高级开发人员</v>
      </c>
      <c r="I87" s="32" t="n">
        <f aca="false">IF(COUNT(N87,R87,V87,Z87)=0,"",MIN(N87,R87,V87,Z87))</f>
        <v>46505</v>
      </c>
      <c r="J87" s="32" t="n">
        <f aca="false">IF(COUNT(O87,S87,W87,AA87)=0,"",MAX(O87,S87,W87,AA87))</f>
        <v>46510</v>
      </c>
      <c r="K87" s="32" t="n">
        <v>46517</v>
      </c>
      <c r="L87" s="20"/>
      <c r="M87" s="21"/>
      <c r="N87" s="32"/>
      <c r="O87" s="32"/>
      <c r="P87" s="21" t="s">
        <v>132</v>
      </c>
      <c r="Q87" s="21" t="s">
        <v>112</v>
      </c>
      <c r="R87" s="32" t="n">
        <v>46505</v>
      </c>
      <c r="S87" s="32" t="n">
        <v>46510</v>
      </c>
      <c r="T87" s="20"/>
      <c r="U87" s="21"/>
      <c r="V87" s="32"/>
      <c r="W87" s="32"/>
      <c r="X87" s="20"/>
      <c r="Y87" s="21"/>
      <c r="Z87" s="32"/>
      <c r="AA87" s="32"/>
      <c r="AB87" s="33" t="n">
        <f aca="false">IFERROR((IF(L87&lt;&gt;"",IF(M87="已完成",1,IF(M87="进行中",0.5,0))*15%,0)+IF(P87&lt;&gt;"",IF(Q87="已完成",1,IF(Q87="进行中",0.5,0))*35%,0)+IF(T87&lt;&gt;"",IF(U87="已完成",1,IF(U87="进行中",0.5,0))*30%,0)+IF(X87&lt;&gt;"",IF(Y87="已完成",1,IF(Y87="进行中",0.5,0))*20%,0))/(IF(L87&lt;&gt;"",15%,0)+IF(P87&lt;&gt;"",35%,0)+IF(T87&lt;&gt;"",30%,0)+IF(X87&lt;&gt;"",20%,0)),0)</f>
        <v>0</v>
      </c>
      <c r="AC87" s="21" t="str">
        <f aca="false">IF($A87="","",IF(G87="已完成","正常",IF(G87="暂停","暂停",IF(J87="","日期缺失",IF(J87&lt;_数据接口!$B$7,"已延期",IF(J87&lt;=_数据接口!$B$7+7,"临近到期","正常"))))))</f>
        <v>正常</v>
      </c>
      <c r="AD87" s="21"/>
      <c r="AE87" s="39"/>
      <c r="AF87" s="36"/>
      <c r="AG87" s="32"/>
      <c r="AH87" s="34" t="str">
        <f aca="false">IF(OR($A87="",J87="",AG87=""),"",AG87-J87)</f>
        <v/>
      </c>
    </row>
    <row r="88" customFormat="false" ht="31.5" hidden="false" customHeight="true" outlineLevel="0" collapsed="false">
      <c r="A88" s="20" t="s">
        <v>445</v>
      </c>
      <c r="B88" s="25"/>
      <c r="C88" s="40"/>
      <c r="D88" s="21" t="s">
        <v>446</v>
      </c>
      <c r="E88" s="21" t="s">
        <v>447</v>
      </c>
      <c r="F88" s="20" t="s">
        <v>151</v>
      </c>
      <c r="G88" s="21" t="str">
        <f aca="false">IF(OR(M88="暂停",M88="挂起",Q88="暂停",Q88="挂起",U88="暂停",U88="挂起",Y88="暂停",Y88="挂起"),"暂停",IF(COUNTA(L88,P88,T88,X88)=0,"未分配",IF(IF(L88&lt;&gt;"",M88="已完成",0)+IF(P88&lt;&gt;"",Q88="已完成",0)+IF(T88&lt;&gt;"",U88="已完成",0)+IF(X88&lt;&gt;"",Y88="已完成",0)=COUNTA(L88,P88,T88,X88),"已完成",IF(IF(L88&lt;&gt;"",M88="进行中",0)+IF(P88&lt;&gt;"",Q88="进行中",0)+IF(T88&lt;&gt;"",U88="进行中",0)+IF(X88&lt;&gt;"",Y88="进行中",0)&gt;0,"进行中",IF(IF(L88&lt;&gt;"",M88="待确认",0)+IF(P88&lt;&gt;"",Q88="待确认",0)+IF(T88&lt;&gt;"",U88="待确认",0)+IF(X88&lt;&gt;"",Y88="待确认",0)&gt;0,"待确认","未开始")))))</f>
        <v>未开始</v>
      </c>
      <c r="H88" s="20" t="str">
        <f aca="false">IF(L88&lt;&gt;"",L88,IF(P88&lt;&gt;"",P88,IF(T88&lt;&gt;"",T88,X88)))</f>
        <v>项目经理</v>
      </c>
      <c r="I88" s="32" t="n">
        <f aca="false">IF(COUNT(N88,R88,V88,Z88)=0,"",MIN(N88,R88,V88,Z88))</f>
        <v>46511</v>
      </c>
      <c r="J88" s="32" t="n">
        <f aca="false">IF(COUNT(O88,S88,W88,AA88)=0,"",MAX(O88,S88,W88,AA88))</f>
        <v>46517</v>
      </c>
      <c r="K88" s="32" t="n">
        <v>46517</v>
      </c>
      <c r="L88" s="21" t="s">
        <v>73</v>
      </c>
      <c r="M88" s="21" t="s">
        <v>112</v>
      </c>
      <c r="N88" s="32" t="n">
        <v>46511</v>
      </c>
      <c r="O88" s="32" t="n">
        <v>46517</v>
      </c>
      <c r="P88" s="20"/>
      <c r="Q88" s="21"/>
      <c r="R88" s="32"/>
      <c r="S88" s="32"/>
      <c r="T88" s="20"/>
      <c r="U88" s="21"/>
      <c r="V88" s="32"/>
      <c r="W88" s="32"/>
      <c r="X88" s="20"/>
      <c r="Y88" s="21"/>
      <c r="Z88" s="32"/>
      <c r="AA88" s="32"/>
      <c r="AB88" s="33" t="n">
        <f aca="false">IFERROR((IF(L88&lt;&gt;"",IF(M88="已完成",1,IF(M88="进行中",0.5,0))*15%,0)+IF(P88&lt;&gt;"",IF(Q88="已完成",1,IF(Q88="进行中",0.5,0))*35%,0)+IF(T88&lt;&gt;"",IF(U88="已完成",1,IF(U88="进行中",0.5,0))*30%,0)+IF(X88&lt;&gt;"",IF(Y88="已完成",1,IF(Y88="进行中",0.5,0))*20%,0))/(IF(L88&lt;&gt;"",15%,0)+IF(P88&lt;&gt;"",35%,0)+IF(T88&lt;&gt;"",30%,0)+IF(X88&lt;&gt;"",20%,0)),0)</f>
        <v>0</v>
      </c>
      <c r="AC88" s="21" t="str">
        <f aca="false">IF($A88="","",IF(G88="已完成","正常",IF(G88="暂停","暂停",IF(J88="","日期缺失",IF(J88&lt;_数据接口!$B$7,"已延期",IF(J88&lt;=_数据接口!$B$7+7,"临近到期","正常"))))))</f>
        <v>正常</v>
      </c>
      <c r="AD88" s="21"/>
      <c r="AE88" s="39"/>
      <c r="AF88" s="36"/>
      <c r="AG88" s="32"/>
      <c r="AH88" s="34" t="str">
        <f aca="false">IF(OR($A88="",J88="",AG88=""),"",AG88-J88)</f>
        <v/>
      </c>
    </row>
    <row r="89" customFormat="false" ht="31.5" hidden="false" customHeight="true" outlineLevel="0" collapsed="false">
      <c r="A89" s="20" t="s">
        <v>448</v>
      </c>
      <c r="B89" s="25"/>
      <c r="C89" s="25" t="s">
        <v>157</v>
      </c>
      <c r="D89" s="21" t="s">
        <v>449</v>
      </c>
      <c r="E89" s="21" t="s">
        <v>450</v>
      </c>
      <c r="F89" s="20" t="s">
        <v>156</v>
      </c>
      <c r="G89" s="21" t="str">
        <f aca="false">IF(OR(M89="暂停",M89="挂起",Q89="暂停",Q89="挂起",U89="暂停",U89="挂起",Y89="暂停",Y89="挂起"),"暂停",IF(COUNTA(L89,P89,T89,X89)=0,"未分配",IF(IF(L89&lt;&gt;"",M89="已完成",0)+IF(P89&lt;&gt;"",Q89="已完成",0)+IF(T89&lt;&gt;"",U89="已完成",0)+IF(X89&lt;&gt;"",Y89="已完成",0)=COUNTA(L89,P89,T89,X89),"已完成",IF(IF(L89&lt;&gt;"",M89="进行中",0)+IF(P89&lt;&gt;"",Q89="进行中",0)+IF(T89&lt;&gt;"",U89="进行中",0)+IF(X89&lt;&gt;"",Y89="进行中",0)&gt;0,"进行中",IF(IF(L89&lt;&gt;"",M89="待确认",0)+IF(P89&lt;&gt;"",Q89="待确认",0)+IF(T89&lt;&gt;"",U89="待确认",0)+IF(X89&lt;&gt;"",Y89="待确认",0)&gt;0,"待确认","未开始")))))</f>
        <v>未开始</v>
      </c>
      <c r="H89" s="20" t="str">
        <f aca="false">IF(L89&lt;&gt;"",L89,IF(P89&lt;&gt;"",P89,IF(T89&lt;&gt;"",T89,X89)))</f>
        <v>配置人员</v>
      </c>
      <c r="I89" s="32" t="n">
        <f aca="false">IF(COUNT(N89,R89,V89,Z89)=0,"",MIN(N89,R89,V89,Z89))</f>
        <v>46518</v>
      </c>
      <c r="J89" s="32" t="n">
        <f aca="false">IF(COUNT(O89,S89,W89,AA89)=0,"",MAX(O89,S89,W89,AA89))</f>
        <v>46519</v>
      </c>
      <c r="K89" s="32" t="n">
        <v>46531</v>
      </c>
      <c r="L89" s="20"/>
      <c r="M89" s="21"/>
      <c r="N89" s="32"/>
      <c r="O89" s="32"/>
      <c r="P89" s="21" t="s">
        <v>249</v>
      </c>
      <c r="Q89" s="21" t="s">
        <v>112</v>
      </c>
      <c r="R89" s="32" t="n">
        <v>46518</v>
      </c>
      <c r="S89" s="32" t="n">
        <v>46519</v>
      </c>
      <c r="T89" s="20"/>
      <c r="U89" s="21"/>
      <c r="V89" s="32"/>
      <c r="W89" s="32"/>
      <c r="X89" s="20"/>
      <c r="Y89" s="21"/>
      <c r="Z89" s="32"/>
      <c r="AA89" s="32"/>
      <c r="AB89" s="33" t="n">
        <f aca="false">IFERROR((IF(L89&lt;&gt;"",IF(M89="已完成",1,IF(M89="进行中",0.5,0))*15%,0)+IF(P89&lt;&gt;"",IF(Q89="已完成",1,IF(Q89="进行中",0.5,0))*35%,0)+IF(T89&lt;&gt;"",IF(U89="已完成",1,IF(U89="进行中",0.5,0))*30%,0)+IF(X89&lt;&gt;"",IF(Y89="已完成",1,IF(Y89="进行中",0.5,0))*20%,0))/(IF(L89&lt;&gt;"",15%,0)+IF(P89&lt;&gt;"",35%,0)+IF(T89&lt;&gt;"",30%,0)+IF(X89&lt;&gt;"",20%,0)),0)</f>
        <v>0</v>
      </c>
      <c r="AC89" s="21" t="str">
        <f aca="false">IF($A89="","",IF(G89="已完成","正常",IF(G89="暂停","暂停",IF(J89="","日期缺失",IF(J89&lt;_数据接口!$B$7,"已延期",IF(J89&lt;=_数据接口!$B$7+7,"临近到期","正常"))))))</f>
        <v>正常</v>
      </c>
      <c r="AD89" s="21"/>
      <c r="AE89" s="39"/>
      <c r="AF89" s="36"/>
      <c r="AG89" s="32"/>
      <c r="AH89" s="34" t="str">
        <f aca="false">IF(OR($A89="",J89="",AG89=""),"",AG89-J89)</f>
        <v/>
      </c>
    </row>
    <row r="90" customFormat="false" ht="31.5" hidden="false" customHeight="true" outlineLevel="0" collapsed="false">
      <c r="A90" s="20" t="s">
        <v>451</v>
      </c>
      <c r="B90" s="25"/>
      <c r="C90" s="25"/>
      <c r="D90" s="21" t="s">
        <v>452</v>
      </c>
      <c r="E90" s="21" t="s">
        <v>453</v>
      </c>
      <c r="F90" s="20" t="s">
        <v>156</v>
      </c>
      <c r="G90" s="21" t="str">
        <f aca="false">IF(OR(M90="暂停",M90="挂起",Q90="暂停",Q90="挂起",U90="暂停",U90="挂起",Y90="暂停",Y90="挂起"),"暂停",IF(COUNTA(L90,P90,T90,X90)=0,"未分配",IF(IF(L90&lt;&gt;"",M90="已完成",0)+IF(P90&lt;&gt;"",Q90="已完成",0)+IF(T90&lt;&gt;"",U90="已完成",0)+IF(X90&lt;&gt;"",Y90="已完成",0)=COUNTA(L90,P90,T90,X90),"已完成",IF(IF(L90&lt;&gt;"",M90="进行中",0)+IF(P90&lt;&gt;"",Q90="进行中",0)+IF(T90&lt;&gt;"",U90="进行中",0)+IF(X90&lt;&gt;"",Y90="进行中",0)&gt;0,"进行中",IF(IF(L90&lt;&gt;"",M90="待确认",0)+IF(P90&lt;&gt;"",Q90="待确认",0)+IF(T90&lt;&gt;"",U90="待确认",0)+IF(X90&lt;&gt;"",Y90="待确认",0)&gt;0,"待确认","未开始")))))</f>
        <v>未开始</v>
      </c>
      <c r="H90" s="20" t="str">
        <f aca="false">IF(L90&lt;&gt;"",L90,IF(P90&lt;&gt;"",P90,IF(T90&lt;&gt;"",T90,X90)))</f>
        <v>高级开发人员</v>
      </c>
      <c r="I90" s="32" t="n">
        <f aca="false">IF(COUNT(N90,R90,V90,Z90)=0,"",MIN(N90,R90,V90,Z90))</f>
        <v>46520</v>
      </c>
      <c r="J90" s="32" t="n">
        <f aca="false">IF(COUNT(O90,S90,W90,AA90)=0,"",MAX(O90,S90,W90,AA90))</f>
        <v>46521</v>
      </c>
      <c r="K90" s="32" t="n">
        <v>46531</v>
      </c>
      <c r="L90" s="20"/>
      <c r="M90" s="21"/>
      <c r="N90" s="32"/>
      <c r="O90" s="32"/>
      <c r="P90" s="21" t="s">
        <v>132</v>
      </c>
      <c r="Q90" s="21" t="s">
        <v>112</v>
      </c>
      <c r="R90" s="32" t="n">
        <v>46520</v>
      </c>
      <c r="S90" s="32" t="n">
        <v>46521</v>
      </c>
      <c r="T90" s="20"/>
      <c r="U90" s="21"/>
      <c r="V90" s="32"/>
      <c r="W90" s="32"/>
      <c r="X90" s="20"/>
      <c r="Y90" s="21"/>
      <c r="Z90" s="32"/>
      <c r="AA90" s="32"/>
      <c r="AB90" s="33" t="n">
        <f aca="false">IFERROR((IF(L90&lt;&gt;"",IF(M90="已完成",1,IF(M90="进行中",0.5,0))*15%,0)+IF(P90&lt;&gt;"",IF(Q90="已完成",1,IF(Q90="进行中",0.5,0))*35%,0)+IF(T90&lt;&gt;"",IF(U90="已完成",1,IF(U90="进行中",0.5,0))*30%,0)+IF(X90&lt;&gt;"",IF(Y90="已完成",1,IF(Y90="进行中",0.5,0))*20%,0))/(IF(L90&lt;&gt;"",15%,0)+IF(P90&lt;&gt;"",35%,0)+IF(T90&lt;&gt;"",30%,0)+IF(X90&lt;&gt;"",20%,0)),0)</f>
        <v>0</v>
      </c>
      <c r="AC90" s="21" t="str">
        <f aca="false">IF($A90="","",IF(G90="已完成","正常",IF(G90="暂停","暂停",IF(J90="","日期缺失",IF(J90&lt;_数据接口!$B$7,"已延期",IF(J90&lt;=_数据接口!$B$7+7,"临近到期","正常"))))))</f>
        <v>正常</v>
      </c>
      <c r="AD90" s="21"/>
      <c r="AE90" s="39"/>
      <c r="AF90" s="36"/>
      <c r="AG90" s="32"/>
      <c r="AH90" s="34" t="str">
        <f aca="false">IF(OR($A90="",J90="",AG90=""),"",AG90-J90)</f>
        <v/>
      </c>
    </row>
    <row r="91" customFormat="false" ht="31.5" hidden="false" customHeight="true" outlineLevel="0" collapsed="false">
      <c r="A91" s="20" t="s">
        <v>454</v>
      </c>
      <c r="B91" s="25"/>
      <c r="C91" s="25"/>
      <c r="D91" s="21" t="s">
        <v>455</v>
      </c>
      <c r="E91" s="21" t="s">
        <v>456</v>
      </c>
      <c r="F91" s="20" t="s">
        <v>156</v>
      </c>
      <c r="G91" s="21" t="str">
        <f aca="false">IF(OR(M91="暂停",M91="挂起",Q91="暂停",Q91="挂起",U91="暂停",U91="挂起",Y91="暂停",Y91="挂起"),"暂停",IF(COUNTA(L91,P91,T91,X91)=0,"未分配",IF(IF(L91&lt;&gt;"",M91="已完成",0)+IF(P91&lt;&gt;"",Q91="已完成",0)+IF(T91&lt;&gt;"",U91="已完成",0)+IF(X91&lt;&gt;"",Y91="已完成",0)=COUNTA(L91,P91,T91,X91),"已完成",IF(IF(L91&lt;&gt;"",M91="进行中",0)+IF(P91&lt;&gt;"",Q91="进行中",0)+IF(T91&lt;&gt;"",U91="进行中",0)+IF(X91&lt;&gt;"",Y91="进行中",0)&gt;0,"进行中",IF(IF(L91&lt;&gt;"",M91="待确认",0)+IF(P91&lt;&gt;"",Q91="待确认",0)+IF(T91&lt;&gt;"",U91="待确认",0)+IF(X91&lt;&gt;"",Y91="待确认",0)&gt;0,"待确认","未开始")))))</f>
        <v>未开始</v>
      </c>
      <c r="H91" s="20" t="str">
        <f aca="false">IF(L91&lt;&gt;"",L91,IF(P91&lt;&gt;"",P91,IF(T91&lt;&gt;"",T91,X91)))</f>
        <v>技术经理</v>
      </c>
      <c r="I91" s="32" t="n">
        <f aca="false">IF(COUNT(N91,R91,V91,Z91)=0,"",MIN(N91,R91,V91,Z91))</f>
        <v>46522</v>
      </c>
      <c r="J91" s="32" t="n">
        <f aca="false">IF(COUNT(O91,S91,W91,AA91)=0,"",MAX(O91,S91,W91,AA91))</f>
        <v>46524</v>
      </c>
      <c r="K91" s="32" t="n">
        <v>46531</v>
      </c>
      <c r="L91" s="20"/>
      <c r="M91" s="21"/>
      <c r="N91" s="32"/>
      <c r="O91" s="32"/>
      <c r="P91" s="21" t="s">
        <v>98</v>
      </c>
      <c r="Q91" s="21" t="s">
        <v>112</v>
      </c>
      <c r="R91" s="32" t="n">
        <v>46522</v>
      </c>
      <c r="S91" s="32" t="n">
        <v>46524</v>
      </c>
      <c r="T91" s="20"/>
      <c r="U91" s="21"/>
      <c r="V91" s="32"/>
      <c r="W91" s="32"/>
      <c r="X91" s="20"/>
      <c r="Y91" s="21"/>
      <c r="Z91" s="32"/>
      <c r="AA91" s="32"/>
      <c r="AB91" s="33" t="n">
        <f aca="false">IFERROR((IF(L91&lt;&gt;"",IF(M91="已完成",1,IF(M91="进行中",0.5,0))*15%,0)+IF(P91&lt;&gt;"",IF(Q91="已完成",1,IF(Q91="进行中",0.5,0))*35%,0)+IF(T91&lt;&gt;"",IF(U91="已完成",1,IF(U91="进行中",0.5,0))*30%,0)+IF(X91&lt;&gt;"",IF(Y91="已完成",1,IF(Y91="进行中",0.5,0))*20%,0))/(IF(L91&lt;&gt;"",15%,0)+IF(P91&lt;&gt;"",35%,0)+IF(T91&lt;&gt;"",30%,0)+IF(X91&lt;&gt;"",20%,0)),0)</f>
        <v>0</v>
      </c>
      <c r="AC91" s="21" t="str">
        <f aca="false">IF($A91="","",IF(G91="已完成","正常",IF(G91="暂停","暂停",IF(J91="","日期缺失",IF(J91&lt;_数据接口!$B$7,"已延期",IF(J91&lt;=_数据接口!$B$7+7,"临近到期","正常"))))))</f>
        <v>正常</v>
      </c>
      <c r="AD91" s="21"/>
      <c r="AE91" s="39"/>
      <c r="AF91" s="36"/>
      <c r="AG91" s="32"/>
      <c r="AH91" s="34" t="str">
        <f aca="false">IF(OR($A91="",J91="",AG91=""),"",AG91-J91)</f>
        <v/>
      </c>
    </row>
    <row r="92" customFormat="false" ht="31.5" hidden="false" customHeight="true" outlineLevel="0" collapsed="false">
      <c r="A92" s="20" t="s">
        <v>457</v>
      </c>
      <c r="B92" s="25"/>
      <c r="C92" s="25"/>
      <c r="D92" s="21" t="s">
        <v>458</v>
      </c>
      <c r="E92" s="21" t="s">
        <v>459</v>
      </c>
      <c r="F92" s="20" t="s">
        <v>156</v>
      </c>
      <c r="G92" s="21" t="str">
        <f aca="false">IF(OR(M92="暂停",M92="挂起",Q92="暂停",Q92="挂起",U92="暂停",U92="挂起",Y92="暂停",Y92="挂起"),"暂停",IF(COUNTA(L92,P92,T92,X92)=0,"未分配",IF(IF(L92&lt;&gt;"",M92="已完成",0)+IF(P92&lt;&gt;"",Q92="已完成",0)+IF(T92&lt;&gt;"",U92="已完成",0)+IF(X92&lt;&gt;"",Y92="已完成",0)=COUNTA(L92,P92,T92,X92),"已完成",IF(IF(L92&lt;&gt;"",M92="进行中",0)+IF(P92&lt;&gt;"",Q92="进行中",0)+IF(T92&lt;&gt;"",U92="进行中",0)+IF(X92&lt;&gt;"",Y92="进行中",0)&gt;0,"进行中",IF(IF(L92&lt;&gt;"",M92="待确认",0)+IF(P92&lt;&gt;"",Q92="待确认",0)+IF(T92&lt;&gt;"",U92="待确认",0)+IF(X92&lt;&gt;"",Y92="待确认",0)&gt;0,"待确认","未开始")))))</f>
        <v>未开始</v>
      </c>
      <c r="H92" s="20" t="str">
        <f aca="false">IF(L92&lt;&gt;"",L92,IF(P92&lt;&gt;"",P92,IF(T92&lt;&gt;"",T92,X92)))</f>
        <v>配置人员</v>
      </c>
      <c r="I92" s="32" t="n">
        <f aca="false">IF(COUNT(N92,R92,V92,Z92)=0,"",MIN(N92,R92,V92,Z92))</f>
        <v>46525</v>
      </c>
      <c r="J92" s="32" t="n">
        <f aca="false">IF(COUNT(O92,S92,W92,AA92)=0,"",MAX(O92,S92,W92,AA92))</f>
        <v>46526</v>
      </c>
      <c r="K92" s="32" t="n">
        <v>46531</v>
      </c>
      <c r="L92" s="20"/>
      <c r="M92" s="21"/>
      <c r="N92" s="32"/>
      <c r="O92" s="32"/>
      <c r="P92" s="21" t="s">
        <v>249</v>
      </c>
      <c r="Q92" s="21" t="s">
        <v>112</v>
      </c>
      <c r="R92" s="32" t="n">
        <v>46525</v>
      </c>
      <c r="S92" s="32" t="n">
        <v>46526</v>
      </c>
      <c r="T92" s="20"/>
      <c r="U92" s="21"/>
      <c r="V92" s="32"/>
      <c r="W92" s="32"/>
      <c r="X92" s="20"/>
      <c r="Y92" s="21"/>
      <c r="Z92" s="32"/>
      <c r="AA92" s="32"/>
      <c r="AB92" s="33" t="n">
        <f aca="false">IFERROR((IF(L92&lt;&gt;"",IF(M92="已完成",1,IF(M92="进行中",0.5,0))*15%,0)+IF(P92&lt;&gt;"",IF(Q92="已完成",1,IF(Q92="进行中",0.5,0))*35%,0)+IF(T92&lt;&gt;"",IF(U92="已完成",1,IF(U92="进行中",0.5,0))*30%,0)+IF(X92&lt;&gt;"",IF(Y92="已完成",1,IF(Y92="进行中",0.5,0))*20%,0))/(IF(L92&lt;&gt;"",15%,0)+IF(P92&lt;&gt;"",35%,0)+IF(T92&lt;&gt;"",30%,0)+IF(X92&lt;&gt;"",20%,0)),0)</f>
        <v>0</v>
      </c>
      <c r="AC92" s="21" t="str">
        <f aca="false">IF($A92="","",IF(G92="已完成","正常",IF(G92="暂停","暂停",IF(J92="","日期缺失",IF(J92&lt;_数据接口!$B$7,"已延期",IF(J92&lt;=_数据接口!$B$7+7,"临近到期","正常"))))))</f>
        <v>正常</v>
      </c>
      <c r="AD92" s="21"/>
      <c r="AE92" s="39"/>
      <c r="AF92" s="36"/>
      <c r="AG92" s="32"/>
      <c r="AH92" s="34" t="str">
        <f aca="false">IF(OR($A92="",J92="",AG92=""),"",AG92-J92)</f>
        <v/>
      </c>
    </row>
    <row r="93" customFormat="false" ht="31.5" hidden="false" customHeight="true" outlineLevel="0" collapsed="false">
      <c r="A93" s="20" t="s">
        <v>460</v>
      </c>
      <c r="B93" s="25"/>
      <c r="C93" s="25"/>
      <c r="D93" s="21" t="s">
        <v>461</v>
      </c>
      <c r="E93" s="21" t="s">
        <v>462</v>
      </c>
      <c r="F93" s="20" t="s">
        <v>156</v>
      </c>
      <c r="G93" s="21" t="str">
        <f aca="false">IF(OR(M93="暂停",M93="挂起",Q93="暂停",Q93="挂起",U93="暂停",U93="挂起",Y93="暂停",Y93="挂起"),"暂停",IF(COUNTA(L93,P93,T93,X93)=0,"未分配",IF(IF(L93&lt;&gt;"",M93="已完成",0)+IF(P93&lt;&gt;"",Q93="已完成",0)+IF(T93&lt;&gt;"",U93="已完成",0)+IF(X93&lt;&gt;"",Y93="已完成",0)=COUNTA(L93,P93,T93,X93),"已完成",IF(IF(L93&lt;&gt;"",M93="进行中",0)+IF(P93&lt;&gt;"",Q93="进行中",0)+IF(T93&lt;&gt;"",U93="进行中",0)+IF(X93&lt;&gt;"",Y93="进行中",0)&gt;0,"进行中",IF(IF(L93&lt;&gt;"",M93="待确认",0)+IF(P93&lt;&gt;"",Q93="待确认",0)+IF(T93&lt;&gt;"",U93="待确认",0)+IF(X93&lt;&gt;"",Y93="待确认",0)&gt;0,"待确认","未开始")))))</f>
        <v>未开始</v>
      </c>
      <c r="H93" s="20" t="str">
        <f aca="false">IF(L93&lt;&gt;"",L93,IF(P93&lt;&gt;"",P93,IF(T93&lt;&gt;"",T93,X93)))</f>
        <v>产品经理</v>
      </c>
      <c r="I93" s="32" t="n">
        <f aca="false">IF(COUNT(N93,R93,V93,Z93)=0,"",MIN(N93,R93,V93,Z93))</f>
        <v>46527</v>
      </c>
      <c r="J93" s="32" t="n">
        <f aca="false">IF(COUNT(O93,S93,W93,AA93)=0,"",MAX(O93,S93,W93,AA93))</f>
        <v>46528</v>
      </c>
      <c r="K93" s="32" t="n">
        <v>46531</v>
      </c>
      <c r="L93" s="21" t="s">
        <v>85</v>
      </c>
      <c r="M93" s="21" t="s">
        <v>112</v>
      </c>
      <c r="N93" s="32" t="n">
        <v>46527</v>
      </c>
      <c r="O93" s="32" t="n">
        <v>46528</v>
      </c>
      <c r="P93" s="20"/>
      <c r="Q93" s="21"/>
      <c r="R93" s="32"/>
      <c r="S93" s="32"/>
      <c r="T93" s="20"/>
      <c r="U93" s="21"/>
      <c r="V93" s="32"/>
      <c r="W93" s="32"/>
      <c r="X93" s="20"/>
      <c r="Y93" s="21"/>
      <c r="Z93" s="32"/>
      <c r="AA93" s="32"/>
      <c r="AB93" s="33" t="n">
        <f aca="false">IFERROR((IF(L93&lt;&gt;"",IF(M93="已完成",1,IF(M93="进行中",0.5,0))*15%,0)+IF(P93&lt;&gt;"",IF(Q93="已完成",1,IF(Q93="进行中",0.5,0))*35%,0)+IF(T93&lt;&gt;"",IF(U93="已完成",1,IF(U93="进行中",0.5,0))*30%,0)+IF(X93&lt;&gt;"",IF(Y93="已完成",1,IF(Y93="进行中",0.5,0))*20%,0))/(IF(L93&lt;&gt;"",15%,0)+IF(P93&lt;&gt;"",35%,0)+IF(T93&lt;&gt;"",30%,0)+IF(X93&lt;&gt;"",20%,0)),0)</f>
        <v>0</v>
      </c>
      <c r="AC93" s="21" t="str">
        <f aca="false">IF($A93="","",IF(G93="已完成","正常",IF(G93="暂停","暂停",IF(J93="","日期缺失",IF(J93&lt;_数据接口!$B$7,"已延期",IF(J93&lt;=_数据接口!$B$7+7,"临近到期","正常"))))))</f>
        <v>正常</v>
      </c>
      <c r="AD93" s="21"/>
      <c r="AE93" s="39"/>
      <c r="AF93" s="36"/>
      <c r="AG93" s="32"/>
      <c r="AH93" s="34" t="str">
        <f aca="false">IF(OR($A93="",J93="",AG93=""),"",AG93-J93)</f>
        <v/>
      </c>
    </row>
    <row r="94" customFormat="false" ht="31.5" hidden="false" customHeight="true" outlineLevel="0" collapsed="false">
      <c r="A94" s="20" t="s">
        <v>463</v>
      </c>
      <c r="B94" s="25"/>
      <c r="C94" s="25"/>
      <c r="D94" s="21" t="s">
        <v>464</v>
      </c>
      <c r="E94" s="21" t="s">
        <v>465</v>
      </c>
      <c r="F94" s="20" t="s">
        <v>156</v>
      </c>
      <c r="G94" s="21" t="str">
        <f aca="false">IF(OR(M94="暂停",M94="挂起",Q94="暂停",Q94="挂起",U94="暂停",U94="挂起",Y94="暂停",Y94="挂起"),"暂停",IF(COUNTA(L94,P94,T94,X94)=0,"未分配",IF(IF(L94&lt;&gt;"",M94="已完成",0)+IF(P94&lt;&gt;"",Q94="已完成",0)+IF(T94&lt;&gt;"",U94="已完成",0)+IF(X94&lt;&gt;"",Y94="已完成",0)=COUNTA(L94,P94,T94,X94),"已完成",IF(IF(L94&lt;&gt;"",M94="进行中",0)+IF(P94&lt;&gt;"",Q94="进行中",0)+IF(T94&lt;&gt;"",U94="进行中",0)+IF(X94&lt;&gt;"",Y94="进行中",0)&gt;0,"进行中",IF(IF(L94&lt;&gt;"",M94="待确认",0)+IF(P94&lt;&gt;"",Q94="待确认",0)+IF(T94&lt;&gt;"",U94="待确认",0)+IF(X94&lt;&gt;"",Y94="待确认",0)&gt;0,"待确认","未开始")))))</f>
        <v>未开始</v>
      </c>
      <c r="H94" s="20" t="str">
        <f aca="false">IF(L94&lt;&gt;"",L94,IF(P94&lt;&gt;"",P94,IF(T94&lt;&gt;"",T94,X94)))</f>
        <v>项目集经理</v>
      </c>
      <c r="I94" s="32" t="n">
        <f aca="false">IF(COUNT(N94,R94,V94,Z94)=0,"",MIN(N94,R94,V94,Z94))</f>
        <v>46529</v>
      </c>
      <c r="J94" s="32" t="n">
        <f aca="false">IF(COUNT(O94,S94,W94,AA94)=0,"",MAX(O94,S94,W94,AA94))</f>
        <v>46531</v>
      </c>
      <c r="K94" s="32" t="n">
        <v>46531</v>
      </c>
      <c r="L94" s="21" t="s">
        <v>110</v>
      </c>
      <c r="M94" s="21" t="s">
        <v>112</v>
      </c>
      <c r="N94" s="32" t="n">
        <v>46529</v>
      </c>
      <c r="O94" s="32" t="n">
        <v>46531</v>
      </c>
      <c r="P94" s="20"/>
      <c r="Q94" s="21"/>
      <c r="R94" s="32"/>
      <c r="S94" s="32"/>
      <c r="T94" s="20"/>
      <c r="U94" s="21"/>
      <c r="V94" s="32"/>
      <c r="W94" s="32"/>
      <c r="X94" s="20"/>
      <c r="Y94" s="21"/>
      <c r="Z94" s="32"/>
      <c r="AA94" s="32"/>
      <c r="AB94" s="33" t="n">
        <f aca="false">IFERROR((IF(L94&lt;&gt;"",IF(M94="已完成",1,IF(M94="进行中",0.5,0))*15%,0)+IF(P94&lt;&gt;"",IF(Q94="已完成",1,IF(Q94="进行中",0.5,0))*35%,0)+IF(T94&lt;&gt;"",IF(U94="已完成",1,IF(U94="进行中",0.5,0))*30%,0)+IF(X94&lt;&gt;"",IF(Y94="已完成",1,IF(Y94="进行中",0.5,0))*20%,0))/(IF(L94&lt;&gt;"",15%,0)+IF(P94&lt;&gt;"",35%,0)+IF(T94&lt;&gt;"",30%,0)+IF(X94&lt;&gt;"",20%,0)),0)</f>
        <v>0</v>
      </c>
      <c r="AC94" s="21" t="str">
        <f aca="false">IF($A94="","",IF(G94="已完成","正常",IF(G94="暂停","暂停",IF(J94="","日期缺失",IF(J94&lt;_数据接口!$B$7,"已延期",IF(J94&lt;=_数据接口!$B$7+7,"临近到期","正常"))))))</f>
        <v>正常</v>
      </c>
      <c r="AD94" s="21"/>
      <c r="AE94" s="39"/>
      <c r="AF94" s="36"/>
      <c r="AG94" s="32"/>
      <c r="AH94" s="34" t="str">
        <f aca="false">IF(OR($A94="",J94="",AG94=""),"",AG94-J94)</f>
        <v/>
      </c>
    </row>
    <row r="95" customFormat="false" ht="31.5" hidden="false" customHeight="true" outlineLevel="0" collapsed="false">
      <c r="A95" s="20" t="s">
        <v>466</v>
      </c>
      <c r="B95" s="25" t="s">
        <v>162</v>
      </c>
      <c r="C95" s="25" t="s">
        <v>163</v>
      </c>
      <c r="D95" s="21" t="s">
        <v>467</v>
      </c>
      <c r="E95" s="21" t="s">
        <v>468</v>
      </c>
      <c r="F95" s="20" t="s">
        <v>161</v>
      </c>
      <c r="G95" s="21" t="str">
        <f aca="false">IF(OR(M95="暂停",M95="挂起",Q95="暂停",Q95="挂起",U95="暂停",U95="挂起",Y95="暂停",Y95="挂起"),"暂停",IF(COUNTA(L95,P95,T95,X95)=0,"未分配",IF(IF(L95&lt;&gt;"",M95="已完成",0)+IF(P95&lt;&gt;"",Q95="已完成",0)+IF(T95&lt;&gt;"",U95="已完成",0)+IF(X95&lt;&gt;"",Y95="已完成",0)=COUNTA(L95,P95,T95,X95),"已完成",IF(IF(L95&lt;&gt;"",M95="进行中",0)+IF(P95&lt;&gt;"",Q95="进行中",0)+IF(T95&lt;&gt;"",U95="进行中",0)+IF(X95&lt;&gt;"",Y95="进行中",0)&gt;0,"进行中",IF(IF(L95&lt;&gt;"",M95="待确认",0)+IF(P95&lt;&gt;"",Q95="待确认",0)+IF(T95&lt;&gt;"",U95="待确认",0)+IF(X95&lt;&gt;"",Y95="待确认",0)&gt;0,"待确认","未开始")))))</f>
        <v>未开始</v>
      </c>
      <c r="H95" s="20" t="str">
        <f aca="false">IF(L95&lt;&gt;"",L95,IF(P95&lt;&gt;"",P95,IF(T95&lt;&gt;"",T95,X95)))</f>
        <v>配置人员</v>
      </c>
      <c r="I95" s="32" t="n">
        <f aca="false">IF(COUNT(N95,R95,V95,Z95)=0,"",MIN(N95,R95,V95,Z95))</f>
        <v>46538</v>
      </c>
      <c r="J95" s="32" t="n">
        <f aca="false">IF(COUNT(O95,S95,W95,AA95)=0,"",MAX(O95,S95,W95,AA95))</f>
        <v>46538</v>
      </c>
      <c r="K95" s="32" t="n">
        <v>46538</v>
      </c>
      <c r="L95" s="20"/>
      <c r="M95" s="21"/>
      <c r="N95" s="32"/>
      <c r="O95" s="32"/>
      <c r="P95" s="21" t="s">
        <v>249</v>
      </c>
      <c r="Q95" s="21" t="s">
        <v>112</v>
      </c>
      <c r="R95" s="32" t="n">
        <v>46538</v>
      </c>
      <c r="S95" s="32" t="n">
        <v>46538</v>
      </c>
      <c r="T95" s="20"/>
      <c r="U95" s="21"/>
      <c r="V95" s="32"/>
      <c r="W95" s="32"/>
      <c r="X95" s="20"/>
      <c r="Y95" s="21"/>
      <c r="Z95" s="32"/>
      <c r="AA95" s="32"/>
      <c r="AB95" s="33" t="n">
        <f aca="false">IFERROR((IF(L95&lt;&gt;"",IF(M95="已完成",1,IF(M95="进行中",0.5,0))*15%,0)+IF(P95&lt;&gt;"",IF(Q95="已完成",1,IF(Q95="进行中",0.5,0))*35%,0)+IF(T95&lt;&gt;"",IF(U95="已完成",1,IF(U95="进行中",0.5,0))*30%,0)+IF(X95&lt;&gt;"",IF(Y95="已完成",1,IF(Y95="进行中",0.5,0))*20%,0))/(IF(L95&lt;&gt;"",15%,0)+IF(P95&lt;&gt;"",35%,0)+IF(T95&lt;&gt;"",30%,0)+IF(X95&lt;&gt;"",20%,0)),0)</f>
        <v>0</v>
      </c>
      <c r="AC95" s="21" t="str">
        <f aca="false">IF($A95="","",IF(G95="已完成","正常",IF(G95="暂停","暂停",IF(J95="","日期缺失",IF(J95&lt;_数据接口!$B$7,"已延期",IF(J95&lt;=_数据接口!$B$7+7,"临近到期","正常"))))))</f>
        <v>正常</v>
      </c>
      <c r="AD95" s="21"/>
      <c r="AE95" s="39"/>
      <c r="AF95" s="36"/>
      <c r="AG95" s="32"/>
      <c r="AH95" s="34" t="str">
        <f aca="false">IF(OR($A95="",J95="",AG95=""),"",AG95-J95)</f>
        <v/>
      </c>
    </row>
    <row r="96" customFormat="false" ht="31.5" hidden="false" customHeight="true" outlineLevel="0" collapsed="false">
      <c r="A96" s="20" t="s">
        <v>469</v>
      </c>
      <c r="B96" s="25"/>
      <c r="C96" s="25"/>
      <c r="D96" s="21" t="s">
        <v>470</v>
      </c>
      <c r="E96" s="21" t="s">
        <v>471</v>
      </c>
      <c r="F96" s="20" t="s">
        <v>161</v>
      </c>
      <c r="G96" s="21" t="str">
        <f aca="false">IF(OR(M96="暂停",M96="挂起",Q96="暂停",Q96="挂起",U96="暂停",U96="挂起",Y96="暂停",Y96="挂起"),"暂停",IF(COUNTA(L96,P96,T96,X96)=0,"未分配",IF(IF(L96&lt;&gt;"",M96="已完成",0)+IF(P96&lt;&gt;"",Q96="已完成",0)+IF(T96&lt;&gt;"",U96="已完成",0)+IF(X96&lt;&gt;"",Y96="已完成",0)=COUNTA(L96,P96,T96,X96),"已完成",IF(IF(L96&lt;&gt;"",M96="进行中",0)+IF(P96&lt;&gt;"",Q96="进行中",0)+IF(T96&lt;&gt;"",U96="进行中",0)+IF(X96&lt;&gt;"",Y96="进行中",0)&gt;0,"进行中",IF(IF(L96&lt;&gt;"",M96="待确认",0)+IF(P96&lt;&gt;"",Q96="待确认",0)+IF(T96&lt;&gt;"",U96="待确认",0)+IF(X96&lt;&gt;"",Y96="待确认",0)&gt;0,"待确认","未开始")))))</f>
        <v>未开始</v>
      </c>
      <c r="H96" s="20" t="str">
        <f aca="false">IF(L96&lt;&gt;"",L96,IF(P96&lt;&gt;"",P96,IF(T96&lt;&gt;"",T96,X96)))</f>
        <v>高级测试人员、中级测试人员</v>
      </c>
      <c r="I96" s="32" t="n">
        <f aca="false">IF(COUNT(N96,R96,V96,Z96)=0,"",MIN(N96,R96,V96,Z96))</f>
        <v>46538</v>
      </c>
      <c r="J96" s="32" t="n">
        <f aca="false">IF(COUNT(O96,S96,W96,AA96)=0,"",MAX(O96,S96,W96,AA96))</f>
        <v>46538</v>
      </c>
      <c r="K96" s="32" t="n">
        <v>46538</v>
      </c>
      <c r="L96" s="20"/>
      <c r="M96" s="21"/>
      <c r="N96" s="32"/>
      <c r="O96" s="32"/>
      <c r="P96" s="20"/>
      <c r="Q96" s="21"/>
      <c r="R96" s="32"/>
      <c r="S96" s="32"/>
      <c r="T96" s="20"/>
      <c r="U96" s="21"/>
      <c r="V96" s="32"/>
      <c r="W96" s="32"/>
      <c r="X96" s="21" t="s">
        <v>148</v>
      </c>
      <c r="Y96" s="21" t="s">
        <v>112</v>
      </c>
      <c r="Z96" s="32" t="n">
        <v>46538</v>
      </c>
      <c r="AA96" s="32" t="n">
        <v>46538</v>
      </c>
      <c r="AB96" s="33" t="n">
        <f aca="false">IFERROR((IF(L96&lt;&gt;"",IF(M96="已完成",1,IF(M96="进行中",0.5,0))*15%,0)+IF(P96&lt;&gt;"",IF(Q96="已完成",1,IF(Q96="进行中",0.5,0))*35%,0)+IF(T96&lt;&gt;"",IF(U96="已完成",1,IF(U96="进行中",0.5,0))*30%,0)+IF(X96&lt;&gt;"",IF(Y96="已完成",1,IF(Y96="进行中",0.5,0))*20%,0))/(IF(L96&lt;&gt;"",15%,0)+IF(P96&lt;&gt;"",35%,0)+IF(T96&lt;&gt;"",30%,0)+IF(X96&lt;&gt;"",20%,0)),0)</f>
        <v>0</v>
      </c>
      <c r="AC96" s="21" t="str">
        <f aca="false">IF($A96="","",IF(G96="已完成","正常",IF(G96="暂停","暂停",IF(J96="","日期缺失",IF(J96&lt;_数据接口!$B$7,"已延期",IF(J96&lt;=_数据接口!$B$7+7,"临近到期","正常"))))))</f>
        <v>正常</v>
      </c>
      <c r="AD96" s="21"/>
      <c r="AE96" s="39"/>
      <c r="AF96" s="36"/>
      <c r="AG96" s="32"/>
      <c r="AH96" s="34" t="str">
        <f aca="false">IF(OR($A96="",J96="",AG96=""),"",AG96-J96)</f>
        <v/>
      </c>
    </row>
    <row r="97" customFormat="false" ht="31.5" hidden="false" customHeight="true" outlineLevel="0" collapsed="false">
      <c r="A97" s="20" t="s">
        <v>472</v>
      </c>
      <c r="B97" s="25"/>
      <c r="C97" s="25"/>
      <c r="D97" s="21" t="s">
        <v>473</v>
      </c>
      <c r="E97" s="21" t="s">
        <v>474</v>
      </c>
      <c r="F97" s="20" t="s">
        <v>161</v>
      </c>
      <c r="G97" s="21" t="str">
        <f aca="false">IF(OR(M97="暂停",M97="挂起",Q97="暂停",Q97="挂起",U97="暂停",U97="挂起",Y97="暂停",Y97="挂起"),"暂停",IF(COUNTA(L97,P97,T97,X97)=0,"未分配",IF(IF(L97&lt;&gt;"",M97="已完成",0)+IF(P97&lt;&gt;"",Q97="已完成",0)+IF(T97&lt;&gt;"",U97="已完成",0)+IF(X97&lt;&gt;"",Y97="已完成",0)=COUNTA(L97,P97,T97,X97),"已完成",IF(IF(L97&lt;&gt;"",M97="进行中",0)+IF(P97&lt;&gt;"",Q97="进行中",0)+IF(T97&lt;&gt;"",U97="进行中",0)+IF(X97&lt;&gt;"",Y97="进行中",0)&gt;0,"进行中",IF(IF(L97&lt;&gt;"",M97="待确认",0)+IF(P97&lt;&gt;"",Q97="待确认",0)+IF(T97&lt;&gt;"",U97="待确认",0)+IF(X97&lt;&gt;"",Y97="待确认",0)&gt;0,"待确认","未开始")))))</f>
        <v>未开始</v>
      </c>
      <c r="H97" s="20" t="str">
        <f aca="false">IF(L97&lt;&gt;"",L97,IF(P97&lt;&gt;"",P97,IF(T97&lt;&gt;"",T97,X97)))</f>
        <v>技术经理</v>
      </c>
      <c r="I97" s="32" t="n">
        <f aca="false">IF(COUNT(N97,R97,V97,Z97)=0,"",MIN(N97,R97,V97,Z97))</f>
        <v>46538</v>
      </c>
      <c r="J97" s="32" t="n">
        <f aca="false">IF(COUNT(O97,S97,W97,AA97)=0,"",MAX(O97,S97,W97,AA97))</f>
        <v>46538</v>
      </c>
      <c r="K97" s="32" t="n">
        <v>46538</v>
      </c>
      <c r="L97" s="20"/>
      <c r="M97" s="21"/>
      <c r="N97" s="32"/>
      <c r="O97" s="32"/>
      <c r="P97" s="21" t="s">
        <v>98</v>
      </c>
      <c r="Q97" s="21" t="s">
        <v>112</v>
      </c>
      <c r="R97" s="32" t="n">
        <v>46538</v>
      </c>
      <c r="S97" s="32" t="n">
        <v>46538</v>
      </c>
      <c r="T97" s="20"/>
      <c r="U97" s="21"/>
      <c r="V97" s="32"/>
      <c r="W97" s="32"/>
      <c r="X97" s="20"/>
      <c r="Y97" s="21"/>
      <c r="Z97" s="32"/>
      <c r="AA97" s="32"/>
      <c r="AB97" s="33" t="n">
        <f aca="false">IFERROR((IF(L97&lt;&gt;"",IF(M97="已完成",1,IF(M97="进行中",0.5,0))*15%,0)+IF(P97&lt;&gt;"",IF(Q97="已完成",1,IF(Q97="进行中",0.5,0))*35%,0)+IF(T97&lt;&gt;"",IF(U97="已完成",1,IF(U97="进行中",0.5,0))*30%,0)+IF(X97&lt;&gt;"",IF(Y97="已完成",1,IF(Y97="进行中",0.5,0))*20%,0))/(IF(L97&lt;&gt;"",15%,0)+IF(P97&lt;&gt;"",35%,0)+IF(T97&lt;&gt;"",30%,0)+IF(X97&lt;&gt;"",20%,0)),0)</f>
        <v>0</v>
      </c>
      <c r="AC97" s="21" t="str">
        <f aca="false">IF($A97="","",IF(G97="已完成","正常",IF(G97="暂停","暂停",IF(J97="","日期缺失",IF(J97&lt;_数据接口!$B$7,"已延期",IF(J97&lt;=_数据接口!$B$7+7,"临近到期","正常"))))))</f>
        <v>正常</v>
      </c>
      <c r="AD97" s="21"/>
      <c r="AE97" s="39"/>
      <c r="AF97" s="36"/>
      <c r="AG97" s="32"/>
      <c r="AH97" s="34" t="str">
        <f aca="false">IF(OR($A97="",J97="",AG97=""),"",AG97-J97)</f>
        <v/>
      </c>
    </row>
    <row r="98" customFormat="false" ht="31.5" hidden="false" customHeight="true" outlineLevel="0" collapsed="false">
      <c r="A98" s="20" t="s">
        <v>475</v>
      </c>
      <c r="B98" s="25"/>
      <c r="C98" s="25"/>
      <c r="D98" s="21" t="s">
        <v>476</v>
      </c>
      <c r="E98" s="21" t="s">
        <v>477</v>
      </c>
      <c r="F98" s="20" t="s">
        <v>161</v>
      </c>
      <c r="G98" s="21" t="str">
        <f aca="false">IF(OR(M98="暂停",M98="挂起",Q98="暂停",Q98="挂起",U98="暂停",U98="挂起",Y98="暂停",Y98="挂起"),"暂停",IF(COUNTA(L98,P98,T98,X98)=0,"未分配",IF(IF(L98&lt;&gt;"",M98="已完成",0)+IF(P98&lt;&gt;"",Q98="已完成",0)+IF(T98&lt;&gt;"",U98="已完成",0)+IF(X98&lt;&gt;"",Y98="已完成",0)=COUNTA(L98,P98,T98,X98),"已完成",IF(IF(L98&lt;&gt;"",M98="进行中",0)+IF(P98&lt;&gt;"",Q98="进行中",0)+IF(T98&lt;&gt;"",U98="进行中",0)+IF(X98&lt;&gt;"",Y98="进行中",0)&gt;0,"进行中",IF(IF(L98&lt;&gt;"",M98="待确认",0)+IF(P98&lt;&gt;"",Q98="待确认",0)+IF(T98&lt;&gt;"",U98="待确认",0)+IF(X98&lt;&gt;"",Y98="待确认",0)&gt;0,"待确认","未开始")))))</f>
        <v>未开始</v>
      </c>
      <c r="H98" s="20" t="str">
        <f aca="false">IF(L98&lt;&gt;"",L98,IF(P98&lt;&gt;"",P98,IF(T98&lt;&gt;"",T98,X98)))</f>
        <v>项目经理</v>
      </c>
      <c r="I98" s="32" t="n">
        <f aca="false">IF(COUNT(N98,R98,V98,Z98)=0,"",MIN(N98,R98,V98,Z98))</f>
        <v>46538</v>
      </c>
      <c r="J98" s="32" t="n">
        <f aca="false">IF(COUNT(O98,S98,W98,AA98)=0,"",MAX(O98,S98,W98,AA98))</f>
        <v>46538</v>
      </c>
      <c r="K98" s="32" t="n">
        <v>46538</v>
      </c>
      <c r="L98" s="21" t="s">
        <v>73</v>
      </c>
      <c r="M98" s="21" t="s">
        <v>112</v>
      </c>
      <c r="N98" s="32" t="n">
        <v>46538</v>
      </c>
      <c r="O98" s="32" t="n">
        <v>46538</v>
      </c>
      <c r="P98" s="20"/>
      <c r="Q98" s="21"/>
      <c r="R98" s="32"/>
      <c r="S98" s="32"/>
      <c r="T98" s="20"/>
      <c r="U98" s="21"/>
      <c r="V98" s="32"/>
      <c r="W98" s="32"/>
      <c r="X98" s="20"/>
      <c r="Y98" s="21"/>
      <c r="Z98" s="32"/>
      <c r="AA98" s="32"/>
      <c r="AB98" s="33" t="n">
        <f aca="false">IFERROR((IF(L98&lt;&gt;"",IF(M98="已完成",1,IF(M98="进行中",0.5,0))*15%,0)+IF(P98&lt;&gt;"",IF(Q98="已完成",1,IF(Q98="进行中",0.5,0))*35%,0)+IF(T98&lt;&gt;"",IF(U98="已完成",1,IF(U98="进行中",0.5,0))*30%,0)+IF(X98&lt;&gt;"",IF(Y98="已完成",1,IF(Y98="进行中",0.5,0))*20%,0))/(IF(L98&lt;&gt;"",15%,0)+IF(P98&lt;&gt;"",35%,0)+IF(T98&lt;&gt;"",30%,0)+IF(X98&lt;&gt;"",20%,0)),0)</f>
        <v>0</v>
      </c>
      <c r="AC98" s="21" t="str">
        <f aca="false">IF($A98="","",IF(G98="已完成","正常",IF(G98="暂停","暂停",IF(J98="","日期缺失",IF(J98&lt;_数据接口!$B$7,"已延期",IF(J98&lt;=_数据接口!$B$7+7,"临近到期","正常"))))))</f>
        <v>正常</v>
      </c>
      <c r="AD98" s="21"/>
      <c r="AE98" s="39"/>
      <c r="AF98" s="36"/>
      <c r="AG98" s="32"/>
      <c r="AH98" s="34" t="str">
        <f aca="false">IF(OR($A98="",J98="",AG98=""),"",AG98-J98)</f>
        <v/>
      </c>
    </row>
    <row r="99" customFormat="false" ht="39.75" hidden="false" customHeight="true" outlineLevel="0" collapsed="false">
      <c r="A99" s="41" t="s">
        <v>478</v>
      </c>
      <c r="B99" s="42" t="s">
        <v>479</v>
      </c>
      <c r="C99" s="43" t="s">
        <v>480</v>
      </c>
      <c r="D99" s="43" t="s">
        <v>481</v>
      </c>
      <c r="E99" s="43" t="s">
        <v>482</v>
      </c>
      <c r="F99" s="41" t="s">
        <v>124</v>
      </c>
      <c r="G99" s="43" t="str">
        <f aca="false">IF(OR(M99="暂停",M99="挂起",Q99="暂停",Q99="挂起",U99="暂停",U99="挂起",Y99="暂停",Y99="挂起"),"暂停",IF(COUNTA(L99,P99,T99,X99)=0,"未分配",IF(IF(L99&lt;&gt;"",M99="已完成",0)+IF(P99&lt;&gt;"",Q99="已完成",0)+IF(T99&lt;&gt;"",U99="已完成",0)+IF(X99&lt;&gt;"",Y99="已完成",0)=COUNTA(L99,P99,T99,X99),"已完成",IF(IF(L99&lt;&gt;"",M99="进行中",0)+IF(P99&lt;&gt;"",Q99="进行中",0)+IF(T99&lt;&gt;"",U99="进行中",0)+IF(X99&lt;&gt;"",Y99="进行中",0)&gt;0,"进行中",IF(IF(L99&lt;&gt;"",M99="待确认",0)+IF(P99&lt;&gt;"",Q99="待确认",0)+IF(T99&lt;&gt;"",U99="待确认",0)+IF(X99&lt;&gt;"",Y99="待确认",0)&gt;0,"待确认","未开始")))))</f>
        <v>未开始</v>
      </c>
      <c r="H99" s="41" t="str">
        <f aca="false">IF($A99="","",IF(L99&lt;&gt;"",L99,IF(P99&lt;&gt;"",P99,IF(T99&lt;&gt;"",T99,X99))))</f>
        <v>产品经理</v>
      </c>
      <c r="I99" s="44" t="n">
        <f aca="false">IF($A99="","",IF(COUNT(N99,R99,V99,Z99)=0,"",MIN(N99,R99,V99,Z99)))</f>
        <v>46341</v>
      </c>
      <c r="J99" s="44" t="n">
        <f aca="false">IF($A99="","",IF(COUNT(O99,S99,W99,AA99)=0,"",MAX(O99,S99,W99,AA99)))</f>
        <v>46367</v>
      </c>
      <c r="K99" s="44" t="n">
        <v>46367</v>
      </c>
      <c r="L99" s="45" t="s">
        <v>85</v>
      </c>
      <c r="M99" s="45" t="s">
        <v>112</v>
      </c>
      <c r="N99" s="44" t="n">
        <v>46341</v>
      </c>
      <c r="O99" s="44" t="n">
        <v>46367</v>
      </c>
      <c r="P99" s="41"/>
      <c r="Q99" s="43"/>
      <c r="R99" s="44"/>
      <c r="S99" s="44"/>
      <c r="T99" s="41"/>
      <c r="U99" s="43"/>
      <c r="V99" s="44"/>
      <c r="W99" s="44"/>
      <c r="X99" s="41"/>
      <c r="Y99" s="43"/>
      <c r="Z99" s="44"/>
      <c r="AA99" s="44"/>
      <c r="AB99" s="41" t="n">
        <f aca="false">IF($A99="","",0)</f>
        <v>0</v>
      </c>
      <c r="AC99" s="43" t="str">
        <f aca="false">IF($A99="","",IF(G99="已完成","正常",IF(G99="暂停","暂停",IF(J99="","日期缺失",IF(J99&lt;_数据接口!$B$7,"已延期",IF(J99&lt;=_数据接口!$B$7+7,"临近到期","正常"))))))</f>
        <v>正常</v>
      </c>
      <c r="AD99" s="41"/>
      <c r="AE99" s="46" t="s">
        <v>483</v>
      </c>
      <c r="AF99" s="36"/>
      <c r="AG99" s="44"/>
      <c r="AH99" s="47" t="str">
        <f aca="false">IF(OR($A99="",J99="",AG99=""),"",AG99-J99)</f>
        <v/>
      </c>
    </row>
    <row r="100" customFormat="false" ht="39.75" hidden="false" customHeight="true" outlineLevel="0" collapsed="false">
      <c r="A100" s="41" t="s">
        <v>484</v>
      </c>
      <c r="B100" s="42"/>
      <c r="C100" s="43" t="s">
        <v>480</v>
      </c>
      <c r="D100" s="43" t="s">
        <v>485</v>
      </c>
      <c r="E100" s="43" t="s">
        <v>486</v>
      </c>
      <c r="F100" s="41" t="s">
        <v>129</v>
      </c>
      <c r="G100" s="48" t="str">
        <f aca="false">IF(OR(M100="暂停",M100="挂起",Q100="暂停",Q100="挂起",U100="暂停",U100="挂起",Y100="暂停",Y100="挂起"),"暂停",IF(COUNTA(L100,P100,T100,X100)=0,"未分配",IF(IF(L100&lt;&gt;"",M100="已完成",0)+IF(P100&lt;&gt;"",Q100="已完成",0)+IF(T100&lt;&gt;"",U100="已完成",0)+IF(X100&lt;&gt;"",Y100="已完成",0)=COUNTA(L100,P100,T100,X100),"已完成",IF(IF(L100&lt;&gt;"",M100="进行中",0)+IF(P100&lt;&gt;"",Q100="进行中",0)+IF(T100&lt;&gt;"",U100="进行中",0)+IF(X100&lt;&gt;"",Y100="进行中",0)&gt;0,"进行中",IF(IF(L100&lt;&gt;"",M100="待确认",0)+IF(P100&lt;&gt;"",Q100="待确认",0)+IF(T100&lt;&gt;"",U100="待确认",0)+IF(X100&lt;&gt;"",Y100="待确认",0)&gt;0,"待确认","未开始")))))</f>
        <v>未开始</v>
      </c>
      <c r="H100" s="41" t="str">
        <f aca="false">IF($A100="","",IF(L100&lt;&gt;"",L100,IF(P100&lt;&gt;"",P100,IF(T100&lt;&gt;"",T100,X100))))</f>
        <v>产品经理</v>
      </c>
      <c r="I100" s="44" t="n">
        <f aca="false">IF($A100="","",IF(COUNT(N100,R100,V100,Z100)=0,"",MIN(N100,R100,V100,Z100)))</f>
        <v>46368</v>
      </c>
      <c r="J100" s="44" t="n">
        <f aca="false">IF($A100="","",IF(COUNT(O100,S100,W100,AA100)=0,"",MAX(O100,S100,W100,AA100)))</f>
        <v>46430</v>
      </c>
      <c r="K100" s="44" t="n">
        <v>46430</v>
      </c>
      <c r="L100" s="45" t="s">
        <v>85</v>
      </c>
      <c r="M100" s="45" t="s">
        <v>112</v>
      </c>
      <c r="N100" s="44" t="n">
        <v>46368</v>
      </c>
      <c r="O100" s="44" t="n">
        <v>46430</v>
      </c>
      <c r="P100" s="43" t="s">
        <v>487</v>
      </c>
      <c r="Q100" s="43" t="s">
        <v>112</v>
      </c>
      <c r="R100" s="44" t="n">
        <v>46368</v>
      </c>
      <c r="S100" s="44" t="n">
        <v>46430</v>
      </c>
      <c r="T100" s="41"/>
      <c r="U100" s="43"/>
      <c r="V100" s="44"/>
      <c r="W100" s="44"/>
      <c r="X100" s="41"/>
      <c r="Y100" s="43"/>
      <c r="Z100" s="44"/>
      <c r="AA100" s="44"/>
      <c r="AB100" s="41" t="n">
        <f aca="false">IF($A100="","",0)</f>
        <v>0</v>
      </c>
      <c r="AC100" s="43" t="str">
        <f aca="false">IF($A100="","",IF(G100="已完成","正常",IF(G100="暂停","暂停",IF(J100="","日期缺失",IF(J100&lt;_数据接口!$B$7,"已延期",IF(J100&lt;=_数据接口!$B$7+7,"临近到期","正常"))))))</f>
        <v>正常</v>
      </c>
      <c r="AD100" s="41"/>
      <c r="AE100" s="46" t="s">
        <v>483</v>
      </c>
      <c r="AF100" s="36"/>
      <c r="AG100" s="44"/>
      <c r="AH100" s="47" t="str">
        <f aca="false">IF(OR($A100="",J100="",AG100=""),"",AG100-J100)</f>
        <v/>
      </c>
    </row>
    <row r="101" customFormat="false" ht="39.75" hidden="false" customHeight="true" outlineLevel="0" collapsed="false">
      <c r="A101" s="41" t="s">
        <v>488</v>
      </c>
      <c r="B101" s="42"/>
      <c r="C101" s="43" t="s">
        <v>480</v>
      </c>
      <c r="D101" s="43" t="s">
        <v>489</v>
      </c>
      <c r="E101" s="43" t="s">
        <v>490</v>
      </c>
      <c r="F101" s="41" t="s">
        <v>140</v>
      </c>
      <c r="G101" s="48" t="str">
        <f aca="false">IF(OR(M101="暂停",M101="挂起",Q101="暂停",Q101="挂起",U101="暂停",U101="挂起",Y101="暂停",Y101="挂起"),"暂停",IF(COUNTA(L101,P101,T101,X101)=0,"未分配",IF(IF(L101&lt;&gt;"",M101="已完成",0)+IF(P101&lt;&gt;"",Q101="已完成",0)+IF(T101&lt;&gt;"",U101="已完成",0)+IF(X101&lt;&gt;"",Y101="已完成",0)=COUNTA(L101,P101,T101,X101),"已完成",IF(IF(L101&lt;&gt;"",M101="进行中",0)+IF(P101&lt;&gt;"",Q101="进行中",0)+IF(T101&lt;&gt;"",U101="进行中",0)+IF(X101&lt;&gt;"",Y101="进行中",0)&gt;0,"进行中",IF(IF(L101&lt;&gt;"",M101="待确认",0)+IF(P101&lt;&gt;"",Q101="待确认",0)+IF(T101&lt;&gt;"",U101="待确认",0)+IF(X101&lt;&gt;"",Y101="待确认",0)&gt;0,"待确认","未开始")))))</f>
        <v>未开始</v>
      </c>
      <c r="H101" s="41" t="str">
        <f aca="false">IF($A101="","",IF(L101&lt;&gt;"",L101,IF(P101&lt;&gt;"",P101,IF(T101&lt;&gt;"",T101,X101))))</f>
        <v>产品经理</v>
      </c>
      <c r="I101" s="44" t="n">
        <f aca="false">IF($A101="","",IF(COUNT(N101,R101,V101,Z101)=0,"",MIN(N101,R101,V101,Z101)))</f>
        <v>46433</v>
      </c>
      <c r="J101" s="44" t="n">
        <f aca="false">IF($A101="","",IF(COUNT(O101,S101,W101,AA101)=0,"",MAX(O101,S101,W101,AA101)))</f>
        <v>46451</v>
      </c>
      <c r="K101" s="44" t="n">
        <v>46451</v>
      </c>
      <c r="L101" s="45" t="s">
        <v>85</v>
      </c>
      <c r="M101" s="45" t="s">
        <v>112</v>
      </c>
      <c r="N101" s="44" t="n">
        <v>46433</v>
      </c>
      <c r="O101" s="44" t="n">
        <v>46451</v>
      </c>
      <c r="P101" s="43" t="s">
        <v>487</v>
      </c>
      <c r="Q101" s="43" t="s">
        <v>112</v>
      </c>
      <c r="R101" s="44" t="n">
        <v>46433</v>
      </c>
      <c r="S101" s="44" t="n">
        <v>46451</v>
      </c>
      <c r="T101" s="41"/>
      <c r="U101" s="43"/>
      <c r="V101" s="44"/>
      <c r="W101" s="44"/>
      <c r="X101" s="41"/>
      <c r="Y101" s="43"/>
      <c r="Z101" s="44"/>
      <c r="AA101" s="44"/>
      <c r="AB101" s="41" t="n">
        <f aca="false">IF($A101="","",0)</f>
        <v>0</v>
      </c>
      <c r="AC101" s="43" t="str">
        <f aca="false">IF($A101="","",IF(G101="已完成","正常",IF(G101="暂停","暂停",IF(J101="","日期缺失",IF(J101&lt;_数据接口!$B$7,"已延期",IF(J101&lt;=_数据接口!$B$7+7,"临近到期","正常"))))))</f>
        <v>正常</v>
      </c>
      <c r="AD101" s="41"/>
      <c r="AE101" s="46" t="s">
        <v>483</v>
      </c>
      <c r="AF101" s="36"/>
      <c r="AG101" s="44"/>
      <c r="AH101" s="47" t="str">
        <f aca="false">IF(OR($A101="",J101="",AG101=""),"",AG101-J101)</f>
        <v/>
      </c>
    </row>
    <row r="102" customFormat="false" ht="39.75" hidden="false" customHeight="true" outlineLevel="0" collapsed="false">
      <c r="A102" s="41" t="s">
        <v>491</v>
      </c>
      <c r="B102" s="42"/>
      <c r="C102" s="43" t="s">
        <v>480</v>
      </c>
      <c r="D102" s="43" t="s">
        <v>492</v>
      </c>
      <c r="E102" s="43" t="s">
        <v>493</v>
      </c>
      <c r="F102" s="41" t="s">
        <v>145</v>
      </c>
      <c r="G102" s="48" t="str">
        <f aca="false">IF(OR(M102="暂停",M102="挂起",Q102="暂停",Q102="挂起",U102="暂停",U102="挂起",Y102="暂停",Y102="挂起"),"暂停",IF(COUNTA(L102,P102,T102,X102)=0,"未分配",IF(IF(L102&lt;&gt;"",M102="已完成",0)+IF(P102&lt;&gt;"",Q102="已完成",0)+IF(T102&lt;&gt;"",U102="已完成",0)+IF(X102&lt;&gt;"",Y102="已完成",0)=COUNTA(L102,P102,T102,X102),"已完成",IF(IF(L102&lt;&gt;"",M102="进行中",0)+IF(P102&lt;&gt;"",Q102="进行中",0)+IF(T102&lt;&gt;"",U102="进行中",0)+IF(X102&lt;&gt;"",Y102="进行中",0)&gt;0,"进行中",IF(IF(L102&lt;&gt;"",M102="待确认",0)+IF(P102&lt;&gt;"",Q102="待确认",0)+IF(T102&lt;&gt;"",U102="待确认",0)+IF(X102&lt;&gt;"",Y102="待确认",0)&gt;0,"待确认","未开始")))))</f>
        <v>未开始</v>
      </c>
      <c r="H102" s="41" t="str">
        <f aca="false">IF($A102="","",IF(L102&lt;&gt;"",L102,IF(P102&lt;&gt;"",P102,IF(T102&lt;&gt;"",T102,X102))))</f>
        <v>产品经理</v>
      </c>
      <c r="I102" s="44" t="n">
        <f aca="false">IF($A102="","",IF(COUNT(N102,R102,V102,Z102)=0,"",MIN(N102,R102,V102,Z102)))</f>
        <v>46452</v>
      </c>
      <c r="J102" s="44" t="n">
        <f aca="false">IF($A102="","",IF(COUNT(O102,S102,W102,AA102)=0,"",MAX(O102,S102,W102,AA102)))</f>
        <v>46492</v>
      </c>
      <c r="K102" s="44" t="n">
        <v>46492</v>
      </c>
      <c r="L102" s="45" t="s">
        <v>85</v>
      </c>
      <c r="M102" s="45" t="s">
        <v>112</v>
      </c>
      <c r="N102" s="44" t="n">
        <v>46452</v>
      </c>
      <c r="O102" s="44" t="n">
        <v>46492</v>
      </c>
      <c r="P102" s="41"/>
      <c r="Q102" s="43"/>
      <c r="R102" s="44"/>
      <c r="S102" s="44"/>
      <c r="T102" s="41"/>
      <c r="U102" s="43"/>
      <c r="V102" s="44"/>
      <c r="W102" s="44"/>
      <c r="X102" s="43" t="s">
        <v>494</v>
      </c>
      <c r="Y102" s="43" t="s">
        <v>112</v>
      </c>
      <c r="Z102" s="44" t="n">
        <v>46452</v>
      </c>
      <c r="AA102" s="44" t="n">
        <v>46492</v>
      </c>
      <c r="AB102" s="41" t="n">
        <f aca="false">IF($A102="","",0)</f>
        <v>0</v>
      </c>
      <c r="AC102" s="43" t="str">
        <f aca="false">IF($A102="","",IF(G102="已完成","正常",IF(G102="暂停","暂停",IF(J102="","日期缺失",IF(J102&lt;_数据接口!$B$7,"已延期",IF(J102&lt;=_数据接口!$B$7+7,"临近到期","正常"))))))</f>
        <v>正常</v>
      </c>
      <c r="AD102" s="41"/>
      <c r="AE102" s="46" t="s">
        <v>483</v>
      </c>
      <c r="AF102" s="36"/>
      <c r="AG102" s="44"/>
      <c r="AH102" s="47" t="str">
        <f aca="false">IF(OR($A102="",J102="",AG102=""),"",AG102-J102)</f>
        <v/>
      </c>
    </row>
    <row r="103" customFormat="false" ht="39.75" hidden="false" customHeight="true" outlineLevel="0" collapsed="false">
      <c r="A103" s="41" t="s">
        <v>495</v>
      </c>
      <c r="B103" s="42"/>
      <c r="C103" s="43" t="s">
        <v>480</v>
      </c>
      <c r="D103" s="43" t="s">
        <v>449</v>
      </c>
      <c r="E103" s="43" t="s">
        <v>496</v>
      </c>
      <c r="F103" s="41" t="s">
        <v>156</v>
      </c>
      <c r="G103" s="48" t="str">
        <f aca="false">IF(OR(M103="暂停",M103="挂起",Q103="暂停",Q103="挂起",U103="暂停",U103="挂起",Y103="暂停",Y103="挂起"),"暂停",IF(COUNTA(L103,P103,T103,X103)=0,"未分配",IF(IF(L103&lt;&gt;"",M103="已完成",0)+IF(P103&lt;&gt;"",Q103="已完成",0)+IF(T103&lt;&gt;"",U103="已完成",0)+IF(X103&lt;&gt;"",Y103="已完成",0)=COUNTA(L103,P103,T103,X103),"已完成",IF(IF(L103&lt;&gt;"",M103="进行中",0)+IF(P103&lt;&gt;"",Q103="进行中",0)+IF(T103&lt;&gt;"",U103="进行中",0)+IF(X103&lt;&gt;"",Y103="进行中",0)&gt;0,"进行中",IF(IF(L103&lt;&gt;"",M103="待确认",0)+IF(P103&lt;&gt;"",Q103="待确认",0)+IF(T103&lt;&gt;"",U103="待确认",0)+IF(X103&lt;&gt;"",Y103="待确认",0)&gt;0,"待确认","未开始")))))</f>
        <v>未开始</v>
      </c>
      <c r="H103" s="41" t="str">
        <f aca="false">IF($A103="","",IF(L103&lt;&gt;"",L103,IF(P103&lt;&gt;"",P103,IF(T103&lt;&gt;"",T103,X103))))</f>
        <v>产品经理</v>
      </c>
      <c r="I103" s="44" t="n">
        <f aca="false">IF($A103="","",IF(COUNT(N103,R103,V103,Z103)=0,"",MIN(N103,R103,V103,Z103)))</f>
        <v>46518</v>
      </c>
      <c r="J103" s="44" t="n">
        <f aca="false">IF($A103="","",IF(COUNT(O103,S103,W103,AA103)=0,"",MAX(O103,S103,W103,AA103)))</f>
        <v>46531</v>
      </c>
      <c r="K103" s="44" t="n">
        <v>46531</v>
      </c>
      <c r="L103" s="45" t="s">
        <v>85</v>
      </c>
      <c r="M103" s="45" t="s">
        <v>112</v>
      </c>
      <c r="N103" s="44" t="n">
        <v>46518</v>
      </c>
      <c r="O103" s="44" t="n">
        <v>46531</v>
      </c>
      <c r="P103" s="41"/>
      <c r="Q103" s="43"/>
      <c r="R103" s="44"/>
      <c r="S103" s="44"/>
      <c r="T103" s="41"/>
      <c r="U103" s="43"/>
      <c r="V103" s="44"/>
      <c r="W103" s="44"/>
      <c r="X103" s="41"/>
      <c r="Y103" s="43"/>
      <c r="Z103" s="44"/>
      <c r="AA103" s="44"/>
      <c r="AB103" s="41" t="n">
        <f aca="false">IF($A103="","",0)</f>
        <v>0</v>
      </c>
      <c r="AC103" s="43" t="str">
        <f aca="false">IF($A103="","",IF(G103="已完成","正常",IF(G103="暂停","暂停",IF(J103="","日期缺失",IF(J103&lt;_数据接口!$B$7,"已延期",IF(J103&lt;=_数据接口!$B$7+7,"临近到期","正常"))))))</f>
        <v>正常</v>
      </c>
      <c r="AD103" s="41"/>
      <c r="AE103" s="46" t="s">
        <v>483</v>
      </c>
      <c r="AF103" s="36"/>
      <c r="AG103" s="44"/>
      <c r="AH103" s="47" t="str">
        <f aca="false">IF(OR($A103="",J103="",AG103=""),"",AG103-J103)</f>
        <v/>
      </c>
    </row>
    <row r="104" customFormat="false" ht="39.75" hidden="false" customHeight="true" outlineLevel="0" collapsed="false">
      <c r="A104" s="41" t="s">
        <v>497</v>
      </c>
      <c r="B104" s="49" t="s">
        <v>498</v>
      </c>
      <c r="C104" s="43" t="s">
        <v>480</v>
      </c>
      <c r="D104" s="43" t="s">
        <v>481</v>
      </c>
      <c r="E104" s="43" t="s">
        <v>499</v>
      </c>
      <c r="F104" s="41" t="s">
        <v>124</v>
      </c>
      <c r="G104" s="48" t="str">
        <f aca="false">IF(OR(M104="暂停",M104="挂起",Q104="暂停",Q104="挂起",U104="暂停",U104="挂起",Y104="暂停",Y104="挂起"),"暂停",IF(COUNTA(L104,P104,T104,X104)=0,"未分配",IF(IF(L104&lt;&gt;"",M104="已完成",0)+IF(P104&lt;&gt;"",Q104="已完成",0)+IF(T104&lt;&gt;"",U104="已完成",0)+IF(X104&lt;&gt;"",Y104="已完成",0)=COUNTA(L104,P104,T104,X104),"已完成",IF(IF(L104&lt;&gt;"",M104="进行中",0)+IF(P104&lt;&gt;"",Q104="进行中",0)+IF(T104&lt;&gt;"",U104="进行中",0)+IF(X104&lt;&gt;"",Y104="进行中",0)&gt;0,"进行中",IF(IF(L104&lt;&gt;"",M104="待确认",0)+IF(P104&lt;&gt;"",Q104="待确认",0)+IF(T104&lt;&gt;"",U104="待确认",0)+IF(X104&lt;&gt;"",Y104="待确认",0)&gt;0,"待确认","未开始")))))</f>
        <v>未开始</v>
      </c>
      <c r="H104" s="41" t="str">
        <f aca="false">IF($A104="","",IF(L104&lt;&gt;"",L104,IF(P104&lt;&gt;"",P104,IF(T104&lt;&gt;"",T104,X104))))</f>
        <v>产品经理</v>
      </c>
      <c r="I104" s="44" t="n">
        <f aca="false">IF($A104="","",IF(COUNT(N104,R104,V104,Z104)=0,"",MIN(N104,R104,V104,Z104)))</f>
        <v>46341</v>
      </c>
      <c r="J104" s="44" t="n">
        <f aca="false">IF($A104="","",IF(COUNT(O104,S104,W104,AA104)=0,"",MAX(O104,S104,W104,AA104)))</f>
        <v>46367</v>
      </c>
      <c r="K104" s="44" t="n">
        <v>46367</v>
      </c>
      <c r="L104" s="45" t="s">
        <v>85</v>
      </c>
      <c r="M104" s="45" t="s">
        <v>112</v>
      </c>
      <c r="N104" s="44" t="n">
        <v>46341</v>
      </c>
      <c r="O104" s="44" t="n">
        <v>46367</v>
      </c>
      <c r="P104" s="41"/>
      <c r="Q104" s="43"/>
      <c r="R104" s="44"/>
      <c r="S104" s="44"/>
      <c r="T104" s="41"/>
      <c r="U104" s="43"/>
      <c r="V104" s="44"/>
      <c r="W104" s="44"/>
      <c r="X104" s="41"/>
      <c r="Y104" s="43"/>
      <c r="Z104" s="44"/>
      <c r="AA104" s="44"/>
      <c r="AB104" s="41" t="n">
        <f aca="false">IF($A104="","",0)</f>
        <v>0</v>
      </c>
      <c r="AC104" s="43" t="str">
        <f aca="false">IF($A104="","",IF(G104="已完成","正常",IF(G104="暂停","暂停",IF(J104="","日期缺失",IF(J104&lt;_数据接口!$B$7,"已延期",IF(J104&lt;=_数据接口!$B$7+7,"临近到期","正常"))))))</f>
        <v>正常</v>
      </c>
      <c r="AD104" s="41"/>
      <c r="AE104" s="46" t="s">
        <v>500</v>
      </c>
      <c r="AF104" s="36"/>
      <c r="AG104" s="44"/>
      <c r="AH104" s="47" t="str">
        <f aca="false">IF(OR($A104="",J104="",AG104=""),"",AG104-J104)</f>
        <v/>
      </c>
    </row>
    <row r="105" customFormat="false" ht="39.75" hidden="false" customHeight="true" outlineLevel="0" collapsed="false">
      <c r="A105" s="41" t="s">
        <v>501</v>
      </c>
      <c r="B105" s="49"/>
      <c r="C105" s="43" t="s">
        <v>480</v>
      </c>
      <c r="D105" s="43" t="s">
        <v>485</v>
      </c>
      <c r="E105" s="43" t="s">
        <v>502</v>
      </c>
      <c r="F105" s="41" t="s">
        <v>129</v>
      </c>
      <c r="G105" s="48" t="str">
        <f aca="false">IF(OR(M105="暂停",M105="挂起",Q105="暂停",Q105="挂起",U105="暂停",U105="挂起",Y105="暂停",Y105="挂起"),"暂停",IF(COUNTA(L105,P105,T105,X105)=0,"未分配",IF(IF(L105&lt;&gt;"",M105="已完成",0)+IF(P105&lt;&gt;"",Q105="已完成",0)+IF(T105&lt;&gt;"",U105="已完成",0)+IF(X105&lt;&gt;"",Y105="已完成",0)=COUNTA(L105,P105,T105,X105),"已完成",IF(IF(L105&lt;&gt;"",M105="进行中",0)+IF(P105&lt;&gt;"",Q105="进行中",0)+IF(T105&lt;&gt;"",U105="进行中",0)+IF(X105&lt;&gt;"",Y105="进行中",0)&gt;0,"进行中",IF(IF(L105&lt;&gt;"",M105="待确认",0)+IF(P105&lt;&gt;"",Q105="待确认",0)+IF(T105&lt;&gt;"",U105="待确认",0)+IF(X105&lt;&gt;"",Y105="待确认",0)&gt;0,"待确认","未开始")))))</f>
        <v>未开始</v>
      </c>
      <c r="H105" s="41" t="str">
        <f aca="false">IF($A105="","",IF(L105&lt;&gt;"",L105,IF(P105&lt;&gt;"",P105,IF(T105&lt;&gt;"",T105,X105))))</f>
        <v>产品经理</v>
      </c>
      <c r="I105" s="44" t="n">
        <f aca="false">IF($A105="","",IF(COUNT(N105,R105,V105,Z105)=0,"",MIN(N105,R105,V105,Z105)))</f>
        <v>46368</v>
      </c>
      <c r="J105" s="44" t="n">
        <f aca="false">IF($A105="","",IF(COUNT(O105,S105,W105,AA105)=0,"",MAX(O105,S105,W105,AA105)))</f>
        <v>46430</v>
      </c>
      <c r="K105" s="44" t="n">
        <v>46430</v>
      </c>
      <c r="L105" s="45" t="s">
        <v>85</v>
      </c>
      <c r="M105" s="45" t="s">
        <v>112</v>
      </c>
      <c r="N105" s="44" t="n">
        <v>46368</v>
      </c>
      <c r="O105" s="44" t="n">
        <v>46430</v>
      </c>
      <c r="P105" s="43" t="s">
        <v>503</v>
      </c>
      <c r="Q105" s="43" t="s">
        <v>112</v>
      </c>
      <c r="R105" s="44" t="n">
        <v>46368</v>
      </c>
      <c r="S105" s="44" t="n">
        <v>46430</v>
      </c>
      <c r="T105" s="41"/>
      <c r="U105" s="43"/>
      <c r="V105" s="44"/>
      <c r="W105" s="44"/>
      <c r="X105" s="41"/>
      <c r="Y105" s="43"/>
      <c r="Z105" s="44"/>
      <c r="AA105" s="44"/>
      <c r="AB105" s="41" t="n">
        <f aca="false">IF($A105="","",0)</f>
        <v>0</v>
      </c>
      <c r="AC105" s="43" t="str">
        <f aca="false">IF($A105="","",IF(G105="已完成","正常",IF(G105="暂停","暂停",IF(J105="","日期缺失",IF(J105&lt;_数据接口!$B$7,"已延期",IF(J105&lt;=_数据接口!$B$7+7,"临近到期","正常"))))))</f>
        <v>正常</v>
      </c>
      <c r="AD105" s="41"/>
      <c r="AE105" s="46" t="s">
        <v>500</v>
      </c>
      <c r="AF105" s="36"/>
      <c r="AG105" s="44"/>
      <c r="AH105" s="47" t="str">
        <f aca="false">IF(OR($A105="",J105="",AG105=""),"",AG105-J105)</f>
        <v/>
      </c>
    </row>
    <row r="106" customFormat="false" ht="39.75" hidden="false" customHeight="true" outlineLevel="0" collapsed="false">
      <c r="A106" s="41" t="s">
        <v>504</v>
      </c>
      <c r="B106" s="49"/>
      <c r="C106" s="43" t="s">
        <v>480</v>
      </c>
      <c r="D106" s="43" t="s">
        <v>489</v>
      </c>
      <c r="E106" s="43" t="s">
        <v>505</v>
      </c>
      <c r="F106" s="41" t="s">
        <v>140</v>
      </c>
      <c r="G106" s="48" t="str">
        <f aca="false">IF(OR(M106="暂停",M106="挂起",Q106="暂停",Q106="挂起",U106="暂停",U106="挂起",Y106="暂停",Y106="挂起"),"暂停",IF(COUNTA(L106,P106,T106,X106)=0,"未分配",IF(IF(L106&lt;&gt;"",M106="已完成",0)+IF(P106&lt;&gt;"",Q106="已完成",0)+IF(T106&lt;&gt;"",U106="已完成",0)+IF(X106&lt;&gt;"",Y106="已完成",0)=COUNTA(L106,P106,T106,X106),"已完成",IF(IF(L106&lt;&gt;"",M106="进行中",0)+IF(P106&lt;&gt;"",Q106="进行中",0)+IF(T106&lt;&gt;"",U106="进行中",0)+IF(X106&lt;&gt;"",Y106="进行中",0)&gt;0,"进行中",IF(IF(L106&lt;&gt;"",M106="待确认",0)+IF(P106&lt;&gt;"",Q106="待确认",0)+IF(T106&lt;&gt;"",U106="待确认",0)+IF(X106&lt;&gt;"",Y106="待确认",0)&gt;0,"待确认","未开始")))))</f>
        <v>未开始</v>
      </c>
      <c r="H106" s="41" t="str">
        <f aca="false">IF($A106="","",IF(L106&lt;&gt;"",L106,IF(P106&lt;&gt;"",P106,IF(T106&lt;&gt;"",T106,X106))))</f>
        <v>产品经理</v>
      </c>
      <c r="I106" s="44" t="n">
        <f aca="false">IF($A106="","",IF(COUNT(N106,R106,V106,Z106)=0,"",MIN(N106,R106,V106,Z106)))</f>
        <v>46433</v>
      </c>
      <c r="J106" s="44" t="n">
        <f aca="false">IF($A106="","",IF(COUNT(O106,S106,W106,AA106)=0,"",MAX(O106,S106,W106,AA106)))</f>
        <v>46451</v>
      </c>
      <c r="K106" s="44" t="n">
        <v>46451</v>
      </c>
      <c r="L106" s="45" t="s">
        <v>85</v>
      </c>
      <c r="M106" s="45" t="s">
        <v>112</v>
      </c>
      <c r="N106" s="44" t="n">
        <v>46433</v>
      </c>
      <c r="O106" s="44" t="n">
        <v>46451</v>
      </c>
      <c r="P106" s="43" t="s">
        <v>503</v>
      </c>
      <c r="Q106" s="43" t="s">
        <v>112</v>
      </c>
      <c r="R106" s="44" t="n">
        <v>46433</v>
      </c>
      <c r="S106" s="44" t="n">
        <v>46451</v>
      </c>
      <c r="T106" s="41"/>
      <c r="U106" s="43"/>
      <c r="V106" s="44"/>
      <c r="W106" s="44"/>
      <c r="X106" s="41"/>
      <c r="Y106" s="43"/>
      <c r="Z106" s="44"/>
      <c r="AA106" s="44"/>
      <c r="AB106" s="41" t="n">
        <f aca="false">IF($A106="","",0)</f>
        <v>0</v>
      </c>
      <c r="AC106" s="43" t="str">
        <f aca="false">IF($A106="","",IF(G106="已完成","正常",IF(G106="暂停","暂停",IF(J106="","日期缺失",IF(J106&lt;_数据接口!$B$7,"已延期",IF(J106&lt;=_数据接口!$B$7+7,"临近到期","正常"))))))</f>
        <v>正常</v>
      </c>
      <c r="AD106" s="41"/>
      <c r="AE106" s="46" t="s">
        <v>500</v>
      </c>
      <c r="AF106" s="36"/>
      <c r="AG106" s="44"/>
      <c r="AH106" s="47" t="str">
        <f aca="false">IF(OR($A106="",J106="",AG106=""),"",AG106-J106)</f>
        <v/>
      </c>
    </row>
    <row r="107" customFormat="false" ht="39.75" hidden="false" customHeight="true" outlineLevel="0" collapsed="false">
      <c r="A107" s="41" t="s">
        <v>506</v>
      </c>
      <c r="B107" s="49"/>
      <c r="C107" s="43" t="s">
        <v>480</v>
      </c>
      <c r="D107" s="43" t="s">
        <v>492</v>
      </c>
      <c r="E107" s="43" t="s">
        <v>507</v>
      </c>
      <c r="F107" s="41" t="s">
        <v>145</v>
      </c>
      <c r="G107" s="48" t="str">
        <f aca="false">IF(OR(M107="暂停",M107="挂起",Q107="暂停",Q107="挂起",U107="暂停",U107="挂起",Y107="暂停",Y107="挂起"),"暂停",IF(COUNTA(L107,P107,T107,X107)=0,"未分配",IF(IF(L107&lt;&gt;"",M107="已完成",0)+IF(P107&lt;&gt;"",Q107="已完成",0)+IF(T107&lt;&gt;"",U107="已完成",0)+IF(X107&lt;&gt;"",Y107="已完成",0)=COUNTA(L107,P107,T107,X107),"已完成",IF(IF(L107&lt;&gt;"",M107="进行中",0)+IF(P107&lt;&gt;"",Q107="进行中",0)+IF(T107&lt;&gt;"",U107="进行中",0)+IF(X107&lt;&gt;"",Y107="进行中",0)&gt;0,"进行中",IF(IF(L107&lt;&gt;"",M107="待确认",0)+IF(P107&lt;&gt;"",Q107="待确认",0)+IF(T107&lt;&gt;"",U107="待确认",0)+IF(X107&lt;&gt;"",Y107="待确认",0)&gt;0,"待确认","未开始")))))</f>
        <v>未开始</v>
      </c>
      <c r="H107" s="41" t="str">
        <f aca="false">IF($A107="","",IF(L107&lt;&gt;"",L107,IF(P107&lt;&gt;"",P107,IF(T107&lt;&gt;"",T107,X107))))</f>
        <v>产品经理</v>
      </c>
      <c r="I107" s="44" t="n">
        <f aca="false">IF($A107="","",IF(COUNT(N107,R107,V107,Z107)=0,"",MIN(N107,R107,V107,Z107)))</f>
        <v>46452</v>
      </c>
      <c r="J107" s="44" t="n">
        <f aca="false">IF($A107="","",IF(COUNT(O107,S107,W107,AA107)=0,"",MAX(O107,S107,W107,AA107)))</f>
        <v>46492</v>
      </c>
      <c r="K107" s="44" t="n">
        <v>46492</v>
      </c>
      <c r="L107" s="45" t="s">
        <v>85</v>
      </c>
      <c r="M107" s="45" t="s">
        <v>112</v>
      </c>
      <c r="N107" s="44" t="n">
        <v>46452</v>
      </c>
      <c r="O107" s="44" t="n">
        <v>46492</v>
      </c>
      <c r="P107" s="41"/>
      <c r="Q107" s="43"/>
      <c r="R107" s="44"/>
      <c r="S107" s="44"/>
      <c r="T107" s="41"/>
      <c r="U107" s="43"/>
      <c r="V107" s="44"/>
      <c r="W107" s="44"/>
      <c r="X107" s="43" t="s">
        <v>508</v>
      </c>
      <c r="Y107" s="43" t="s">
        <v>112</v>
      </c>
      <c r="Z107" s="44" t="n">
        <v>46452</v>
      </c>
      <c r="AA107" s="44" t="n">
        <v>46492</v>
      </c>
      <c r="AB107" s="41" t="n">
        <f aca="false">IF($A107="","",0)</f>
        <v>0</v>
      </c>
      <c r="AC107" s="43" t="str">
        <f aca="false">IF($A107="","",IF(G107="已完成","正常",IF(G107="暂停","暂停",IF(J107="","日期缺失",IF(J107&lt;_数据接口!$B$7,"已延期",IF(J107&lt;=_数据接口!$B$7+7,"临近到期","正常"))))))</f>
        <v>正常</v>
      </c>
      <c r="AD107" s="41"/>
      <c r="AE107" s="46" t="s">
        <v>500</v>
      </c>
      <c r="AF107" s="36"/>
      <c r="AG107" s="44"/>
      <c r="AH107" s="47" t="str">
        <f aca="false">IF(OR($A107="",J107="",AG107=""),"",AG107-J107)</f>
        <v/>
      </c>
    </row>
    <row r="108" customFormat="false" ht="39.75" hidden="false" customHeight="true" outlineLevel="0" collapsed="false">
      <c r="A108" s="41" t="s">
        <v>509</v>
      </c>
      <c r="B108" s="49"/>
      <c r="C108" s="43" t="s">
        <v>480</v>
      </c>
      <c r="D108" s="43" t="s">
        <v>449</v>
      </c>
      <c r="E108" s="43" t="s">
        <v>510</v>
      </c>
      <c r="F108" s="41" t="s">
        <v>156</v>
      </c>
      <c r="G108" s="48" t="str">
        <f aca="false">IF(OR(M108="暂停",M108="挂起",Q108="暂停",Q108="挂起",U108="暂停",U108="挂起",Y108="暂停",Y108="挂起"),"暂停",IF(COUNTA(L108,P108,T108,X108)=0,"未分配",IF(IF(L108&lt;&gt;"",M108="已完成",0)+IF(P108&lt;&gt;"",Q108="已完成",0)+IF(T108&lt;&gt;"",U108="已完成",0)+IF(X108&lt;&gt;"",Y108="已完成",0)=COUNTA(L108,P108,T108,X108),"已完成",IF(IF(L108&lt;&gt;"",M108="进行中",0)+IF(P108&lt;&gt;"",Q108="进行中",0)+IF(T108&lt;&gt;"",U108="进行中",0)+IF(X108&lt;&gt;"",Y108="进行中",0)&gt;0,"进行中",IF(IF(L108&lt;&gt;"",M108="待确认",0)+IF(P108&lt;&gt;"",Q108="待确认",0)+IF(T108&lt;&gt;"",U108="待确认",0)+IF(X108&lt;&gt;"",Y108="待确认",0)&gt;0,"待确认","未开始")))))</f>
        <v>未开始</v>
      </c>
      <c r="H108" s="41" t="str">
        <f aca="false">IF($A108="","",IF(L108&lt;&gt;"",L108,IF(P108&lt;&gt;"",P108,IF(T108&lt;&gt;"",T108,X108))))</f>
        <v>产品经理</v>
      </c>
      <c r="I108" s="44" t="n">
        <f aca="false">IF($A108="","",IF(COUNT(N108,R108,V108,Z108)=0,"",MIN(N108,R108,V108,Z108)))</f>
        <v>46518</v>
      </c>
      <c r="J108" s="44" t="n">
        <f aca="false">IF($A108="","",IF(COUNT(O108,S108,W108,AA108)=0,"",MAX(O108,S108,W108,AA108)))</f>
        <v>46531</v>
      </c>
      <c r="K108" s="44" t="n">
        <v>46531</v>
      </c>
      <c r="L108" s="45" t="s">
        <v>85</v>
      </c>
      <c r="M108" s="45" t="s">
        <v>112</v>
      </c>
      <c r="N108" s="44" t="n">
        <v>46518</v>
      </c>
      <c r="O108" s="44" t="n">
        <v>46531</v>
      </c>
      <c r="P108" s="41"/>
      <c r="Q108" s="43"/>
      <c r="R108" s="44"/>
      <c r="S108" s="44"/>
      <c r="T108" s="41"/>
      <c r="U108" s="43"/>
      <c r="V108" s="44"/>
      <c r="W108" s="44"/>
      <c r="X108" s="41"/>
      <c r="Y108" s="43"/>
      <c r="Z108" s="44"/>
      <c r="AA108" s="44"/>
      <c r="AB108" s="41" t="n">
        <f aca="false">IF($A108="","",0)</f>
        <v>0</v>
      </c>
      <c r="AC108" s="43" t="str">
        <f aca="false">IF($A108="","",IF(G108="已完成","正常",IF(G108="暂停","暂停",IF(J108="","日期缺失",IF(J108&lt;_数据接口!$B$7,"已延期",IF(J108&lt;=_数据接口!$B$7+7,"临近到期","正常"))))))</f>
        <v>正常</v>
      </c>
      <c r="AD108" s="41"/>
      <c r="AE108" s="46" t="s">
        <v>500</v>
      </c>
      <c r="AF108" s="36"/>
      <c r="AG108" s="44"/>
      <c r="AH108" s="47" t="str">
        <f aca="false">IF(OR($A108="",J108="",AG108=""),"",AG108-J108)</f>
        <v/>
      </c>
    </row>
    <row r="109" customFormat="false" ht="39.75" hidden="false" customHeight="true" outlineLevel="0" collapsed="false">
      <c r="A109" s="41" t="s">
        <v>511</v>
      </c>
      <c r="B109" s="42" t="s">
        <v>512</v>
      </c>
      <c r="C109" s="43" t="s">
        <v>480</v>
      </c>
      <c r="D109" s="43" t="s">
        <v>481</v>
      </c>
      <c r="E109" s="43" t="s">
        <v>513</v>
      </c>
      <c r="F109" s="41" t="s">
        <v>124</v>
      </c>
      <c r="G109" s="48" t="str">
        <f aca="false">IF(OR(M109="暂停",M109="挂起",Q109="暂停",Q109="挂起",U109="暂停",U109="挂起",Y109="暂停",Y109="挂起"),"暂停",IF(COUNTA(L109,P109,T109,X109)=0,"未分配",IF(IF(L109&lt;&gt;"",M109="已完成",0)+IF(P109&lt;&gt;"",Q109="已完成",0)+IF(T109&lt;&gt;"",U109="已完成",0)+IF(X109&lt;&gt;"",Y109="已完成",0)=COUNTA(L109,P109,T109,X109),"已完成",IF(IF(L109&lt;&gt;"",M109="进行中",0)+IF(P109&lt;&gt;"",Q109="进行中",0)+IF(T109&lt;&gt;"",U109="进行中",0)+IF(X109&lt;&gt;"",Y109="进行中",0)&gt;0,"进行中",IF(IF(L109&lt;&gt;"",M109="待确认",0)+IF(P109&lt;&gt;"",Q109="待确认",0)+IF(T109&lt;&gt;"",U109="待确认",0)+IF(X109&lt;&gt;"",Y109="待确认",0)&gt;0,"待确认","未开始")))))</f>
        <v>未开始</v>
      </c>
      <c r="H109" s="41" t="str">
        <f aca="false">IF($A109="","",IF(L109&lt;&gt;"",L109,IF(P109&lt;&gt;"",P109,IF(T109&lt;&gt;"",T109,X109))))</f>
        <v>产品经理</v>
      </c>
      <c r="I109" s="44" t="n">
        <f aca="false">IF($A109="","",IF(COUNT(N109,R109,V109,Z109)=0,"",MIN(N109,R109,V109,Z109)))</f>
        <v>46341</v>
      </c>
      <c r="J109" s="44" t="n">
        <f aca="false">IF($A109="","",IF(COUNT(O109,S109,W109,AA109)=0,"",MAX(O109,S109,W109,AA109)))</f>
        <v>46367</v>
      </c>
      <c r="K109" s="44" t="n">
        <v>46367</v>
      </c>
      <c r="L109" s="45" t="s">
        <v>85</v>
      </c>
      <c r="M109" s="45" t="s">
        <v>112</v>
      </c>
      <c r="N109" s="44" t="n">
        <v>46341</v>
      </c>
      <c r="O109" s="44" t="n">
        <v>46367</v>
      </c>
      <c r="P109" s="41"/>
      <c r="Q109" s="43"/>
      <c r="R109" s="44"/>
      <c r="S109" s="44"/>
      <c r="T109" s="41"/>
      <c r="U109" s="43"/>
      <c r="V109" s="44"/>
      <c r="W109" s="44"/>
      <c r="X109" s="41"/>
      <c r="Y109" s="43"/>
      <c r="Z109" s="44"/>
      <c r="AA109" s="44"/>
      <c r="AB109" s="41" t="n">
        <f aca="false">IF($A109="","",0)</f>
        <v>0</v>
      </c>
      <c r="AC109" s="43" t="str">
        <f aca="false">IF($A109="","",IF(G109="已完成","正常",IF(G109="暂停","暂停",IF(J109="","日期缺失",IF(J109&lt;_数据接口!$B$7,"已延期",IF(J109&lt;=_数据接口!$B$7+7,"临近到期","正常"))))))</f>
        <v>正常</v>
      </c>
      <c r="AD109" s="41"/>
      <c r="AE109" s="46" t="s">
        <v>514</v>
      </c>
      <c r="AF109" s="36"/>
      <c r="AG109" s="44"/>
      <c r="AH109" s="47" t="str">
        <f aca="false">IF(OR($A109="",J109="",AG109=""),"",AG109-J109)</f>
        <v/>
      </c>
    </row>
    <row r="110" customFormat="false" ht="39.75" hidden="false" customHeight="true" outlineLevel="0" collapsed="false">
      <c r="A110" s="41" t="s">
        <v>515</v>
      </c>
      <c r="B110" s="42"/>
      <c r="C110" s="43" t="s">
        <v>480</v>
      </c>
      <c r="D110" s="43" t="s">
        <v>485</v>
      </c>
      <c r="E110" s="43" t="s">
        <v>516</v>
      </c>
      <c r="F110" s="41" t="s">
        <v>129</v>
      </c>
      <c r="G110" s="48" t="str">
        <f aca="false">IF(OR(M110="暂停",M110="挂起",Q110="暂停",Q110="挂起",U110="暂停",U110="挂起",Y110="暂停",Y110="挂起"),"暂停",IF(COUNTA(L110,P110,T110,X110)=0,"未分配",IF(IF(L110&lt;&gt;"",M110="已完成",0)+IF(P110&lt;&gt;"",Q110="已完成",0)+IF(T110&lt;&gt;"",U110="已完成",0)+IF(X110&lt;&gt;"",Y110="已完成",0)=COUNTA(L110,P110,T110,X110),"已完成",IF(IF(L110&lt;&gt;"",M110="进行中",0)+IF(P110&lt;&gt;"",Q110="进行中",0)+IF(T110&lt;&gt;"",U110="进行中",0)+IF(X110&lt;&gt;"",Y110="进行中",0)&gt;0,"进行中",IF(IF(L110&lt;&gt;"",M110="待确认",0)+IF(P110&lt;&gt;"",Q110="待确认",0)+IF(T110&lt;&gt;"",U110="待确认",0)+IF(X110&lt;&gt;"",Y110="待确认",0)&gt;0,"待确认","未开始")))))</f>
        <v>未开始</v>
      </c>
      <c r="H110" s="41" t="str">
        <f aca="false">IF($A110="","",IF(L110&lt;&gt;"",L110,IF(P110&lt;&gt;"",P110,IF(T110&lt;&gt;"",T110,X110))))</f>
        <v>产品经理</v>
      </c>
      <c r="I110" s="44" t="n">
        <f aca="false">IF($A110="","",IF(COUNT(N110,R110,V110,Z110)=0,"",MIN(N110,R110,V110,Z110)))</f>
        <v>46368</v>
      </c>
      <c r="J110" s="44" t="n">
        <f aca="false">IF($A110="","",IF(COUNT(O110,S110,W110,AA110)=0,"",MAX(O110,S110,W110,AA110)))</f>
        <v>46430</v>
      </c>
      <c r="K110" s="44" t="n">
        <v>46430</v>
      </c>
      <c r="L110" s="45" t="s">
        <v>85</v>
      </c>
      <c r="M110" s="45" t="s">
        <v>112</v>
      </c>
      <c r="N110" s="44" t="n">
        <v>46368</v>
      </c>
      <c r="O110" s="44" t="n">
        <v>46430</v>
      </c>
      <c r="P110" s="43" t="s">
        <v>517</v>
      </c>
      <c r="Q110" s="43" t="s">
        <v>112</v>
      </c>
      <c r="R110" s="44" t="n">
        <v>46368</v>
      </c>
      <c r="S110" s="44" t="n">
        <v>46430</v>
      </c>
      <c r="T110" s="41"/>
      <c r="U110" s="43"/>
      <c r="V110" s="44"/>
      <c r="W110" s="44"/>
      <c r="X110" s="41"/>
      <c r="Y110" s="43"/>
      <c r="Z110" s="44"/>
      <c r="AA110" s="44"/>
      <c r="AB110" s="41" t="n">
        <f aca="false">IF($A110="","",0)</f>
        <v>0</v>
      </c>
      <c r="AC110" s="43" t="str">
        <f aca="false">IF($A110="","",IF(G110="已完成","正常",IF(G110="暂停","暂停",IF(J110="","日期缺失",IF(J110&lt;_数据接口!$B$7,"已延期",IF(J110&lt;=_数据接口!$B$7+7,"临近到期","正常"))))))</f>
        <v>正常</v>
      </c>
      <c r="AD110" s="41"/>
      <c r="AE110" s="46" t="s">
        <v>514</v>
      </c>
      <c r="AF110" s="36"/>
      <c r="AG110" s="44"/>
      <c r="AH110" s="47" t="str">
        <f aca="false">IF(OR($A110="",J110="",AG110=""),"",AG110-J110)</f>
        <v/>
      </c>
    </row>
    <row r="111" customFormat="false" ht="39.75" hidden="false" customHeight="true" outlineLevel="0" collapsed="false">
      <c r="A111" s="41" t="s">
        <v>518</v>
      </c>
      <c r="B111" s="42"/>
      <c r="C111" s="43" t="s">
        <v>480</v>
      </c>
      <c r="D111" s="43" t="s">
        <v>489</v>
      </c>
      <c r="E111" s="43" t="s">
        <v>519</v>
      </c>
      <c r="F111" s="41" t="s">
        <v>140</v>
      </c>
      <c r="G111" s="48" t="str">
        <f aca="false">IF(OR(M111="暂停",M111="挂起",Q111="暂停",Q111="挂起",U111="暂停",U111="挂起",Y111="暂停",Y111="挂起"),"暂停",IF(COUNTA(L111,P111,T111,X111)=0,"未分配",IF(IF(L111&lt;&gt;"",M111="已完成",0)+IF(P111&lt;&gt;"",Q111="已完成",0)+IF(T111&lt;&gt;"",U111="已完成",0)+IF(X111&lt;&gt;"",Y111="已完成",0)=COUNTA(L111,P111,T111,X111),"已完成",IF(IF(L111&lt;&gt;"",M111="进行中",0)+IF(P111&lt;&gt;"",Q111="进行中",0)+IF(T111&lt;&gt;"",U111="进行中",0)+IF(X111&lt;&gt;"",Y111="进行中",0)&gt;0,"进行中",IF(IF(L111&lt;&gt;"",M111="待确认",0)+IF(P111&lt;&gt;"",Q111="待确认",0)+IF(T111&lt;&gt;"",U111="待确认",0)+IF(X111&lt;&gt;"",Y111="待确认",0)&gt;0,"待确认","未开始")))))</f>
        <v>未开始</v>
      </c>
      <c r="H111" s="41" t="str">
        <f aca="false">IF($A111="","",IF(L111&lt;&gt;"",L111,IF(P111&lt;&gt;"",P111,IF(T111&lt;&gt;"",T111,X111))))</f>
        <v>产品经理</v>
      </c>
      <c r="I111" s="44" t="n">
        <f aca="false">IF($A111="","",IF(COUNT(N111,R111,V111,Z111)=0,"",MIN(N111,R111,V111,Z111)))</f>
        <v>46433</v>
      </c>
      <c r="J111" s="44" t="n">
        <f aca="false">IF($A111="","",IF(COUNT(O111,S111,W111,AA111)=0,"",MAX(O111,S111,W111,AA111)))</f>
        <v>46451</v>
      </c>
      <c r="K111" s="44" t="n">
        <v>46451</v>
      </c>
      <c r="L111" s="45" t="s">
        <v>85</v>
      </c>
      <c r="M111" s="45" t="s">
        <v>112</v>
      </c>
      <c r="N111" s="44" t="n">
        <v>46433</v>
      </c>
      <c r="O111" s="44" t="n">
        <v>46451</v>
      </c>
      <c r="P111" s="43" t="s">
        <v>517</v>
      </c>
      <c r="Q111" s="43" t="s">
        <v>112</v>
      </c>
      <c r="R111" s="44" t="n">
        <v>46433</v>
      </c>
      <c r="S111" s="44" t="n">
        <v>46451</v>
      </c>
      <c r="T111" s="41"/>
      <c r="U111" s="43"/>
      <c r="V111" s="44"/>
      <c r="W111" s="44"/>
      <c r="X111" s="41"/>
      <c r="Y111" s="43"/>
      <c r="Z111" s="44"/>
      <c r="AA111" s="44"/>
      <c r="AB111" s="41" t="n">
        <f aca="false">IF($A111="","",0)</f>
        <v>0</v>
      </c>
      <c r="AC111" s="43" t="str">
        <f aca="false">IF($A111="","",IF(G111="已完成","正常",IF(G111="暂停","暂停",IF(J111="","日期缺失",IF(J111&lt;_数据接口!$B$7,"已延期",IF(J111&lt;=_数据接口!$B$7+7,"临近到期","正常"))))))</f>
        <v>正常</v>
      </c>
      <c r="AD111" s="41"/>
      <c r="AE111" s="46" t="s">
        <v>514</v>
      </c>
      <c r="AF111" s="36"/>
      <c r="AG111" s="44"/>
      <c r="AH111" s="47" t="str">
        <f aca="false">IF(OR($A111="",J111="",AG111=""),"",AG111-J111)</f>
        <v/>
      </c>
    </row>
    <row r="112" customFormat="false" ht="39.75" hidden="false" customHeight="true" outlineLevel="0" collapsed="false">
      <c r="A112" s="41" t="s">
        <v>520</v>
      </c>
      <c r="B112" s="42"/>
      <c r="C112" s="43" t="s">
        <v>480</v>
      </c>
      <c r="D112" s="43" t="s">
        <v>492</v>
      </c>
      <c r="E112" s="43" t="s">
        <v>521</v>
      </c>
      <c r="F112" s="41" t="s">
        <v>145</v>
      </c>
      <c r="G112" s="48" t="str">
        <f aca="false">IF(OR(M112="暂停",M112="挂起",Q112="暂停",Q112="挂起",U112="暂停",U112="挂起",Y112="暂停",Y112="挂起"),"暂停",IF(COUNTA(L112,P112,T112,X112)=0,"未分配",IF(IF(L112&lt;&gt;"",M112="已完成",0)+IF(P112&lt;&gt;"",Q112="已完成",0)+IF(T112&lt;&gt;"",U112="已完成",0)+IF(X112&lt;&gt;"",Y112="已完成",0)=COUNTA(L112,P112,T112,X112),"已完成",IF(IF(L112&lt;&gt;"",M112="进行中",0)+IF(P112&lt;&gt;"",Q112="进行中",0)+IF(T112&lt;&gt;"",U112="进行中",0)+IF(X112&lt;&gt;"",Y112="进行中",0)&gt;0,"进行中",IF(IF(L112&lt;&gt;"",M112="待确认",0)+IF(P112&lt;&gt;"",Q112="待确认",0)+IF(T112&lt;&gt;"",U112="待确认",0)+IF(X112&lt;&gt;"",Y112="待确认",0)&gt;0,"待确认","未开始")))))</f>
        <v>未开始</v>
      </c>
      <c r="H112" s="41" t="str">
        <f aca="false">IF($A112="","",IF(L112&lt;&gt;"",L112,IF(P112&lt;&gt;"",P112,IF(T112&lt;&gt;"",T112,X112))))</f>
        <v>产品经理</v>
      </c>
      <c r="I112" s="44" t="n">
        <f aca="false">IF($A112="","",IF(COUNT(N112,R112,V112,Z112)=0,"",MIN(N112,R112,V112,Z112)))</f>
        <v>46452</v>
      </c>
      <c r="J112" s="44" t="n">
        <f aca="false">IF($A112="","",IF(COUNT(O112,S112,W112,AA112)=0,"",MAX(O112,S112,W112,AA112)))</f>
        <v>46492</v>
      </c>
      <c r="K112" s="44" t="n">
        <v>46492</v>
      </c>
      <c r="L112" s="45" t="s">
        <v>85</v>
      </c>
      <c r="M112" s="45" t="s">
        <v>112</v>
      </c>
      <c r="N112" s="44" t="n">
        <v>46452</v>
      </c>
      <c r="O112" s="44" t="n">
        <v>46492</v>
      </c>
      <c r="P112" s="41"/>
      <c r="Q112" s="43"/>
      <c r="R112" s="44"/>
      <c r="S112" s="44"/>
      <c r="T112" s="41"/>
      <c r="U112" s="43"/>
      <c r="V112" s="44"/>
      <c r="W112" s="44"/>
      <c r="X112" s="43" t="s">
        <v>522</v>
      </c>
      <c r="Y112" s="43" t="s">
        <v>112</v>
      </c>
      <c r="Z112" s="44" t="n">
        <v>46452</v>
      </c>
      <c r="AA112" s="44" t="n">
        <v>46492</v>
      </c>
      <c r="AB112" s="41" t="n">
        <f aca="false">IF($A112="","",0)</f>
        <v>0</v>
      </c>
      <c r="AC112" s="43" t="str">
        <f aca="false">IF($A112="","",IF(G112="已完成","正常",IF(G112="暂停","暂停",IF(J112="","日期缺失",IF(J112&lt;_数据接口!$B$7,"已延期",IF(J112&lt;=_数据接口!$B$7+7,"临近到期","正常"))))))</f>
        <v>正常</v>
      </c>
      <c r="AD112" s="41"/>
      <c r="AE112" s="46" t="s">
        <v>514</v>
      </c>
      <c r="AF112" s="36"/>
      <c r="AG112" s="44"/>
      <c r="AH112" s="47" t="str">
        <f aca="false">IF(OR($A112="",J112="",AG112=""),"",AG112-J112)</f>
        <v/>
      </c>
    </row>
    <row r="113" customFormat="false" ht="39.75" hidden="false" customHeight="true" outlineLevel="0" collapsed="false">
      <c r="A113" s="41" t="s">
        <v>523</v>
      </c>
      <c r="B113" s="42"/>
      <c r="C113" s="43" t="s">
        <v>480</v>
      </c>
      <c r="D113" s="43" t="s">
        <v>449</v>
      </c>
      <c r="E113" s="43" t="s">
        <v>524</v>
      </c>
      <c r="F113" s="41" t="s">
        <v>156</v>
      </c>
      <c r="G113" s="48" t="str">
        <f aca="false">IF(OR(M113="暂停",M113="挂起",Q113="暂停",Q113="挂起",U113="暂停",U113="挂起",Y113="暂停",Y113="挂起"),"暂停",IF(COUNTA(L113,P113,T113,X113)=0,"未分配",IF(IF(L113&lt;&gt;"",M113="已完成",0)+IF(P113&lt;&gt;"",Q113="已完成",0)+IF(T113&lt;&gt;"",U113="已完成",0)+IF(X113&lt;&gt;"",Y113="已完成",0)=COUNTA(L113,P113,T113,X113),"已完成",IF(IF(L113&lt;&gt;"",M113="进行中",0)+IF(P113&lt;&gt;"",Q113="进行中",0)+IF(T113&lt;&gt;"",U113="进行中",0)+IF(X113&lt;&gt;"",Y113="进行中",0)&gt;0,"进行中",IF(IF(L113&lt;&gt;"",M113="待确认",0)+IF(P113&lt;&gt;"",Q113="待确认",0)+IF(T113&lt;&gt;"",U113="待确认",0)+IF(X113&lt;&gt;"",Y113="待确认",0)&gt;0,"待确认","未开始")))))</f>
        <v>未开始</v>
      </c>
      <c r="H113" s="41" t="str">
        <f aca="false">IF($A113="","",IF(L113&lt;&gt;"",L113,IF(P113&lt;&gt;"",P113,IF(T113&lt;&gt;"",T113,X113))))</f>
        <v>产品经理</v>
      </c>
      <c r="I113" s="44" t="n">
        <f aca="false">IF($A113="","",IF(COUNT(N113,R113,V113,Z113)=0,"",MIN(N113,R113,V113,Z113)))</f>
        <v>46518</v>
      </c>
      <c r="J113" s="44" t="n">
        <f aca="false">IF($A113="","",IF(COUNT(O113,S113,W113,AA113)=0,"",MAX(O113,S113,W113,AA113)))</f>
        <v>46531</v>
      </c>
      <c r="K113" s="44" t="n">
        <v>46531</v>
      </c>
      <c r="L113" s="45" t="s">
        <v>85</v>
      </c>
      <c r="M113" s="45" t="s">
        <v>112</v>
      </c>
      <c r="N113" s="44" t="n">
        <v>46518</v>
      </c>
      <c r="O113" s="44" t="n">
        <v>46531</v>
      </c>
      <c r="P113" s="41"/>
      <c r="Q113" s="43"/>
      <c r="R113" s="44"/>
      <c r="S113" s="44"/>
      <c r="T113" s="41"/>
      <c r="U113" s="43"/>
      <c r="V113" s="44"/>
      <c r="W113" s="44"/>
      <c r="X113" s="41"/>
      <c r="Y113" s="43"/>
      <c r="Z113" s="44"/>
      <c r="AA113" s="44"/>
      <c r="AB113" s="41" t="n">
        <f aca="false">IF($A113="","",0)</f>
        <v>0</v>
      </c>
      <c r="AC113" s="43" t="str">
        <f aca="false">IF($A113="","",IF(G113="已完成","正常",IF(G113="暂停","暂停",IF(J113="","日期缺失",IF(J113&lt;_数据接口!$B$7,"已延期",IF(J113&lt;=_数据接口!$B$7+7,"临近到期","正常"))))))</f>
        <v>正常</v>
      </c>
      <c r="AD113" s="41"/>
      <c r="AE113" s="46" t="s">
        <v>514</v>
      </c>
      <c r="AF113" s="36"/>
      <c r="AG113" s="44"/>
      <c r="AH113" s="47" t="str">
        <f aca="false">IF(OR($A113="",J113="",AG113=""),"",AG113-J113)</f>
        <v/>
      </c>
    </row>
    <row r="114" customFormat="false" ht="39.75" hidden="false" customHeight="true" outlineLevel="0" collapsed="false">
      <c r="A114" s="41" t="s">
        <v>525</v>
      </c>
      <c r="B114" s="49" t="s">
        <v>526</v>
      </c>
      <c r="C114" s="43" t="s">
        <v>480</v>
      </c>
      <c r="D114" s="43" t="s">
        <v>481</v>
      </c>
      <c r="E114" s="43" t="s">
        <v>527</v>
      </c>
      <c r="F114" s="41" t="s">
        <v>124</v>
      </c>
      <c r="G114" s="48" t="str">
        <f aca="false">IF(OR(M114="暂停",M114="挂起",Q114="暂停",Q114="挂起",U114="暂停",U114="挂起",Y114="暂停",Y114="挂起"),"暂停",IF(COUNTA(L114,P114,T114,X114)=0,"未分配",IF(IF(L114&lt;&gt;"",M114="已完成",0)+IF(P114&lt;&gt;"",Q114="已完成",0)+IF(T114&lt;&gt;"",U114="已完成",0)+IF(X114&lt;&gt;"",Y114="已完成",0)=COUNTA(L114,P114,T114,X114),"已完成",IF(IF(L114&lt;&gt;"",M114="进行中",0)+IF(P114&lt;&gt;"",Q114="进行中",0)+IF(T114&lt;&gt;"",U114="进行中",0)+IF(X114&lt;&gt;"",Y114="进行中",0)&gt;0,"进行中",IF(IF(L114&lt;&gt;"",M114="待确认",0)+IF(P114&lt;&gt;"",Q114="待确认",0)+IF(T114&lt;&gt;"",U114="待确认",0)+IF(X114&lt;&gt;"",Y114="待确认",0)&gt;0,"待确认","未开始")))))</f>
        <v>未开始</v>
      </c>
      <c r="H114" s="41" t="str">
        <f aca="false">IF($A114="","",IF(L114&lt;&gt;"",L114,IF(P114&lt;&gt;"",P114,IF(T114&lt;&gt;"",T114,X114))))</f>
        <v>产品经理</v>
      </c>
      <c r="I114" s="44" t="n">
        <f aca="false">IF($A114="","",IF(COUNT(N114,R114,V114,Z114)=0,"",MIN(N114,R114,V114,Z114)))</f>
        <v>46341</v>
      </c>
      <c r="J114" s="44" t="n">
        <f aca="false">IF($A114="","",IF(COUNT(O114,S114,W114,AA114)=0,"",MAX(O114,S114,W114,AA114)))</f>
        <v>46367</v>
      </c>
      <c r="K114" s="44" t="n">
        <v>46367</v>
      </c>
      <c r="L114" s="45" t="s">
        <v>85</v>
      </c>
      <c r="M114" s="45" t="s">
        <v>112</v>
      </c>
      <c r="N114" s="44" t="n">
        <v>46341</v>
      </c>
      <c r="O114" s="44" t="n">
        <v>46367</v>
      </c>
      <c r="P114" s="41"/>
      <c r="Q114" s="43"/>
      <c r="R114" s="44"/>
      <c r="S114" s="44"/>
      <c r="T114" s="41"/>
      <c r="U114" s="43"/>
      <c r="V114" s="44"/>
      <c r="W114" s="44"/>
      <c r="X114" s="41"/>
      <c r="Y114" s="43"/>
      <c r="Z114" s="44"/>
      <c r="AA114" s="44"/>
      <c r="AB114" s="41" t="n">
        <f aca="false">IF($A114="","",0)</f>
        <v>0</v>
      </c>
      <c r="AC114" s="43" t="str">
        <f aca="false">IF($A114="","",IF(G114="已完成","正常",IF(G114="暂停","暂停",IF(J114="","日期缺失",IF(J114&lt;_数据接口!$B$7,"已延期",IF(J114&lt;=_数据接口!$B$7+7,"临近到期","正常"))))))</f>
        <v>正常</v>
      </c>
      <c r="AD114" s="41"/>
      <c r="AE114" s="46" t="s">
        <v>528</v>
      </c>
      <c r="AF114" s="36"/>
      <c r="AG114" s="44"/>
      <c r="AH114" s="47" t="str">
        <f aca="false">IF(OR($A114="",J114="",AG114=""),"",AG114-J114)</f>
        <v/>
      </c>
    </row>
    <row r="115" customFormat="false" ht="39.75" hidden="false" customHeight="true" outlineLevel="0" collapsed="false">
      <c r="A115" s="41" t="s">
        <v>529</v>
      </c>
      <c r="B115" s="49"/>
      <c r="C115" s="43" t="s">
        <v>480</v>
      </c>
      <c r="D115" s="43" t="s">
        <v>485</v>
      </c>
      <c r="E115" s="43" t="s">
        <v>530</v>
      </c>
      <c r="F115" s="41" t="s">
        <v>129</v>
      </c>
      <c r="G115" s="43" t="str">
        <f aca="false">IF(OR(M115="暂停",M115="挂起",Q115="暂停",Q115="挂起",U115="暂停",U115="挂起",Y115="暂停",Y115="挂起"),"暂停",IF(COUNTA(L115,P115,T115,X115)=0,"未分配",IF(IF(L115&lt;&gt;"",M115="已完成",0)+IF(P115&lt;&gt;"",Q115="已完成",0)+IF(T115&lt;&gt;"",U115="已完成",0)+IF(X115&lt;&gt;"",Y115="已完成",0)=COUNTA(L115,P115,T115,X115),"已完成",IF(IF(L115&lt;&gt;"",M115="进行中",0)+IF(P115&lt;&gt;"",Q115="进行中",0)+IF(T115&lt;&gt;"",U115="进行中",0)+IF(X115&lt;&gt;"",Y115="进行中",0)&gt;0,"进行中",IF(IF(L115&lt;&gt;"",M115="待确认",0)+IF(P115&lt;&gt;"",Q115="待确认",0)+IF(T115&lt;&gt;"",U115="待确认",0)+IF(X115&lt;&gt;"",Y115="待确认",0)&gt;0,"待确认","未开始")))))</f>
        <v>未开始</v>
      </c>
      <c r="H115" s="43" t="s">
        <v>98</v>
      </c>
      <c r="I115" s="44" t="n">
        <v>46368</v>
      </c>
      <c r="J115" s="44" t="n">
        <v>46430</v>
      </c>
      <c r="K115" s="44" t="n">
        <v>46430</v>
      </c>
      <c r="L115" s="45" t="s">
        <v>85</v>
      </c>
      <c r="M115" s="45" t="s">
        <v>112</v>
      </c>
      <c r="N115" s="44" t="n">
        <v>46368</v>
      </c>
      <c r="O115" s="44" t="n">
        <v>46430</v>
      </c>
      <c r="P115" s="43" t="s">
        <v>531</v>
      </c>
      <c r="Q115" s="43" t="s">
        <v>112</v>
      </c>
      <c r="R115" s="44" t="n">
        <v>46368</v>
      </c>
      <c r="S115" s="44" t="n">
        <v>46430</v>
      </c>
      <c r="T115" s="41"/>
      <c r="U115" s="43"/>
      <c r="V115" s="44"/>
      <c r="W115" s="44"/>
      <c r="X115" s="41"/>
      <c r="Y115" s="43"/>
      <c r="Z115" s="44"/>
      <c r="AA115" s="44"/>
      <c r="AB115" s="41" t="n">
        <v>0</v>
      </c>
      <c r="AC115" s="43" t="str">
        <f aca="false">IF($A115="","",IF(G115="已完成","正常",IF(G115="暂停","暂停",IF(J115="","日期缺失",IF(J115&lt;_数据接口!$B$7,"已延期",IF(J115&lt;=_数据接口!$B$7+7,"临近到期","正常"))))))</f>
        <v>正常</v>
      </c>
      <c r="AD115" s="41"/>
      <c r="AE115" s="46" t="s">
        <v>528</v>
      </c>
      <c r="AF115" s="36"/>
      <c r="AG115" s="44"/>
      <c r="AH115" s="47" t="str">
        <f aca="false">IF(OR($A115="",J115="",AG115=""),"",AG115-J115)</f>
        <v/>
      </c>
    </row>
    <row r="116" customFormat="false" ht="39.75" hidden="false" customHeight="true" outlineLevel="0" collapsed="false">
      <c r="A116" s="41" t="s">
        <v>532</v>
      </c>
      <c r="B116" s="49"/>
      <c r="C116" s="43" t="s">
        <v>480</v>
      </c>
      <c r="D116" s="43" t="s">
        <v>489</v>
      </c>
      <c r="E116" s="43" t="s">
        <v>533</v>
      </c>
      <c r="F116" s="41" t="s">
        <v>140</v>
      </c>
      <c r="G116" s="43" t="str">
        <f aca="false">IF(OR(M116="暂停",M116="挂起",Q116="暂停",Q116="挂起",U116="暂停",U116="挂起",Y116="暂停",Y116="挂起"),"暂停",IF(COUNTA(L116,P116,T116,X116)=0,"未分配",IF(IF(L116&lt;&gt;"",M116="已完成",0)+IF(P116&lt;&gt;"",Q116="已完成",0)+IF(T116&lt;&gt;"",U116="已完成",0)+IF(X116&lt;&gt;"",Y116="已完成",0)=COUNTA(L116,P116,T116,X116),"已完成",IF(IF(L116&lt;&gt;"",M116="进行中",0)+IF(P116&lt;&gt;"",Q116="进行中",0)+IF(T116&lt;&gt;"",U116="进行中",0)+IF(X116&lt;&gt;"",Y116="进行中",0)&gt;0,"进行中",IF(IF(L116&lt;&gt;"",M116="待确认",0)+IF(P116&lt;&gt;"",Q116="待确认",0)+IF(T116&lt;&gt;"",U116="待确认",0)+IF(X116&lt;&gt;"",Y116="待确认",0)&gt;0,"待确认","未开始")))))</f>
        <v>未开始</v>
      </c>
      <c r="H116" s="43" t="s">
        <v>98</v>
      </c>
      <c r="I116" s="44" t="n">
        <v>46433</v>
      </c>
      <c r="J116" s="44" t="n">
        <v>46451</v>
      </c>
      <c r="K116" s="44" t="n">
        <v>46451</v>
      </c>
      <c r="L116" s="45" t="s">
        <v>85</v>
      </c>
      <c r="M116" s="45" t="s">
        <v>112</v>
      </c>
      <c r="N116" s="44" t="n">
        <v>46433</v>
      </c>
      <c r="O116" s="44" t="n">
        <v>46451</v>
      </c>
      <c r="P116" s="43" t="s">
        <v>487</v>
      </c>
      <c r="Q116" s="43" t="s">
        <v>112</v>
      </c>
      <c r="R116" s="44" t="n">
        <v>46433</v>
      </c>
      <c r="S116" s="44" t="n">
        <v>46451</v>
      </c>
      <c r="T116" s="41"/>
      <c r="U116" s="43"/>
      <c r="V116" s="44"/>
      <c r="W116" s="44"/>
      <c r="X116" s="41"/>
      <c r="Y116" s="43"/>
      <c r="Z116" s="44"/>
      <c r="AA116" s="44"/>
      <c r="AB116" s="41" t="n">
        <v>0</v>
      </c>
      <c r="AC116" s="43" t="str">
        <f aca="false">IF($A116="","",IF(G116="已完成","正常",IF(G116="暂停","暂停",IF(J116="","日期缺失",IF(J116&lt;_数据接口!$B$7,"已延期",IF(J116&lt;=_数据接口!$B$7+7,"临近到期","正常"))))))</f>
        <v>正常</v>
      </c>
      <c r="AD116" s="41"/>
      <c r="AE116" s="46" t="s">
        <v>528</v>
      </c>
      <c r="AF116" s="36"/>
      <c r="AG116" s="44"/>
      <c r="AH116" s="47" t="str">
        <f aca="false">IF(OR($A116="",J116="",AG116=""),"",AG116-J116)</f>
        <v/>
      </c>
    </row>
    <row r="117" customFormat="false" ht="39.75" hidden="false" customHeight="true" outlineLevel="0" collapsed="false">
      <c r="A117" s="41" t="s">
        <v>534</v>
      </c>
      <c r="B117" s="49"/>
      <c r="C117" s="43" t="s">
        <v>480</v>
      </c>
      <c r="D117" s="43" t="s">
        <v>492</v>
      </c>
      <c r="E117" s="43" t="s">
        <v>535</v>
      </c>
      <c r="F117" s="41" t="s">
        <v>145</v>
      </c>
      <c r="G117" s="43" t="str">
        <f aca="false">IF(OR(M117="暂停",M117="挂起",Q117="暂停",Q117="挂起",U117="暂停",U117="挂起",Y117="暂停",Y117="挂起"),"暂停",IF(COUNTA(L117,P117,T117,X117)=0,"未分配",IF(IF(L117&lt;&gt;"",M117="已完成",0)+IF(P117&lt;&gt;"",Q117="已完成",0)+IF(T117&lt;&gt;"",U117="已完成",0)+IF(X117&lt;&gt;"",Y117="已完成",0)=COUNTA(L117,P117,T117,X117),"已完成",IF(IF(L117&lt;&gt;"",M117="进行中",0)+IF(P117&lt;&gt;"",Q117="进行中",0)+IF(T117&lt;&gt;"",U117="进行中",0)+IF(X117&lt;&gt;"",Y117="进行中",0)&gt;0,"进行中",IF(IF(L117&lt;&gt;"",M117="待确认",0)+IF(P117&lt;&gt;"",Q117="待确认",0)+IF(T117&lt;&gt;"",U117="待确认",0)+IF(X117&lt;&gt;"",Y117="待确认",0)&gt;0,"待确认","未开始")))))</f>
        <v>未开始</v>
      </c>
      <c r="H117" s="43" t="s">
        <v>536</v>
      </c>
      <c r="I117" s="44" t="n">
        <v>46452</v>
      </c>
      <c r="J117" s="44" t="n">
        <v>46492</v>
      </c>
      <c r="K117" s="44" t="n">
        <v>46492</v>
      </c>
      <c r="L117" s="45" t="s">
        <v>85</v>
      </c>
      <c r="M117" s="45" t="s">
        <v>112</v>
      </c>
      <c r="N117" s="44" t="n">
        <v>46452</v>
      </c>
      <c r="O117" s="44" t="n">
        <v>46492</v>
      </c>
      <c r="P117" s="41"/>
      <c r="Q117" s="43"/>
      <c r="R117" s="44"/>
      <c r="S117" s="44"/>
      <c r="T117" s="41"/>
      <c r="U117" s="43"/>
      <c r="V117" s="44"/>
      <c r="W117" s="44"/>
      <c r="X117" s="43" t="s">
        <v>494</v>
      </c>
      <c r="Y117" s="43" t="s">
        <v>112</v>
      </c>
      <c r="Z117" s="44" t="n">
        <v>46452</v>
      </c>
      <c r="AA117" s="44" t="n">
        <v>46492</v>
      </c>
      <c r="AB117" s="41" t="n">
        <v>0</v>
      </c>
      <c r="AC117" s="43" t="str">
        <f aca="false">IF($A117="","",IF(G117="已完成","正常",IF(G117="暂停","暂停",IF(J117="","日期缺失",IF(J117&lt;_数据接口!$B$7,"已延期",IF(J117&lt;=_数据接口!$B$7+7,"临近到期","正常"))))))</f>
        <v>正常</v>
      </c>
      <c r="AD117" s="41"/>
      <c r="AE117" s="46" t="s">
        <v>528</v>
      </c>
      <c r="AF117" s="36"/>
      <c r="AG117" s="44"/>
      <c r="AH117" s="47" t="str">
        <f aca="false">IF(OR($A117="",J117="",AG117=""),"",AG117-J117)</f>
        <v/>
      </c>
    </row>
    <row r="118" customFormat="false" ht="39.75" hidden="false" customHeight="true" outlineLevel="0" collapsed="false">
      <c r="A118" s="41" t="s">
        <v>537</v>
      </c>
      <c r="B118" s="49"/>
      <c r="C118" s="43" t="s">
        <v>480</v>
      </c>
      <c r="D118" s="43" t="s">
        <v>449</v>
      </c>
      <c r="E118" s="43" t="s">
        <v>538</v>
      </c>
      <c r="F118" s="41" t="s">
        <v>156</v>
      </c>
      <c r="G118" s="43" t="str">
        <f aca="false">IF(OR(M118="暂停",M118="挂起",Q118="暂停",Q118="挂起",U118="暂停",U118="挂起",Y118="暂停",Y118="挂起"),"暂停",IF(COUNTA(L118,P118,T118,X118)=0,"未分配",IF(IF(L118&lt;&gt;"",M118="已完成",0)+IF(P118&lt;&gt;"",Q118="已完成",0)+IF(T118&lt;&gt;"",U118="已完成",0)+IF(X118&lt;&gt;"",Y118="已完成",0)=COUNTA(L118,P118,T118,X118),"已完成",IF(IF(L118&lt;&gt;"",M118="进行中",0)+IF(P118&lt;&gt;"",Q118="进行中",0)+IF(T118&lt;&gt;"",U118="进行中",0)+IF(X118&lt;&gt;"",Y118="进行中",0)&gt;0,"进行中",IF(IF(L118&lt;&gt;"",M118="待确认",0)+IF(P118&lt;&gt;"",Q118="待确认",0)+IF(T118&lt;&gt;"",U118="待确认",0)+IF(X118&lt;&gt;"",Y118="待确认",0)&gt;0,"待确认","未开始")))))</f>
        <v>未开始</v>
      </c>
      <c r="H118" s="43" t="s">
        <v>539</v>
      </c>
      <c r="I118" s="44" t="n">
        <v>46518</v>
      </c>
      <c r="J118" s="44" t="n">
        <v>46531</v>
      </c>
      <c r="K118" s="44" t="n">
        <v>46531</v>
      </c>
      <c r="L118" s="45" t="s">
        <v>85</v>
      </c>
      <c r="M118" s="45" t="s">
        <v>112</v>
      </c>
      <c r="N118" s="44" t="n">
        <v>46518</v>
      </c>
      <c r="O118" s="44" t="n">
        <v>46531</v>
      </c>
      <c r="P118" s="41"/>
      <c r="Q118" s="43"/>
      <c r="R118" s="44"/>
      <c r="S118" s="44"/>
      <c r="T118" s="41"/>
      <c r="U118" s="43"/>
      <c r="V118" s="44"/>
      <c r="W118" s="44"/>
      <c r="X118" s="41"/>
      <c r="Y118" s="43"/>
      <c r="Z118" s="44"/>
      <c r="AA118" s="44"/>
      <c r="AB118" s="41" t="n">
        <v>0</v>
      </c>
      <c r="AC118" s="43" t="str">
        <f aca="false">IF($A118="","",IF(G118="已完成","正常",IF(G118="暂停","暂停",IF(J118="","日期缺失",IF(J118&lt;_数据接口!$B$7,"已延期",IF(J118&lt;=_数据接口!$B$7+7,"临近到期","正常"))))))</f>
        <v>正常</v>
      </c>
      <c r="AD118" s="41"/>
      <c r="AE118" s="46" t="s">
        <v>528</v>
      </c>
      <c r="AF118" s="36"/>
      <c r="AG118" s="44"/>
      <c r="AH118" s="47" t="str">
        <f aca="false">IF(OR($A118="",J118="",AG118=""),"",AG118-J118)</f>
        <v/>
      </c>
    </row>
    <row r="119" customFormat="false" ht="39.75" hidden="false" customHeight="true" outlineLevel="0" collapsed="false">
      <c r="A119" s="41" t="s">
        <v>540</v>
      </c>
      <c r="B119" s="42" t="s">
        <v>541</v>
      </c>
      <c r="C119" s="43" t="s">
        <v>480</v>
      </c>
      <c r="D119" s="43" t="s">
        <v>481</v>
      </c>
      <c r="E119" s="43" t="s">
        <v>542</v>
      </c>
      <c r="F119" s="41" t="s">
        <v>124</v>
      </c>
      <c r="G119" s="43" t="str">
        <f aca="false">IF(OR(M119="暂停",M119="挂起",Q119="暂停",Q119="挂起",U119="暂停",U119="挂起",Y119="暂停",Y119="挂起"),"暂停",IF(COUNTA(L119,P119,T119,X119)=0,"未分配",IF(IF(L119&lt;&gt;"",M119="已完成",0)+IF(P119&lt;&gt;"",Q119="已完成",0)+IF(T119&lt;&gt;"",U119="已完成",0)+IF(X119&lt;&gt;"",Y119="已完成",0)=COUNTA(L119,P119,T119,X119),"已完成",IF(IF(L119&lt;&gt;"",M119="进行中",0)+IF(P119&lt;&gt;"",Q119="进行中",0)+IF(T119&lt;&gt;"",U119="进行中",0)+IF(X119&lt;&gt;"",Y119="进行中",0)&gt;0,"进行中",IF(IF(L119&lt;&gt;"",M119="待确认",0)+IF(P119&lt;&gt;"",Q119="待确认",0)+IF(T119&lt;&gt;"",U119="待确认",0)+IF(X119&lt;&gt;"",Y119="待确认",0)&gt;0,"待确认","未开始")))))</f>
        <v>未开始</v>
      </c>
      <c r="H119" s="43" t="s">
        <v>98</v>
      </c>
      <c r="I119" s="44" t="n">
        <v>46341</v>
      </c>
      <c r="J119" s="44" t="n">
        <v>46374</v>
      </c>
      <c r="K119" s="44" t="n">
        <v>46374</v>
      </c>
      <c r="L119" s="45" t="s">
        <v>85</v>
      </c>
      <c r="M119" s="45" t="s">
        <v>112</v>
      </c>
      <c r="N119" s="44" t="n">
        <v>46341</v>
      </c>
      <c r="O119" s="44" t="n">
        <v>46374</v>
      </c>
      <c r="P119" s="41"/>
      <c r="Q119" s="43"/>
      <c r="R119" s="44"/>
      <c r="S119" s="44"/>
      <c r="T119" s="41"/>
      <c r="U119" s="43"/>
      <c r="V119" s="44"/>
      <c r="W119" s="44"/>
      <c r="X119" s="41"/>
      <c r="Y119" s="43"/>
      <c r="Z119" s="44"/>
      <c r="AA119" s="44"/>
      <c r="AB119" s="41" t="n">
        <v>0</v>
      </c>
      <c r="AC119" s="43" t="str">
        <f aca="false">IF($A119="","",IF(G119="已完成","正常",IF(G119="暂停","暂停",IF(J119="","日期缺失",IF(J119&lt;_数据接口!$B$7,"已延期",IF(J119&lt;=_数据接口!$B$7+7,"临近到期","正常"))))))</f>
        <v>正常</v>
      </c>
      <c r="AD119" s="41"/>
      <c r="AE119" s="46" t="s">
        <v>543</v>
      </c>
      <c r="AF119" s="36"/>
      <c r="AG119" s="44"/>
      <c r="AH119" s="47" t="str">
        <f aca="false">IF(OR($A119="",J119="",AG119=""),"",AG119-J119)</f>
        <v/>
      </c>
    </row>
    <row r="120" customFormat="false" ht="39.75" hidden="false" customHeight="true" outlineLevel="0" collapsed="false">
      <c r="A120" s="41" t="s">
        <v>544</v>
      </c>
      <c r="B120" s="42"/>
      <c r="C120" s="43" t="s">
        <v>480</v>
      </c>
      <c r="D120" s="43" t="s">
        <v>485</v>
      </c>
      <c r="E120" s="43" t="s">
        <v>545</v>
      </c>
      <c r="F120" s="41" t="s">
        <v>129</v>
      </c>
      <c r="G120" s="43" t="str">
        <f aca="false">IF(OR(M120="暂停",M120="挂起",Q120="暂停",Q120="挂起",U120="暂停",U120="挂起",Y120="暂停",Y120="挂起"),"暂停",IF(COUNTA(L120,P120,T120,X120)=0,"未分配",IF(IF(L120&lt;&gt;"",M120="已完成",0)+IF(P120&lt;&gt;"",Q120="已完成",0)+IF(T120&lt;&gt;"",U120="已完成",0)+IF(X120&lt;&gt;"",Y120="已完成",0)=COUNTA(L120,P120,T120,X120),"已完成",IF(IF(L120&lt;&gt;"",M120="进行中",0)+IF(P120&lt;&gt;"",Q120="进行中",0)+IF(T120&lt;&gt;"",U120="进行中",0)+IF(X120&lt;&gt;"",Y120="进行中",0)&gt;0,"进行中",IF(IF(L120&lt;&gt;"",M120="待确认",0)+IF(P120&lt;&gt;"",Q120="待确认",0)+IF(T120&lt;&gt;"",U120="待确认",0)+IF(X120&lt;&gt;"",Y120="待确认",0)&gt;0,"待确认","未开始")))))</f>
        <v>未开始</v>
      </c>
      <c r="H120" s="43" t="s">
        <v>98</v>
      </c>
      <c r="I120" s="44" t="n">
        <v>46375</v>
      </c>
      <c r="J120" s="44" t="n">
        <v>46430</v>
      </c>
      <c r="K120" s="44" t="n">
        <v>46430</v>
      </c>
      <c r="L120" s="45" t="s">
        <v>85</v>
      </c>
      <c r="M120" s="45" t="s">
        <v>112</v>
      </c>
      <c r="N120" s="44" t="n">
        <v>46375</v>
      </c>
      <c r="O120" s="44" t="n">
        <v>46430</v>
      </c>
      <c r="P120" s="43" t="s">
        <v>546</v>
      </c>
      <c r="Q120" s="43" t="s">
        <v>112</v>
      </c>
      <c r="R120" s="44" t="n">
        <v>46375</v>
      </c>
      <c r="S120" s="44" t="n">
        <v>46430</v>
      </c>
      <c r="T120" s="41"/>
      <c r="U120" s="43"/>
      <c r="V120" s="44"/>
      <c r="W120" s="44"/>
      <c r="X120" s="41"/>
      <c r="Y120" s="43"/>
      <c r="Z120" s="44"/>
      <c r="AA120" s="44"/>
      <c r="AB120" s="41" t="n">
        <v>0</v>
      </c>
      <c r="AC120" s="43" t="str">
        <f aca="false">IF($A120="","",IF(G120="已完成","正常",IF(G120="暂停","暂停",IF(J120="","日期缺失",IF(J120&lt;_数据接口!$B$7,"已延期",IF(J120&lt;=_数据接口!$B$7+7,"临近到期","正常"))))))</f>
        <v>正常</v>
      </c>
      <c r="AD120" s="41"/>
      <c r="AE120" s="46" t="s">
        <v>543</v>
      </c>
      <c r="AF120" s="36"/>
      <c r="AG120" s="44"/>
      <c r="AH120" s="47" t="str">
        <f aca="false">IF(OR($A120="",J120="",AG120=""),"",AG120-J120)</f>
        <v/>
      </c>
    </row>
    <row r="121" customFormat="false" ht="39.75" hidden="false" customHeight="true" outlineLevel="0" collapsed="false">
      <c r="A121" s="41" t="s">
        <v>547</v>
      </c>
      <c r="B121" s="42"/>
      <c r="C121" s="43" t="s">
        <v>480</v>
      </c>
      <c r="D121" s="43" t="s">
        <v>489</v>
      </c>
      <c r="E121" s="43" t="s">
        <v>548</v>
      </c>
      <c r="F121" s="41" t="s">
        <v>140</v>
      </c>
      <c r="G121" s="43" t="str">
        <f aca="false">IF(OR(M121="暂停",M121="挂起",Q121="暂停",Q121="挂起",U121="暂停",U121="挂起",Y121="暂停",Y121="挂起"),"暂停",IF(COUNTA(L121,P121,T121,X121)=0,"未分配",IF(IF(L121&lt;&gt;"",M121="已完成",0)+IF(P121&lt;&gt;"",Q121="已完成",0)+IF(T121&lt;&gt;"",U121="已完成",0)+IF(X121&lt;&gt;"",Y121="已完成",0)=COUNTA(L121,P121,T121,X121),"已完成",IF(IF(L121&lt;&gt;"",M121="进行中",0)+IF(P121&lt;&gt;"",Q121="进行中",0)+IF(T121&lt;&gt;"",U121="进行中",0)+IF(X121&lt;&gt;"",Y121="进行中",0)&gt;0,"进行中",IF(IF(L121&lt;&gt;"",M121="待确认",0)+IF(P121&lt;&gt;"",Q121="待确认",0)+IF(T121&lt;&gt;"",U121="待确认",0)+IF(X121&lt;&gt;"",Y121="待确认",0)&gt;0,"待确认","未开始")))))</f>
        <v>未开始</v>
      </c>
      <c r="H121" s="43" t="s">
        <v>98</v>
      </c>
      <c r="I121" s="44" t="n">
        <v>46433</v>
      </c>
      <c r="J121" s="44" t="n">
        <v>46451</v>
      </c>
      <c r="K121" s="44" t="n">
        <v>46451</v>
      </c>
      <c r="L121" s="45" t="s">
        <v>85</v>
      </c>
      <c r="M121" s="45" t="s">
        <v>112</v>
      </c>
      <c r="N121" s="44" t="n">
        <v>46433</v>
      </c>
      <c r="O121" s="44" t="n">
        <v>46451</v>
      </c>
      <c r="P121" s="43" t="s">
        <v>503</v>
      </c>
      <c r="Q121" s="43" t="s">
        <v>112</v>
      </c>
      <c r="R121" s="44" t="n">
        <v>46433</v>
      </c>
      <c r="S121" s="44" t="n">
        <v>46451</v>
      </c>
      <c r="T121" s="41"/>
      <c r="U121" s="43"/>
      <c r="V121" s="44"/>
      <c r="W121" s="44"/>
      <c r="X121" s="41"/>
      <c r="Y121" s="43"/>
      <c r="Z121" s="44"/>
      <c r="AA121" s="44"/>
      <c r="AB121" s="41" t="n">
        <v>0</v>
      </c>
      <c r="AC121" s="43" t="str">
        <f aca="false">IF($A121="","",IF(G121="已完成","正常",IF(G121="暂停","暂停",IF(J121="","日期缺失",IF(J121&lt;_数据接口!$B$7,"已延期",IF(J121&lt;=_数据接口!$B$7+7,"临近到期","正常"))))))</f>
        <v>正常</v>
      </c>
      <c r="AD121" s="41"/>
      <c r="AE121" s="46" t="s">
        <v>543</v>
      </c>
      <c r="AF121" s="36"/>
      <c r="AG121" s="44"/>
      <c r="AH121" s="47" t="str">
        <f aca="false">IF(OR($A121="",J121="",AG121=""),"",AG121-J121)</f>
        <v/>
      </c>
    </row>
    <row r="122" customFormat="false" ht="39.75" hidden="false" customHeight="true" outlineLevel="0" collapsed="false">
      <c r="A122" s="41" t="s">
        <v>549</v>
      </c>
      <c r="B122" s="42"/>
      <c r="C122" s="43" t="s">
        <v>480</v>
      </c>
      <c r="D122" s="43" t="s">
        <v>492</v>
      </c>
      <c r="E122" s="43" t="s">
        <v>550</v>
      </c>
      <c r="F122" s="41" t="s">
        <v>145</v>
      </c>
      <c r="G122" s="43" t="str">
        <f aca="false">IF(OR(M122="暂停",M122="挂起",Q122="暂停",Q122="挂起",U122="暂停",U122="挂起",Y122="暂停",Y122="挂起"),"暂停",IF(COUNTA(L122,P122,T122,X122)=0,"未分配",IF(IF(L122&lt;&gt;"",M122="已完成",0)+IF(P122&lt;&gt;"",Q122="已完成",0)+IF(T122&lt;&gt;"",U122="已完成",0)+IF(X122&lt;&gt;"",Y122="已完成",0)=COUNTA(L122,P122,T122,X122),"已完成",IF(IF(L122&lt;&gt;"",M122="进行中",0)+IF(P122&lt;&gt;"",Q122="进行中",0)+IF(T122&lt;&gt;"",U122="进行中",0)+IF(X122&lt;&gt;"",Y122="进行中",0)&gt;0,"进行中",IF(IF(L122&lt;&gt;"",M122="待确认",0)+IF(P122&lt;&gt;"",Q122="待确认",0)+IF(T122&lt;&gt;"",U122="待确认",0)+IF(X122&lt;&gt;"",Y122="待确认",0)&gt;0,"待确认","未开始")))))</f>
        <v>未开始</v>
      </c>
      <c r="H122" s="43" t="s">
        <v>536</v>
      </c>
      <c r="I122" s="44" t="n">
        <v>46452</v>
      </c>
      <c r="J122" s="44" t="n">
        <v>46492</v>
      </c>
      <c r="K122" s="44" t="n">
        <v>46492</v>
      </c>
      <c r="L122" s="45" t="s">
        <v>85</v>
      </c>
      <c r="M122" s="45" t="s">
        <v>112</v>
      </c>
      <c r="N122" s="44" t="n">
        <v>46452</v>
      </c>
      <c r="O122" s="44" t="n">
        <v>46492</v>
      </c>
      <c r="P122" s="41"/>
      <c r="Q122" s="43"/>
      <c r="R122" s="44"/>
      <c r="S122" s="44"/>
      <c r="T122" s="41"/>
      <c r="U122" s="43"/>
      <c r="V122" s="44"/>
      <c r="W122" s="44"/>
      <c r="X122" s="43" t="s">
        <v>508</v>
      </c>
      <c r="Y122" s="43" t="s">
        <v>112</v>
      </c>
      <c r="Z122" s="44" t="n">
        <v>46452</v>
      </c>
      <c r="AA122" s="44" t="n">
        <v>46492</v>
      </c>
      <c r="AB122" s="41" t="n">
        <v>0</v>
      </c>
      <c r="AC122" s="43" t="str">
        <f aca="false">IF($A122="","",IF(G122="已完成","正常",IF(G122="暂停","暂停",IF(J122="","日期缺失",IF(J122&lt;_数据接口!$B$7,"已延期",IF(J122&lt;=_数据接口!$B$7+7,"临近到期","正常"))))))</f>
        <v>正常</v>
      </c>
      <c r="AD122" s="41"/>
      <c r="AE122" s="46" t="s">
        <v>543</v>
      </c>
      <c r="AF122" s="36"/>
      <c r="AG122" s="44"/>
      <c r="AH122" s="47" t="str">
        <f aca="false">IF(OR($A122="",J122="",AG122=""),"",AG122-J122)</f>
        <v/>
      </c>
    </row>
    <row r="123" customFormat="false" ht="39.75" hidden="false" customHeight="true" outlineLevel="0" collapsed="false">
      <c r="A123" s="41" t="s">
        <v>551</v>
      </c>
      <c r="B123" s="42"/>
      <c r="C123" s="43" t="s">
        <v>480</v>
      </c>
      <c r="D123" s="43" t="s">
        <v>449</v>
      </c>
      <c r="E123" s="43" t="s">
        <v>552</v>
      </c>
      <c r="F123" s="41" t="s">
        <v>156</v>
      </c>
      <c r="G123" s="43" t="str">
        <f aca="false">IF(OR(M123="暂停",M123="挂起",Q123="暂停",Q123="挂起",U123="暂停",U123="挂起",Y123="暂停",Y123="挂起"),"暂停",IF(COUNTA(L123,P123,T123,X123)=0,"未分配",IF(IF(L123&lt;&gt;"",M123="已完成",0)+IF(P123&lt;&gt;"",Q123="已完成",0)+IF(T123&lt;&gt;"",U123="已完成",0)+IF(X123&lt;&gt;"",Y123="已完成",0)=COUNTA(L123,P123,T123,X123),"已完成",IF(IF(L123&lt;&gt;"",M123="进行中",0)+IF(P123&lt;&gt;"",Q123="进行中",0)+IF(T123&lt;&gt;"",U123="进行中",0)+IF(X123&lt;&gt;"",Y123="进行中",0)&gt;0,"进行中",IF(IF(L123&lt;&gt;"",M123="待确认",0)+IF(P123&lt;&gt;"",Q123="待确认",0)+IF(T123&lt;&gt;"",U123="待确认",0)+IF(X123&lt;&gt;"",Y123="待确认",0)&gt;0,"待确认","未开始")))))</f>
        <v>未开始</v>
      </c>
      <c r="H123" s="43" t="s">
        <v>539</v>
      </c>
      <c r="I123" s="44" t="n">
        <v>46518</v>
      </c>
      <c r="J123" s="44" t="n">
        <v>46531</v>
      </c>
      <c r="K123" s="44" t="n">
        <v>46531</v>
      </c>
      <c r="L123" s="45" t="s">
        <v>85</v>
      </c>
      <c r="M123" s="45" t="s">
        <v>112</v>
      </c>
      <c r="N123" s="44" t="n">
        <v>46518</v>
      </c>
      <c r="O123" s="44" t="n">
        <v>46531</v>
      </c>
      <c r="P123" s="41"/>
      <c r="Q123" s="43"/>
      <c r="R123" s="44"/>
      <c r="S123" s="44"/>
      <c r="T123" s="41"/>
      <c r="U123" s="43"/>
      <c r="V123" s="44"/>
      <c r="W123" s="44"/>
      <c r="X123" s="41"/>
      <c r="Y123" s="43"/>
      <c r="Z123" s="44"/>
      <c r="AA123" s="44"/>
      <c r="AB123" s="41" t="n">
        <v>0</v>
      </c>
      <c r="AC123" s="43" t="str">
        <f aca="false">IF($A123="","",IF(G123="已完成","正常",IF(G123="暂停","暂停",IF(J123="","日期缺失",IF(J123&lt;_数据接口!$B$7,"已延期",IF(J123&lt;=_数据接口!$B$7+7,"临近到期","正常"))))))</f>
        <v>正常</v>
      </c>
      <c r="AD123" s="41"/>
      <c r="AE123" s="46" t="s">
        <v>543</v>
      </c>
      <c r="AF123" s="36"/>
      <c r="AG123" s="44"/>
      <c r="AH123" s="47" t="str">
        <f aca="false">IF(OR($A123="",J123="",AG123=""),"",AG123-J123)</f>
        <v/>
      </c>
    </row>
    <row r="124" customFormat="false" ht="39.75" hidden="false" customHeight="true" outlineLevel="0" collapsed="false">
      <c r="A124" s="41" t="s">
        <v>553</v>
      </c>
      <c r="B124" s="50" t="s">
        <v>554</v>
      </c>
      <c r="C124" s="43" t="s">
        <v>480</v>
      </c>
      <c r="D124" s="43" t="s">
        <v>481</v>
      </c>
      <c r="E124" s="41" t="s">
        <v>555</v>
      </c>
      <c r="F124" s="41" t="s">
        <v>124</v>
      </c>
      <c r="G124" s="43" t="str">
        <f aca="false">IF(OR(M124="暂停",M124="挂起",Q124="暂停",Q124="挂起",U124="暂停",U124="挂起",Y124="暂停",Y124="挂起"),"暂停",IF(COUNTA(L124,P124,T124,X124)=0,"未分配",IF(IF(L124&lt;&gt;"",M124="已完成",0)+IF(P124&lt;&gt;"",Q124="已完成",0)+IF(T124&lt;&gt;"",U124="已完成",0)+IF(X124&lt;&gt;"",Y124="已完成",0)=COUNTA(L124,P124,T124,X124),"已完成",IF(IF(L124&lt;&gt;"",M124="进行中",0)+IF(P124&lt;&gt;"",Q124="进行中",0)+IF(T124&lt;&gt;"",U124="进行中",0)+IF(X124&lt;&gt;"",Y124="进行中",0)&gt;0,"进行中",IF(IF(L124&lt;&gt;"",M124="待确认",0)+IF(P124&lt;&gt;"",Q124="待确认",0)+IF(T124&lt;&gt;"",U124="待确认",0)+IF(X124&lt;&gt;"",Y124="待确认",0)&gt;0,"待确认","未开始")))))</f>
        <v>未开始</v>
      </c>
      <c r="H124" s="43" t="s">
        <v>98</v>
      </c>
      <c r="I124" s="44" t="n">
        <v>46341</v>
      </c>
      <c r="J124" s="44" t="n">
        <v>46353</v>
      </c>
      <c r="K124" s="44" t="n">
        <v>46353</v>
      </c>
      <c r="L124" s="45" t="s">
        <v>85</v>
      </c>
      <c r="M124" s="45" t="s">
        <v>112</v>
      </c>
      <c r="N124" s="44" t="n">
        <v>46341</v>
      </c>
      <c r="O124" s="44" t="n">
        <v>46353</v>
      </c>
      <c r="P124" s="41"/>
      <c r="Q124" s="43"/>
      <c r="R124" s="44"/>
      <c r="S124" s="44"/>
      <c r="T124" s="41"/>
      <c r="U124" s="43"/>
      <c r="V124" s="44"/>
      <c r="W124" s="44"/>
      <c r="X124" s="41"/>
      <c r="Y124" s="43"/>
      <c r="Z124" s="44"/>
      <c r="AA124" s="44"/>
      <c r="AB124" s="41" t="n">
        <v>0</v>
      </c>
      <c r="AC124" s="43" t="str">
        <f aca="false">IF($A124="","",IF(G124="已完成","正常",IF(G124="暂停","暂停",IF(J124="","日期缺失",IF(J124&lt;_数据接口!$B$7,"已延期",IF(J124&lt;=_数据接口!$B$7+7,"临近到期","正常"))))))</f>
        <v>正常</v>
      </c>
      <c r="AD124" s="41"/>
      <c r="AE124" s="46" t="s">
        <v>556</v>
      </c>
      <c r="AF124" s="36"/>
      <c r="AG124" s="44"/>
      <c r="AH124" s="47" t="str">
        <f aca="false">IF(OR($A124="",J124="",AG124=""),"",AG124-J124)</f>
        <v/>
      </c>
    </row>
    <row r="125" customFormat="false" ht="39.75" hidden="false" customHeight="true" outlineLevel="0" collapsed="false">
      <c r="A125" s="41" t="s">
        <v>557</v>
      </c>
      <c r="B125" s="50"/>
      <c r="C125" s="43" t="s">
        <v>480</v>
      </c>
      <c r="D125" s="43" t="s">
        <v>485</v>
      </c>
      <c r="E125" s="41" t="s">
        <v>558</v>
      </c>
      <c r="F125" s="41" t="s">
        <v>129</v>
      </c>
      <c r="G125" s="43" t="str">
        <f aca="false">IF(OR(M125="暂停",M125="挂起",Q125="暂停",Q125="挂起",U125="暂停",U125="挂起",Y125="暂停",Y125="挂起"),"暂停",IF(COUNTA(L125,P125,T125,X125)=0,"未分配",IF(IF(L125&lt;&gt;"",M125="已完成",0)+IF(P125&lt;&gt;"",Q125="已完成",0)+IF(T125&lt;&gt;"",U125="已完成",0)+IF(X125&lt;&gt;"",Y125="已完成",0)=COUNTA(L125,P125,T125,X125),"已完成",IF(IF(L125&lt;&gt;"",M125="进行中",0)+IF(P125&lt;&gt;"",Q125="进行中",0)+IF(T125&lt;&gt;"",U125="进行中",0)+IF(X125&lt;&gt;"",Y125="进行中",0)&gt;0,"进行中",IF(IF(L125&lt;&gt;"",M125="待确认",0)+IF(P125&lt;&gt;"",Q125="待确认",0)+IF(T125&lt;&gt;"",U125="待确认",0)+IF(X125&lt;&gt;"",Y125="待确认",0)&gt;0,"待确认","未开始")))))</f>
        <v>未开始</v>
      </c>
      <c r="H125" s="43" t="s">
        <v>98</v>
      </c>
      <c r="I125" s="44" t="n">
        <v>46354</v>
      </c>
      <c r="J125" s="44" t="n">
        <v>46430</v>
      </c>
      <c r="K125" s="44" t="n">
        <v>46430</v>
      </c>
      <c r="L125" s="45" t="s">
        <v>85</v>
      </c>
      <c r="M125" s="45" t="s">
        <v>112</v>
      </c>
      <c r="N125" s="44" t="n">
        <v>46354</v>
      </c>
      <c r="O125" s="44" t="n">
        <v>46430</v>
      </c>
      <c r="P125" s="43" t="s">
        <v>559</v>
      </c>
      <c r="Q125" s="43" t="s">
        <v>112</v>
      </c>
      <c r="R125" s="44" t="n">
        <v>46354</v>
      </c>
      <c r="S125" s="44" t="n">
        <v>46430</v>
      </c>
      <c r="T125" s="41"/>
      <c r="U125" s="43"/>
      <c r="V125" s="44"/>
      <c r="W125" s="44"/>
      <c r="X125" s="41"/>
      <c r="Y125" s="43"/>
      <c r="Z125" s="44"/>
      <c r="AA125" s="44"/>
      <c r="AB125" s="41" t="n">
        <v>0</v>
      </c>
      <c r="AC125" s="43" t="str">
        <f aca="false">IF($A125="","",IF(G125="已完成","正常",IF(G125="暂停","暂停",IF(J125="","日期缺失",IF(J125&lt;_数据接口!$B$7,"已延期",IF(J125&lt;=_数据接口!$B$7+7,"临近到期","正常"))))))</f>
        <v>正常</v>
      </c>
      <c r="AD125" s="41"/>
      <c r="AE125" s="46" t="s">
        <v>556</v>
      </c>
      <c r="AF125" s="36"/>
      <c r="AG125" s="44"/>
      <c r="AH125" s="47" t="str">
        <f aca="false">IF(OR($A125="",J125="",AG125=""),"",AG125-J125)</f>
        <v/>
      </c>
    </row>
    <row r="126" customFormat="false" ht="39.75" hidden="false" customHeight="true" outlineLevel="0" collapsed="false">
      <c r="A126" s="41" t="s">
        <v>560</v>
      </c>
      <c r="B126" s="50"/>
      <c r="C126" s="43" t="s">
        <v>480</v>
      </c>
      <c r="D126" s="43" t="s">
        <v>489</v>
      </c>
      <c r="E126" s="41" t="s">
        <v>561</v>
      </c>
      <c r="F126" s="41" t="s">
        <v>140</v>
      </c>
      <c r="G126" s="43" t="str">
        <f aca="false">IF(OR(M126="暂停",M126="挂起",Q126="暂停",Q126="挂起",U126="暂停",U126="挂起",Y126="暂停",Y126="挂起"),"暂停",IF(COUNTA(L126,P126,T126,X126)=0,"未分配",IF(IF(L126&lt;&gt;"",M126="已完成",0)+IF(P126&lt;&gt;"",Q126="已完成",0)+IF(T126&lt;&gt;"",U126="已完成",0)+IF(X126&lt;&gt;"",Y126="已完成",0)=COUNTA(L126,P126,T126,X126),"已完成",IF(IF(L126&lt;&gt;"",M126="进行中",0)+IF(P126&lt;&gt;"",Q126="进行中",0)+IF(T126&lt;&gt;"",U126="进行中",0)+IF(X126&lt;&gt;"",Y126="进行中",0)&gt;0,"进行中",IF(IF(L126&lt;&gt;"",M126="待确认",0)+IF(P126&lt;&gt;"",Q126="待确认",0)+IF(T126&lt;&gt;"",U126="待确认",0)+IF(X126&lt;&gt;"",Y126="待确认",0)&gt;0,"待确认","未开始")))))</f>
        <v>未开始</v>
      </c>
      <c r="H126" s="43" t="s">
        <v>98</v>
      </c>
      <c r="I126" s="44" t="n">
        <v>46433</v>
      </c>
      <c r="J126" s="44" t="n">
        <v>46451</v>
      </c>
      <c r="K126" s="44" t="n">
        <v>46451</v>
      </c>
      <c r="L126" s="45" t="s">
        <v>85</v>
      </c>
      <c r="M126" s="45" t="s">
        <v>112</v>
      </c>
      <c r="N126" s="44" t="n">
        <v>46433</v>
      </c>
      <c r="O126" s="44" t="n">
        <v>46451</v>
      </c>
      <c r="P126" s="43" t="s">
        <v>517</v>
      </c>
      <c r="Q126" s="43" t="s">
        <v>112</v>
      </c>
      <c r="R126" s="44" t="n">
        <v>46433</v>
      </c>
      <c r="S126" s="44" t="n">
        <v>46451</v>
      </c>
      <c r="T126" s="41"/>
      <c r="U126" s="43"/>
      <c r="V126" s="44"/>
      <c r="W126" s="44"/>
      <c r="X126" s="41"/>
      <c r="Y126" s="43"/>
      <c r="Z126" s="44"/>
      <c r="AA126" s="44"/>
      <c r="AB126" s="41" t="n">
        <v>0</v>
      </c>
      <c r="AC126" s="43" t="str">
        <f aca="false">IF($A126="","",IF(G126="已完成","正常",IF(G126="暂停","暂停",IF(J126="","日期缺失",IF(J126&lt;_数据接口!$B$7,"已延期",IF(J126&lt;=_数据接口!$B$7+7,"临近到期","正常"))))))</f>
        <v>正常</v>
      </c>
      <c r="AD126" s="41"/>
      <c r="AE126" s="46" t="s">
        <v>556</v>
      </c>
      <c r="AF126" s="36"/>
      <c r="AG126" s="44"/>
      <c r="AH126" s="47" t="str">
        <f aca="false">IF(OR($A126="",J126="",AG126=""),"",AG126-J126)</f>
        <v/>
      </c>
    </row>
    <row r="127" customFormat="false" ht="39.75" hidden="false" customHeight="true" outlineLevel="0" collapsed="false">
      <c r="A127" s="41" t="s">
        <v>562</v>
      </c>
      <c r="B127" s="50"/>
      <c r="C127" s="43" t="s">
        <v>480</v>
      </c>
      <c r="D127" s="43" t="s">
        <v>492</v>
      </c>
      <c r="E127" s="41" t="s">
        <v>563</v>
      </c>
      <c r="F127" s="41" t="s">
        <v>145</v>
      </c>
      <c r="G127" s="43" t="str">
        <f aca="false">IF(OR(M127="暂停",M127="挂起",Q127="暂停",Q127="挂起",U127="暂停",U127="挂起",Y127="暂停",Y127="挂起"),"暂停",IF(COUNTA(L127,P127,T127,X127)=0,"未分配",IF(IF(L127&lt;&gt;"",M127="已完成",0)+IF(P127&lt;&gt;"",Q127="已完成",0)+IF(T127&lt;&gt;"",U127="已完成",0)+IF(X127&lt;&gt;"",Y127="已完成",0)=COUNTA(L127,P127,T127,X127),"已完成",IF(IF(L127&lt;&gt;"",M127="进行中",0)+IF(P127&lt;&gt;"",Q127="进行中",0)+IF(T127&lt;&gt;"",U127="进行中",0)+IF(X127&lt;&gt;"",Y127="进行中",0)&gt;0,"进行中",IF(IF(L127&lt;&gt;"",M127="待确认",0)+IF(P127&lt;&gt;"",Q127="待确认",0)+IF(T127&lt;&gt;"",U127="待确认",0)+IF(X127&lt;&gt;"",Y127="待确认",0)&gt;0,"待确认","未开始")))))</f>
        <v>未开始</v>
      </c>
      <c r="H127" s="43" t="s">
        <v>536</v>
      </c>
      <c r="I127" s="44" t="n">
        <v>46452</v>
      </c>
      <c r="J127" s="44" t="n">
        <v>46492</v>
      </c>
      <c r="K127" s="44" t="n">
        <v>46492</v>
      </c>
      <c r="L127" s="45" t="s">
        <v>85</v>
      </c>
      <c r="M127" s="45" t="s">
        <v>112</v>
      </c>
      <c r="N127" s="44" t="n">
        <v>46452</v>
      </c>
      <c r="O127" s="44" t="n">
        <v>46492</v>
      </c>
      <c r="P127" s="41"/>
      <c r="Q127" s="43"/>
      <c r="R127" s="44"/>
      <c r="S127" s="44"/>
      <c r="T127" s="41"/>
      <c r="U127" s="43"/>
      <c r="V127" s="44"/>
      <c r="W127" s="44"/>
      <c r="X127" s="43" t="s">
        <v>522</v>
      </c>
      <c r="Y127" s="43" t="s">
        <v>112</v>
      </c>
      <c r="Z127" s="44" t="n">
        <v>46452</v>
      </c>
      <c r="AA127" s="44" t="n">
        <v>46492</v>
      </c>
      <c r="AB127" s="41" t="n">
        <v>0</v>
      </c>
      <c r="AC127" s="43" t="str">
        <f aca="false">IF($A127="","",IF(G127="已完成","正常",IF(G127="暂停","暂停",IF(J127="","日期缺失",IF(J127&lt;_数据接口!$B$7,"已延期",IF(J127&lt;=_数据接口!$B$7+7,"临近到期","正常"))))))</f>
        <v>正常</v>
      </c>
      <c r="AD127" s="41"/>
      <c r="AE127" s="46" t="s">
        <v>556</v>
      </c>
      <c r="AF127" s="36"/>
      <c r="AG127" s="44"/>
      <c r="AH127" s="47" t="str">
        <f aca="false">IF(OR($A127="",J127="",AG127=""),"",AG127-J127)</f>
        <v/>
      </c>
    </row>
    <row r="128" customFormat="false" ht="39.75" hidden="false" customHeight="true" outlineLevel="0" collapsed="false">
      <c r="A128" s="41" t="s">
        <v>564</v>
      </c>
      <c r="B128" s="50"/>
      <c r="C128" s="43" t="s">
        <v>480</v>
      </c>
      <c r="D128" s="43" t="s">
        <v>449</v>
      </c>
      <c r="E128" s="41" t="s">
        <v>565</v>
      </c>
      <c r="F128" s="41" t="s">
        <v>156</v>
      </c>
      <c r="G128" s="43" t="str">
        <f aca="false">IF(OR(M128="暂停",M128="挂起",Q128="暂停",Q128="挂起",U128="暂停",U128="挂起",Y128="暂停",Y128="挂起"),"暂停",IF(COUNTA(L128,P128,T128,X128)=0,"未分配",IF(IF(L128&lt;&gt;"",M128="已完成",0)+IF(P128&lt;&gt;"",Q128="已完成",0)+IF(T128&lt;&gt;"",U128="已完成",0)+IF(X128&lt;&gt;"",Y128="已完成",0)=COUNTA(L128,P128,T128,X128),"已完成",IF(IF(L128&lt;&gt;"",M128="进行中",0)+IF(P128&lt;&gt;"",Q128="进行中",0)+IF(T128&lt;&gt;"",U128="进行中",0)+IF(X128&lt;&gt;"",Y128="进行中",0)&gt;0,"进行中",IF(IF(L128&lt;&gt;"",M128="待确认",0)+IF(P128&lt;&gt;"",Q128="待确认",0)+IF(T128&lt;&gt;"",U128="待确认",0)+IF(X128&lt;&gt;"",Y128="待确认",0)&gt;0,"待确认","未开始")))))</f>
        <v>未开始</v>
      </c>
      <c r="H128" s="43" t="s">
        <v>539</v>
      </c>
      <c r="I128" s="44" t="n">
        <v>46518</v>
      </c>
      <c r="J128" s="44" t="n">
        <v>46531</v>
      </c>
      <c r="K128" s="44" t="n">
        <v>46531</v>
      </c>
      <c r="L128" s="45" t="s">
        <v>85</v>
      </c>
      <c r="M128" s="45" t="s">
        <v>112</v>
      </c>
      <c r="N128" s="44" t="n">
        <v>46518</v>
      </c>
      <c r="O128" s="44" t="n">
        <v>46531</v>
      </c>
      <c r="P128" s="41"/>
      <c r="Q128" s="43"/>
      <c r="R128" s="44"/>
      <c r="S128" s="44"/>
      <c r="T128" s="41"/>
      <c r="U128" s="43"/>
      <c r="V128" s="44"/>
      <c r="W128" s="44"/>
      <c r="X128" s="41"/>
      <c r="Y128" s="43"/>
      <c r="Z128" s="44"/>
      <c r="AA128" s="44"/>
      <c r="AB128" s="41" t="n">
        <v>0</v>
      </c>
      <c r="AC128" s="43" t="str">
        <f aca="false">IF($A128="","",IF(G128="已完成","正常",IF(G128="暂停","暂停",IF(J128="","日期缺失",IF(J128&lt;_数据接口!$B$7,"已延期",IF(J128&lt;=_数据接口!$B$7+7,"临近到期","正常"))))))</f>
        <v>正常</v>
      </c>
      <c r="AD128" s="41"/>
      <c r="AE128" s="46" t="s">
        <v>556</v>
      </c>
      <c r="AF128" s="36"/>
      <c r="AG128" s="44"/>
      <c r="AH128" s="47" t="str">
        <f aca="false">IF(OR($A128="",J128="",AG128=""),"",AG128-J128)</f>
        <v/>
      </c>
    </row>
    <row r="129" customFormat="false" ht="39.75" hidden="false" customHeight="true" outlineLevel="0" collapsed="false">
      <c r="A129" s="41" t="s">
        <v>566</v>
      </c>
      <c r="B129" s="42" t="s">
        <v>567</v>
      </c>
      <c r="C129" s="43" t="s">
        <v>480</v>
      </c>
      <c r="D129" s="43" t="s">
        <v>481</v>
      </c>
      <c r="E129" s="43" t="s">
        <v>568</v>
      </c>
      <c r="F129" s="41" t="s">
        <v>124</v>
      </c>
      <c r="G129" s="43" t="str">
        <f aca="false">IF(OR(M129="暂停",M129="挂起",Q129="暂停",Q129="挂起",U129="暂停",U129="挂起",Y129="暂停",Y129="挂起"),"暂停",IF(COUNTA(L129,P129,T129,X129)=0,"未分配",IF(IF(L129&lt;&gt;"",M129="已完成",0)+IF(P129&lt;&gt;"",Q129="已完成",0)+IF(T129&lt;&gt;"",U129="已完成",0)+IF(X129&lt;&gt;"",Y129="已完成",0)=COUNTA(L129,P129,T129,X129),"已完成",IF(IF(L129&lt;&gt;"",M129="进行中",0)+IF(P129&lt;&gt;"",Q129="进行中",0)+IF(T129&lt;&gt;"",U129="进行中",0)+IF(X129&lt;&gt;"",Y129="进行中",0)&gt;0,"进行中",IF(IF(L129&lt;&gt;"",M129="待确认",0)+IF(P129&lt;&gt;"",Q129="待确认",0)+IF(T129&lt;&gt;"",U129="待确认",0)+IF(X129&lt;&gt;"",Y129="待确认",0)&gt;0,"待确认","未开始")))))</f>
        <v>未开始</v>
      </c>
      <c r="H129" s="43" t="s">
        <v>98</v>
      </c>
      <c r="I129" s="44" t="n">
        <v>46341</v>
      </c>
      <c r="J129" s="44" t="n">
        <v>46374</v>
      </c>
      <c r="K129" s="44" t="n">
        <v>46374</v>
      </c>
      <c r="L129" s="45" t="s">
        <v>85</v>
      </c>
      <c r="M129" s="45" t="s">
        <v>112</v>
      </c>
      <c r="N129" s="44" t="n">
        <v>46341</v>
      </c>
      <c r="O129" s="44" t="n">
        <v>46374</v>
      </c>
      <c r="P129" s="41"/>
      <c r="Q129" s="43"/>
      <c r="R129" s="44"/>
      <c r="S129" s="44"/>
      <c r="T129" s="41"/>
      <c r="U129" s="43"/>
      <c r="V129" s="44"/>
      <c r="W129" s="44"/>
      <c r="X129" s="41"/>
      <c r="Y129" s="43"/>
      <c r="Z129" s="44"/>
      <c r="AA129" s="44"/>
      <c r="AB129" s="41" t="n">
        <v>0</v>
      </c>
      <c r="AC129" s="43" t="str">
        <f aca="false">IF($A129="","",IF(G129="已完成","正常",IF(G129="暂停","暂停",IF(J129="","日期缺失",IF(J129&lt;_数据接口!$B$7,"已延期",IF(J129&lt;=_数据接口!$B$7+7,"临近到期","正常"))))))</f>
        <v>正常</v>
      </c>
      <c r="AD129" s="41"/>
      <c r="AE129" s="46" t="s">
        <v>569</v>
      </c>
      <c r="AF129" s="36"/>
      <c r="AG129" s="44"/>
      <c r="AH129" s="47" t="str">
        <f aca="false">IF(OR($A129="",J129="",AG129=""),"",AG129-J129)</f>
        <v/>
      </c>
    </row>
    <row r="130" customFormat="false" ht="39.75" hidden="false" customHeight="true" outlineLevel="0" collapsed="false">
      <c r="A130" s="41" t="s">
        <v>570</v>
      </c>
      <c r="B130" s="42"/>
      <c r="C130" s="43" t="s">
        <v>480</v>
      </c>
      <c r="D130" s="43" t="s">
        <v>485</v>
      </c>
      <c r="E130" s="43" t="s">
        <v>571</v>
      </c>
      <c r="F130" s="41" t="s">
        <v>129</v>
      </c>
      <c r="G130" s="43" t="str">
        <f aca="false">IF(OR(M130="暂停",M130="挂起",Q130="暂停",Q130="挂起",U130="暂停",U130="挂起",Y130="暂停",Y130="挂起"),"暂停",IF(COUNTA(L130,P130,T130,X130)=0,"未分配",IF(IF(L130&lt;&gt;"",M130="已完成",0)+IF(P130&lt;&gt;"",Q130="已完成",0)+IF(T130&lt;&gt;"",U130="已完成",0)+IF(X130&lt;&gt;"",Y130="已完成",0)=COUNTA(L130,P130,T130,X130),"已完成",IF(IF(L130&lt;&gt;"",M130="进行中",0)+IF(P130&lt;&gt;"",Q130="进行中",0)+IF(T130&lt;&gt;"",U130="进行中",0)+IF(X130&lt;&gt;"",Y130="进行中",0)&gt;0,"进行中",IF(IF(L130&lt;&gt;"",M130="待确认",0)+IF(P130&lt;&gt;"",Q130="待确认",0)+IF(T130&lt;&gt;"",U130="待确认",0)+IF(X130&lt;&gt;"",Y130="待确认",0)&gt;0,"待确认","未开始")))))</f>
        <v>未开始</v>
      </c>
      <c r="H130" s="43" t="s">
        <v>98</v>
      </c>
      <c r="I130" s="44" t="n">
        <v>46375</v>
      </c>
      <c r="J130" s="44" t="n">
        <v>46430</v>
      </c>
      <c r="K130" s="44" t="n">
        <v>46430</v>
      </c>
      <c r="L130" s="45" t="s">
        <v>85</v>
      </c>
      <c r="M130" s="45" t="s">
        <v>112</v>
      </c>
      <c r="N130" s="44" t="n">
        <v>46375</v>
      </c>
      <c r="O130" s="44" t="n">
        <v>46430</v>
      </c>
      <c r="P130" s="43" t="s">
        <v>572</v>
      </c>
      <c r="Q130" s="43" t="s">
        <v>112</v>
      </c>
      <c r="R130" s="44" t="n">
        <v>46375</v>
      </c>
      <c r="S130" s="44" t="n">
        <v>46430</v>
      </c>
      <c r="T130" s="41"/>
      <c r="U130" s="43"/>
      <c r="V130" s="44"/>
      <c r="W130" s="44"/>
      <c r="X130" s="41"/>
      <c r="Y130" s="43"/>
      <c r="Z130" s="44"/>
      <c r="AA130" s="44"/>
      <c r="AB130" s="41" t="n">
        <v>0</v>
      </c>
      <c r="AC130" s="43" t="str">
        <f aca="false">IF($A130="","",IF(G130="已完成","正常",IF(G130="暂停","暂停",IF(J130="","日期缺失",IF(J130&lt;_数据接口!$B$7,"已延期",IF(J130&lt;=_数据接口!$B$7+7,"临近到期","正常"))))))</f>
        <v>正常</v>
      </c>
      <c r="AD130" s="41"/>
      <c r="AE130" s="46" t="s">
        <v>569</v>
      </c>
      <c r="AF130" s="36"/>
      <c r="AG130" s="44"/>
      <c r="AH130" s="47" t="str">
        <f aca="false">IF(OR($A130="",J130="",AG130=""),"",AG130-J130)</f>
        <v/>
      </c>
    </row>
    <row r="131" customFormat="false" ht="39.75" hidden="false" customHeight="true" outlineLevel="0" collapsed="false">
      <c r="A131" s="41" t="s">
        <v>573</v>
      </c>
      <c r="B131" s="42"/>
      <c r="C131" s="43" t="s">
        <v>480</v>
      </c>
      <c r="D131" s="43" t="s">
        <v>489</v>
      </c>
      <c r="E131" s="43" t="s">
        <v>574</v>
      </c>
      <c r="F131" s="41" t="s">
        <v>140</v>
      </c>
      <c r="G131" s="43" t="str">
        <f aca="false">IF(OR(M131="暂停",M131="挂起",Q131="暂停",Q131="挂起",U131="暂停",U131="挂起",Y131="暂停",Y131="挂起"),"暂停",IF(COUNTA(L131,P131,T131,X131)=0,"未分配",IF(IF(L131&lt;&gt;"",M131="已完成",0)+IF(P131&lt;&gt;"",Q131="已完成",0)+IF(T131&lt;&gt;"",U131="已完成",0)+IF(X131&lt;&gt;"",Y131="已完成",0)=COUNTA(L131,P131,T131,X131),"已完成",IF(IF(L131&lt;&gt;"",M131="进行中",0)+IF(P131&lt;&gt;"",Q131="进行中",0)+IF(T131&lt;&gt;"",U131="进行中",0)+IF(X131&lt;&gt;"",Y131="进行中",0)&gt;0,"进行中",IF(IF(L131&lt;&gt;"",M131="待确认",0)+IF(P131&lt;&gt;"",Q131="待确认",0)+IF(T131&lt;&gt;"",U131="待确认",0)+IF(X131&lt;&gt;"",Y131="待确认",0)&gt;0,"待确认","未开始")))))</f>
        <v>未开始</v>
      </c>
      <c r="H131" s="43" t="s">
        <v>98</v>
      </c>
      <c r="I131" s="44" t="n">
        <v>46433</v>
      </c>
      <c r="J131" s="44" t="n">
        <v>46451</v>
      </c>
      <c r="K131" s="44" t="n">
        <v>46451</v>
      </c>
      <c r="L131" s="45" t="s">
        <v>85</v>
      </c>
      <c r="M131" s="45" t="s">
        <v>112</v>
      </c>
      <c r="N131" s="44" t="n">
        <v>46433</v>
      </c>
      <c r="O131" s="44" t="n">
        <v>46451</v>
      </c>
      <c r="P131" s="43" t="s">
        <v>487</v>
      </c>
      <c r="Q131" s="43" t="s">
        <v>112</v>
      </c>
      <c r="R131" s="44" t="n">
        <v>46433</v>
      </c>
      <c r="S131" s="44" t="n">
        <v>46451</v>
      </c>
      <c r="T131" s="41"/>
      <c r="U131" s="43"/>
      <c r="V131" s="44"/>
      <c r="W131" s="44"/>
      <c r="X131" s="41"/>
      <c r="Y131" s="43"/>
      <c r="Z131" s="44"/>
      <c r="AA131" s="44"/>
      <c r="AB131" s="41" t="n">
        <v>0</v>
      </c>
      <c r="AC131" s="43" t="str">
        <f aca="false">IF($A131="","",IF(G131="已完成","正常",IF(G131="暂停","暂停",IF(J131="","日期缺失",IF(J131&lt;_数据接口!$B$7,"已延期",IF(J131&lt;=_数据接口!$B$7+7,"临近到期","正常"))))))</f>
        <v>正常</v>
      </c>
      <c r="AD131" s="41"/>
      <c r="AE131" s="46" t="s">
        <v>569</v>
      </c>
      <c r="AF131" s="36"/>
      <c r="AG131" s="44"/>
      <c r="AH131" s="47" t="str">
        <f aca="false">IF(OR($A131="",J131="",AG131=""),"",AG131-J131)</f>
        <v/>
      </c>
    </row>
    <row r="132" customFormat="false" ht="39.75" hidden="false" customHeight="true" outlineLevel="0" collapsed="false">
      <c r="A132" s="41" t="s">
        <v>575</v>
      </c>
      <c r="B132" s="42"/>
      <c r="C132" s="43" t="s">
        <v>480</v>
      </c>
      <c r="D132" s="43" t="s">
        <v>492</v>
      </c>
      <c r="E132" s="43" t="s">
        <v>576</v>
      </c>
      <c r="F132" s="41" t="s">
        <v>145</v>
      </c>
      <c r="G132" s="43" t="str">
        <f aca="false">IF(OR(M132="暂停",M132="挂起",Q132="暂停",Q132="挂起",U132="暂停",U132="挂起",Y132="暂停",Y132="挂起"),"暂停",IF(COUNTA(L132,P132,T132,X132)=0,"未分配",IF(IF(L132&lt;&gt;"",M132="已完成",0)+IF(P132&lt;&gt;"",Q132="已完成",0)+IF(T132&lt;&gt;"",U132="已完成",0)+IF(X132&lt;&gt;"",Y132="已完成",0)=COUNTA(L132,P132,T132,X132),"已完成",IF(IF(L132&lt;&gt;"",M132="进行中",0)+IF(P132&lt;&gt;"",Q132="进行中",0)+IF(T132&lt;&gt;"",U132="进行中",0)+IF(X132&lt;&gt;"",Y132="进行中",0)&gt;0,"进行中",IF(IF(L132&lt;&gt;"",M132="待确认",0)+IF(P132&lt;&gt;"",Q132="待确认",0)+IF(T132&lt;&gt;"",U132="待确认",0)+IF(X132&lt;&gt;"",Y132="待确认",0)&gt;0,"待确认","未开始")))))</f>
        <v>未开始</v>
      </c>
      <c r="H132" s="43" t="s">
        <v>536</v>
      </c>
      <c r="I132" s="44" t="n">
        <v>46452</v>
      </c>
      <c r="J132" s="44" t="n">
        <v>46492</v>
      </c>
      <c r="K132" s="44" t="n">
        <v>46492</v>
      </c>
      <c r="L132" s="45" t="s">
        <v>85</v>
      </c>
      <c r="M132" s="45" t="s">
        <v>112</v>
      </c>
      <c r="N132" s="44" t="n">
        <v>46452</v>
      </c>
      <c r="O132" s="44" t="n">
        <v>46492</v>
      </c>
      <c r="P132" s="41"/>
      <c r="Q132" s="43"/>
      <c r="R132" s="44"/>
      <c r="S132" s="44"/>
      <c r="T132" s="41"/>
      <c r="U132" s="43"/>
      <c r="V132" s="44"/>
      <c r="W132" s="44"/>
      <c r="X132" s="43" t="s">
        <v>494</v>
      </c>
      <c r="Y132" s="43" t="s">
        <v>112</v>
      </c>
      <c r="Z132" s="44" t="n">
        <v>46452</v>
      </c>
      <c r="AA132" s="44" t="n">
        <v>46492</v>
      </c>
      <c r="AB132" s="41" t="n">
        <v>0</v>
      </c>
      <c r="AC132" s="43" t="str">
        <f aca="false">IF($A132="","",IF(G132="已完成","正常",IF(G132="暂停","暂停",IF(J132="","日期缺失",IF(J132&lt;_数据接口!$B$7,"已延期",IF(J132&lt;=_数据接口!$B$7+7,"临近到期","正常"))))))</f>
        <v>正常</v>
      </c>
      <c r="AD132" s="41"/>
      <c r="AE132" s="46" t="s">
        <v>569</v>
      </c>
      <c r="AF132" s="36"/>
      <c r="AG132" s="44"/>
      <c r="AH132" s="47" t="str">
        <f aca="false">IF(OR($A132="",J132="",AG132=""),"",AG132-J132)</f>
        <v/>
      </c>
    </row>
    <row r="133" customFormat="false" ht="39.75" hidden="false" customHeight="true" outlineLevel="0" collapsed="false">
      <c r="A133" s="41" t="s">
        <v>577</v>
      </c>
      <c r="B133" s="42"/>
      <c r="C133" s="43" t="s">
        <v>480</v>
      </c>
      <c r="D133" s="43" t="s">
        <v>449</v>
      </c>
      <c r="E133" s="43" t="s">
        <v>578</v>
      </c>
      <c r="F133" s="41" t="s">
        <v>156</v>
      </c>
      <c r="G133" s="43" t="str">
        <f aca="false">IF(OR(M133="暂停",M133="挂起",Q133="暂停",Q133="挂起",U133="暂停",U133="挂起",Y133="暂停",Y133="挂起"),"暂停",IF(COUNTA(L133,P133,T133,X133)=0,"未分配",IF(IF(L133&lt;&gt;"",M133="已完成",0)+IF(P133&lt;&gt;"",Q133="已完成",0)+IF(T133&lt;&gt;"",U133="已完成",0)+IF(X133&lt;&gt;"",Y133="已完成",0)=COUNTA(L133,P133,T133,X133),"已完成",IF(IF(L133&lt;&gt;"",M133="进行中",0)+IF(P133&lt;&gt;"",Q133="进行中",0)+IF(T133&lt;&gt;"",U133="进行中",0)+IF(X133&lt;&gt;"",Y133="进行中",0)&gt;0,"进行中",IF(IF(L133&lt;&gt;"",M133="待确认",0)+IF(P133&lt;&gt;"",Q133="待确认",0)+IF(T133&lt;&gt;"",U133="待确认",0)+IF(X133&lt;&gt;"",Y133="待确认",0)&gt;0,"待确认","未开始")))))</f>
        <v>未开始</v>
      </c>
      <c r="H133" s="43" t="s">
        <v>539</v>
      </c>
      <c r="I133" s="44" t="n">
        <v>46518</v>
      </c>
      <c r="J133" s="44" t="n">
        <v>46531</v>
      </c>
      <c r="K133" s="44" t="n">
        <v>46531</v>
      </c>
      <c r="L133" s="45" t="s">
        <v>85</v>
      </c>
      <c r="M133" s="45" t="s">
        <v>112</v>
      </c>
      <c r="N133" s="44" t="n">
        <v>46518</v>
      </c>
      <c r="O133" s="44" t="n">
        <v>46531</v>
      </c>
      <c r="P133" s="41"/>
      <c r="Q133" s="43"/>
      <c r="R133" s="44"/>
      <c r="S133" s="44"/>
      <c r="T133" s="41"/>
      <c r="U133" s="43"/>
      <c r="V133" s="44"/>
      <c r="W133" s="44"/>
      <c r="X133" s="41"/>
      <c r="Y133" s="43"/>
      <c r="Z133" s="44"/>
      <c r="AA133" s="44"/>
      <c r="AB133" s="41" t="n">
        <v>0</v>
      </c>
      <c r="AC133" s="43" t="str">
        <f aca="false">IF($A133="","",IF(G133="已完成","正常",IF(G133="暂停","暂停",IF(J133="","日期缺失",IF(J133&lt;_数据接口!$B$7,"已延期",IF(J133&lt;=_数据接口!$B$7+7,"临近到期","正常"))))))</f>
        <v>正常</v>
      </c>
      <c r="AD133" s="41"/>
      <c r="AE133" s="46" t="s">
        <v>569</v>
      </c>
      <c r="AF133" s="36"/>
      <c r="AG133" s="44"/>
      <c r="AH133" s="47" t="str">
        <f aca="false">IF(OR($A133="",J133="",AG133=""),"",AG133-J133)</f>
        <v/>
      </c>
    </row>
    <row r="134" customFormat="false" ht="39.75" hidden="false" customHeight="true" outlineLevel="0" collapsed="false">
      <c r="A134" s="41" t="s">
        <v>579</v>
      </c>
      <c r="B134" s="50" t="s">
        <v>580</v>
      </c>
      <c r="C134" s="43" t="s">
        <v>480</v>
      </c>
      <c r="D134" s="43" t="s">
        <v>481</v>
      </c>
      <c r="E134" s="41" t="s">
        <v>581</v>
      </c>
      <c r="F134" s="41" t="s">
        <v>124</v>
      </c>
      <c r="G134" s="43" t="str">
        <f aca="false">IF(OR(M134="暂停",M134="挂起",Q134="暂停",Q134="挂起",U134="暂停",U134="挂起",Y134="暂停",Y134="挂起"),"暂停",IF(COUNTA(L134,P134,T134,X134)=0,"未分配",IF(IF(L134&lt;&gt;"",M134="已完成",0)+IF(P134&lt;&gt;"",Q134="已完成",0)+IF(T134&lt;&gt;"",U134="已完成",0)+IF(X134&lt;&gt;"",Y134="已完成",0)=COUNTA(L134,P134,T134,X134),"已完成",IF(IF(L134&lt;&gt;"",M134="进行中",0)+IF(P134&lt;&gt;"",Q134="进行中",0)+IF(T134&lt;&gt;"",U134="进行中",0)+IF(X134&lt;&gt;"",Y134="进行中",0)&gt;0,"进行中",IF(IF(L134&lt;&gt;"",M134="待确认",0)+IF(P134&lt;&gt;"",Q134="待确认",0)+IF(T134&lt;&gt;"",U134="待确认",0)+IF(X134&lt;&gt;"",Y134="待确认",0)&gt;0,"待确认","未开始")))))</f>
        <v>未开始</v>
      </c>
      <c r="H134" s="43" t="s">
        <v>98</v>
      </c>
      <c r="I134" s="44" t="n">
        <v>46341</v>
      </c>
      <c r="J134" s="44" t="n">
        <v>46353</v>
      </c>
      <c r="K134" s="44" t="n">
        <v>46353</v>
      </c>
      <c r="L134" s="45" t="s">
        <v>85</v>
      </c>
      <c r="M134" s="45" t="s">
        <v>112</v>
      </c>
      <c r="N134" s="44" t="n">
        <v>46341</v>
      </c>
      <c r="O134" s="44" t="n">
        <v>46353</v>
      </c>
      <c r="P134" s="41"/>
      <c r="Q134" s="43"/>
      <c r="R134" s="44"/>
      <c r="S134" s="44"/>
      <c r="T134" s="41"/>
      <c r="U134" s="43"/>
      <c r="V134" s="44"/>
      <c r="W134" s="44"/>
      <c r="X134" s="41"/>
      <c r="Y134" s="43"/>
      <c r="Z134" s="44"/>
      <c r="AA134" s="44"/>
      <c r="AB134" s="41" t="n">
        <v>0</v>
      </c>
      <c r="AC134" s="43" t="str">
        <f aca="false">IF($A134="","",IF(G134="已完成","正常",IF(G134="暂停","暂停",IF(J134="","日期缺失",IF(J134&lt;_数据接口!$B$7,"已延期",IF(J134&lt;=_数据接口!$B$7+7,"临近到期","正常"))))))</f>
        <v>正常</v>
      </c>
      <c r="AD134" s="41"/>
      <c r="AE134" s="46" t="s">
        <v>582</v>
      </c>
      <c r="AF134" s="36"/>
      <c r="AG134" s="44"/>
      <c r="AH134" s="47" t="str">
        <f aca="false">IF(OR($A134="",J134="",AG134=""),"",AG134-J134)</f>
        <v/>
      </c>
    </row>
    <row r="135" customFormat="false" ht="39.75" hidden="false" customHeight="true" outlineLevel="0" collapsed="false">
      <c r="A135" s="41" t="s">
        <v>583</v>
      </c>
      <c r="B135" s="50"/>
      <c r="C135" s="43" t="s">
        <v>480</v>
      </c>
      <c r="D135" s="43" t="s">
        <v>485</v>
      </c>
      <c r="E135" s="41" t="s">
        <v>584</v>
      </c>
      <c r="F135" s="41" t="s">
        <v>129</v>
      </c>
      <c r="G135" s="43" t="str">
        <f aca="false">IF(OR(M135="暂停",M135="挂起",Q135="暂停",Q135="挂起",U135="暂停",U135="挂起",Y135="暂停",Y135="挂起"),"暂停",IF(COUNTA(L135,P135,T135,X135)=0,"未分配",IF(IF(L135&lt;&gt;"",M135="已完成",0)+IF(P135&lt;&gt;"",Q135="已完成",0)+IF(T135&lt;&gt;"",U135="已完成",0)+IF(X135&lt;&gt;"",Y135="已完成",0)=COUNTA(L135,P135,T135,X135),"已完成",IF(IF(L135&lt;&gt;"",M135="进行中",0)+IF(P135&lt;&gt;"",Q135="进行中",0)+IF(T135&lt;&gt;"",U135="进行中",0)+IF(X135&lt;&gt;"",Y135="进行中",0)&gt;0,"进行中",IF(IF(L135&lt;&gt;"",M135="待确认",0)+IF(P135&lt;&gt;"",Q135="待确认",0)+IF(T135&lt;&gt;"",U135="待确认",0)+IF(X135&lt;&gt;"",Y135="待确认",0)&gt;0,"待确认","未开始")))))</f>
        <v>未开始</v>
      </c>
      <c r="H135" s="43" t="s">
        <v>98</v>
      </c>
      <c r="I135" s="44" t="n">
        <v>46354</v>
      </c>
      <c r="J135" s="44" t="n">
        <v>46430</v>
      </c>
      <c r="K135" s="44" t="n">
        <v>46430</v>
      </c>
      <c r="L135" s="45" t="s">
        <v>85</v>
      </c>
      <c r="M135" s="45" t="s">
        <v>112</v>
      </c>
      <c r="N135" s="44" t="n">
        <v>46354</v>
      </c>
      <c r="O135" s="44" t="n">
        <v>46430</v>
      </c>
      <c r="P135" s="43" t="s">
        <v>585</v>
      </c>
      <c r="Q135" s="43" t="s">
        <v>112</v>
      </c>
      <c r="R135" s="44" t="n">
        <v>46354</v>
      </c>
      <c r="S135" s="44" t="n">
        <v>46430</v>
      </c>
      <c r="T135" s="41"/>
      <c r="U135" s="43"/>
      <c r="V135" s="44"/>
      <c r="W135" s="44"/>
      <c r="X135" s="41"/>
      <c r="Y135" s="43"/>
      <c r="Z135" s="44"/>
      <c r="AA135" s="44"/>
      <c r="AB135" s="41" t="n">
        <v>0</v>
      </c>
      <c r="AC135" s="43" t="str">
        <f aca="false">IF($A135="","",IF(G135="已完成","正常",IF(G135="暂停","暂停",IF(J135="","日期缺失",IF(J135&lt;_数据接口!$B$7,"已延期",IF(J135&lt;=_数据接口!$B$7+7,"临近到期","正常"))))))</f>
        <v>正常</v>
      </c>
      <c r="AD135" s="41"/>
      <c r="AE135" s="46" t="s">
        <v>582</v>
      </c>
      <c r="AF135" s="36"/>
      <c r="AG135" s="44"/>
      <c r="AH135" s="47" t="str">
        <f aca="false">IF(OR($A135="",J135="",AG135=""),"",AG135-J135)</f>
        <v/>
      </c>
    </row>
    <row r="136" customFormat="false" ht="39.75" hidden="false" customHeight="true" outlineLevel="0" collapsed="false">
      <c r="A136" s="41" t="s">
        <v>586</v>
      </c>
      <c r="B136" s="50"/>
      <c r="C136" s="43" t="s">
        <v>480</v>
      </c>
      <c r="D136" s="43" t="s">
        <v>489</v>
      </c>
      <c r="E136" s="41" t="s">
        <v>587</v>
      </c>
      <c r="F136" s="41" t="s">
        <v>140</v>
      </c>
      <c r="G136" s="43" t="str">
        <f aca="false">IF(OR(M136="暂停",M136="挂起",Q136="暂停",Q136="挂起",U136="暂停",U136="挂起",Y136="暂停",Y136="挂起"),"暂停",IF(COUNTA(L136,P136,T136,X136)=0,"未分配",IF(IF(L136&lt;&gt;"",M136="已完成",0)+IF(P136&lt;&gt;"",Q136="已完成",0)+IF(T136&lt;&gt;"",U136="已完成",0)+IF(X136&lt;&gt;"",Y136="已完成",0)=COUNTA(L136,P136,T136,X136),"已完成",IF(IF(L136&lt;&gt;"",M136="进行中",0)+IF(P136&lt;&gt;"",Q136="进行中",0)+IF(T136&lt;&gt;"",U136="进行中",0)+IF(X136&lt;&gt;"",Y136="进行中",0)&gt;0,"进行中",IF(IF(L136&lt;&gt;"",M136="待确认",0)+IF(P136&lt;&gt;"",Q136="待确认",0)+IF(T136&lt;&gt;"",U136="待确认",0)+IF(X136&lt;&gt;"",Y136="待确认",0)&gt;0,"待确认","未开始")))))</f>
        <v>未开始</v>
      </c>
      <c r="H136" s="43" t="s">
        <v>98</v>
      </c>
      <c r="I136" s="44" t="n">
        <v>46433</v>
      </c>
      <c r="J136" s="44" t="n">
        <v>46451</v>
      </c>
      <c r="K136" s="44" t="n">
        <v>46451</v>
      </c>
      <c r="L136" s="45" t="s">
        <v>85</v>
      </c>
      <c r="M136" s="45" t="s">
        <v>112</v>
      </c>
      <c r="N136" s="44" t="n">
        <v>46433</v>
      </c>
      <c r="O136" s="44" t="n">
        <v>46451</v>
      </c>
      <c r="P136" s="43" t="s">
        <v>503</v>
      </c>
      <c r="Q136" s="43" t="s">
        <v>112</v>
      </c>
      <c r="R136" s="44" t="n">
        <v>46433</v>
      </c>
      <c r="S136" s="44" t="n">
        <v>46451</v>
      </c>
      <c r="T136" s="41"/>
      <c r="U136" s="43"/>
      <c r="V136" s="44"/>
      <c r="W136" s="44"/>
      <c r="X136" s="41"/>
      <c r="Y136" s="43"/>
      <c r="Z136" s="44"/>
      <c r="AA136" s="44"/>
      <c r="AB136" s="41" t="n">
        <v>0</v>
      </c>
      <c r="AC136" s="43" t="str">
        <f aca="false">IF($A136="","",IF(G136="已完成","正常",IF(G136="暂停","暂停",IF(J136="","日期缺失",IF(J136&lt;_数据接口!$B$7,"已延期",IF(J136&lt;=_数据接口!$B$7+7,"临近到期","正常"))))))</f>
        <v>正常</v>
      </c>
      <c r="AD136" s="41"/>
      <c r="AE136" s="46" t="s">
        <v>582</v>
      </c>
      <c r="AF136" s="36"/>
      <c r="AG136" s="44"/>
      <c r="AH136" s="47" t="str">
        <f aca="false">IF(OR($A136="",J136="",AG136=""),"",AG136-J136)</f>
        <v/>
      </c>
    </row>
    <row r="137" customFormat="false" ht="39.75" hidden="false" customHeight="true" outlineLevel="0" collapsed="false">
      <c r="A137" s="41" t="s">
        <v>588</v>
      </c>
      <c r="B137" s="50"/>
      <c r="C137" s="43" t="s">
        <v>480</v>
      </c>
      <c r="D137" s="43" t="s">
        <v>492</v>
      </c>
      <c r="E137" s="41" t="s">
        <v>589</v>
      </c>
      <c r="F137" s="41" t="s">
        <v>145</v>
      </c>
      <c r="G137" s="43" t="str">
        <f aca="false">IF(OR(M137="暂停",M137="挂起",Q137="暂停",Q137="挂起",U137="暂停",U137="挂起",Y137="暂停",Y137="挂起"),"暂停",IF(COUNTA(L137,P137,T137,X137)=0,"未分配",IF(IF(L137&lt;&gt;"",M137="已完成",0)+IF(P137&lt;&gt;"",Q137="已完成",0)+IF(T137&lt;&gt;"",U137="已完成",0)+IF(X137&lt;&gt;"",Y137="已完成",0)=COUNTA(L137,P137,T137,X137),"已完成",IF(IF(L137&lt;&gt;"",M137="进行中",0)+IF(P137&lt;&gt;"",Q137="进行中",0)+IF(T137&lt;&gt;"",U137="进行中",0)+IF(X137&lt;&gt;"",Y137="进行中",0)&gt;0,"进行中",IF(IF(L137&lt;&gt;"",M137="待确认",0)+IF(P137&lt;&gt;"",Q137="待确认",0)+IF(T137&lt;&gt;"",U137="待确认",0)+IF(X137&lt;&gt;"",Y137="待确认",0)&gt;0,"待确认","未开始")))))</f>
        <v>未开始</v>
      </c>
      <c r="H137" s="43" t="s">
        <v>536</v>
      </c>
      <c r="I137" s="44" t="n">
        <v>46452</v>
      </c>
      <c r="J137" s="44" t="n">
        <v>46492</v>
      </c>
      <c r="K137" s="44" t="n">
        <v>46492</v>
      </c>
      <c r="L137" s="45" t="s">
        <v>85</v>
      </c>
      <c r="M137" s="45" t="s">
        <v>112</v>
      </c>
      <c r="N137" s="44" t="n">
        <v>46452</v>
      </c>
      <c r="O137" s="44" t="n">
        <v>46492</v>
      </c>
      <c r="P137" s="41"/>
      <c r="Q137" s="43"/>
      <c r="R137" s="44"/>
      <c r="S137" s="44"/>
      <c r="T137" s="41"/>
      <c r="U137" s="43"/>
      <c r="V137" s="44"/>
      <c r="W137" s="44"/>
      <c r="X137" s="43" t="s">
        <v>508</v>
      </c>
      <c r="Y137" s="43" t="s">
        <v>112</v>
      </c>
      <c r="Z137" s="44" t="n">
        <v>46452</v>
      </c>
      <c r="AA137" s="44" t="n">
        <v>46492</v>
      </c>
      <c r="AB137" s="41" t="n">
        <v>0</v>
      </c>
      <c r="AC137" s="43" t="str">
        <f aca="false">IF($A137="","",IF(G137="已完成","正常",IF(G137="暂停","暂停",IF(J137="","日期缺失",IF(J137&lt;_数据接口!$B$7,"已延期",IF(J137&lt;=_数据接口!$B$7+7,"临近到期","正常"))))))</f>
        <v>正常</v>
      </c>
      <c r="AD137" s="41"/>
      <c r="AE137" s="46" t="s">
        <v>582</v>
      </c>
      <c r="AF137" s="36"/>
      <c r="AG137" s="44"/>
      <c r="AH137" s="47" t="str">
        <f aca="false">IF(OR($A137="",J137="",AG137=""),"",AG137-J137)</f>
        <v/>
      </c>
    </row>
    <row r="138" customFormat="false" ht="39.75" hidden="false" customHeight="true" outlineLevel="0" collapsed="false">
      <c r="A138" s="41" t="s">
        <v>590</v>
      </c>
      <c r="B138" s="50"/>
      <c r="C138" s="43" t="s">
        <v>480</v>
      </c>
      <c r="D138" s="43" t="s">
        <v>449</v>
      </c>
      <c r="E138" s="41" t="s">
        <v>591</v>
      </c>
      <c r="F138" s="41" t="s">
        <v>156</v>
      </c>
      <c r="G138" s="43" t="str">
        <f aca="false">IF(OR(M138="暂停",M138="挂起",Q138="暂停",Q138="挂起",U138="暂停",U138="挂起",Y138="暂停",Y138="挂起"),"暂停",IF(COUNTA(L138,P138,T138,X138)=0,"未分配",IF(IF(L138&lt;&gt;"",M138="已完成",0)+IF(P138&lt;&gt;"",Q138="已完成",0)+IF(T138&lt;&gt;"",U138="已完成",0)+IF(X138&lt;&gt;"",Y138="已完成",0)=COUNTA(L138,P138,T138,X138),"已完成",IF(IF(L138&lt;&gt;"",M138="进行中",0)+IF(P138&lt;&gt;"",Q138="进行中",0)+IF(T138&lt;&gt;"",U138="进行中",0)+IF(X138&lt;&gt;"",Y138="进行中",0)&gt;0,"进行中",IF(IF(L138&lt;&gt;"",M138="待确认",0)+IF(P138&lt;&gt;"",Q138="待确认",0)+IF(T138&lt;&gt;"",U138="待确认",0)+IF(X138&lt;&gt;"",Y138="待确认",0)&gt;0,"待确认","未开始")))))</f>
        <v>未开始</v>
      </c>
      <c r="H138" s="43" t="s">
        <v>539</v>
      </c>
      <c r="I138" s="44" t="n">
        <v>46518</v>
      </c>
      <c r="J138" s="44" t="n">
        <v>46531</v>
      </c>
      <c r="K138" s="44" t="n">
        <v>46531</v>
      </c>
      <c r="L138" s="45" t="s">
        <v>85</v>
      </c>
      <c r="M138" s="45" t="s">
        <v>112</v>
      </c>
      <c r="N138" s="44" t="n">
        <v>46518</v>
      </c>
      <c r="O138" s="44" t="n">
        <v>46531</v>
      </c>
      <c r="P138" s="41"/>
      <c r="Q138" s="43"/>
      <c r="R138" s="44"/>
      <c r="S138" s="44"/>
      <c r="T138" s="41"/>
      <c r="U138" s="43"/>
      <c r="V138" s="44"/>
      <c r="W138" s="44"/>
      <c r="X138" s="41"/>
      <c r="Y138" s="43"/>
      <c r="Z138" s="44"/>
      <c r="AA138" s="44"/>
      <c r="AB138" s="41" t="n">
        <v>0</v>
      </c>
      <c r="AC138" s="43" t="str">
        <f aca="false">IF($A138="","",IF(G138="已完成","正常",IF(G138="暂停","暂停",IF(J138="","日期缺失",IF(J138&lt;_数据接口!$B$7,"已延期",IF(J138&lt;=_数据接口!$B$7+7,"临近到期","正常"))))))</f>
        <v>正常</v>
      </c>
      <c r="AD138" s="41"/>
      <c r="AE138" s="46" t="s">
        <v>582</v>
      </c>
      <c r="AF138" s="36"/>
      <c r="AG138" s="44"/>
      <c r="AH138" s="47" t="str">
        <f aca="false">IF(OR($A138="",J138="",AG138=""),"",AG138-J138)</f>
        <v/>
      </c>
    </row>
  </sheetData>
  <mergeCells count="41">
    <mergeCell ref="A1:AE1"/>
    <mergeCell ref="A2:AE2"/>
    <mergeCell ref="B4:B16"/>
    <mergeCell ref="C4:C6"/>
    <mergeCell ref="D4:D6"/>
    <mergeCell ref="C7:C11"/>
    <mergeCell ref="D7:D11"/>
    <mergeCell ref="C12:C16"/>
    <mergeCell ref="D12:D14"/>
    <mergeCell ref="B17:B35"/>
    <mergeCell ref="C17:C21"/>
    <mergeCell ref="C22:C27"/>
    <mergeCell ref="C28:C35"/>
    <mergeCell ref="D29:D30"/>
    <mergeCell ref="D31:D32"/>
    <mergeCell ref="D33:D34"/>
    <mergeCell ref="B36:B41"/>
    <mergeCell ref="C36:C41"/>
    <mergeCell ref="D36:D37"/>
    <mergeCell ref="B42:B94"/>
    <mergeCell ref="C42:C44"/>
    <mergeCell ref="D42:D44"/>
    <mergeCell ref="C45:C50"/>
    <mergeCell ref="C51:C56"/>
    <mergeCell ref="C57:C65"/>
    <mergeCell ref="C66:C71"/>
    <mergeCell ref="D66:D69"/>
    <mergeCell ref="C72:C78"/>
    <mergeCell ref="C79:C84"/>
    <mergeCell ref="C85:C88"/>
    <mergeCell ref="C89:C94"/>
    <mergeCell ref="B95:B98"/>
    <mergeCell ref="C95:C98"/>
    <mergeCell ref="B99:B103"/>
    <mergeCell ref="B104:B108"/>
    <mergeCell ref="B109:B113"/>
    <mergeCell ref="B114:B118"/>
    <mergeCell ref="B119:B123"/>
    <mergeCell ref="B124:B128"/>
    <mergeCell ref="B129:B133"/>
    <mergeCell ref="B134:B138"/>
  </mergeCells>
  <conditionalFormatting sqref="G4:G138">
    <cfRule type="expression" priority="2" aboveAverage="0" equalAverage="0" bottom="0" percent="0" rank="0" text="" dxfId="3">
      <formula>G4="已完成"</formula>
    </cfRule>
    <cfRule type="expression" priority="3" aboveAverage="0" equalAverage="0" bottom="0" percent="0" rank="0" text="" dxfId="4">
      <formula>G4="进行中"</formula>
    </cfRule>
    <cfRule type="expression" priority="4" aboveAverage="0" equalAverage="0" bottom="0" percent="0" rank="0" text="" dxfId="5">
      <formula>G4="待确认"</formula>
    </cfRule>
    <cfRule type="expression" priority="5" aboveAverage="0" equalAverage="0" bottom="0" percent="0" rank="0" text="" dxfId="6">
      <formula>G4="暂停"</formula>
    </cfRule>
    <cfRule type="expression" priority="6" aboveAverage="0" equalAverage="0" bottom="0" percent="0" rank="0" text="" dxfId="7">
      <formula>G4="挂起"</formula>
    </cfRule>
    <cfRule type="expression" priority="7" aboveAverage="0" equalAverage="0" bottom="0" percent="0" rank="0" text="" dxfId="8">
      <formula>G4="未开始"</formula>
    </cfRule>
  </conditionalFormatting>
  <conditionalFormatting sqref="M4:M138">
    <cfRule type="expression" priority="8" aboveAverage="0" equalAverage="0" bottom="0" percent="0" rank="0" text="" dxfId="3">
      <formula>M4="已完成"</formula>
    </cfRule>
    <cfRule type="expression" priority="9" aboveAverage="0" equalAverage="0" bottom="0" percent="0" rank="0" text="" dxfId="4">
      <formula>M4="进行中"</formula>
    </cfRule>
    <cfRule type="expression" priority="10" aboveAverage="0" equalAverage="0" bottom="0" percent="0" rank="0" text="" dxfId="5">
      <formula>M4="待确认"</formula>
    </cfRule>
    <cfRule type="expression" priority="11" aboveAverage="0" equalAverage="0" bottom="0" percent="0" rank="0" text="" dxfId="6">
      <formula>M4="暂停"</formula>
    </cfRule>
    <cfRule type="expression" priority="12" aboveAverage="0" equalAverage="0" bottom="0" percent="0" rank="0" text="" dxfId="7">
      <formula>M4="挂起"</formula>
    </cfRule>
    <cfRule type="expression" priority="13" aboveAverage="0" equalAverage="0" bottom="0" percent="0" rank="0" text="" dxfId="8">
      <formula>M4="未开始"</formula>
    </cfRule>
  </conditionalFormatting>
  <conditionalFormatting sqref="Q4:Q138">
    <cfRule type="expression" priority="14" aboveAverage="0" equalAverage="0" bottom="0" percent="0" rank="0" text="" dxfId="3">
      <formula>Q4="已完成"</formula>
    </cfRule>
    <cfRule type="expression" priority="15" aboveAverage="0" equalAverage="0" bottom="0" percent="0" rank="0" text="" dxfId="4">
      <formula>Q4="进行中"</formula>
    </cfRule>
    <cfRule type="expression" priority="16" aboveAverage="0" equalAverage="0" bottom="0" percent="0" rank="0" text="" dxfId="5">
      <formula>Q4="待确认"</formula>
    </cfRule>
    <cfRule type="expression" priority="17" aboveAverage="0" equalAverage="0" bottom="0" percent="0" rank="0" text="" dxfId="6">
      <formula>Q4="暂停"</formula>
    </cfRule>
    <cfRule type="expression" priority="18" aboveAverage="0" equalAverage="0" bottom="0" percent="0" rank="0" text="" dxfId="7">
      <formula>Q4="挂起"</formula>
    </cfRule>
    <cfRule type="expression" priority="19" aboveAverage="0" equalAverage="0" bottom="0" percent="0" rank="0" text="" dxfId="8">
      <formula>Q4="未开始"</formula>
    </cfRule>
  </conditionalFormatting>
  <conditionalFormatting sqref="U4:U138">
    <cfRule type="expression" priority="20" aboveAverage="0" equalAverage="0" bottom="0" percent="0" rank="0" text="" dxfId="3">
      <formula>U4="已完成"</formula>
    </cfRule>
    <cfRule type="expression" priority="21" aboveAverage="0" equalAverage="0" bottom="0" percent="0" rank="0" text="" dxfId="4">
      <formula>U4="进行中"</formula>
    </cfRule>
    <cfRule type="expression" priority="22" aboveAverage="0" equalAverage="0" bottom="0" percent="0" rank="0" text="" dxfId="5">
      <formula>U4="待确认"</formula>
    </cfRule>
    <cfRule type="expression" priority="23" aboveAverage="0" equalAverage="0" bottom="0" percent="0" rank="0" text="" dxfId="6">
      <formula>U4="暂停"</formula>
    </cfRule>
    <cfRule type="expression" priority="24" aboveAverage="0" equalAverage="0" bottom="0" percent="0" rank="0" text="" dxfId="7">
      <formula>U4="挂起"</formula>
    </cfRule>
    <cfRule type="expression" priority="25" aboveAverage="0" equalAverage="0" bottom="0" percent="0" rank="0" text="" dxfId="8">
      <formula>U4="未开始"</formula>
    </cfRule>
  </conditionalFormatting>
  <conditionalFormatting sqref="Y4:Y138">
    <cfRule type="expression" priority="26" aboveAverage="0" equalAverage="0" bottom="0" percent="0" rank="0" text="" dxfId="3">
      <formula>Y4="已完成"</formula>
    </cfRule>
    <cfRule type="expression" priority="27" aboveAverage="0" equalAverage="0" bottom="0" percent="0" rank="0" text="" dxfId="4">
      <formula>Y4="进行中"</formula>
    </cfRule>
    <cfRule type="expression" priority="28" aboveAverage="0" equalAverage="0" bottom="0" percent="0" rank="0" text="" dxfId="5">
      <formula>Y4="待确认"</formula>
    </cfRule>
    <cfRule type="expression" priority="29" aboveAverage="0" equalAverage="0" bottom="0" percent="0" rank="0" text="" dxfId="6">
      <formula>Y4="暂停"</formula>
    </cfRule>
    <cfRule type="expression" priority="30" aboveAverage="0" equalAverage="0" bottom="0" percent="0" rank="0" text="" dxfId="7">
      <formula>Y4="挂起"</formula>
    </cfRule>
    <cfRule type="expression" priority="31" aboveAverage="0" equalAverage="0" bottom="0" percent="0" rank="0" text="" dxfId="8">
      <formula>Y4="未开始"</formula>
    </cfRule>
  </conditionalFormatting>
  <conditionalFormatting sqref="AC4:AC138">
    <cfRule type="expression" priority="32" aboveAverage="0" equalAverage="0" bottom="0" percent="0" rank="0" text="" dxfId="0">
      <formula>$AC4="已延期"</formula>
    </cfRule>
    <cfRule type="expression" priority="33" aboveAverage="0" equalAverage="0" bottom="0" percent="0" rank="0" text="" dxfId="9">
      <formula>$AC4="正常"</formula>
    </cfRule>
  </conditionalFormatting>
  <dataValidations count="2">
    <dataValidation allowBlank="false" errorStyle="stop" operator="between" showDropDown="false" showErrorMessage="false" showInputMessage="false" sqref="M4:M98 Q4:Q98 U4:U98 Y4:Y98" type="list">
      <formula1>"未开始,进行中,已完成,暂停"</formula1>
      <formula2>0</formula2>
    </dataValidation>
    <dataValidation allowBlank="true" error="请选择列表中的 ISO 周（如 2026-W40），或留空" errorStyle="stop" errorTitle="迭代周格式" operator="between" showDropDown="false" showErrorMessage="false" showInputMessage="false" sqref="AF4:AF138" type="list">
      <formula1>迭代周列表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AH1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3" topLeftCell="AB133" activePane="bottomRight" state="frozen"/>
      <selection pane="topLeft" activeCell="A1" activeCellId="0" sqref="A1"/>
      <selection pane="topRight" activeCell="AB1" activeCellId="0" sqref="AB1"/>
      <selection pane="bottomLeft" activeCell="A133" activeCellId="0" sqref="A133"/>
      <selection pane="bottomRight" activeCell="A4" activeCellId="0" sqref="A4"/>
    </sheetView>
  </sheetViews>
  <sheetFormatPr defaultColWidth="7.265625" defaultRowHeight="15" customHeight="false" zeroHeight="false" outlineLevelRow="0" outlineLevelCol="1"/>
  <cols>
    <col collapsed="false" customWidth="true" hidden="false" outlineLevel="0" max="1" min="1" style="1" width="9.47"/>
    <col collapsed="false" customWidth="true" hidden="false" outlineLevel="0" max="2" min="2" style="1" width="18.93"/>
    <col collapsed="false" customWidth="true" hidden="false" outlineLevel="0" max="3" min="3" style="1" width="15.49"/>
    <col collapsed="false" customWidth="true" hidden="false" outlineLevel="0" max="4" min="4" style="1" width="12.05"/>
    <col collapsed="false" customWidth="true" hidden="false" outlineLevel="0" max="5" min="5" style="1" width="34.42"/>
    <col collapsed="false" customWidth="true" hidden="false" outlineLevel="0" max="6" min="6" style="1" width="9.47"/>
    <col collapsed="false" customWidth="true" hidden="false" outlineLevel="0" max="7" min="7" style="1" width="11.18"/>
    <col collapsed="false" customWidth="true" hidden="false" outlineLevel="0" max="8" min="8" style="1" width="12.05"/>
    <col collapsed="false" customWidth="true" hidden="false" outlineLevel="0" max="11" min="9" style="1" width="10.33"/>
    <col collapsed="false" customWidth="true" hidden="false" outlineLevel="0" max="12" min="12" style="1" width="12.05"/>
    <col collapsed="false" customWidth="true" hidden="false" outlineLevel="0" max="13" min="13" style="1" width="9.47"/>
    <col collapsed="false" customWidth="true" hidden="false" outlineLevel="1" max="15" min="14" style="1" width="10.33"/>
    <col collapsed="false" customWidth="true" hidden="false" outlineLevel="0" max="16" min="16" style="1" width="12.05"/>
    <col collapsed="false" customWidth="true" hidden="false" outlineLevel="0" max="17" min="17" style="1" width="9.47"/>
    <col collapsed="false" customWidth="true" hidden="false" outlineLevel="1" max="19" min="18" style="1" width="10.33"/>
    <col collapsed="false" customWidth="true" hidden="false" outlineLevel="0" max="20" min="20" style="1" width="12.05"/>
    <col collapsed="false" customWidth="true" hidden="false" outlineLevel="0" max="21" min="21" style="1" width="9.47"/>
    <col collapsed="false" customWidth="true" hidden="false" outlineLevel="1" max="23" min="22" style="1" width="10.33"/>
    <col collapsed="false" customWidth="true" hidden="false" outlineLevel="0" max="24" min="24" style="1" width="12.05"/>
    <col collapsed="false" customWidth="true" hidden="false" outlineLevel="0" max="25" min="25" style="1" width="9.47"/>
    <col collapsed="false" customWidth="true" hidden="false" outlineLevel="1" max="27" min="26" style="1" width="10.33"/>
    <col collapsed="false" customWidth="true" hidden="false" outlineLevel="0" max="28" min="28" style="1" width="9.47"/>
    <col collapsed="false" customWidth="true" hidden="false" outlineLevel="0" max="29" min="29" style="1" width="10.33"/>
    <col collapsed="false" customWidth="true" hidden="false" outlineLevel="0" max="30" min="30" style="1" width="24.09"/>
    <col collapsed="false" customWidth="true" hidden="false" outlineLevel="0" max="31" min="31" style="1" width="25.82"/>
    <col collapsed="false" customWidth="true" hidden="false" outlineLevel="0" max="32" min="32" style="1" width="10.33"/>
    <col collapsed="false" customWidth="true" hidden="false" outlineLevel="0" max="33" min="33" style="1" width="13"/>
    <col collapsed="false" customWidth="true" hidden="false" outlineLevel="0" max="34" min="34" style="1" width="11"/>
  </cols>
  <sheetData>
    <row r="1" customFormat="false" ht="20.25" hidden="false" customHeight="true" outlineLevel="0" collapsed="false">
      <c r="A1" s="51" t="s">
        <v>592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</row>
    <row r="2" customFormat="false" ht="16.5" hidden="false" customHeight="true" outlineLevel="0" collapsed="false">
      <c r="A2" s="52" t="s">
        <v>593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</row>
    <row r="3" customFormat="false" ht="16.5" hidden="false" customHeight="true" outlineLevel="0" collapsed="false">
      <c r="A3" s="53" t="s">
        <v>169</v>
      </c>
      <c r="B3" s="53" t="s">
        <v>170</v>
      </c>
      <c r="C3" s="53" t="s">
        <v>171</v>
      </c>
      <c r="D3" s="53" t="s">
        <v>172</v>
      </c>
      <c r="E3" s="53" t="s">
        <v>173</v>
      </c>
      <c r="F3" s="53" t="s">
        <v>174</v>
      </c>
      <c r="G3" s="53" t="s">
        <v>175</v>
      </c>
      <c r="H3" s="53" t="s">
        <v>176</v>
      </c>
      <c r="I3" s="53" t="s">
        <v>177</v>
      </c>
      <c r="J3" s="53" t="s">
        <v>178</v>
      </c>
      <c r="K3" s="53" t="s">
        <v>179</v>
      </c>
      <c r="L3" s="53" t="s">
        <v>180</v>
      </c>
      <c r="M3" s="53" t="s">
        <v>181</v>
      </c>
      <c r="N3" s="53" t="s">
        <v>182</v>
      </c>
      <c r="O3" s="53" t="s">
        <v>183</v>
      </c>
      <c r="P3" s="53" t="s">
        <v>184</v>
      </c>
      <c r="Q3" s="53" t="s">
        <v>185</v>
      </c>
      <c r="R3" s="53" t="s">
        <v>186</v>
      </c>
      <c r="S3" s="53" t="s">
        <v>187</v>
      </c>
      <c r="T3" s="53" t="s">
        <v>188</v>
      </c>
      <c r="U3" s="53" t="s">
        <v>189</v>
      </c>
      <c r="V3" s="53" t="s">
        <v>190</v>
      </c>
      <c r="W3" s="53" t="s">
        <v>191</v>
      </c>
      <c r="X3" s="53" t="s">
        <v>192</v>
      </c>
      <c r="Y3" s="53" t="s">
        <v>193</v>
      </c>
      <c r="Z3" s="53" t="s">
        <v>194</v>
      </c>
      <c r="AA3" s="53" t="s">
        <v>195</v>
      </c>
      <c r="AB3" s="53" t="s">
        <v>196</v>
      </c>
      <c r="AC3" s="53" t="s">
        <v>197</v>
      </c>
      <c r="AD3" s="53" t="s">
        <v>198</v>
      </c>
      <c r="AE3" s="53" t="s">
        <v>199</v>
      </c>
      <c r="AF3" s="53" t="s">
        <v>200</v>
      </c>
      <c r="AG3" s="53" t="s">
        <v>50</v>
      </c>
      <c r="AH3" s="53" t="s">
        <v>52</v>
      </c>
    </row>
    <row r="4" customFormat="false" ht="16.5" hidden="false" customHeight="true" outlineLevel="0" collapsed="false">
      <c r="A4" s="54" t="str">
        <f aca="false">IF(项目总控台账!A4="","",项目总控台账!A4)</f>
        <v>T001</v>
      </c>
      <c r="B4" s="54" t="str">
        <f aca="false">项目总控台账!B4</f>
        <v>可研与原业务梳理</v>
      </c>
      <c r="C4" s="54" t="str">
        <f aca="false">项目总控台账!C4</f>
        <v>可研工作启动</v>
      </c>
      <c r="D4" s="54" t="str">
        <f aca="false">项目总控台账!D4</f>
        <v>可研启动</v>
      </c>
      <c r="E4" s="54" t="str">
        <f aca="false">IF(项目总控台账!E4="","",项目总控台账!E4)</f>
        <v>明确可研目标、范围与边界</v>
      </c>
      <c r="F4" s="54" t="str">
        <f aca="false">IF(项目总控台账!F4="","",项目总控台账!F4)</f>
        <v>MS001</v>
      </c>
      <c r="G4" s="55" t="str">
        <f aca="false">IF(项目总控台账!G4="","",项目总控台账!G4)</f>
        <v>已完成</v>
      </c>
      <c r="H4" s="54" t="str">
        <f aca="false">IF(项目总控台账!H4="","",项目总控台账!H4)</f>
        <v>项目经理</v>
      </c>
      <c r="I4" s="56" t="n">
        <f aca="false">IF(项目总控台账!I4="","",项目总控台账!I4)</f>
        <v>46054</v>
      </c>
      <c r="J4" s="56" t="n">
        <f aca="false">IF(项目总控台账!J4="","",项目总控台账!J4)</f>
        <v>46056</v>
      </c>
      <c r="K4" s="56" t="n">
        <f aca="false">IF(项目总控台账!K4="","",项目总控台账!K4)</f>
        <v>46063</v>
      </c>
      <c r="L4" s="54" t="str">
        <f aca="false">IF(项目总控台账!L4="","",项目总控台账!L4)</f>
        <v>项目经理</v>
      </c>
      <c r="M4" s="55" t="str">
        <f aca="false">IF(项目总控台账!M4="","",项目总控台账!M4)</f>
        <v>已完成</v>
      </c>
      <c r="N4" s="56" t="n">
        <f aca="false">IF(项目总控台账!N4="","",项目总控台账!N4)</f>
        <v>46054</v>
      </c>
      <c r="O4" s="56" t="n">
        <f aca="false">IF(项目总控台账!O4="","",项目总控台账!O4)</f>
        <v>46056</v>
      </c>
      <c r="P4" s="54" t="str">
        <f aca="false">IF(项目总控台账!P4="","",项目总控台账!P4)</f>
        <v/>
      </c>
      <c r="Q4" s="55" t="str">
        <f aca="false">IF(项目总控台账!Q4="","",项目总控台账!Q4)</f>
        <v/>
      </c>
      <c r="R4" s="56" t="str">
        <f aca="false">IF(项目总控台账!R4="","",项目总控台账!R4)</f>
        <v/>
      </c>
      <c r="S4" s="56" t="str">
        <f aca="false">IF(项目总控台账!S4="","",项目总控台账!S4)</f>
        <v/>
      </c>
      <c r="T4" s="54" t="str">
        <f aca="false">IF(项目总控台账!T4="","",项目总控台账!T4)</f>
        <v/>
      </c>
      <c r="U4" s="55" t="str">
        <f aca="false">IF(项目总控台账!U4="","",项目总控台账!U4)</f>
        <v/>
      </c>
      <c r="V4" s="56" t="str">
        <f aca="false">IF(项目总控台账!V4="","",项目总控台账!V4)</f>
        <v/>
      </c>
      <c r="W4" s="56" t="str">
        <f aca="false">IF(项目总控台账!W4="","",项目总控台账!W4)</f>
        <v/>
      </c>
      <c r="X4" s="54" t="str">
        <f aca="false">IF(项目总控台账!X4="","",项目总控台账!X4)</f>
        <v/>
      </c>
      <c r="Y4" s="55" t="str">
        <f aca="false">IF(项目总控台账!Y4="","",项目总控台账!Y4)</f>
        <v/>
      </c>
      <c r="Z4" s="56" t="str">
        <f aca="false">IF(项目总控台账!Z4="","",项目总控台账!Z4)</f>
        <v/>
      </c>
      <c r="AA4" s="56" t="str">
        <f aca="false">IF(项目总控台账!AA4="","",项目总控台账!AA4)</f>
        <v/>
      </c>
      <c r="AB4" s="57" t="n">
        <f aca="false">IF(项目总控台账!AB4="","",项目总控台账!AB4)</f>
        <v>1</v>
      </c>
      <c r="AC4" s="55" t="str">
        <f aca="false">IF(项目总控台账!AC4="","",项目总控台账!AC4)</f>
        <v>正常</v>
      </c>
      <c r="AD4" s="54" t="str">
        <f aca="false">IF(项目总控台账!AD4="","",项目总控台账!AD4)</f>
        <v/>
      </c>
      <c r="AE4" s="54" t="str">
        <f aca="false">IF(项目总控台账!AE4="","",项目总控台账!AE4)</f>
        <v/>
      </c>
      <c r="AF4" s="54" t="str">
        <f aca="false">IF(项目总控台账!AF4="","",项目总控台账!AF4)</f>
        <v/>
      </c>
      <c r="AG4" s="56" t="str">
        <f aca="false">IF(项目总控台账!AG4="","",项目总控台账!AG4)</f>
        <v/>
      </c>
      <c r="AH4" s="58" t="str">
        <f aca="false">IF(项目总控台账!AH4="","",项目总控台账!AH4)</f>
        <v/>
      </c>
    </row>
    <row r="5" customFormat="false" ht="16.5" hidden="false" customHeight="true" outlineLevel="0" collapsed="false">
      <c r="A5" s="59" t="str">
        <f aca="false">IF(项目总控台账!A5="","",项目总控台账!A5)</f>
        <v>T002</v>
      </c>
      <c r="B5" s="59" t="str">
        <f aca="false">项目总控台账!B4</f>
        <v>可研与原业务梳理</v>
      </c>
      <c r="C5" s="59" t="str">
        <f aca="false">项目总控台账!C4</f>
        <v>可研工作启动</v>
      </c>
      <c r="D5" s="59" t="str">
        <f aca="false">项目总控台账!D4</f>
        <v>可研启动</v>
      </c>
      <c r="E5" s="59" t="str">
        <f aca="false">IF(项目总控台账!E5="","",项目总控台账!E5)</f>
        <v>建立相关方清单与访谈计划</v>
      </c>
      <c r="F5" s="59" t="str">
        <f aca="false">IF(项目总控台账!F5="","",项目总控台账!F5)</f>
        <v>MS001</v>
      </c>
      <c r="G5" s="60" t="str">
        <f aca="false">IF(项目总控台账!G5="","",项目总控台账!G5)</f>
        <v>已完成</v>
      </c>
      <c r="H5" s="59" t="str">
        <f aca="false">IF(项目总控台账!H5="","",项目总控台账!H5)</f>
        <v>产品经理</v>
      </c>
      <c r="I5" s="61" t="n">
        <f aca="false">IF(项目总控台账!I5="","",项目总控台账!I5)</f>
        <v>46057</v>
      </c>
      <c r="J5" s="61" t="n">
        <f aca="false">IF(项目总控台账!J5="","",项目总控台账!J5)</f>
        <v>46059</v>
      </c>
      <c r="K5" s="61" t="n">
        <f aca="false">IF(项目总控台账!K5="","",项目总控台账!K5)</f>
        <v>46063</v>
      </c>
      <c r="L5" s="59" t="str">
        <f aca="false">IF(项目总控台账!L5="","",项目总控台账!L5)</f>
        <v>产品经理</v>
      </c>
      <c r="M5" s="60" t="str">
        <f aca="false">IF(项目总控台账!M5="","",项目总控台账!M5)</f>
        <v>已完成</v>
      </c>
      <c r="N5" s="61" t="n">
        <f aca="false">IF(项目总控台账!N5="","",项目总控台账!N5)</f>
        <v>46057</v>
      </c>
      <c r="O5" s="61" t="n">
        <f aca="false">IF(项目总控台账!O5="","",项目总控台账!O5)</f>
        <v>46059</v>
      </c>
      <c r="P5" s="59" t="str">
        <f aca="false">IF(项目总控台账!P5="","",项目总控台账!P5)</f>
        <v/>
      </c>
      <c r="Q5" s="60" t="str">
        <f aca="false">IF(项目总控台账!Q5="","",项目总控台账!Q5)</f>
        <v/>
      </c>
      <c r="R5" s="61" t="str">
        <f aca="false">IF(项目总控台账!R5="","",项目总控台账!R5)</f>
        <v/>
      </c>
      <c r="S5" s="61" t="str">
        <f aca="false">IF(项目总控台账!S5="","",项目总控台账!S5)</f>
        <v/>
      </c>
      <c r="T5" s="59" t="str">
        <f aca="false">IF(项目总控台账!T5="","",项目总控台账!T5)</f>
        <v/>
      </c>
      <c r="U5" s="60" t="str">
        <f aca="false">IF(项目总控台账!U5="","",项目总控台账!U5)</f>
        <v/>
      </c>
      <c r="V5" s="61" t="str">
        <f aca="false">IF(项目总控台账!V5="","",项目总控台账!V5)</f>
        <v/>
      </c>
      <c r="W5" s="61" t="str">
        <f aca="false">IF(项目总控台账!W5="","",项目总控台账!W5)</f>
        <v/>
      </c>
      <c r="X5" s="59" t="str">
        <f aca="false">IF(项目总控台账!X5="","",项目总控台账!X5)</f>
        <v/>
      </c>
      <c r="Y5" s="60" t="str">
        <f aca="false">IF(项目总控台账!Y5="","",项目总控台账!Y5)</f>
        <v/>
      </c>
      <c r="Z5" s="61" t="str">
        <f aca="false">IF(项目总控台账!Z5="","",项目总控台账!Z5)</f>
        <v/>
      </c>
      <c r="AA5" s="61" t="str">
        <f aca="false">IF(项目总控台账!AA5="","",项目总控台账!AA5)</f>
        <v/>
      </c>
      <c r="AB5" s="62" t="n">
        <f aca="false">IF(项目总控台账!AB5="","",项目总控台账!AB5)</f>
        <v>1</v>
      </c>
      <c r="AC5" s="60" t="str">
        <f aca="false">IF(项目总控台账!AC5="","",项目总控台账!AC5)</f>
        <v>正常</v>
      </c>
      <c r="AD5" s="59" t="str">
        <f aca="false">IF(项目总控台账!AD5="","",项目总控台账!AD5)</f>
        <v/>
      </c>
      <c r="AE5" s="59" t="str">
        <f aca="false">IF(项目总控台账!AE5="","",项目总控台账!AE5)</f>
        <v/>
      </c>
      <c r="AF5" s="59" t="str">
        <f aca="false">IF(项目总控台账!AF5="","",项目总控台账!AF5)</f>
        <v/>
      </c>
      <c r="AG5" s="61" t="str">
        <f aca="false">IF(项目总控台账!AG5="","",项目总控台账!AG5)</f>
        <v/>
      </c>
      <c r="AH5" s="63" t="str">
        <f aca="false">IF(项目总控台账!AH5="","",项目总控台账!AH5)</f>
        <v/>
      </c>
    </row>
    <row r="6" customFormat="false" ht="16.5" hidden="false" customHeight="true" outlineLevel="0" collapsed="false">
      <c r="A6" s="59" t="str">
        <f aca="false">IF(项目总控台账!A6="","",项目总控台账!A6)</f>
        <v>T003</v>
      </c>
      <c r="B6" s="59" t="str">
        <f aca="false">项目总控台账!B4</f>
        <v>可研与原业务梳理</v>
      </c>
      <c r="C6" s="59" t="str">
        <f aca="false">项目总控台账!C4</f>
        <v>可研工作启动</v>
      </c>
      <c r="D6" s="59" t="str">
        <f aca="false">项目总控台账!D4</f>
        <v>可研启动</v>
      </c>
      <c r="E6" s="59" t="str">
        <f aca="false">IF(项目总控台账!E6="","",项目总控台账!E6)</f>
        <v>评审并发布可研工作方案</v>
      </c>
      <c r="F6" s="59" t="str">
        <f aca="false">IF(项目总控台账!F6="","",项目总控台账!F6)</f>
        <v>MS001</v>
      </c>
      <c r="G6" s="60" t="str">
        <f aca="false">IF(项目总控台账!G6="","",项目总控台账!G6)</f>
        <v>已完成</v>
      </c>
      <c r="H6" s="59" t="str">
        <f aca="false">IF(项目总控台账!H6="","",项目总控台账!H6)</f>
        <v>项目集经理</v>
      </c>
      <c r="I6" s="61" t="n">
        <f aca="false">IF(项目总控台账!I6="","",项目总控台账!I6)</f>
        <v>46060</v>
      </c>
      <c r="J6" s="61" t="n">
        <f aca="false">IF(项目总控台账!J6="","",项目总控台账!J6)</f>
        <v>46063</v>
      </c>
      <c r="K6" s="61" t="n">
        <f aca="false">IF(项目总控台账!K6="","",项目总控台账!K6)</f>
        <v>46063</v>
      </c>
      <c r="L6" s="59" t="str">
        <f aca="false">IF(项目总控台账!L6="","",项目总控台账!L6)</f>
        <v>项目集经理</v>
      </c>
      <c r="M6" s="60" t="str">
        <f aca="false">IF(项目总控台账!M6="","",项目总控台账!M6)</f>
        <v>已完成</v>
      </c>
      <c r="N6" s="61" t="n">
        <f aca="false">IF(项目总控台账!N6="","",项目总控台账!N6)</f>
        <v>46060</v>
      </c>
      <c r="O6" s="61" t="n">
        <f aca="false">IF(项目总控台账!O6="","",项目总控台账!O6)</f>
        <v>46063</v>
      </c>
      <c r="P6" s="59" t="str">
        <f aca="false">IF(项目总控台账!P6="","",项目总控台账!P6)</f>
        <v/>
      </c>
      <c r="Q6" s="60" t="str">
        <f aca="false">IF(项目总控台账!Q6="","",项目总控台账!Q6)</f>
        <v/>
      </c>
      <c r="R6" s="61" t="str">
        <f aca="false">IF(项目总控台账!R6="","",项目总控台账!R6)</f>
        <v/>
      </c>
      <c r="S6" s="61" t="str">
        <f aca="false">IF(项目总控台账!S6="","",项目总控台账!S6)</f>
        <v/>
      </c>
      <c r="T6" s="59" t="str">
        <f aca="false">IF(项目总控台账!T6="","",项目总控台账!T6)</f>
        <v/>
      </c>
      <c r="U6" s="60" t="str">
        <f aca="false">IF(项目总控台账!U6="","",项目总控台账!U6)</f>
        <v/>
      </c>
      <c r="V6" s="61" t="str">
        <f aca="false">IF(项目总控台账!V6="","",项目总控台账!V6)</f>
        <v/>
      </c>
      <c r="W6" s="61" t="str">
        <f aca="false">IF(项目总控台账!W6="","",项目总控台账!W6)</f>
        <v/>
      </c>
      <c r="X6" s="59" t="str">
        <f aca="false">IF(项目总控台账!X6="","",项目总控台账!X6)</f>
        <v/>
      </c>
      <c r="Y6" s="60" t="str">
        <f aca="false">IF(项目总控台账!Y6="","",项目总控台账!Y6)</f>
        <v/>
      </c>
      <c r="Z6" s="61" t="str">
        <f aca="false">IF(项目总控台账!Z6="","",项目总控台账!Z6)</f>
        <v/>
      </c>
      <c r="AA6" s="61" t="str">
        <f aca="false">IF(项目总控台账!AA6="","",项目总控台账!AA6)</f>
        <v/>
      </c>
      <c r="AB6" s="62" t="n">
        <f aca="false">IF(项目总控台账!AB6="","",项目总控台账!AB6)</f>
        <v>1</v>
      </c>
      <c r="AC6" s="60" t="str">
        <f aca="false">IF(项目总控台账!AC6="","",项目总控台账!AC6)</f>
        <v>正常</v>
      </c>
      <c r="AD6" s="59" t="str">
        <f aca="false">IF(项目总控台账!AD6="","",项目总控台账!AD6)</f>
        <v/>
      </c>
      <c r="AE6" s="59" t="str">
        <f aca="false">IF(项目总控台账!AE6="","",项目总控台账!AE6)</f>
        <v/>
      </c>
      <c r="AF6" s="59" t="str">
        <f aca="false">IF(项目总控台账!AF6="","",项目总控台账!AF6)</f>
        <v/>
      </c>
      <c r="AG6" s="61" t="str">
        <f aca="false">IF(项目总控台账!AG6="","",项目总控台账!AG6)</f>
        <v/>
      </c>
      <c r="AH6" s="63" t="str">
        <f aca="false">IF(项目总控台账!AH6="","",项目总控台账!AH6)</f>
        <v/>
      </c>
    </row>
    <row r="7" customFormat="false" ht="16.5" hidden="false" customHeight="true" outlineLevel="0" collapsed="false">
      <c r="A7" s="59" t="str">
        <f aca="false">IF(项目总控台账!A7="","",项目总控台账!A7)</f>
        <v>T004</v>
      </c>
      <c r="B7" s="59" t="str">
        <f aca="false">项目总控台账!B4</f>
        <v>可研与原业务梳理</v>
      </c>
      <c r="C7" s="59" t="str">
        <f aca="false">项目总控台账!C7</f>
        <v>可行性研究完成</v>
      </c>
      <c r="D7" s="59" t="str">
        <f aca="false">项目总控台账!D7</f>
        <v>可行性研究</v>
      </c>
      <c r="E7" s="59" t="str">
        <f aca="false">IF(项目总控台账!E7="","",项目总控台账!E7)</f>
        <v>完成业务可行性与需求价值分析</v>
      </c>
      <c r="F7" s="59" t="str">
        <f aca="false">IF(项目总控台账!F7="","",项目总控台账!F7)</f>
        <v>MS002</v>
      </c>
      <c r="G7" s="60" t="str">
        <f aca="false">IF(项目总控台账!G7="","",项目总控台账!G7)</f>
        <v>已完成</v>
      </c>
      <c r="H7" s="59" t="str">
        <f aca="false">IF(项目总控台账!H7="","",项目总控台账!H7)</f>
        <v>产品经理</v>
      </c>
      <c r="I7" s="61" t="n">
        <f aca="false">IF(项目总控台账!I7="","",项目总控台账!I7)</f>
        <v>46054</v>
      </c>
      <c r="J7" s="61" t="n">
        <f aca="false">IF(项目总控台账!J7="","",项目总控台账!J7)</f>
        <v>46099</v>
      </c>
      <c r="K7" s="61" t="n">
        <f aca="false">IF(项目总控台账!K7="","",项目总控台账!K7)</f>
        <v>46283</v>
      </c>
      <c r="L7" s="59" t="str">
        <f aca="false">IF(项目总控台账!L7="","",项目总控台账!L7)</f>
        <v>产品经理</v>
      </c>
      <c r="M7" s="60" t="str">
        <f aca="false">IF(项目总控台账!M7="","",项目总控台账!M7)</f>
        <v>已完成</v>
      </c>
      <c r="N7" s="61" t="n">
        <f aca="false">IF(项目总控台账!N7="","",项目总控台账!N7)</f>
        <v>46054</v>
      </c>
      <c r="O7" s="61" t="n">
        <f aca="false">IF(项目总控台账!O7="","",项目总控台账!O7)</f>
        <v>46099</v>
      </c>
      <c r="P7" s="59" t="str">
        <f aca="false">IF(项目总控台账!P7="","",项目总控台账!P7)</f>
        <v/>
      </c>
      <c r="Q7" s="60" t="str">
        <f aca="false">IF(项目总控台账!Q7="","",项目总控台账!Q7)</f>
        <v/>
      </c>
      <c r="R7" s="61" t="str">
        <f aca="false">IF(项目总控台账!R7="","",项目总控台账!R7)</f>
        <v/>
      </c>
      <c r="S7" s="61" t="str">
        <f aca="false">IF(项目总控台账!S7="","",项目总控台账!S7)</f>
        <v/>
      </c>
      <c r="T7" s="59" t="str">
        <f aca="false">IF(项目总控台账!T7="","",项目总控台账!T7)</f>
        <v/>
      </c>
      <c r="U7" s="60" t="str">
        <f aca="false">IF(项目总控台账!U7="","",项目总控台账!U7)</f>
        <v/>
      </c>
      <c r="V7" s="61" t="str">
        <f aca="false">IF(项目总控台账!V7="","",项目总控台账!V7)</f>
        <v/>
      </c>
      <c r="W7" s="61" t="str">
        <f aca="false">IF(项目总控台账!W7="","",项目总控台账!W7)</f>
        <v/>
      </c>
      <c r="X7" s="59" t="str">
        <f aca="false">IF(项目总控台账!X7="","",项目总控台账!X7)</f>
        <v/>
      </c>
      <c r="Y7" s="60" t="str">
        <f aca="false">IF(项目总控台账!Y7="","",项目总控台账!Y7)</f>
        <v/>
      </c>
      <c r="Z7" s="61" t="str">
        <f aca="false">IF(项目总控台账!Z7="","",项目总控台账!Z7)</f>
        <v/>
      </c>
      <c r="AA7" s="61" t="str">
        <f aca="false">IF(项目总控台账!AA7="","",项目总控台账!AA7)</f>
        <v/>
      </c>
      <c r="AB7" s="62" t="n">
        <f aca="false">IF(项目总控台账!AB7="","",项目总控台账!AB7)</f>
        <v>1</v>
      </c>
      <c r="AC7" s="60" t="str">
        <f aca="false">IF(项目总控台账!AC7="","",项目总控台账!AC7)</f>
        <v>正常</v>
      </c>
      <c r="AD7" s="59" t="str">
        <f aca="false">IF(项目总控台账!AD7="","",项目总控台账!AD7)</f>
        <v/>
      </c>
      <c r="AE7" s="59" t="str">
        <f aca="false">IF(项目总控台账!AE7="","",项目总控台账!AE7)</f>
        <v/>
      </c>
      <c r="AF7" s="59" t="str">
        <f aca="false">IF(项目总控台账!AF7="","",项目总控台账!AF7)</f>
        <v/>
      </c>
      <c r="AG7" s="61" t="str">
        <f aca="false">IF(项目总控台账!AG7="","",项目总控台账!AG7)</f>
        <v/>
      </c>
      <c r="AH7" s="63" t="str">
        <f aca="false">IF(项目总控台账!AH7="","",项目总控台账!AH7)</f>
        <v/>
      </c>
    </row>
    <row r="8" customFormat="false" ht="16.5" hidden="false" customHeight="true" outlineLevel="0" collapsed="false">
      <c r="A8" s="59" t="str">
        <f aca="false">IF(项目总控台账!A8="","",项目总控台账!A8)</f>
        <v>T005</v>
      </c>
      <c r="B8" s="59" t="str">
        <f aca="false">项目总控台账!B4</f>
        <v>可研与原业务梳理</v>
      </c>
      <c r="C8" s="59" t="str">
        <f aca="false">项目总控台账!C7</f>
        <v>可行性研究完成</v>
      </c>
      <c r="D8" s="59" t="str">
        <f aca="false">项目总控台账!D7</f>
        <v>可行性研究</v>
      </c>
      <c r="E8" s="59" t="str">
        <f aca="false">IF(项目总控台账!E8="","",项目总控台账!E8)</f>
        <v>完成技术路线与系统边界论证</v>
      </c>
      <c r="F8" s="59" t="str">
        <f aca="false">IF(项目总控台账!F8="","",项目总控台账!F8)</f>
        <v>MS002</v>
      </c>
      <c r="G8" s="60" t="str">
        <f aca="false">IF(项目总控台账!G8="","",项目总控台账!G8)</f>
        <v>已完成</v>
      </c>
      <c r="H8" s="59" t="str">
        <f aca="false">IF(项目总控台账!H8="","",项目总控台账!H8)</f>
        <v>技术经理</v>
      </c>
      <c r="I8" s="61" t="n">
        <f aca="false">IF(项目总控台账!I8="","",项目总控台账!I8)</f>
        <v>46100</v>
      </c>
      <c r="J8" s="61" t="n">
        <f aca="false">IF(项目总控台账!J8="","",项目总控台账!J8)</f>
        <v>46145</v>
      </c>
      <c r="K8" s="61" t="n">
        <f aca="false">IF(项目总控台账!K8="","",项目总控台账!K8)</f>
        <v>46283</v>
      </c>
      <c r="L8" s="59" t="str">
        <f aca="false">IF(项目总控台账!L8="","",项目总控台账!L8)</f>
        <v/>
      </c>
      <c r="M8" s="60" t="str">
        <f aca="false">IF(项目总控台账!M8="","",项目总控台账!M8)</f>
        <v>已完成</v>
      </c>
      <c r="N8" s="61" t="str">
        <f aca="false">IF(项目总控台账!N8="","",项目总控台账!N8)</f>
        <v/>
      </c>
      <c r="O8" s="61" t="str">
        <f aca="false">IF(项目总控台账!O8="","",项目总控台账!O8)</f>
        <v/>
      </c>
      <c r="P8" s="59" t="str">
        <f aca="false">IF(项目总控台账!P8="","",项目总控台账!P8)</f>
        <v>技术经理</v>
      </c>
      <c r="Q8" s="60" t="str">
        <f aca="false">IF(项目总控台账!Q8="","",项目总控台账!Q8)</f>
        <v>已完成</v>
      </c>
      <c r="R8" s="61" t="n">
        <f aca="false">IF(项目总控台账!R8="","",项目总控台账!R8)</f>
        <v>46100</v>
      </c>
      <c r="S8" s="61" t="n">
        <f aca="false">IF(项目总控台账!S8="","",项目总控台账!S8)</f>
        <v>46145</v>
      </c>
      <c r="T8" s="59" t="str">
        <f aca="false">IF(项目总控台账!T8="","",项目总控台账!T8)</f>
        <v/>
      </c>
      <c r="U8" s="60" t="str">
        <f aca="false">IF(项目总控台账!U8="","",项目总控台账!U8)</f>
        <v/>
      </c>
      <c r="V8" s="61" t="str">
        <f aca="false">IF(项目总控台账!V8="","",项目总控台账!V8)</f>
        <v/>
      </c>
      <c r="W8" s="61" t="str">
        <f aca="false">IF(项目总控台账!W8="","",项目总控台账!W8)</f>
        <v/>
      </c>
      <c r="X8" s="59" t="str">
        <f aca="false">IF(项目总控台账!X8="","",项目总控台账!X8)</f>
        <v/>
      </c>
      <c r="Y8" s="60" t="str">
        <f aca="false">IF(项目总控台账!Y8="","",项目总控台账!Y8)</f>
        <v/>
      </c>
      <c r="Z8" s="61" t="str">
        <f aca="false">IF(项目总控台账!Z8="","",项目总控台账!Z8)</f>
        <v/>
      </c>
      <c r="AA8" s="61" t="str">
        <f aca="false">IF(项目总控台账!AA8="","",项目总控台账!AA8)</f>
        <v/>
      </c>
      <c r="AB8" s="62" t="n">
        <f aca="false">IF(项目总控台账!AB8="","",项目总控台账!AB8)</f>
        <v>1</v>
      </c>
      <c r="AC8" s="60" t="str">
        <f aca="false">IF(项目总控台账!AC8="","",项目总控台账!AC8)</f>
        <v>正常</v>
      </c>
      <c r="AD8" s="59" t="str">
        <f aca="false">IF(项目总控台账!AD8="","",项目总控台账!AD8)</f>
        <v/>
      </c>
      <c r="AE8" s="59" t="str">
        <f aca="false">IF(项目总控台账!AE8="","",项目总控台账!AE8)</f>
        <v/>
      </c>
      <c r="AF8" s="59" t="str">
        <f aca="false">IF(项目总控台账!AF8="","",项目总控台账!AF8)</f>
        <v/>
      </c>
      <c r="AG8" s="61" t="str">
        <f aca="false">IF(项目总控台账!AG8="","",项目总控台账!AG8)</f>
        <v/>
      </c>
      <c r="AH8" s="63" t="str">
        <f aca="false">IF(项目总控台账!AH8="","",项目总控台账!AH8)</f>
        <v/>
      </c>
    </row>
    <row r="9" customFormat="false" ht="16.5" hidden="false" customHeight="true" outlineLevel="0" collapsed="false">
      <c r="A9" s="59" t="str">
        <f aca="false">IF(项目总控台账!A9="","",项目总控台账!A9)</f>
        <v>T006</v>
      </c>
      <c r="B9" s="59" t="str">
        <f aca="false">项目总控台账!B4</f>
        <v>可研与原业务梳理</v>
      </c>
      <c r="C9" s="59" t="str">
        <f aca="false">项目总控台账!C7</f>
        <v>可行性研究完成</v>
      </c>
      <c r="D9" s="59" t="str">
        <f aca="false">项目总控台账!D7</f>
        <v>可行性研究</v>
      </c>
      <c r="E9" s="59" t="str">
        <f aca="false">IF(项目总控台账!E9="","",项目总控台账!E9)</f>
        <v>测算投资、成本与预期收益</v>
      </c>
      <c r="F9" s="59" t="str">
        <f aca="false">IF(项目总控台账!F9="","",项目总控台账!F9)</f>
        <v>MS002</v>
      </c>
      <c r="G9" s="60" t="str">
        <f aca="false">IF(项目总控台账!G9="","",项目总控台账!G9)</f>
        <v>已完成</v>
      </c>
      <c r="H9" s="59" t="str">
        <f aca="false">IF(项目总控台账!H9="","",项目总控台账!H9)</f>
        <v>项目经理</v>
      </c>
      <c r="I9" s="61" t="n">
        <f aca="false">IF(项目总控台账!I9="","",项目总控台账!I9)</f>
        <v>46146</v>
      </c>
      <c r="J9" s="61" t="n">
        <f aca="false">IF(项目总控台账!J9="","",项目总控台账!J9)</f>
        <v>46191</v>
      </c>
      <c r="K9" s="61" t="n">
        <f aca="false">IF(项目总控台账!K9="","",项目总控台账!K9)</f>
        <v>46283</v>
      </c>
      <c r="L9" s="59" t="str">
        <f aca="false">IF(项目总控台账!L9="","",项目总控台账!L9)</f>
        <v>项目经理</v>
      </c>
      <c r="M9" s="60" t="str">
        <f aca="false">IF(项目总控台账!M9="","",项目总控台账!M9)</f>
        <v>已完成</v>
      </c>
      <c r="N9" s="61" t="n">
        <f aca="false">IF(项目总控台账!N9="","",项目总控台账!N9)</f>
        <v>46146</v>
      </c>
      <c r="O9" s="61" t="n">
        <f aca="false">IF(项目总控台账!O9="","",项目总控台账!O9)</f>
        <v>46191</v>
      </c>
      <c r="P9" s="59" t="str">
        <f aca="false">IF(项目总控台账!P9="","",项目总控台账!P9)</f>
        <v/>
      </c>
      <c r="Q9" s="60" t="str">
        <f aca="false">IF(项目总控台账!Q9="","",项目总控台账!Q9)</f>
        <v/>
      </c>
      <c r="R9" s="61" t="str">
        <f aca="false">IF(项目总控台账!R9="","",项目总控台账!R9)</f>
        <v/>
      </c>
      <c r="S9" s="61" t="str">
        <f aca="false">IF(项目总控台账!S9="","",项目总控台账!S9)</f>
        <v/>
      </c>
      <c r="T9" s="59" t="str">
        <f aca="false">IF(项目总控台账!T9="","",项目总控台账!T9)</f>
        <v/>
      </c>
      <c r="U9" s="60" t="str">
        <f aca="false">IF(项目总控台账!U9="","",项目总控台账!U9)</f>
        <v/>
      </c>
      <c r="V9" s="61" t="str">
        <f aca="false">IF(项目总控台账!V9="","",项目总控台账!V9)</f>
        <v/>
      </c>
      <c r="W9" s="61" t="str">
        <f aca="false">IF(项目总控台账!W9="","",项目总控台账!W9)</f>
        <v/>
      </c>
      <c r="X9" s="59" t="str">
        <f aca="false">IF(项目总控台账!X9="","",项目总控台账!X9)</f>
        <v/>
      </c>
      <c r="Y9" s="60" t="str">
        <f aca="false">IF(项目总控台账!Y9="","",项目总控台账!Y9)</f>
        <v/>
      </c>
      <c r="Z9" s="61" t="str">
        <f aca="false">IF(项目总控台账!Z9="","",项目总控台账!Z9)</f>
        <v/>
      </c>
      <c r="AA9" s="61" t="str">
        <f aca="false">IF(项目总控台账!AA9="","",项目总控台账!AA9)</f>
        <v/>
      </c>
      <c r="AB9" s="62" t="n">
        <f aca="false">IF(项目总控台账!AB9="","",项目总控台账!AB9)</f>
        <v>1</v>
      </c>
      <c r="AC9" s="60" t="str">
        <f aca="false">IF(项目总控台账!AC9="","",项目总控台账!AC9)</f>
        <v>正常</v>
      </c>
      <c r="AD9" s="59" t="str">
        <f aca="false">IF(项目总控台账!AD9="","",项目总控台账!AD9)</f>
        <v/>
      </c>
      <c r="AE9" s="59" t="str">
        <f aca="false">IF(项目总控台账!AE9="","",项目总控台账!AE9)</f>
        <v/>
      </c>
      <c r="AF9" s="59" t="str">
        <f aca="false">IF(项目总控台账!AF9="","",项目总控台账!AF9)</f>
        <v/>
      </c>
      <c r="AG9" s="61" t="str">
        <f aca="false">IF(项目总控台账!AG9="","",项目总控台账!AG9)</f>
        <v/>
      </c>
      <c r="AH9" s="63" t="str">
        <f aca="false">IF(项目总控台账!AH9="","",项目总控台账!AH9)</f>
        <v/>
      </c>
    </row>
    <row r="10" customFormat="false" ht="16.5" hidden="false" customHeight="true" outlineLevel="0" collapsed="false">
      <c r="A10" s="59" t="str">
        <f aca="false">IF(项目总控台账!A10="","",项目总控台账!A10)</f>
        <v>T007</v>
      </c>
      <c r="B10" s="59" t="str">
        <f aca="false">项目总控台账!B4</f>
        <v>可研与原业务梳理</v>
      </c>
      <c r="C10" s="59" t="str">
        <f aca="false">项目总控台账!C7</f>
        <v>可行性研究完成</v>
      </c>
      <c r="D10" s="59" t="str">
        <f aca="false">项目总控台账!D7</f>
        <v>可行性研究</v>
      </c>
      <c r="E10" s="59" t="str">
        <f aca="false">IF(项目总控台账!E10="","",项目总控台账!E10)</f>
        <v>形成实施路径、资源与风险建议</v>
      </c>
      <c r="F10" s="59" t="str">
        <f aca="false">IF(项目总控台账!F10="","",项目总控台账!F10)</f>
        <v>MS002</v>
      </c>
      <c r="G10" s="60" t="str">
        <f aca="false">IF(项目总控台账!G10="","",项目总控台账!G10)</f>
        <v>已完成</v>
      </c>
      <c r="H10" s="59" t="str">
        <f aca="false">IF(项目总控台账!H10="","",项目总控台账!H10)</f>
        <v>项目经理</v>
      </c>
      <c r="I10" s="61" t="n">
        <f aca="false">IF(项目总控台账!I10="","",项目总控台账!I10)</f>
        <v>46192</v>
      </c>
      <c r="J10" s="61" t="n">
        <f aca="false">IF(项目总控台账!J10="","",项目总控台账!J10)</f>
        <v>46237</v>
      </c>
      <c r="K10" s="61" t="n">
        <f aca="false">IF(项目总控台账!K10="","",项目总控台账!K10)</f>
        <v>46283</v>
      </c>
      <c r="L10" s="59" t="str">
        <f aca="false">IF(项目总控台账!L10="","",项目总控台账!L10)</f>
        <v>项目经理</v>
      </c>
      <c r="M10" s="60" t="str">
        <f aca="false">IF(项目总控台账!M10="","",项目总控台账!M10)</f>
        <v>已完成</v>
      </c>
      <c r="N10" s="61" t="n">
        <f aca="false">IF(项目总控台账!N10="","",项目总控台账!N10)</f>
        <v>46192</v>
      </c>
      <c r="O10" s="61" t="n">
        <f aca="false">IF(项目总控台账!O10="","",项目总控台账!O10)</f>
        <v>46237</v>
      </c>
      <c r="P10" s="59" t="str">
        <f aca="false">IF(项目总控台账!P10="","",项目总控台账!P10)</f>
        <v/>
      </c>
      <c r="Q10" s="60" t="str">
        <f aca="false">IF(项目总控台账!Q10="","",项目总控台账!Q10)</f>
        <v/>
      </c>
      <c r="R10" s="61" t="str">
        <f aca="false">IF(项目总控台账!R10="","",项目总控台账!R10)</f>
        <v/>
      </c>
      <c r="S10" s="61" t="str">
        <f aca="false">IF(项目总控台账!S10="","",项目总控台账!S10)</f>
        <v/>
      </c>
      <c r="T10" s="59" t="str">
        <f aca="false">IF(项目总控台账!T10="","",项目总控台账!T10)</f>
        <v/>
      </c>
      <c r="U10" s="60" t="str">
        <f aca="false">IF(项目总控台账!U10="","",项目总控台账!U10)</f>
        <v/>
      </c>
      <c r="V10" s="61" t="str">
        <f aca="false">IF(项目总控台账!V10="","",项目总控台账!V10)</f>
        <v/>
      </c>
      <c r="W10" s="61" t="str">
        <f aca="false">IF(项目总控台账!W10="","",项目总控台账!W10)</f>
        <v/>
      </c>
      <c r="X10" s="59" t="str">
        <f aca="false">IF(项目总控台账!X10="","",项目总控台账!X10)</f>
        <v/>
      </c>
      <c r="Y10" s="60" t="str">
        <f aca="false">IF(项目总控台账!Y10="","",项目总控台账!Y10)</f>
        <v/>
      </c>
      <c r="Z10" s="61" t="str">
        <f aca="false">IF(项目总控台账!Z10="","",项目总控台账!Z10)</f>
        <v/>
      </c>
      <c r="AA10" s="61" t="str">
        <f aca="false">IF(项目总控台账!AA10="","",项目总控台账!AA10)</f>
        <v/>
      </c>
      <c r="AB10" s="62" t="n">
        <f aca="false">IF(项目总控台账!AB10="","",项目总控台账!AB10)</f>
        <v>1</v>
      </c>
      <c r="AC10" s="60" t="str">
        <f aca="false">IF(项目总控台账!AC10="","",项目总控台账!AC10)</f>
        <v>正常</v>
      </c>
      <c r="AD10" s="59" t="str">
        <f aca="false">IF(项目总控台账!AD10="","",项目总控台账!AD10)</f>
        <v/>
      </c>
      <c r="AE10" s="59" t="str">
        <f aca="false">IF(项目总控台账!AE10="","",项目总控台账!AE10)</f>
        <v/>
      </c>
      <c r="AF10" s="59" t="str">
        <f aca="false">IF(项目总控台账!AF10="","",项目总控台账!AF10)</f>
        <v/>
      </c>
      <c r="AG10" s="61" t="str">
        <f aca="false">IF(项目总控台账!AG10="","",项目总控台账!AG10)</f>
        <v/>
      </c>
      <c r="AH10" s="63" t="str">
        <f aca="false">IF(项目总控台账!AH10="","",项目总控台账!AH10)</f>
        <v/>
      </c>
    </row>
    <row r="11" customFormat="false" ht="16.5" hidden="false" customHeight="true" outlineLevel="0" collapsed="false">
      <c r="A11" s="59" t="str">
        <f aca="false">IF(项目总控台账!A11="","",项目总控台账!A11)</f>
        <v>T008</v>
      </c>
      <c r="B11" s="59" t="str">
        <f aca="false">项目总控台账!B4</f>
        <v>可研与原业务梳理</v>
      </c>
      <c r="C11" s="59" t="str">
        <f aca="false">项目总控台账!C7</f>
        <v>可行性研究完成</v>
      </c>
      <c r="D11" s="59" t="str">
        <f aca="false">项目总控台账!D7</f>
        <v>可行性研究</v>
      </c>
      <c r="E11" s="59" t="str">
        <f aca="false">IF(项目总控台账!E11="","",项目总控台账!E11)</f>
        <v>汇编可研报告并组织评审</v>
      </c>
      <c r="F11" s="59" t="str">
        <f aca="false">IF(项目总控台账!F11="","",项目总控台账!F11)</f>
        <v>MS002</v>
      </c>
      <c r="G11" s="60" t="str">
        <f aca="false">IF(项目总控台账!G11="","",项目总控台账!G11)</f>
        <v>已完成</v>
      </c>
      <c r="H11" s="59" t="str">
        <f aca="false">IF(项目总控台账!H11="","",项目总控台账!H11)</f>
        <v>项目经理</v>
      </c>
      <c r="I11" s="61" t="n">
        <f aca="false">IF(项目总控台账!I11="","",项目总控台账!I11)</f>
        <v>46238</v>
      </c>
      <c r="J11" s="61" t="n">
        <f aca="false">IF(项目总控台账!J11="","",项目总控台账!J11)</f>
        <v>46283</v>
      </c>
      <c r="K11" s="61" t="n">
        <f aca="false">IF(项目总控台账!K11="","",项目总控台账!K11)</f>
        <v>46283</v>
      </c>
      <c r="L11" s="59" t="str">
        <f aca="false">IF(项目总控台账!L11="","",项目总控台账!L11)</f>
        <v>项目经理</v>
      </c>
      <c r="M11" s="60" t="str">
        <f aca="false">IF(项目总控台账!M11="","",项目总控台账!M11)</f>
        <v>已完成</v>
      </c>
      <c r="N11" s="61" t="n">
        <f aca="false">IF(项目总控台账!N11="","",项目总控台账!N11)</f>
        <v>46238</v>
      </c>
      <c r="O11" s="61" t="n">
        <f aca="false">IF(项目总控台账!O11="","",项目总控台账!O11)</f>
        <v>46283</v>
      </c>
      <c r="P11" s="59" t="str">
        <f aca="false">IF(项目总控台账!P11="","",项目总控台账!P11)</f>
        <v/>
      </c>
      <c r="Q11" s="60" t="str">
        <f aca="false">IF(项目总控台账!Q11="","",项目总控台账!Q11)</f>
        <v/>
      </c>
      <c r="R11" s="61" t="str">
        <f aca="false">IF(项目总控台账!R11="","",项目总控台账!R11)</f>
        <v/>
      </c>
      <c r="S11" s="61" t="str">
        <f aca="false">IF(项目总控台账!S11="","",项目总控台账!S11)</f>
        <v/>
      </c>
      <c r="T11" s="59" t="str">
        <f aca="false">IF(项目总控台账!T11="","",项目总控台账!T11)</f>
        <v/>
      </c>
      <c r="U11" s="60" t="str">
        <f aca="false">IF(项目总控台账!U11="","",项目总控台账!U11)</f>
        <v/>
      </c>
      <c r="V11" s="61" t="str">
        <f aca="false">IF(项目总控台账!V11="","",项目总控台账!V11)</f>
        <v/>
      </c>
      <c r="W11" s="61" t="str">
        <f aca="false">IF(项目总控台账!W11="","",项目总控台账!W11)</f>
        <v/>
      </c>
      <c r="X11" s="59" t="str">
        <f aca="false">IF(项目总控台账!X11="","",项目总控台账!X11)</f>
        <v/>
      </c>
      <c r="Y11" s="60" t="str">
        <f aca="false">IF(项目总控台账!Y11="","",项目总控台账!Y11)</f>
        <v/>
      </c>
      <c r="Z11" s="61" t="str">
        <f aca="false">IF(项目总控台账!Z11="","",项目总控台账!Z11)</f>
        <v/>
      </c>
      <c r="AA11" s="61" t="str">
        <f aca="false">IF(项目总控台账!AA11="","",项目总控台账!AA11)</f>
        <v/>
      </c>
      <c r="AB11" s="62" t="n">
        <f aca="false">IF(项目总控台账!AB11="","",项目总控台账!AB11)</f>
        <v>1</v>
      </c>
      <c r="AC11" s="60" t="str">
        <f aca="false">IF(项目总控台账!AC11="","",项目总控台账!AC11)</f>
        <v>正常</v>
      </c>
      <c r="AD11" s="59" t="str">
        <f aca="false">IF(项目总控台账!AD11="","",项目总控台账!AD11)</f>
        <v/>
      </c>
      <c r="AE11" s="59" t="str">
        <f aca="false">IF(项目总控台账!AE11="","",项目总控台账!AE11)</f>
        <v/>
      </c>
      <c r="AF11" s="59" t="str">
        <f aca="false">IF(项目总控台账!AF11="","",项目总控台账!AF11)</f>
        <v>2026-W40</v>
      </c>
      <c r="AG11" s="61" t="str">
        <f aca="false">IF(项目总控台账!AG11="","",项目总控台账!AG11)</f>
        <v/>
      </c>
      <c r="AH11" s="63" t="str">
        <f aca="false">IF(项目总控台账!AH11="","",项目总控台账!AH11)</f>
        <v/>
      </c>
    </row>
    <row r="12" customFormat="false" ht="16.5" hidden="false" customHeight="true" outlineLevel="0" collapsed="false">
      <c r="A12" s="59" t="str">
        <f aca="false">IF(项目总控台账!A12="","",项目总控台账!A12)</f>
        <v>T009</v>
      </c>
      <c r="B12" s="59" t="str">
        <f aca="false">项目总控台账!B4</f>
        <v>可研与原业务梳理</v>
      </c>
      <c r="C12" s="59" t="str">
        <f aca="false">项目总控台账!C12</f>
        <v>原业务梳理完成</v>
      </c>
      <c r="D12" s="59" t="str">
        <f aca="false">项目总控台账!D12</f>
        <v>现状调研</v>
      </c>
      <c r="E12" s="59" t="str">
        <f aca="false">IF(项目总控台账!E12="","",项目总控台账!E12)</f>
        <v>梳理合同业务组织与职责</v>
      </c>
      <c r="F12" s="59" t="str">
        <f aca="false">IF(项目总控台账!F12="","",项目总控台账!F12)</f>
        <v>MS003</v>
      </c>
      <c r="G12" s="60" t="str">
        <f aca="false">IF(项目总控台账!G12="","",项目总控台账!G12)</f>
        <v>已完成</v>
      </c>
      <c r="H12" s="59" t="str">
        <f aca="false">IF(项目总控台账!H12="","",项目总控台账!H12)</f>
        <v>产品经理</v>
      </c>
      <c r="I12" s="61" t="n">
        <f aca="false">IF(项目总控台账!I12="","",项目总控台账!I12)</f>
        <v>46064</v>
      </c>
      <c r="J12" s="61" t="n">
        <f aca="false">IF(项目总控台账!J12="","",项目总控台账!J12)</f>
        <v>46091</v>
      </c>
      <c r="K12" s="61" t="n">
        <f aca="false">IF(项目总控台账!K12="","",项目总控台账!K12)</f>
        <v>46203</v>
      </c>
      <c r="L12" s="59" t="str">
        <f aca="false">IF(项目总控台账!L12="","",项目总控台账!L12)</f>
        <v>产品经理</v>
      </c>
      <c r="M12" s="60" t="str">
        <f aca="false">IF(项目总控台账!M12="","",项目总控台账!M12)</f>
        <v>已完成</v>
      </c>
      <c r="N12" s="61" t="n">
        <f aca="false">IF(项目总控台账!N12="","",项目总控台账!N12)</f>
        <v>46064</v>
      </c>
      <c r="O12" s="61" t="n">
        <f aca="false">IF(项目总控台账!O12="","",项目总控台账!O12)</f>
        <v>46091</v>
      </c>
      <c r="P12" s="59" t="str">
        <f aca="false">IF(项目总控台账!P12="","",项目总控台账!P12)</f>
        <v/>
      </c>
      <c r="Q12" s="60" t="str">
        <f aca="false">IF(项目总控台账!Q12="","",项目总控台账!Q12)</f>
        <v/>
      </c>
      <c r="R12" s="61" t="str">
        <f aca="false">IF(项目总控台账!R12="","",项目总控台账!R12)</f>
        <v/>
      </c>
      <c r="S12" s="61" t="str">
        <f aca="false">IF(项目总控台账!S12="","",项目总控台账!S12)</f>
        <v/>
      </c>
      <c r="T12" s="59" t="str">
        <f aca="false">IF(项目总控台账!T12="","",项目总控台账!T12)</f>
        <v/>
      </c>
      <c r="U12" s="60" t="str">
        <f aca="false">IF(项目总控台账!U12="","",项目总控台账!U12)</f>
        <v/>
      </c>
      <c r="V12" s="61" t="str">
        <f aca="false">IF(项目总控台账!V12="","",项目总控台账!V12)</f>
        <v/>
      </c>
      <c r="W12" s="61" t="str">
        <f aca="false">IF(项目总控台账!W12="","",项目总控台账!W12)</f>
        <v/>
      </c>
      <c r="X12" s="59" t="str">
        <f aca="false">IF(项目总控台账!X12="","",项目总控台账!X12)</f>
        <v/>
      </c>
      <c r="Y12" s="60" t="str">
        <f aca="false">IF(项目总控台账!Y12="","",项目总控台账!Y12)</f>
        <v/>
      </c>
      <c r="Z12" s="61" t="str">
        <f aca="false">IF(项目总控台账!Z12="","",项目总控台账!Z12)</f>
        <v/>
      </c>
      <c r="AA12" s="61" t="str">
        <f aca="false">IF(项目总控台账!AA12="","",项目总控台账!AA12)</f>
        <v/>
      </c>
      <c r="AB12" s="62" t="n">
        <f aca="false">IF(项目总控台账!AB12="","",项目总控台账!AB12)</f>
        <v>1</v>
      </c>
      <c r="AC12" s="60" t="str">
        <f aca="false">IF(项目总控台账!AC12="","",项目总控台账!AC12)</f>
        <v>正常</v>
      </c>
      <c r="AD12" s="59" t="str">
        <f aca="false">IF(项目总控台账!AD12="","",项目总控台账!AD12)</f>
        <v/>
      </c>
      <c r="AE12" s="59" t="str">
        <f aca="false">IF(项目总控台账!AE12="","",项目总控台账!AE12)</f>
        <v/>
      </c>
      <c r="AF12" s="59" t="str">
        <f aca="false">IF(项目总控台账!AF12="","",项目总控台账!AF12)</f>
        <v/>
      </c>
      <c r="AG12" s="61" t="str">
        <f aca="false">IF(项目总控台账!AG12="","",项目总控台账!AG12)</f>
        <v/>
      </c>
      <c r="AH12" s="63" t="str">
        <f aca="false">IF(项目总控台账!AH12="","",项目总控台账!AH12)</f>
        <v/>
      </c>
    </row>
    <row r="13" customFormat="false" ht="16.5" hidden="false" customHeight="true" outlineLevel="0" collapsed="false">
      <c r="A13" s="59" t="str">
        <f aca="false">IF(项目总控台账!A13="","",项目总控台账!A13)</f>
        <v>T010</v>
      </c>
      <c r="B13" s="59" t="str">
        <f aca="false">项目总控台账!B4</f>
        <v>可研与原业务梳理</v>
      </c>
      <c r="C13" s="59" t="str">
        <f aca="false">项目总控台账!C12</f>
        <v>原业务梳理完成</v>
      </c>
      <c r="D13" s="59" t="str">
        <f aca="false">项目总控台账!D12</f>
        <v>现状调研</v>
      </c>
      <c r="E13" s="59" t="str">
        <f aca="false">IF(项目总控台账!E13="","",项目总控台账!E13)</f>
        <v>盘点合同全生命周期业务流程</v>
      </c>
      <c r="F13" s="59" t="str">
        <f aca="false">IF(项目总控台账!F13="","",项目总控台账!F13)</f>
        <v>MS003</v>
      </c>
      <c r="G13" s="60" t="str">
        <f aca="false">IF(项目总控台账!G13="","",项目总控台账!G13)</f>
        <v>已完成</v>
      </c>
      <c r="H13" s="59" t="str">
        <f aca="false">IF(项目总控台账!H13="","",项目总控台账!H13)</f>
        <v>产品经理</v>
      </c>
      <c r="I13" s="61" t="n">
        <f aca="false">IF(项目总控台账!I13="","",项目总控台账!I13)</f>
        <v>46092</v>
      </c>
      <c r="J13" s="61" t="n">
        <f aca="false">IF(项目总控台账!J13="","",项目总控台账!J13)</f>
        <v>46119</v>
      </c>
      <c r="K13" s="61" t="n">
        <f aca="false">IF(项目总控台账!K13="","",项目总控台账!K13)</f>
        <v>46203</v>
      </c>
      <c r="L13" s="59" t="str">
        <f aca="false">IF(项目总控台账!L13="","",项目总控台账!L13)</f>
        <v>产品经理</v>
      </c>
      <c r="M13" s="60" t="str">
        <f aca="false">IF(项目总控台账!M13="","",项目总控台账!M13)</f>
        <v>已完成</v>
      </c>
      <c r="N13" s="61" t="n">
        <f aca="false">IF(项目总控台账!N13="","",项目总控台账!N13)</f>
        <v>46092</v>
      </c>
      <c r="O13" s="61" t="n">
        <f aca="false">IF(项目总控台账!O13="","",项目总控台账!O13)</f>
        <v>46119</v>
      </c>
      <c r="P13" s="59" t="str">
        <f aca="false">IF(项目总控台账!P13="","",项目总控台账!P13)</f>
        <v/>
      </c>
      <c r="Q13" s="60" t="str">
        <f aca="false">IF(项目总控台账!Q13="","",项目总控台账!Q13)</f>
        <v/>
      </c>
      <c r="R13" s="61" t="str">
        <f aca="false">IF(项目总控台账!R13="","",项目总控台账!R13)</f>
        <v/>
      </c>
      <c r="S13" s="61" t="str">
        <f aca="false">IF(项目总控台账!S13="","",项目总控台账!S13)</f>
        <v/>
      </c>
      <c r="T13" s="59" t="str">
        <f aca="false">IF(项目总控台账!T13="","",项目总控台账!T13)</f>
        <v/>
      </c>
      <c r="U13" s="60" t="str">
        <f aca="false">IF(项目总控台账!U13="","",项目总控台账!U13)</f>
        <v/>
      </c>
      <c r="V13" s="61" t="str">
        <f aca="false">IF(项目总控台账!V13="","",项目总控台账!V13)</f>
        <v/>
      </c>
      <c r="W13" s="61" t="str">
        <f aca="false">IF(项目总控台账!W13="","",项目总控台账!W13)</f>
        <v/>
      </c>
      <c r="X13" s="59" t="str">
        <f aca="false">IF(项目总控台账!X13="","",项目总控台账!X13)</f>
        <v/>
      </c>
      <c r="Y13" s="60" t="str">
        <f aca="false">IF(项目总控台账!Y13="","",项目总控台账!Y13)</f>
        <v/>
      </c>
      <c r="Z13" s="61" t="str">
        <f aca="false">IF(项目总控台账!Z13="","",项目总控台账!Z13)</f>
        <v/>
      </c>
      <c r="AA13" s="61" t="str">
        <f aca="false">IF(项目总控台账!AA13="","",项目总控台账!AA13)</f>
        <v/>
      </c>
      <c r="AB13" s="62" t="n">
        <f aca="false">IF(项目总控台账!AB13="","",项目总控台账!AB13)</f>
        <v>1</v>
      </c>
      <c r="AC13" s="60" t="str">
        <f aca="false">IF(项目总控台账!AC13="","",项目总控台账!AC13)</f>
        <v>正常</v>
      </c>
      <c r="AD13" s="59" t="str">
        <f aca="false">IF(项目总控台账!AD13="","",项目总控台账!AD13)</f>
        <v/>
      </c>
      <c r="AE13" s="59" t="str">
        <f aca="false">IF(项目总控台账!AE13="","",项目总控台账!AE13)</f>
        <v/>
      </c>
      <c r="AF13" s="59" t="str">
        <f aca="false">IF(项目总控台账!AF13="","",项目总控台账!AF13)</f>
        <v/>
      </c>
      <c r="AG13" s="61" t="str">
        <f aca="false">IF(项目总控台账!AG13="","",项目总控台账!AG13)</f>
        <v/>
      </c>
      <c r="AH13" s="63" t="str">
        <f aca="false">IF(项目总控台账!AH13="","",项目总控台账!AH13)</f>
        <v/>
      </c>
    </row>
    <row r="14" customFormat="false" ht="16.5" hidden="false" customHeight="true" outlineLevel="0" collapsed="false">
      <c r="A14" s="59" t="str">
        <f aca="false">IF(项目总控台账!A14="","",项目总控台账!A14)</f>
        <v>T011</v>
      </c>
      <c r="B14" s="59" t="str">
        <f aca="false">项目总控台账!B4</f>
        <v>可研与原业务梳理</v>
      </c>
      <c r="C14" s="59" t="str">
        <f aca="false">项目总控台账!C12</f>
        <v>原业务梳理完成</v>
      </c>
      <c r="D14" s="59" t="str">
        <f aca="false">项目总控台账!D12</f>
        <v>现状调研</v>
      </c>
      <c r="E14" s="59" t="str">
        <f aca="false">IF(项目总控台账!E14="","",项目总控台账!E14)</f>
        <v>盘点既有系统、接口与数据</v>
      </c>
      <c r="F14" s="59" t="str">
        <f aca="false">IF(项目总控台账!F14="","",项目总控台账!F14)</f>
        <v>MS003</v>
      </c>
      <c r="G14" s="60" t="str">
        <f aca="false">IF(项目总控台账!G14="","",项目总控台账!G14)</f>
        <v>进行中</v>
      </c>
      <c r="H14" s="59" t="str">
        <f aca="false">IF(项目总控台账!H14="","",项目总控台账!H14)</f>
        <v>技术经理</v>
      </c>
      <c r="I14" s="61" t="n">
        <f aca="false">IF(项目总控台账!I14="","",项目总控台账!I14)</f>
        <v>46120</v>
      </c>
      <c r="J14" s="61" t="n">
        <f aca="false">IF(项目总控台账!J14="","",项目总控台账!J14)</f>
        <v>46147</v>
      </c>
      <c r="K14" s="61" t="n">
        <f aca="false">IF(项目总控台账!K14="","",项目总控台账!K14)</f>
        <v>46203</v>
      </c>
      <c r="L14" s="59" t="str">
        <f aca="false">IF(项目总控台账!L14="","",项目总控台账!L14)</f>
        <v/>
      </c>
      <c r="M14" s="60" t="str">
        <f aca="false">IF(项目总控台账!M14="","",项目总控台账!M14)</f>
        <v>进行中</v>
      </c>
      <c r="N14" s="61" t="str">
        <f aca="false">IF(项目总控台账!N14="","",项目总控台账!N14)</f>
        <v/>
      </c>
      <c r="O14" s="61" t="str">
        <f aca="false">IF(项目总控台账!O14="","",项目总控台账!O14)</f>
        <v/>
      </c>
      <c r="P14" s="59" t="str">
        <f aca="false">IF(项目总控台账!P14="","",项目总控台账!P14)</f>
        <v>技术经理</v>
      </c>
      <c r="Q14" s="60" t="str">
        <f aca="false">IF(项目总控台账!Q14="","",项目总控台账!Q14)</f>
        <v>进行中</v>
      </c>
      <c r="R14" s="61" t="n">
        <f aca="false">IF(项目总控台账!R14="","",项目总控台账!R14)</f>
        <v>46120</v>
      </c>
      <c r="S14" s="61" t="n">
        <f aca="false">IF(项目总控台账!S14="","",项目总控台账!S14)</f>
        <v>46147</v>
      </c>
      <c r="T14" s="59" t="str">
        <f aca="false">IF(项目总控台账!T14="","",项目总控台账!T14)</f>
        <v/>
      </c>
      <c r="U14" s="60" t="str">
        <f aca="false">IF(项目总控台账!U14="","",项目总控台账!U14)</f>
        <v/>
      </c>
      <c r="V14" s="61" t="str">
        <f aca="false">IF(项目总控台账!V14="","",项目总控台账!V14)</f>
        <v/>
      </c>
      <c r="W14" s="61" t="str">
        <f aca="false">IF(项目总控台账!W14="","",项目总控台账!W14)</f>
        <v/>
      </c>
      <c r="X14" s="59" t="str">
        <f aca="false">IF(项目总控台账!X14="","",项目总控台账!X14)</f>
        <v/>
      </c>
      <c r="Y14" s="60" t="str">
        <f aca="false">IF(项目总控台账!Y14="","",项目总控台账!Y14)</f>
        <v/>
      </c>
      <c r="Z14" s="61" t="str">
        <f aca="false">IF(项目总控台账!Z14="","",项目总控台账!Z14)</f>
        <v/>
      </c>
      <c r="AA14" s="61" t="str">
        <f aca="false">IF(项目总控台账!AA14="","",项目总控台账!AA14)</f>
        <v/>
      </c>
      <c r="AB14" s="62" t="n">
        <f aca="false">IF(项目总控台账!AB14="","",项目总控台账!AB14)</f>
        <v>0.5</v>
      </c>
      <c r="AC14" s="60" t="str">
        <f aca="false">IF(项目总控台账!AC14="","",项目总控台账!AC14)</f>
        <v>已延期</v>
      </c>
      <c r="AD14" s="59" t="str">
        <f aca="false">IF(项目总控台账!AD14="","",项目总控台账!AD14)</f>
        <v/>
      </c>
      <c r="AE14" s="59" t="str">
        <f aca="false">IF(项目总控台账!AE14="","",项目总控台账!AE14)</f>
        <v/>
      </c>
      <c r="AF14" s="59" t="str">
        <f aca="false">IF(项目总控台账!AF14="","",项目总控台账!AF14)</f>
        <v>2026-W40</v>
      </c>
      <c r="AG14" s="61" t="str">
        <f aca="false">IF(项目总控台账!AG14="","",项目总控台账!AG14)</f>
        <v/>
      </c>
      <c r="AH14" s="63" t="str">
        <f aca="false">IF(项目总控台账!AH14="","",项目总控台账!AH14)</f>
        <v/>
      </c>
    </row>
    <row r="15" customFormat="false" ht="16.5" hidden="false" customHeight="true" outlineLevel="0" collapsed="false">
      <c r="A15" s="59" t="str">
        <f aca="false">IF(项目总控台账!A15="","",项目总控台账!A15)</f>
        <v>T012</v>
      </c>
      <c r="B15" s="59" t="str">
        <f aca="false">项目总控台账!B4</f>
        <v>可研与原业务梳理</v>
      </c>
      <c r="C15" s="59" t="str">
        <f aca="false">项目总控台账!C12</f>
        <v>原业务梳理完成</v>
      </c>
      <c r="D15" s="59" t="str">
        <f aca="false">项目总控台账!D15</f>
        <v>问题分析</v>
      </c>
      <c r="E15" s="59" t="str">
        <f aca="false">IF(项目总控台账!E15="","",项目总控台账!E15)</f>
        <v>访谈业务部门并形成痛点清单</v>
      </c>
      <c r="F15" s="59" t="str">
        <f aca="false">IF(项目总控台账!F15="","",项目总控台账!F15)</f>
        <v>MS003</v>
      </c>
      <c r="G15" s="60" t="str">
        <f aca="false">IF(项目总控台账!G15="","",项目总控台账!G15)</f>
        <v>已完成</v>
      </c>
      <c r="H15" s="59" t="str">
        <f aca="false">IF(项目总控台账!H15="","",项目总控台账!H15)</f>
        <v>产品经理</v>
      </c>
      <c r="I15" s="61" t="n">
        <f aca="false">IF(项目总控台账!I15="","",项目总控台账!I15)</f>
        <v>46148</v>
      </c>
      <c r="J15" s="61" t="n">
        <f aca="false">IF(项目总控台账!J15="","",项目总控台账!J15)</f>
        <v>46175</v>
      </c>
      <c r="K15" s="61" t="n">
        <f aca="false">IF(项目总控台账!K15="","",项目总控台账!K15)</f>
        <v>46203</v>
      </c>
      <c r="L15" s="59" t="str">
        <f aca="false">IF(项目总控台账!L15="","",项目总控台账!L15)</f>
        <v>产品经理</v>
      </c>
      <c r="M15" s="60" t="str">
        <f aca="false">IF(项目总控台账!M15="","",项目总控台账!M15)</f>
        <v>已完成</v>
      </c>
      <c r="N15" s="61" t="n">
        <f aca="false">IF(项目总控台账!N15="","",项目总控台账!N15)</f>
        <v>46148</v>
      </c>
      <c r="O15" s="61" t="n">
        <f aca="false">IF(项目总控台账!O15="","",项目总控台账!O15)</f>
        <v>46175</v>
      </c>
      <c r="P15" s="59" t="str">
        <f aca="false">IF(项目总控台账!P15="","",项目总控台账!P15)</f>
        <v/>
      </c>
      <c r="Q15" s="60" t="str">
        <f aca="false">IF(项目总控台账!Q15="","",项目总控台账!Q15)</f>
        <v/>
      </c>
      <c r="R15" s="61" t="str">
        <f aca="false">IF(项目总控台账!R15="","",项目总控台账!R15)</f>
        <v/>
      </c>
      <c r="S15" s="61" t="str">
        <f aca="false">IF(项目总控台账!S15="","",项目总控台账!S15)</f>
        <v/>
      </c>
      <c r="T15" s="59" t="str">
        <f aca="false">IF(项目总控台账!T15="","",项目总控台账!T15)</f>
        <v/>
      </c>
      <c r="U15" s="60" t="str">
        <f aca="false">IF(项目总控台账!U15="","",项目总控台账!U15)</f>
        <v/>
      </c>
      <c r="V15" s="61" t="str">
        <f aca="false">IF(项目总控台账!V15="","",项目总控台账!V15)</f>
        <v/>
      </c>
      <c r="W15" s="61" t="str">
        <f aca="false">IF(项目总控台账!W15="","",项目总控台账!W15)</f>
        <v/>
      </c>
      <c r="X15" s="59" t="str">
        <f aca="false">IF(项目总控台账!X15="","",项目总控台账!X15)</f>
        <v/>
      </c>
      <c r="Y15" s="60" t="str">
        <f aca="false">IF(项目总控台账!Y15="","",项目总控台账!Y15)</f>
        <v/>
      </c>
      <c r="Z15" s="61" t="str">
        <f aca="false">IF(项目总控台账!Z15="","",项目总控台账!Z15)</f>
        <v/>
      </c>
      <c r="AA15" s="61" t="str">
        <f aca="false">IF(项目总控台账!AA15="","",项目总控台账!AA15)</f>
        <v/>
      </c>
      <c r="AB15" s="62" t="n">
        <f aca="false">IF(项目总控台账!AB15="","",项目总控台账!AB15)</f>
        <v>1</v>
      </c>
      <c r="AC15" s="60" t="str">
        <f aca="false">IF(项目总控台账!AC15="","",项目总控台账!AC15)</f>
        <v>正常</v>
      </c>
      <c r="AD15" s="59" t="str">
        <f aca="false">IF(项目总控台账!AD15="","",项目总控台账!AD15)</f>
        <v/>
      </c>
      <c r="AE15" s="59" t="str">
        <f aca="false">IF(项目总控台账!AE15="","",项目总控台账!AE15)</f>
        <v/>
      </c>
      <c r="AF15" s="59" t="str">
        <f aca="false">IF(项目总控台账!AF15="","",项目总控台账!AF15)</f>
        <v/>
      </c>
      <c r="AG15" s="61" t="str">
        <f aca="false">IF(项目总控台账!AG15="","",项目总控台账!AG15)</f>
        <v/>
      </c>
      <c r="AH15" s="63" t="str">
        <f aca="false">IF(项目总控台账!AH15="","",项目总控台账!AH15)</f>
        <v/>
      </c>
    </row>
    <row r="16" customFormat="false" ht="16.5" hidden="false" customHeight="true" outlineLevel="0" collapsed="false">
      <c r="A16" s="59" t="str">
        <f aca="false">IF(项目总控台账!A16="","",项目总控台账!A16)</f>
        <v>T013</v>
      </c>
      <c r="B16" s="59" t="str">
        <f aca="false">项目总控台账!B4</f>
        <v>可研与原业务梳理</v>
      </c>
      <c r="C16" s="59" t="str">
        <f aca="false">项目总控台账!C12</f>
        <v>原业务梳理完成</v>
      </c>
      <c r="D16" s="59" t="str">
        <f aca="false">项目总控台账!D16</f>
        <v>现状基线</v>
      </c>
      <c r="E16" s="59" t="str">
        <f aca="false">IF(项目总控台账!E16="","",项目总控台账!E16)</f>
        <v>确认现状流程、问题与改进机会基线</v>
      </c>
      <c r="F16" s="59" t="str">
        <f aca="false">IF(项目总控台账!F16="","",项目总控台账!F16)</f>
        <v>MS003</v>
      </c>
      <c r="G16" s="60" t="str">
        <f aca="false">IF(项目总控台账!G16="","",项目总控台账!G16)</f>
        <v>已完成</v>
      </c>
      <c r="H16" s="59" t="str">
        <f aca="false">IF(项目总控台账!H16="","",项目总控台账!H16)</f>
        <v>项目经理</v>
      </c>
      <c r="I16" s="61" t="n">
        <f aca="false">IF(项目总控台账!I16="","",项目总控台账!I16)</f>
        <v>46176</v>
      </c>
      <c r="J16" s="61" t="n">
        <f aca="false">IF(项目总控台账!J16="","",项目总控台账!J16)</f>
        <v>46203</v>
      </c>
      <c r="K16" s="61" t="n">
        <f aca="false">IF(项目总控台账!K16="","",项目总控台账!K16)</f>
        <v>46203</v>
      </c>
      <c r="L16" s="59" t="str">
        <f aca="false">IF(项目总控台账!L16="","",项目总控台账!L16)</f>
        <v>项目经理</v>
      </c>
      <c r="M16" s="60" t="str">
        <f aca="false">IF(项目总控台账!M16="","",项目总控台账!M16)</f>
        <v>已完成</v>
      </c>
      <c r="N16" s="61" t="n">
        <f aca="false">IF(项目总控台账!N16="","",项目总控台账!N16)</f>
        <v>46176</v>
      </c>
      <c r="O16" s="61" t="n">
        <f aca="false">IF(项目总控台账!O16="","",项目总控台账!O16)</f>
        <v>46203</v>
      </c>
      <c r="P16" s="59" t="str">
        <f aca="false">IF(项目总控台账!P16="","",项目总控台账!P16)</f>
        <v/>
      </c>
      <c r="Q16" s="60" t="str">
        <f aca="false">IF(项目总控台账!Q16="","",项目总控台账!Q16)</f>
        <v/>
      </c>
      <c r="R16" s="61" t="str">
        <f aca="false">IF(项目总控台账!R16="","",项目总控台账!R16)</f>
        <v/>
      </c>
      <c r="S16" s="61" t="str">
        <f aca="false">IF(项目总控台账!S16="","",项目总控台账!S16)</f>
        <v/>
      </c>
      <c r="T16" s="59" t="str">
        <f aca="false">IF(项目总控台账!T16="","",项目总控台账!T16)</f>
        <v/>
      </c>
      <c r="U16" s="60" t="str">
        <f aca="false">IF(项目总控台账!U16="","",项目总控台账!U16)</f>
        <v/>
      </c>
      <c r="V16" s="61" t="str">
        <f aca="false">IF(项目总控台账!V16="","",项目总控台账!V16)</f>
        <v/>
      </c>
      <c r="W16" s="61" t="str">
        <f aca="false">IF(项目总控台账!W16="","",项目总控台账!W16)</f>
        <v/>
      </c>
      <c r="X16" s="59" t="str">
        <f aca="false">IF(项目总控台账!X16="","",项目总控台账!X16)</f>
        <v/>
      </c>
      <c r="Y16" s="60" t="str">
        <f aca="false">IF(项目总控台账!Y16="","",项目总控台账!Y16)</f>
        <v/>
      </c>
      <c r="Z16" s="61" t="str">
        <f aca="false">IF(项目总控台账!Z16="","",项目总控台账!Z16)</f>
        <v/>
      </c>
      <c r="AA16" s="61" t="str">
        <f aca="false">IF(项目总控台账!AA16="","",项目总控台账!AA16)</f>
        <v/>
      </c>
      <c r="AB16" s="62" t="n">
        <f aca="false">IF(项目总控台账!AB16="","",项目总控台账!AB16)</f>
        <v>1</v>
      </c>
      <c r="AC16" s="60" t="str">
        <f aca="false">IF(项目总控台账!AC16="","",项目总控台账!AC16)</f>
        <v>正常</v>
      </c>
      <c r="AD16" s="59" t="str">
        <f aca="false">IF(项目总控台账!AD16="","",项目总控台账!AD16)</f>
        <v/>
      </c>
      <c r="AE16" s="59" t="str">
        <f aca="false">IF(项目总控台账!AE16="","",项目总控台账!AE16)</f>
        <v/>
      </c>
      <c r="AF16" s="59" t="str">
        <f aca="false">IF(项目总控台账!AF16="","",项目总控台账!AF16)</f>
        <v/>
      </c>
      <c r="AG16" s="61" t="str">
        <f aca="false">IF(项目总控台账!AG16="","",项目总控台账!AG16)</f>
        <v/>
      </c>
      <c r="AH16" s="63" t="str">
        <f aca="false">IF(项目总控台账!AH16="","",项目总控台账!AH16)</f>
        <v/>
      </c>
    </row>
    <row r="17" customFormat="false" ht="33.75" hidden="false" customHeight="true" outlineLevel="0" collapsed="false">
      <c r="A17" s="59" t="str">
        <f aca="false">IF(项目总控台账!A17="","",项目总控台账!A17)</f>
        <v>T014</v>
      </c>
      <c r="B17" s="59" t="str">
        <f aca="false">项目总控台账!B17</f>
        <v>项目规范梳理与技术架构搭建</v>
      </c>
      <c r="C17" s="59" t="str">
        <f aca="false">项目总控台账!C17</f>
        <v>项目规范基线确认</v>
      </c>
      <c r="D17" s="59" t="str">
        <f aca="false">项目总控台账!D17</f>
        <v>项目规范</v>
      </c>
      <c r="E17" s="59" t="str">
        <f aca="false">IF(项目总控台账!E17="","",项目总控台账!E17)</f>
        <v>制定项目治理、会议与报告机制</v>
      </c>
      <c r="F17" s="59" t="str">
        <f aca="false">IF(项目总控台账!F17="","",项目总控台账!F17)</f>
        <v>MS004</v>
      </c>
      <c r="G17" s="60" t="str">
        <f aca="false">IF(项目总控台账!G17="","",项目总控台账!G17)</f>
        <v>待确认</v>
      </c>
      <c r="H17" s="59" t="str">
        <f aca="false">IF(项目总控台账!H17="","",项目总控台账!H17)</f>
        <v>项目经理</v>
      </c>
      <c r="I17" s="61" t="n">
        <f aca="false">IF(项目总控台账!I17="","",项目总控台账!I17)</f>
        <v>46204</v>
      </c>
      <c r="J17" s="61" t="n">
        <f aca="false">IF(项目总控台账!J17="","",项目总控台账!J17)</f>
        <v>46215</v>
      </c>
      <c r="K17" s="61" t="n">
        <f aca="false">IF(项目总控台账!K17="","",项目总控台账!K17)</f>
        <v>46265</v>
      </c>
      <c r="L17" s="59" t="str">
        <f aca="false">IF(项目总控台账!L17="","",项目总控台账!L17)</f>
        <v>项目经理</v>
      </c>
      <c r="M17" s="60" t="str">
        <f aca="false">IF(项目总控台账!M17="","",项目总控台账!M17)</f>
        <v>待确认</v>
      </c>
      <c r="N17" s="61" t="n">
        <f aca="false">IF(项目总控台账!N17="","",项目总控台账!N17)</f>
        <v>46204</v>
      </c>
      <c r="O17" s="61" t="n">
        <f aca="false">IF(项目总控台账!O17="","",项目总控台账!O17)</f>
        <v>46215</v>
      </c>
      <c r="P17" s="59" t="str">
        <f aca="false">IF(项目总控台账!P17="","",项目总控台账!P17)</f>
        <v/>
      </c>
      <c r="Q17" s="60" t="str">
        <f aca="false">IF(项目总控台账!Q17="","",项目总控台账!Q17)</f>
        <v/>
      </c>
      <c r="R17" s="61" t="str">
        <f aca="false">IF(项目总控台账!R17="","",项目总控台账!R17)</f>
        <v/>
      </c>
      <c r="S17" s="61" t="str">
        <f aca="false">IF(项目总控台账!S17="","",项目总控台账!S17)</f>
        <v/>
      </c>
      <c r="T17" s="59" t="str">
        <f aca="false">IF(项目总控台账!T17="","",项目总控台账!T17)</f>
        <v/>
      </c>
      <c r="U17" s="60" t="str">
        <f aca="false">IF(项目总控台账!U17="","",项目总控台账!U17)</f>
        <v/>
      </c>
      <c r="V17" s="61" t="str">
        <f aca="false">IF(项目总控台账!V17="","",项目总控台账!V17)</f>
        <v/>
      </c>
      <c r="W17" s="61" t="str">
        <f aca="false">IF(项目总控台账!W17="","",项目总控台账!W17)</f>
        <v/>
      </c>
      <c r="X17" s="59" t="str">
        <f aca="false">IF(项目总控台账!X17="","",项目总控台账!X17)</f>
        <v/>
      </c>
      <c r="Y17" s="60" t="str">
        <f aca="false">IF(项目总控台账!Y17="","",项目总控台账!Y17)</f>
        <v/>
      </c>
      <c r="Z17" s="61" t="str">
        <f aca="false">IF(项目总控台账!Z17="","",项目总控台账!Z17)</f>
        <v/>
      </c>
      <c r="AA17" s="61" t="str">
        <f aca="false">IF(项目总控台账!AA17="","",项目总控台账!AA17)</f>
        <v/>
      </c>
      <c r="AB17" s="62" t="n">
        <f aca="false">IF(项目总控台账!AB17="","",项目总控台账!AB17)</f>
        <v>0</v>
      </c>
      <c r="AC17" s="60" t="str">
        <f aca="false">IF(项目总控台账!AC17="","",项目总控台账!AC17)</f>
        <v>已延期</v>
      </c>
      <c r="AD17" s="59" t="str">
        <f aca="false">IF(项目总控台账!AD17="","",项目总控台账!AD17)</f>
        <v/>
      </c>
      <c r="AE17" s="59" t="str">
        <f aca="false">IF(项目总控台账!AE17="","",项目总控台账!AE17)</f>
        <v/>
      </c>
      <c r="AF17" s="59" t="str">
        <f aca="false">IF(项目总控台账!AF17="","",项目总控台账!AF17)</f>
        <v/>
      </c>
      <c r="AG17" s="61" t="str">
        <f aca="false">IF(项目总控台账!AG17="","",项目总控台账!AG17)</f>
        <v/>
      </c>
      <c r="AH17" s="63" t="str">
        <f aca="false">IF(项目总控台账!AH17="","",项目总控台账!AH17)</f>
        <v/>
      </c>
    </row>
    <row r="18" customFormat="false" ht="33.75" hidden="false" customHeight="true" outlineLevel="0" collapsed="false">
      <c r="A18" s="59" t="str">
        <f aca="false">IF(项目总控台账!A18="","",项目总控台账!A18)</f>
        <v>T015</v>
      </c>
      <c r="B18" s="59" t="str">
        <f aca="false">项目总控台账!B17</f>
        <v>项目规范梳理与技术架构搭建</v>
      </c>
      <c r="C18" s="59" t="str">
        <f aca="false">项目总控台账!C17</f>
        <v>项目规范基线确认</v>
      </c>
      <c r="D18" s="59" t="str">
        <f aca="false">项目总控台账!D18</f>
        <v>需求规范</v>
      </c>
      <c r="E18" s="59" t="str">
        <f aca="false">IF(项目总控台账!E18="","",项目总控台账!E18)</f>
        <v>制定需求分级、跟踪与变更规范</v>
      </c>
      <c r="F18" s="59" t="str">
        <f aca="false">IF(项目总控台账!F18="","",项目总控台账!F18)</f>
        <v>MS004</v>
      </c>
      <c r="G18" s="60" t="str">
        <f aca="false">IF(项目总控台账!G18="","",项目总控台账!G18)</f>
        <v>待确认</v>
      </c>
      <c r="H18" s="59" t="str">
        <f aca="false">IF(项目总控台账!H18="","",项目总控台账!H18)</f>
        <v>产品经理</v>
      </c>
      <c r="I18" s="61" t="n">
        <f aca="false">IF(项目总控台账!I18="","",项目总控台账!I18)</f>
        <v>46216</v>
      </c>
      <c r="J18" s="61" t="n">
        <f aca="false">IF(项目总控台账!J18="","",项目总控台账!J18)</f>
        <v>46227</v>
      </c>
      <c r="K18" s="61" t="n">
        <f aca="false">IF(项目总控台账!K18="","",项目总控台账!K18)</f>
        <v>46265</v>
      </c>
      <c r="L18" s="59" t="str">
        <f aca="false">IF(项目总控台账!L18="","",项目总控台账!L18)</f>
        <v>产品经理</v>
      </c>
      <c r="M18" s="60" t="str">
        <f aca="false">IF(项目总控台账!M18="","",项目总控台账!M18)</f>
        <v>待确认</v>
      </c>
      <c r="N18" s="61" t="n">
        <f aca="false">IF(项目总控台账!N18="","",项目总控台账!N18)</f>
        <v>46216</v>
      </c>
      <c r="O18" s="61" t="n">
        <f aca="false">IF(项目总控台账!O18="","",项目总控台账!O18)</f>
        <v>46227</v>
      </c>
      <c r="P18" s="59" t="str">
        <f aca="false">IF(项目总控台账!P18="","",项目总控台账!P18)</f>
        <v/>
      </c>
      <c r="Q18" s="60" t="str">
        <f aca="false">IF(项目总控台账!Q18="","",项目总控台账!Q18)</f>
        <v/>
      </c>
      <c r="R18" s="61" t="str">
        <f aca="false">IF(项目总控台账!R18="","",项目总控台账!R18)</f>
        <v/>
      </c>
      <c r="S18" s="61" t="str">
        <f aca="false">IF(项目总控台账!S18="","",项目总控台账!S18)</f>
        <v/>
      </c>
      <c r="T18" s="59" t="str">
        <f aca="false">IF(项目总控台账!T18="","",项目总控台账!T18)</f>
        <v/>
      </c>
      <c r="U18" s="60" t="str">
        <f aca="false">IF(项目总控台账!U18="","",项目总控台账!U18)</f>
        <v/>
      </c>
      <c r="V18" s="61" t="str">
        <f aca="false">IF(项目总控台账!V18="","",项目总控台账!V18)</f>
        <v/>
      </c>
      <c r="W18" s="61" t="str">
        <f aca="false">IF(项目总控台账!W18="","",项目总控台账!W18)</f>
        <v/>
      </c>
      <c r="X18" s="59" t="str">
        <f aca="false">IF(项目总控台账!X18="","",项目总控台账!X18)</f>
        <v/>
      </c>
      <c r="Y18" s="60" t="str">
        <f aca="false">IF(项目总控台账!Y18="","",项目总控台账!Y18)</f>
        <v/>
      </c>
      <c r="Z18" s="61" t="str">
        <f aca="false">IF(项目总控台账!Z18="","",项目总控台账!Z18)</f>
        <v/>
      </c>
      <c r="AA18" s="61" t="str">
        <f aca="false">IF(项目总控台账!AA18="","",项目总控台账!AA18)</f>
        <v/>
      </c>
      <c r="AB18" s="62" t="n">
        <f aca="false">IF(项目总控台账!AB18="","",项目总控台账!AB18)</f>
        <v>0</v>
      </c>
      <c r="AC18" s="60" t="str">
        <f aca="false">IF(项目总控台账!AC18="","",项目总控台账!AC18)</f>
        <v>已延期</v>
      </c>
      <c r="AD18" s="59" t="str">
        <f aca="false">IF(项目总控台账!AD18="","",项目总控台账!AD18)</f>
        <v/>
      </c>
      <c r="AE18" s="59" t="str">
        <f aca="false">IF(项目总控台账!AE18="","",项目总控台账!AE18)</f>
        <v/>
      </c>
      <c r="AF18" s="59" t="str">
        <f aca="false">IF(项目总控台账!AF18="","",项目总控台账!AF18)</f>
        <v/>
      </c>
      <c r="AG18" s="61" t="str">
        <f aca="false">IF(项目总控台账!AG18="","",项目总控台账!AG18)</f>
        <v/>
      </c>
      <c r="AH18" s="63" t="str">
        <f aca="false">IF(项目总控台账!AH18="","",项目总控台账!AH18)</f>
        <v/>
      </c>
    </row>
    <row r="19" customFormat="false" ht="33.75" hidden="false" customHeight="true" outlineLevel="0" collapsed="false">
      <c r="A19" s="59" t="str">
        <f aca="false">IF(项目总控台账!A19="","",项目总控台账!A19)</f>
        <v>T016</v>
      </c>
      <c r="B19" s="59" t="str">
        <f aca="false">项目总控台账!B17</f>
        <v>项目规范梳理与技术架构搭建</v>
      </c>
      <c r="C19" s="59" t="str">
        <f aca="false">项目总控台账!C17</f>
        <v>项目规范基线确认</v>
      </c>
      <c r="D19" s="59" t="str">
        <f aca="false">项目总控台账!D19</f>
        <v>研发规范</v>
      </c>
      <c r="E19" s="59" t="str">
        <f aca="false">IF(项目总控台账!E19="","",项目总控台账!E19)</f>
        <v>制定设计、编码与代码评审规范</v>
      </c>
      <c r="F19" s="59" t="str">
        <f aca="false">IF(项目总控台账!F19="","",项目总控台账!F19)</f>
        <v>MS004</v>
      </c>
      <c r="G19" s="60" t="str">
        <f aca="false">IF(项目总控台账!G19="","",项目总控台账!G19)</f>
        <v>待确认</v>
      </c>
      <c r="H19" s="59" t="str">
        <f aca="false">IF(项目总控台账!H19="","",项目总控台账!H19)</f>
        <v>技术经理</v>
      </c>
      <c r="I19" s="61" t="n">
        <f aca="false">IF(项目总控台账!I19="","",项目总控台账!I19)</f>
        <v>46228</v>
      </c>
      <c r="J19" s="61" t="n">
        <f aca="false">IF(项目总控台账!J19="","",项目总控台账!J19)</f>
        <v>46240</v>
      </c>
      <c r="K19" s="61" t="n">
        <f aca="false">IF(项目总控台账!K19="","",项目总控台账!K19)</f>
        <v>46265</v>
      </c>
      <c r="L19" s="59" t="str">
        <f aca="false">IF(项目总控台账!L19="","",项目总控台账!L19)</f>
        <v/>
      </c>
      <c r="M19" s="60" t="str">
        <f aca="false">IF(项目总控台账!M19="","",项目总控台账!M19)</f>
        <v/>
      </c>
      <c r="N19" s="61" t="str">
        <f aca="false">IF(项目总控台账!N19="","",项目总控台账!N19)</f>
        <v/>
      </c>
      <c r="O19" s="61" t="str">
        <f aca="false">IF(项目总控台账!O19="","",项目总控台账!O19)</f>
        <v/>
      </c>
      <c r="P19" s="59" t="str">
        <f aca="false">IF(项目总控台账!P19="","",项目总控台账!P19)</f>
        <v>技术经理</v>
      </c>
      <c r="Q19" s="60" t="str">
        <f aca="false">IF(项目总控台账!Q19="","",项目总控台账!Q19)</f>
        <v>待确认</v>
      </c>
      <c r="R19" s="61" t="n">
        <f aca="false">IF(项目总控台账!R19="","",项目总控台账!R19)</f>
        <v>46228</v>
      </c>
      <c r="S19" s="61" t="n">
        <f aca="false">IF(项目总控台账!S19="","",项目总控台账!S19)</f>
        <v>46240</v>
      </c>
      <c r="T19" s="59" t="str">
        <f aca="false">IF(项目总控台账!T19="","",项目总控台账!T19)</f>
        <v/>
      </c>
      <c r="U19" s="60" t="str">
        <f aca="false">IF(项目总控台账!U19="","",项目总控台账!U19)</f>
        <v/>
      </c>
      <c r="V19" s="61" t="str">
        <f aca="false">IF(项目总控台账!V19="","",项目总控台账!V19)</f>
        <v/>
      </c>
      <c r="W19" s="61" t="str">
        <f aca="false">IF(项目总控台账!W19="","",项目总控台账!W19)</f>
        <v/>
      </c>
      <c r="X19" s="59" t="str">
        <f aca="false">IF(项目总控台账!X19="","",项目总控台账!X19)</f>
        <v/>
      </c>
      <c r="Y19" s="60" t="str">
        <f aca="false">IF(项目总控台账!Y19="","",项目总控台账!Y19)</f>
        <v/>
      </c>
      <c r="Z19" s="61" t="str">
        <f aca="false">IF(项目总控台账!Z19="","",项目总控台账!Z19)</f>
        <v/>
      </c>
      <c r="AA19" s="61" t="str">
        <f aca="false">IF(项目总控台账!AA19="","",项目总控台账!AA19)</f>
        <v/>
      </c>
      <c r="AB19" s="62" t="n">
        <f aca="false">IF(项目总控台账!AB19="","",项目总控台账!AB19)</f>
        <v>0</v>
      </c>
      <c r="AC19" s="60" t="str">
        <f aca="false">IF(项目总控台账!AC19="","",项目总控台账!AC19)</f>
        <v>已延期</v>
      </c>
      <c r="AD19" s="59" t="str">
        <f aca="false">IF(项目总控台账!AD19="","",项目总控台账!AD19)</f>
        <v/>
      </c>
      <c r="AE19" s="59" t="str">
        <f aca="false">IF(项目总控台账!AE19="","",项目总控台账!AE19)</f>
        <v/>
      </c>
      <c r="AF19" s="59" t="str">
        <f aca="false">IF(项目总控台账!AF19="","",项目总控台账!AF19)</f>
        <v/>
      </c>
      <c r="AG19" s="61" t="str">
        <f aca="false">IF(项目总控台账!AG19="","",项目总控台账!AG19)</f>
        <v/>
      </c>
      <c r="AH19" s="63" t="str">
        <f aca="false">IF(项目总控台账!AH19="","",项目总控台账!AH19)</f>
        <v/>
      </c>
    </row>
    <row r="20" customFormat="false" ht="33.75" hidden="false" customHeight="true" outlineLevel="0" collapsed="false">
      <c r="A20" s="59" t="str">
        <f aca="false">IF(项目总控台账!A20="","",项目总控台账!A20)</f>
        <v>T017</v>
      </c>
      <c r="B20" s="59" t="str">
        <f aca="false">项目总控台账!B17</f>
        <v>项目规范梳理与技术架构搭建</v>
      </c>
      <c r="C20" s="59" t="str">
        <f aca="false">项目总控台账!C17</f>
        <v>项目规范基线确认</v>
      </c>
      <c r="D20" s="59" t="str">
        <f aca="false">项目总控台账!D20</f>
        <v>质量规范</v>
      </c>
      <c r="E20" s="59" t="str">
        <f aca="false">IF(项目总控台账!E20="","",项目总控台账!E20)</f>
        <v>制定测试、缺陷与质量门禁规范</v>
      </c>
      <c r="F20" s="59" t="str">
        <f aca="false">IF(项目总控台账!F20="","",项目总控台账!F20)</f>
        <v>MS004</v>
      </c>
      <c r="G20" s="60" t="str">
        <f aca="false">IF(项目总控台账!G20="","",项目总控台账!G20)</f>
        <v>待确认</v>
      </c>
      <c r="H20" s="59" t="str">
        <f aca="false">IF(项目总控台账!H20="","",项目总控台账!H20)</f>
        <v>高级测试人员、中级测试人员</v>
      </c>
      <c r="I20" s="61" t="n">
        <f aca="false">IF(项目总控台账!I20="","",项目总控台账!I20)</f>
        <v>46241</v>
      </c>
      <c r="J20" s="61" t="n">
        <f aca="false">IF(项目总控台账!J20="","",项目总控台账!J20)</f>
        <v>46252</v>
      </c>
      <c r="K20" s="61" t="n">
        <f aca="false">IF(项目总控台账!K20="","",项目总控台账!K20)</f>
        <v>46265</v>
      </c>
      <c r="L20" s="59" t="str">
        <f aca="false">IF(项目总控台账!L20="","",项目总控台账!L20)</f>
        <v/>
      </c>
      <c r="M20" s="60" t="str">
        <f aca="false">IF(项目总控台账!M20="","",项目总控台账!M20)</f>
        <v/>
      </c>
      <c r="N20" s="61" t="str">
        <f aca="false">IF(项目总控台账!N20="","",项目总控台账!N20)</f>
        <v/>
      </c>
      <c r="O20" s="61" t="str">
        <f aca="false">IF(项目总控台账!O20="","",项目总控台账!O20)</f>
        <v/>
      </c>
      <c r="P20" s="59" t="str">
        <f aca="false">IF(项目总控台账!P20="","",项目总控台账!P20)</f>
        <v/>
      </c>
      <c r="Q20" s="60" t="str">
        <f aca="false">IF(项目总控台账!Q20="","",项目总控台账!Q20)</f>
        <v/>
      </c>
      <c r="R20" s="61" t="str">
        <f aca="false">IF(项目总控台账!R20="","",项目总控台账!R20)</f>
        <v/>
      </c>
      <c r="S20" s="61" t="str">
        <f aca="false">IF(项目总控台账!S20="","",项目总控台账!S20)</f>
        <v/>
      </c>
      <c r="T20" s="59" t="str">
        <f aca="false">IF(项目总控台账!T20="","",项目总控台账!T20)</f>
        <v/>
      </c>
      <c r="U20" s="60" t="str">
        <f aca="false">IF(项目总控台账!U20="","",项目总控台账!U20)</f>
        <v/>
      </c>
      <c r="V20" s="61" t="str">
        <f aca="false">IF(项目总控台账!V20="","",项目总控台账!V20)</f>
        <v/>
      </c>
      <c r="W20" s="61" t="str">
        <f aca="false">IF(项目总控台账!W20="","",项目总控台账!W20)</f>
        <v/>
      </c>
      <c r="X20" s="59" t="str">
        <f aca="false">IF(项目总控台账!X20="","",项目总控台账!X20)</f>
        <v>高级测试人员、中级测试人员</v>
      </c>
      <c r="Y20" s="60" t="str">
        <f aca="false">IF(项目总控台账!Y20="","",项目总控台账!Y20)</f>
        <v>待确认</v>
      </c>
      <c r="Z20" s="61" t="n">
        <f aca="false">IF(项目总控台账!Z20="","",项目总控台账!Z20)</f>
        <v>46241</v>
      </c>
      <c r="AA20" s="61" t="n">
        <f aca="false">IF(项目总控台账!AA20="","",项目总控台账!AA20)</f>
        <v>46252</v>
      </c>
      <c r="AB20" s="62" t="n">
        <f aca="false">IF(项目总控台账!AB20="","",项目总控台账!AB20)</f>
        <v>0</v>
      </c>
      <c r="AC20" s="60" t="str">
        <f aca="false">IF(项目总控台账!AC20="","",项目总控台账!AC20)</f>
        <v>已延期</v>
      </c>
      <c r="AD20" s="59" t="str">
        <f aca="false">IF(项目总控台账!AD20="","",项目总控台账!AD20)</f>
        <v/>
      </c>
      <c r="AE20" s="59" t="str">
        <f aca="false">IF(项目总控台账!AE20="","",项目总控台账!AE20)</f>
        <v/>
      </c>
      <c r="AF20" s="59" t="str">
        <f aca="false">IF(项目总控台账!AF20="","",项目总控台账!AF20)</f>
        <v/>
      </c>
      <c r="AG20" s="61" t="str">
        <f aca="false">IF(项目总控台账!AG20="","",项目总控台账!AG20)</f>
        <v/>
      </c>
      <c r="AH20" s="63" t="str">
        <f aca="false">IF(项目总控台账!AH20="","",项目总控台账!AH20)</f>
        <v/>
      </c>
    </row>
    <row r="21" customFormat="false" ht="33.75" hidden="false" customHeight="true" outlineLevel="0" collapsed="false">
      <c r="A21" s="59" t="str">
        <f aca="false">IF(项目总控台账!A21="","",项目总控台账!A21)</f>
        <v>T018</v>
      </c>
      <c r="B21" s="59" t="str">
        <f aca="false">项目总控台账!B17</f>
        <v>项目规范梳理与技术架构搭建</v>
      </c>
      <c r="C21" s="59" t="str">
        <f aca="false">项目总控台账!C17</f>
        <v>项目规范基线确认</v>
      </c>
      <c r="D21" s="59" t="str">
        <f aca="false">项目总控台账!D21</f>
        <v>配置规范</v>
      </c>
      <c r="E21" s="59" t="str">
        <f aca="false">IF(项目总控台账!E21="","",项目总控台账!E21)</f>
        <v>制定配置、发布与文档归档规范</v>
      </c>
      <c r="F21" s="59" t="str">
        <f aca="false">IF(项目总控台账!F21="","",项目总控台账!F21)</f>
        <v>MS004</v>
      </c>
      <c r="G21" s="60" t="str">
        <f aca="false">IF(项目总控台账!G21="","",项目总控台账!G21)</f>
        <v>待确认</v>
      </c>
      <c r="H21" s="59" t="str">
        <f aca="false">IF(项目总控台账!H21="","",项目总控台账!H21)</f>
        <v>配置人员</v>
      </c>
      <c r="I21" s="61" t="n">
        <f aca="false">IF(项目总控台账!I21="","",项目总控台账!I21)</f>
        <v>46253</v>
      </c>
      <c r="J21" s="61" t="n">
        <f aca="false">IF(项目总控台账!J21="","",项目总控台账!J21)</f>
        <v>46265</v>
      </c>
      <c r="K21" s="61" t="n">
        <f aca="false">IF(项目总控台账!K21="","",项目总控台账!K21)</f>
        <v>46265</v>
      </c>
      <c r="L21" s="59" t="str">
        <f aca="false">IF(项目总控台账!L21="","",项目总控台账!L21)</f>
        <v/>
      </c>
      <c r="M21" s="60" t="str">
        <f aca="false">IF(项目总控台账!M21="","",项目总控台账!M21)</f>
        <v/>
      </c>
      <c r="N21" s="61" t="str">
        <f aca="false">IF(项目总控台账!N21="","",项目总控台账!N21)</f>
        <v/>
      </c>
      <c r="O21" s="61" t="str">
        <f aca="false">IF(项目总控台账!O21="","",项目总控台账!O21)</f>
        <v/>
      </c>
      <c r="P21" s="59" t="str">
        <f aca="false">IF(项目总控台账!P21="","",项目总控台账!P21)</f>
        <v>配置人员</v>
      </c>
      <c r="Q21" s="60" t="str">
        <f aca="false">IF(项目总控台账!Q21="","",项目总控台账!Q21)</f>
        <v>待确认</v>
      </c>
      <c r="R21" s="61" t="n">
        <f aca="false">IF(项目总控台账!R21="","",项目总控台账!R21)</f>
        <v>46253</v>
      </c>
      <c r="S21" s="61" t="n">
        <f aca="false">IF(项目总控台账!S21="","",项目总控台账!S21)</f>
        <v>46265</v>
      </c>
      <c r="T21" s="59" t="str">
        <f aca="false">IF(项目总控台账!T21="","",项目总控台账!T21)</f>
        <v/>
      </c>
      <c r="U21" s="60" t="str">
        <f aca="false">IF(项目总控台账!U21="","",项目总控台账!U21)</f>
        <v/>
      </c>
      <c r="V21" s="61" t="str">
        <f aca="false">IF(项目总控台账!V21="","",项目总控台账!V21)</f>
        <v/>
      </c>
      <c r="W21" s="61" t="str">
        <f aca="false">IF(项目总控台账!W21="","",项目总控台账!W21)</f>
        <v/>
      </c>
      <c r="X21" s="59" t="str">
        <f aca="false">IF(项目总控台账!X21="","",项目总控台账!X21)</f>
        <v/>
      </c>
      <c r="Y21" s="60" t="str">
        <f aca="false">IF(项目总控台账!Y21="","",项目总控台账!Y21)</f>
        <v/>
      </c>
      <c r="Z21" s="61" t="str">
        <f aca="false">IF(项目总控台账!Z21="","",项目总控台账!Z21)</f>
        <v/>
      </c>
      <c r="AA21" s="61" t="str">
        <f aca="false">IF(项目总控台账!AA21="","",项目总控台账!AA21)</f>
        <v/>
      </c>
      <c r="AB21" s="62" t="n">
        <f aca="false">IF(项目总控台账!AB21="","",项目总控台账!AB21)</f>
        <v>0</v>
      </c>
      <c r="AC21" s="60" t="str">
        <f aca="false">IF(项目总控台账!AC21="","",项目总控台账!AC21)</f>
        <v>已延期</v>
      </c>
      <c r="AD21" s="59" t="str">
        <f aca="false">IF(项目总控台账!AD21="","",项目总控台账!AD21)</f>
        <v/>
      </c>
      <c r="AE21" s="59" t="str">
        <f aca="false">IF(项目总控台账!AE21="","",项目总控台账!AE21)</f>
        <v/>
      </c>
      <c r="AF21" s="59" t="str">
        <f aca="false">IF(项目总控台账!AF21="","",项目总控台账!AF21)</f>
        <v/>
      </c>
      <c r="AG21" s="61" t="str">
        <f aca="false">IF(项目总控台账!AG21="","",项目总控台账!AG21)</f>
        <v/>
      </c>
      <c r="AH21" s="63" t="str">
        <f aca="false">IF(项目总控台账!AH21="","",项目总控台账!AH21)</f>
        <v/>
      </c>
    </row>
    <row r="22" customFormat="false" ht="33.75" hidden="false" customHeight="true" outlineLevel="0" collapsed="false">
      <c r="A22" s="59" t="str">
        <f aca="false">IF(项目总控台账!A22="","",项目总控台账!A22)</f>
        <v>T019</v>
      </c>
      <c r="B22" s="59" t="str">
        <f aca="false">项目总控台账!B17</f>
        <v>项目规范梳理与技术架构搭建</v>
      </c>
      <c r="C22" s="59" t="str">
        <f aca="false">项目总控台账!C22</f>
        <v>技术架构基线确认</v>
      </c>
      <c r="D22" s="59" t="str">
        <f aca="false">项目总控台账!D22</f>
        <v>应用架构</v>
      </c>
      <c r="E22" s="59" t="str">
        <f aca="false">IF(项目总控台账!E22="","",项目总控台账!E22)</f>
        <v>完成系统分层、模块与服务边界设计</v>
      </c>
      <c r="F22" s="59" t="str">
        <f aca="false">IF(项目总控台账!F22="","",项目总控台账!F22)</f>
        <v>MS005</v>
      </c>
      <c r="G22" s="60" t="str">
        <f aca="false">IF(项目总控台账!G22="","",项目总控台账!G22)</f>
        <v>待确认</v>
      </c>
      <c r="H22" s="59" t="str">
        <f aca="false">IF(项目总控台账!H22="","",项目总控台账!H22)</f>
        <v>技术经理</v>
      </c>
      <c r="I22" s="61" t="n">
        <f aca="false">IF(项目总控台账!I22="","",项目总控台账!I22)</f>
        <v>46204</v>
      </c>
      <c r="J22" s="61" t="n">
        <f aca="false">IF(项目总控台账!J22="","",项目总控台账!J22)</f>
        <v>46218</v>
      </c>
      <c r="K22" s="61" t="n">
        <f aca="false">IF(项目总控台账!K22="","",项目总控台账!K22)</f>
        <v>46295</v>
      </c>
      <c r="L22" s="59" t="str">
        <f aca="false">IF(项目总控台账!L22="","",项目总控台账!L22)</f>
        <v/>
      </c>
      <c r="M22" s="60" t="str">
        <f aca="false">IF(项目总控台账!M22="","",项目总控台账!M22)</f>
        <v/>
      </c>
      <c r="N22" s="61" t="str">
        <f aca="false">IF(项目总控台账!N22="","",项目总控台账!N22)</f>
        <v/>
      </c>
      <c r="O22" s="61" t="str">
        <f aca="false">IF(项目总控台账!O22="","",项目总控台账!O22)</f>
        <v/>
      </c>
      <c r="P22" s="59" t="str">
        <f aca="false">IF(项目总控台账!P22="","",项目总控台账!P22)</f>
        <v>技术经理</v>
      </c>
      <c r="Q22" s="60" t="str">
        <f aca="false">IF(项目总控台账!Q22="","",项目总控台账!Q22)</f>
        <v>待确认</v>
      </c>
      <c r="R22" s="61" t="n">
        <f aca="false">IF(项目总控台账!R22="","",项目总控台账!R22)</f>
        <v>46204</v>
      </c>
      <c r="S22" s="61" t="n">
        <f aca="false">IF(项目总控台账!S22="","",项目总控台账!S22)</f>
        <v>46218</v>
      </c>
      <c r="T22" s="59" t="str">
        <f aca="false">IF(项目总控台账!T22="","",项目总控台账!T22)</f>
        <v/>
      </c>
      <c r="U22" s="60" t="str">
        <f aca="false">IF(项目总控台账!U22="","",项目总控台账!U22)</f>
        <v/>
      </c>
      <c r="V22" s="61" t="str">
        <f aca="false">IF(项目总控台账!V22="","",项目总控台账!V22)</f>
        <v/>
      </c>
      <c r="W22" s="61" t="str">
        <f aca="false">IF(项目总控台账!W22="","",项目总控台账!W22)</f>
        <v/>
      </c>
      <c r="X22" s="59" t="str">
        <f aca="false">IF(项目总控台账!X22="","",项目总控台账!X22)</f>
        <v/>
      </c>
      <c r="Y22" s="60" t="str">
        <f aca="false">IF(项目总控台账!Y22="","",项目总控台账!Y22)</f>
        <v/>
      </c>
      <c r="Z22" s="61" t="str">
        <f aca="false">IF(项目总控台账!Z22="","",项目总控台账!Z22)</f>
        <v/>
      </c>
      <c r="AA22" s="61" t="str">
        <f aca="false">IF(项目总控台账!AA22="","",项目总控台账!AA22)</f>
        <v/>
      </c>
      <c r="AB22" s="62" t="n">
        <f aca="false">IF(项目总控台账!AB22="","",项目总控台账!AB22)</f>
        <v>0</v>
      </c>
      <c r="AC22" s="60" t="str">
        <f aca="false">IF(项目总控台账!AC22="","",项目总控台账!AC22)</f>
        <v>已延期</v>
      </c>
      <c r="AD22" s="59" t="str">
        <f aca="false">IF(项目总控台账!AD22="","",项目总控台账!AD22)</f>
        <v/>
      </c>
      <c r="AE22" s="59" t="str">
        <f aca="false">IF(项目总控台账!AE22="","",项目总控台账!AE22)</f>
        <v/>
      </c>
      <c r="AF22" s="59" t="str">
        <f aca="false">IF(项目总控台账!AF22="","",项目总控台账!AF22)</f>
        <v/>
      </c>
      <c r="AG22" s="61" t="str">
        <f aca="false">IF(项目总控台账!AG22="","",项目总控台账!AG22)</f>
        <v/>
      </c>
      <c r="AH22" s="63" t="str">
        <f aca="false">IF(项目总控台账!AH22="","",项目总控台账!AH22)</f>
        <v/>
      </c>
    </row>
    <row r="23" customFormat="false" ht="33.75" hidden="false" customHeight="true" outlineLevel="0" collapsed="false">
      <c r="A23" s="59" t="str">
        <f aca="false">IF(项目总控台账!A23="","",项目总控台账!A23)</f>
        <v>T020</v>
      </c>
      <c r="B23" s="59" t="str">
        <f aca="false">项目总控台账!B17</f>
        <v>项目规范梳理与技术架构搭建</v>
      </c>
      <c r="C23" s="59" t="str">
        <f aca="false">项目总控台账!C22</f>
        <v>技术架构基线确认</v>
      </c>
      <c r="D23" s="59" t="str">
        <f aca="false">项目总控台账!D23</f>
        <v>数据架构</v>
      </c>
      <c r="E23" s="59" t="str">
        <f aca="false">IF(项目总控台账!E23="","",项目总控台账!E23)</f>
        <v>完成主数据、交易数据与分析数据架构</v>
      </c>
      <c r="F23" s="59" t="str">
        <f aca="false">IF(项目总控台账!F23="","",项目总控台账!F23)</f>
        <v>MS005</v>
      </c>
      <c r="G23" s="60" t="str">
        <f aca="false">IF(项目总控台账!G23="","",项目总控台账!G23)</f>
        <v>待确认</v>
      </c>
      <c r="H23" s="59" t="str">
        <f aca="false">IF(项目总控台账!H23="","",项目总控台账!H23)</f>
        <v>技术经理</v>
      </c>
      <c r="I23" s="61" t="n">
        <f aca="false">IF(项目总控台账!I23="","",项目总控台账!I23)</f>
        <v>46219</v>
      </c>
      <c r="J23" s="61" t="n">
        <f aca="false">IF(项目总控台账!J23="","",项目总控台账!J23)</f>
        <v>46233</v>
      </c>
      <c r="K23" s="61" t="n">
        <f aca="false">IF(项目总控台账!K23="","",项目总控台账!K23)</f>
        <v>46295</v>
      </c>
      <c r="L23" s="59" t="str">
        <f aca="false">IF(项目总控台账!L23="","",项目总控台账!L23)</f>
        <v/>
      </c>
      <c r="M23" s="60" t="str">
        <f aca="false">IF(项目总控台账!M23="","",项目总控台账!M23)</f>
        <v/>
      </c>
      <c r="N23" s="61" t="str">
        <f aca="false">IF(项目总控台账!N23="","",项目总控台账!N23)</f>
        <v/>
      </c>
      <c r="O23" s="61" t="str">
        <f aca="false">IF(项目总控台账!O23="","",项目总控台账!O23)</f>
        <v/>
      </c>
      <c r="P23" s="59" t="str">
        <f aca="false">IF(项目总控台账!P23="","",项目总控台账!P23)</f>
        <v>技术经理</v>
      </c>
      <c r="Q23" s="60" t="str">
        <f aca="false">IF(项目总控台账!Q23="","",项目总控台账!Q23)</f>
        <v>待确认</v>
      </c>
      <c r="R23" s="61" t="n">
        <f aca="false">IF(项目总控台账!R23="","",项目总控台账!R23)</f>
        <v>46219</v>
      </c>
      <c r="S23" s="61" t="n">
        <f aca="false">IF(项目总控台账!S23="","",项目总控台账!S23)</f>
        <v>46233</v>
      </c>
      <c r="T23" s="59" t="str">
        <f aca="false">IF(项目总控台账!T23="","",项目总控台账!T23)</f>
        <v/>
      </c>
      <c r="U23" s="60" t="str">
        <f aca="false">IF(项目总控台账!U23="","",项目总控台账!U23)</f>
        <v/>
      </c>
      <c r="V23" s="61" t="str">
        <f aca="false">IF(项目总控台账!V23="","",项目总控台账!V23)</f>
        <v/>
      </c>
      <c r="W23" s="61" t="str">
        <f aca="false">IF(项目总控台账!W23="","",项目总控台账!W23)</f>
        <v/>
      </c>
      <c r="X23" s="59" t="str">
        <f aca="false">IF(项目总控台账!X23="","",项目总控台账!X23)</f>
        <v/>
      </c>
      <c r="Y23" s="60" t="str">
        <f aca="false">IF(项目总控台账!Y23="","",项目总控台账!Y23)</f>
        <v/>
      </c>
      <c r="Z23" s="61" t="str">
        <f aca="false">IF(项目总控台账!Z23="","",项目总控台账!Z23)</f>
        <v/>
      </c>
      <c r="AA23" s="61" t="str">
        <f aca="false">IF(项目总控台账!AA23="","",项目总控台账!AA23)</f>
        <v/>
      </c>
      <c r="AB23" s="62" t="n">
        <f aca="false">IF(项目总控台账!AB23="","",项目总控台账!AB23)</f>
        <v>0</v>
      </c>
      <c r="AC23" s="60" t="str">
        <f aca="false">IF(项目总控台账!AC23="","",项目总控台账!AC23)</f>
        <v>已延期</v>
      </c>
      <c r="AD23" s="59" t="str">
        <f aca="false">IF(项目总控台账!AD23="","",项目总控台账!AD23)</f>
        <v/>
      </c>
      <c r="AE23" s="59" t="str">
        <f aca="false">IF(项目总控台账!AE23="","",项目总控台账!AE23)</f>
        <v/>
      </c>
      <c r="AF23" s="59" t="str">
        <f aca="false">IF(项目总控台账!AF23="","",项目总控台账!AF23)</f>
        <v/>
      </c>
      <c r="AG23" s="61" t="str">
        <f aca="false">IF(项目总控台账!AG23="","",项目总控台账!AG23)</f>
        <v/>
      </c>
      <c r="AH23" s="63" t="str">
        <f aca="false">IF(项目总控台账!AH23="","",项目总控台账!AH23)</f>
        <v/>
      </c>
    </row>
    <row r="24" customFormat="false" ht="33.75" hidden="false" customHeight="true" outlineLevel="0" collapsed="false">
      <c r="A24" s="59" t="str">
        <f aca="false">IF(项目总控台账!A24="","",项目总控台账!A24)</f>
        <v>T021</v>
      </c>
      <c r="B24" s="59" t="str">
        <f aca="false">项目总控台账!B17</f>
        <v>项目规范梳理与技术架构搭建</v>
      </c>
      <c r="C24" s="59" t="str">
        <f aca="false">项目总控台账!C22</f>
        <v>技术架构基线确认</v>
      </c>
      <c r="D24" s="59" t="str">
        <f aca="false">项目总控台账!D24</f>
        <v>集成架构</v>
      </c>
      <c r="E24" s="59" t="str">
        <f aca="false">IF(项目总控台账!E24="","",项目总控台账!E24)</f>
        <v>完成内部及外部接口总体架构</v>
      </c>
      <c r="F24" s="59" t="str">
        <f aca="false">IF(项目总控台账!F24="","",项目总控台账!F24)</f>
        <v>MS005</v>
      </c>
      <c r="G24" s="60" t="str">
        <f aca="false">IF(项目总控台账!G24="","",项目总控台账!G24)</f>
        <v>待确认</v>
      </c>
      <c r="H24" s="59" t="str">
        <f aca="false">IF(项目总控台账!H24="","",项目总控台账!H24)</f>
        <v>高级开发人员</v>
      </c>
      <c r="I24" s="61" t="n">
        <f aca="false">IF(项目总控台账!I24="","",项目总控台账!I24)</f>
        <v>46234</v>
      </c>
      <c r="J24" s="61" t="n">
        <f aca="false">IF(项目总控台账!J24="","",项目总控台账!J24)</f>
        <v>46249</v>
      </c>
      <c r="K24" s="61" t="n">
        <f aca="false">IF(项目总控台账!K24="","",项目总控台账!K24)</f>
        <v>46295</v>
      </c>
      <c r="L24" s="59" t="str">
        <f aca="false">IF(项目总控台账!L24="","",项目总控台账!L24)</f>
        <v/>
      </c>
      <c r="M24" s="60" t="str">
        <f aca="false">IF(项目总控台账!M24="","",项目总控台账!M24)</f>
        <v/>
      </c>
      <c r="N24" s="61" t="str">
        <f aca="false">IF(项目总控台账!N24="","",项目总控台账!N24)</f>
        <v/>
      </c>
      <c r="O24" s="61" t="str">
        <f aca="false">IF(项目总控台账!O24="","",项目总控台账!O24)</f>
        <v/>
      </c>
      <c r="P24" s="59" t="str">
        <f aca="false">IF(项目总控台账!P24="","",项目总控台账!P24)</f>
        <v>高级开发人员</v>
      </c>
      <c r="Q24" s="60" t="str">
        <f aca="false">IF(项目总控台账!Q24="","",项目总控台账!Q24)</f>
        <v>待确认</v>
      </c>
      <c r="R24" s="61" t="n">
        <f aca="false">IF(项目总控台账!R24="","",项目总控台账!R24)</f>
        <v>46234</v>
      </c>
      <c r="S24" s="61" t="n">
        <f aca="false">IF(项目总控台账!S24="","",项目总控台账!S24)</f>
        <v>46249</v>
      </c>
      <c r="T24" s="59" t="str">
        <f aca="false">IF(项目总控台账!T24="","",项目总控台账!T24)</f>
        <v/>
      </c>
      <c r="U24" s="60" t="str">
        <f aca="false">IF(项目总控台账!U24="","",项目总控台账!U24)</f>
        <v/>
      </c>
      <c r="V24" s="61" t="str">
        <f aca="false">IF(项目总控台账!V24="","",项目总控台账!V24)</f>
        <v/>
      </c>
      <c r="W24" s="61" t="str">
        <f aca="false">IF(项目总控台账!W24="","",项目总控台账!W24)</f>
        <v/>
      </c>
      <c r="X24" s="59" t="str">
        <f aca="false">IF(项目总控台账!X24="","",项目总控台账!X24)</f>
        <v/>
      </c>
      <c r="Y24" s="60" t="str">
        <f aca="false">IF(项目总控台账!Y24="","",项目总控台账!Y24)</f>
        <v/>
      </c>
      <c r="Z24" s="61" t="str">
        <f aca="false">IF(项目总控台账!Z24="","",项目总控台账!Z24)</f>
        <v/>
      </c>
      <c r="AA24" s="61" t="str">
        <f aca="false">IF(项目总控台账!AA24="","",项目总控台账!AA24)</f>
        <v/>
      </c>
      <c r="AB24" s="62" t="n">
        <f aca="false">IF(项目总控台账!AB24="","",项目总控台账!AB24)</f>
        <v>0</v>
      </c>
      <c r="AC24" s="60" t="str">
        <f aca="false">IF(项目总控台账!AC24="","",项目总控台账!AC24)</f>
        <v>已延期</v>
      </c>
      <c r="AD24" s="59" t="str">
        <f aca="false">IF(项目总控台账!AD24="","",项目总控台账!AD24)</f>
        <v/>
      </c>
      <c r="AE24" s="59" t="str">
        <f aca="false">IF(项目总控台账!AE24="","",项目总控台账!AE24)</f>
        <v/>
      </c>
      <c r="AF24" s="59" t="str">
        <f aca="false">IF(项目总控台账!AF24="","",项目总控台账!AF24)</f>
        <v/>
      </c>
      <c r="AG24" s="61" t="str">
        <f aca="false">IF(项目总控台账!AG24="","",项目总控台账!AG24)</f>
        <v/>
      </c>
      <c r="AH24" s="63" t="str">
        <f aca="false">IF(项目总控台账!AH24="","",项目总控台账!AH24)</f>
        <v/>
      </c>
    </row>
    <row r="25" customFormat="false" ht="33.75" hidden="false" customHeight="true" outlineLevel="0" collapsed="false">
      <c r="A25" s="59" t="str">
        <f aca="false">IF(项目总控台账!A25="","",项目总控台账!A25)</f>
        <v>T022</v>
      </c>
      <c r="B25" s="59" t="str">
        <f aca="false">项目总控台账!B17</f>
        <v>项目规范梳理与技术架构搭建</v>
      </c>
      <c r="C25" s="59" t="str">
        <f aca="false">项目总控台账!C22</f>
        <v>技术架构基线确认</v>
      </c>
      <c r="D25" s="59" t="str">
        <f aca="false">项目总控台账!D25</f>
        <v>安全架构</v>
      </c>
      <c r="E25" s="59" t="str">
        <f aca="false">IF(项目总控台账!E25="","",项目总控台账!E25)</f>
        <v>完成身份、权限、审计与数据安全设计</v>
      </c>
      <c r="F25" s="59" t="str">
        <f aca="false">IF(项目总控台账!F25="","",项目总控台账!F25)</f>
        <v>MS005</v>
      </c>
      <c r="G25" s="60" t="str">
        <f aca="false">IF(项目总控台账!G25="","",项目总控台账!G25)</f>
        <v>待确认</v>
      </c>
      <c r="H25" s="59" t="str">
        <f aca="false">IF(项目总控台账!H25="","",项目总控台账!H25)</f>
        <v>技术经理</v>
      </c>
      <c r="I25" s="61" t="n">
        <f aca="false">IF(项目总控台账!I25="","",项目总控台账!I25)</f>
        <v>46250</v>
      </c>
      <c r="J25" s="61" t="n">
        <f aca="false">IF(项目总控台账!J25="","",项目总控台账!J25)</f>
        <v>46264</v>
      </c>
      <c r="K25" s="61" t="n">
        <f aca="false">IF(项目总控台账!K25="","",项目总控台账!K25)</f>
        <v>46295</v>
      </c>
      <c r="L25" s="59" t="str">
        <f aca="false">IF(项目总控台账!L25="","",项目总控台账!L25)</f>
        <v/>
      </c>
      <c r="M25" s="60" t="str">
        <f aca="false">IF(项目总控台账!M25="","",项目总控台账!M25)</f>
        <v/>
      </c>
      <c r="N25" s="61" t="str">
        <f aca="false">IF(项目总控台账!N25="","",项目总控台账!N25)</f>
        <v/>
      </c>
      <c r="O25" s="61" t="str">
        <f aca="false">IF(项目总控台账!O25="","",项目总控台账!O25)</f>
        <v/>
      </c>
      <c r="P25" s="59" t="str">
        <f aca="false">IF(项目总控台账!P25="","",项目总控台账!P25)</f>
        <v>技术经理</v>
      </c>
      <c r="Q25" s="60" t="str">
        <f aca="false">IF(项目总控台账!Q25="","",项目总控台账!Q25)</f>
        <v>待确认</v>
      </c>
      <c r="R25" s="61" t="n">
        <f aca="false">IF(项目总控台账!R25="","",项目总控台账!R25)</f>
        <v>46250</v>
      </c>
      <c r="S25" s="61" t="n">
        <f aca="false">IF(项目总控台账!S25="","",项目总控台账!S25)</f>
        <v>46264</v>
      </c>
      <c r="T25" s="59" t="str">
        <f aca="false">IF(项目总控台账!T25="","",项目总控台账!T25)</f>
        <v/>
      </c>
      <c r="U25" s="60" t="str">
        <f aca="false">IF(项目总控台账!U25="","",项目总控台账!U25)</f>
        <v/>
      </c>
      <c r="V25" s="61" t="str">
        <f aca="false">IF(项目总控台账!V25="","",项目总控台账!V25)</f>
        <v/>
      </c>
      <c r="W25" s="61" t="str">
        <f aca="false">IF(项目总控台账!W25="","",项目总控台账!W25)</f>
        <v/>
      </c>
      <c r="X25" s="59" t="str">
        <f aca="false">IF(项目总控台账!X25="","",项目总控台账!X25)</f>
        <v/>
      </c>
      <c r="Y25" s="60" t="str">
        <f aca="false">IF(项目总控台账!Y25="","",项目总控台账!Y25)</f>
        <v/>
      </c>
      <c r="Z25" s="61" t="str">
        <f aca="false">IF(项目总控台账!Z25="","",项目总控台账!Z25)</f>
        <v/>
      </c>
      <c r="AA25" s="61" t="str">
        <f aca="false">IF(项目总控台账!AA25="","",项目总控台账!AA25)</f>
        <v/>
      </c>
      <c r="AB25" s="62" t="n">
        <f aca="false">IF(项目总控台账!AB25="","",项目总控台账!AB25)</f>
        <v>0</v>
      </c>
      <c r="AC25" s="60" t="str">
        <f aca="false">IF(项目总控台账!AC25="","",项目总控台账!AC25)</f>
        <v>已延期</v>
      </c>
      <c r="AD25" s="59" t="str">
        <f aca="false">IF(项目总控台账!AD25="","",项目总控台账!AD25)</f>
        <v/>
      </c>
      <c r="AE25" s="59" t="str">
        <f aca="false">IF(项目总控台账!AE25="","",项目总控台账!AE25)</f>
        <v/>
      </c>
      <c r="AF25" s="59" t="str">
        <f aca="false">IF(项目总控台账!AF25="","",项目总控台账!AF25)</f>
        <v/>
      </c>
      <c r="AG25" s="61" t="str">
        <f aca="false">IF(项目总控台账!AG25="","",项目总控台账!AG25)</f>
        <v/>
      </c>
      <c r="AH25" s="63" t="str">
        <f aca="false">IF(项目总控台账!AH25="","",项目总控台账!AH25)</f>
        <v/>
      </c>
    </row>
    <row r="26" customFormat="false" ht="33.75" hidden="false" customHeight="true" outlineLevel="0" collapsed="false">
      <c r="A26" s="59" t="str">
        <f aca="false">IF(项目总控台账!A26="","",项目总控台账!A26)</f>
        <v>T023</v>
      </c>
      <c r="B26" s="59" t="str">
        <f aca="false">项目总控台账!B17</f>
        <v>项目规范梳理与技术架构搭建</v>
      </c>
      <c r="C26" s="59" t="str">
        <f aca="false">项目总控台账!C22</f>
        <v>技术架构基线确认</v>
      </c>
      <c r="D26" s="59" t="str">
        <f aca="false">项目总控台账!D26</f>
        <v>部署架构</v>
      </c>
      <c r="E26" s="59" t="str">
        <f aca="false">IF(项目总控台账!E26="","",项目总控台账!E26)</f>
        <v>完成环境、网络、容灾和DevOps设计</v>
      </c>
      <c r="F26" s="59" t="str">
        <f aca="false">IF(项目总控台账!F26="","",项目总控台账!F26)</f>
        <v>MS005</v>
      </c>
      <c r="G26" s="60" t="str">
        <f aca="false">IF(项目总控台账!G26="","",项目总控台账!G26)</f>
        <v>待确认</v>
      </c>
      <c r="H26" s="59" t="str">
        <f aca="false">IF(项目总控台账!H26="","",项目总控台账!H26)</f>
        <v>配置人员</v>
      </c>
      <c r="I26" s="61" t="n">
        <f aca="false">IF(项目总控台账!I26="","",项目总控台账!I26)</f>
        <v>46265</v>
      </c>
      <c r="J26" s="61" t="n">
        <f aca="false">IF(项目总控台账!J26="","",项目总控台账!J26)</f>
        <v>46279</v>
      </c>
      <c r="K26" s="61" t="n">
        <f aca="false">IF(项目总控台账!K26="","",项目总控台账!K26)</f>
        <v>46295</v>
      </c>
      <c r="L26" s="59" t="str">
        <f aca="false">IF(项目总控台账!L26="","",项目总控台账!L26)</f>
        <v/>
      </c>
      <c r="M26" s="60" t="str">
        <f aca="false">IF(项目总控台账!M26="","",项目总控台账!M26)</f>
        <v/>
      </c>
      <c r="N26" s="61" t="str">
        <f aca="false">IF(项目总控台账!N26="","",项目总控台账!N26)</f>
        <v/>
      </c>
      <c r="O26" s="61" t="str">
        <f aca="false">IF(项目总控台账!O26="","",项目总控台账!O26)</f>
        <v/>
      </c>
      <c r="P26" s="59" t="str">
        <f aca="false">IF(项目总控台账!P26="","",项目总控台账!P26)</f>
        <v>配置人员</v>
      </c>
      <c r="Q26" s="60" t="str">
        <f aca="false">IF(项目总控台账!Q26="","",项目总控台账!Q26)</f>
        <v>待确认</v>
      </c>
      <c r="R26" s="61" t="n">
        <f aca="false">IF(项目总控台账!R26="","",项目总控台账!R26)</f>
        <v>46265</v>
      </c>
      <c r="S26" s="61" t="n">
        <f aca="false">IF(项目总控台账!S26="","",项目总控台账!S26)</f>
        <v>46279</v>
      </c>
      <c r="T26" s="59" t="str">
        <f aca="false">IF(项目总控台账!T26="","",项目总控台账!T26)</f>
        <v/>
      </c>
      <c r="U26" s="60" t="str">
        <f aca="false">IF(项目总控台账!U26="","",项目总控台账!U26)</f>
        <v/>
      </c>
      <c r="V26" s="61" t="str">
        <f aca="false">IF(项目总控台账!V26="","",项目总控台账!V26)</f>
        <v/>
      </c>
      <c r="W26" s="61" t="str">
        <f aca="false">IF(项目总控台账!W26="","",项目总控台账!W26)</f>
        <v/>
      </c>
      <c r="X26" s="59" t="str">
        <f aca="false">IF(项目总控台账!X26="","",项目总控台账!X26)</f>
        <v/>
      </c>
      <c r="Y26" s="60" t="str">
        <f aca="false">IF(项目总控台账!Y26="","",项目总控台账!Y26)</f>
        <v/>
      </c>
      <c r="Z26" s="61" t="str">
        <f aca="false">IF(项目总控台账!Z26="","",项目总控台账!Z26)</f>
        <v/>
      </c>
      <c r="AA26" s="61" t="str">
        <f aca="false">IF(项目总控台账!AA26="","",项目总控台账!AA26)</f>
        <v/>
      </c>
      <c r="AB26" s="62" t="n">
        <f aca="false">IF(项目总控台账!AB26="","",项目总控台账!AB26)</f>
        <v>0</v>
      </c>
      <c r="AC26" s="60" t="str">
        <f aca="false">IF(项目总控台账!AC26="","",项目总控台账!AC26)</f>
        <v>已延期</v>
      </c>
      <c r="AD26" s="59" t="str">
        <f aca="false">IF(项目总控台账!AD26="","",项目总控台账!AD26)</f>
        <v/>
      </c>
      <c r="AE26" s="59" t="str">
        <f aca="false">IF(项目总控台账!AE26="","",项目总控台账!AE26)</f>
        <v/>
      </c>
      <c r="AF26" s="59" t="str">
        <f aca="false">IF(项目总控台账!AF26="","",项目总控台账!AF26)</f>
        <v/>
      </c>
      <c r="AG26" s="61" t="str">
        <f aca="false">IF(项目总控台账!AG26="","",项目总控台账!AG26)</f>
        <v/>
      </c>
      <c r="AH26" s="63" t="str">
        <f aca="false">IF(项目总控台账!AH26="","",项目总控台账!AH26)</f>
        <v/>
      </c>
    </row>
    <row r="27" customFormat="false" ht="33.75" hidden="false" customHeight="true" outlineLevel="0" collapsed="false">
      <c r="A27" s="59" t="str">
        <f aca="false">IF(项目总控台账!A27="","",项目总控台账!A27)</f>
        <v>T024</v>
      </c>
      <c r="B27" s="59" t="str">
        <f aca="false">项目总控台账!B17</f>
        <v>项目规范梳理与技术架构搭建</v>
      </c>
      <c r="C27" s="59" t="str">
        <f aca="false">项目总控台账!C22</f>
        <v>技术架构基线确认</v>
      </c>
      <c r="D27" s="59" t="str">
        <f aca="false">项目总控台账!D27</f>
        <v>架构评审</v>
      </c>
      <c r="E27" s="59" t="str">
        <f aca="false">IF(项目总控台账!E27="","",项目总控台账!E27)</f>
        <v>汇编总体技术架构并完成基线评审</v>
      </c>
      <c r="F27" s="59" t="str">
        <f aca="false">IF(项目总控台账!F27="","",项目总控台账!F27)</f>
        <v>MS005</v>
      </c>
      <c r="G27" s="60" t="str">
        <f aca="false">IF(项目总控台账!G27="","",项目总控台账!G27)</f>
        <v>进行中</v>
      </c>
      <c r="H27" s="59" t="str">
        <f aca="false">IF(项目总控台账!H27="","",项目总控台账!H27)</f>
        <v>技术经理</v>
      </c>
      <c r="I27" s="61" t="n">
        <f aca="false">IF(项目总控台账!I27="","",项目总控台账!I27)</f>
        <v>46280</v>
      </c>
      <c r="J27" s="61" t="n">
        <f aca="false">IF(项目总控台账!J27="","",项目总控台账!J27)</f>
        <v>46295</v>
      </c>
      <c r="K27" s="61" t="n">
        <f aca="false">IF(项目总控台账!K27="","",项目总控台账!K27)</f>
        <v>46295</v>
      </c>
      <c r="L27" s="59" t="str">
        <f aca="false">IF(项目总控台账!L27="","",项目总控台账!L27)</f>
        <v/>
      </c>
      <c r="M27" s="60" t="str">
        <f aca="false">IF(项目总控台账!M27="","",项目总控台账!M27)</f>
        <v/>
      </c>
      <c r="N27" s="61" t="str">
        <f aca="false">IF(项目总控台账!N27="","",项目总控台账!N27)</f>
        <v/>
      </c>
      <c r="O27" s="61" t="str">
        <f aca="false">IF(项目总控台账!O27="","",项目总控台账!O27)</f>
        <v/>
      </c>
      <c r="P27" s="59" t="str">
        <f aca="false">IF(项目总控台账!P27="","",项目总控台账!P27)</f>
        <v>技术经理</v>
      </c>
      <c r="Q27" s="60" t="str">
        <f aca="false">IF(项目总控台账!Q27="","",项目总控台账!Q27)</f>
        <v>进行中</v>
      </c>
      <c r="R27" s="61" t="n">
        <f aca="false">IF(项目总控台账!R27="","",项目总控台账!R27)</f>
        <v>46280</v>
      </c>
      <c r="S27" s="61" t="n">
        <f aca="false">IF(项目总控台账!S27="","",项目总控台账!S27)</f>
        <v>46295</v>
      </c>
      <c r="T27" s="59" t="str">
        <f aca="false">IF(项目总控台账!T27="","",项目总控台账!T27)</f>
        <v/>
      </c>
      <c r="U27" s="60" t="str">
        <f aca="false">IF(项目总控台账!U27="","",项目总控台账!U27)</f>
        <v/>
      </c>
      <c r="V27" s="61" t="str">
        <f aca="false">IF(项目总控台账!V27="","",项目总控台账!V27)</f>
        <v/>
      </c>
      <c r="W27" s="61" t="str">
        <f aca="false">IF(项目总控台账!W27="","",项目总控台账!W27)</f>
        <v/>
      </c>
      <c r="X27" s="59" t="str">
        <f aca="false">IF(项目总控台账!X27="","",项目总控台账!X27)</f>
        <v/>
      </c>
      <c r="Y27" s="60" t="str">
        <f aca="false">IF(项目总控台账!Y27="","",项目总控台账!Y27)</f>
        <v/>
      </c>
      <c r="Z27" s="61" t="str">
        <f aca="false">IF(项目总控台账!Z27="","",项目总控台账!Z27)</f>
        <v/>
      </c>
      <c r="AA27" s="61" t="str">
        <f aca="false">IF(项目总控台账!AA27="","",项目总控台账!AA27)</f>
        <v/>
      </c>
      <c r="AB27" s="62" t="n">
        <f aca="false">IF(项目总控台账!AB27="","",项目总控台账!AB27)</f>
        <v>0.5</v>
      </c>
      <c r="AC27" s="60" t="str">
        <f aca="false">IF(项目总控台账!AC27="","",项目总控台账!AC27)</f>
        <v>正常</v>
      </c>
      <c r="AD27" s="59" t="str">
        <f aca="false">IF(项目总控台账!AD27="","",项目总控台账!AD27)</f>
        <v/>
      </c>
      <c r="AE27" s="59" t="str">
        <f aca="false">IF(项目总控台账!AE27="","",项目总控台账!AE27)</f>
        <v/>
      </c>
      <c r="AF27" s="59" t="str">
        <f aca="false">IF(项目总控台账!AF27="","",项目总控台账!AF27)</f>
        <v>2026-W40</v>
      </c>
      <c r="AG27" s="61" t="str">
        <f aca="false">IF(项目总控台账!AG27="","",项目总控台账!AG27)</f>
        <v/>
      </c>
      <c r="AH27" s="63" t="str">
        <f aca="false">IF(项目总控台账!AH27="","",项目总控台账!AH27)</f>
        <v/>
      </c>
    </row>
    <row r="28" customFormat="false" ht="51" hidden="false" customHeight="true" outlineLevel="0" collapsed="false">
      <c r="A28" s="59" t="str">
        <f aca="false">IF(项目总控台账!A28="","",项目总控台账!A28)</f>
        <v>T025</v>
      </c>
      <c r="B28" s="59" t="str">
        <f aca="false">项目总控台账!B17</f>
        <v>项目规范梳理与技术架构搭建</v>
      </c>
      <c r="C28" s="59" t="str">
        <f aca="false">项目总控台账!C28</f>
        <v>外部产品POC验证完成</v>
      </c>
      <c r="D28" s="59" t="str">
        <f aca="false">项目总控台账!D28</f>
        <v>POC准备</v>
      </c>
      <c r="E28" s="59" t="str">
        <f aca="false">IF(项目总控台账!E28="","",项目总控台账!E28)</f>
        <v>编制CA、电子文档、BI报表POC方案与评分标准</v>
      </c>
      <c r="F28" s="59" t="str">
        <f aca="false">IF(项目总控台账!F28="","",项目总控台账!F28)</f>
        <v>MS017</v>
      </c>
      <c r="G28" s="60" t="str">
        <f aca="false">IF(项目总控台账!G28="","",项目总控台账!G28)</f>
        <v>待确认</v>
      </c>
      <c r="H28" s="59" t="str">
        <f aca="false">IF(项目总控台账!H28="","",项目总控台账!H28)</f>
        <v>技术经理</v>
      </c>
      <c r="I28" s="61" t="n">
        <f aca="false">IF(项目总控台账!I28="","",项目总控台账!I28)</f>
        <v>46249</v>
      </c>
      <c r="J28" s="61" t="n">
        <f aca="false">IF(项目总控台账!J28="","",项目总控台账!J28)</f>
        <v>46253</v>
      </c>
      <c r="K28" s="61" t="n">
        <f aca="false">IF(项目总控台账!K28="","",项目总控台账!K28)</f>
        <v>46290</v>
      </c>
      <c r="L28" s="59" t="str">
        <f aca="false">IF(项目总控台账!L28="","",项目总控台账!L28)</f>
        <v/>
      </c>
      <c r="M28" s="60" t="str">
        <f aca="false">IF(项目总控台账!M28="","",项目总控台账!M28)</f>
        <v/>
      </c>
      <c r="N28" s="61" t="str">
        <f aca="false">IF(项目总控台账!N28="","",项目总控台账!N28)</f>
        <v/>
      </c>
      <c r="O28" s="61" t="str">
        <f aca="false">IF(项目总控台账!O28="","",项目总控台账!O28)</f>
        <v/>
      </c>
      <c r="P28" s="59" t="str">
        <f aca="false">IF(项目总控台账!P28="","",项目总控台账!P28)</f>
        <v>技术经理</v>
      </c>
      <c r="Q28" s="60" t="str">
        <f aca="false">IF(项目总控台账!Q28="","",项目总控台账!Q28)</f>
        <v>待确认</v>
      </c>
      <c r="R28" s="61" t="n">
        <f aca="false">IF(项目总控台账!R28="","",项目总控台账!R28)</f>
        <v>46249</v>
      </c>
      <c r="S28" s="61" t="n">
        <f aca="false">IF(项目总控台账!S28="","",项目总控台账!S28)</f>
        <v>46253</v>
      </c>
      <c r="T28" s="59" t="str">
        <f aca="false">IF(项目总控台账!T28="","",项目总控台账!T28)</f>
        <v/>
      </c>
      <c r="U28" s="60" t="str">
        <f aca="false">IF(项目总控台账!U28="","",项目总控台账!U28)</f>
        <v/>
      </c>
      <c r="V28" s="61" t="str">
        <f aca="false">IF(项目总控台账!V28="","",项目总控台账!V28)</f>
        <v/>
      </c>
      <c r="W28" s="61" t="str">
        <f aca="false">IF(项目总控台账!W28="","",项目总控台账!W28)</f>
        <v/>
      </c>
      <c r="X28" s="59" t="str">
        <f aca="false">IF(项目总控台账!X28="","",项目总控台账!X28)</f>
        <v/>
      </c>
      <c r="Y28" s="60" t="str">
        <f aca="false">IF(项目总控台账!Y28="","",项目总控台账!Y28)</f>
        <v/>
      </c>
      <c r="Z28" s="61" t="str">
        <f aca="false">IF(项目总控台账!Z28="","",项目总控台账!Z28)</f>
        <v/>
      </c>
      <c r="AA28" s="61" t="str">
        <f aca="false">IF(项目总控台账!AA28="","",项目总控台账!AA28)</f>
        <v/>
      </c>
      <c r="AB28" s="62" t="n">
        <f aca="false">IF(项目总控台账!AB28="","",项目总控台账!AB28)</f>
        <v>0</v>
      </c>
      <c r="AC28" s="60" t="str">
        <f aca="false">IF(项目总控台账!AC28="","",项目总控台账!AC28)</f>
        <v>已延期</v>
      </c>
      <c r="AD28" s="59" t="str">
        <f aca="false">IF(项目总控台账!AD28="","",项目总控台账!AD28)</f>
        <v/>
      </c>
      <c r="AE28" s="59" t="str">
        <f aca="false">IF(项目总控台账!AE28="","",项目总控台账!AE28)</f>
        <v>执行工具：项目启动与治理/POC评分表；评分标准完成后由联合评审组确认。</v>
      </c>
      <c r="AF28" s="59" t="str">
        <f aca="false">IF(项目总控台账!AF28="","",项目总控台账!AF28)</f>
        <v/>
      </c>
      <c r="AG28" s="61" t="str">
        <f aca="false">IF(项目总控台账!AG28="","",项目总控台账!AG28)</f>
        <v/>
      </c>
      <c r="AH28" s="63" t="str">
        <f aca="false">IF(项目总控台账!AH28="","",项目总控台账!AH28)</f>
        <v/>
      </c>
    </row>
    <row r="29" customFormat="false" ht="33.75" hidden="false" customHeight="true" outlineLevel="0" collapsed="false">
      <c r="A29" s="59" t="str">
        <f aca="false">IF(项目总控台账!A29="","",项目总控台账!A29)</f>
        <v>T026</v>
      </c>
      <c r="B29" s="59" t="str">
        <f aca="false">项目总控台账!B17</f>
        <v>项目规范梳理与技术架构搭建</v>
      </c>
      <c r="C29" s="59" t="str">
        <f aca="false">项目总控台账!C28</f>
        <v>外部产品POC验证完成</v>
      </c>
      <c r="D29" s="59" t="str">
        <f aca="false">项目总控台账!D29</f>
        <v>CA验证</v>
      </c>
      <c r="E29" s="59" t="str">
        <f aca="false">IF(项目总控台账!E29="","",项目总控台账!E29)</f>
        <v>验证证书签发、身份认证和证书管理</v>
      </c>
      <c r="F29" s="59" t="str">
        <f aca="false">IF(项目总控台账!F29="","",项目总控台账!F29)</f>
        <v>MS017</v>
      </c>
      <c r="G29" s="60" t="str">
        <f aca="false">IF(项目总控台账!G29="","",项目总控台账!G29)</f>
        <v>待确认</v>
      </c>
      <c r="H29" s="59" t="str">
        <f aca="false">IF(项目总控台账!H29="","",项目总控台账!H29)</f>
        <v>高级开发人员</v>
      </c>
      <c r="I29" s="61" t="n">
        <f aca="false">IF(项目总控台账!I29="","",项目总控台账!I29)</f>
        <v>46254</v>
      </c>
      <c r="J29" s="61" t="n">
        <f aca="false">IF(项目总控台账!J29="","",项目总控台账!J29)</f>
        <v>46258</v>
      </c>
      <c r="K29" s="61" t="n">
        <f aca="false">IF(项目总控台账!K29="","",项目总控台账!K29)</f>
        <v>46290</v>
      </c>
      <c r="L29" s="59" t="str">
        <f aca="false">IF(项目总控台账!L29="","",项目总控台账!L29)</f>
        <v/>
      </c>
      <c r="M29" s="60" t="str">
        <f aca="false">IF(项目总控台账!M29="","",项目总控台账!M29)</f>
        <v/>
      </c>
      <c r="N29" s="61" t="str">
        <f aca="false">IF(项目总控台账!N29="","",项目总控台账!N29)</f>
        <v/>
      </c>
      <c r="O29" s="61" t="str">
        <f aca="false">IF(项目总控台账!O29="","",项目总控台账!O29)</f>
        <v/>
      </c>
      <c r="P29" s="59" t="str">
        <f aca="false">IF(项目总控台账!P29="","",项目总控台账!P29)</f>
        <v>高级开发人员</v>
      </c>
      <c r="Q29" s="60" t="str">
        <f aca="false">IF(项目总控台账!Q29="","",项目总控台账!Q29)</f>
        <v>待确认</v>
      </c>
      <c r="R29" s="61" t="n">
        <f aca="false">IF(项目总控台账!R29="","",项目总控台账!R29)</f>
        <v>46254</v>
      </c>
      <c r="S29" s="61" t="n">
        <f aca="false">IF(项目总控台账!S29="","",项目总控台账!S29)</f>
        <v>46258</v>
      </c>
      <c r="T29" s="59" t="str">
        <f aca="false">IF(项目总控台账!T29="","",项目总控台账!T29)</f>
        <v/>
      </c>
      <c r="U29" s="60" t="str">
        <f aca="false">IF(项目总控台账!U29="","",项目总控台账!U29)</f>
        <v/>
      </c>
      <c r="V29" s="61" t="str">
        <f aca="false">IF(项目总控台账!V29="","",项目总控台账!V29)</f>
        <v/>
      </c>
      <c r="W29" s="61" t="str">
        <f aca="false">IF(项目总控台账!W29="","",项目总控台账!W29)</f>
        <v/>
      </c>
      <c r="X29" s="59" t="str">
        <f aca="false">IF(项目总控台账!X29="","",项目总控台账!X29)</f>
        <v/>
      </c>
      <c r="Y29" s="60" t="str">
        <f aca="false">IF(项目总控台账!Y29="","",项目总控台账!Y29)</f>
        <v/>
      </c>
      <c r="Z29" s="61" t="str">
        <f aca="false">IF(项目总控台账!Z29="","",项目总控台账!Z29)</f>
        <v/>
      </c>
      <c r="AA29" s="61" t="str">
        <f aca="false">IF(项目总控台账!AA29="","",项目总控台账!AA29)</f>
        <v/>
      </c>
      <c r="AB29" s="62" t="n">
        <f aca="false">IF(项目总控台账!AB29="","",项目总控台账!AB29)</f>
        <v>0</v>
      </c>
      <c r="AC29" s="60" t="str">
        <f aca="false">IF(项目总控台账!AC29="","",项目总控台账!AC29)</f>
        <v>已延期</v>
      </c>
      <c r="AD29" s="59" t="str">
        <f aca="false">IF(项目总控台账!AD29="","",项目总控台账!AD29)</f>
        <v/>
      </c>
      <c r="AE29" s="59" t="str">
        <f aca="false">IF(项目总控台账!AE29="","",项目总控台账!AE29)</f>
        <v/>
      </c>
      <c r="AF29" s="59" t="str">
        <f aca="false">IF(项目总控台账!AF29="","",项目总控台账!AF29)</f>
        <v/>
      </c>
      <c r="AG29" s="61" t="str">
        <f aca="false">IF(项目总控台账!AG29="","",项目总控台账!AG29)</f>
        <v/>
      </c>
      <c r="AH29" s="63" t="str">
        <f aca="false">IF(项目总控台账!AH29="","",项目总控台账!AH29)</f>
        <v/>
      </c>
    </row>
    <row r="30" customFormat="false" ht="33.75" hidden="false" customHeight="true" outlineLevel="0" collapsed="false">
      <c r="A30" s="59" t="str">
        <f aca="false">IF(项目总控台账!A30="","",项目总控台账!A30)</f>
        <v>T027</v>
      </c>
      <c r="B30" s="59" t="str">
        <f aca="false">项目总控台账!B17</f>
        <v>项目规范梳理与技术架构搭建</v>
      </c>
      <c r="C30" s="59" t="str">
        <f aca="false">项目总控台账!C28</f>
        <v>外部产品POC验证完成</v>
      </c>
      <c r="D30" s="59" t="str">
        <f aca="false">项目总控台账!D29</f>
        <v>CA验证</v>
      </c>
      <c r="E30" s="59" t="str">
        <f aca="false">IF(项目总控台账!E30="","",项目总控台账!E30)</f>
        <v>验证电子签名、验签、时间戳和审计追溯</v>
      </c>
      <c r="F30" s="59" t="str">
        <f aca="false">IF(项目总控台账!F30="","",项目总控台账!F30)</f>
        <v>MS017</v>
      </c>
      <c r="G30" s="60" t="str">
        <f aca="false">IF(项目总控台账!G30="","",项目总控台账!G30)</f>
        <v>待确认</v>
      </c>
      <c r="H30" s="59" t="str">
        <f aca="false">IF(项目总控台账!H30="","",项目总控台账!H30)</f>
        <v>高级测试人员、中级测试人员</v>
      </c>
      <c r="I30" s="61" t="n">
        <f aca="false">IF(项目总控台账!I30="","",项目总控台账!I30)</f>
        <v>46259</v>
      </c>
      <c r="J30" s="61" t="n">
        <f aca="false">IF(项目总控台账!J30="","",项目总控台账!J30)</f>
        <v>46263</v>
      </c>
      <c r="K30" s="61" t="n">
        <f aca="false">IF(项目总控台账!K30="","",项目总控台账!K30)</f>
        <v>46290</v>
      </c>
      <c r="L30" s="59" t="str">
        <f aca="false">IF(项目总控台账!L30="","",项目总控台账!L30)</f>
        <v/>
      </c>
      <c r="M30" s="60" t="str">
        <f aca="false">IF(项目总控台账!M30="","",项目总控台账!M30)</f>
        <v/>
      </c>
      <c r="N30" s="61" t="str">
        <f aca="false">IF(项目总控台账!N30="","",项目总控台账!N30)</f>
        <v/>
      </c>
      <c r="O30" s="61" t="str">
        <f aca="false">IF(项目总控台账!O30="","",项目总控台账!O30)</f>
        <v/>
      </c>
      <c r="P30" s="59" t="str">
        <f aca="false">IF(项目总控台账!P30="","",项目总控台账!P30)</f>
        <v/>
      </c>
      <c r="Q30" s="60" t="str">
        <f aca="false">IF(项目总控台账!Q30="","",项目总控台账!Q30)</f>
        <v/>
      </c>
      <c r="R30" s="61" t="str">
        <f aca="false">IF(项目总控台账!R30="","",项目总控台账!R30)</f>
        <v/>
      </c>
      <c r="S30" s="61" t="str">
        <f aca="false">IF(项目总控台账!S30="","",项目总控台账!S30)</f>
        <v/>
      </c>
      <c r="T30" s="59" t="str">
        <f aca="false">IF(项目总控台账!T30="","",项目总控台账!T30)</f>
        <v/>
      </c>
      <c r="U30" s="60" t="str">
        <f aca="false">IF(项目总控台账!U30="","",项目总控台账!U30)</f>
        <v/>
      </c>
      <c r="V30" s="61" t="str">
        <f aca="false">IF(项目总控台账!V30="","",项目总控台账!V30)</f>
        <v/>
      </c>
      <c r="W30" s="61" t="str">
        <f aca="false">IF(项目总控台账!W30="","",项目总控台账!W30)</f>
        <v/>
      </c>
      <c r="X30" s="59" t="str">
        <f aca="false">IF(项目总控台账!X30="","",项目总控台账!X30)</f>
        <v>高级测试人员、中级测试人员</v>
      </c>
      <c r="Y30" s="60" t="str">
        <f aca="false">IF(项目总控台账!Y30="","",项目总控台账!Y30)</f>
        <v>待确认</v>
      </c>
      <c r="Z30" s="61" t="n">
        <f aca="false">IF(项目总控台账!Z30="","",项目总控台账!Z30)</f>
        <v>46259</v>
      </c>
      <c r="AA30" s="61" t="n">
        <f aca="false">IF(项目总控台账!AA30="","",项目总控台账!AA30)</f>
        <v>46263</v>
      </c>
      <c r="AB30" s="62" t="n">
        <f aca="false">IF(项目总控台账!AB30="","",项目总控台账!AB30)</f>
        <v>0</v>
      </c>
      <c r="AC30" s="60" t="str">
        <f aca="false">IF(项目总控台账!AC30="","",项目总控台账!AC30)</f>
        <v>已延期</v>
      </c>
      <c r="AD30" s="59" t="str">
        <f aca="false">IF(项目总控台账!AD30="","",项目总控台账!AD30)</f>
        <v/>
      </c>
      <c r="AE30" s="59" t="str">
        <f aca="false">IF(项目总控台账!AE30="","",项目总控台账!AE30)</f>
        <v/>
      </c>
      <c r="AF30" s="59" t="str">
        <f aca="false">IF(项目总控台账!AF30="","",项目总控台账!AF30)</f>
        <v/>
      </c>
      <c r="AG30" s="61" t="str">
        <f aca="false">IF(项目总控台账!AG30="","",项目总控台账!AG30)</f>
        <v/>
      </c>
      <c r="AH30" s="63" t="str">
        <f aca="false">IF(项目总控台账!AH30="","",项目总控台账!AH30)</f>
        <v/>
      </c>
    </row>
    <row r="31" customFormat="false" ht="33.75" hidden="false" customHeight="true" outlineLevel="0" collapsed="false">
      <c r="A31" s="59" t="str">
        <f aca="false">IF(项目总控台账!A31="","",项目总控台账!A31)</f>
        <v>T028</v>
      </c>
      <c r="B31" s="59" t="str">
        <f aca="false">项目总控台账!B17</f>
        <v>项目规范梳理与技术架构搭建</v>
      </c>
      <c r="C31" s="59" t="str">
        <f aca="false">项目总控台账!C28</f>
        <v>外部产品POC验证完成</v>
      </c>
      <c r="D31" s="59" t="str">
        <f aca="false">项目总控台账!D31</f>
        <v>电子文档验证</v>
      </c>
      <c r="E31" s="59" t="str">
        <f aca="false">IF(项目总控台账!E31="","",项目总控台账!E31)</f>
        <v>验证模板生成、在线预览和格式转换</v>
      </c>
      <c r="F31" s="59" t="str">
        <f aca="false">IF(项目总控台账!F31="","",项目总控台账!F31)</f>
        <v>MS017</v>
      </c>
      <c r="G31" s="60" t="str">
        <f aca="false">IF(项目总控台账!G31="","",项目总控台账!G31)</f>
        <v>待确认</v>
      </c>
      <c r="H31" s="59" t="str">
        <f aca="false">IF(项目总控台账!H31="","",项目总控台账!H31)</f>
        <v>中级开发人员</v>
      </c>
      <c r="I31" s="61" t="n">
        <f aca="false">IF(项目总控台账!I31="","",项目总控台账!I31)</f>
        <v>46264</v>
      </c>
      <c r="J31" s="61" t="n">
        <f aca="false">IF(项目总控台账!J31="","",项目总控台账!J31)</f>
        <v>46269</v>
      </c>
      <c r="K31" s="61" t="n">
        <f aca="false">IF(项目总控台账!K31="","",项目总控台账!K31)</f>
        <v>46290</v>
      </c>
      <c r="L31" s="59" t="str">
        <f aca="false">IF(项目总控台账!L31="","",项目总控台账!L31)</f>
        <v/>
      </c>
      <c r="M31" s="60" t="str">
        <f aca="false">IF(项目总控台账!M31="","",项目总控台账!M31)</f>
        <v/>
      </c>
      <c r="N31" s="61" t="str">
        <f aca="false">IF(项目总控台账!N31="","",项目总控台账!N31)</f>
        <v/>
      </c>
      <c r="O31" s="61" t="str">
        <f aca="false">IF(项目总控台账!O31="","",项目总控台账!O31)</f>
        <v/>
      </c>
      <c r="P31" s="59" t="str">
        <f aca="false">IF(项目总控台账!P31="","",项目总控台账!P31)</f>
        <v/>
      </c>
      <c r="Q31" s="60" t="str">
        <f aca="false">IF(项目总控台账!Q31="","",项目总控台账!Q31)</f>
        <v/>
      </c>
      <c r="R31" s="61" t="str">
        <f aca="false">IF(项目总控台账!R31="","",项目总控台账!R31)</f>
        <v/>
      </c>
      <c r="S31" s="61" t="str">
        <f aca="false">IF(项目总控台账!S31="","",项目总控台账!S31)</f>
        <v/>
      </c>
      <c r="T31" s="59" t="str">
        <f aca="false">IF(项目总控台账!T31="","",项目总控台账!T31)</f>
        <v>中级开发人员</v>
      </c>
      <c r="U31" s="60" t="str">
        <f aca="false">IF(项目总控台账!U31="","",项目总控台账!U31)</f>
        <v>待确认</v>
      </c>
      <c r="V31" s="61" t="n">
        <f aca="false">IF(项目总控台账!V31="","",项目总控台账!V31)</f>
        <v>46264</v>
      </c>
      <c r="W31" s="61" t="n">
        <f aca="false">IF(项目总控台账!W31="","",项目总控台账!W31)</f>
        <v>46269</v>
      </c>
      <c r="X31" s="59" t="str">
        <f aca="false">IF(项目总控台账!X31="","",项目总控台账!X31)</f>
        <v/>
      </c>
      <c r="Y31" s="60" t="str">
        <f aca="false">IF(项目总控台账!Y31="","",项目总控台账!Y31)</f>
        <v/>
      </c>
      <c r="Z31" s="61" t="str">
        <f aca="false">IF(项目总控台账!Z31="","",项目总控台账!Z31)</f>
        <v/>
      </c>
      <c r="AA31" s="61" t="str">
        <f aca="false">IF(项目总控台账!AA31="","",项目总控台账!AA31)</f>
        <v/>
      </c>
      <c r="AB31" s="62" t="n">
        <f aca="false">IF(项目总控台账!AB31="","",项目总控台账!AB31)</f>
        <v>0</v>
      </c>
      <c r="AC31" s="60" t="str">
        <f aca="false">IF(项目总控台账!AC31="","",项目总控台账!AC31)</f>
        <v>已延期</v>
      </c>
      <c r="AD31" s="59" t="str">
        <f aca="false">IF(项目总控台账!AD31="","",项目总控台账!AD31)</f>
        <v/>
      </c>
      <c r="AE31" s="59" t="str">
        <f aca="false">IF(项目总控台账!AE31="","",项目总控台账!AE31)</f>
        <v/>
      </c>
      <c r="AF31" s="59" t="str">
        <f aca="false">IF(项目总控台账!AF31="","",项目总控台账!AF31)</f>
        <v/>
      </c>
      <c r="AG31" s="61" t="str">
        <f aca="false">IF(项目总控台账!AG31="","",项目总控台账!AG31)</f>
        <v/>
      </c>
      <c r="AH31" s="63" t="str">
        <f aca="false">IF(项目总控台账!AH31="","",项目总控台账!AH31)</f>
        <v/>
      </c>
    </row>
    <row r="32" customFormat="false" ht="33.75" hidden="false" customHeight="true" outlineLevel="0" collapsed="false">
      <c r="A32" s="59" t="str">
        <f aca="false">IF(项目总控台账!A32="","",项目总控台账!A32)</f>
        <v>T029</v>
      </c>
      <c r="B32" s="59" t="str">
        <f aca="false">项目总控台账!B17</f>
        <v>项目规范梳理与技术架构搭建</v>
      </c>
      <c r="C32" s="59" t="str">
        <f aca="false">项目总控台账!C28</f>
        <v>外部产品POC验证完成</v>
      </c>
      <c r="D32" s="59" t="str">
        <f aca="false">项目总控台账!D31</f>
        <v>电子文档验证</v>
      </c>
      <c r="E32" s="59" t="str">
        <f aca="false">IF(项目总控台账!E32="","",项目总控台账!E32)</f>
        <v>验证水印、权限控制、归档和大文件性能</v>
      </c>
      <c r="F32" s="59" t="str">
        <f aca="false">IF(项目总控台账!F32="","",项目总控台账!F32)</f>
        <v>MS017</v>
      </c>
      <c r="G32" s="60" t="str">
        <f aca="false">IF(项目总控台账!G32="","",项目总控台账!G32)</f>
        <v>待确认</v>
      </c>
      <c r="H32" s="59" t="str">
        <f aca="false">IF(项目总控台账!H32="","",项目总控台账!H32)</f>
        <v>高级测试人员、中级测试人员</v>
      </c>
      <c r="I32" s="61" t="n">
        <f aca="false">IF(项目总控台账!I32="","",项目总控台账!I32)</f>
        <v>46270</v>
      </c>
      <c r="J32" s="61" t="n">
        <f aca="false">IF(项目总控台账!J32="","",项目总控台账!J32)</f>
        <v>46274</v>
      </c>
      <c r="K32" s="61" t="n">
        <f aca="false">IF(项目总控台账!K32="","",项目总控台账!K32)</f>
        <v>46290</v>
      </c>
      <c r="L32" s="59" t="str">
        <f aca="false">IF(项目总控台账!L32="","",项目总控台账!L32)</f>
        <v/>
      </c>
      <c r="M32" s="60" t="str">
        <f aca="false">IF(项目总控台账!M32="","",项目总控台账!M32)</f>
        <v/>
      </c>
      <c r="N32" s="61" t="str">
        <f aca="false">IF(项目总控台账!N32="","",项目总控台账!N32)</f>
        <v/>
      </c>
      <c r="O32" s="61" t="str">
        <f aca="false">IF(项目总控台账!O32="","",项目总控台账!O32)</f>
        <v/>
      </c>
      <c r="P32" s="59" t="str">
        <f aca="false">IF(项目总控台账!P32="","",项目总控台账!P32)</f>
        <v/>
      </c>
      <c r="Q32" s="60" t="str">
        <f aca="false">IF(项目总控台账!Q32="","",项目总控台账!Q32)</f>
        <v/>
      </c>
      <c r="R32" s="61" t="str">
        <f aca="false">IF(项目总控台账!R32="","",项目总控台账!R32)</f>
        <v/>
      </c>
      <c r="S32" s="61" t="str">
        <f aca="false">IF(项目总控台账!S32="","",项目总控台账!S32)</f>
        <v/>
      </c>
      <c r="T32" s="59" t="str">
        <f aca="false">IF(项目总控台账!T32="","",项目总控台账!T32)</f>
        <v/>
      </c>
      <c r="U32" s="60" t="str">
        <f aca="false">IF(项目总控台账!U32="","",项目总控台账!U32)</f>
        <v/>
      </c>
      <c r="V32" s="61" t="str">
        <f aca="false">IF(项目总控台账!V32="","",项目总控台账!V32)</f>
        <v/>
      </c>
      <c r="W32" s="61" t="str">
        <f aca="false">IF(项目总控台账!W32="","",项目总控台账!W32)</f>
        <v/>
      </c>
      <c r="X32" s="59" t="str">
        <f aca="false">IF(项目总控台账!X32="","",项目总控台账!X32)</f>
        <v>高级测试人员、中级测试人员</v>
      </c>
      <c r="Y32" s="60" t="str">
        <f aca="false">IF(项目总控台账!Y32="","",项目总控台账!Y32)</f>
        <v>待确认</v>
      </c>
      <c r="Z32" s="61" t="n">
        <f aca="false">IF(项目总控台账!Z32="","",项目总控台账!Z32)</f>
        <v>46270</v>
      </c>
      <c r="AA32" s="61" t="n">
        <f aca="false">IF(项目总控台账!AA32="","",项目总控台账!AA32)</f>
        <v>46274</v>
      </c>
      <c r="AB32" s="62" t="n">
        <f aca="false">IF(项目总控台账!AB32="","",项目总控台账!AB32)</f>
        <v>0</v>
      </c>
      <c r="AC32" s="60" t="str">
        <f aca="false">IF(项目总控台账!AC32="","",项目总控台账!AC32)</f>
        <v>已延期</v>
      </c>
      <c r="AD32" s="59" t="str">
        <f aca="false">IF(项目总控台账!AD32="","",项目总控台账!AD32)</f>
        <v/>
      </c>
      <c r="AE32" s="59" t="str">
        <f aca="false">IF(项目总控台账!AE32="","",项目总控台账!AE32)</f>
        <v/>
      </c>
      <c r="AF32" s="59" t="str">
        <f aca="false">IF(项目总控台账!AF32="","",项目总控台账!AF32)</f>
        <v/>
      </c>
      <c r="AG32" s="61" t="str">
        <f aca="false">IF(项目总控台账!AG32="","",项目总控台账!AG32)</f>
        <v/>
      </c>
      <c r="AH32" s="63" t="str">
        <f aca="false">IF(项目总控台账!AH32="","",项目总控台账!AH32)</f>
        <v/>
      </c>
    </row>
    <row r="33" customFormat="false" ht="33.75" hidden="false" customHeight="true" outlineLevel="0" collapsed="false">
      <c r="A33" s="59" t="str">
        <f aca="false">IF(项目总控台账!A33="","",项目总控台账!A33)</f>
        <v>T030</v>
      </c>
      <c r="B33" s="59" t="str">
        <f aca="false">项目总控台账!B17</f>
        <v>项目规范梳理与技术架构搭建</v>
      </c>
      <c r="C33" s="59" t="str">
        <f aca="false">项目总控台账!C28</f>
        <v>外部产品POC验证完成</v>
      </c>
      <c r="D33" s="59" t="str">
        <f aca="false">项目总控台账!D33</f>
        <v>BI报表验证</v>
      </c>
      <c r="E33" s="59" t="str">
        <f aca="false">IF(项目总控台账!E33="","",项目总控台账!E33)</f>
        <v>验证数据接入、指标模型和经营报表</v>
      </c>
      <c r="F33" s="59" t="str">
        <f aca="false">IF(项目总控台账!F33="","",项目总控台账!F33)</f>
        <v>MS017</v>
      </c>
      <c r="G33" s="60" t="str">
        <f aca="false">IF(项目总控台账!G33="","",项目总控台账!G33)</f>
        <v>待确认</v>
      </c>
      <c r="H33" s="59" t="str">
        <f aca="false">IF(项目总控台账!H33="","",项目总控台账!H33)</f>
        <v>高级开发人员</v>
      </c>
      <c r="I33" s="61" t="n">
        <f aca="false">IF(项目总控台账!I33="","",项目总控台账!I33)</f>
        <v>46275</v>
      </c>
      <c r="J33" s="61" t="n">
        <f aca="false">IF(项目总控台账!J33="","",项目总控台账!J33)</f>
        <v>46279</v>
      </c>
      <c r="K33" s="61" t="n">
        <f aca="false">IF(项目总控台账!K33="","",项目总控台账!K33)</f>
        <v>46290</v>
      </c>
      <c r="L33" s="59" t="str">
        <f aca="false">IF(项目总控台账!L33="","",项目总控台账!L33)</f>
        <v/>
      </c>
      <c r="M33" s="60" t="str">
        <f aca="false">IF(项目总控台账!M33="","",项目总控台账!M33)</f>
        <v/>
      </c>
      <c r="N33" s="61" t="str">
        <f aca="false">IF(项目总控台账!N33="","",项目总控台账!N33)</f>
        <v/>
      </c>
      <c r="O33" s="61" t="str">
        <f aca="false">IF(项目总控台账!O33="","",项目总控台账!O33)</f>
        <v/>
      </c>
      <c r="P33" s="59" t="str">
        <f aca="false">IF(项目总控台账!P33="","",项目总控台账!P33)</f>
        <v>高级开发人员</v>
      </c>
      <c r="Q33" s="60" t="str">
        <f aca="false">IF(项目总控台账!Q33="","",项目总控台账!Q33)</f>
        <v>待确认</v>
      </c>
      <c r="R33" s="61" t="n">
        <f aca="false">IF(项目总控台账!R33="","",项目总控台账!R33)</f>
        <v>46275</v>
      </c>
      <c r="S33" s="61" t="n">
        <f aca="false">IF(项目总控台账!S33="","",项目总控台账!S33)</f>
        <v>46279</v>
      </c>
      <c r="T33" s="59" t="str">
        <f aca="false">IF(项目总控台账!T33="","",项目总控台账!T33)</f>
        <v/>
      </c>
      <c r="U33" s="60" t="str">
        <f aca="false">IF(项目总控台账!U33="","",项目总控台账!U33)</f>
        <v/>
      </c>
      <c r="V33" s="61" t="str">
        <f aca="false">IF(项目总控台账!V33="","",项目总控台账!V33)</f>
        <v/>
      </c>
      <c r="W33" s="61" t="str">
        <f aca="false">IF(项目总控台账!W33="","",项目总控台账!W33)</f>
        <v/>
      </c>
      <c r="X33" s="59" t="str">
        <f aca="false">IF(项目总控台账!X33="","",项目总控台账!X33)</f>
        <v/>
      </c>
      <c r="Y33" s="60" t="str">
        <f aca="false">IF(项目总控台账!Y33="","",项目总控台账!Y33)</f>
        <v/>
      </c>
      <c r="Z33" s="61" t="str">
        <f aca="false">IF(项目总控台账!Z33="","",项目总控台账!Z33)</f>
        <v/>
      </c>
      <c r="AA33" s="61" t="str">
        <f aca="false">IF(项目总控台账!AA33="","",项目总控台账!AA33)</f>
        <v/>
      </c>
      <c r="AB33" s="62" t="n">
        <f aca="false">IF(项目总控台账!AB33="","",项目总控台账!AB33)</f>
        <v>0</v>
      </c>
      <c r="AC33" s="60" t="str">
        <f aca="false">IF(项目总控台账!AC33="","",项目总控台账!AC33)</f>
        <v>已延期</v>
      </c>
      <c r="AD33" s="59" t="str">
        <f aca="false">IF(项目总控台账!AD33="","",项目总控台账!AD33)</f>
        <v/>
      </c>
      <c r="AE33" s="59" t="str">
        <f aca="false">IF(项目总控台账!AE33="","",项目总控台账!AE33)</f>
        <v/>
      </c>
      <c r="AF33" s="59" t="str">
        <f aca="false">IF(项目总控台账!AF33="","",项目总控台账!AF33)</f>
        <v/>
      </c>
      <c r="AG33" s="61" t="str">
        <f aca="false">IF(项目总控台账!AG33="","",项目总控台账!AG33)</f>
        <v/>
      </c>
      <c r="AH33" s="63" t="str">
        <f aca="false">IF(项目总控台账!AH33="","",项目总控台账!AH33)</f>
        <v/>
      </c>
    </row>
    <row r="34" customFormat="false" ht="33.75" hidden="false" customHeight="true" outlineLevel="0" collapsed="false">
      <c r="A34" s="59" t="str">
        <f aca="false">IF(项目总控台账!A34="","",项目总控台账!A34)</f>
        <v>T031</v>
      </c>
      <c r="B34" s="59" t="str">
        <f aca="false">项目总控台账!B17</f>
        <v>项目规范梳理与技术架构搭建</v>
      </c>
      <c r="C34" s="59" t="str">
        <f aca="false">项目总控台账!C28</f>
        <v>外部产品POC验证完成</v>
      </c>
      <c r="D34" s="59" t="str">
        <f aca="false">项目总控台账!D33</f>
        <v>BI报表验证</v>
      </c>
      <c r="E34" s="59" t="str">
        <f aca="false">IF(项目总控台账!E34="","",项目总控台账!E34)</f>
        <v>验证权限、钻取、导出和查询性能</v>
      </c>
      <c r="F34" s="59" t="str">
        <f aca="false">IF(项目总控台账!F34="","",项目总控台账!F34)</f>
        <v>MS017</v>
      </c>
      <c r="G34" s="60" t="str">
        <f aca="false">IF(项目总控台账!G34="","",项目总控台账!G34)</f>
        <v>进行中</v>
      </c>
      <c r="H34" s="59" t="str">
        <f aca="false">IF(项目总控台账!H34="","",项目总控台账!H34)</f>
        <v>高级测试人员、中级测试人员</v>
      </c>
      <c r="I34" s="61" t="n">
        <f aca="false">IF(项目总控台账!I34="","",项目总控台账!I34)</f>
        <v>46280</v>
      </c>
      <c r="J34" s="61" t="n">
        <f aca="false">IF(项目总控台账!J34="","",项目总控台账!J34)</f>
        <v>46284</v>
      </c>
      <c r="K34" s="61" t="n">
        <f aca="false">IF(项目总控台账!K34="","",项目总控台账!K34)</f>
        <v>46290</v>
      </c>
      <c r="L34" s="59" t="str">
        <f aca="false">IF(项目总控台账!L34="","",项目总控台账!L34)</f>
        <v/>
      </c>
      <c r="M34" s="60" t="str">
        <f aca="false">IF(项目总控台账!M34="","",项目总控台账!M34)</f>
        <v/>
      </c>
      <c r="N34" s="61" t="str">
        <f aca="false">IF(项目总控台账!N34="","",项目总控台账!N34)</f>
        <v/>
      </c>
      <c r="O34" s="61" t="str">
        <f aca="false">IF(项目总控台账!O34="","",项目总控台账!O34)</f>
        <v/>
      </c>
      <c r="P34" s="59" t="str">
        <f aca="false">IF(项目总控台账!P34="","",项目总控台账!P34)</f>
        <v/>
      </c>
      <c r="Q34" s="60" t="str">
        <f aca="false">IF(项目总控台账!Q34="","",项目总控台账!Q34)</f>
        <v/>
      </c>
      <c r="R34" s="61" t="str">
        <f aca="false">IF(项目总控台账!R34="","",项目总控台账!R34)</f>
        <v/>
      </c>
      <c r="S34" s="61" t="str">
        <f aca="false">IF(项目总控台账!S34="","",项目总控台账!S34)</f>
        <v/>
      </c>
      <c r="T34" s="59" t="str">
        <f aca="false">IF(项目总控台账!T34="","",项目总控台账!T34)</f>
        <v/>
      </c>
      <c r="U34" s="60" t="str">
        <f aca="false">IF(项目总控台账!U34="","",项目总控台账!U34)</f>
        <v/>
      </c>
      <c r="V34" s="61" t="str">
        <f aca="false">IF(项目总控台账!V34="","",项目总控台账!V34)</f>
        <v/>
      </c>
      <c r="W34" s="61" t="str">
        <f aca="false">IF(项目总控台账!W34="","",项目总控台账!W34)</f>
        <v/>
      </c>
      <c r="X34" s="59" t="str">
        <f aca="false">IF(项目总控台账!X34="","",项目总控台账!X34)</f>
        <v>高级测试人员、中级测试人员</v>
      </c>
      <c r="Y34" s="60" t="str">
        <f aca="false">IF(项目总控台账!Y34="","",项目总控台账!Y34)</f>
        <v>进行中</v>
      </c>
      <c r="Z34" s="61" t="n">
        <f aca="false">IF(项目总控台账!Z34="","",项目总控台账!Z34)</f>
        <v>46280</v>
      </c>
      <c r="AA34" s="61" t="n">
        <f aca="false">IF(项目总控台账!AA34="","",项目总控台账!AA34)</f>
        <v>46284</v>
      </c>
      <c r="AB34" s="62" t="n">
        <f aca="false">IF(项目总控台账!AB34="","",项目总控台账!AB34)</f>
        <v>0.5</v>
      </c>
      <c r="AC34" s="60" t="str">
        <f aca="false">IF(项目总控台账!AC34="","",项目总控台账!AC34)</f>
        <v>临近到期</v>
      </c>
      <c r="AD34" s="59" t="str">
        <f aca="false">IF(项目总控台账!AD34="","",项目总控台账!AD34)</f>
        <v/>
      </c>
      <c r="AE34" s="59" t="str">
        <f aca="false">IF(项目总控台账!AE34="","",项目总控台账!AE34)</f>
        <v/>
      </c>
      <c r="AF34" s="59" t="str">
        <f aca="false">IF(项目总控台账!AF34="","",项目总控台账!AF34)</f>
        <v>2026-W40</v>
      </c>
      <c r="AG34" s="61" t="str">
        <f aca="false">IF(项目总控台账!AG34="","",项目总控台账!AG34)</f>
        <v/>
      </c>
      <c r="AH34" s="63" t="str">
        <f aca="false">IF(项目总控台账!AH34="","",项目总控台账!AH34)</f>
        <v/>
      </c>
    </row>
    <row r="35" customFormat="false" ht="51" hidden="false" customHeight="true" outlineLevel="0" collapsed="false">
      <c r="A35" s="59" t="str">
        <f aca="false">IF(项目总控台账!A35="","",项目总控台账!A35)</f>
        <v>T032</v>
      </c>
      <c r="B35" s="59" t="str">
        <f aca="false">项目总控台账!B17</f>
        <v>项目规范梳理与技术架构搭建</v>
      </c>
      <c r="C35" s="59" t="str">
        <f aca="false">项目总控台账!C28</f>
        <v>外部产品POC验证完成</v>
      </c>
      <c r="D35" s="59" t="str">
        <f aca="false">项目总控台账!D35</f>
        <v>POC结论</v>
      </c>
      <c r="E35" s="59" t="str">
        <f aca="false">IF(项目总控台账!E35="","",项目总控台账!E35)</f>
        <v>汇总问题清单、适配结论和产品选型建议</v>
      </c>
      <c r="F35" s="59" t="str">
        <f aca="false">IF(项目总控台账!F35="","",项目总控台账!F35)</f>
        <v>MS017</v>
      </c>
      <c r="G35" s="60" t="str">
        <f aca="false">IF(项目总控台账!G35="","",项目总控台账!G35)</f>
        <v>未开始</v>
      </c>
      <c r="H35" s="59" t="str">
        <f aca="false">IF(项目总控台账!H35="","",项目总控台账!H35)</f>
        <v>项目经理</v>
      </c>
      <c r="I35" s="61" t="n">
        <f aca="false">IF(项目总控台账!I35="","",项目总控台账!I35)</f>
        <v>46285</v>
      </c>
      <c r="J35" s="61" t="n">
        <f aca="false">IF(项目总控台账!J35="","",项目总控台账!J35)</f>
        <v>46290</v>
      </c>
      <c r="K35" s="61" t="n">
        <f aca="false">IF(项目总控台账!K35="","",项目总控台账!K35)</f>
        <v>46290</v>
      </c>
      <c r="L35" s="59" t="str">
        <f aca="false">IF(项目总控台账!L35="","",项目总控台账!L35)</f>
        <v>项目经理</v>
      </c>
      <c r="M35" s="60" t="str">
        <f aca="false">IF(项目总控台账!M35="","",项目总控台账!M35)</f>
        <v>未开始</v>
      </c>
      <c r="N35" s="61" t="n">
        <f aca="false">IF(项目总控台账!N35="","",项目总控台账!N35)</f>
        <v>46285</v>
      </c>
      <c r="O35" s="61" t="n">
        <f aca="false">IF(项目总控台账!O35="","",项目总控台账!O35)</f>
        <v>46290</v>
      </c>
      <c r="P35" s="59" t="str">
        <f aca="false">IF(项目总控台账!P35="","",项目总控台账!P35)</f>
        <v/>
      </c>
      <c r="Q35" s="60" t="str">
        <f aca="false">IF(项目总控台账!Q35="","",项目总控台账!Q35)</f>
        <v/>
      </c>
      <c r="R35" s="61" t="str">
        <f aca="false">IF(项目总控台账!R35="","",项目总控台账!R35)</f>
        <v/>
      </c>
      <c r="S35" s="61" t="str">
        <f aca="false">IF(项目总控台账!S35="","",项目总控台账!S35)</f>
        <v/>
      </c>
      <c r="T35" s="59" t="str">
        <f aca="false">IF(项目总控台账!T35="","",项目总控台账!T35)</f>
        <v/>
      </c>
      <c r="U35" s="60" t="str">
        <f aca="false">IF(项目总控台账!U35="","",项目总控台账!U35)</f>
        <v/>
      </c>
      <c r="V35" s="61" t="str">
        <f aca="false">IF(项目总控台账!V35="","",项目总控台账!V35)</f>
        <v/>
      </c>
      <c r="W35" s="61" t="str">
        <f aca="false">IF(项目总控台账!W35="","",项目总控台账!W35)</f>
        <v/>
      </c>
      <c r="X35" s="59" t="str">
        <f aca="false">IF(项目总控台账!X35="","",项目总控台账!X35)</f>
        <v/>
      </c>
      <c r="Y35" s="60" t="str">
        <f aca="false">IF(项目总控台账!Y35="","",项目总控台账!Y35)</f>
        <v/>
      </c>
      <c r="Z35" s="61" t="str">
        <f aca="false">IF(项目总控台账!Z35="","",项目总控台账!Z35)</f>
        <v/>
      </c>
      <c r="AA35" s="61" t="str">
        <f aca="false">IF(项目总控台账!AA35="","",项目总控台账!AA35)</f>
        <v/>
      </c>
      <c r="AB35" s="62" t="n">
        <f aca="false">IF(项目总控台账!AB35="","",项目总控台账!AB35)</f>
        <v>0</v>
      </c>
      <c r="AC35" s="60" t="str">
        <f aca="false">IF(项目总控台账!AC35="","",项目总控台账!AC35)</f>
        <v>正常</v>
      </c>
      <c r="AD35" s="59" t="str">
        <f aca="false">IF(项目总控台账!AD35="","",项目总控台账!AD35)</f>
        <v/>
      </c>
      <c r="AE35" s="59" t="str">
        <f aca="false">IF(项目总控台账!AE35="","",项目总控台账!AE35)</f>
        <v>执行工具：项目启动与治理/供应商POC计划、POC评分表；输出选型建议。</v>
      </c>
      <c r="AF35" s="59" t="str">
        <f aca="false">IF(项目总控台账!AF35="","",项目总控台账!AF35)</f>
        <v/>
      </c>
      <c r="AG35" s="61" t="str">
        <f aca="false">IF(项目总控台账!AG35="","",项目总控台账!AG35)</f>
        <v/>
      </c>
      <c r="AH35" s="63" t="str">
        <f aca="false">IF(项目总控台账!AH35="","",项目总控台账!AH35)</f>
        <v/>
      </c>
    </row>
    <row r="36" customFormat="false" ht="16.5" hidden="false" customHeight="true" outlineLevel="0" collapsed="false">
      <c r="A36" s="59" t="str">
        <f aca="false">IF(项目总控台账!A36="","",项目总控台账!A36)</f>
        <v>T033</v>
      </c>
      <c r="B36" s="59" t="str">
        <f aca="false">项目总控台账!B36</f>
        <v>正式启动准备</v>
      </c>
      <c r="C36" s="59" t="str">
        <f aca="false">项目总控台账!C36</f>
        <v>启动准备评审通过</v>
      </c>
      <c r="D36" s="59" t="str">
        <f aca="false">项目总控台账!D36</f>
        <v>启动准备</v>
      </c>
      <c r="E36" s="59" t="str">
        <f aca="false">IF(项目总控台账!E36="","",项目总控台账!E36)</f>
        <v>编制并审批项目章程</v>
      </c>
      <c r="F36" s="59" t="str">
        <f aca="false">IF(项目总控台账!F36="","",项目总控台账!F36)</f>
        <v>MS006</v>
      </c>
      <c r="G36" s="60" t="str">
        <f aca="false">IF(项目总控台账!G36="","",项目总控台账!G36)</f>
        <v>未开始</v>
      </c>
      <c r="H36" s="59" t="str">
        <f aca="false">IF(项目总控台账!H36="","",项目总控台账!H36)</f>
        <v>项目集经理</v>
      </c>
      <c r="I36" s="61" t="n">
        <f aca="false">IF(项目总控台账!I36="","",项目总控台账!I36)</f>
        <v>46296</v>
      </c>
      <c r="J36" s="61" t="n">
        <f aca="false">IF(项目总控台账!J36="","",项目总控台账!J36)</f>
        <v>46297</v>
      </c>
      <c r="K36" s="61" t="n">
        <f aca="false">IF(项目总控台账!K36="","",项目总控台账!K36)</f>
        <v>46311</v>
      </c>
      <c r="L36" s="59" t="str">
        <f aca="false">IF(项目总控台账!L36="","",项目总控台账!L36)</f>
        <v>项目集经理</v>
      </c>
      <c r="M36" s="60" t="str">
        <f aca="false">IF(项目总控台账!M36="","",项目总控台账!M36)</f>
        <v>未开始</v>
      </c>
      <c r="N36" s="61" t="n">
        <f aca="false">IF(项目总控台账!N36="","",项目总控台账!N36)</f>
        <v>46296</v>
      </c>
      <c r="O36" s="61" t="n">
        <f aca="false">IF(项目总控台账!O36="","",项目总控台账!O36)</f>
        <v>46297</v>
      </c>
      <c r="P36" s="59" t="str">
        <f aca="false">IF(项目总控台账!P36="","",项目总控台账!P36)</f>
        <v/>
      </c>
      <c r="Q36" s="60" t="str">
        <f aca="false">IF(项目总控台账!Q36="","",项目总控台账!Q36)</f>
        <v/>
      </c>
      <c r="R36" s="61" t="str">
        <f aca="false">IF(项目总控台账!R36="","",项目总控台账!R36)</f>
        <v/>
      </c>
      <c r="S36" s="61" t="str">
        <f aca="false">IF(项目总控台账!S36="","",项目总控台账!S36)</f>
        <v/>
      </c>
      <c r="T36" s="59" t="str">
        <f aca="false">IF(项目总控台账!T36="","",项目总控台账!T36)</f>
        <v/>
      </c>
      <c r="U36" s="60" t="str">
        <f aca="false">IF(项目总控台账!U36="","",项目总控台账!U36)</f>
        <v/>
      </c>
      <c r="V36" s="61" t="str">
        <f aca="false">IF(项目总控台账!V36="","",项目总控台账!V36)</f>
        <v/>
      </c>
      <c r="W36" s="61" t="str">
        <f aca="false">IF(项目总控台账!W36="","",项目总控台账!W36)</f>
        <v/>
      </c>
      <c r="X36" s="59" t="str">
        <f aca="false">IF(项目总控台账!X36="","",项目总控台账!X36)</f>
        <v/>
      </c>
      <c r="Y36" s="60" t="str">
        <f aca="false">IF(项目总控台账!Y36="","",项目总控台账!Y36)</f>
        <v/>
      </c>
      <c r="Z36" s="61" t="str">
        <f aca="false">IF(项目总控台账!Z36="","",项目总控台账!Z36)</f>
        <v/>
      </c>
      <c r="AA36" s="61" t="str">
        <f aca="false">IF(项目总控台账!AA36="","",项目总控台账!AA36)</f>
        <v/>
      </c>
      <c r="AB36" s="62" t="n">
        <f aca="false">IF(项目总控台账!AB36="","",项目总控台账!AB36)</f>
        <v>0</v>
      </c>
      <c r="AC36" s="60" t="str">
        <f aca="false">IF(项目总控台账!AC36="","",项目总控台账!AC36)</f>
        <v>正常</v>
      </c>
      <c r="AD36" s="59" t="str">
        <f aca="false">IF(项目总控台账!AD36="","",项目总控台账!AD36)</f>
        <v/>
      </c>
      <c r="AE36" s="59" t="str">
        <f aca="false">IF(项目总控台账!AE36="","",项目总控台账!AE36)</f>
        <v/>
      </c>
      <c r="AF36" s="59" t="str">
        <f aca="false">IF(项目总控台账!AF36="","",项目总控台账!AF36)</f>
        <v/>
      </c>
      <c r="AG36" s="61" t="str">
        <f aca="false">IF(项目总控台账!AG36="","",项目总控台账!AG36)</f>
        <v/>
      </c>
      <c r="AH36" s="63" t="str">
        <f aca="false">IF(项目总控台账!AH36="","",项目总控台账!AH36)</f>
        <v/>
      </c>
    </row>
    <row r="37" customFormat="false" ht="16.5" hidden="false" customHeight="true" outlineLevel="0" collapsed="false">
      <c r="A37" s="59" t="str">
        <f aca="false">IF(项目总控台账!A37="","",项目总控台账!A37)</f>
        <v>T034</v>
      </c>
      <c r="B37" s="59" t="str">
        <f aca="false">项目总控台账!B36</f>
        <v>正式启动准备</v>
      </c>
      <c r="C37" s="59" t="str">
        <f aca="false">项目总控台账!C36</f>
        <v>启动准备评审通过</v>
      </c>
      <c r="D37" s="59" t="str">
        <f aca="false">项目总控台账!D36</f>
        <v>启动准备</v>
      </c>
      <c r="E37" s="59" t="str">
        <f aca="false">IF(项目总控台账!E37="","",项目总控台账!E37)</f>
        <v>编制范围、里程碑和主进度计划</v>
      </c>
      <c r="F37" s="59" t="str">
        <f aca="false">IF(项目总控台账!F37="","",项目总控台账!F37)</f>
        <v>MS006</v>
      </c>
      <c r="G37" s="60" t="str">
        <f aca="false">IF(项目总控台账!G37="","",项目总控台账!G37)</f>
        <v>未开始</v>
      </c>
      <c r="H37" s="59" t="str">
        <f aca="false">IF(项目总控台账!H37="","",项目总控台账!H37)</f>
        <v>项目经理</v>
      </c>
      <c r="I37" s="61" t="n">
        <f aca="false">IF(项目总控台账!I37="","",项目总控台账!I37)</f>
        <v>46298</v>
      </c>
      <c r="J37" s="61" t="n">
        <f aca="false">IF(项目总控台账!J37="","",项目总控台账!J37)</f>
        <v>46300</v>
      </c>
      <c r="K37" s="61" t="n">
        <f aca="false">IF(项目总控台账!K37="","",项目总控台账!K37)</f>
        <v>46311</v>
      </c>
      <c r="L37" s="59" t="str">
        <f aca="false">IF(项目总控台账!L37="","",项目总控台账!L37)</f>
        <v>项目经理</v>
      </c>
      <c r="M37" s="60" t="str">
        <f aca="false">IF(项目总控台账!M37="","",项目总控台账!M37)</f>
        <v>未开始</v>
      </c>
      <c r="N37" s="61" t="n">
        <f aca="false">IF(项目总控台账!N37="","",项目总控台账!N37)</f>
        <v>46298</v>
      </c>
      <c r="O37" s="61" t="n">
        <f aca="false">IF(项目总控台账!O37="","",项目总控台账!O37)</f>
        <v>46300</v>
      </c>
      <c r="P37" s="59" t="str">
        <f aca="false">IF(项目总控台账!P37="","",项目总控台账!P37)</f>
        <v/>
      </c>
      <c r="Q37" s="60" t="str">
        <f aca="false">IF(项目总控台账!Q37="","",项目总控台账!Q37)</f>
        <v/>
      </c>
      <c r="R37" s="61" t="str">
        <f aca="false">IF(项目总控台账!R37="","",项目总控台账!R37)</f>
        <v/>
      </c>
      <c r="S37" s="61" t="str">
        <f aca="false">IF(项目总控台账!S37="","",项目总控台账!S37)</f>
        <v/>
      </c>
      <c r="T37" s="59" t="str">
        <f aca="false">IF(项目总控台账!T37="","",项目总控台账!T37)</f>
        <v/>
      </c>
      <c r="U37" s="60" t="str">
        <f aca="false">IF(项目总控台账!U37="","",项目总控台账!U37)</f>
        <v/>
      </c>
      <c r="V37" s="61" t="str">
        <f aca="false">IF(项目总控台账!V37="","",项目总控台账!V37)</f>
        <v/>
      </c>
      <c r="W37" s="61" t="str">
        <f aca="false">IF(项目总控台账!W37="","",项目总控台账!W37)</f>
        <v/>
      </c>
      <c r="X37" s="59" t="str">
        <f aca="false">IF(项目总控台账!X37="","",项目总控台账!X37)</f>
        <v/>
      </c>
      <c r="Y37" s="60" t="str">
        <f aca="false">IF(项目总控台账!Y37="","",项目总控台账!Y37)</f>
        <v/>
      </c>
      <c r="Z37" s="61" t="str">
        <f aca="false">IF(项目总控台账!Z37="","",项目总控台账!Z37)</f>
        <v/>
      </c>
      <c r="AA37" s="61" t="str">
        <f aca="false">IF(项目总控台账!AA37="","",项目总控台账!AA37)</f>
        <v/>
      </c>
      <c r="AB37" s="62" t="n">
        <f aca="false">IF(项目总控台账!AB37="","",项目总控台账!AB37)</f>
        <v>0</v>
      </c>
      <c r="AC37" s="60" t="str">
        <f aca="false">IF(项目总控台账!AC37="","",项目总控台账!AC37)</f>
        <v>正常</v>
      </c>
      <c r="AD37" s="59" t="str">
        <f aca="false">IF(项目总控台账!AD37="","",项目总控台账!AD37)</f>
        <v/>
      </c>
      <c r="AE37" s="59" t="str">
        <f aca="false">IF(项目总控台账!AE37="","",项目总控台账!AE37)</f>
        <v/>
      </c>
      <c r="AF37" s="59" t="str">
        <f aca="false">IF(项目总控台账!AF37="","",项目总控台账!AF37)</f>
        <v/>
      </c>
      <c r="AG37" s="61" t="str">
        <f aca="false">IF(项目总控台账!AG37="","",项目总控台账!AG37)</f>
        <v/>
      </c>
      <c r="AH37" s="63" t="str">
        <f aca="false">IF(项目总控台账!AH37="","",项目总控台账!AH37)</f>
        <v/>
      </c>
    </row>
    <row r="38" customFormat="false" ht="33.75" hidden="false" customHeight="true" outlineLevel="0" collapsed="false">
      <c r="A38" s="59" t="str">
        <f aca="false">IF(项目总控台账!A38="","",项目总控台账!A38)</f>
        <v>T035</v>
      </c>
      <c r="B38" s="59" t="str">
        <f aca="false">项目总控台账!B36</f>
        <v>正式启动准备</v>
      </c>
      <c r="C38" s="59" t="str">
        <f aca="false">项目总控台账!C36</f>
        <v>启动准备评审通过</v>
      </c>
      <c r="D38" s="59" t="str">
        <f aca="false">项目总控台账!D38</f>
        <v>组织准备</v>
      </c>
      <c r="E38" s="59" t="str">
        <f aca="false">IF(项目总控台账!E38="","",项目总控台账!E38)</f>
        <v>建立项目组织、RACI与沟通机制</v>
      </c>
      <c r="F38" s="59" t="str">
        <f aca="false">IF(项目总控台账!F38="","",项目总控台账!F38)</f>
        <v>MS006</v>
      </c>
      <c r="G38" s="60" t="str">
        <f aca="false">IF(项目总控台账!G38="","",项目总控台账!G38)</f>
        <v>未开始</v>
      </c>
      <c r="H38" s="59" t="str">
        <f aca="false">IF(项目总控台账!H38="","",项目总控台账!H38)</f>
        <v>项目经理</v>
      </c>
      <c r="I38" s="61" t="n">
        <f aca="false">IF(项目总控台账!I38="","",项目总控台账!I38)</f>
        <v>46301</v>
      </c>
      <c r="J38" s="61" t="n">
        <f aca="false">IF(项目总控台账!J38="","",项目总控台账!J38)</f>
        <v>46303</v>
      </c>
      <c r="K38" s="61" t="n">
        <f aca="false">IF(项目总控台账!K38="","",项目总控台账!K38)</f>
        <v>46311</v>
      </c>
      <c r="L38" s="59" t="str">
        <f aca="false">IF(项目总控台账!L38="","",项目总控台账!L38)</f>
        <v>项目经理</v>
      </c>
      <c r="M38" s="60" t="str">
        <f aca="false">IF(项目总控台账!M38="","",项目总控台账!M38)</f>
        <v>未开始</v>
      </c>
      <c r="N38" s="61" t="n">
        <f aca="false">IF(项目总控台账!N38="","",项目总控台账!N38)</f>
        <v>46301</v>
      </c>
      <c r="O38" s="61" t="n">
        <f aca="false">IF(项目总控台账!O38="","",项目总控台账!O38)</f>
        <v>46303</v>
      </c>
      <c r="P38" s="59" t="str">
        <f aca="false">IF(项目总控台账!P38="","",项目总控台账!P38)</f>
        <v/>
      </c>
      <c r="Q38" s="60" t="str">
        <f aca="false">IF(项目总控台账!Q38="","",项目总控台账!Q38)</f>
        <v/>
      </c>
      <c r="R38" s="61" t="str">
        <f aca="false">IF(项目总控台账!R38="","",项目总控台账!R38)</f>
        <v/>
      </c>
      <c r="S38" s="61" t="str">
        <f aca="false">IF(项目总控台账!S38="","",项目总控台账!S38)</f>
        <v/>
      </c>
      <c r="T38" s="59" t="str">
        <f aca="false">IF(项目总控台账!T38="","",项目总控台账!T38)</f>
        <v/>
      </c>
      <c r="U38" s="60" t="str">
        <f aca="false">IF(项目总控台账!U38="","",项目总控台账!U38)</f>
        <v/>
      </c>
      <c r="V38" s="61" t="str">
        <f aca="false">IF(项目总控台账!V38="","",项目总控台账!V38)</f>
        <v/>
      </c>
      <c r="W38" s="61" t="str">
        <f aca="false">IF(项目总控台账!W38="","",项目总控台账!W38)</f>
        <v/>
      </c>
      <c r="X38" s="59" t="str">
        <f aca="false">IF(项目总控台账!X38="","",项目总控台账!X38)</f>
        <v/>
      </c>
      <c r="Y38" s="60" t="str">
        <f aca="false">IF(项目总控台账!Y38="","",项目总控台账!Y38)</f>
        <v/>
      </c>
      <c r="Z38" s="61" t="str">
        <f aca="false">IF(项目总控台账!Z38="","",项目总控台账!Z38)</f>
        <v/>
      </c>
      <c r="AA38" s="61" t="str">
        <f aca="false">IF(项目总控台账!AA38="","",项目总控台账!AA38)</f>
        <v/>
      </c>
      <c r="AB38" s="62" t="n">
        <f aca="false">IF(项目总控台账!AB38="","",项目总控台账!AB38)</f>
        <v>0</v>
      </c>
      <c r="AC38" s="60" t="str">
        <f aca="false">IF(项目总控台账!AC38="","",项目总控台账!AC38)</f>
        <v>正常</v>
      </c>
      <c r="AD38" s="59" t="str">
        <f aca="false">IF(项目总控台账!AD38="","",项目总控台账!AD38)</f>
        <v/>
      </c>
      <c r="AE38" s="59" t="str">
        <f aca="false">IF(项目总控台账!AE38="","",项目总控台账!AE38)</f>
        <v>执行工具：项目启动与治理/相关方管理；确认RACI与沟通责任人。</v>
      </c>
      <c r="AF38" s="59" t="str">
        <f aca="false">IF(项目总控台账!AF38="","",项目总控台账!AF38)</f>
        <v/>
      </c>
      <c r="AG38" s="61" t="str">
        <f aca="false">IF(项目总控台账!AG38="","",项目总控台账!AG38)</f>
        <v/>
      </c>
      <c r="AH38" s="63" t="str">
        <f aca="false">IF(项目总控台账!AH38="","",项目总控台账!AH38)</f>
        <v/>
      </c>
    </row>
    <row r="39" customFormat="false" ht="16.5" hidden="false" customHeight="true" outlineLevel="0" collapsed="false">
      <c r="A39" s="59" t="str">
        <f aca="false">IF(项目总控台账!A39="","",项目总控台账!A39)</f>
        <v>T036</v>
      </c>
      <c r="B39" s="59" t="str">
        <f aca="false">项目总控台账!B36</f>
        <v>正式启动准备</v>
      </c>
      <c r="C39" s="59" t="str">
        <f aca="false">项目总控台账!C36</f>
        <v>启动准备评审通过</v>
      </c>
      <c r="D39" s="59" t="str">
        <f aca="false">项目总控台账!D39</f>
        <v>资源准备</v>
      </c>
      <c r="E39" s="59" t="str">
        <f aca="false">IF(项目总控台账!E39="","",项目总控台账!E39)</f>
        <v>确认30人团队投入与阶段资源计划</v>
      </c>
      <c r="F39" s="59" t="str">
        <f aca="false">IF(项目总控台账!F39="","",项目总控台账!F39)</f>
        <v>MS006</v>
      </c>
      <c r="G39" s="60" t="str">
        <f aca="false">IF(项目总控台账!G39="","",项目总控台账!G39)</f>
        <v>未开始</v>
      </c>
      <c r="H39" s="59" t="str">
        <f aca="false">IF(项目总控台账!H39="","",项目总控台账!H39)</f>
        <v>项目集经理</v>
      </c>
      <c r="I39" s="61" t="n">
        <f aca="false">IF(项目总控台账!I39="","",项目总控台账!I39)</f>
        <v>46304</v>
      </c>
      <c r="J39" s="61" t="n">
        <f aca="false">IF(项目总控台账!J39="","",项目总控台账!J39)</f>
        <v>46305</v>
      </c>
      <c r="K39" s="61" t="n">
        <f aca="false">IF(项目总控台账!K39="","",项目总控台账!K39)</f>
        <v>46311</v>
      </c>
      <c r="L39" s="59" t="str">
        <f aca="false">IF(项目总控台账!L39="","",项目总控台账!L39)</f>
        <v>项目集经理</v>
      </c>
      <c r="M39" s="60" t="str">
        <f aca="false">IF(项目总控台账!M39="","",项目总控台账!M39)</f>
        <v>未开始</v>
      </c>
      <c r="N39" s="61" t="n">
        <f aca="false">IF(项目总控台账!N39="","",项目总控台账!N39)</f>
        <v>46304</v>
      </c>
      <c r="O39" s="61" t="n">
        <f aca="false">IF(项目总控台账!O39="","",项目总控台账!O39)</f>
        <v>46305</v>
      </c>
      <c r="P39" s="59" t="str">
        <f aca="false">IF(项目总控台账!P39="","",项目总控台账!P39)</f>
        <v/>
      </c>
      <c r="Q39" s="60" t="str">
        <f aca="false">IF(项目总控台账!Q39="","",项目总控台账!Q39)</f>
        <v/>
      </c>
      <c r="R39" s="61" t="str">
        <f aca="false">IF(项目总控台账!R39="","",项目总控台账!R39)</f>
        <v/>
      </c>
      <c r="S39" s="61" t="str">
        <f aca="false">IF(项目总控台账!S39="","",项目总控台账!S39)</f>
        <v/>
      </c>
      <c r="T39" s="59" t="str">
        <f aca="false">IF(项目总控台账!T39="","",项目总控台账!T39)</f>
        <v/>
      </c>
      <c r="U39" s="60" t="str">
        <f aca="false">IF(项目总控台账!U39="","",项目总控台账!U39)</f>
        <v/>
      </c>
      <c r="V39" s="61" t="str">
        <f aca="false">IF(项目总控台账!V39="","",项目总控台账!V39)</f>
        <v/>
      </c>
      <c r="W39" s="61" t="str">
        <f aca="false">IF(项目总控台账!W39="","",项目总控台账!W39)</f>
        <v/>
      </c>
      <c r="X39" s="59" t="str">
        <f aca="false">IF(项目总控台账!X39="","",项目总控台账!X39)</f>
        <v/>
      </c>
      <c r="Y39" s="60" t="str">
        <f aca="false">IF(项目总控台账!Y39="","",项目总控台账!Y39)</f>
        <v/>
      </c>
      <c r="Z39" s="61" t="str">
        <f aca="false">IF(项目总控台账!Z39="","",项目总控台账!Z39)</f>
        <v/>
      </c>
      <c r="AA39" s="61" t="str">
        <f aca="false">IF(项目总控台账!AA39="","",项目总控台账!AA39)</f>
        <v/>
      </c>
      <c r="AB39" s="62" t="n">
        <f aca="false">IF(项目总控台账!AB39="","",项目总控台账!AB39)</f>
        <v>0</v>
      </c>
      <c r="AC39" s="60" t="str">
        <f aca="false">IF(项目总控台账!AC39="","",项目总控台账!AC39)</f>
        <v>正常</v>
      </c>
      <c r="AD39" s="59" t="str">
        <f aca="false">IF(项目总控台账!AD39="","",项目总控台账!AD39)</f>
        <v/>
      </c>
      <c r="AE39" s="59" t="str">
        <f aca="false">IF(项目总控台账!AE39="","",项目总控台账!AE39)</f>
        <v/>
      </c>
      <c r="AF39" s="59" t="str">
        <f aca="false">IF(项目总控台账!AF39="","",项目总控台账!AF39)</f>
        <v/>
      </c>
      <c r="AG39" s="61" t="str">
        <f aca="false">IF(项目总控台账!AG39="","",项目总控台账!AG39)</f>
        <v/>
      </c>
      <c r="AH39" s="63" t="str">
        <f aca="false">IF(项目总控台账!AH39="","",项目总控台账!AH39)</f>
        <v/>
      </c>
    </row>
    <row r="40" customFormat="false" ht="16.5" hidden="false" customHeight="true" outlineLevel="0" collapsed="false">
      <c r="A40" s="59" t="str">
        <f aca="false">IF(项目总控台账!A40="","",项目总控台账!A40)</f>
        <v>T037</v>
      </c>
      <c r="B40" s="59" t="str">
        <f aca="false">项目总控台账!B36</f>
        <v>正式启动准备</v>
      </c>
      <c r="C40" s="59" t="str">
        <f aca="false">项目总控台账!C36</f>
        <v>启动准备评审通过</v>
      </c>
      <c r="D40" s="59" t="str">
        <f aca="false">项目总控台账!D40</f>
        <v>治理准备</v>
      </c>
      <c r="E40" s="59" t="str">
        <f aca="false">IF(项目总控台账!E40="","",项目总控台账!E40)</f>
        <v>建立风险、问题、变更和决策台账</v>
      </c>
      <c r="F40" s="59" t="str">
        <f aca="false">IF(项目总控台账!F40="","",项目总控台账!F40)</f>
        <v>MS006</v>
      </c>
      <c r="G40" s="60" t="str">
        <f aca="false">IF(项目总控台账!G40="","",项目总控台账!G40)</f>
        <v>未开始</v>
      </c>
      <c r="H40" s="59" t="str">
        <f aca="false">IF(项目总控台账!H40="","",项目总控台账!H40)</f>
        <v>项目经理</v>
      </c>
      <c r="I40" s="61" t="n">
        <f aca="false">IF(项目总控台账!I40="","",项目总控台账!I40)</f>
        <v>46306</v>
      </c>
      <c r="J40" s="61" t="n">
        <f aca="false">IF(项目总控台账!J40="","",项目总控台账!J40)</f>
        <v>46308</v>
      </c>
      <c r="K40" s="61" t="n">
        <f aca="false">IF(项目总控台账!K40="","",项目总控台账!K40)</f>
        <v>46311</v>
      </c>
      <c r="L40" s="59" t="str">
        <f aca="false">IF(项目总控台账!L40="","",项目总控台账!L40)</f>
        <v>项目经理</v>
      </c>
      <c r="M40" s="60" t="str">
        <f aca="false">IF(项目总控台账!M40="","",项目总控台账!M40)</f>
        <v>未开始</v>
      </c>
      <c r="N40" s="61" t="n">
        <f aca="false">IF(项目总控台账!N40="","",项目总控台账!N40)</f>
        <v>46306</v>
      </c>
      <c r="O40" s="61" t="n">
        <f aca="false">IF(项目总控台账!O40="","",项目总控台账!O40)</f>
        <v>46308</v>
      </c>
      <c r="P40" s="59" t="str">
        <f aca="false">IF(项目总控台账!P40="","",项目总控台账!P40)</f>
        <v/>
      </c>
      <c r="Q40" s="60" t="str">
        <f aca="false">IF(项目总控台账!Q40="","",项目总控台账!Q40)</f>
        <v/>
      </c>
      <c r="R40" s="61" t="str">
        <f aca="false">IF(项目总控台账!R40="","",项目总控台账!R40)</f>
        <v/>
      </c>
      <c r="S40" s="61" t="str">
        <f aca="false">IF(项目总控台账!S40="","",项目总控台账!S40)</f>
        <v/>
      </c>
      <c r="T40" s="59" t="str">
        <f aca="false">IF(项目总控台账!T40="","",项目总控台账!T40)</f>
        <v/>
      </c>
      <c r="U40" s="60" t="str">
        <f aca="false">IF(项目总控台账!U40="","",项目总控台账!U40)</f>
        <v/>
      </c>
      <c r="V40" s="61" t="str">
        <f aca="false">IF(项目总控台账!V40="","",项目总控台账!V40)</f>
        <v/>
      </c>
      <c r="W40" s="61" t="str">
        <f aca="false">IF(项目总控台账!W40="","",项目总控台账!W40)</f>
        <v/>
      </c>
      <c r="X40" s="59" t="str">
        <f aca="false">IF(项目总控台账!X40="","",项目总控台账!X40)</f>
        <v/>
      </c>
      <c r="Y40" s="60" t="str">
        <f aca="false">IF(项目总控台账!Y40="","",项目总控台账!Y40)</f>
        <v/>
      </c>
      <c r="Z40" s="61" t="str">
        <f aca="false">IF(项目总控台账!Z40="","",项目总控台账!Z40)</f>
        <v/>
      </c>
      <c r="AA40" s="61" t="str">
        <f aca="false">IF(项目总控台账!AA40="","",项目总控台账!AA40)</f>
        <v/>
      </c>
      <c r="AB40" s="62" t="n">
        <f aca="false">IF(项目总控台账!AB40="","",项目总控台账!AB40)</f>
        <v>0</v>
      </c>
      <c r="AC40" s="60" t="str">
        <f aca="false">IF(项目总控台账!AC40="","",项目总控台账!AC40)</f>
        <v>正常</v>
      </c>
      <c r="AD40" s="59" t="str">
        <f aca="false">IF(项目总控台账!AD40="","",项目总控台账!AD40)</f>
        <v/>
      </c>
      <c r="AE40" s="59" t="str">
        <f aca="false">IF(项目总控台账!AE40="","",项目总控台账!AE40)</f>
        <v/>
      </c>
      <c r="AF40" s="59" t="str">
        <f aca="false">IF(项目总控台账!AF40="","",项目总控台账!AF40)</f>
        <v/>
      </c>
      <c r="AG40" s="61" t="str">
        <f aca="false">IF(项目总控台账!AG40="","",项目总控台账!AG40)</f>
        <v/>
      </c>
      <c r="AH40" s="63" t="str">
        <f aca="false">IF(项目总控台账!AH40="","",项目总控台账!AH40)</f>
        <v/>
      </c>
    </row>
    <row r="41" customFormat="false" ht="33.75" hidden="false" customHeight="true" outlineLevel="0" collapsed="false">
      <c r="A41" s="59" t="str">
        <f aca="false">IF(项目总控台账!A41="","",项目总控台账!A41)</f>
        <v>T038</v>
      </c>
      <c r="B41" s="59" t="str">
        <f aca="false">项目总控台账!B36</f>
        <v>正式启动准备</v>
      </c>
      <c r="C41" s="59" t="str">
        <f aca="false">项目总控台账!C36</f>
        <v>启动准备评审通过</v>
      </c>
      <c r="D41" s="59" t="str">
        <f aca="false">项目总控台账!D41</f>
        <v>启动门禁</v>
      </c>
      <c r="E41" s="59" t="str">
        <f aca="false">IF(项目总控台账!E41="","",项目总控台账!E41)</f>
        <v>完成启动条件检查与评审</v>
      </c>
      <c r="F41" s="59" t="str">
        <f aca="false">IF(项目总控台账!F41="","",项目总控台账!F41)</f>
        <v>MS006</v>
      </c>
      <c r="G41" s="60" t="str">
        <f aca="false">IF(项目总控台账!G41="","",项目总控台账!G41)</f>
        <v>未开始</v>
      </c>
      <c r="H41" s="59" t="str">
        <f aca="false">IF(项目总控台账!H41="","",项目总控台账!H41)</f>
        <v>项目集经理</v>
      </c>
      <c r="I41" s="61" t="n">
        <f aca="false">IF(项目总控台账!I41="","",项目总控台账!I41)</f>
        <v>46309</v>
      </c>
      <c r="J41" s="61" t="n">
        <f aca="false">IF(项目总控台账!J41="","",项目总控台账!J41)</f>
        <v>46311</v>
      </c>
      <c r="K41" s="61" t="n">
        <f aca="false">IF(项目总控台账!K41="","",项目总控台账!K41)</f>
        <v>46311</v>
      </c>
      <c r="L41" s="59" t="str">
        <f aca="false">IF(项目总控台账!L41="","",项目总控台账!L41)</f>
        <v>项目集经理</v>
      </c>
      <c r="M41" s="60" t="str">
        <f aca="false">IF(项目总控台账!M41="","",项目总控台账!M41)</f>
        <v>未开始</v>
      </c>
      <c r="N41" s="61" t="n">
        <f aca="false">IF(项目总控台账!N41="","",项目总控台账!N41)</f>
        <v>46309</v>
      </c>
      <c r="O41" s="61" t="n">
        <f aca="false">IF(项目总控台账!O41="","",项目总控台账!O41)</f>
        <v>46311</v>
      </c>
      <c r="P41" s="59" t="str">
        <f aca="false">IF(项目总控台账!P41="","",项目总控台账!P41)</f>
        <v/>
      </c>
      <c r="Q41" s="60" t="str">
        <f aca="false">IF(项目总控台账!Q41="","",项目总控台账!Q41)</f>
        <v/>
      </c>
      <c r="R41" s="61" t="str">
        <f aca="false">IF(项目总控台账!R41="","",项目总控台账!R41)</f>
        <v/>
      </c>
      <c r="S41" s="61" t="str">
        <f aca="false">IF(项目总控台账!S41="","",项目总控台账!S41)</f>
        <v/>
      </c>
      <c r="T41" s="59" t="str">
        <f aca="false">IF(项目总控台账!T41="","",项目总控台账!T41)</f>
        <v/>
      </c>
      <c r="U41" s="60" t="str">
        <f aca="false">IF(项目总控台账!U41="","",项目总控台账!U41)</f>
        <v/>
      </c>
      <c r="V41" s="61" t="str">
        <f aca="false">IF(项目总控台账!V41="","",项目总控台账!V41)</f>
        <v/>
      </c>
      <c r="W41" s="61" t="str">
        <f aca="false">IF(项目总控台账!W41="","",项目总控台账!W41)</f>
        <v/>
      </c>
      <c r="X41" s="59" t="str">
        <f aca="false">IF(项目总控台账!X41="","",项目总控台账!X41)</f>
        <v/>
      </c>
      <c r="Y41" s="60" t="str">
        <f aca="false">IF(项目总控台账!Y41="","",项目总控台账!Y41)</f>
        <v/>
      </c>
      <c r="Z41" s="61" t="str">
        <f aca="false">IF(项目总控台账!Z41="","",项目总控台账!Z41)</f>
        <v/>
      </c>
      <c r="AA41" s="61" t="str">
        <f aca="false">IF(项目总控台账!AA41="","",项目总控台账!AA41)</f>
        <v/>
      </c>
      <c r="AB41" s="62" t="n">
        <f aca="false">IF(项目总控台账!AB41="","",项目总控台账!AB41)</f>
        <v>0</v>
      </c>
      <c r="AC41" s="60" t="str">
        <f aca="false">IF(项目总控台账!AC41="","",项目总控台账!AC41)</f>
        <v>正常</v>
      </c>
      <c r="AD41" s="59" t="str">
        <f aca="false">IF(项目总控台账!AD41="","",项目总控台账!AD41)</f>
        <v/>
      </c>
      <c r="AE41" s="59" t="str">
        <f aca="false">IF(项目总控台账!AE41="","",项目总控台账!AE41)</f>
        <v>执行工具：项目启动与治理/启动门禁清单；必过项未通过不得正式启动。</v>
      </c>
      <c r="AF41" s="59" t="str">
        <f aca="false">IF(项目总控台账!AF41="","",项目总控台账!AF41)</f>
        <v/>
      </c>
      <c r="AG41" s="61" t="str">
        <f aca="false">IF(项目总控台账!AG41="","",项目总控台账!AG41)</f>
        <v/>
      </c>
      <c r="AH41" s="63" t="str">
        <f aca="false">IF(项目总控台账!AH41="","",项目总控台账!AH41)</f>
        <v/>
      </c>
    </row>
    <row r="42" customFormat="false" ht="16.5" hidden="false" customHeight="true" outlineLevel="0" collapsed="false">
      <c r="A42" s="59" t="str">
        <f aca="false">IF(项目总控台账!A42="","",项目总控台账!A42)</f>
        <v>T039</v>
      </c>
      <c r="B42" s="59" t="str">
        <f aca="false">项目总控台账!B42</f>
        <v>正式实施与上线准备</v>
      </c>
      <c r="C42" s="59" t="str">
        <f aca="false">项目总控台账!C42</f>
        <v>项目正式启动</v>
      </c>
      <c r="D42" s="59" t="str">
        <f aca="false">项目总控台账!D42</f>
        <v>正式启动</v>
      </c>
      <c r="E42" s="59" t="str">
        <f aca="false">IF(项目总控台账!E42="","",项目总控台账!E42)</f>
        <v>准备启动会材料与项目目标宣贯</v>
      </c>
      <c r="F42" s="59" t="str">
        <f aca="false">IF(项目总控台账!F42="","",项目总控台账!F42)</f>
        <v>MS007</v>
      </c>
      <c r="G42" s="60" t="str">
        <f aca="false">IF(项目总控台账!G42="","",项目总控台账!G42)</f>
        <v>未开始</v>
      </c>
      <c r="H42" s="59" t="str">
        <f aca="false">IF(项目总控台账!H42="","",项目总控台账!H42)</f>
        <v>项目经理</v>
      </c>
      <c r="I42" s="61" t="n">
        <f aca="false">IF(项目总控台账!I42="","",项目总控台账!I42)</f>
        <v>46315</v>
      </c>
      <c r="J42" s="61" t="n">
        <f aca="false">IF(项目总控台账!J42="","",项目总控台账!J42)</f>
        <v>46315</v>
      </c>
      <c r="K42" s="61" t="n">
        <f aca="false">IF(项目总控台账!K42="","",项目总控台账!K42)</f>
        <v>46315</v>
      </c>
      <c r="L42" s="59" t="str">
        <f aca="false">IF(项目总控台账!L42="","",项目总控台账!L42)</f>
        <v>项目经理</v>
      </c>
      <c r="M42" s="60" t="str">
        <f aca="false">IF(项目总控台账!M42="","",项目总控台账!M42)</f>
        <v>未开始</v>
      </c>
      <c r="N42" s="61" t="n">
        <f aca="false">IF(项目总控台账!N42="","",项目总控台账!N42)</f>
        <v>46315</v>
      </c>
      <c r="O42" s="61" t="n">
        <f aca="false">IF(项目总控台账!O42="","",项目总控台账!O42)</f>
        <v>46315</v>
      </c>
      <c r="P42" s="59" t="str">
        <f aca="false">IF(项目总控台账!P42="","",项目总控台账!P42)</f>
        <v/>
      </c>
      <c r="Q42" s="60" t="str">
        <f aca="false">IF(项目总控台账!Q42="","",项目总控台账!Q42)</f>
        <v/>
      </c>
      <c r="R42" s="61" t="str">
        <f aca="false">IF(项目总控台账!R42="","",项目总控台账!R42)</f>
        <v/>
      </c>
      <c r="S42" s="61" t="str">
        <f aca="false">IF(项目总控台账!S42="","",项目总控台账!S42)</f>
        <v/>
      </c>
      <c r="T42" s="59" t="str">
        <f aca="false">IF(项目总控台账!T42="","",项目总控台账!T42)</f>
        <v/>
      </c>
      <c r="U42" s="60" t="str">
        <f aca="false">IF(项目总控台账!U42="","",项目总控台账!U42)</f>
        <v/>
      </c>
      <c r="V42" s="61" t="str">
        <f aca="false">IF(项目总控台账!V42="","",项目总控台账!V42)</f>
        <v/>
      </c>
      <c r="W42" s="61" t="str">
        <f aca="false">IF(项目总控台账!W42="","",项目总控台账!W42)</f>
        <v/>
      </c>
      <c r="X42" s="59" t="str">
        <f aca="false">IF(项目总控台账!X42="","",项目总控台账!X42)</f>
        <v/>
      </c>
      <c r="Y42" s="60" t="str">
        <f aca="false">IF(项目总控台账!Y42="","",项目总控台账!Y42)</f>
        <v/>
      </c>
      <c r="Z42" s="61" t="str">
        <f aca="false">IF(项目总控台账!Z42="","",项目总控台账!Z42)</f>
        <v/>
      </c>
      <c r="AA42" s="61" t="str">
        <f aca="false">IF(项目总控台账!AA42="","",项目总控台账!AA42)</f>
        <v/>
      </c>
      <c r="AB42" s="62" t="n">
        <f aca="false">IF(项目总控台账!AB42="","",项目总控台账!AB42)</f>
        <v>0</v>
      </c>
      <c r="AC42" s="60" t="str">
        <f aca="false">IF(项目总控台账!AC42="","",项目总控台账!AC42)</f>
        <v>正常</v>
      </c>
      <c r="AD42" s="59" t="str">
        <f aca="false">IF(项目总控台账!AD42="","",项目总控台账!AD42)</f>
        <v/>
      </c>
      <c r="AE42" s="59" t="str">
        <f aca="false">IF(项目总控台账!AE42="","",项目总控台账!AE42)</f>
        <v/>
      </c>
      <c r="AF42" s="59" t="str">
        <f aca="false">IF(项目总控台账!AF42="","",项目总控台账!AF42)</f>
        <v/>
      </c>
      <c r="AG42" s="61" t="str">
        <f aca="false">IF(项目总控台账!AG42="","",项目总控台账!AG42)</f>
        <v/>
      </c>
      <c r="AH42" s="63" t="str">
        <f aca="false">IF(项目总控台账!AH42="","",项目总控台账!AH42)</f>
        <v/>
      </c>
    </row>
    <row r="43" customFormat="false" ht="16.5" hidden="false" customHeight="true" outlineLevel="0" collapsed="false">
      <c r="A43" s="59" t="str">
        <f aca="false">IF(项目总控台账!A43="","",项目总控台账!A43)</f>
        <v>T040</v>
      </c>
      <c r="B43" s="59" t="str">
        <f aca="false">项目总控台账!B42</f>
        <v>正式实施与上线准备</v>
      </c>
      <c r="C43" s="59" t="str">
        <f aca="false">项目总控台账!C42</f>
        <v>项目正式启动</v>
      </c>
      <c r="D43" s="59" t="str">
        <f aca="false">项目总控台账!D42</f>
        <v>正式启动</v>
      </c>
      <c r="E43" s="59" t="str">
        <f aca="false">IF(项目总控台账!E43="","",项目总控台账!E43)</f>
        <v>召开项目启动会并确认职责</v>
      </c>
      <c r="F43" s="59" t="str">
        <f aca="false">IF(项目总控台账!F43="","",项目总控台账!F43)</f>
        <v>MS007</v>
      </c>
      <c r="G43" s="60" t="str">
        <f aca="false">IF(项目总控台账!G43="","",项目总控台账!G43)</f>
        <v>未开始</v>
      </c>
      <c r="H43" s="59" t="str">
        <f aca="false">IF(项目总控台账!H43="","",项目总控台账!H43)</f>
        <v>项目集经理</v>
      </c>
      <c r="I43" s="61" t="n">
        <f aca="false">IF(项目总控台账!I43="","",项目总控台账!I43)</f>
        <v>46315</v>
      </c>
      <c r="J43" s="61" t="n">
        <f aca="false">IF(项目总控台账!J43="","",项目总控台账!J43)</f>
        <v>46315</v>
      </c>
      <c r="K43" s="61" t="n">
        <f aca="false">IF(项目总控台账!K43="","",项目总控台账!K43)</f>
        <v>46315</v>
      </c>
      <c r="L43" s="59" t="str">
        <f aca="false">IF(项目总控台账!L43="","",项目总控台账!L43)</f>
        <v>项目集经理</v>
      </c>
      <c r="M43" s="60" t="str">
        <f aca="false">IF(项目总控台账!M43="","",项目总控台账!M43)</f>
        <v>未开始</v>
      </c>
      <c r="N43" s="61" t="n">
        <f aca="false">IF(项目总控台账!N43="","",项目总控台账!N43)</f>
        <v>46315</v>
      </c>
      <c r="O43" s="61" t="n">
        <f aca="false">IF(项目总控台账!O43="","",项目总控台账!O43)</f>
        <v>46315</v>
      </c>
      <c r="P43" s="59" t="str">
        <f aca="false">IF(项目总控台账!P43="","",项目总控台账!P43)</f>
        <v/>
      </c>
      <c r="Q43" s="60" t="str">
        <f aca="false">IF(项目总控台账!Q43="","",项目总控台账!Q43)</f>
        <v/>
      </c>
      <c r="R43" s="61" t="str">
        <f aca="false">IF(项目总控台账!R43="","",项目总控台账!R43)</f>
        <v/>
      </c>
      <c r="S43" s="61" t="str">
        <f aca="false">IF(项目总控台账!S43="","",项目总控台账!S43)</f>
        <v/>
      </c>
      <c r="T43" s="59" t="str">
        <f aca="false">IF(项目总控台账!T43="","",项目总控台账!T43)</f>
        <v/>
      </c>
      <c r="U43" s="60" t="str">
        <f aca="false">IF(项目总控台账!U43="","",项目总控台账!U43)</f>
        <v/>
      </c>
      <c r="V43" s="61" t="str">
        <f aca="false">IF(项目总控台账!V43="","",项目总控台账!V43)</f>
        <v/>
      </c>
      <c r="W43" s="61" t="str">
        <f aca="false">IF(项目总控台账!W43="","",项目总控台账!W43)</f>
        <v/>
      </c>
      <c r="X43" s="59" t="str">
        <f aca="false">IF(项目总控台账!X43="","",项目总控台账!X43)</f>
        <v/>
      </c>
      <c r="Y43" s="60" t="str">
        <f aca="false">IF(项目总控台账!Y43="","",项目总控台账!Y43)</f>
        <v/>
      </c>
      <c r="Z43" s="61" t="str">
        <f aca="false">IF(项目总控台账!Z43="","",项目总控台账!Z43)</f>
        <v/>
      </c>
      <c r="AA43" s="61" t="str">
        <f aca="false">IF(项目总控台账!AA43="","",项目总控台账!AA43)</f>
        <v/>
      </c>
      <c r="AB43" s="62" t="n">
        <f aca="false">IF(项目总控台账!AB43="","",项目总控台账!AB43)</f>
        <v>0</v>
      </c>
      <c r="AC43" s="60" t="str">
        <f aca="false">IF(项目总控台账!AC43="","",项目总控台账!AC43)</f>
        <v>正常</v>
      </c>
      <c r="AD43" s="59" t="str">
        <f aca="false">IF(项目总控台账!AD43="","",项目总控台账!AD43)</f>
        <v/>
      </c>
      <c r="AE43" s="59" t="str">
        <f aca="false">IF(项目总控台账!AE43="","",项目总控台账!AE43)</f>
        <v/>
      </c>
      <c r="AF43" s="59" t="str">
        <f aca="false">IF(项目总控台账!AF43="","",项目总控台账!AF43)</f>
        <v/>
      </c>
      <c r="AG43" s="61" t="str">
        <f aca="false">IF(项目总控台账!AG43="","",项目总控台账!AG43)</f>
        <v/>
      </c>
      <c r="AH43" s="63" t="str">
        <f aca="false">IF(项目总控台账!AH43="","",项目总控台账!AH43)</f>
        <v/>
      </c>
    </row>
    <row r="44" customFormat="false" ht="16.5" hidden="false" customHeight="true" outlineLevel="0" collapsed="false">
      <c r="A44" s="59" t="str">
        <f aca="false">IF(项目总控台账!A44="","",项目总控台账!A44)</f>
        <v>T041</v>
      </c>
      <c r="B44" s="59" t="str">
        <f aca="false">项目总控台账!B42</f>
        <v>正式实施与上线准备</v>
      </c>
      <c r="C44" s="59" t="str">
        <f aca="false">项目总控台账!C42</f>
        <v>项目正式启动</v>
      </c>
      <c r="D44" s="59" t="str">
        <f aca="false">项目总控台账!D42</f>
        <v>正式启动</v>
      </c>
      <c r="E44" s="59" t="str">
        <f aca="false">IF(项目总控台账!E44="","",项目总控台账!E44)</f>
        <v>发布会议纪要、行动项和基准计划</v>
      </c>
      <c r="F44" s="59" t="str">
        <f aca="false">IF(项目总控台账!F44="","",项目总控台账!F44)</f>
        <v>MS007</v>
      </c>
      <c r="G44" s="60" t="str">
        <f aca="false">IF(项目总控台账!G44="","",项目总控台账!G44)</f>
        <v>未开始</v>
      </c>
      <c r="H44" s="59" t="str">
        <f aca="false">IF(项目总控台账!H44="","",项目总控台账!H44)</f>
        <v>项目经理</v>
      </c>
      <c r="I44" s="61" t="n">
        <f aca="false">IF(项目总控台账!I44="","",项目总控台账!I44)</f>
        <v>46315</v>
      </c>
      <c r="J44" s="61" t="n">
        <f aca="false">IF(项目总控台账!J44="","",项目总控台账!J44)</f>
        <v>46315</v>
      </c>
      <c r="K44" s="61" t="n">
        <f aca="false">IF(项目总控台账!K44="","",项目总控台账!K44)</f>
        <v>46315</v>
      </c>
      <c r="L44" s="59" t="str">
        <f aca="false">IF(项目总控台账!L44="","",项目总控台账!L44)</f>
        <v>项目经理</v>
      </c>
      <c r="M44" s="60" t="str">
        <f aca="false">IF(项目总控台账!M44="","",项目总控台账!M44)</f>
        <v>未开始</v>
      </c>
      <c r="N44" s="61" t="n">
        <f aca="false">IF(项目总控台账!N44="","",项目总控台账!N44)</f>
        <v>46315</v>
      </c>
      <c r="O44" s="61" t="n">
        <f aca="false">IF(项目总控台账!O44="","",项目总控台账!O44)</f>
        <v>46315</v>
      </c>
      <c r="P44" s="59" t="str">
        <f aca="false">IF(项目总控台账!P44="","",项目总控台账!P44)</f>
        <v/>
      </c>
      <c r="Q44" s="60" t="str">
        <f aca="false">IF(项目总控台账!Q44="","",项目总控台账!Q44)</f>
        <v/>
      </c>
      <c r="R44" s="61" t="str">
        <f aca="false">IF(项目总控台账!R44="","",项目总控台账!R44)</f>
        <v/>
      </c>
      <c r="S44" s="61" t="str">
        <f aca="false">IF(项目总控台账!S44="","",项目总控台账!S44)</f>
        <v/>
      </c>
      <c r="T44" s="59" t="str">
        <f aca="false">IF(项目总控台账!T44="","",项目总控台账!T44)</f>
        <v/>
      </c>
      <c r="U44" s="60" t="str">
        <f aca="false">IF(项目总控台账!U44="","",项目总控台账!U44)</f>
        <v/>
      </c>
      <c r="V44" s="61" t="str">
        <f aca="false">IF(项目总控台账!V44="","",项目总控台账!V44)</f>
        <v/>
      </c>
      <c r="W44" s="61" t="str">
        <f aca="false">IF(项目总控台账!W44="","",项目总控台账!W44)</f>
        <v/>
      </c>
      <c r="X44" s="59" t="str">
        <f aca="false">IF(项目总控台账!X44="","",项目总控台账!X44)</f>
        <v/>
      </c>
      <c r="Y44" s="60" t="str">
        <f aca="false">IF(项目总控台账!Y44="","",项目总控台账!Y44)</f>
        <v/>
      </c>
      <c r="Z44" s="61" t="str">
        <f aca="false">IF(项目总控台账!Z44="","",项目总控台账!Z44)</f>
        <v/>
      </c>
      <c r="AA44" s="61" t="str">
        <f aca="false">IF(项目总控台账!AA44="","",项目总控台账!AA44)</f>
        <v/>
      </c>
      <c r="AB44" s="62" t="n">
        <f aca="false">IF(项目总控台账!AB44="","",项目总控台账!AB44)</f>
        <v>0</v>
      </c>
      <c r="AC44" s="60" t="str">
        <f aca="false">IF(项目总控台账!AC44="","",项目总控台账!AC44)</f>
        <v>正常</v>
      </c>
      <c r="AD44" s="59" t="str">
        <f aca="false">IF(项目总控台账!AD44="","",项目总控台账!AD44)</f>
        <v/>
      </c>
      <c r="AE44" s="59" t="str">
        <f aca="false">IF(项目总控台账!AE44="","",项目总控台账!AE44)</f>
        <v/>
      </c>
      <c r="AF44" s="59" t="str">
        <f aca="false">IF(项目总控台账!AF44="","",项目总控台账!AF44)</f>
        <v/>
      </c>
      <c r="AG44" s="61" t="str">
        <f aca="false">IF(项目总控台账!AG44="","",项目总控台账!AG44)</f>
        <v/>
      </c>
      <c r="AH44" s="63" t="str">
        <f aca="false">IF(项目总控台账!AH44="","",项目总控台账!AH44)</f>
        <v/>
      </c>
    </row>
    <row r="45" customFormat="false" ht="16.5" hidden="false" customHeight="true" outlineLevel="0" collapsed="false">
      <c r="A45" s="59" t="str">
        <f aca="false">IF(项目总控台账!A45="","",项目总控台账!A45)</f>
        <v>T042</v>
      </c>
      <c r="B45" s="59" t="str">
        <f aca="false">项目总控台账!B42</f>
        <v>正式实施与上线准备</v>
      </c>
      <c r="C45" s="59" t="str">
        <f aca="false">项目总控台账!C45</f>
        <v>需求基线确认</v>
      </c>
      <c r="D45" s="59" t="str">
        <f aca="false">项目总控台账!D45</f>
        <v>需求调研</v>
      </c>
      <c r="E45" s="59" t="str">
        <f aca="false">IF(项目总控台账!E45="","",项目总控台账!E45)</f>
        <v>开展业务场景与用户需求工作坊</v>
      </c>
      <c r="F45" s="59" t="str">
        <f aca="false">IF(项目总控台账!F45="","",项目总控台账!F45)</f>
        <v>MS008</v>
      </c>
      <c r="G45" s="60" t="str">
        <f aca="false">IF(项目总控台账!G45="","",项目总控台账!G45)</f>
        <v>未开始</v>
      </c>
      <c r="H45" s="59" t="str">
        <f aca="false">IF(项目总控台账!H45="","",项目总控台账!H45)</f>
        <v>产品经理</v>
      </c>
      <c r="I45" s="61" t="n">
        <f aca="false">IF(项目总控台账!I45="","",项目总控台账!I45)</f>
        <v>46316</v>
      </c>
      <c r="J45" s="61" t="n">
        <f aca="false">IF(项目总控台账!J45="","",项目总控台账!J45)</f>
        <v>46321</v>
      </c>
      <c r="K45" s="61" t="n">
        <f aca="false">IF(项目总控台账!K45="","",项目总控台账!K45)</f>
        <v>46356</v>
      </c>
      <c r="L45" s="59" t="str">
        <f aca="false">IF(项目总控台账!L45="","",项目总控台账!L45)</f>
        <v>产品经理</v>
      </c>
      <c r="M45" s="60" t="str">
        <f aca="false">IF(项目总控台账!M45="","",项目总控台账!M45)</f>
        <v>未开始</v>
      </c>
      <c r="N45" s="61" t="n">
        <f aca="false">IF(项目总控台账!N45="","",项目总控台账!N45)</f>
        <v>46316</v>
      </c>
      <c r="O45" s="61" t="n">
        <f aca="false">IF(项目总控台账!O45="","",项目总控台账!O45)</f>
        <v>46321</v>
      </c>
      <c r="P45" s="59" t="str">
        <f aca="false">IF(项目总控台账!P45="","",项目总控台账!P45)</f>
        <v/>
      </c>
      <c r="Q45" s="60" t="str">
        <f aca="false">IF(项目总控台账!Q45="","",项目总控台账!Q45)</f>
        <v/>
      </c>
      <c r="R45" s="61" t="str">
        <f aca="false">IF(项目总控台账!R45="","",项目总控台账!R45)</f>
        <v/>
      </c>
      <c r="S45" s="61" t="str">
        <f aca="false">IF(项目总控台账!S45="","",项目总控台账!S45)</f>
        <v/>
      </c>
      <c r="T45" s="59" t="str">
        <f aca="false">IF(项目总控台账!T45="","",项目总控台账!T45)</f>
        <v/>
      </c>
      <c r="U45" s="60" t="str">
        <f aca="false">IF(项目总控台账!U45="","",项目总控台账!U45)</f>
        <v/>
      </c>
      <c r="V45" s="61" t="str">
        <f aca="false">IF(项目总控台账!V45="","",项目总控台账!V45)</f>
        <v/>
      </c>
      <c r="W45" s="61" t="str">
        <f aca="false">IF(项目总控台账!W45="","",项目总控台账!W45)</f>
        <v/>
      </c>
      <c r="X45" s="59" t="str">
        <f aca="false">IF(项目总控台账!X45="","",项目总控台账!X45)</f>
        <v/>
      </c>
      <c r="Y45" s="60" t="str">
        <f aca="false">IF(项目总控台账!Y45="","",项目总控台账!Y45)</f>
        <v/>
      </c>
      <c r="Z45" s="61" t="str">
        <f aca="false">IF(项目总控台账!Z45="","",项目总控台账!Z45)</f>
        <v/>
      </c>
      <c r="AA45" s="61" t="str">
        <f aca="false">IF(项目总控台账!AA45="","",项目总控台账!AA45)</f>
        <v/>
      </c>
      <c r="AB45" s="62" t="n">
        <f aca="false">IF(项目总控台账!AB45="","",项目总控台账!AB45)</f>
        <v>0</v>
      </c>
      <c r="AC45" s="60" t="str">
        <f aca="false">IF(项目总控台账!AC45="","",项目总控台账!AC45)</f>
        <v>正常</v>
      </c>
      <c r="AD45" s="59" t="str">
        <f aca="false">IF(项目总控台账!AD45="","",项目总控台账!AD45)</f>
        <v/>
      </c>
      <c r="AE45" s="59" t="str">
        <f aca="false">IF(项目总控台账!AE45="","",项目总控台账!AE45)</f>
        <v/>
      </c>
      <c r="AF45" s="59" t="str">
        <f aca="false">IF(项目总控台账!AF45="","",项目总控台账!AF45)</f>
        <v/>
      </c>
      <c r="AG45" s="61" t="str">
        <f aca="false">IF(项目总控台账!AG45="","",项目总控台账!AG45)</f>
        <v/>
      </c>
      <c r="AH45" s="63" t="str">
        <f aca="false">IF(项目总控台账!AH45="","",项目总控台账!AH45)</f>
        <v/>
      </c>
    </row>
    <row r="46" customFormat="false" ht="16.5" hidden="false" customHeight="true" outlineLevel="0" collapsed="false">
      <c r="A46" s="59" t="str">
        <f aca="false">IF(项目总控台账!A46="","",项目总控台账!A46)</f>
        <v>T043</v>
      </c>
      <c r="B46" s="59" t="str">
        <f aca="false">项目总控台账!B42</f>
        <v>正式实施与上线准备</v>
      </c>
      <c r="C46" s="59" t="str">
        <f aca="false">项目总控台账!C45</f>
        <v>需求基线确认</v>
      </c>
      <c r="D46" s="59" t="str">
        <f aca="false">项目总控台账!D46</f>
        <v>范围管理</v>
      </c>
      <c r="E46" s="59" t="str">
        <f aca="false">IF(项目总控台账!E46="","",项目总控台账!E46)</f>
        <v>形成需求清单并完成P0/P1/P2分级</v>
      </c>
      <c r="F46" s="59" t="str">
        <f aca="false">IF(项目总控台账!F46="","",项目总控台账!F46)</f>
        <v>MS008</v>
      </c>
      <c r="G46" s="60" t="str">
        <f aca="false">IF(项目总控台账!G46="","",项目总控台账!G46)</f>
        <v>未开始</v>
      </c>
      <c r="H46" s="59" t="str">
        <f aca="false">IF(项目总控台账!H46="","",项目总控台账!H46)</f>
        <v>产品经理</v>
      </c>
      <c r="I46" s="61" t="n">
        <f aca="false">IF(项目总控台账!I46="","",项目总控台账!I46)</f>
        <v>46322</v>
      </c>
      <c r="J46" s="61" t="n">
        <f aca="false">IF(项目总控台账!J46="","",项目总控台账!J46)</f>
        <v>46328</v>
      </c>
      <c r="K46" s="61" t="n">
        <f aca="false">IF(项目总控台账!K46="","",项目总控台账!K46)</f>
        <v>46356</v>
      </c>
      <c r="L46" s="59" t="str">
        <f aca="false">IF(项目总控台账!L46="","",项目总控台账!L46)</f>
        <v>产品经理</v>
      </c>
      <c r="M46" s="60" t="str">
        <f aca="false">IF(项目总控台账!M46="","",项目总控台账!M46)</f>
        <v>未开始</v>
      </c>
      <c r="N46" s="61" t="n">
        <f aca="false">IF(项目总控台账!N46="","",项目总控台账!N46)</f>
        <v>46322</v>
      </c>
      <c r="O46" s="61" t="n">
        <f aca="false">IF(项目总控台账!O46="","",项目总控台账!O46)</f>
        <v>46328</v>
      </c>
      <c r="P46" s="59" t="str">
        <f aca="false">IF(项目总控台账!P46="","",项目总控台账!P46)</f>
        <v/>
      </c>
      <c r="Q46" s="60" t="str">
        <f aca="false">IF(项目总控台账!Q46="","",项目总控台账!Q46)</f>
        <v/>
      </c>
      <c r="R46" s="61" t="str">
        <f aca="false">IF(项目总控台账!R46="","",项目总控台账!R46)</f>
        <v/>
      </c>
      <c r="S46" s="61" t="str">
        <f aca="false">IF(项目总控台账!S46="","",项目总控台账!S46)</f>
        <v/>
      </c>
      <c r="T46" s="59" t="str">
        <f aca="false">IF(项目总控台账!T46="","",项目总控台账!T46)</f>
        <v/>
      </c>
      <c r="U46" s="60" t="str">
        <f aca="false">IF(项目总控台账!U46="","",项目总控台账!U46)</f>
        <v/>
      </c>
      <c r="V46" s="61" t="str">
        <f aca="false">IF(项目总控台账!V46="","",项目总控台账!V46)</f>
        <v/>
      </c>
      <c r="W46" s="61" t="str">
        <f aca="false">IF(项目总控台账!W46="","",项目总控台账!W46)</f>
        <v/>
      </c>
      <c r="X46" s="59" t="str">
        <f aca="false">IF(项目总控台账!X46="","",项目总控台账!X46)</f>
        <v/>
      </c>
      <c r="Y46" s="60" t="str">
        <f aca="false">IF(项目总控台账!Y46="","",项目总控台账!Y46)</f>
        <v/>
      </c>
      <c r="Z46" s="61" t="str">
        <f aca="false">IF(项目总控台账!Z46="","",项目总控台账!Z46)</f>
        <v/>
      </c>
      <c r="AA46" s="61" t="str">
        <f aca="false">IF(项目总控台账!AA46="","",项目总控台账!AA46)</f>
        <v/>
      </c>
      <c r="AB46" s="62" t="n">
        <f aca="false">IF(项目总控台账!AB46="","",项目总控台账!AB46)</f>
        <v>0</v>
      </c>
      <c r="AC46" s="60" t="str">
        <f aca="false">IF(项目总控台账!AC46="","",项目总控台账!AC46)</f>
        <v>正常</v>
      </c>
      <c r="AD46" s="59" t="str">
        <f aca="false">IF(项目总控台账!AD46="","",项目总控台账!AD46)</f>
        <v/>
      </c>
      <c r="AE46" s="59" t="str">
        <f aca="false">IF(项目总控台账!AE46="","",项目总控台账!AE46)</f>
        <v/>
      </c>
      <c r="AF46" s="59" t="str">
        <f aca="false">IF(项目总控台账!AF46="","",项目总控台账!AF46)</f>
        <v/>
      </c>
      <c r="AG46" s="61" t="str">
        <f aca="false">IF(项目总控台账!AG46="","",项目总控台账!AG46)</f>
        <v/>
      </c>
      <c r="AH46" s="63" t="str">
        <f aca="false">IF(项目总控台账!AH46="","",项目总控台账!AH46)</f>
        <v/>
      </c>
    </row>
    <row r="47" customFormat="false" ht="16.5" hidden="false" customHeight="true" outlineLevel="0" collapsed="false">
      <c r="A47" s="59" t="str">
        <f aca="false">IF(项目总控台账!A47="","",项目总控台账!A47)</f>
        <v>T044</v>
      </c>
      <c r="B47" s="59" t="str">
        <f aca="false">项目总控台账!B42</f>
        <v>正式实施与上线准备</v>
      </c>
      <c r="C47" s="59" t="str">
        <f aca="false">项目总控台账!C45</f>
        <v>需求基线确认</v>
      </c>
      <c r="D47" s="59" t="str">
        <f aca="false">项目总控台账!D47</f>
        <v>需求分析</v>
      </c>
      <c r="E47" s="59" t="str">
        <f aca="false">IF(项目总控台账!E47="","",项目总控台账!E47)</f>
        <v>设计目标流程、用例和业务规则</v>
      </c>
      <c r="F47" s="59" t="str">
        <f aca="false">IF(项目总控台账!F47="","",项目总控台账!F47)</f>
        <v>MS008</v>
      </c>
      <c r="G47" s="60" t="str">
        <f aca="false">IF(项目总控台账!G47="","",项目总控台账!G47)</f>
        <v>未开始</v>
      </c>
      <c r="H47" s="59" t="str">
        <f aca="false">IF(项目总控台账!H47="","",项目总控台账!H47)</f>
        <v>产品经理</v>
      </c>
      <c r="I47" s="61" t="n">
        <f aca="false">IF(项目总控台账!I47="","",项目总控台账!I47)</f>
        <v>46329</v>
      </c>
      <c r="J47" s="61" t="n">
        <f aca="false">IF(项目总控台账!J47="","",项目总控台账!J47)</f>
        <v>46335</v>
      </c>
      <c r="K47" s="61" t="n">
        <f aca="false">IF(项目总控台账!K47="","",项目总控台账!K47)</f>
        <v>46356</v>
      </c>
      <c r="L47" s="59" t="str">
        <f aca="false">IF(项目总控台账!L47="","",项目总控台账!L47)</f>
        <v>产品经理</v>
      </c>
      <c r="M47" s="60" t="str">
        <f aca="false">IF(项目总控台账!M47="","",项目总控台账!M47)</f>
        <v>未开始</v>
      </c>
      <c r="N47" s="61" t="n">
        <f aca="false">IF(项目总控台账!N47="","",项目总控台账!N47)</f>
        <v>46329</v>
      </c>
      <c r="O47" s="61" t="n">
        <f aca="false">IF(项目总控台账!O47="","",项目总控台账!O47)</f>
        <v>46335</v>
      </c>
      <c r="P47" s="59" t="str">
        <f aca="false">IF(项目总控台账!P47="","",项目总控台账!P47)</f>
        <v/>
      </c>
      <c r="Q47" s="60" t="str">
        <f aca="false">IF(项目总控台账!Q47="","",项目总控台账!Q47)</f>
        <v/>
      </c>
      <c r="R47" s="61" t="str">
        <f aca="false">IF(项目总控台账!R47="","",项目总控台账!R47)</f>
        <v/>
      </c>
      <c r="S47" s="61" t="str">
        <f aca="false">IF(项目总控台账!S47="","",项目总控台账!S47)</f>
        <v/>
      </c>
      <c r="T47" s="59" t="str">
        <f aca="false">IF(项目总控台账!T47="","",项目总控台账!T47)</f>
        <v/>
      </c>
      <c r="U47" s="60" t="str">
        <f aca="false">IF(项目总控台账!U47="","",项目总控台账!U47)</f>
        <v/>
      </c>
      <c r="V47" s="61" t="str">
        <f aca="false">IF(项目总控台账!V47="","",项目总控台账!V47)</f>
        <v/>
      </c>
      <c r="W47" s="61" t="str">
        <f aca="false">IF(项目总控台账!W47="","",项目总控台账!W47)</f>
        <v/>
      </c>
      <c r="X47" s="59" t="str">
        <f aca="false">IF(项目总控台账!X47="","",项目总控台账!X47)</f>
        <v/>
      </c>
      <c r="Y47" s="60" t="str">
        <f aca="false">IF(项目总控台账!Y47="","",项目总控台账!Y47)</f>
        <v/>
      </c>
      <c r="Z47" s="61" t="str">
        <f aca="false">IF(项目总控台账!Z47="","",项目总控台账!Z47)</f>
        <v/>
      </c>
      <c r="AA47" s="61" t="str">
        <f aca="false">IF(项目总控台账!AA47="","",项目总控台账!AA47)</f>
        <v/>
      </c>
      <c r="AB47" s="62" t="n">
        <f aca="false">IF(项目总控台账!AB47="","",项目总控台账!AB47)</f>
        <v>0</v>
      </c>
      <c r="AC47" s="60" t="str">
        <f aca="false">IF(项目总控台账!AC47="","",项目总控台账!AC47)</f>
        <v>正常</v>
      </c>
      <c r="AD47" s="59" t="str">
        <f aca="false">IF(项目总控台账!AD47="","",项目总控台账!AD47)</f>
        <v/>
      </c>
      <c r="AE47" s="59" t="str">
        <f aca="false">IF(项目总控台账!AE47="","",项目总控台账!AE47)</f>
        <v/>
      </c>
      <c r="AF47" s="59" t="str">
        <f aca="false">IF(项目总控台账!AF47="","",项目总控台账!AF47)</f>
        <v/>
      </c>
      <c r="AG47" s="61" t="str">
        <f aca="false">IF(项目总控台账!AG47="","",项目总控台账!AG47)</f>
        <v/>
      </c>
      <c r="AH47" s="63" t="str">
        <f aca="false">IF(项目总控台账!AH47="","",项目总控台账!AH47)</f>
        <v/>
      </c>
    </row>
    <row r="48" customFormat="false" ht="16.5" hidden="false" customHeight="true" outlineLevel="0" collapsed="false">
      <c r="A48" s="59" t="str">
        <f aca="false">IF(项目总控台账!A48="","",项目总控台账!A48)</f>
        <v>T045</v>
      </c>
      <c r="B48" s="59" t="str">
        <f aca="false">项目总控台账!B42</f>
        <v>正式实施与上线准备</v>
      </c>
      <c r="C48" s="59" t="str">
        <f aca="false">项目总控台账!C45</f>
        <v>需求基线确认</v>
      </c>
      <c r="D48" s="59" t="str">
        <f aca="false">项目总控台账!D48</f>
        <v>原型设计</v>
      </c>
      <c r="E48" s="59" t="str">
        <f aca="false">IF(项目总控台账!E48="","",项目总控台账!E48)</f>
        <v>完成核心功能原型和交互确认</v>
      </c>
      <c r="F48" s="59" t="str">
        <f aca="false">IF(项目总控台账!F48="","",项目总控台账!F48)</f>
        <v>MS008</v>
      </c>
      <c r="G48" s="60" t="str">
        <f aca="false">IF(项目总控台账!G48="","",项目总控台账!G48)</f>
        <v>未开始</v>
      </c>
      <c r="H48" s="59" t="str">
        <f aca="false">IF(项目总控台账!H48="","",项目总控台账!H48)</f>
        <v>美工</v>
      </c>
      <c r="I48" s="61" t="n">
        <f aca="false">IF(项目总控台账!I48="","",项目总控台账!I48)</f>
        <v>46336</v>
      </c>
      <c r="J48" s="61" t="n">
        <f aca="false">IF(项目总控台账!J48="","",项目总控台账!J48)</f>
        <v>46342</v>
      </c>
      <c r="K48" s="61" t="n">
        <f aca="false">IF(项目总控台账!K48="","",项目总控台账!K48)</f>
        <v>46356</v>
      </c>
      <c r="L48" s="59" t="str">
        <f aca="false">IF(项目总控台账!L48="","",项目总控台账!L48)</f>
        <v/>
      </c>
      <c r="M48" s="60" t="str">
        <f aca="false">IF(项目总控台账!M48="","",项目总控台账!M48)</f>
        <v/>
      </c>
      <c r="N48" s="61" t="str">
        <f aca="false">IF(项目总控台账!N48="","",项目总控台账!N48)</f>
        <v/>
      </c>
      <c r="O48" s="61" t="str">
        <f aca="false">IF(项目总控台账!O48="","",项目总控台账!O48)</f>
        <v/>
      </c>
      <c r="P48" s="59" t="str">
        <f aca="false">IF(项目总控台账!P48="","",项目总控台账!P48)</f>
        <v/>
      </c>
      <c r="Q48" s="60" t="str">
        <f aca="false">IF(项目总控台账!Q48="","",项目总控台账!Q48)</f>
        <v/>
      </c>
      <c r="R48" s="61" t="str">
        <f aca="false">IF(项目总控台账!R48="","",项目总控台账!R48)</f>
        <v/>
      </c>
      <c r="S48" s="61" t="str">
        <f aca="false">IF(项目总控台账!S48="","",项目总控台账!S48)</f>
        <v/>
      </c>
      <c r="T48" s="59" t="str">
        <f aca="false">IF(项目总控台账!T48="","",项目总控台账!T48)</f>
        <v>美工</v>
      </c>
      <c r="U48" s="60" t="str">
        <f aca="false">IF(项目总控台账!U48="","",项目总控台账!U48)</f>
        <v>未开始</v>
      </c>
      <c r="V48" s="61" t="n">
        <f aca="false">IF(项目总控台账!V48="","",项目总控台账!V48)</f>
        <v>46336</v>
      </c>
      <c r="W48" s="61" t="n">
        <f aca="false">IF(项目总控台账!W48="","",项目总控台账!W48)</f>
        <v>46342</v>
      </c>
      <c r="X48" s="59" t="str">
        <f aca="false">IF(项目总控台账!X48="","",项目总控台账!X48)</f>
        <v/>
      </c>
      <c r="Y48" s="60" t="str">
        <f aca="false">IF(项目总控台账!Y48="","",项目总控台账!Y48)</f>
        <v/>
      </c>
      <c r="Z48" s="61" t="str">
        <f aca="false">IF(项目总控台账!Z48="","",项目总控台账!Z48)</f>
        <v/>
      </c>
      <c r="AA48" s="61" t="str">
        <f aca="false">IF(项目总控台账!AA48="","",项目总控台账!AA48)</f>
        <v/>
      </c>
      <c r="AB48" s="62" t="n">
        <f aca="false">IF(项目总控台账!AB48="","",项目总控台账!AB48)</f>
        <v>0</v>
      </c>
      <c r="AC48" s="60" t="str">
        <f aca="false">IF(项目总控台账!AC48="","",项目总控台账!AC48)</f>
        <v>正常</v>
      </c>
      <c r="AD48" s="59" t="str">
        <f aca="false">IF(项目总控台账!AD48="","",项目总控台账!AD48)</f>
        <v/>
      </c>
      <c r="AE48" s="59" t="str">
        <f aca="false">IF(项目总控台账!AE48="","",项目总控台账!AE48)</f>
        <v/>
      </c>
      <c r="AF48" s="59" t="str">
        <f aca="false">IF(项目总控台账!AF48="","",项目总控台账!AF48)</f>
        <v/>
      </c>
      <c r="AG48" s="61" t="str">
        <f aca="false">IF(项目总控台账!AG48="","",项目总控台账!AG48)</f>
        <v/>
      </c>
      <c r="AH48" s="63" t="str">
        <f aca="false">IF(项目总控台账!AH48="","",项目总控台账!AH48)</f>
        <v/>
      </c>
    </row>
    <row r="49" customFormat="false" ht="16.5" hidden="false" customHeight="true" outlineLevel="0" collapsed="false">
      <c r="A49" s="59" t="str">
        <f aca="false">IF(项目总控台账!A49="","",项目总控台账!A49)</f>
        <v>T046</v>
      </c>
      <c r="B49" s="59" t="str">
        <f aca="false">项目总控台账!B42</f>
        <v>正式实施与上线准备</v>
      </c>
      <c r="C49" s="59" t="str">
        <f aca="false">项目总控台账!C45</f>
        <v>需求基线确认</v>
      </c>
      <c r="D49" s="59" t="str">
        <f aca="false">项目总控台账!D49</f>
        <v>非功能需求</v>
      </c>
      <c r="E49" s="59" t="str">
        <f aca="false">IF(项目总控台账!E49="","",项目总控台账!E49)</f>
        <v>明确性能、安全、可用性和合规要求</v>
      </c>
      <c r="F49" s="59" t="str">
        <f aca="false">IF(项目总控台账!F49="","",项目总控台账!F49)</f>
        <v>MS008</v>
      </c>
      <c r="G49" s="60" t="str">
        <f aca="false">IF(项目总控台账!G49="","",项目总控台账!G49)</f>
        <v>未开始</v>
      </c>
      <c r="H49" s="59" t="str">
        <f aca="false">IF(项目总控台账!H49="","",项目总控台账!H49)</f>
        <v>技术经理</v>
      </c>
      <c r="I49" s="61" t="n">
        <f aca="false">IF(项目总控台账!I49="","",项目总控台账!I49)</f>
        <v>46343</v>
      </c>
      <c r="J49" s="61" t="n">
        <f aca="false">IF(项目总控台账!J49="","",项目总控台账!J49)</f>
        <v>46349</v>
      </c>
      <c r="K49" s="61" t="n">
        <f aca="false">IF(项目总控台账!K49="","",项目总控台账!K49)</f>
        <v>46356</v>
      </c>
      <c r="L49" s="59" t="str">
        <f aca="false">IF(项目总控台账!L49="","",项目总控台账!L49)</f>
        <v/>
      </c>
      <c r="M49" s="60" t="str">
        <f aca="false">IF(项目总控台账!M49="","",项目总控台账!M49)</f>
        <v/>
      </c>
      <c r="N49" s="61" t="str">
        <f aca="false">IF(项目总控台账!N49="","",项目总控台账!N49)</f>
        <v/>
      </c>
      <c r="O49" s="61" t="str">
        <f aca="false">IF(项目总控台账!O49="","",项目总控台账!O49)</f>
        <v/>
      </c>
      <c r="P49" s="59" t="str">
        <f aca="false">IF(项目总控台账!P49="","",项目总控台账!P49)</f>
        <v>技术经理</v>
      </c>
      <c r="Q49" s="60" t="str">
        <f aca="false">IF(项目总控台账!Q49="","",项目总控台账!Q49)</f>
        <v>未开始</v>
      </c>
      <c r="R49" s="61" t="n">
        <f aca="false">IF(项目总控台账!R49="","",项目总控台账!R49)</f>
        <v>46343</v>
      </c>
      <c r="S49" s="61" t="n">
        <f aca="false">IF(项目总控台账!S49="","",项目总控台账!S49)</f>
        <v>46349</v>
      </c>
      <c r="T49" s="59" t="str">
        <f aca="false">IF(项目总控台账!T49="","",项目总控台账!T49)</f>
        <v/>
      </c>
      <c r="U49" s="60" t="str">
        <f aca="false">IF(项目总控台账!U49="","",项目总控台账!U49)</f>
        <v/>
      </c>
      <c r="V49" s="61" t="str">
        <f aca="false">IF(项目总控台账!V49="","",项目总控台账!V49)</f>
        <v/>
      </c>
      <c r="W49" s="61" t="str">
        <f aca="false">IF(项目总控台账!W49="","",项目总控台账!W49)</f>
        <v/>
      </c>
      <c r="X49" s="59" t="str">
        <f aca="false">IF(项目总控台账!X49="","",项目总控台账!X49)</f>
        <v/>
      </c>
      <c r="Y49" s="60" t="str">
        <f aca="false">IF(项目总控台账!Y49="","",项目总控台账!Y49)</f>
        <v/>
      </c>
      <c r="Z49" s="61" t="str">
        <f aca="false">IF(项目总控台账!Z49="","",项目总控台账!Z49)</f>
        <v/>
      </c>
      <c r="AA49" s="61" t="str">
        <f aca="false">IF(项目总控台账!AA49="","",项目总控台账!AA49)</f>
        <v/>
      </c>
      <c r="AB49" s="62" t="n">
        <f aca="false">IF(项目总控台账!AB49="","",项目总控台账!AB49)</f>
        <v>0</v>
      </c>
      <c r="AC49" s="60" t="str">
        <f aca="false">IF(项目总控台账!AC49="","",项目总控台账!AC49)</f>
        <v>正常</v>
      </c>
      <c r="AD49" s="59" t="str">
        <f aca="false">IF(项目总控台账!AD49="","",项目总控台账!AD49)</f>
        <v/>
      </c>
      <c r="AE49" s="59" t="str">
        <f aca="false">IF(项目总控台账!AE49="","",项目总控台账!AE49)</f>
        <v/>
      </c>
      <c r="AF49" s="59" t="str">
        <f aca="false">IF(项目总控台账!AF49="","",项目总控台账!AF49)</f>
        <v/>
      </c>
      <c r="AG49" s="61" t="str">
        <f aca="false">IF(项目总控台账!AG49="","",项目总控台账!AG49)</f>
        <v/>
      </c>
      <c r="AH49" s="63" t="str">
        <f aca="false">IF(项目总控台账!AH49="","",项目总控台账!AH49)</f>
        <v/>
      </c>
    </row>
    <row r="50" customFormat="false" ht="16.5" hidden="false" customHeight="true" outlineLevel="0" collapsed="false">
      <c r="A50" s="59" t="str">
        <f aca="false">IF(项目总控台账!A50="","",项目总控台账!A50)</f>
        <v>T047</v>
      </c>
      <c r="B50" s="59" t="str">
        <f aca="false">项目总控台账!B42</f>
        <v>正式实施与上线准备</v>
      </c>
      <c r="C50" s="59" t="str">
        <f aca="false">项目总控台账!C45</f>
        <v>需求基线确认</v>
      </c>
      <c r="D50" s="59" t="str">
        <f aca="false">项目总控台账!D50</f>
        <v>需求基线</v>
      </c>
      <c r="E50" s="59" t="str">
        <f aca="false">IF(项目总控台账!E50="","",项目总控台账!E50)</f>
        <v>建立需求跟踪矩阵并完成基线评审</v>
      </c>
      <c r="F50" s="59" t="str">
        <f aca="false">IF(项目总控台账!F50="","",项目总控台账!F50)</f>
        <v>MS008</v>
      </c>
      <c r="G50" s="60" t="str">
        <f aca="false">IF(项目总控台账!G50="","",项目总控台账!G50)</f>
        <v>未开始</v>
      </c>
      <c r="H50" s="59" t="str">
        <f aca="false">IF(项目总控台账!H50="","",项目总控台账!H50)</f>
        <v>项目经理</v>
      </c>
      <c r="I50" s="61" t="n">
        <f aca="false">IF(项目总控台账!I50="","",项目总控台账!I50)</f>
        <v>46350</v>
      </c>
      <c r="J50" s="61" t="n">
        <f aca="false">IF(项目总控台账!J50="","",项目总控台账!J50)</f>
        <v>46356</v>
      </c>
      <c r="K50" s="61" t="n">
        <f aca="false">IF(项目总控台账!K50="","",项目总控台账!K50)</f>
        <v>46356</v>
      </c>
      <c r="L50" s="59" t="str">
        <f aca="false">IF(项目总控台账!L50="","",项目总控台账!L50)</f>
        <v>项目经理</v>
      </c>
      <c r="M50" s="60" t="str">
        <f aca="false">IF(项目总控台账!M50="","",项目总控台账!M50)</f>
        <v>未开始</v>
      </c>
      <c r="N50" s="61" t="n">
        <f aca="false">IF(项目总控台账!N50="","",项目总控台账!N50)</f>
        <v>46350</v>
      </c>
      <c r="O50" s="61" t="n">
        <f aca="false">IF(项目总控台账!O50="","",项目总控台账!O50)</f>
        <v>46356</v>
      </c>
      <c r="P50" s="59" t="str">
        <f aca="false">IF(项目总控台账!P50="","",项目总控台账!P50)</f>
        <v/>
      </c>
      <c r="Q50" s="60" t="str">
        <f aca="false">IF(项目总控台账!Q50="","",项目总控台账!Q50)</f>
        <v/>
      </c>
      <c r="R50" s="61" t="str">
        <f aca="false">IF(项目总控台账!R50="","",项目总控台账!R50)</f>
        <v/>
      </c>
      <c r="S50" s="61" t="str">
        <f aca="false">IF(项目总控台账!S50="","",项目总控台账!S50)</f>
        <v/>
      </c>
      <c r="T50" s="59" t="str">
        <f aca="false">IF(项目总控台账!T50="","",项目总控台账!T50)</f>
        <v/>
      </c>
      <c r="U50" s="60" t="str">
        <f aca="false">IF(项目总控台账!U50="","",项目总控台账!U50)</f>
        <v/>
      </c>
      <c r="V50" s="61" t="str">
        <f aca="false">IF(项目总控台账!V50="","",项目总控台账!V50)</f>
        <v/>
      </c>
      <c r="W50" s="61" t="str">
        <f aca="false">IF(项目总控台账!W50="","",项目总控台账!W50)</f>
        <v/>
      </c>
      <c r="X50" s="59" t="str">
        <f aca="false">IF(项目总控台账!X50="","",项目总控台账!X50)</f>
        <v/>
      </c>
      <c r="Y50" s="60" t="str">
        <f aca="false">IF(项目总控台账!Y50="","",项目总控台账!Y50)</f>
        <v/>
      </c>
      <c r="Z50" s="61" t="str">
        <f aca="false">IF(项目总控台账!Z50="","",项目总控台账!Z50)</f>
        <v/>
      </c>
      <c r="AA50" s="61" t="str">
        <f aca="false">IF(项目总控台账!AA50="","",项目总控台账!AA50)</f>
        <v/>
      </c>
      <c r="AB50" s="62" t="n">
        <f aca="false">IF(项目总控台账!AB50="","",项目总控台账!AB50)</f>
        <v>0</v>
      </c>
      <c r="AC50" s="60" t="str">
        <f aca="false">IF(项目总控台账!AC50="","",项目总控台账!AC50)</f>
        <v>正常</v>
      </c>
      <c r="AD50" s="59" t="str">
        <f aca="false">IF(项目总控台账!AD50="","",项目总控台账!AD50)</f>
        <v/>
      </c>
      <c r="AE50" s="59" t="str">
        <f aca="false">IF(项目总控台账!AE50="","",项目总控台账!AE50)</f>
        <v/>
      </c>
      <c r="AF50" s="59" t="str">
        <f aca="false">IF(项目总控台账!AF50="","",项目总控台账!AF50)</f>
        <v/>
      </c>
      <c r="AG50" s="61" t="str">
        <f aca="false">IF(项目总控台账!AG50="","",项目总控台账!AG50)</f>
        <v/>
      </c>
      <c r="AH50" s="63" t="str">
        <f aca="false">IF(项目总控台账!AH50="","",项目总控台账!AH50)</f>
        <v/>
      </c>
    </row>
    <row r="51" customFormat="false" ht="16.5" hidden="false" customHeight="true" outlineLevel="0" collapsed="false">
      <c r="A51" s="59" t="str">
        <f aca="false">IF(项目总控台账!A51="","",项目总控台账!A51)</f>
        <v>T048</v>
      </c>
      <c r="B51" s="59" t="str">
        <f aca="false">项目总控台账!B42</f>
        <v>正式实施与上线准备</v>
      </c>
      <c r="C51" s="59" t="str">
        <f aca="false">项目总控台账!C51</f>
        <v>详细设计完成</v>
      </c>
      <c r="D51" s="59" t="str">
        <f aca="false">项目总控台账!D51</f>
        <v>详细设计</v>
      </c>
      <c r="E51" s="59" t="str">
        <f aca="false">IF(项目总控台账!E51="","",项目总控台账!E51)</f>
        <v>完成核心模块和服务详细设计</v>
      </c>
      <c r="F51" s="59" t="str">
        <f aca="false">IF(项目总控台账!F51="","",项目总控台账!F51)</f>
        <v>MS009</v>
      </c>
      <c r="G51" s="60" t="str">
        <f aca="false">IF(项目总控台账!G51="","",项目总控台账!G51)</f>
        <v>未开始</v>
      </c>
      <c r="H51" s="59" t="str">
        <f aca="false">IF(项目总控台账!H51="","",项目总控台账!H51)</f>
        <v>技术经理</v>
      </c>
      <c r="I51" s="61" t="n">
        <f aca="false">IF(项目总控台账!I51="","",项目总控台账!I51)</f>
        <v>46341</v>
      </c>
      <c r="J51" s="61" t="n">
        <f aca="false">IF(项目总控台账!J51="","",项目总控台账!J51)</f>
        <v>46347</v>
      </c>
      <c r="K51" s="61" t="n">
        <f aca="false">IF(项目总控台账!K51="","",项目总控台账!K51)</f>
        <v>46387</v>
      </c>
      <c r="L51" s="59" t="str">
        <f aca="false">IF(项目总控台账!L51="","",项目总控台账!L51)</f>
        <v/>
      </c>
      <c r="M51" s="60" t="str">
        <f aca="false">IF(项目总控台账!M51="","",项目总控台账!M51)</f>
        <v/>
      </c>
      <c r="N51" s="61" t="str">
        <f aca="false">IF(项目总控台账!N51="","",项目总控台账!N51)</f>
        <v/>
      </c>
      <c r="O51" s="61" t="str">
        <f aca="false">IF(项目总控台账!O51="","",项目总控台账!O51)</f>
        <v/>
      </c>
      <c r="P51" s="59" t="str">
        <f aca="false">IF(项目总控台账!P51="","",项目总控台账!P51)</f>
        <v>技术经理</v>
      </c>
      <c r="Q51" s="60" t="str">
        <f aca="false">IF(项目总控台账!Q51="","",项目总控台账!Q51)</f>
        <v>未开始</v>
      </c>
      <c r="R51" s="61" t="n">
        <f aca="false">IF(项目总控台账!R51="","",项目总控台账!R51)</f>
        <v>46341</v>
      </c>
      <c r="S51" s="61" t="n">
        <f aca="false">IF(项目总控台账!S51="","",项目总控台账!S51)</f>
        <v>46347</v>
      </c>
      <c r="T51" s="59" t="str">
        <f aca="false">IF(项目总控台账!T51="","",项目总控台账!T51)</f>
        <v/>
      </c>
      <c r="U51" s="60" t="str">
        <f aca="false">IF(项目总控台账!U51="","",项目总控台账!U51)</f>
        <v/>
      </c>
      <c r="V51" s="61" t="str">
        <f aca="false">IF(项目总控台账!V51="","",项目总控台账!V51)</f>
        <v/>
      </c>
      <c r="W51" s="61" t="str">
        <f aca="false">IF(项目总控台账!W51="","",项目总控台账!W51)</f>
        <v/>
      </c>
      <c r="X51" s="59" t="str">
        <f aca="false">IF(项目总控台账!X51="","",项目总控台账!X51)</f>
        <v/>
      </c>
      <c r="Y51" s="60" t="str">
        <f aca="false">IF(项目总控台账!Y51="","",项目总控台账!Y51)</f>
        <v/>
      </c>
      <c r="Z51" s="61" t="str">
        <f aca="false">IF(项目总控台账!Z51="","",项目总控台账!Z51)</f>
        <v/>
      </c>
      <c r="AA51" s="61" t="str">
        <f aca="false">IF(项目总控台账!AA51="","",项目总控台账!AA51)</f>
        <v/>
      </c>
      <c r="AB51" s="62" t="n">
        <f aca="false">IF(项目总控台账!AB51="","",项目总控台账!AB51)</f>
        <v>0</v>
      </c>
      <c r="AC51" s="60" t="str">
        <f aca="false">IF(项目总控台账!AC51="","",项目总控台账!AC51)</f>
        <v>正常</v>
      </c>
      <c r="AD51" s="59" t="str">
        <f aca="false">IF(项目总控台账!AD51="","",项目总控台账!AD51)</f>
        <v/>
      </c>
      <c r="AE51" s="59" t="str">
        <f aca="false">IF(项目总控台账!AE51="","",项目总控台账!AE51)</f>
        <v/>
      </c>
      <c r="AF51" s="59" t="str">
        <f aca="false">IF(项目总控台账!AF51="","",项目总控台账!AF51)</f>
        <v/>
      </c>
      <c r="AG51" s="61" t="str">
        <f aca="false">IF(项目总控台账!AG51="","",项目总控台账!AG51)</f>
        <v/>
      </c>
      <c r="AH51" s="63" t="str">
        <f aca="false">IF(项目总控台账!AH51="","",项目总控台账!AH51)</f>
        <v/>
      </c>
    </row>
    <row r="52" customFormat="false" ht="16.5" hidden="false" customHeight="true" outlineLevel="0" collapsed="false">
      <c r="A52" s="59" t="str">
        <f aca="false">IF(项目总控台账!A52="","",项目总控台账!A52)</f>
        <v>T049</v>
      </c>
      <c r="B52" s="59" t="str">
        <f aca="false">项目总控台账!B42</f>
        <v>正式实施与上线准备</v>
      </c>
      <c r="C52" s="59" t="str">
        <f aca="false">项目总控台账!C51</f>
        <v>详细设计完成</v>
      </c>
      <c r="D52" s="59" t="str">
        <f aca="false">项目总控台账!D52</f>
        <v>数据设计</v>
      </c>
      <c r="E52" s="59" t="str">
        <f aca="false">IF(项目总控台账!E52="","",项目总控台账!E52)</f>
        <v>完成数据模型、字典和数据质量规则</v>
      </c>
      <c r="F52" s="59" t="str">
        <f aca="false">IF(项目总控台账!F52="","",项目总控台账!F52)</f>
        <v>MS009</v>
      </c>
      <c r="G52" s="60" t="str">
        <f aca="false">IF(项目总控台账!G52="","",项目总控台账!G52)</f>
        <v>未开始</v>
      </c>
      <c r="H52" s="59" t="str">
        <f aca="false">IF(项目总控台账!H52="","",项目总控台账!H52)</f>
        <v>高级开发人员</v>
      </c>
      <c r="I52" s="61" t="n">
        <f aca="false">IF(项目总控台账!I52="","",项目总控台账!I52)</f>
        <v>46348</v>
      </c>
      <c r="J52" s="61" t="n">
        <f aca="false">IF(项目总控台账!J52="","",项目总控台账!J52)</f>
        <v>46355</v>
      </c>
      <c r="K52" s="61" t="n">
        <f aca="false">IF(项目总控台账!K52="","",项目总控台账!K52)</f>
        <v>46387</v>
      </c>
      <c r="L52" s="59" t="str">
        <f aca="false">IF(项目总控台账!L52="","",项目总控台账!L52)</f>
        <v/>
      </c>
      <c r="M52" s="60" t="str">
        <f aca="false">IF(项目总控台账!M52="","",项目总控台账!M52)</f>
        <v/>
      </c>
      <c r="N52" s="61" t="str">
        <f aca="false">IF(项目总控台账!N52="","",项目总控台账!N52)</f>
        <v/>
      </c>
      <c r="O52" s="61" t="str">
        <f aca="false">IF(项目总控台账!O52="","",项目总控台账!O52)</f>
        <v/>
      </c>
      <c r="P52" s="59" t="str">
        <f aca="false">IF(项目总控台账!P52="","",项目总控台账!P52)</f>
        <v>高级开发人员</v>
      </c>
      <c r="Q52" s="60" t="str">
        <f aca="false">IF(项目总控台账!Q52="","",项目总控台账!Q52)</f>
        <v>未开始</v>
      </c>
      <c r="R52" s="61" t="n">
        <f aca="false">IF(项目总控台账!R52="","",项目总控台账!R52)</f>
        <v>46348</v>
      </c>
      <c r="S52" s="61" t="n">
        <f aca="false">IF(项目总控台账!S52="","",项目总控台账!S52)</f>
        <v>46355</v>
      </c>
      <c r="T52" s="59" t="str">
        <f aca="false">IF(项目总控台账!T52="","",项目总控台账!T52)</f>
        <v/>
      </c>
      <c r="U52" s="60" t="str">
        <f aca="false">IF(项目总控台账!U52="","",项目总控台账!U52)</f>
        <v/>
      </c>
      <c r="V52" s="61" t="str">
        <f aca="false">IF(项目总控台账!V52="","",项目总控台账!V52)</f>
        <v/>
      </c>
      <c r="W52" s="61" t="str">
        <f aca="false">IF(项目总控台账!W52="","",项目总控台账!W52)</f>
        <v/>
      </c>
      <c r="X52" s="59" t="str">
        <f aca="false">IF(项目总控台账!X52="","",项目总控台账!X52)</f>
        <v/>
      </c>
      <c r="Y52" s="60" t="str">
        <f aca="false">IF(项目总控台账!Y52="","",项目总控台账!Y52)</f>
        <v/>
      </c>
      <c r="Z52" s="61" t="str">
        <f aca="false">IF(项目总控台账!Z52="","",项目总控台账!Z52)</f>
        <v/>
      </c>
      <c r="AA52" s="61" t="str">
        <f aca="false">IF(项目总控台账!AA52="","",项目总控台账!AA52)</f>
        <v/>
      </c>
      <c r="AB52" s="62" t="n">
        <f aca="false">IF(项目总控台账!AB52="","",项目总控台账!AB52)</f>
        <v>0</v>
      </c>
      <c r="AC52" s="60" t="str">
        <f aca="false">IF(项目总控台账!AC52="","",项目总控台账!AC52)</f>
        <v>正常</v>
      </c>
      <c r="AD52" s="59" t="str">
        <f aca="false">IF(项目总控台账!AD52="","",项目总控台账!AD52)</f>
        <v/>
      </c>
      <c r="AE52" s="59" t="str">
        <f aca="false">IF(项目总控台账!AE52="","",项目总控台账!AE52)</f>
        <v/>
      </c>
      <c r="AF52" s="59" t="str">
        <f aca="false">IF(项目总控台账!AF52="","",项目总控台账!AF52)</f>
        <v/>
      </c>
      <c r="AG52" s="61" t="str">
        <f aca="false">IF(项目总控台账!AG52="","",项目总控台账!AG52)</f>
        <v/>
      </c>
      <c r="AH52" s="63" t="str">
        <f aca="false">IF(项目总控台账!AH52="","",项目总控台账!AH52)</f>
        <v/>
      </c>
    </row>
    <row r="53" customFormat="false" ht="16.5" hidden="false" customHeight="true" outlineLevel="0" collapsed="false">
      <c r="A53" s="59" t="str">
        <f aca="false">IF(项目总控台账!A53="","",项目总控台账!A53)</f>
        <v>T050</v>
      </c>
      <c r="B53" s="59" t="str">
        <f aca="false">项目总控台账!B42</f>
        <v>正式实施与上线准备</v>
      </c>
      <c r="C53" s="59" t="str">
        <f aca="false">项目总控台账!C51</f>
        <v>详细设计完成</v>
      </c>
      <c r="D53" s="59" t="str">
        <f aca="false">项目总控台账!D53</f>
        <v>接口设计</v>
      </c>
      <c r="E53" s="59" t="str">
        <f aca="false">IF(项目总控台账!E53="","",项目总控台账!E53)</f>
        <v>完成内部与外部接口详细设计</v>
      </c>
      <c r="F53" s="59" t="str">
        <f aca="false">IF(项目总控台账!F53="","",项目总控台账!F53)</f>
        <v>MS009</v>
      </c>
      <c r="G53" s="60" t="str">
        <f aca="false">IF(项目总控台账!G53="","",项目总控台账!G53)</f>
        <v>未开始</v>
      </c>
      <c r="H53" s="59" t="str">
        <f aca="false">IF(项目总控台账!H53="","",项目总控台账!H53)</f>
        <v>高级开发人员</v>
      </c>
      <c r="I53" s="61" t="n">
        <f aca="false">IF(项目总控台账!I53="","",项目总控台账!I53)</f>
        <v>46356</v>
      </c>
      <c r="J53" s="61" t="n">
        <f aca="false">IF(项目总控台账!J53="","",项目总控台账!J53)</f>
        <v>46363</v>
      </c>
      <c r="K53" s="61" t="n">
        <f aca="false">IF(项目总控台账!K53="","",项目总控台账!K53)</f>
        <v>46387</v>
      </c>
      <c r="L53" s="59" t="str">
        <f aca="false">IF(项目总控台账!L53="","",项目总控台账!L53)</f>
        <v/>
      </c>
      <c r="M53" s="60" t="str">
        <f aca="false">IF(项目总控台账!M53="","",项目总控台账!M53)</f>
        <v/>
      </c>
      <c r="N53" s="61" t="str">
        <f aca="false">IF(项目总控台账!N53="","",项目总控台账!N53)</f>
        <v/>
      </c>
      <c r="O53" s="61" t="str">
        <f aca="false">IF(项目总控台账!O53="","",项目总控台账!O53)</f>
        <v/>
      </c>
      <c r="P53" s="59" t="str">
        <f aca="false">IF(项目总控台账!P53="","",项目总控台账!P53)</f>
        <v>高级开发人员</v>
      </c>
      <c r="Q53" s="60" t="str">
        <f aca="false">IF(项目总控台账!Q53="","",项目总控台账!Q53)</f>
        <v>未开始</v>
      </c>
      <c r="R53" s="61" t="n">
        <f aca="false">IF(项目总控台账!R53="","",项目总控台账!R53)</f>
        <v>46356</v>
      </c>
      <c r="S53" s="61" t="n">
        <f aca="false">IF(项目总控台账!S53="","",项目总控台账!S53)</f>
        <v>46363</v>
      </c>
      <c r="T53" s="59" t="str">
        <f aca="false">IF(项目总控台账!T53="","",项目总控台账!T53)</f>
        <v/>
      </c>
      <c r="U53" s="60" t="str">
        <f aca="false">IF(项目总控台账!U53="","",项目总控台账!U53)</f>
        <v/>
      </c>
      <c r="V53" s="61" t="str">
        <f aca="false">IF(项目总控台账!V53="","",项目总控台账!V53)</f>
        <v/>
      </c>
      <c r="W53" s="61" t="str">
        <f aca="false">IF(项目总控台账!W53="","",项目总控台账!W53)</f>
        <v/>
      </c>
      <c r="X53" s="59" t="str">
        <f aca="false">IF(项目总控台账!X53="","",项目总控台账!X53)</f>
        <v/>
      </c>
      <c r="Y53" s="60" t="str">
        <f aca="false">IF(项目总控台账!Y53="","",项目总控台账!Y53)</f>
        <v/>
      </c>
      <c r="Z53" s="61" t="str">
        <f aca="false">IF(项目总控台账!Z53="","",项目总控台账!Z53)</f>
        <v/>
      </c>
      <c r="AA53" s="61" t="str">
        <f aca="false">IF(项目总控台账!AA53="","",项目总控台账!AA53)</f>
        <v/>
      </c>
      <c r="AB53" s="62" t="n">
        <f aca="false">IF(项目总控台账!AB53="","",项目总控台账!AB53)</f>
        <v>0</v>
      </c>
      <c r="AC53" s="60" t="str">
        <f aca="false">IF(项目总控台账!AC53="","",项目总控台账!AC53)</f>
        <v>正常</v>
      </c>
      <c r="AD53" s="59" t="str">
        <f aca="false">IF(项目总控台账!AD53="","",项目总控台账!AD53)</f>
        <v/>
      </c>
      <c r="AE53" s="59" t="str">
        <f aca="false">IF(项目总控台账!AE53="","",项目总控台账!AE53)</f>
        <v/>
      </c>
      <c r="AF53" s="59" t="str">
        <f aca="false">IF(项目总控台账!AF53="","",项目总控台账!AF53)</f>
        <v/>
      </c>
      <c r="AG53" s="61" t="str">
        <f aca="false">IF(项目总控台账!AG53="","",项目总控台账!AG53)</f>
        <v/>
      </c>
      <c r="AH53" s="63" t="str">
        <f aca="false">IF(项目总控台账!AH53="","",项目总控台账!AH53)</f>
        <v/>
      </c>
    </row>
    <row r="54" customFormat="false" ht="16.5" hidden="false" customHeight="true" outlineLevel="0" collapsed="false">
      <c r="A54" s="59" t="str">
        <f aca="false">IF(项目总控台账!A54="","",项目总控台账!A54)</f>
        <v>T051</v>
      </c>
      <c r="B54" s="59" t="str">
        <f aca="false">项目总控台账!B42</f>
        <v>正式实施与上线准备</v>
      </c>
      <c r="C54" s="59" t="str">
        <f aca="false">项目总控台账!C51</f>
        <v>详细设计完成</v>
      </c>
      <c r="D54" s="59" t="str">
        <f aca="false">项目总控台账!D54</f>
        <v>安全设计</v>
      </c>
      <c r="E54" s="59" t="str">
        <f aca="false">IF(项目总控台账!E54="","",项目总控台账!E54)</f>
        <v>完成角色权限、数据权限和审计设计</v>
      </c>
      <c r="F54" s="59" t="str">
        <f aca="false">IF(项目总控台账!F54="","",项目总控台账!F54)</f>
        <v>MS009</v>
      </c>
      <c r="G54" s="60" t="str">
        <f aca="false">IF(项目总控台账!G54="","",项目总控台账!G54)</f>
        <v>未开始</v>
      </c>
      <c r="H54" s="59" t="str">
        <f aca="false">IF(项目总控台账!H54="","",项目总控台账!H54)</f>
        <v>技术经理</v>
      </c>
      <c r="I54" s="61" t="n">
        <f aca="false">IF(项目总控台账!I54="","",项目总控台账!I54)</f>
        <v>46364</v>
      </c>
      <c r="J54" s="61" t="n">
        <f aca="false">IF(项目总控台账!J54="","",项目总控台账!J54)</f>
        <v>46371</v>
      </c>
      <c r="K54" s="61" t="n">
        <f aca="false">IF(项目总控台账!K54="","",项目总控台账!K54)</f>
        <v>46387</v>
      </c>
      <c r="L54" s="59" t="str">
        <f aca="false">IF(项目总控台账!L54="","",项目总控台账!L54)</f>
        <v/>
      </c>
      <c r="M54" s="60" t="str">
        <f aca="false">IF(项目总控台账!M54="","",项目总控台账!M54)</f>
        <v/>
      </c>
      <c r="N54" s="61" t="str">
        <f aca="false">IF(项目总控台账!N54="","",项目总控台账!N54)</f>
        <v/>
      </c>
      <c r="O54" s="61" t="str">
        <f aca="false">IF(项目总控台账!O54="","",项目总控台账!O54)</f>
        <v/>
      </c>
      <c r="P54" s="59" t="str">
        <f aca="false">IF(项目总控台账!P54="","",项目总控台账!P54)</f>
        <v>技术经理</v>
      </c>
      <c r="Q54" s="60" t="str">
        <f aca="false">IF(项目总控台账!Q54="","",项目总控台账!Q54)</f>
        <v>未开始</v>
      </c>
      <c r="R54" s="61" t="n">
        <f aca="false">IF(项目总控台账!R54="","",项目总控台账!R54)</f>
        <v>46364</v>
      </c>
      <c r="S54" s="61" t="n">
        <f aca="false">IF(项目总控台账!S54="","",项目总控台账!S54)</f>
        <v>46371</v>
      </c>
      <c r="T54" s="59" t="str">
        <f aca="false">IF(项目总控台账!T54="","",项目总控台账!T54)</f>
        <v/>
      </c>
      <c r="U54" s="60" t="str">
        <f aca="false">IF(项目总控台账!U54="","",项目总控台账!U54)</f>
        <v/>
      </c>
      <c r="V54" s="61" t="str">
        <f aca="false">IF(项目总控台账!V54="","",项目总控台账!V54)</f>
        <v/>
      </c>
      <c r="W54" s="61" t="str">
        <f aca="false">IF(项目总控台账!W54="","",项目总控台账!W54)</f>
        <v/>
      </c>
      <c r="X54" s="59" t="str">
        <f aca="false">IF(项目总控台账!X54="","",项目总控台账!X54)</f>
        <v/>
      </c>
      <c r="Y54" s="60" t="str">
        <f aca="false">IF(项目总控台账!Y54="","",项目总控台账!Y54)</f>
        <v/>
      </c>
      <c r="Z54" s="61" t="str">
        <f aca="false">IF(项目总控台账!Z54="","",项目总控台账!Z54)</f>
        <v/>
      </c>
      <c r="AA54" s="61" t="str">
        <f aca="false">IF(项目总控台账!AA54="","",项目总控台账!AA54)</f>
        <v/>
      </c>
      <c r="AB54" s="62" t="n">
        <f aca="false">IF(项目总控台账!AB54="","",项目总控台账!AB54)</f>
        <v>0</v>
      </c>
      <c r="AC54" s="60" t="str">
        <f aca="false">IF(项目总控台账!AC54="","",项目总控台账!AC54)</f>
        <v>正常</v>
      </c>
      <c r="AD54" s="59" t="str">
        <f aca="false">IF(项目总控台账!AD54="","",项目总控台账!AD54)</f>
        <v/>
      </c>
      <c r="AE54" s="59" t="str">
        <f aca="false">IF(项目总控台账!AE54="","",项目总控台账!AE54)</f>
        <v/>
      </c>
      <c r="AF54" s="59" t="str">
        <f aca="false">IF(项目总控台账!AF54="","",项目总控台账!AF54)</f>
        <v/>
      </c>
      <c r="AG54" s="61" t="str">
        <f aca="false">IF(项目总控台账!AG54="","",项目总控台账!AG54)</f>
        <v/>
      </c>
      <c r="AH54" s="63" t="str">
        <f aca="false">IF(项目总控台账!AH54="","",项目总控台账!AH54)</f>
        <v/>
      </c>
    </row>
    <row r="55" customFormat="false" ht="16.5" hidden="false" customHeight="true" outlineLevel="0" collapsed="false">
      <c r="A55" s="59" t="str">
        <f aca="false">IF(项目总控台账!A55="","",项目总控台账!A55)</f>
        <v>T052</v>
      </c>
      <c r="B55" s="59" t="str">
        <f aca="false">项目总控台账!B42</f>
        <v>正式实施与上线准备</v>
      </c>
      <c r="C55" s="59" t="str">
        <f aca="false">项目总控台账!C51</f>
        <v>详细设计完成</v>
      </c>
      <c r="D55" s="59" t="str">
        <f aca="false">项目总控台账!D55</f>
        <v>界面设计</v>
      </c>
      <c r="E55" s="59" t="str">
        <f aca="false">IF(项目总控台账!E55="","",项目总控台账!E55)</f>
        <v>完成核心页面视觉与交互设计</v>
      </c>
      <c r="F55" s="59" t="str">
        <f aca="false">IF(项目总控台账!F55="","",项目总控台账!F55)</f>
        <v>MS009</v>
      </c>
      <c r="G55" s="60" t="str">
        <f aca="false">IF(项目总控台账!G55="","",项目总控台账!G55)</f>
        <v>未开始</v>
      </c>
      <c r="H55" s="59" t="str">
        <f aca="false">IF(项目总控台账!H55="","",项目总控台账!H55)</f>
        <v>美工</v>
      </c>
      <c r="I55" s="61" t="n">
        <f aca="false">IF(项目总控台账!I55="","",项目总控台账!I55)</f>
        <v>46372</v>
      </c>
      <c r="J55" s="61" t="n">
        <f aca="false">IF(项目总控台账!J55="","",项目总控台账!J55)</f>
        <v>46379</v>
      </c>
      <c r="K55" s="61" t="n">
        <f aca="false">IF(项目总控台账!K55="","",项目总控台账!K55)</f>
        <v>46387</v>
      </c>
      <c r="L55" s="59" t="str">
        <f aca="false">IF(项目总控台账!L55="","",项目总控台账!L55)</f>
        <v/>
      </c>
      <c r="M55" s="60" t="str">
        <f aca="false">IF(项目总控台账!M55="","",项目总控台账!M55)</f>
        <v/>
      </c>
      <c r="N55" s="61" t="str">
        <f aca="false">IF(项目总控台账!N55="","",项目总控台账!N55)</f>
        <v/>
      </c>
      <c r="O55" s="61" t="str">
        <f aca="false">IF(项目总控台账!O55="","",项目总控台账!O55)</f>
        <v/>
      </c>
      <c r="P55" s="59" t="str">
        <f aca="false">IF(项目总控台账!P55="","",项目总控台账!P55)</f>
        <v/>
      </c>
      <c r="Q55" s="60" t="str">
        <f aca="false">IF(项目总控台账!Q55="","",项目总控台账!Q55)</f>
        <v/>
      </c>
      <c r="R55" s="61" t="str">
        <f aca="false">IF(项目总控台账!R55="","",项目总控台账!R55)</f>
        <v/>
      </c>
      <c r="S55" s="61" t="str">
        <f aca="false">IF(项目总控台账!S55="","",项目总控台账!S55)</f>
        <v/>
      </c>
      <c r="T55" s="59" t="str">
        <f aca="false">IF(项目总控台账!T55="","",项目总控台账!T55)</f>
        <v>美工</v>
      </c>
      <c r="U55" s="60" t="str">
        <f aca="false">IF(项目总控台账!U55="","",项目总控台账!U55)</f>
        <v>未开始</v>
      </c>
      <c r="V55" s="61" t="n">
        <f aca="false">IF(项目总控台账!V55="","",项目总控台账!V55)</f>
        <v>46372</v>
      </c>
      <c r="W55" s="61" t="n">
        <f aca="false">IF(项目总控台账!W55="","",项目总控台账!W55)</f>
        <v>46379</v>
      </c>
      <c r="X55" s="59" t="str">
        <f aca="false">IF(项目总控台账!X55="","",项目总控台账!X55)</f>
        <v/>
      </c>
      <c r="Y55" s="60" t="str">
        <f aca="false">IF(项目总控台账!Y55="","",项目总控台账!Y55)</f>
        <v/>
      </c>
      <c r="Z55" s="61" t="str">
        <f aca="false">IF(项目总控台账!Z55="","",项目总控台账!Z55)</f>
        <v/>
      </c>
      <c r="AA55" s="61" t="str">
        <f aca="false">IF(项目总控台账!AA55="","",项目总控台账!AA55)</f>
        <v/>
      </c>
      <c r="AB55" s="62" t="n">
        <f aca="false">IF(项目总控台账!AB55="","",项目总控台账!AB55)</f>
        <v>0</v>
      </c>
      <c r="AC55" s="60" t="str">
        <f aca="false">IF(项目总控台账!AC55="","",项目总控台账!AC55)</f>
        <v>正常</v>
      </c>
      <c r="AD55" s="59" t="str">
        <f aca="false">IF(项目总控台账!AD55="","",项目总控台账!AD55)</f>
        <v/>
      </c>
      <c r="AE55" s="59" t="str">
        <f aca="false">IF(项目总控台账!AE55="","",项目总控台账!AE55)</f>
        <v/>
      </c>
      <c r="AF55" s="59" t="str">
        <f aca="false">IF(项目总控台账!AF55="","",项目总控台账!AF55)</f>
        <v/>
      </c>
      <c r="AG55" s="61" t="str">
        <f aca="false">IF(项目总控台账!AG55="","",项目总控台账!AG55)</f>
        <v/>
      </c>
      <c r="AH55" s="63" t="str">
        <f aca="false">IF(项目总控台账!AH55="","",项目总控台账!AH55)</f>
        <v/>
      </c>
    </row>
    <row r="56" customFormat="false" ht="16.5" hidden="false" customHeight="true" outlineLevel="0" collapsed="false">
      <c r="A56" s="59" t="str">
        <f aca="false">IF(项目总控台账!A56="","",项目总控台账!A56)</f>
        <v>T053</v>
      </c>
      <c r="B56" s="59" t="str">
        <f aca="false">项目总控台账!B42</f>
        <v>正式实施与上线准备</v>
      </c>
      <c r="C56" s="59" t="str">
        <f aca="false">项目总控台账!C51</f>
        <v>详细设计完成</v>
      </c>
      <c r="D56" s="59" t="str">
        <f aca="false">项目总控台账!D56</f>
        <v>设计评审</v>
      </c>
      <c r="E56" s="59" t="str">
        <f aca="false">IF(项目总控台账!E56="","",项目总控台账!E56)</f>
        <v>完成设计走查、问题关闭和版本基线</v>
      </c>
      <c r="F56" s="59" t="str">
        <f aca="false">IF(项目总控台账!F56="","",项目总控台账!F56)</f>
        <v>MS009</v>
      </c>
      <c r="G56" s="60" t="str">
        <f aca="false">IF(项目总控台账!G56="","",项目总控台账!G56)</f>
        <v>未开始</v>
      </c>
      <c r="H56" s="59" t="str">
        <f aca="false">IF(项目总控台账!H56="","",项目总控台账!H56)</f>
        <v>技术经理</v>
      </c>
      <c r="I56" s="61" t="n">
        <f aca="false">IF(项目总控台账!I56="","",项目总控台账!I56)</f>
        <v>46380</v>
      </c>
      <c r="J56" s="61" t="n">
        <f aca="false">IF(项目总控台账!J56="","",项目总控台账!J56)</f>
        <v>46387</v>
      </c>
      <c r="K56" s="61" t="n">
        <f aca="false">IF(项目总控台账!K56="","",项目总控台账!K56)</f>
        <v>46387</v>
      </c>
      <c r="L56" s="59" t="str">
        <f aca="false">IF(项目总控台账!L56="","",项目总控台账!L56)</f>
        <v/>
      </c>
      <c r="M56" s="60" t="str">
        <f aca="false">IF(项目总控台账!M56="","",项目总控台账!M56)</f>
        <v/>
      </c>
      <c r="N56" s="61" t="str">
        <f aca="false">IF(项目总控台账!N56="","",项目总控台账!N56)</f>
        <v/>
      </c>
      <c r="O56" s="61" t="str">
        <f aca="false">IF(项目总控台账!O56="","",项目总控台账!O56)</f>
        <v/>
      </c>
      <c r="P56" s="59" t="str">
        <f aca="false">IF(项目总控台账!P56="","",项目总控台账!P56)</f>
        <v>技术经理</v>
      </c>
      <c r="Q56" s="60" t="str">
        <f aca="false">IF(项目总控台账!Q56="","",项目总控台账!Q56)</f>
        <v>未开始</v>
      </c>
      <c r="R56" s="61" t="n">
        <f aca="false">IF(项目总控台账!R56="","",项目总控台账!R56)</f>
        <v>46380</v>
      </c>
      <c r="S56" s="61" t="n">
        <f aca="false">IF(项目总控台账!S56="","",项目总控台账!S56)</f>
        <v>46387</v>
      </c>
      <c r="T56" s="59" t="str">
        <f aca="false">IF(项目总控台账!T56="","",项目总控台账!T56)</f>
        <v/>
      </c>
      <c r="U56" s="60" t="str">
        <f aca="false">IF(项目总控台账!U56="","",项目总控台账!U56)</f>
        <v/>
      </c>
      <c r="V56" s="61" t="str">
        <f aca="false">IF(项目总控台账!V56="","",项目总控台账!V56)</f>
        <v/>
      </c>
      <c r="W56" s="61" t="str">
        <f aca="false">IF(项目总控台账!W56="","",项目总控台账!W56)</f>
        <v/>
      </c>
      <c r="X56" s="59" t="str">
        <f aca="false">IF(项目总控台账!X56="","",项目总控台账!X56)</f>
        <v/>
      </c>
      <c r="Y56" s="60" t="str">
        <f aca="false">IF(项目总控台账!Y56="","",项目总控台账!Y56)</f>
        <v/>
      </c>
      <c r="Z56" s="61" t="str">
        <f aca="false">IF(项目总控台账!Z56="","",项目总控台账!Z56)</f>
        <v/>
      </c>
      <c r="AA56" s="61" t="str">
        <f aca="false">IF(项目总控台账!AA56="","",项目总控台账!AA56)</f>
        <v/>
      </c>
      <c r="AB56" s="62" t="n">
        <f aca="false">IF(项目总控台账!AB56="","",项目总控台账!AB56)</f>
        <v>0</v>
      </c>
      <c r="AC56" s="60" t="str">
        <f aca="false">IF(项目总控台账!AC56="","",项目总控台账!AC56)</f>
        <v>正常</v>
      </c>
      <c r="AD56" s="59" t="str">
        <f aca="false">IF(项目总控台账!AD56="","",项目总控台账!AD56)</f>
        <v/>
      </c>
      <c r="AE56" s="59" t="str">
        <f aca="false">IF(项目总控台账!AE56="","",项目总控台账!AE56)</f>
        <v/>
      </c>
      <c r="AF56" s="59" t="str">
        <f aca="false">IF(项目总控台账!AF56="","",项目总控台账!AF56)</f>
        <v/>
      </c>
      <c r="AG56" s="61" t="str">
        <f aca="false">IF(项目总控台账!AG56="","",项目总控台账!AG56)</f>
        <v/>
      </c>
      <c r="AH56" s="63" t="str">
        <f aca="false">IF(项目总控台账!AH56="","",项目总控台账!AH56)</f>
        <v/>
      </c>
    </row>
    <row r="57" customFormat="false" ht="16.5" hidden="false" customHeight="true" outlineLevel="0" collapsed="false">
      <c r="A57" s="59" t="str">
        <f aca="false">IF(项目总控台账!A57="","",项目总控台账!A57)</f>
        <v>T054</v>
      </c>
      <c r="B57" s="59" t="str">
        <f aca="false">项目总控台账!B42</f>
        <v>正式实施与上线准备</v>
      </c>
      <c r="C57" s="59" t="str">
        <f aca="false">项目总控台账!C57</f>
        <v>核心功能开发完成</v>
      </c>
      <c r="D57" s="59" t="str">
        <f aca="false">项目总控台账!D57</f>
        <v>基础平台</v>
      </c>
      <c r="E57" s="59" t="str">
        <f aca="false">IF(项目总控台账!E57="","",项目总控台账!E57)</f>
        <v>搭建项目工程、公共组件和持续集成</v>
      </c>
      <c r="F57" s="59" t="str">
        <f aca="false">IF(项目总控台账!F57="","",项目总控台账!F57)</f>
        <v>MS010</v>
      </c>
      <c r="G57" s="60" t="str">
        <f aca="false">IF(项目总控台账!G57="","",项目总控台账!G57)</f>
        <v>未开始</v>
      </c>
      <c r="H57" s="59" t="str">
        <f aca="false">IF(项目总控台账!H57="","",项目总控台账!H57)</f>
        <v>高级开发人员</v>
      </c>
      <c r="I57" s="61" t="n">
        <f aca="false">IF(项目总控台账!I57="","",项目总控台账!I57)</f>
        <v>46357</v>
      </c>
      <c r="J57" s="61" t="n">
        <f aca="false">IF(项目总控台账!J57="","",项目总控台账!J57)</f>
        <v>46367</v>
      </c>
      <c r="K57" s="61" t="n">
        <f aca="false">IF(项目总控台账!K57="","",项目总控台账!K57)</f>
        <v>46461</v>
      </c>
      <c r="L57" s="59" t="str">
        <f aca="false">IF(项目总控台账!L57="","",项目总控台账!L57)</f>
        <v/>
      </c>
      <c r="M57" s="60" t="str">
        <f aca="false">IF(项目总控台账!M57="","",项目总控台账!M57)</f>
        <v/>
      </c>
      <c r="N57" s="61" t="str">
        <f aca="false">IF(项目总控台账!N57="","",项目总控台账!N57)</f>
        <v/>
      </c>
      <c r="O57" s="61" t="str">
        <f aca="false">IF(项目总控台账!O57="","",项目总控台账!O57)</f>
        <v/>
      </c>
      <c r="P57" s="59" t="str">
        <f aca="false">IF(项目总控台账!P57="","",项目总控台账!P57)</f>
        <v>高级开发人员</v>
      </c>
      <c r="Q57" s="60" t="str">
        <f aca="false">IF(项目总控台账!Q57="","",项目总控台账!Q57)</f>
        <v>未开始</v>
      </c>
      <c r="R57" s="61" t="n">
        <f aca="false">IF(项目总控台账!R57="","",项目总控台账!R57)</f>
        <v>46357</v>
      </c>
      <c r="S57" s="61" t="n">
        <f aca="false">IF(项目总控台账!S57="","",项目总控台账!S57)</f>
        <v>46367</v>
      </c>
      <c r="T57" s="59" t="str">
        <f aca="false">IF(项目总控台账!T57="","",项目总控台账!T57)</f>
        <v/>
      </c>
      <c r="U57" s="60" t="str">
        <f aca="false">IF(项目总控台账!U57="","",项目总控台账!U57)</f>
        <v/>
      </c>
      <c r="V57" s="61" t="str">
        <f aca="false">IF(项目总控台账!V57="","",项目总控台账!V57)</f>
        <v/>
      </c>
      <c r="W57" s="61" t="str">
        <f aca="false">IF(项目总控台账!W57="","",项目总控台账!W57)</f>
        <v/>
      </c>
      <c r="X57" s="59" t="str">
        <f aca="false">IF(项目总控台账!X57="","",项目总控台账!X57)</f>
        <v/>
      </c>
      <c r="Y57" s="60" t="str">
        <f aca="false">IF(项目总控台账!Y57="","",项目总控台账!Y57)</f>
        <v/>
      </c>
      <c r="Z57" s="61" t="str">
        <f aca="false">IF(项目总控台账!Z57="","",项目总控台账!Z57)</f>
        <v/>
      </c>
      <c r="AA57" s="61" t="str">
        <f aca="false">IF(项目总控台账!AA57="","",项目总控台账!AA57)</f>
        <v/>
      </c>
      <c r="AB57" s="62" t="n">
        <f aca="false">IF(项目总控台账!AB57="","",项目总控台账!AB57)</f>
        <v>0</v>
      </c>
      <c r="AC57" s="60" t="str">
        <f aca="false">IF(项目总控台账!AC57="","",项目总控台账!AC57)</f>
        <v>正常</v>
      </c>
      <c r="AD57" s="59" t="str">
        <f aca="false">IF(项目总控台账!AD57="","",项目总控台账!AD57)</f>
        <v/>
      </c>
      <c r="AE57" s="59" t="str">
        <f aca="false">IF(项目总控台账!AE57="","",项目总控台账!AE57)</f>
        <v/>
      </c>
      <c r="AF57" s="59" t="str">
        <f aca="false">IF(项目总控台账!AF57="","",项目总控台账!AF57)</f>
        <v/>
      </c>
      <c r="AG57" s="61" t="str">
        <f aca="false">IF(项目总控台账!AG57="","",项目总控台账!AG57)</f>
        <v/>
      </c>
      <c r="AH57" s="63" t="str">
        <f aca="false">IF(项目总控台账!AH57="","",项目总控台账!AH57)</f>
        <v/>
      </c>
    </row>
    <row r="58" customFormat="false" ht="16.5" hidden="false" customHeight="true" outlineLevel="0" collapsed="false">
      <c r="A58" s="59" t="str">
        <f aca="false">IF(项目总控台账!A58="","",项目总控台账!A58)</f>
        <v>T055</v>
      </c>
      <c r="B58" s="59" t="str">
        <f aca="false">项目总控台账!B42</f>
        <v>正式实施与上线准备</v>
      </c>
      <c r="C58" s="59" t="str">
        <f aca="false">项目总控台账!C57</f>
        <v>核心功能开发完成</v>
      </c>
      <c r="D58" s="59" t="str">
        <f aca="false">项目总控台账!D58</f>
        <v>合同模板</v>
      </c>
      <c r="E58" s="59" t="str">
        <f aca="false">IF(项目总控台账!E58="","",项目总控台账!E58)</f>
        <v>开发合同模板、范本和条款库管理</v>
      </c>
      <c r="F58" s="59" t="str">
        <f aca="false">IF(项目总控台账!F58="","",项目总控台账!F58)</f>
        <v>MS010</v>
      </c>
      <c r="G58" s="60" t="str">
        <f aca="false">IF(项目总控台账!G58="","",项目总控台账!G58)</f>
        <v>未开始</v>
      </c>
      <c r="H58" s="59" t="str">
        <f aca="false">IF(项目总控台账!H58="","",项目总控台账!H58)</f>
        <v>中级开发人员</v>
      </c>
      <c r="I58" s="61" t="n">
        <f aca="false">IF(项目总控台账!I58="","",项目总控台账!I58)</f>
        <v>46368</v>
      </c>
      <c r="J58" s="61" t="n">
        <f aca="false">IF(项目总控台账!J58="","",项目总控台账!J58)</f>
        <v>46379</v>
      </c>
      <c r="K58" s="61" t="n">
        <f aca="false">IF(项目总控台账!K58="","",项目总控台账!K58)</f>
        <v>46461</v>
      </c>
      <c r="L58" s="59" t="str">
        <f aca="false">IF(项目总控台账!L58="","",项目总控台账!L58)</f>
        <v/>
      </c>
      <c r="M58" s="60" t="str">
        <f aca="false">IF(项目总控台账!M58="","",项目总控台账!M58)</f>
        <v/>
      </c>
      <c r="N58" s="61" t="str">
        <f aca="false">IF(项目总控台账!N58="","",项目总控台账!N58)</f>
        <v/>
      </c>
      <c r="O58" s="61" t="str">
        <f aca="false">IF(项目总控台账!O58="","",项目总控台账!O58)</f>
        <v/>
      </c>
      <c r="P58" s="59" t="str">
        <f aca="false">IF(项目总控台账!P58="","",项目总控台账!P58)</f>
        <v/>
      </c>
      <c r="Q58" s="60" t="str">
        <f aca="false">IF(项目总控台账!Q58="","",项目总控台账!Q58)</f>
        <v/>
      </c>
      <c r="R58" s="61" t="str">
        <f aca="false">IF(项目总控台账!R58="","",项目总控台账!R58)</f>
        <v/>
      </c>
      <c r="S58" s="61" t="str">
        <f aca="false">IF(项目总控台账!S58="","",项目总控台账!S58)</f>
        <v/>
      </c>
      <c r="T58" s="59" t="str">
        <f aca="false">IF(项目总控台账!T58="","",项目总控台账!T58)</f>
        <v>中级开发人员</v>
      </c>
      <c r="U58" s="60" t="str">
        <f aca="false">IF(项目总控台账!U58="","",项目总控台账!U58)</f>
        <v>未开始</v>
      </c>
      <c r="V58" s="61" t="n">
        <f aca="false">IF(项目总控台账!V58="","",项目总控台账!V58)</f>
        <v>46368</v>
      </c>
      <c r="W58" s="61" t="n">
        <f aca="false">IF(项目总控台账!W58="","",项目总控台账!W58)</f>
        <v>46379</v>
      </c>
      <c r="X58" s="59" t="str">
        <f aca="false">IF(项目总控台账!X58="","",项目总控台账!X58)</f>
        <v/>
      </c>
      <c r="Y58" s="60" t="str">
        <f aca="false">IF(项目总控台账!Y58="","",项目总控台账!Y58)</f>
        <v/>
      </c>
      <c r="Z58" s="61" t="str">
        <f aca="false">IF(项目总控台账!Z58="","",项目总控台账!Z58)</f>
        <v/>
      </c>
      <c r="AA58" s="61" t="str">
        <f aca="false">IF(项目总控台账!AA58="","",项目总控台账!AA58)</f>
        <v/>
      </c>
      <c r="AB58" s="62" t="n">
        <f aca="false">IF(项目总控台账!AB58="","",项目总控台账!AB58)</f>
        <v>0</v>
      </c>
      <c r="AC58" s="60" t="str">
        <f aca="false">IF(项目总控台账!AC58="","",项目总控台账!AC58)</f>
        <v>正常</v>
      </c>
      <c r="AD58" s="59" t="str">
        <f aca="false">IF(项目总控台账!AD58="","",项目总控台账!AD58)</f>
        <v/>
      </c>
      <c r="AE58" s="59" t="str">
        <f aca="false">IF(项目总控台账!AE58="","",项目总控台账!AE58)</f>
        <v/>
      </c>
      <c r="AF58" s="59" t="str">
        <f aca="false">IF(项目总控台账!AF58="","",项目总控台账!AF58)</f>
        <v/>
      </c>
      <c r="AG58" s="61" t="str">
        <f aca="false">IF(项目总控台账!AG58="","",项目总控台账!AG58)</f>
        <v/>
      </c>
      <c r="AH58" s="63" t="str">
        <f aca="false">IF(项目总控台账!AH58="","",项目总控台账!AH58)</f>
        <v/>
      </c>
    </row>
    <row r="59" customFormat="false" ht="16.5" hidden="false" customHeight="true" outlineLevel="0" collapsed="false">
      <c r="A59" s="59" t="str">
        <f aca="false">IF(项目总控台账!A59="","",项目总控台账!A59)</f>
        <v>T056</v>
      </c>
      <c r="B59" s="59" t="str">
        <f aca="false">项目总控台账!B42</f>
        <v>正式实施与上线准备</v>
      </c>
      <c r="C59" s="59" t="str">
        <f aca="false">项目总控台账!C57</f>
        <v>核心功能开发完成</v>
      </c>
      <c r="D59" s="59" t="str">
        <f aca="false">项目总控台账!D59</f>
        <v>合同起草</v>
      </c>
      <c r="E59" s="59" t="str">
        <f aca="false">IF(项目总控台账!E59="","",项目总控台账!E59)</f>
        <v>开发合同拟稿、协同编辑和版本管理</v>
      </c>
      <c r="F59" s="59" t="str">
        <f aca="false">IF(项目总控台账!F59="","",项目总控台账!F59)</f>
        <v>MS010</v>
      </c>
      <c r="G59" s="60" t="str">
        <f aca="false">IF(项目总控台账!G59="","",项目总控台账!G59)</f>
        <v>未开始</v>
      </c>
      <c r="H59" s="59" t="str">
        <f aca="false">IF(项目总控台账!H59="","",项目总控台账!H59)</f>
        <v>中级开发人员</v>
      </c>
      <c r="I59" s="61" t="n">
        <f aca="false">IF(项目总控台账!I59="","",项目总控台账!I59)</f>
        <v>46380</v>
      </c>
      <c r="J59" s="61" t="n">
        <f aca="false">IF(项目总控台账!J59="","",项目总控台账!J59)</f>
        <v>46391</v>
      </c>
      <c r="K59" s="61" t="n">
        <f aca="false">IF(项目总控台账!K59="","",项目总控台账!K59)</f>
        <v>46461</v>
      </c>
      <c r="L59" s="59" t="str">
        <f aca="false">IF(项目总控台账!L59="","",项目总控台账!L59)</f>
        <v/>
      </c>
      <c r="M59" s="60" t="str">
        <f aca="false">IF(项目总控台账!M59="","",项目总控台账!M59)</f>
        <v/>
      </c>
      <c r="N59" s="61" t="str">
        <f aca="false">IF(项目总控台账!N59="","",项目总控台账!N59)</f>
        <v/>
      </c>
      <c r="O59" s="61" t="str">
        <f aca="false">IF(项目总控台账!O59="","",项目总控台账!O59)</f>
        <v/>
      </c>
      <c r="P59" s="59" t="str">
        <f aca="false">IF(项目总控台账!P59="","",项目总控台账!P59)</f>
        <v/>
      </c>
      <c r="Q59" s="60" t="str">
        <f aca="false">IF(项目总控台账!Q59="","",项目总控台账!Q59)</f>
        <v/>
      </c>
      <c r="R59" s="61" t="str">
        <f aca="false">IF(项目总控台账!R59="","",项目总控台账!R59)</f>
        <v/>
      </c>
      <c r="S59" s="61" t="str">
        <f aca="false">IF(项目总控台账!S59="","",项目总控台账!S59)</f>
        <v/>
      </c>
      <c r="T59" s="59" t="str">
        <f aca="false">IF(项目总控台账!T59="","",项目总控台账!T59)</f>
        <v>中级开发人员</v>
      </c>
      <c r="U59" s="60" t="str">
        <f aca="false">IF(项目总控台账!U59="","",项目总控台账!U59)</f>
        <v>未开始</v>
      </c>
      <c r="V59" s="61" t="n">
        <f aca="false">IF(项目总控台账!V59="","",项目总控台账!V59)</f>
        <v>46380</v>
      </c>
      <c r="W59" s="61" t="n">
        <f aca="false">IF(项目总控台账!W59="","",项目总控台账!W59)</f>
        <v>46391</v>
      </c>
      <c r="X59" s="59" t="str">
        <f aca="false">IF(项目总控台账!X59="","",项目总控台账!X59)</f>
        <v/>
      </c>
      <c r="Y59" s="60" t="str">
        <f aca="false">IF(项目总控台账!Y59="","",项目总控台账!Y59)</f>
        <v/>
      </c>
      <c r="Z59" s="61" t="str">
        <f aca="false">IF(项目总控台账!Z59="","",项目总控台账!Z59)</f>
        <v/>
      </c>
      <c r="AA59" s="61" t="str">
        <f aca="false">IF(项目总控台账!AA59="","",项目总控台账!AA59)</f>
        <v/>
      </c>
      <c r="AB59" s="62" t="n">
        <f aca="false">IF(项目总控台账!AB59="","",项目总控台账!AB59)</f>
        <v>0</v>
      </c>
      <c r="AC59" s="60" t="str">
        <f aca="false">IF(项目总控台账!AC59="","",项目总控台账!AC59)</f>
        <v>正常</v>
      </c>
      <c r="AD59" s="59" t="str">
        <f aca="false">IF(项目总控台账!AD59="","",项目总控台账!AD59)</f>
        <v/>
      </c>
      <c r="AE59" s="59" t="str">
        <f aca="false">IF(项目总控台账!AE59="","",项目总控台账!AE59)</f>
        <v/>
      </c>
      <c r="AF59" s="59" t="str">
        <f aca="false">IF(项目总控台账!AF59="","",项目总控台账!AF59)</f>
        <v/>
      </c>
      <c r="AG59" s="61" t="str">
        <f aca="false">IF(项目总控台账!AG59="","",项目总控台账!AG59)</f>
        <v/>
      </c>
      <c r="AH59" s="63" t="str">
        <f aca="false">IF(项目总控台账!AH59="","",项目总控台账!AH59)</f>
        <v/>
      </c>
    </row>
    <row r="60" customFormat="false" ht="16.5" hidden="false" customHeight="true" outlineLevel="0" collapsed="false">
      <c r="A60" s="59" t="str">
        <f aca="false">IF(项目总控台账!A60="","",项目总控台账!A60)</f>
        <v>T057</v>
      </c>
      <c r="B60" s="59" t="str">
        <f aca="false">项目总控台账!B42</f>
        <v>正式实施与上线准备</v>
      </c>
      <c r="C60" s="59" t="str">
        <f aca="false">项目总控台账!C57</f>
        <v>核心功能开发完成</v>
      </c>
      <c r="D60" s="59" t="str">
        <f aca="false">项目总控台账!D60</f>
        <v>合同审批</v>
      </c>
      <c r="E60" s="59" t="str">
        <f aca="false">IF(项目总控台账!E60="","",项目总控台账!E60)</f>
        <v>开发合同审查、审批和用印流程</v>
      </c>
      <c r="F60" s="59" t="str">
        <f aca="false">IF(项目总控台账!F60="","",项目总控台账!F60)</f>
        <v>MS010</v>
      </c>
      <c r="G60" s="60" t="str">
        <f aca="false">IF(项目总控台账!G60="","",项目总控台账!G60)</f>
        <v>未开始</v>
      </c>
      <c r="H60" s="59" t="str">
        <f aca="false">IF(项目总控台账!H60="","",项目总控台账!H60)</f>
        <v>高级开发人员</v>
      </c>
      <c r="I60" s="61" t="n">
        <f aca="false">IF(项目总控台账!I60="","",项目总控台账!I60)</f>
        <v>46392</v>
      </c>
      <c r="J60" s="61" t="n">
        <f aca="false">IF(项目总控台账!J60="","",项目总控台账!J60)</f>
        <v>46402</v>
      </c>
      <c r="K60" s="61" t="n">
        <f aca="false">IF(项目总控台账!K60="","",项目总控台账!K60)</f>
        <v>46461</v>
      </c>
      <c r="L60" s="59" t="str">
        <f aca="false">IF(项目总控台账!L60="","",项目总控台账!L60)</f>
        <v/>
      </c>
      <c r="M60" s="60" t="str">
        <f aca="false">IF(项目总控台账!M60="","",项目总控台账!M60)</f>
        <v/>
      </c>
      <c r="N60" s="61" t="str">
        <f aca="false">IF(项目总控台账!N60="","",项目总控台账!N60)</f>
        <v/>
      </c>
      <c r="O60" s="61" t="str">
        <f aca="false">IF(项目总控台账!O60="","",项目总控台账!O60)</f>
        <v/>
      </c>
      <c r="P60" s="59" t="str">
        <f aca="false">IF(项目总控台账!P60="","",项目总控台账!P60)</f>
        <v>高级开发人员</v>
      </c>
      <c r="Q60" s="60" t="str">
        <f aca="false">IF(项目总控台账!Q60="","",项目总控台账!Q60)</f>
        <v>未开始</v>
      </c>
      <c r="R60" s="61" t="n">
        <f aca="false">IF(项目总控台账!R60="","",项目总控台账!R60)</f>
        <v>46392</v>
      </c>
      <c r="S60" s="61" t="n">
        <f aca="false">IF(项目总控台账!S60="","",项目总控台账!S60)</f>
        <v>46402</v>
      </c>
      <c r="T60" s="59" t="str">
        <f aca="false">IF(项目总控台账!T60="","",项目总控台账!T60)</f>
        <v/>
      </c>
      <c r="U60" s="60" t="str">
        <f aca="false">IF(项目总控台账!U60="","",项目总控台账!U60)</f>
        <v/>
      </c>
      <c r="V60" s="61" t="str">
        <f aca="false">IF(项目总控台账!V60="","",项目总控台账!V60)</f>
        <v/>
      </c>
      <c r="W60" s="61" t="str">
        <f aca="false">IF(项目总控台账!W60="","",项目总控台账!W60)</f>
        <v/>
      </c>
      <c r="X60" s="59" t="str">
        <f aca="false">IF(项目总控台账!X60="","",项目总控台账!X60)</f>
        <v/>
      </c>
      <c r="Y60" s="60" t="str">
        <f aca="false">IF(项目总控台账!Y60="","",项目总控台账!Y60)</f>
        <v/>
      </c>
      <c r="Z60" s="61" t="str">
        <f aca="false">IF(项目总控台账!Z60="","",项目总控台账!Z60)</f>
        <v/>
      </c>
      <c r="AA60" s="61" t="str">
        <f aca="false">IF(项目总控台账!AA60="","",项目总控台账!AA60)</f>
        <v/>
      </c>
      <c r="AB60" s="62" t="n">
        <f aca="false">IF(项目总控台账!AB60="","",项目总控台账!AB60)</f>
        <v>0</v>
      </c>
      <c r="AC60" s="60" t="str">
        <f aca="false">IF(项目总控台账!AC60="","",项目总控台账!AC60)</f>
        <v>正常</v>
      </c>
      <c r="AD60" s="59" t="str">
        <f aca="false">IF(项目总控台账!AD60="","",项目总控台账!AD60)</f>
        <v/>
      </c>
      <c r="AE60" s="59" t="str">
        <f aca="false">IF(项目总控台账!AE60="","",项目总控台账!AE60)</f>
        <v/>
      </c>
      <c r="AF60" s="59" t="str">
        <f aca="false">IF(项目总控台账!AF60="","",项目总控台账!AF60)</f>
        <v/>
      </c>
      <c r="AG60" s="61" t="str">
        <f aca="false">IF(项目总控台账!AG60="","",项目总控台账!AG60)</f>
        <v/>
      </c>
      <c r="AH60" s="63" t="str">
        <f aca="false">IF(项目总控台账!AH60="","",项目总控台账!AH60)</f>
        <v/>
      </c>
    </row>
    <row r="61" customFormat="false" ht="16.5" hidden="false" customHeight="true" outlineLevel="0" collapsed="false">
      <c r="A61" s="59" t="str">
        <f aca="false">IF(项目总控台账!A61="","",项目总控台账!A61)</f>
        <v>T058</v>
      </c>
      <c r="B61" s="59" t="str">
        <f aca="false">项目总控台账!B42</f>
        <v>正式实施与上线准备</v>
      </c>
      <c r="C61" s="59" t="str">
        <f aca="false">项目总控台账!C57</f>
        <v>核心功能开发完成</v>
      </c>
      <c r="D61" s="59" t="str">
        <f aca="false">项目总控台账!D61</f>
        <v>合同签署</v>
      </c>
      <c r="E61" s="59" t="str">
        <f aca="false">IF(项目总控台账!E61="","",项目总控台账!E61)</f>
        <v>开发签署状态、签章和合同生效管理</v>
      </c>
      <c r="F61" s="59" t="str">
        <f aca="false">IF(项目总控台账!F61="","",项目总控台账!F61)</f>
        <v>MS010</v>
      </c>
      <c r="G61" s="60" t="str">
        <f aca="false">IF(项目总控台账!G61="","",项目总控台账!G61)</f>
        <v>未开始</v>
      </c>
      <c r="H61" s="59" t="str">
        <f aca="false">IF(项目总控台账!H61="","",项目总控台账!H61)</f>
        <v>高级开发人员</v>
      </c>
      <c r="I61" s="61" t="n">
        <f aca="false">IF(项目总控台账!I61="","",项目总控台账!I61)</f>
        <v>46403</v>
      </c>
      <c r="J61" s="61" t="n">
        <f aca="false">IF(项目总控台账!J61="","",项目总控台账!J61)</f>
        <v>46414</v>
      </c>
      <c r="K61" s="61" t="n">
        <f aca="false">IF(项目总控台账!K61="","",项目总控台账!K61)</f>
        <v>46461</v>
      </c>
      <c r="L61" s="59" t="str">
        <f aca="false">IF(项目总控台账!L61="","",项目总控台账!L61)</f>
        <v/>
      </c>
      <c r="M61" s="60" t="str">
        <f aca="false">IF(项目总控台账!M61="","",项目总控台账!M61)</f>
        <v/>
      </c>
      <c r="N61" s="61" t="str">
        <f aca="false">IF(项目总控台账!N61="","",项目总控台账!N61)</f>
        <v/>
      </c>
      <c r="O61" s="61" t="str">
        <f aca="false">IF(项目总控台账!O61="","",项目总控台账!O61)</f>
        <v/>
      </c>
      <c r="P61" s="59" t="str">
        <f aca="false">IF(项目总控台账!P61="","",项目总控台账!P61)</f>
        <v>高级开发人员</v>
      </c>
      <c r="Q61" s="60" t="str">
        <f aca="false">IF(项目总控台账!Q61="","",项目总控台账!Q61)</f>
        <v>未开始</v>
      </c>
      <c r="R61" s="61" t="n">
        <f aca="false">IF(项目总控台账!R61="","",项目总控台账!R61)</f>
        <v>46403</v>
      </c>
      <c r="S61" s="61" t="n">
        <f aca="false">IF(项目总控台账!S61="","",项目总控台账!S61)</f>
        <v>46414</v>
      </c>
      <c r="T61" s="59" t="str">
        <f aca="false">IF(项目总控台账!T61="","",项目总控台账!T61)</f>
        <v/>
      </c>
      <c r="U61" s="60" t="str">
        <f aca="false">IF(项目总控台账!U61="","",项目总控台账!U61)</f>
        <v/>
      </c>
      <c r="V61" s="61" t="str">
        <f aca="false">IF(项目总控台账!V61="","",项目总控台账!V61)</f>
        <v/>
      </c>
      <c r="W61" s="61" t="str">
        <f aca="false">IF(项目总控台账!W61="","",项目总控台账!W61)</f>
        <v/>
      </c>
      <c r="X61" s="59" t="str">
        <f aca="false">IF(项目总控台账!X61="","",项目总控台账!X61)</f>
        <v/>
      </c>
      <c r="Y61" s="60" t="str">
        <f aca="false">IF(项目总控台账!Y61="","",项目总控台账!Y61)</f>
        <v/>
      </c>
      <c r="Z61" s="61" t="str">
        <f aca="false">IF(项目总控台账!Z61="","",项目总控台账!Z61)</f>
        <v/>
      </c>
      <c r="AA61" s="61" t="str">
        <f aca="false">IF(项目总控台账!AA61="","",项目总控台账!AA61)</f>
        <v/>
      </c>
      <c r="AB61" s="62" t="n">
        <f aca="false">IF(项目总控台账!AB61="","",项目总控台账!AB61)</f>
        <v>0</v>
      </c>
      <c r="AC61" s="60" t="str">
        <f aca="false">IF(项目总控台账!AC61="","",项目总控台账!AC61)</f>
        <v>正常</v>
      </c>
      <c r="AD61" s="59" t="str">
        <f aca="false">IF(项目总控台账!AD61="","",项目总控台账!AD61)</f>
        <v/>
      </c>
      <c r="AE61" s="59" t="str">
        <f aca="false">IF(项目总控台账!AE61="","",项目总控台账!AE61)</f>
        <v/>
      </c>
      <c r="AF61" s="59" t="str">
        <f aca="false">IF(项目总控台账!AF61="","",项目总控台账!AF61)</f>
        <v/>
      </c>
      <c r="AG61" s="61" t="str">
        <f aca="false">IF(项目总控台账!AG61="","",项目总控台账!AG61)</f>
        <v/>
      </c>
      <c r="AH61" s="63" t="str">
        <f aca="false">IF(项目总控台账!AH61="","",项目总控台账!AH61)</f>
        <v/>
      </c>
    </row>
    <row r="62" customFormat="false" ht="16.5" hidden="false" customHeight="true" outlineLevel="0" collapsed="false">
      <c r="A62" s="59" t="str">
        <f aca="false">IF(项目总控台账!A62="","",项目总控台账!A62)</f>
        <v>T059</v>
      </c>
      <c r="B62" s="59" t="str">
        <f aca="false">项目总控台账!B42</f>
        <v>正式实施与上线准备</v>
      </c>
      <c r="C62" s="59" t="str">
        <f aca="false">项目总控台账!C57</f>
        <v>核心功能开发完成</v>
      </c>
      <c r="D62" s="59" t="str">
        <f aca="false">项目总控台账!D62</f>
        <v>履约管理</v>
      </c>
      <c r="E62" s="59" t="str">
        <f aca="false">IF(项目总控台账!E62="","",项目总控台账!E62)</f>
        <v>开发履约计划、交付、验收和预警</v>
      </c>
      <c r="F62" s="59" t="str">
        <f aca="false">IF(项目总控台账!F62="","",项目总控台账!F62)</f>
        <v>MS010</v>
      </c>
      <c r="G62" s="60" t="str">
        <f aca="false">IF(项目总控台账!G62="","",项目总控台账!G62)</f>
        <v>未开始</v>
      </c>
      <c r="H62" s="59" t="str">
        <f aca="false">IF(项目总控台账!H62="","",项目总控台账!H62)</f>
        <v>中级开发人员</v>
      </c>
      <c r="I62" s="61" t="n">
        <f aca="false">IF(项目总控台账!I62="","",项目总控台账!I62)</f>
        <v>46415</v>
      </c>
      <c r="J62" s="61" t="n">
        <f aca="false">IF(项目总控台账!J62="","",项目总控台账!J62)</f>
        <v>46426</v>
      </c>
      <c r="K62" s="61" t="n">
        <f aca="false">IF(项目总控台账!K62="","",项目总控台账!K62)</f>
        <v>46461</v>
      </c>
      <c r="L62" s="59" t="str">
        <f aca="false">IF(项目总控台账!L62="","",项目总控台账!L62)</f>
        <v/>
      </c>
      <c r="M62" s="60" t="str">
        <f aca="false">IF(项目总控台账!M62="","",项目总控台账!M62)</f>
        <v/>
      </c>
      <c r="N62" s="61" t="str">
        <f aca="false">IF(项目总控台账!N62="","",项目总控台账!N62)</f>
        <v/>
      </c>
      <c r="O62" s="61" t="str">
        <f aca="false">IF(项目总控台账!O62="","",项目总控台账!O62)</f>
        <v/>
      </c>
      <c r="P62" s="59" t="str">
        <f aca="false">IF(项目总控台账!P62="","",项目总控台账!P62)</f>
        <v>中级开发人员</v>
      </c>
      <c r="Q62" s="60" t="str">
        <f aca="false">IF(项目总控台账!Q62="","",项目总控台账!Q62)</f>
        <v>未开始</v>
      </c>
      <c r="R62" s="61" t="n">
        <f aca="false">IF(项目总控台账!R62="","",项目总控台账!R62)</f>
        <v>46415</v>
      </c>
      <c r="S62" s="61" t="n">
        <f aca="false">IF(项目总控台账!S62="","",项目总控台账!S62)</f>
        <v>46426</v>
      </c>
      <c r="T62" s="59" t="str">
        <f aca="false">IF(项目总控台账!T62="","",项目总控台账!T62)</f>
        <v/>
      </c>
      <c r="U62" s="60" t="str">
        <f aca="false">IF(项目总控台账!U62="","",项目总控台账!U62)</f>
        <v/>
      </c>
      <c r="V62" s="61" t="str">
        <f aca="false">IF(项目总控台账!V62="","",项目总控台账!V62)</f>
        <v/>
      </c>
      <c r="W62" s="61" t="str">
        <f aca="false">IF(项目总控台账!W62="","",项目总控台账!W62)</f>
        <v/>
      </c>
      <c r="X62" s="59" t="str">
        <f aca="false">IF(项目总控台账!X62="","",项目总控台账!X62)</f>
        <v/>
      </c>
      <c r="Y62" s="60" t="str">
        <f aca="false">IF(项目总控台账!Y62="","",项目总控台账!Y62)</f>
        <v/>
      </c>
      <c r="Z62" s="61" t="str">
        <f aca="false">IF(项目总控台账!Z62="","",项目总控台账!Z62)</f>
        <v/>
      </c>
      <c r="AA62" s="61" t="str">
        <f aca="false">IF(项目总控台账!AA62="","",项目总控台账!AA62)</f>
        <v/>
      </c>
      <c r="AB62" s="62" t="n">
        <f aca="false">IF(项目总控台账!AB62="","",项目总控台账!AB62)</f>
        <v>0</v>
      </c>
      <c r="AC62" s="60" t="str">
        <f aca="false">IF(项目总控台账!AC62="","",项目总控台账!AC62)</f>
        <v>正常</v>
      </c>
      <c r="AD62" s="59" t="str">
        <f aca="false">IF(项目总控台账!AD62="","",项目总控台账!AD62)</f>
        <v/>
      </c>
      <c r="AE62" s="59" t="str">
        <f aca="false">IF(项目总控台账!AE62="","",项目总控台账!AE62)</f>
        <v/>
      </c>
      <c r="AF62" s="59" t="str">
        <f aca="false">IF(项目总控台账!AF62="","",项目总控台账!AF62)</f>
        <v/>
      </c>
      <c r="AG62" s="61" t="str">
        <f aca="false">IF(项目总控台账!AG62="","",项目总控台账!AG62)</f>
        <v/>
      </c>
      <c r="AH62" s="63" t="str">
        <f aca="false">IF(项目总控台账!AH62="","",项目总控台账!AH62)</f>
        <v/>
      </c>
    </row>
    <row r="63" customFormat="false" ht="16.5" hidden="false" customHeight="true" outlineLevel="0" collapsed="false">
      <c r="A63" s="59" t="str">
        <f aca="false">IF(项目总控台账!A63="","",项目总控台账!A63)</f>
        <v>T060</v>
      </c>
      <c r="B63" s="59" t="str">
        <f aca="false">项目总控台账!B42</f>
        <v>正式实施与上线准备</v>
      </c>
      <c r="C63" s="59" t="str">
        <f aca="false">项目总控台账!C57</f>
        <v>核心功能开发完成</v>
      </c>
      <c r="D63" s="59" t="str">
        <f aca="false">项目总控台账!D63</f>
        <v>收付款管理</v>
      </c>
      <c r="E63" s="59" t="str">
        <f aca="false">IF(项目总控台账!E63="","",项目总控台账!E63)</f>
        <v>开发应收应付、开票和付款计划</v>
      </c>
      <c r="F63" s="59" t="str">
        <f aca="false">IF(项目总控台账!F63="","",项目总控台账!F63)</f>
        <v>MS010</v>
      </c>
      <c r="G63" s="60" t="str">
        <f aca="false">IF(项目总控台账!G63="","",项目总控台账!G63)</f>
        <v>未开始</v>
      </c>
      <c r="H63" s="59" t="str">
        <f aca="false">IF(项目总控台账!H63="","",项目总控台账!H63)</f>
        <v>中级开发人员</v>
      </c>
      <c r="I63" s="61" t="n">
        <f aca="false">IF(项目总控台账!I63="","",项目总控台账!I63)</f>
        <v>46427</v>
      </c>
      <c r="J63" s="61" t="n">
        <f aca="false">IF(项目总控台账!J63="","",项目总控台账!J63)</f>
        <v>46437</v>
      </c>
      <c r="K63" s="61" t="n">
        <f aca="false">IF(项目总控台账!K63="","",项目总控台账!K63)</f>
        <v>46461</v>
      </c>
      <c r="L63" s="59" t="str">
        <f aca="false">IF(项目总控台账!L63="","",项目总控台账!L63)</f>
        <v/>
      </c>
      <c r="M63" s="60" t="str">
        <f aca="false">IF(项目总控台账!M63="","",项目总控台账!M63)</f>
        <v/>
      </c>
      <c r="N63" s="61" t="str">
        <f aca="false">IF(项目总控台账!N63="","",项目总控台账!N63)</f>
        <v/>
      </c>
      <c r="O63" s="61" t="str">
        <f aca="false">IF(项目总控台账!O63="","",项目总控台账!O63)</f>
        <v/>
      </c>
      <c r="P63" s="59" t="str">
        <f aca="false">IF(项目总控台账!P63="","",项目总控台账!P63)</f>
        <v>中级开发人员</v>
      </c>
      <c r="Q63" s="60" t="str">
        <f aca="false">IF(项目总控台账!Q63="","",项目总控台账!Q63)</f>
        <v>未开始</v>
      </c>
      <c r="R63" s="61" t="n">
        <f aca="false">IF(项目总控台账!R63="","",项目总控台账!R63)</f>
        <v>46427</v>
      </c>
      <c r="S63" s="61" t="n">
        <f aca="false">IF(项目总控台账!S63="","",项目总控台账!S63)</f>
        <v>46437</v>
      </c>
      <c r="T63" s="59" t="str">
        <f aca="false">IF(项目总控台账!T63="","",项目总控台账!T63)</f>
        <v/>
      </c>
      <c r="U63" s="60" t="str">
        <f aca="false">IF(项目总控台账!U63="","",项目总控台账!U63)</f>
        <v/>
      </c>
      <c r="V63" s="61" t="str">
        <f aca="false">IF(项目总控台账!V63="","",项目总控台账!V63)</f>
        <v/>
      </c>
      <c r="W63" s="61" t="str">
        <f aca="false">IF(项目总控台账!W63="","",项目总控台账!W63)</f>
        <v/>
      </c>
      <c r="X63" s="59" t="str">
        <f aca="false">IF(项目总控台账!X63="","",项目总控台账!X63)</f>
        <v/>
      </c>
      <c r="Y63" s="60" t="str">
        <f aca="false">IF(项目总控台账!Y63="","",项目总控台账!Y63)</f>
        <v/>
      </c>
      <c r="Z63" s="61" t="str">
        <f aca="false">IF(项目总控台账!Z63="","",项目总控台账!Z63)</f>
        <v/>
      </c>
      <c r="AA63" s="61" t="str">
        <f aca="false">IF(项目总控台账!AA63="","",项目总控台账!AA63)</f>
        <v/>
      </c>
      <c r="AB63" s="62" t="n">
        <f aca="false">IF(项目总控台账!AB63="","",项目总控台账!AB63)</f>
        <v>0</v>
      </c>
      <c r="AC63" s="60" t="str">
        <f aca="false">IF(项目总控台账!AC63="","",项目总控台账!AC63)</f>
        <v>正常</v>
      </c>
      <c r="AD63" s="59" t="str">
        <f aca="false">IF(项目总控台账!AD63="","",项目总控台账!AD63)</f>
        <v/>
      </c>
      <c r="AE63" s="59" t="str">
        <f aca="false">IF(项目总控台账!AE63="","",项目总控台账!AE63)</f>
        <v/>
      </c>
      <c r="AF63" s="59" t="str">
        <f aca="false">IF(项目总控台账!AF63="","",项目总控台账!AF63)</f>
        <v/>
      </c>
      <c r="AG63" s="61" t="str">
        <f aca="false">IF(项目总控台账!AG63="","",项目总控台账!AG63)</f>
        <v/>
      </c>
      <c r="AH63" s="63" t="str">
        <f aca="false">IF(项目总控台账!AH63="","",项目总控台账!AH63)</f>
        <v/>
      </c>
    </row>
    <row r="64" customFormat="false" ht="16.5" hidden="false" customHeight="true" outlineLevel="0" collapsed="false">
      <c r="A64" s="59" t="str">
        <f aca="false">IF(项目总控台账!A64="","",项目总控台账!A64)</f>
        <v>T061</v>
      </c>
      <c r="B64" s="59" t="str">
        <f aca="false">项目总控台账!B42</f>
        <v>正式实施与上线准备</v>
      </c>
      <c r="C64" s="59" t="str">
        <f aca="false">项目总控台账!C57</f>
        <v>核心功能开发完成</v>
      </c>
      <c r="D64" s="59" t="str">
        <f aca="false">项目总控台账!D64</f>
        <v>变更归档</v>
      </c>
      <c r="E64" s="59" t="str">
        <f aca="false">IF(项目总控台账!E64="","",项目总控台账!E64)</f>
        <v>开发变更、解除、终止和电子归档</v>
      </c>
      <c r="F64" s="59" t="str">
        <f aca="false">IF(项目总控台账!F64="","",项目总控台账!F64)</f>
        <v>MS010</v>
      </c>
      <c r="G64" s="60" t="str">
        <f aca="false">IF(项目总控台账!G64="","",项目总控台账!G64)</f>
        <v>未开始</v>
      </c>
      <c r="H64" s="59" t="str">
        <f aca="false">IF(项目总控台账!H64="","",项目总控台账!H64)</f>
        <v>中级开发人员</v>
      </c>
      <c r="I64" s="61" t="n">
        <f aca="false">IF(项目总控台账!I64="","",项目总控台账!I64)</f>
        <v>46438</v>
      </c>
      <c r="J64" s="61" t="n">
        <f aca="false">IF(项目总控台账!J64="","",项目总控台账!J64)</f>
        <v>46449</v>
      </c>
      <c r="K64" s="61" t="n">
        <f aca="false">IF(项目总控台账!K64="","",项目总控台账!K64)</f>
        <v>46461</v>
      </c>
      <c r="L64" s="59" t="str">
        <f aca="false">IF(项目总控台账!L64="","",项目总控台账!L64)</f>
        <v/>
      </c>
      <c r="M64" s="60" t="str">
        <f aca="false">IF(项目总控台账!M64="","",项目总控台账!M64)</f>
        <v/>
      </c>
      <c r="N64" s="61" t="str">
        <f aca="false">IF(项目总控台账!N64="","",项目总控台账!N64)</f>
        <v/>
      </c>
      <c r="O64" s="61" t="str">
        <f aca="false">IF(项目总控台账!O64="","",项目总控台账!O64)</f>
        <v/>
      </c>
      <c r="P64" s="59" t="str">
        <f aca="false">IF(项目总控台账!P64="","",项目总控台账!P64)</f>
        <v>中级开发人员</v>
      </c>
      <c r="Q64" s="60" t="str">
        <f aca="false">IF(项目总控台账!Q64="","",项目总控台账!Q64)</f>
        <v>未开始</v>
      </c>
      <c r="R64" s="61" t="n">
        <f aca="false">IF(项目总控台账!R64="","",项目总控台账!R64)</f>
        <v>46438</v>
      </c>
      <c r="S64" s="61" t="n">
        <f aca="false">IF(项目总控台账!S64="","",项目总控台账!S64)</f>
        <v>46449</v>
      </c>
      <c r="T64" s="59" t="str">
        <f aca="false">IF(项目总控台账!T64="","",项目总控台账!T64)</f>
        <v/>
      </c>
      <c r="U64" s="60" t="str">
        <f aca="false">IF(项目总控台账!U64="","",项目总控台账!U64)</f>
        <v/>
      </c>
      <c r="V64" s="61" t="str">
        <f aca="false">IF(项目总控台账!V64="","",项目总控台账!V64)</f>
        <v/>
      </c>
      <c r="W64" s="61" t="str">
        <f aca="false">IF(项目总控台账!W64="","",项目总控台账!W64)</f>
        <v/>
      </c>
      <c r="X64" s="59" t="str">
        <f aca="false">IF(项目总控台账!X64="","",项目总控台账!X64)</f>
        <v/>
      </c>
      <c r="Y64" s="60" t="str">
        <f aca="false">IF(项目总控台账!Y64="","",项目总控台账!Y64)</f>
        <v/>
      </c>
      <c r="Z64" s="61" t="str">
        <f aca="false">IF(项目总控台账!Z64="","",项目总控台账!Z64)</f>
        <v/>
      </c>
      <c r="AA64" s="61" t="str">
        <f aca="false">IF(项目总控台账!AA64="","",项目总控台账!AA64)</f>
        <v/>
      </c>
      <c r="AB64" s="62" t="n">
        <f aca="false">IF(项目总控台账!AB64="","",项目总控台账!AB64)</f>
        <v>0</v>
      </c>
      <c r="AC64" s="60" t="str">
        <f aca="false">IF(项目总控台账!AC64="","",项目总控台账!AC64)</f>
        <v>正常</v>
      </c>
      <c r="AD64" s="59" t="str">
        <f aca="false">IF(项目总控台账!AD64="","",项目总控台账!AD64)</f>
        <v/>
      </c>
      <c r="AE64" s="59" t="str">
        <f aca="false">IF(项目总控台账!AE64="","",项目总控台账!AE64)</f>
        <v/>
      </c>
      <c r="AF64" s="59" t="str">
        <f aca="false">IF(项目总控台账!AF64="","",项目总控台账!AF64)</f>
        <v/>
      </c>
      <c r="AG64" s="61" t="str">
        <f aca="false">IF(项目总控台账!AG64="","",项目总控台账!AG64)</f>
        <v/>
      </c>
      <c r="AH64" s="63" t="str">
        <f aca="false">IF(项目总控台账!AH64="","",项目总控台账!AH64)</f>
        <v/>
      </c>
    </row>
    <row r="65" customFormat="false" ht="16.5" hidden="false" customHeight="true" outlineLevel="0" collapsed="false">
      <c r="A65" s="59" t="str">
        <f aca="false">IF(项目总控台账!A65="","",项目总控台账!A65)</f>
        <v>T062</v>
      </c>
      <c r="B65" s="59" t="str">
        <f aca="false">项目总控台账!B42</f>
        <v>正式实施与上线准备</v>
      </c>
      <c r="C65" s="59" t="str">
        <f aca="false">项目总控台账!C57</f>
        <v>核心功能开发完成</v>
      </c>
      <c r="D65" s="59" t="str">
        <f aca="false">项目总控台账!D65</f>
        <v>查询分析</v>
      </c>
      <c r="E65" s="59" t="str">
        <f aca="false">IF(项目总控台账!E65="","",项目总控台账!E65)</f>
        <v>开发合同检索、台账和经营分析页面</v>
      </c>
      <c r="F65" s="59" t="str">
        <f aca="false">IF(项目总控台账!F65="","",项目总控台账!F65)</f>
        <v>MS010</v>
      </c>
      <c r="G65" s="60" t="str">
        <f aca="false">IF(项目总控台账!G65="","",项目总控台账!G65)</f>
        <v>未开始</v>
      </c>
      <c r="H65" s="59" t="str">
        <f aca="false">IF(项目总控台账!H65="","",项目总控台账!H65)</f>
        <v>中级开发人员</v>
      </c>
      <c r="I65" s="61" t="n">
        <f aca="false">IF(项目总控台账!I65="","",项目总控台账!I65)</f>
        <v>46450</v>
      </c>
      <c r="J65" s="61" t="n">
        <f aca="false">IF(项目总控台账!J65="","",项目总控台账!J65)</f>
        <v>46461</v>
      </c>
      <c r="K65" s="61" t="n">
        <f aca="false">IF(项目总控台账!K65="","",项目总控台账!K65)</f>
        <v>46461</v>
      </c>
      <c r="L65" s="59" t="str">
        <f aca="false">IF(项目总控台账!L65="","",项目总控台账!L65)</f>
        <v/>
      </c>
      <c r="M65" s="60" t="str">
        <f aca="false">IF(项目总控台账!M65="","",项目总控台账!M65)</f>
        <v/>
      </c>
      <c r="N65" s="61" t="str">
        <f aca="false">IF(项目总控台账!N65="","",项目总控台账!N65)</f>
        <v/>
      </c>
      <c r="O65" s="61" t="str">
        <f aca="false">IF(项目总控台账!O65="","",项目总控台账!O65)</f>
        <v/>
      </c>
      <c r="P65" s="59" t="str">
        <f aca="false">IF(项目总控台账!P65="","",项目总控台账!P65)</f>
        <v/>
      </c>
      <c r="Q65" s="60" t="str">
        <f aca="false">IF(项目总控台账!Q65="","",项目总控台账!Q65)</f>
        <v/>
      </c>
      <c r="R65" s="61" t="str">
        <f aca="false">IF(项目总控台账!R65="","",项目总控台账!R65)</f>
        <v/>
      </c>
      <c r="S65" s="61" t="str">
        <f aca="false">IF(项目总控台账!S65="","",项目总控台账!S65)</f>
        <v/>
      </c>
      <c r="T65" s="59" t="str">
        <f aca="false">IF(项目总控台账!T65="","",项目总控台账!T65)</f>
        <v>中级开发人员</v>
      </c>
      <c r="U65" s="60" t="str">
        <f aca="false">IF(项目总控台账!U65="","",项目总控台账!U65)</f>
        <v>未开始</v>
      </c>
      <c r="V65" s="61" t="n">
        <f aca="false">IF(项目总控台账!V65="","",项目总控台账!V65)</f>
        <v>46450</v>
      </c>
      <c r="W65" s="61" t="n">
        <f aca="false">IF(项目总控台账!W65="","",项目总控台账!W65)</f>
        <v>46461</v>
      </c>
      <c r="X65" s="59" t="str">
        <f aca="false">IF(项目总控台账!X65="","",项目总控台账!X65)</f>
        <v/>
      </c>
      <c r="Y65" s="60" t="str">
        <f aca="false">IF(项目总控台账!Y65="","",项目总控台账!Y65)</f>
        <v/>
      </c>
      <c r="Z65" s="61" t="str">
        <f aca="false">IF(项目总控台账!Z65="","",项目总控台账!Z65)</f>
        <v/>
      </c>
      <c r="AA65" s="61" t="str">
        <f aca="false">IF(项目总控台账!AA65="","",项目总控台账!AA65)</f>
        <v/>
      </c>
      <c r="AB65" s="62" t="n">
        <f aca="false">IF(项目总控台账!AB65="","",项目总控台账!AB65)</f>
        <v>0</v>
      </c>
      <c r="AC65" s="60" t="str">
        <f aca="false">IF(项目总控台账!AC65="","",项目总控台账!AC65)</f>
        <v>正常</v>
      </c>
      <c r="AD65" s="59" t="str">
        <f aca="false">IF(项目总控台账!AD65="","",项目总控台账!AD65)</f>
        <v/>
      </c>
      <c r="AE65" s="59" t="str">
        <f aca="false">IF(项目总控台账!AE65="","",项目总控台账!AE65)</f>
        <v/>
      </c>
      <c r="AF65" s="59" t="str">
        <f aca="false">IF(项目总控台账!AF65="","",项目总控台账!AF65)</f>
        <v/>
      </c>
      <c r="AG65" s="61" t="str">
        <f aca="false">IF(项目总控台账!AG65="","",项目总控台账!AG65)</f>
        <v/>
      </c>
      <c r="AH65" s="63" t="str">
        <f aca="false">IF(项目总控台账!AH65="","",项目总控台账!AH65)</f>
        <v/>
      </c>
    </row>
    <row r="66" customFormat="false" ht="16.5" hidden="false" customHeight="true" outlineLevel="0" collapsed="false">
      <c r="A66" s="59" t="str">
        <f aca="false">IF(项目总控台账!A66="","",项目总控台账!A66)</f>
        <v>T063</v>
      </c>
      <c r="B66" s="59" t="str">
        <f aca="false">项目总控台账!B42</f>
        <v>正式实施与上线准备</v>
      </c>
      <c r="C66" s="59" t="str">
        <f aca="false">项目总控台账!C66</f>
        <v>内部系统集成完成</v>
      </c>
      <c r="D66" s="59" t="str">
        <f aca="false">项目总控台账!D66</f>
        <v>内部集成</v>
      </c>
      <c r="E66" s="59" t="str">
        <f aca="false">IF(项目总控台账!E66="","",项目总控台账!E66)</f>
        <v>制定端到端集成场景和测试数据</v>
      </c>
      <c r="F66" s="59" t="str">
        <f aca="false">IF(项目总控台账!F66="","",项目总控台账!F66)</f>
        <v>MS011</v>
      </c>
      <c r="G66" s="60" t="str">
        <f aca="false">IF(项目总控台账!G66="","",项目总控台账!G66)</f>
        <v>未开始</v>
      </c>
      <c r="H66" s="59" t="str">
        <f aca="false">IF(项目总控台账!H66="","",项目总控台账!H66)</f>
        <v>技术经理</v>
      </c>
      <c r="I66" s="61" t="n">
        <f aca="false">IF(项目总控台账!I66="","",项目总控台账!I66)</f>
        <v>46419</v>
      </c>
      <c r="J66" s="61" t="n">
        <f aca="false">IF(项目总控台账!J66="","",项目总控台账!J66)</f>
        <v>46424</v>
      </c>
      <c r="K66" s="61" t="n">
        <f aca="false">IF(项目总控台账!K66="","",项目总控台账!K66)</f>
        <v>46456</v>
      </c>
      <c r="L66" s="59" t="str">
        <f aca="false">IF(项目总控台账!L66="","",项目总控台账!L66)</f>
        <v/>
      </c>
      <c r="M66" s="60" t="str">
        <f aca="false">IF(项目总控台账!M66="","",项目总控台账!M66)</f>
        <v/>
      </c>
      <c r="N66" s="61" t="str">
        <f aca="false">IF(项目总控台账!N66="","",项目总控台账!N66)</f>
        <v/>
      </c>
      <c r="O66" s="61" t="str">
        <f aca="false">IF(项目总控台账!O66="","",项目总控台账!O66)</f>
        <v/>
      </c>
      <c r="P66" s="59" t="str">
        <f aca="false">IF(项目总控台账!P66="","",项目总控台账!P66)</f>
        <v>技术经理</v>
      </c>
      <c r="Q66" s="60" t="str">
        <f aca="false">IF(项目总控台账!Q66="","",项目总控台账!Q66)</f>
        <v>未开始</v>
      </c>
      <c r="R66" s="61" t="n">
        <f aca="false">IF(项目总控台账!R66="","",项目总控台账!R66)</f>
        <v>46419</v>
      </c>
      <c r="S66" s="61" t="n">
        <f aca="false">IF(项目总控台账!S66="","",项目总控台账!S66)</f>
        <v>46424</v>
      </c>
      <c r="T66" s="59" t="str">
        <f aca="false">IF(项目总控台账!T66="","",项目总控台账!T66)</f>
        <v/>
      </c>
      <c r="U66" s="60" t="str">
        <f aca="false">IF(项目总控台账!U66="","",项目总控台账!U66)</f>
        <v/>
      </c>
      <c r="V66" s="61" t="str">
        <f aca="false">IF(项目总控台账!V66="","",项目总控台账!V66)</f>
        <v/>
      </c>
      <c r="W66" s="61" t="str">
        <f aca="false">IF(项目总控台账!W66="","",项目总控台账!W66)</f>
        <v/>
      </c>
      <c r="X66" s="59" t="str">
        <f aca="false">IF(项目总控台账!X66="","",项目总控台账!X66)</f>
        <v/>
      </c>
      <c r="Y66" s="60" t="str">
        <f aca="false">IF(项目总控台账!Y66="","",项目总控台账!Y66)</f>
        <v/>
      </c>
      <c r="Z66" s="61" t="str">
        <f aca="false">IF(项目总控台账!Z66="","",项目总控台账!Z66)</f>
        <v/>
      </c>
      <c r="AA66" s="61" t="str">
        <f aca="false">IF(项目总控台账!AA66="","",项目总控台账!AA66)</f>
        <v/>
      </c>
      <c r="AB66" s="62" t="n">
        <f aca="false">IF(项目总控台账!AB66="","",项目总控台账!AB66)</f>
        <v>0</v>
      </c>
      <c r="AC66" s="60" t="str">
        <f aca="false">IF(项目总控台账!AC66="","",项目总控台账!AC66)</f>
        <v>正常</v>
      </c>
      <c r="AD66" s="59" t="str">
        <f aca="false">IF(项目总控台账!AD66="","",项目总控台账!AD66)</f>
        <v/>
      </c>
      <c r="AE66" s="59" t="str">
        <f aca="false">IF(项目总控台账!AE66="","",项目总控台账!AE66)</f>
        <v/>
      </c>
      <c r="AF66" s="59" t="str">
        <f aca="false">IF(项目总控台账!AF66="","",项目总控台账!AF66)</f>
        <v/>
      </c>
      <c r="AG66" s="61" t="str">
        <f aca="false">IF(项目总控台账!AG66="","",项目总控台账!AG66)</f>
        <v/>
      </c>
      <c r="AH66" s="63" t="str">
        <f aca="false">IF(项目总控台账!AH66="","",项目总控台账!AH66)</f>
        <v/>
      </c>
    </row>
    <row r="67" customFormat="false" ht="16.5" hidden="false" customHeight="true" outlineLevel="0" collapsed="false">
      <c r="A67" s="59" t="str">
        <f aca="false">IF(项目总控台账!A67="","",项目总控台账!A67)</f>
        <v>T064</v>
      </c>
      <c r="B67" s="59" t="str">
        <f aca="false">项目总控台账!B42</f>
        <v>正式实施与上线准备</v>
      </c>
      <c r="C67" s="59" t="str">
        <f aca="false">项目总控台账!C66</f>
        <v>内部系统集成完成</v>
      </c>
      <c r="D67" s="59" t="str">
        <f aca="false">项目总控台账!D66</f>
        <v>内部集成</v>
      </c>
      <c r="E67" s="59" t="str">
        <f aca="false">IF(项目总控台账!E67="","",项目总控台账!E67)</f>
        <v>贯通合同起草、审批、签署和生效流程</v>
      </c>
      <c r="F67" s="59" t="str">
        <f aca="false">IF(项目总控台账!F67="","",项目总控台账!F67)</f>
        <v>MS011</v>
      </c>
      <c r="G67" s="60" t="str">
        <f aca="false">IF(项目总控台账!G67="","",项目总控台账!G67)</f>
        <v>未开始</v>
      </c>
      <c r="H67" s="59" t="str">
        <f aca="false">IF(项目总控台账!H67="","",项目总控台账!H67)</f>
        <v>高级开发人员</v>
      </c>
      <c r="I67" s="61" t="n">
        <f aca="false">IF(项目总控台账!I67="","",项目总控台账!I67)</f>
        <v>46425</v>
      </c>
      <c r="J67" s="61" t="n">
        <f aca="false">IF(项目总控台账!J67="","",项目总控台账!J67)</f>
        <v>46430</v>
      </c>
      <c r="K67" s="61" t="n">
        <f aca="false">IF(项目总控台账!K67="","",项目总控台账!K67)</f>
        <v>46456</v>
      </c>
      <c r="L67" s="59" t="str">
        <f aca="false">IF(项目总控台账!L67="","",项目总控台账!L67)</f>
        <v/>
      </c>
      <c r="M67" s="60" t="str">
        <f aca="false">IF(项目总控台账!M67="","",项目总控台账!M67)</f>
        <v/>
      </c>
      <c r="N67" s="61" t="str">
        <f aca="false">IF(项目总控台账!N67="","",项目总控台账!N67)</f>
        <v/>
      </c>
      <c r="O67" s="61" t="str">
        <f aca="false">IF(项目总控台账!O67="","",项目总控台账!O67)</f>
        <v/>
      </c>
      <c r="P67" s="59" t="str">
        <f aca="false">IF(项目总控台账!P67="","",项目总控台账!P67)</f>
        <v>高级开发人员</v>
      </c>
      <c r="Q67" s="60" t="str">
        <f aca="false">IF(项目总控台账!Q67="","",项目总控台账!Q67)</f>
        <v>未开始</v>
      </c>
      <c r="R67" s="61" t="n">
        <f aca="false">IF(项目总控台账!R67="","",项目总控台账!R67)</f>
        <v>46425</v>
      </c>
      <c r="S67" s="61" t="n">
        <f aca="false">IF(项目总控台账!S67="","",项目总控台账!S67)</f>
        <v>46430</v>
      </c>
      <c r="T67" s="59" t="str">
        <f aca="false">IF(项目总控台账!T67="","",项目总控台账!T67)</f>
        <v/>
      </c>
      <c r="U67" s="60" t="str">
        <f aca="false">IF(项目总控台账!U67="","",项目总控台账!U67)</f>
        <v/>
      </c>
      <c r="V67" s="61" t="str">
        <f aca="false">IF(项目总控台账!V67="","",项目总控台账!V67)</f>
        <v/>
      </c>
      <c r="W67" s="61" t="str">
        <f aca="false">IF(项目总控台账!W67="","",项目总控台账!W67)</f>
        <v/>
      </c>
      <c r="X67" s="59" t="str">
        <f aca="false">IF(项目总控台账!X67="","",项目总控台账!X67)</f>
        <v/>
      </c>
      <c r="Y67" s="60" t="str">
        <f aca="false">IF(项目总控台账!Y67="","",项目总控台账!Y67)</f>
        <v/>
      </c>
      <c r="Z67" s="61" t="str">
        <f aca="false">IF(项目总控台账!Z67="","",项目总控台账!Z67)</f>
        <v/>
      </c>
      <c r="AA67" s="61" t="str">
        <f aca="false">IF(项目总控台账!AA67="","",项目总控台账!AA67)</f>
        <v/>
      </c>
      <c r="AB67" s="62" t="n">
        <f aca="false">IF(项目总控台账!AB67="","",项目总控台账!AB67)</f>
        <v>0</v>
      </c>
      <c r="AC67" s="60" t="str">
        <f aca="false">IF(项目总控台账!AC67="","",项目总控台账!AC67)</f>
        <v>正常</v>
      </c>
      <c r="AD67" s="59" t="str">
        <f aca="false">IF(项目总控台账!AD67="","",项目总控台账!AD67)</f>
        <v/>
      </c>
      <c r="AE67" s="59" t="str">
        <f aca="false">IF(项目总控台账!AE67="","",项目总控台账!AE67)</f>
        <v/>
      </c>
      <c r="AF67" s="59" t="str">
        <f aca="false">IF(项目总控台账!AF67="","",项目总控台账!AF67)</f>
        <v/>
      </c>
      <c r="AG67" s="61" t="str">
        <f aca="false">IF(项目总控台账!AG67="","",项目总控台账!AG67)</f>
        <v/>
      </c>
      <c r="AH67" s="63" t="str">
        <f aca="false">IF(项目总控台账!AH67="","",项目总控台账!AH67)</f>
        <v/>
      </c>
    </row>
    <row r="68" customFormat="false" ht="16.5" hidden="false" customHeight="true" outlineLevel="0" collapsed="false">
      <c r="A68" s="59" t="str">
        <f aca="false">IF(项目总控台账!A68="","",项目总控台账!A68)</f>
        <v>T065</v>
      </c>
      <c r="B68" s="59" t="str">
        <f aca="false">项目总控台账!B42</f>
        <v>正式实施与上线准备</v>
      </c>
      <c r="C68" s="59" t="str">
        <f aca="false">项目总控台账!C66</f>
        <v>内部系统集成完成</v>
      </c>
      <c r="D68" s="59" t="str">
        <f aca="false">项目总控台账!D66</f>
        <v>内部集成</v>
      </c>
      <c r="E68" s="59" t="str">
        <f aca="false">IF(项目总控台账!E68="","",项目总控台账!E68)</f>
        <v>贯通履约、收付款、变更和归档流程</v>
      </c>
      <c r="F68" s="59" t="str">
        <f aca="false">IF(项目总控台账!F68="","",项目总控台账!F68)</f>
        <v>MS011</v>
      </c>
      <c r="G68" s="60" t="str">
        <f aca="false">IF(项目总控台账!G68="","",项目总控台账!G68)</f>
        <v>未开始</v>
      </c>
      <c r="H68" s="59" t="str">
        <f aca="false">IF(项目总控台账!H68="","",项目总控台账!H68)</f>
        <v>高级开发人员</v>
      </c>
      <c r="I68" s="61" t="n">
        <f aca="false">IF(项目总控台账!I68="","",项目总控台账!I68)</f>
        <v>46431</v>
      </c>
      <c r="J68" s="61" t="n">
        <f aca="false">IF(项目总控台账!J68="","",项目总控台账!J68)</f>
        <v>46437</v>
      </c>
      <c r="K68" s="61" t="n">
        <f aca="false">IF(项目总控台账!K68="","",项目总控台账!K68)</f>
        <v>46456</v>
      </c>
      <c r="L68" s="59" t="str">
        <f aca="false">IF(项目总控台账!L68="","",项目总控台账!L68)</f>
        <v/>
      </c>
      <c r="M68" s="60" t="str">
        <f aca="false">IF(项目总控台账!M68="","",项目总控台账!M68)</f>
        <v/>
      </c>
      <c r="N68" s="61" t="str">
        <f aca="false">IF(项目总控台账!N68="","",项目总控台账!N68)</f>
        <v/>
      </c>
      <c r="O68" s="61" t="str">
        <f aca="false">IF(项目总控台账!O68="","",项目总控台账!O68)</f>
        <v/>
      </c>
      <c r="P68" s="59" t="str">
        <f aca="false">IF(项目总控台账!P68="","",项目总控台账!P68)</f>
        <v>高级开发人员</v>
      </c>
      <c r="Q68" s="60" t="str">
        <f aca="false">IF(项目总控台账!Q68="","",项目总控台账!Q68)</f>
        <v>未开始</v>
      </c>
      <c r="R68" s="61" t="n">
        <f aca="false">IF(项目总控台账!R68="","",项目总控台账!R68)</f>
        <v>46431</v>
      </c>
      <c r="S68" s="61" t="n">
        <f aca="false">IF(项目总控台账!S68="","",项目总控台账!S68)</f>
        <v>46437</v>
      </c>
      <c r="T68" s="59" t="str">
        <f aca="false">IF(项目总控台账!T68="","",项目总控台账!T68)</f>
        <v/>
      </c>
      <c r="U68" s="60" t="str">
        <f aca="false">IF(项目总控台账!U68="","",项目总控台账!U68)</f>
        <v/>
      </c>
      <c r="V68" s="61" t="str">
        <f aca="false">IF(项目总控台账!V68="","",项目总控台账!V68)</f>
        <v/>
      </c>
      <c r="W68" s="61" t="str">
        <f aca="false">IF(项目总控台账!W68="","",项目总控台账!W68)</f>
        <v/>
      </c>
      <c r="X68" s="59" t="str">
        <f aca="false">IF(项目总控台账!X68="","",项目总控台账!X68)</f>
        <v/>
      </c>
      <c r="Y68" s="60" t="str">
        <f aca="false">IF(项目总控台账!Y68="","",项目总控台账!Y68)</f>
        <v/>
      </c>
      <c r="Z68" s="61" t="str">
        <f aca="false">IF(项目总控台账!Z68="","",项目总控台账!Z68)</f>
        <v/>
      </c>
      <c r="AA68" s="61" t="str">
        <f aca="false">IF(项目总控台账!AA68="","",项目总控台账!AA68)</f>
        <v/>
      </c>
      <c r="AB68" s="62" t="n">
        <f aca="false">IF(项目总控台账!AB68="","",项目总控台账!AB68)</f>
        <v>0</v>
      </c>
      <c r="AC68" s="60" t="str">
        <f aca="false">IF(项目总控台账!AC68="","",项目总控台账!AC68)</f>
        <v>正常</v>
      </c>
      <c r="AD68" s="59" t="str">
        <f aca="false">IF(项目总控台账!AD68="","",项目总控台账!AD68)</f>
        <v/>
      </c>
      <c r="AE68" s="59" t="str">
        <f aca="false">IF(项目总控台账!AE68="","",项目总控台账!AE68)</f>
        <v/>
      </c>
      <c r="AF68" s="59" t="str">
        <f aca="false">IF(项目总控台账!AF68="","",项目总控台账!AF68)</f>
        <v/>
      </c>
      <c r="AG68" s="61" t="str">
        <f aca="false">IF(项目总控台账!AG68="","",项目总控台账!AG68)</f>
        <v/>
      </c>
      <c r="AH68" s="63" t="str">
        <f aca="false">IF(项目总控台账!AH68="","",项目总控台账!AH68)</f>
        <v/>
      </c>
    </row>
    <row r="69" customFormat="false" ht="16.5" hidden="false" customHeight="true" outlineLevel="0" collapsed="false">
      <c r="A69" s="59" t="str">
        <f aca="false">IF(项目总控台账!A69="","",项目总控台账!A69)</f>
        <v>T066</v>
      </c>
      <c r="B69" s="59" t="str">
        <f aca="false">项目总控台账!B42</f>
        <v>正式实施与上线准备</v>
      </c>
      <c r="C69" s="59" t="str">
        <f aca="false">项目总控台账!C66</f>
        <v>内部系统集成完成</v>
      </c>
      <c r="D69" s="59" t="str">
        <f aca="false">项目总控台账!D66</f>
        <v>内部集成</v>
      </c>
      <c r="E69" s="59" t="str">
        <f aca="false">IF(项目总控台账!E69="","",项目总控台账!E69)</f>
        <v>验证主数据、权限和审计数据流</v>
      </c>
      <c r="F69" s="59" t="str">
        <f aca="false">IF(项目总控台账!F69="","",项目总控台账!F69)</f>
        <v>MS011</v>
      </c>
      <c r="G69" s="60" t="str">
        <f aca="false">IF(项目总控台账!G69="","",项目总控台账!G69)</f>
        <v>未开始</v>
      </c>
      <c r="H69" s="59" t="str">
        <f aca="false">IF(项目总控台账!H69="","",项目总控台账!H69)</f>
        <v>高级测试人员、中级测试人员</v>
      </c>
      <c r="I69" s="61" t="n">
        <f aca="false">IF(项目总控台账!I69="","",项目总控台账!I69)</f>
        <v>46438</v>
      </c>
      <c r="J69" s="61" t="n">
        <f aca="false">IF(项目总控台账!J69="","",项目总控台账!J69)</f>
        <v>46443</v>
      </c>
      <c r="K69" s="61" t="n">
        <f aca="false">IF(项目总控台账!K69="","",项目总控台账!K69)</f>
        <v>46456</v>
      </c>
      <c r="L69" s="59" t="str">
        <f aca="false">IF(项目总控台账!L69="","",项目总控台账!L69)</f>
        <v/>
      </c>
      <c r="M69" s="60" t="str">
        <f aca="false">IF(项目总控台账!M69="","",项目总控台账!M69)</f>
        <v/>
      </c>
      <c r="N69" s="61" t="str">
        <f aca="false">IF(项目总控台账!N69="","",项目总控台账!N69)</f>
        <v/>
      </c>
      <c r="O69" s="61" t="str">
        <f aca="false">IF(项目总控台账!O69="","",项目总控台账!O69)</f>
        <v/>
      </c>
      <c r="P69" s="59" t="str">
        <f aca="false">IF(项目总控台账!P69="","",项目总控台账!P69)</f>
        <v/>
      </c>
      <c r="Q69" s="60" t="str">
        <f aca="false">IF(项目总控台账!Q69="","",项目总控台账!Q69)</f>
        <v/>
      </c>
      <c r="R69" s="61" t="str">
        <f aca="false">IF(项目总控台账!R69="","",项目总控台账!R69)</f>
        <v/>
      </c>
      <c r="S69" s="61" t="str">
        <f aca="false">IF(项目总控台账!S69="","",项目总控台账!S69)</f>
        <v/>
      </c>
      <c r="T69" s="59" t="str">
        <f aca="false">IF(项目总控台账!T69="","",项目总控台账!T69)</f>
        <v/>
      </c>
      <c r="U69" s="60" t="str">
        <f aca="false">IF(项目总控台账!U69="","",项目总控台账!U69)</f>
        <v/>
      </c>
      <c r="V69" s="61" t="str">
        <f aca="false">IF(项目总控台账!V69="","",项目总控台账!V69)</f>
        <v/>
      </c>
      <c r="W69" s="61" t="str">
        <f aca="false">IF(项目总控台账!W69="","",项目总控台账!W69)</f>
        <v/>
      </c>
      <c r="X69" s="59" t="str">
        <f aca="false">IF(项目总控台账!X69="","",项目总控台账!X69)</f>
        <v>高级测试人员、中级测试人员</v>
      </c>
      <c r="Y69" s="60" t="str">
        <f aca="false">IF(项目总控台账!Y69="","",项目总控台账!Y69)</f>
        <v>未开始</v>
      </c>
      <c r="Z69" s="61" t="n">
        <f aca="false">IF(项目总控台账!Z69="","",项目总控台账!Z69)</f>
        <v>46438</v>
      </c>
      <c r="AA69" s="61" t="n">
        <f aca="false">IF(项目总控台账!AA69="","",项目总控台账!AA69)</f>
        <v>46443</v>
      </c>
      <c r="AB69" s="62" t="n">
        <f aca="false">IF(项目总控台账!AB69="","",项目总控台账!AB69)</f>
        <v>0</v>
      </c>
      <c r="AC69" s="60" t="str">
        <f aca="false">IF(项目总控台账!AC69="","",项目总控台账!AC69)</f>
        <v>正常</v>
      </c>
      <c r="AD69" s="59" t="str">
        <f aca="false">IF(项目总控台账!AD69="","",项目总控台账!AD69)</f>
        <v/>
      </c>
      <c r="AE69" s="59" t="str">
        <f aca="false">IF(项目总控台账!AE69="","",项目总控台账!AE69)</f>
        <v/>
      </c>
      <c r="AF69" s="59" t="str">
        <f aca="false">IF(项目总控台账!AF69="","",项目总控台账!AF69)</f>
        <v/>
      </c>
      <c r="AG69" s="61" t="str">
        <f aca="false">IF(项目总控台账!AG69="","",项目总控台账!AG69)</f>
        <v/>
      </c>
      <c r="AH69" s="63" t="str">
        <f aca="false">IF(项目总控台账!AH69="","",项目总控台账!AH69)</f>
        <v/>
      </c>
    </row>
    <row r="70" customFormat="false" ht="16.5" hidden="false" customHeight="true" outlineLevel="0" collapsed="false">
      <c r="A70" s="59" t="str">
        <f aca="false">IF(项目总控台账!A70="","",项目总控台账!A70)</f>
        <v>T067</v>
      </c>
      <c r="B70" s="59" t="str">
        <f aca="false">项目总控台账!B42</f>
        <v>正式实施与上线准备</v>
      </c>
      <c r="C70" s="59" t="str">
        <f aca="false">项目总控台账!C66</f>
        <v>内部系统集成完成</v>
      </c>
      <c r="D70" s="59" t="str">
        <f aca="false">项目总控台账!D70</f>
        <v>异常处理</v>
      </c>
      <c r="E70" s="59" t="str">
        <f aca="false">IF(项目总控台账!E70="","",项目总控台账!E70)</f>
        <v>验证异常补偿、重试和一致性处理</v>
      </c>
      <c r="F70" s="59" t="str">
        <f aca="false">IF(项目总控台账!F70="","",项目总控台账!F70)</f>
        <v>MS011</v>
      </c>
      <c r="G70" s="60" t="str">
        <f aca="false">IF(项目总控台账!G70="","",项目总控台账!G70)</f>
        <v>未开始</v>
      </c>
      <c r="H70" s="59" t="str">
        <f aca="false">IF(项目总控台账!H70="","",项目总控台账!H70)</f>
        <v>高级开发人员</v>
      </c>
      <c r="I70" s="61" t="n">
        <f aca="false">IF(项目总控台账!I70="","",项目总控台账!I70)</f>
        <v>46444</v>
      </c>
      <c r="J70" s="61" t="n">
        <f aca="false">IF(项目总控台账!J70="","",项目总控台账!J70)</f>
        <v>46449</v>
      </c>
      <c r="K70" s="61" t="n">
        <f aca="false">IF(项目总控台账!K70="","",项目总控台账!K70)</f>
        <v>46456</v>
      </c>
      <c r="L70" s="59" t="str">
        <f aca="false">IF(项目总控台账!L70="","",项目总控台账!L70)</f>
        <v/>
      </c>
      <c r="M70" s="60" t="str">
        <f aca="false">IF(项目总控台账!M70="","",项目总控台账!M70)</f>
        <v/>
      </c>
      <c r="N70" s="61" t="str">
        <f aca="false">IF(项目总控台账!N70="","",项目总控台账!N70)</f>
        <v/>
      </c>
      <c r="O70" s="61" t="str">
        <f aca="false">IF(项目总控台账!O70="","",项目总控台账!O70)</f>
        <v/>
      </c>
      <c r="P70" s="59" t="str">
        <f aca="false">IF(项目总控台账!P70="","",项目总控台账!P70)</f>
        <v>高级开发人员</v>
      </c>
      <c r="Q70" s="60" t="str">
        <f aca="false">IF(项目总控台账!Q70="","",项目总控台账!Q70)</f>
        <v>未开始</v>
      </c>
      <c r="R70" s="61" t="n">
        <f aca="false">IF(项目总控台账!R70="","",项目总控台账!R70)</f>
        <v>46444</v>
      </c>
      <c r="S70" s="61" t="n">
        <f aca="false">IF(项目总控台账!S70="","",项目总控台账!S70)</f>
        <v>46449</v>
      </c>
      <c r="T70" s="59" t="str">
        <f aca="false">IF(项目总控台账!T70="","",项目总控台账!T70)</f>
        <v/>
      </c>
      <c r="U70" s="60" t="str">
        <f aca="false">IF(项目总控台账!U70="","",项目总控台账!U70)</f>
        <v/>
      </c>
      <c r="V70" s="61" t="str">
        <f aca="false">IF(项目总控台账!V70="","",项目总控台账!V70)</f>
        <v/>
      </c>
      <c r="W70" s="61" t="str">
        <f aca="false">IF(项目总控台账!W70="","",项目总控台账!W70)</f>
        <v/>
      </c>
      <c r="X70" s="59" t="str">
        <f aca="false">IF(项目总控台账!X70="","",项目总控台账!X70)</f>
        <v/>
      </c>
      <c r="Y70" s="60" t="str">
        <f aca="false">IF(项目总控台账!Y70="","",项目总控台账!Y70)</f>
        <v/>
      </c>
      <c r="Z70" s="61" t="str">
        <f aca="false">IF(项目总控台账!Z70="","",项目总控台账!Z70)</f>
        <v/>
      </c>
      <c r="AA70" s="61" t="str">
        <f aca="false">IF(项目总控台账!AA70="","",项目总控台账!AA70)</f>
        <v/>
      </c>
      <c r="AB70" s="62" t="n">
        <f aca="false">IF(项目总控台账!AB70="","",项目总控台账!AB70)</f>
        <v>0</v>
      </c>
      <c r="AC70" s="60" t="str">
        <f aca="false">IF(项目总控台账!AC70="","",项目总控台账!AC70)</f>
        <v>正常</v>
      </c>
      <c r="AD70" s="59" t="str">
        <f aca="false">IF(项目总控台账!AD70="","",项目总控台账!AD70)</f>
        <v/>
      </c>
      <c r="AE70" s="59" t="str">
        <f aca="false">IF(项目总控台账!AE70="","",项目总控台账!AE70)</f>
        <v/>
      </c>
      <c r="AF70" s="59" t="str">
        <f aca="false">IF(项目总控台账!AF70="","",项目总控台账!AF70)</f>
        <v/>
      </c>
      <c r="AG70" s="61" t="str">
        <f aca="false">IF(项目总控台账!AG70="","",项目总控台账!AG70)</f>
        <v/>
      </c>
      <c r="AH70" s="63" t="str">
        <f aca="false">IF(项目总控台账!AH70="","",项目总控台账!AH70)</f>
        <v/>
      </c>
    </row>
    <row r="71" customFormat="false" ht="16.5" hidden="false" customHeight="true" outlineLevel="0" collapsed="false">
      <c r="A71" s="59" t="str">
        <f aca="false">IF(项目总控台账!A71="","",项目总控台账!A71)</f>
        <v>T068</v>
      </c>
      <c r="B71" s="59" t="str">
        <f aca="false">项目总控台账!B42</f>
        <v>正式实施与上线准备</v>
      </c>
      <c r="C71" s="59" t="str">
        <f aca="false">项目总控台账!C66</f>
        <v>内部系统集成完成</v>
      </c>
      <c r="D71" s="59" t="str">
        <f aca="false">项目总控台账!D71</f>
        <v>集成验收</v>
      </c>
      <c r="E71" s="59" t="str">
        <f aca="false">IF(项目总控台账!E71="","",项目总控台账!E71)</f>
        <v>完成内部集成回归并出具报告</v>
      </c>
      <c r="F71" s="59" t="str">
        <f aca="false">IF(项目总控台账!F71="","",项目总控台账!F71)</f>
        <v>MS011</v>
      </c>
      <c r="G71" s="60" t="str">
        <f aca="false">IF(项目总控台账!G71="","",项目总控台账!G71)</f>
        <v>未开始</v>
      </c>
      <c r="H71" s="59" t="str">
        <f aca="false">IF(项目总控台账!H71="","",项目总控台账!H71)</f>
        <v>高级测试人员、中级测试人员</v>
      </c>
      <c r="I71" s="61" t="n">
        <f aca="false">IF(项目总控台账!I71="","",项目总控台账!I71)</f>
        <v>46450</v>
      </c>
      <c r="J71" s="61" t="n">
        <f aca="false">IF(项目总控台账!J71="","",项目总控台账!J71)</f>
        <v>46456</v>
      </c>
      <c r="K71" s="61" t="n">
        <f aca="false">IF(项目总控台账!K71="","",项目总控台账!K71)</f>
        <v>46456</v>
      </c>
      <c r="L71" s="59" t="str">
        <f aca="false">IF(项目总控台账!L71="","",项目总控台账!L71)</f>
        <v/>
      </c>
      <c r="M71" s="60" t="str">
        <f aca="false">IF(项目总控台账!M71="","",项目总控台账!M71)</f>
        <v/>
      </c>
      <c r="N71" s="61" t="str">
        <f aca="false">IF(项目总控台账!N71="","",项目总控台账!N71)</f>
        <v/>
      </c>
      <c r="O71" s="61" t="str">
        <f aca="false">IF(项目总控台账!O71="","",项目总控台账!O71)</f>
        <v/>
      </c>
      <c r="P71" s="59" t="str">
        <f aca="false">IF(项目总控台账!P71="","",项目总控台账!P71)</f>
        <v/>
      </c>
      <c r="Q71" s="60" t="str">
        <f aca="false">IF(项目总控台账!Q71="","",项目总控台账!Q71)</f>
        <v/>
      </c>
      <c r="R71" s="61" t="str">
        <f aca="false">IF(项目总控台账!R71="","",项目总控台账!R71)</f>
        <v/>
      </c>
      <c r="S71" s="61" t="str">
        <f aca="false">IF(项目总控台账!S71="","",项目总控台账!S71)</f>
        <v/>
      </c>
      <c r="T71" s="59" t="str">
        <f aca="false">IF(项目总控台账!T71="","",项目总控台账!T71)</f>
        <v/>
      </c>
      <c r="U71" s="60" t="str">
        <f aca="false">IF(项目总控台账!U71="","",项目总控台账!U71)</f>
        <v/>
      </c>
      <c r="V71" s="61" t="str">
        <f aca="false">IF(项目总控台账!V71="","",项目总控台账!V71)</f>
        <v/>
      </c>
      <c r="W71" s="61" t="str">
        <f aca="false">IF(项目总控台账!W71="","",项目总控台账!W71)</f>
        <v/>
      </c>
      <c r="X71" s="59" t="str">
        <f aca="false">IF(项目总控台账!X71="","",项目总控台账!X71)</f>
        <v>高级测试人员、中级测试人员</v>
      </c>
      <c r="Y71" s="60" t="str">
        <f aca="false">IF(项目总控台账!Y71="","",项目总控台账!Y71)</f>
        <v>未开始</v>
      </c>
      <c r="Z71" s="61" t="n">
        <f aca="false">IF(项目总控台账!Z71="","",项目总控台账!Z71)</f>
        <v>46450</v>
      </c>
      <c r="AA71" s="61" t="n">
        <f aca="false">IF(项目总控台账!AA71="","",项目总控台账!AA71)</f>
        <v>46456</v>
      </c>
      <c r="AB71" s="62" t="n">
        <f aca="false">IF(项目总控台账!AB71="","",项目总控台账!AB71)</f>
        <v>0</v>
      </c>
      <c r="AC71" s="60" t="str">
        <f aca="false">IF(项目总控台账!AC71="","",项目总控台账!AC71)</f>
        <v>正常</v>
      </c>
      <c r="AD71" s="59" t="str">
        <f aca="false">IF(项目总控台账!AD71="","",项目总控台账!AD71)</f>
        <v/>
      </c>
      <c r="AE71" s="59" t="str">
        <f aca="false">IF(项目总控台账!AE71="","",项目总控台账!AE71)</f>
        <v/>
      </c>
      <c r="AF71" s="59" t="str">
        <f aca="false">IF(项目总控台账!AF71="","",项目总控台账!AF71)</f>
        <v/>
      </c>
      <c r="AG71" s="61" t="str">
        <f aca="false">IF(项目总控台账!AG71="","",项目总控台账!AG71)</f>
        <v/>
      </c>
      <c r="AH71" s="63" t="str">
        <f aca="false">IF(项目总控台账!AH71="","",项目总控台账!AH71)</f>
        <v/>
      </c>
    </row>
    <row r="72" customFormat="false" ht="16.5" hidden="false" customHeight="true" outlineLevel="0" collapsed="false">
      <c r="A72" s="59" t="str">
        <f aca="false">IF(项目总控台账!A72="","",项目总控台账!A72)</f>
        <v>T069</v>
      </c>
      <c r="B72" s="59" t="str">
        <f aca="false">项目总控台账!B42</f>
        <v>正式实施与上线准备</v>
      </c>
      <c r="C72" s="59" t="str">
        <f aca="false">项目总控台账!C72</f>
        <v>外部系统集成完成</v>
      </c>
      <c r="D72" s="59" t="str">
        <f aca="false">项目总控台账!D72</f>
        <v>外部接口</v>
      </c>
      <c r="E72" s="59" t="str">
        <f aca="false">IF(项目总控台账!E72="","",项目总控台账!E72)</f>
        <v>确认外部系统清单、接口规范和联调计划</v>
      </c>
      <c r="F72" s="59" t="str">
        <f aca="false">IF(项目总控台账!F72="","",项目总控台账!F72)</f>
        <v>MS012</v>
      </c>
      <c r="G72" s="60" t="str">
        <f aca="false">IF(项目总控台账!G72="","",项目总控台账!G72)</f>
        <v>未开始</v>
      </c>
      <c r="H72" s="59" t="str">
        <f aca="false">IF(项目总控台账!H72="","",项目总控台账!H72)</f>
        <v>技术经理</v>
      </c>
      <c r="I72" s="61" t="n">
        <f aca="false">IF(项目总控台账!I72="","",项目总控台账!I72)</f>
        <v>46433</v>
      </c>
      <c r="J72" s="61" t="n">
        <f aca="false">IF(项目总控台账!J72="","",项目总控台账!J72)</f>
        <v>46436</v>
      </c>
      <c r="K72" s="61" t="n">
        <f aca="false">IF(项目总控台账!K72="","",项目总控台账!K72)</f>
        <v>46466</v>
      </c>
      <c r="L72" s="59" t="str">
        <f aca="false">IF(项目总控台账!L72="","",项目总控台账!L72)</f>
        <v/>
      </c>
      <c r="M72" s="60" t="str">
        <f aca="false">IF(项目总控台账!M72="","",项目总控台账!M72)</f>
        <v/>
      </c>
      <c r="N72" s="61" t="str">
        <f aca="false">IF(项目总控台账!N72="","",项目总控台账!N72)</f>
        <v/>
      </c>
      <c r="O72" s="61" t="str">
        <f aca="false">IF(项目总控台账!O72="","",项目总控台账!O72)</f>
        <v/>
      </c>
      <c r="P72" s="59" t="str">
        <f aca="false">IF(项目总控台账!P72="","",项目总控台账!P72)</f>
        <v>技术经理</v>
      </c>
      <c r="Q72" s="60" t="str">
        <f aca="false">IF(项目总控台账!Q72="","",项目总控台账!Q72)</f>
        <v>未开始</v>
      </c>
      <c r="R72" s="61" t="n">
        <f aca="false">IF(项目总控台账!R72="","",项目总控台账!R72)</f>
        <v>46433</v>
      </c>
      <c r="S72" s="61" t="n">
        <f aca="false">IF(项目总控台账!S72="","",项目总控台账!S72)</f>
        <v>46436</v>
      </c>
      <c r="T72" s="59" t="str">
        <f aca="false">IF(项目总控台账!T72="","",项目总控台账!T72)</f>
        <v/>
      </c>
      <c r="U72" s="60" t="str">
        <f aca="false">IF(项目总控台账!U72="","",项目总控台账!U72)</f>
        <v/>
      </c>
      <c r="V72" s="61" t="str">
        <f aca="false">IF(项目总控台账!V72="","",项目总控台账!V72)</f>
        <v/>
      </c>
      <c r="W72" s="61" t="str">
        <f aca="false">IF(项目总控台账!W72="","",项目总控台账!W72)</f>
        <v/>
      </c>
      <c r="X72" s="59" t="str">
        <f aca="false">IF(项目总控台账!X72="","",项目总控台账!X72)</f>
        <v/>
      </c>
      <c r="Y72" s="60" t="str">
        <f aca="false">IF(项目总控台账!Y72="","",项目总控台账!Y72)</f>
        <v/>
      </c>
      <c r="Z72" s="61" t="str">
        <f aca="false">IF(项目总控台账!Z72="","",项目总控台账!Z72)</f>
        <v/>
      </c>
      <c r="AA72" s="61" t="str">
        <f aca="false">IF(项目总控台账!AA72="","",项目总控台账!AA72)</f>
        <v/>
      </c>
      <c r="AB72" s="62" t="n">
        <f aca="false">IF(项目总控台账!AB72="","",项目总控台账!AB72)</f>
        <v>0</v>
      </c>
      <c r="AC72" s="60" t="str">
        <f aca="false">IF(项目总控台账!AC72="","",项目总控台账!AC72)</f>
        <v>正常</v>
      </c>
      <c r="AD72" s="59" t="str">
        <f aca="false">IF(项目总控台账!AD72="","",项目总控台账!AD72)</f>
        <v/>
      </c>
      <c r="AE72" s="59" t="str">
        <f aca="false">IF(项目总控台账!AE72="","",项目总控台账!AE72)</f>
        <v/>
      </c>
      <c r="AF72" s="59" t="str">
        <f aca="false">IF(项目总控台账!AF72="","",项目总控台账!AF72)</f>
        <v/>
      </c>
      <c r="AG72" s="61" t="str">
        <f aca="false">IF(项目总控台账!AG72="","",项目总控台账!AG72)</f>
        <v/>
      </c>
      <c r="AH72" s="63" t="str">
        <f aca="false">IF(项目总控台账!AH72="","",项目总控台账!AH72)</f>
        <v/>
      </c>
    </row>
    <row r="73" customFormat="false" ht="16.5" hidden="false" customHeight="true" outlineLevel="0" collapsed="false">
      <c r="A73" s="59" t="str">
        <f aca="false">IF(项目总控台账!A73="","",项目总控台账!A73)</f>
        <v>T070</v>
      </c>
      <c r="B73" s="59" t="str">
        <f aca="false">项目总控台账!B42</f>
        <v>正式实施与上线准备</v>
      </c>
      <c r="C73" s="59" t="str">
        <f aca="false">项目总控台账!C72</f>
        <v>外部系统集成完成</v>
      </c>
      <c r="D73" s="59" t="str">
        <f aca="false">项目总控台账!D73</f>
        <v>ERP集成</v>
      </c>
      <c r="E73" s="59" t="str">
        <f aca="false">IF(项目总控台账!E73="","",项目总控台账!E73)</f>
        <v>完成ERP及主数据接口联调</v>
      </c>
      <c r="F73" s="59" t="str">
        <f aca="false">IF(项目总控台账!F73="","",项目总控台账!F73)</f>
        <v>MS012</v>
      </c>
      <c r="G73" s="60" t="str">
        <f aca="false">IF(项目总控台账!G73="","",项目总控台账!G73)</f>
        <v>未开始</v>
      </c>
      <c r="H73" s="59" t="str">
        <f aca="false">IF(项目总控台账!H73="","",项目总控台账!H73)</f>
        <v>高级开发人员</v>
      </c>
      <c r="I73" s="61" t="n">
        <f aca="false">IF(项目总控台账!I73="","",项目总控台账!I73)</f>
        <v>46437</v>
      </c>
      <c r="J73" s="61" t="n">
        <f aca="false">IF(项目总控台账!J73="","",项目总控台账!J73)</f>
        <v>46441</v>
      </c>
      <c r="K73" s="61" t="n">
        <f aca="false">IF(项目总控台账!K73="","",项目总控台账!K73)</f>
        <v>46466</v>
      </c>
      <c r="L73" s="59" t="str">
        <f aca="false">IF(项目总控台账!L73="","",项目总控台账!L73)</f>
        <v/>
      </c>
      <c r="M73" s="60" t="str">
        <f aca="false">IF(项目总控台账!M73="","",项目总控台账!M73)</f>
        <v/>
      </c>
      <c r="N73" s="61" t="str">
        <f aca="false">IF(项目总控台账!N73="","",项目总控台账!N73)</f>
        <v/>
      </c>
      <c r="O73" s="61" t="str">
        <f aca="false">IF(项目总控台账!O73="","",项目总控台账!O73)</f>
        <v/>
      </c>
      <c r="P73" s="59" t="str">
        <f aca="false">IF(项目总控台账!P73="","",项目总控台账!P73)</f>
        <v>高级开发人员</v>
      </c>
      <c r="Q73" s="60" t="str">
        <f aca="false">IF(项目总控台账!Q73="","",项目总控台账!Q73)</f>
        <v>未开始</v>
      </c>
      <c r="R73" s="61" t="n">
        <f aca="false">IF(项目总控台账!R73="","",项目总控台账!R73)</f>
        <v>46437</v>
      </c>
      <c r="S73" s="61" t="n">
        <f aca="false">IF(项目总控台账!S73="","",项目总控台账!S73)</f>
        <v>46441</v>
      </c>
      <c r="T73" s="59" t="str">
        <f aca="false">IF(项目总控台账!T73="","",项目总控台账!T73)</f>
        <v/>
      </c>
      <c r="U73" s="60" t="str">
        <f aca="false">IF(项目总控台账!U73="","",项目总控台账!U73)</f>
        <v/>
      </c>
      <c r="V73" s="61" t="str">
        <f aca="false">IF(项目总控台账!V73="","",项目总控台账!V73)</f>
        <v/>
      </c>
      <c r="W73" s="61" t="str">
        <f aca="false">IF(项目总控台账!W73="","",项目总控台账!W73)</f>
        <v/>
      </c>
      <c r="X73" s="59" t="str">
        <f aca="false">IF(项目总控台账!X73="","",项目总控台账!X73)</f>
        <v/>
      </c>
      <c r="Y73" s="60" t="str">
        <f aca="false">IF(项目总控台账!Y73="","",项目总控台账!Y73)</f>
        <v/>
      </c>
      <c r="Z73" s="61" t="str">
        <f aca="false">IF(项目总控台账!Z73="","",项目总控台账!Z73)</f>
        <v/>
      </c>
      <c r="AA73" s="61" t="str">
        <f aca="false">IF(项目总控台账!AA73="","",项目总控台账!AA73)</f>
        <v/>
      </c>
      <c r="AB73" s="62" t="n">
        <f aca="false">IF(项目总控台账!AB73="","",项目总控台账!AB73)</f>
        <v>0</v>
      </c>
      <c r="AC73" s="60" t="str">
        <f aca="false">IF(项目总控台账!AC73="","",项目总控台账!AC73)</f>
        <v>正常</v>
      </c>
      <c r="AD73" s="59" t="str">
        <f aca="false">IF(项目总控台账!AD73="","",项目总控台账!AD73)</f>
        <v/>
      </c>
      <c r="AE73" s="59" t="str">
        <f aca="false">IF(项目总控台账!AE73="","",项目总控台账!AE73)</f>
        <v/>
      </c>
      <c r="AF73" s="59" t="str">
        <f aca="false">IF(项目总控台账!AF73="","",项目总控台账!AF73)</f>
        <v/>
      </c>
      <c r="AG73" s="61" t="str">
        <f aca="false">IF(项目总控台账!AG73="","",项目总控台账!AG73)</f>
        <v/>
      </c>
      <c r="AH73" s="63" t="str">
        <f aca="false">IF(项目总控台账!AH73="","",项目总控台账!AH73)</f>
        <v/>
      </c>
    </row>
    <row r="74" customFormat="false" ht="16.5" hidden="false" customHeight="true" outlineLevel="0" collapsed="false">
      <c r="A74" s="59" t="str">
        <f aca="false">IF(项目总控台账!A74="","",项目总控台账!A74)</f>
        <v>T071</v>
      </c>
      <c r="B74" s="59" t="str">
        <f aca="false">项目总控台账!B42</f>
        <v>正式实施与上线准备</v>
      </c>
      <c r="C74" s="59" t="str">
        <f aca="false">项目总控台账!C72</f>
        <v>外部系统集成完成</v>
      </c>
      <c r="D74" s="59" t="str">
        <f aca="false">项目总控台账!D74</f>
        <v>财务集成</v>
      </c>
      <c r="E74" s="59" t="str">
        <f aca="false">IF(项目总控台账!E74="","",项目总控台账!E74)</f>
        <v>完成财务、开票和收付款接口联调</v>
      </c>
      <c r="F74" s="59" t="str">
        <f aca="false">IF(项目总控台账!F74="","",项目总控台账!F74)</f>
        <v>MS012</v>
      </c>
      <c r="G74" s="60" t="str">
        <f aca="false">IF(项目总控台账!G74="","",项目总控台账!G74)</f>
        <v>未开始</v>
      </c>
      <c r="H74" s="59" t="str">
        <f aca="false">IF(项目总控台账!H74="","",项目总控台账!H74)</f>
        <v>高级开发人员</v>
      </c>
      <c r="I74" s="61" t="n">
        <f aca="false">IF(项目总控台账!I74="","",项目总控台账!I74)</f>
        <v>46442</v>
      </c>
      <c r="J74" s="61" t="n">
        <f aca="false">IF(项目总控台账!J74="","",项目总控台账!J74)</f>
        <v>46446</v>
      </c>
      <c r="K74" s="61" t="n">
        <f aca="false">IF(项目总控台账!K74="","",项目总控台账!K74)</f>
        <v>46466</v>
      </c>
      <c r="L74" s="59" t="str">
        <f aca="false">IF(项目总控台账!L74="","",项目总控台账!L74)</f>
        <v/>
      </c>
      <c r="M74" s="60" t="str">
        <f aca="false">IF(项目总控台账!M74="","",项目总控台账!M74)</f>
        <v/>
      </c>
      <c r="N74" s="61" t="str">
        <f aca="false">IF(项目总控台账!N74="","",项目总控台账!N74)</f>
        <v/>
      </c>
      <c r="O74" s="61" t="str">
        <f aca="false">IF(项目总控台账!O74="","",项目总控台账!O74)</f>
        <v/>
      </c>
      <c r="P74" s="59" t="str">
        <f aca="false">IF(项目总控台账!P74="","",项目总控台账!P74)</f>
        <v>高级开发人员</v>
      </c>
      <c r="Q74" s="60" t="str">
        <f aca="false">IF(项目总控台账!Q74="","",项目总控台账!Q74)</f>
        <v>未开始</v>
      </c>
      <c r="R74" s="61" t="n">
        <f aca="false">IF(项目总控台账!R74="","",项目总控台账!R74)</f>
        <v>46442</v>
      </c>
      <c r="S74" s="61" t="n">
        <f aca="false">IF(项目总控台账!S74="","",项目总控台账!S74)</f>
        <v>46446</v>
      </c>
      <c r="T74" s="59" t="str">
        <f aca="false">IF(项目总控台账!T74="","",项目总控台账!T74)</f>
        <v/>
      </c>
      <c r="U74" s="60" t="str">
        <f aca="false">IF(项目总控台账!U74="","",项目总控台账!U74)</f>
        <v/>
      </c>
      <c r="V74" s="61" t="str">
        <f aca="false">IF(项目总控台账!V74="","",项目总控台账!V74)</f>
        <v/>
      </c>
      <c r="W74" s="61" t="str">
        <f aca="false">IF(项目总控台账!W74="","",项目总控台账!W74)</f>
        <v/>
      </c>
      <c r="X74" s="59" t="str">
        <f aca="false">IF(项目总控台账!X74="","",项目总控台账!X74)</f>
        <v/>
      </c>
      <c r="Y74" s="60" t="str">
        <f aca="false">IF(项目总控台账!Y74="","",项目总控台账!Y74)</f>
        <v/>
      </c>
      <c r="Z74" s="61" t="str">
        <f aca="false">IF(项目总控台账!Z74="","",项目总控台账!Z74)</f>
        <v/>
      </c>
      <c r="AA74" s="61" t="str">
        <f aca="false">IF(项目总控台账!AA74="","",项目总控台账!AA74)</f>
        <v/>
      </c>
      <c r="AB74" s="62" t="n">
        <f aca="false">IF(项目总控台账!AB74="","",项目总控台账!AB74)</f>
        <v>0</v>
      </c>
      <c r="AC74" s="60" t="str">
        <f aca="false">IF(项目总控台账!AC74="","",项目总控台账!AC74)</f>
        <v>正常</v>
      </c>
      <c r="AD74" s="59" t="str">
        <f aca="false">IF(项目总控台账!AD74="","",项目总控台账!AD74)</f>
        <v/>
      </c>
      <c r="AE74" s="59" t="str">
        <f aca="false">IF(项目总控台账!AE74="","",项目总控台账!AE74)</f>
        <v/>
      </c>
      <c r="AF74" s="59" t="str">
        <f aca="false">IF(项目总控台账!AF74="","",项目总控台账!AF74)</f>
        <v/>
      </c>
      <c r="AG74" s="61" t="str">
        <f aca="false">IF(项目总控台账!AG74="","",项目总控台账!AG74)</f>
        <v/>
      </c>
      <c r="AH74" s="63" t="str">
        <f aca="false">IF(项目总控台账!AH74="","",项目总控台账!AH74)</f>
        <v/>
      </c>
    </row>
    <row r="75" customFormat="false" ht="16.5" hidden="false" customHeight="true" outlineLevel="0" collapsed="false">
      <c r="A75" s="59" t="str">
        <f aca="false">IF(项目总控台账!A75="","",项目总控台账!A75)</f>
        <v>T072</v>
      </c>
      <c r="B75" s="59" t="str">
        <f aca="false">项目总控台账!B42</f>
        <v>正式实施与上线准备</v>
      </c>
      <c r="C75" s="59" t="str">
        <f aca="false">项目总控台账!C72</f>
        <v>外部系统集成完成</v>
      </c>
      <c r="D75" s="59" t="str">
        <f aca="false">项目总控台账!D75</f>
        <v>OA集成</v>
      </c>
      <c r="E75" s="59" t="str">
        <f aca="false">IF(项目总控台账!E75="","",项目总控台账!E75)</f>
        <v>完成OA待办、审批和消息接口联调</v>
      </c>
      <c r="F75" s="59" t="str">
        <f aca="false">IF(项目总控台账!F75="","",项目总控台账!F75)</f>
        <v>MS012</v>
      </c>
      <c r="G75" s="60" t="str">
        <f aca="false">IF(项目总控台账!G75="","",项目总控台账!G75)</f>
        <v>未开始</v>
      </c>
      <c r="H75" s="59" t="str">
        <f aca="false">IF(项目总控台账!H75="","",项目总控台账!H75)</f>
        <v>中级开发人员</v>
      </c>
      <c r="I75" s="61" t="n">
        <f aca="false">IF(项目总控台账!I75="","",项目总控台账!I75)</f>
        <v>46447</v>
      </c>
      <c r="J75" s="61" t="n">
        <f aca="false">IF(项目总控台账!J75="","",项目总控台账!J75)</f>
        <v>46451</v>
      </c>
      <c r="K75" s="61" t="n">
        <f aca="false">IF(项目总控台账!K75="","",项目总控台账!K75)</f>
        <v>46466</v>
      </c>
      <c r="L75" s="59" t="str">
        <f aca="false">IF(项目总控台账!L75="","",项目总控台账!L75)</f>
        <v/>
      </c>
      <c r="M75" s="60" t="str">
        <f aca="false">IF(项目总控台账!M75="","",项目总控台账!M75)</f>
        <v/>
      </c>
      <c r="N75" s="61" t="str">
        <f aca="false">IF(项目总控台账!N75="","",项目总控台账!N75)</f>
        <v/>
      </c>
      <c r="O75" s="61" t="str">
        <f aca="false">IF(项目总控台账!O75="","",项目总控台账!O75)</f>
        <v/>
      </c>
      <c r="P75" s="59" t="str">
        <f aca="false">IF(项目总控台账!P75="","",项目总控台账!P75)</f>
        <v>中级开发人员</v>
      </c>
      <c r="Q75" s="60" t="str">
        <f aca="false">IF(项目总控台账!Q75="","",项目总控台账!Q75)</f>
        <v>未开始</v>
      </c>
      <c r="R75" s="61" t="n">
        <f aca="false">IF(项目总控台账!R75="","",项目总控台账!R75)</f>
        <v>46447</v>
      </c>
      <c r="S75" s="61" t="n">
        <f aca="false">IF(项目总控台账!S75="","",项目总控台账!S75)</f>
        <v>46451</v>
      </c>
      <c r="T75" s="59" t="str">
        <f aca="false">IF(项目总控台账!T75="","",项目总控台账!T75)</f>
        <v/>
      </c>
      <c r="U75" s="60" t="str">
        <f aca="false">IF(项目总控台账!U75="","",项目总控台账!U75)</f>
        <v/>
      </c>
      <c r="V75" s="61" t="str">
        <f aca="false">IF(项目总控台账!V75="","",项目总控台账!V75)</f>
        <v/>
      </c>
      <c r="W75" s="61" t="str">
        <f aca="false">IF(项目总控台账!W75="","",项目总控台账!W75)</f>
        <v/>
      </c>
      <c r="X75" s="59" t="str">
        <f aca="false">IF(项目总控台账!X75="","",项目总控台账!X75)</f>
        <v/>
      </c>
      <c r="Y75" s="60" t="str">
        <f aca="false">IF(项目总控台账!Y75="","",项目总控台账!Y75)</f>
        <v/>
      </c>
      <c r="Z75" s="61" t="str">
        <f aca="false">IF(项目总控台账!Z75="","",项目总控台账!Z75)</f>
        <v/>
      </c>
      <c r="AA75" s="61" t="str">
        <f aca="false">IF(项目总控台账!AA75="","",项目总控台账!AA75)</f>
        <v/>
      </c>
      <c r="AB75" s="62" t="n">
        <f aca="false">IF(项目总控台账!AB75="","",项目总控台账!AB75)</f>
        <v>0</v>
      </c>
      <c r="AC75" s="60" t="str">
        <f aca="false">IF(项目总控台账!AC75="","",项目总控台账!AC75)</f>
        <v>正常</v>
      </c>
      <c r="AD75" s="59" t="str">
        <f aca="false">IF(项目总控台账!AD75="","",项目总控台账!AD75)</f>
        <v/>
      </c>
      <c r="AE75" s="59" t="str">
        <f aca="false">IF(项目总控台账!AE75="","",项目总控台账!AE75)</f>
        <v/>
      </c>
      <c r="AF75" s="59" t="str">
        <f aca="false">IF(项目总控台账!AF75="","",项目总控台账!AF75)</f>
        <v/>
      </c>
      <c r="AG75" s="61" t="str">
        <f aca="false">IF(项目总控台账!AG75="","",项目总控台账!AG75)</f>
        <v/>
      </c>
      <c r="AH75" s="63" t="str">
        <f aca="false">IF(项目总控台账!AH75="","",项目总控台账!AH75)</f>
        <v/>
      </c>
    </row>
    <row r="76" customFormat="false" ht="16.5" hidden="false" customHeight="true" outlineLevel="0" collapsed="false">
      <c r="A76" s="59" t="str">
        <f aca="false">IF(项目总控台账!A76="","",项目总控台账!A76)</f>
        <v>T073</v>
      </c>
      <c r="B76" s="59" t="str">
        <f aca="false">项目总控台账!B42</f>
        <v>正式实施与上线准备</v>
      </c>
      <c r="C76" s="59" t="str">
        <f aca="false">项目总控台账!C72</f>
        <v>外部系统集成完成</v>
      </c>
      <c r="D76" s="59" t="str">
        <f aca="false">项目总控台账!D76</f>
        <v>签章集成</v>
      </c>
      <c r="E76" s="59" t="str">
        <f aca="false">IF(项目总控台账!E76="","",项目总控台账!E76)</f>
        <v>完成电子签章、CA和时间戳接口联调</v>
      </c>
      <c r="F76" s="59" t="str">
        <f aca="false">IF(项目总控台账!F76="","",项目总控台账!F76)</f>
        <v>MS012</v>
      </c>
      <c r="G76" s="60" t="str">
        <f aca="false">IF(项目总控台账!G76="","",项目总控台账!G76)</f>
        <v>未开始</v>
      </c>
      <c r="H76" s="59" t="str">
        <f aca="false">IF(项目总控台账!H76="","",项目总控台账!H76)</f>
        <v>高级开发人员</v>
      </c>
      <c r="I76" s="61" t="n">
        <f aca="false">IF(项目总控台账!I76="","",项目总控台账!I76)</f>
        <v>46452</v>
      </c>
      <c r="J76" s="61" t="n">
        <f aca="false">IF(项目总控台账!J76="","",项目总控台账!J76)</f>
        <v>46456</v>
      </c>
      <c r="K76" s="61" t="n">
        <f aca="false">IF(项目总控台账!K76="","",项目总控台账!K76)</f>
        <v>46466</v>
      </c>
      <c r="L76" s="59" t="str">
        <f aca="false">IF(项目总控台账!L76="","",项目总控台账!L76)</f>
        <v/>
      </c>
      <c r="M76" s="60" t="str">
        <f aca="false">IF(项目总控台账!M76="","",项目总控台账!M76)</f>
        <v/>
      </c>
      <c r="N76" s="61" t="str">
        <f aca="false">IF(项目总控台账!N76="","",项目总控台账!N76)</f>
        <v/>
      </c>
      <c r="O76" s="61" t="str">
        <f aca="false">IF(项目总控台账!O76="","",项目总控台账!O76)</f>
        <v/>
      </c>
      <c r="P76" s="59" t="str">
        <f aca="false">IF(项目总控台账!P76="","",项目总控台账!P76)</f>
        <v>高级开发人员</v>
      </c>
      <c r="Q76" s="60" t="str">
        <f aca="false">IF(项目总控台账!Q76="","",项目总控台账!Q76)</f>
        <v>未开始</v>
      </c>
      <c r="R76" s="61" t="n">
        <f aca="false">IF(项目总控台账!R76="","",项目总控台账!R76)</f>
        <v>46452</v>
      </c>
      <c r="S76" s="61" t="n">
        <f aca="false">IF(项目总控台账!S76="","",项目总控台账!S76)</f>
        <v>46456</v>
      </c>
      <c r="T76" s="59" t="str">
        <f aca="false">IF(项目总控台账!T76="","",项目总控台账!T76)</f>
        <v/>
      </c>
      <c r="U76" s="60" t="str">
        <f aca="false">IF(项目总控台账!U76="","",项目总控台账!U76)</f>
        <v/>
      </c>
      <c r="V76" s="61" t="str">
        <f aca="false">IF(项目总控台账!V76="","",项目总控台账!V76)</f>
        <v/>
      </c>
      <c r="W76" s="61" t="str">
        <f aca="false">IF(项目总控台账!W76="","",项目总控台账!W76)</f>
        <v/>
      </c>
      <c r="X76" s="59" t="str">
        <f aca="false">IF(项目总控台账!X76="","",项目总控台账!X76)</f>
        <v/>
      </c>
      <c r="Y76" s="60" t="str">
        <f aca="false">IF(项目总控台账!Y76="","",项目总控台账!Y76)</f>
        <v/>
      </c>
      <c r="Z76" s="61" t="str">
        <f aca="false">IF(项目总控台账!Z76="","",项目总控台账!Z76)</f>
        <v/>
      </c>
      <c r="AA76" s="61" t="str">
        <f aca="false">IF(项目总控台账!AA76="","",项目总控台账!AA76)</f>
        <v/>
      </c>
      <c r="AB76" s="62" t="n">
        <f aca="false">IF(项目总控台账!AB76="","",项目总控台账!AB76)</f>
        <v>0</v>
      </c>
      <c r="AC76" s="60" t="str">
        <f aca="false">IF(项目总控台账!AC76="","",项目总控台账!AC76)</f>
        <v>正常</v>
      </c>
      <c r="AD76" s="59" t="str">
        <f aca="false">IF(项目总控台账!AD76="","",项目总控台账!AD76)</f>
        <v/>
      </c>
      <c r="AE76" s="59" t="str">
        <f aca="false">IF(项目总控台账!AE76="","",项目总控台账!AE76)</f>
        <v/>
      </c>
      <c r="AF76" s="59" t="str">
        <f aca="false">IF(项目总控台账!AF76="","",项目总控台账!AF76)</f>
        <v/>
      </c>
      <c r="AG76" s="61" t="str">
        <f aca="false">IF(项目总控台账!AG76="","",项目总控台账!AG76)</f>
        <v/>
      </c>
      <c r="AH76" s="63" t="str">
        <f aca="false">IF(项目总控台账!AH76="","",项目总控台账!AH76)</f>
        <v/>
      </c>
    </row>
    <row r="77" customFormat="false" ht="16.5" hidden="false" customHeight="true" outlineLevel="0" collapsed="false">
      <c r="A77" s="59" t="str">
        <f aca="false">IF(项目总控台账!A77="","",项目总控台账!A77)</f>
        <v>T074</v>
      </c>
      <c r="B77" s="59" t="str">
        <f aca="false">项目总控台账!B42</f>
        <v>正式实施与上线准备</v>
      </c>
      <c r="C77" s="59" t="str">
        <f aca="false">项目总控台账!C72</f>
        <v>外部系统集成完成</v>
      </c>
      <c r="D77" s="59" t="str">
        <f aca="false">项目总控台账!D77</f>
        <v>接口质量</v>
      </c>
      <c r="E77" s="59" t="str">
        <f aca="false">IF(项目总控台账!E77="","",项目总控台账!E77)</f>
        <v>验证对账、幂等、补偿和监控机制</v>
      </c>
      <c r="F77" s="59" t="str">
        <f aca="false">IF(项目总控台账!F77="","",项目总控台账!F77)</f>
        <v>MS012</v>
      </c>
      <c r="G77" s="60" t="str">
        <f aca="false">IF(项目总控台账!G77="","",项目总控台账!G77)</f>
        <v>未开始</v>
      </c>
      <c r="H77" s="59" t="str">
        <f aca="false">IF(项目总控台账!H77="","",项目总控台账!H77)</f>
        <v>高级测试人员、中级测试人员</v>
      </c>
      <c r="I77" s="61" t="n">
        <f aca="false">IF(项目总控台账!I77="","",项目总控台账!I77)</f>
        <v>46457</v>
      </c>
      <c r="J77" s="61" t="n">
        <f aca="false">IF(项目总控台账!J77="","",项目总控台账!J77)</f>
        <v>46461</v>
      </c>
      <c r="K77" s="61" t="n">
        <f aca="false">IF(项目总控台账!K77="","",项目总控台账!K77)</f>
        <v>46466</v>
      </c>
      <c r="L77" s="59" t="str">
        <f aca="false">IF(项目总控台账!L77="","",项目总控台账!L77)</f>
        <v/>
      </c>
      <c r="M77" s="60" t="str">
        <f aca="false">IF(项目总控台账!M77="","",项目总控台账!M77)</f>
        <v/>
      </c>
      <c r="N77" s="61" t="str">
        <f aca="false">IF(项目总控台账!N77="","",项目总控台账!N77)</f>
        <v/>
      </c>
      <c r="O77" s="61" t="str">
        <f aca="false">IF(项目总控台账!O77="","",项目总控台账!O77)</f>
        <v/>
      </c>
      <c r="P77" s="59" t="str">
        <f aca="false">IF(项目总控台账!P77="","",项目总控台账!P77)</f>
        <v/>
      </c>
      <c r="Q77" s="60" t="str">
        <f aca="false">IF(项目总控台账!Q77="","",项目总控台账!Q77)</f>
        <v/>
      </c>
      <c r="R77" s="61" t="str">
        <f aca="false">IF(项目总控台账!R77="","",项目总控台账!R77)</f>
        <v/>
      </c>
      <c r="S77" s="61" t="str">
        <f aca="false">IF(项目总控台账!S77="","",项目总控台账!S77)</f>
        <v/>
      </c>
      <c r="T77" s="59" t="str">
        <f aca="false">IF(项目总控台账!T77="","",项目总控台账!T77)</f>
        <v/>
      </c>
      <c r="U77" s="60" t="str">
        <f aca="false">IF(项目总控台账!U77="","",项目总控台账!U77)</f>
        <v/>
      </c>
      <c r="V77" s="61" t="str">
        <f aca="false">IF(项目总控台账!V77="","",项目总控台账!V77)</f>
        <v/>
      </c>
      <c r="W77" s="61" t="str">
        <f aca="false">IF(项目总控台账!W77="","",项目总控台账!W77)</f>
        <v/>
      </c>
      <c r="X77" s="59" t="str">
        <f aca="false">IF(项目总控台账!X77="","",项目总控台账!X77)</f>
        <v>高级测试人员、中级测试人员</v>
      </c>
      <c r="Y77" s="60" t="str">
        <f aca="false">IF(项目总控台账!Y77="","",项目总控台账!Y77)</f>
        <v>未开始</v>
      </c>
      <c r="Z77" s="61" t="n">
        <f aca="false">IF(项目总控台账!Z77="","",项目总控台账!Z77)</f>
        <v>46457</v>
      </c>
      <c r="AA77" s="61" t="n">
        <f aca="false">IF(项目总控台账!AA77="","",项目总控台账!AA77)</f>
        <v>46461</v>
      </c>
      <c r="AB77" s="62" t="n">
        <f aca="false">IF(项目总控台账!AB77="","",项目总控台账!AB77)</f>
        <v>0</v>
      </c>
      <c r="AC77" s="60" t="str">
        <f aca="false">IF(项目总控台账!AC77="","",项目总控台账!AC77)</f>
        <v>正常</v>
      </c>
      <c r="AD77" s="59" t="str">
        <f aca="false">IF(项目总控台账!AD77="","",项目总控台账!AD77)</f>
        <v/>
      </c>
      <c r="AE77" s="59" t="str">
        <f aca="false">IF(项目总控台账!AE77="","",项目总控台账!AE77)</f>
        <v/>
      </c>
      <c r="AF77" s="59" t="str">
        <f aca="false">IF(项目总控台账!AF77="","",项目总控台账!AF77)</f>
        <v/>
      </c>
      <c r="AG77" s="61" t="str">
        <f aca="false">IF(项目总控台账!AG77="","",项目总控台账!AG77)</f>
        <v/>
      </c>
      <c r="AH77" s="63" t="str">
        <f aca="false">IF(项目总控台账!AH77="","",项目总控台账!AH77)</f>
        <v/>
      </c>
    </row>
    <row r="78" customFormat="false" ht="16.5" hidden="false" customHeight="true" outlineLevel="0" collapsed="false">
      <c r="A78" s="59" t="str">
        <f aca="false">IF(项目总控台账!A78="","",项目总控台账!A78)</f>
        <v>T075</v>
      </c>
      <c r="B78" s="59" t="str">
        <f aca="false">项目总控台账!B42</f>
        <v>正式实施与上线准备</v>
      </c>
      <c r="C78" s="59" t="str">
        <f aca="false">项目总控台账!C72</f>
        <v>外部系统集成完成</v>
      </c>
      <c r="D78" s="59" t="str">
        <f aca="false">项目总控台账!D78</f>
        <v>联调验收</v>
      </c>
      <c r="E78" s="59" t="str">
        <f aca="false">IF(项目总控台账!E78="","",项目总控台账!E78)</f>
        <v>完成外部系统联合测试并出具报告</v>
      </c>
      <c r="F78" s="59" t="str">
        <f aca="false">IF(项目总控台账!F78="","",项目总控台账!F78)</f>
        <v>MS012</v>
      </c>
      <c r="G78" s="60" t="str">
        <f aca="false">IF(项目总控台账!G78="","",项目总控台账!G78)</f>
        <v>未开始</v>
      </c>
      <c r="H78" s="59" t="str">
        <f aca="false">IF(项目总控台账!H78="","",项目总控台账!H78)</f>
        <v>技术经理</v>
      </c>
      <c r="I78" s="61" t="n">
        <f aca="false">IF(项目总控台账!I78="","",项目总控台账!I78)</f>
        <v>46462</v>
      </c>
      <c r="J78" s="61" t="n">
        <f aca="false">IF(项目总控台账!J78="","",项目总控台账!J78)</f>
        <v>46466</v>
      </c>
      <c r="K78" s="61" t="n">
        <f aca="false">IF(项目总控台账!K78="","",项目总控台账!K78)</f>
        <v>46466</v>
      </c>
      <c r="L78" s="59" t="str">
        <f aca="false">IF(项目总控台账!L78="","",项目总控台账!L78)</f>
        <v/>
      </c>
      <c r="M78" s="60" t="str">
        <f aca="false">IF(项目总控台账!M78="","",项目总控台账!M78)</f>
        <v/>
      </c>
      <c r="N78" s="61" t="str">
        <f aca="false">IF(项目总控台账!N78="","",项目总控台账!N78)</f>
        <v/>
      </c>
      <c r="O78" s="61" t="str">
        <f aca="false">IF(项目总控台账!O78="","",项目总控台账!O78)</f>
        <v/>
      </c>
      <c r="P78" s="59" t="str">
        <f aca="false">IF(项目总控台账!P78="","",项目总控台账!P78)</f>
        <v>技术经理</v>
      </c>
      <c r="Q78" s="60" t="str">
        <f aca="false">IF(项目总控台账!Q78="","",项目总控台账!Q78)</f>
        <v>未开始</v>
      </c>
      <c r="R78" s="61" t="n">
        <f aca="false">IF(项目总控台账!R78="","",项目总控台账!R78)</f>
        <v>46462</v>
      </c>
      <c r="S78" s="61" t="n">
        <f aca="false">IF(项目总控台账!S78="","",项目总控台账!S78)</f>
        <v>46466</v>
      </c>
      <c r="T78" s="59" t="str">
        <f aca="false">IF(项目总控台账!T78="","",项目总控台账!T78)</f>
        <v/>
      </c>
      <c r="U78" s="60" t="str">
        <f aca="false">IF(项目总控台账!U78="","",项目总控台账!U78)</f>
        <v/>
      </c>
      <c r="V78" s="61" t="str">
        <f aca="false">IF(项目总控台账!V78="","",项目总控台账!V78)</f>
        <v/>
      </c>
      <c r="W78" s="61" t="str">
        <f aca="false">IF(项目总控台账!W78="","",项目总控台账!W78)</f>
        <v/>
      </c>
      <c r="X78" s="59" t="str">
        <f aca="false">IF(项目总控台账!X78="","",项目总控台账!X78)</f>
        <v/>
      </c>
      <c r="Y78" s="60" t="str">
        <f aca="false">IF(项目总控台账!Y78="","",项目总控台账!Y78)</f>
        <v/>
      </c>
      <c r="Z78" s="61" t="str">
        <f aca="false">IF(项目总控台账!Z78="","",项目总控台账!Z78)</f>
        <v/>
      </c>
      <c r="AA78" s="61" t="str">
        <f aca="false">IF(项目总控台账!AA78="","",项目总控台账!AA78)</f>
        <v/>
      </c>
      <c r="AB78" s="62" t="n">
        <f aca="false">IF(项目总控台账!AB78="","",项目总控台账!AB78)</f>
        <v>0</v>
      </c>
      <c r="AC78" s="60" t="str">
        <f aca="false">IF(项目总控台账!AC78="","",项目总控台账!AC78)</f>
        <v>正常</v>
      </c>
      <c r="AD78" s="59" t="str">
        <f aca="false">IF(项目总控台账!AD78="","",项目总控台账!AD78)</f>
        <v/>
      </c>
      <c r="AE78" s="59" t="str">
        <f aca="false">IF(项目总控台账!AE78="","",项目总控台账!AE78)</f>
        <v/>
      </c>
      <c r="AF78" s="59" t="str">
        <f aca="false">IF(项目总控台账!AF78="","",项目总控台账!AF78)</f>
        <v/>
      </c>
      <c r="AG78" s="61" t="str">
        <f aca="false">IF(项目总控台账!AG78="","",项目总控台账!AG78)</f>
        <v/>
      </c>
      <c r="AH78" s="63" t="str">
        <f aca="false">IF(项目总控台账!AH78="","",项目总控台账!AH78)</f>
        <v/>
      </c>
    </row>
    <row r="79" customFormat="false" ht="16.5" hidden="false" customHeight="true" outlineLevel="0" collapsed="false">
      <c r="A79" s="59" t="str">
        <f aca="false">IF(项目总控台账!A79="","",项目总控台账!A79)</f>
        <v>T076</v>
      </c>
      <c r="B79" s="59" t="str">
        <f aca="false">项目总控台账!B42</f>
        <v>正式实施与上线准备</v>
      </c>
      <c r="C79" s="59" t="str">
        <f aca="false">项目总控台账!C79</f>
        <v>系统测试完成</v>
      </c>
      <c r="D79" s="59" t="str">
        <f aca="false">项目总控台账!D79</f>
        <v>测试准备</v>
      </c>
      <c r="E79" s="59" t="str">
        <f aca="false">IF(项目总控台账!E79="","",项目总控台账!E79)</f>
        <v>编制系统测试计划、用例和测试数据</v>
      </c>
      <c r="F79" s="59" t="str">
        <f aca="false">IF(项目总控台账!F79="","",项目总控台账!F79)</f>
        <v>MS013</v>
      </c>
      <c r="G79" s="60" t="str">
        <f aca="false">IF(项目总控台账!G79="","",项目总控台账!G79)</f>
        <v>未开始</v>
      </c>
      <c r="H79" s="59" t="str">
        <f aca="false">IF(项目总控台账!H79="","",项目总控台账!H79)</f>
        <v>高级测试人员、中级测试人员</v>
      </c>
      <c r="I79" s="61" t="n">
        <f aca="false">IF(项目总控台账!I79="","",项目总控台账!I79)</f>
        <v>46447</v>
      </c>
      <c r="J79" s="61" t="n">
        <f aca="false">IF(项目总控台账!J79="","",项目总控台账!J79)</f>
        <v>46453</v>
      </c>
      <c r="K79" s="61" t="n">
        <f aca="false">IF(项目总控台账!K79="","",项目总控台账!K79)</f>
        <v>46492</v>
      </c>
      <c r="L79" s="59" t="str">
        <f aca="false">IF(项目总控台账!L79="","",项目总控台账!L79)</f>
        <v/>
      </c>
      <c r="M79" s="60" t="str">
        <f aca="false">IF(项目总控台账!M79="","",项目总控台账!M79)</f>
        <v/>
      </c>
      <c r="N79" s="61" t="str">
        <f aca="false">IF(项目总控台账!N79="","",项目总控台账!N79)</f>
        <v/>
      </c>
      <c r="O79" s="61" t="str">
        <f aca="false">IF(项目总控台账!O79="","",项目总控台账!O79)</f>
        <v/>
      </c>
      <c r="P79" s="59" t="str">
        <f aca="false">IF(项目总控台账!P79="","",项目总控台账!P79)</f>
        <v/>
      </c>
      <c r="Q79" s="60" t="str">
        <f aca="false">IF(项目总控台账!Q79="","",项目总控台账!Q79)</f>
        <v/>
      </c>
      <c r="R79" s="61" t="str">
        <f aca="false">IF(项目总控台账!R79="","",项目总控台账!R79)</f>
        <v/>
      </c>
      <c r="S79" s="61" t="str">
        <f aca="false">IF(项目总控台账!S79="","",项目总控台账!S79)</f>
        <v/>
      </c>
      <c r="T79" s="59" t="str">
        <f aca="false">IF(项目总控台账!T79="","",项目总控台账!T79)</f>
        <v/>
      </c>
      <c r="U79" s="60" t="str">
        <f aca="false">IF(项目总控台账!U79="","",项目总控台账!U79)</f>
        <v/>
      </c>
      <c r="V79" s="61" t="str">
        <f aca="false">IF(项目总控台账!V79="","",项目总控台账!V79)</f>
        <v/>
      </c>
      <c r="W79" s="61" t="str">
        <f aca="false">IF(项目总控台账!W79="","",项目总控台账!W79)</f>
        <v/>
      </c>
      <c r="X79" s="59" t="str">
        <f aca="false">IF(项目总控台账!X79="","",项目总控台账!X79)</f>
        <v>高级测试人员、中级测试人员</v>
      </c>
      <c r="Y79" s="60" t="str">
        <f aca="false">IF(项目总控台账!Y79="","",项目总控台账!Y79)</f>
        <v>未开始</v>
      </c>
      <c r="Z79" s="61" t="n">
        <f aca="false">IF(项目总控台账!Z79="","",项目总控台账!Z79)</f>
        <v>46447</v>
      </c>
      <c r="AA79" s="61" t="n">
        <f aca="false">IF(项目总控台账!AA79="","",项目总控台账!AA79)</f>
        <v>46453</v>
      </c>
      <c r="AB79" s="62" t="n">
        <f aca="false">IF(项目总控台账!AB79="","",项目总控台账!AB79)</f>
        <v>0</v>
      </c>
      <c r="AC79" s="60" t="str">
        <f aca="false">IF(项目总控台账!AC79="","",项目总控台账!AC79)</f>
        <v>正常</v>
      </c>
      <c r="AD79" s="59" t="str">
        <f aca="false">IF(项目总控台账!AD79="","",项目总控台账!AD79)</f>
        <v/>
      </c>
      <c r="AE79" s="59" t="str">
        <f aca="false">IF(项目总控台账!AE79="","",项目总控台账!AE79)</f>
        <v/>
      </c>
      <c r="AF79" s="59" t="str">
        <f aca="false">IF(项目总控台账!AF79="","",项目总控台账!AF79)</f>
        <v/>
      </c>
      <c r="AG79" s="61" t="str">
        <f aca="false">IF(项目总控台账!AG79="","",项目总控台账!AG79)</f>
        <v/>
      </c>
      <c r="AH79" s="63" t="str">
        <f aca="false">IF(项目总控台账!AH79="","",项目总控台账!AH79)</f>
        <v/>
      </c>
    </row>
    <row r="80" customFormat="false" ht="16.5" hidden="false" customHeight="true" outlineLevel="0" collapsed="false">
      <c r="A80" s="59" t="str">
        <f aca="false">IF(项目总控台账!A80="","",项目总控台账!A80)</f>
        <v>T077</v>
      </c>
      <c r="B80" s="59" t="str">
        <f aca="false">项目总控台账!B42</f>
        <v>正式实施与上线准备</v>
      </c>
      <c r="C80" s="59" t="str">
        <f aca="false">项目总控台账!C79</f>
        <v>系统测试完成</v>
      </c>
      <c r="D80" s="59" t="str">
        <f aca="false">项目总控台账!D80</f>
        <v>功能测试</v>
      </c>
      <c r="E80" s="59" t="str">
        <f aca="false">IF(项目总控台账!E80="","",项目总控台账!E80)</f>
        <v>完成P0/P1功能与业务规则测试</v>
      </c>
      <c r="F80" s="59" t="str">
        <f aca="false">IF(项目总控台账!F80="","",项目总控台账!F80)</f>
        <v>MS013</v>
      </c>
      <c r="G80" s="60" t="str">
        <f aca="false">IF(项目总控台账!G80="","",项目总控台账!G80)</f>
        <v>未开始</v>
      </c>
      <c r="H80" s="59" t="str">
        <f aca="false">IF(项目总控台账!H80="","",项目总控台账!H80)</f>
        <v>高级测试人员、中级测试人员</v>
      </c>
      <c r="I80" s="61" t="n">
        <f aca="false">IF(项目总控台账!I80="","",项目总控台账!I80)</f>
        <v>46454</v>
      </c>
      <c r="J80" s="61" t="n">
        <f aca="false">IF(项目总控台账!J80="","",项目总控台账!J80)</f>
        <v>46461</v>
      </c>
      <c r="K80" s="61" t="n">
        <f aca="false">IF(项目总控台账!K80="","",项目总控台账!K80)</f>
        <v>46492</v>
      </c>
      <c r="L80" s="59" t="str">
        <f aca="false">IF(项目总控台账!L80="","",项目总控台账!L80)</f>
        <v/>
      </c>
      <c r="M80" s="60" t="str">
        <f aca="false">IF(项目总控台账!M80="","",项目总控台账!M80)</f>
        <v/>
      </c>
      <c r="N80" s="61" t="str">
        <f aca="false">IF(项目总控台账!N80="","",项目总控台账!N80)</f>
        <v/>
      </c>
      <c r="O80" s="61" t="str">
        <f aca="false">IF(项目总控台账!O80="","",项目总控台账!O80)</f>
        <v/>
      </c>
      <c r="P80" s="59" t="str">
        <f aca="false">IF(项目总控台账!P80="","",项目总控台账!P80)</f>
        <v/>
      </c>
      <c r="Q80" s="60" t="str">
        <f aca="false">IF(项目总控台账!Q80="","",项目总控台账!Q80)</f>
        <v/>
      </c>
      <c r="R80" s="61" t="str">
        <f aca="false">IF(项目总控台账!R80="","",项目总控台账!R80)</f>
        <v/>
      </c>
      <c r="S80" s="61" t="str">
        <f aca="false">IF(项目总控台账!S80="","",项目总控台账!S80)</f>
        <v/>
      </c>
      <c r="T80" s="59" t="str">
        <f aca="false">IF(项目总控台账!T80="","",项目总控台账!T80)</f>
        <v/>
      </c>
      <c r="U80" s="60" t="str">
        <f aca="false">IF(项目总控台账!U80="","",项目总控台账!U80)</f>
        <v/>
      </c>
      <c r="V80" s="61" t="str">
        <f aca="false">IF(项目总控台账!V80="","",项目总控台账!V80)</f>
        <v/>
      </c>
      <c r="W80" s="61" t="str">
        <f aca="false">IF(项目总控台账!W80="","",项目总控台账!W80)</f>
        <v/>
      </c>
      <c r="X80" s="59" t="str">
        <f aca="false">IF(项目总控台账!X80="","",项目总控台账!X80)</f>
        <v>高级测试人员、中级测试人员</v>
      </c>
      <c r="Y80" s="60" t="str">
        <f aca="false">IF(项目总控台账!Y80="","",项目总控台账!Y80)</f>
        <v>未开始</v>
      </c>
      <c r="Z80" s="61" t="n">
        <f aca="false">IF(项目总控台账!Z80="","",项目总控台账!Z80)</f>
        <v>46454</v>
      </c>
      <c r="AA80" s="61" t="n">
        <f aca="false">IF(项目总控台账!AA80="","",项目总控台账!AA80)</f>
        <v>46461</v>
      </c>
      <c r="AB80" s="62" t="n">
        <f aca="false">IF(项目总控台账!AB80="","",项目总控台账!AB80)</f>
        <v>0</v>
      </c>
      <c r="AC80" s="60" t="str">
        <f aca="false">IF(项目总控台账!AC80="","",项目总控台账!AC80)</f>
        <v>正常</v>
      </c>
      <c r="AD80" s="59" t="str">
        <f aca="false">IF(项目总控台账!AD80="","",项目总控台账!AD80)</f>
        <v/>
      </c>
      <c r="AE80" s="59" t="str">
        <f aca="false">IF(项目总控台账!AE80="","",项目总控台账!AE80)</f>
        <v/>
      </c>
      <c r="AF80" s="59" t="str">
        <f aca="false">IF(项目总控台账!AF80="","",项目总控台账!AF80)</f>
        <v/>
      </c>
      <c r="AG80" s="61" t="str">
        <f aca="false">IF(项目总控台账!AG80="","",项目总控台账!AG80)</f>
        <v/>
      </c>
      <c r="AH80" s="63" t="str">
        <f aca="false">IF(项目总控台账!AH80="","",项目总控台账!AH80)</f>
        <v/>
      </c>
    </row>
    <row r="81" customFormat="false" ht="16.5" hidden="false" customHeight="true" outlineLevel="0" collapsed="false">
      <c r="A81" s="59" t="str">
        <f aca="false">IF(项目总控台账!A81="","",项目总控台账!A81)</f>
        <v>T078</v>
      </c>
      <c r="B81" s="59" t="str">
        <f aca="false">项目总控台账!B42</f>
        <v>正式实施与上线准备</v>
      </c>
      <c r="C81" s="59" t="str">
        <f aca="false">项目总控台账!C79</f>
        <v>系统测试完成</v>
      </c>
      <c r="D81" s="59" t="str">
        <f aca="false">项目总控台账!D81</f>
        <v>集成回归</v>
      </c>
      <c r="E81" s="59" t="str">
        <f aca="false">IF(项目总控台账!E81="","",项目总控台账!E81)</f>
        <v>完成内部外部接口及端到端回归</v>
      </c>
      <c r="F81" s="59" t="str">
        <f aca="false">IF(项目总控台账!F81="","",项目总控台账!F81)</f>
        <v>MS013</v>
      </c>
      <c r="G81" s="60" t="str">
        <f aca="false">IF(项目总控台账!G81="","",项目总控台账!G81)</f>
        <v>未开始</v>
      </c>
      <c r="H81" s="59" t="str">
        <f aca="false">IF(项目总控台账!H81="","",项目总控台账!H81)</f>
        <v>高级测试人员、中级测试人员</v>
      </c>
      <c r="I81" s="61" t="n">
        <f aca="false">IF(项目总控台账!I81="","",项目总控台账!I81)</f>
        <v>46462</v>
      </c>
      <c r="J81" s="61" t="n">
        <f aca="false">IF(项目总控台账!J81="","",项目总控台账!J81)</f>
        <v>46469</v>
      </c>
      <c r="K81" s="61" t="n">
        <f aca="false">IF(项目总控台账!K81="","",项目总控台账!K81)</f>
        <v>46492</v>
      </c>
      <c r="L81" s="59" t="str">
        <f aca="false">IF(项目总控台账!L81="","",项目总控台账!L81)</f>
        <v/>
      </c>
      <c r="M81" s="60" t="str">
        <f aca="false">IF(项目总控台账!M81="","",项目总控台账!M81)</f>
        <v/>
      </c>
      <c r="N81" s="61" t="str">
        <f aca="false">IF(项目总控台账!N81="","",项目总控台账!N81)</f>
        <v/>
      </c>
      <c r="O81" s="61" t="str">
        <f aca="false">IF(项目总控台账!O81="","",项目总控台账!O81)</f>
        <v/>
      </c>
      <c r="P81" s="59" t="str">
        <f aca="false">IF(项目总控台账!P81="","",项目总控台账!P81)</f>
        <v/>
      </c>
      <c r="Q81" s="60" t="str">
        <f aca="false">IF(项目总控台账!Q81="","",项目总控台账!Q81)</f>
        <v/>
      </c>
      <c r="R81" s="61" t="str">
        <f aca="false">IF(项目总控台账!R81="","",项目总控台账!R81)</f>
        <v/>
      </c>
      <c r="S81" s="61" t="str">
        <f aca="false">IF(项目总控台账!S81="","",项目总控台账!S81)</f>
        <v/>
      </c>
      <c r="T81" s="59" t="str">
        <f aca="false">IF(项目总控台账!T81="","",项目总控台账!T81)</f>
        <v/>
      </c>
      <c r="U81" s="60" t="str">
        <f aca="false">IF(项目总控台账!U81="","",项目总控台账!U81)</f>
        <v/>
      </c>
      <c r="V81" s="61" t="str">
        <f aca="false">IF(项目总控台账!V81="","",项目总控台账!V81)</f>
        <v/>
      </c>
      <c r="W81" s="61" t="str">
        <f aca="false">IF(项目总控台账!W81="","",项目总控台账!W81)</f>
        <v/>
      </c>
      <c r="X81" s="59" t="str">
        <f aca="false">IF(项目总控台账!X81="","",项目总控台账!X81)</f>
        <v>高级测试人员、中级测试人员</v>
      </c>
      <c r="Y81" s="60" t="str">
        <f aca="false">IF(项目总控台账!Y81="","",项目总控台账!Y81)</f>
        <v>未开始</v>
      </c>
      <c r="Z81" s="61" t="n">
        <f aca="false">IF(项目总控台账!Z81="","",项目总控台账!Z81)</f>
        <v>46462</v>
      </c>
      <c r="AA81" s="61" t="n">
        <f aca="false">IF(项目总控台账!AA81="","",项目总控台账!AA81)</f>
        <v>46469</v>
      </c>
      <c r="AB81" s="62" t="n">
        <f aca="false">IF(项目总控台账!AB81="","",项目总控台账!AB81)</f>
        <v>0</v>
      </c>
      <c r="AC81" s="60" t="str">
        <f aca="false">IF(项目总控台账!AC81="","",项目总控台账!AC81)</f>
        <v>正常</v>
      </c>
      <c r="AD81" s="59" t="str">
        <f aca="false">IF(项目总控台账!AD81="","",项目总控台账!AD81)</f>
        <v/>
      </c>
      <c r="AE81" s="59" t="str">
        <f aca="false">IF(项目总控台账!AE81="","",项目总控台账!AE81)</f>
        <v/>
      </c>
      <c r="AF81" s="59" t="str">
        <f aca="false">IF(项目总控台账!AF81="","",项目总控台账!AF81)</f>
        <v/>
      </c>
      <c r="AG81" s="61" t="str">
        <f aca="false">IF(项目总控台账!AG81="","",项目总控台账!AG81)</f>
        <v/>
      </c>
      <c r="AH81" s="63" t="str">
        <f aca="false">IF(项目总控台账!AH81="","",项目总控台账!AH81)</f>
        <v/>
      </c>
    </row>
    <row r="82" customFormat="false" ht="16.5" hidden="false" customHeight="true" outlineLevel="0" collapsed="false">
      <c r="A82" s="59" t="str">
        <f aca="false">IF(项目总控台账!A82="","",项目总控台账!A82)</f>
        <v>T079</v>
      </c>
      <c r="B82" s="59" t="str">
        <f aca="false">项目总控台账!B42</f>
        <v>正式实施与上线准备</v>
      </c>
      <c r="C82" s="59" t="str">
        <f aca="false">项目总控台账!C79</f>
        <v>系统测试完成</v>
      </c>
      <c r="D82" s="59" t="str">
        <f aca="false">项目总控台账!D82</f>
        <v>专项测试</v>
      </c>
      <c r="E82" s="59" t="str">
        <f aca="false">IF(项目总控台账!E82="","",项目总控台账!E82)</f>
        <v>完成性能、安全、兼容性和可靠性测试</v>
      </c>
      <c r="F82" s="59" t="str">
        <f aca="false">IF(项目总控台账!F82="","",项目总控台账!F82)</f>
        <v>MS013</v>
      </c>
      <c r="G82" s="60" t="str">
        <f aca="false">IF(项目总控台账!G82="","",项目总控台账!G82)</f>
        <v>未开始</v>
      </c>
      <c r="H82" s="59" t="str">
        <f aca="false">IF(项目总控台账!H82="","",项目总控台账!H82)</f>
        <v>高级测试人员、中级测试人员</v>
      </c>
      <c r="I82" s="61" t="n">
        <f aca="false">IF(项目总控台账!I82="","",项目总控台账!I82)</f>
        <v>46470</v>
      </c>
      <c r="J82" s="61" t="n">
        <f aca="false">IF(项目总控台账!J82="","",项目总控台账!J82)</f>
        <v>46476</v>
      </c>
      <c r="K82" s="61" t="n">
        <f aca="false">IF(项目总控台账!K82="","",项目总控台账!K82)</f>
        <v>46492</v>
      </c>
      <c r="L82" s="59" t="str">
        <f aca="false">IF(项目总控台账!L82="","",项目总控台账!L82)</f>
        <v/>
      </c>
      <c r="M82" s="60" t="str">
        <f aca="false">IF(项目总控台账!M82="","",项目总控台账!M82)</f>
        <v/>
      </c>
      <c r="N82" s="61" t="str">
        <f aca="false">IF(项目总控台账!N82="","",项目总控台账!N82)</f>
        <v/>
      </c>
      <c r="O82" s="61" t="str">
        <f aca="false">IF(项目总控台账!O82="","",项目总控台账!O82)</f>
        <v/>
      </c>
      <c r="P82" s="59" t="str">
        <f aca="false">IF(项目总控台账!P82="","",项目总控台账!P82)</f>
        <v/>
      </c>
      <c r="Q82" s="60" t="str">
        <f aca="false">IF(项目总控台账!Q82="","",项目总控台账!Q82)</f>
        <v/>
      </c>
      <c r="R82" s="61" t="str">
        <f aca="false">IF(项目总控台账!R82="","",项目总控台账!R82)</f>
        <v/>
      </c>
      <c r="S82" s="61" t="str">
        <f aca="false">IF(项目总控台账!S82="","",项目总控台账!S82)</f>
        <v/>
      </c>
      <c r="T82" s="59" t="str">
        <f aca="false">IF(项目总控台账!T82="","",项目总控台账!T82)</f>
        <v/>
      </c>
      <c r="U82" s="60" t="str">
        <f aca="false">IF(项目总控台账!U82="","",项目总控台账!U82)</f>
        <v/>
      </c>
      <c r="V82" s="61" t="str">
        <f aca="false">IF(项目总控台账!V82="","",项目总控台账!V82)</f>
        <v/>
      </c>
      <c r="W82" s="61" t="str">
        <f aca="false">IF(项目总控台账!W82="","",项目总控台账!W82)</f>
        <v/>
      </c>
      <c r="X82" s="59" t="str">
        <f aca="false">IF(项目总控台账!X82="","",项目总控台账!X82)</f>
        <v>高级测试人员、中级测试人员</v>
      </c>
      <c r="Y82" s="60" t="str">
        <f aca="false">IF(项目总控台账!Y82="","",项目总控台账!Y82)</f>
        <v>未开始</v>
      </c>
      <c r="Z82" s="61" t="n">
        <f aca="false">IF(项目总控台账!Z82="","",项目总控台账!Z82)</f>
        <v>46470</v>
      </c>
      <c r="AA82" s="61" t="n">
        <f aca="false">IF(项目总控台账!AA82="","",项目总控台账!AA82)</f>
        <v>46476</v>
      </c>
      <c r="AB82" s="62" t="n">
        <f aca="false">IF(项目总控台账!AB82="","",项目总控台账!AB82)</f>
        <v>0</v>
      </c>
      <c r="AC82" s="60" t="str">
        <f aca="false">IF(项目总控台账!AC82="","",项目总控台账!AC82)</f>
        <v>正常</v>
      </c>
      <c r="AD82" s="59" t="str">
        <f aca="false">IF(项目总控台账!AD82="","",项目总控台账!AD82)</f>
        <v/>
      </c>
      <c r="AE82" s="59" t="str">
        <f aca="false">IF(项目总控台账!AE82="","",项目总控台账!AE82)</f>
        <v/>
      </c>
      <c r="AF82" s="59" t="str">
        <f aca="false">IF(项目总控台账!AF82="","",项目总控台账!AF82)</f>
        <v/>
      </c>
      <c r="AG82" s="61" t="str">
        <f aca="false">IF(项目总控台账!AG82="","",项目总控台账!AG82)</f>
        <v/>
      </c>
      <c r="AH82" s="63" t="str">
        <f aca="false">IF(项目总控台账!AH82="","",项目总控台账!AH82)</f>
        <v/>
      </c>
    </row>
    <row r="83" customFormat="false" ht="16.5" hidden="false" customHeight="true" outlineLevel="0" collapsed="false">
      <c r="A83" s="59" t="str">
        <f aca="false">IF(项目总控台账!A83="","",项目总控台账!A83)</f>
        <v>T080</v>
      </c>
      <c r="B83" s="59" t="str">
        <f aca="false">项目总控台账!B42</f>
        <v>正式实施与上线准备</v>
      </c>
      <c r="C83" s="59" t="str">
        <f aca="false">项目总控台账!C79</f>
        <v>系统测试完成</v>
      </c>
      <c r="D83" s="59" t="str">
        <f aca="false">项目总控台账!D83</f>
        <v>缺陷治理</v>
      </c>
      <c r="E83" s="59" t="str">
        <f aca="false">IF(项目总控台账!E83="","",项目总控台账!E83)</f>
        <v>完成阻断及严重缺陷修复和复测</v>
      </c>
      <c r="F83" s="59" t="str">
        <f aca="false">IF(项目总控台账!F83="","",项目总控台账!F83)</f>
        <v>MS013</v>
      </c>
      <c r="G83" s="60" t="str">
        <f aca="false">IF(项目总控台账!G83="","",项目总控台账!G83)</f>
        <v>未开始</v>
      </c>
      <c r="H83" s="59" t="str">
        <f aca="false">IF(项目总控台账!H83="","",项目总控台账!H83)</f>
        <v>高级开发人员</v>
      </c>
      <c r="I83" s="61" t="n">
        <f aca="false">IF(项目总控台账!I83="","",项目总控台账!I83)</f>
        <v>46477</v>
      </c>
      <c r="J83" s="61" t="n">
        <f aca="false">IF(项目总控台账!J83="","",项目总控台账!J83)</f>
        <v>46484</v>
      </c>
      <c r="K83" s="61" t="n">
        <f aca="false">IF(项目总控台账!K83="","",项目总控台账!K83)</f>
        <v>46492</v>
      </c>
      <c r="L83" s="59" t="str">
        <f aca="false">IF(项目总控台账!L83="","",项目总控台账!L83)</f>
        <v/>
      </c>
      <c r="M83" s="60" t="str">
        <f aca="false">IF(项目总控台账!M83="","",项目总控台账!M83)</f>
        <v/>
      </c>
      <c r="N83" s="61" t="str">
        <f aca="false">IF(项目总控台账!N83="","",项目总控台账!N83)</f>
        <v/>
      </c>
      <c r="O83" s="61" t="str">
        <f aca="false">IF(项目总控台账!O83="","",项目总控台账!O83)</f>
        <v/>
      </c>
      <c r="P83" s="59" t="str">
        <f aca="false">IF(项目总控台账!P83="","",项目总控台账!P83)</f>
        <v>高级开发人员</v>
      </c>
      <c r="Q83" s="60" t="str">
        <f aca="false">IF(项目总控台账!Q83="","",项目总控台账!Q83)</f>
        <v>未开始</v>
      </c>
      <c r="R83" s="61" t="n">
        <f aca="false">IF(项目总控台账!R83="","",项目总控台账!R83)</f>
        <v>46477</v>
      </c>
      <c r="S83" s="61" t="n">
        <f aca="false">IF(项目总控台账!S83="","",项目总控台账!S83)</f>
        <v>46484</v>
      </c>
      <c r="T83" s="59" t="str">
        <f aca="false">IF(项目总控台账!T83="","",项目总控台账!T83)</f>
        <v/>
      </c>
      <c r="U83" s="60" t="str">
        <f aca="false">IF(项目总控台账!U83="","",项目总控台账!U83)</f>
        <v/>
      </c>
      <c r="V83" s="61" t="str">
        <f aca="false">IF(项目总控台账!V83="","",项目总控台账!V83)</f>
        <v/>
      </c>
      <c r="W83" s="61" t="str">
        <f aca="false">IF(项目总控台账!W83="","",项目总控台账!W83)</f>
        <v/>
      </c>
      <c r="X83" s="59" t="str">
        <f aca="false">IF(项目总控台账!X83="","",项目总控台账!X83)</f>
        <v/>
      </c>
      <c r="Y83" s="60" t="str">
        <f aca="false">IF(项目总控台账!Y83="","",项目总控台账!Y83)</f>
        <v/>
      </c>
      <c r="Z83" s="61" t="str">
        <f aca="false">IF(项目总控台账!Z83="","",项目总控台账!Z83)</f>
        <v/>
      </c>
      <c r="AA83" s="61" t="str">
        <f aca="false">IF(项目总控台账!AA83="","",项目总控台账!AA83)</f>
        <v/>
      </c>
      <c r="AB83" s="62" t="n">
        <f aca="false">IF(项目总控台账!AB83="","",项目总控台账!AB83)</f>
        <v>0</v>
      </c>
      <c r="AC83" s="60" t="str">
        <f aca="false">IF(项目总控台账!AC83="","",项目总控台账!AC83)</f>
        <v>正常</v>
      </c>
      <c r="AD83" s="59" t="str">
        <f aca="false">IF(项目总控台账!AD83="","",项目总控台账!AD83)</f>
        <v/>
      </c>
      <c r="AE83" s="59" t="str">
        <f aca="false">IF(项目总控台账!AE83="","",项目总控台账!AE83)</f>
        <v/>
      </c>
      <c r="AF83" s="59" t="str">
        <f aca="false">IF(项目总控台账!AF83="","",项目总控台账!AF83)</f>
        <v/>
      </c>
      <c r="AG83" s="61" t="str">
        <f aca="false">IF(项目总控台账!AG83="","",项目总控台账!AG83)</f>
        <v/>
      </c>
      <c r="AH83" s="63" t="str">
        <f aca="false">IF(项目总控台账!AH83="","",项目总控台账!AH83)</f>
        <v/>
      </c>
    </row>
    <row r="84" customFormat="false" ht="16.5" hidden="false" customHeight="true" outlineLevel="0" collapsed="false">
      <c r="A84" s="59" t="str">
        <f aca="false">IF(项目总控台账!A84="","",项目总控台账!A84)</f>
        <v>T081</v>
      </c>
      <c r="B84" s="59" t="str">
        <f aca="false">项目总控台账!B42</f>
        <v>正式实施与上线准备</v>
      </c>
      <c r="C84" s="59" t="str">
        <f aca="false">项目总控台账!C79</f>
        <v>系统测试完成</v>
      </c>
      <c r="D84" s="59" t="str">
        <f aca="false">项目总控台账!D84</f>
        <v>测试结论</v>
      </c>
      <c r="E84" s="59" t="str">
        <f aca="false">IF(项目总控台账!E84="","",项目总控台账!E84)</f>
        <v>汇总覆盖率、缺陷和质量结论并评审</v>
      </c>
      <c r="F84" s="59" t="str">
        <f aca="false">IF(项目总控台账!F84="","",项目总控台账!F84)</f>
        <v>MS013</v>
      </c>
      <c r="G84" s="60" t="str">
        <f aca="false">IF(项目总控台账!G84="","",项目总控台账!G84)</f>
        <v>未开始</v>
      </c>
      <c r="H84" s="59" t="str">
        <f aca="false">IF(项目总控台账!H84="","",项目总控台账!H84)</f>
        <v>高级测试人员、中级测试人员</v>
      </c>
      <c r="I84" s="61" t="n">
        <f aca="false">IF(项目总控台账!I84="","",项目总控台账!I84)</f>
        <v>46485</v>
      </c>
      <c r="J84" s="61" t="n">
        <f aca="false">IF(项目总控台账!J84="","",项目总控台账!J84)</f>
        <v>46492</v>
      </c>
      <c r="K84" s="61" t="n">
        <f aca="false">IF(项目总控台账!K84="","",项目总控台账!K84)</f>
        <v>46492</v>
      </c>
      <c r="L84" s="59" t="str">
        <f aca="false">IF(项目总控台账!L84="","",项目总控台账!L84)</f>
        <v/>
      </c>
      <c r="M84" s="60" t="str">
        <f aca="false">IF(项目总控台账!M84="","",项目总控台账!M84)</f>
        <v/>
      </c>
      <c r="N84" s="61" t="str">
        <f aca="false">IF(项目总控台账!N84="","",项目总控台账!N84)</f>
        <v/>
      </c>
      <c r="O84" s="61" t="str">
        <f aca="false">IF(项目总控台账!O84="","",项目总控台账!O84)</f>
        <v/>
      </c>
      <c r="P84" s="59" t="str">
        <f aca="false">IF(项目总控台账!P84="","",项目总控台账!P84)</f>
        <v/>
      </c>
      <c r="Q84" s="60" t="str">
        <f aca="false">IF(项目总控台账!Q84="","",项目总控台账!Q84)</f>
        <v/>
      </c>
      <c r="R84" s="61" t="str">
        <f aca="false">IF(项目总控台账!R84="","",项目总控台账!R84)</f>
        <v/>
      </c>
      <c r="S84" s="61" t="str">
        <f aca="false">IF(项目总控台账!S84="","",项目总控台账!S84)</f>
        <v/>
      </c>
      <c r="T84" s="59" t="str">
        <f aca="false">IF(项目总控台账!T84="","",项目总控台账!T84)</f>
        <v/>
      </c>
      <c r="U84" s="60" t="str">
        <f aca="false">IF(项目总控台账!U84="","",项目总控台账!U84)</f>
        <v/>
      </c>
      <c r="V84" s="61" t="str">
        <f aca="false">IF(项目总控台账!V84="","",项目总控台账!V84)</f>
        <v/>
      </c>
      <c r="W84" s="61" t="str">
        <f aca="false">IF(项目总控台账!W84="","",项目总控台账!W84)</f>
        <v/>
      </c>
      <c r="X84" s="59" t="str">
        <f aca="false">IF(项目总控台账!X84="","",项目总控台账!X84)</f>
        <v>高级测试人员、中级测试人员</v>
      </c>
      <c r="Y84" s="60" t="str">
        <f aca="false">IF(项目总控台账!Y84="","",项目总控台账!Y84)</f>
        <v>未开始</v>
      </c>
      <c r="Z84" s="61" t="n">
        <f aca="false">IF(项目总控台账!Z84="","",项目总控台账!Z84)</f>
        <v>46485</v>
      </c>
      <c r="AA84" s="61" t="n">
        <f aca="false">IF(项目总控台账!AA84="","",项目总控台账!AA84)</f>
        <v>46492</v>
      </c>
      <c r="AB84" s="62" t="n">
        <f aca="false">IF(项目总控台账!AB84="","",项目总控台账!AB84)</f>
        <v>0</v>
      </c>
      <c r="AC84" s="60" t="str">
        <f aca="false">IF(项目总控台账!AC84="","",项目总控台账!AC84)</f>
        <v>正常</v>
      </c>
      <c r="AD84" s="59" t="str">
        <f aca="false">IF(项目总控台账!AD84="","",项目总控台账!AD84)</f>
        <v/>
      </c>
      <c r="AE84" s="59" t="str">
        <f aca="false">IF(项目总控台账!AE84="","",项目总控台账!AE84)</f>
        <v/>
      </c>
      <c r="AF84" s="59" t="str">
        <f aca="false">IF(项目总控台账!AF84="","",项目总控台账!AF84)</f>
        <v/>
      </c>
      <c r="AG84" s="61" t="str">
        <f aca="false">IF(项目总控台账!AG84="","",项目总控台账!AG84)</f>
        <v/>
      </c>
      <c r="AH84" s="63" t="str">
        <f aca="false">IF(项目总控台账!AH84="","",项目总控台账!AH84)</f>
        <v/>
      </c>
    </row>
    <row r="85" customFormat="false" ht="16.5" hidden="false" customHeight="true" outlineLevel="0" collapsed="false">
      <c r="A85" s="59" t="str">
        <f aca="false">IF(项目总控台账!A85="","",项目总控台账!A85)</f>
        <v>T082</v>
      </c>
      <c r="B85" s="59" t="str">
        <f aca="false">项目总控台账!B42</f>
        <v>正式实施与上线准备</v>
      </c>
      <c r="C85" s="59" t="str">
        <f aca="false">项目总控台账!C85</f>
        <v>UAT验收完成</v>
      </c>
      <c r="D85" s="59" t="str">
        <f aca="false">项目总控台账!D85</f>
        <v>UAT准备</v>
      </c>
      <c r="E85" s="59" t="str">
        <f aca="false">IF(项目总控台账!E85="","",项目总控台账!E85)</f>
        <v>确认UAT场景、用户、数据和验收安排</v>
      </c>
      <c r="F85" s="59" t="str">
        <f aca="false">IF(项目总控台账!F85="","",项目总控台账!F85)</f>
        <v>MS014</v>
      </c>
      <c r="G85" s="60" t="str">
        <f aca="false">IF(项目总控台账!G85="","",项目总控台账!G85)</f>
        <v>未开始</v>
      </c>
      <c r="H85" s="59" t="str">
        <f aca="false">IF(项目总控台账!H85="","",项目总控台账!H85)</f>
        <v>产品经理</v>
      </c>
      <c r="I85" s="61" t="n">
        <f aca="false">IF(项目总控台账!I85="","",项目总控台账!I85)</f>
        <v>46493</v>
      </c>
      <c r="J85" s="61" t="n">
        <f aca="false">IF(项目总控台账!J85="","",项目总控台账!J85)</f>
        <v>46498</v>
      </c>
      <c r="K85" s="61" t="n">
        <f aca="false">IF(项目总控台账!K85="","",项目总控台账!K85)</f>
        <v>46517</v>
      </c>
      <c r="L85" s="59" t="str">
        <f aca="false">IF(项目总控台账!L85="","",项目总控台账!L85)</f>
        <v>产品经理</v>
      </c>
      <c r="M85" s="60" t="str">
        <f aca="false">IF(项目总控台账!M85="","",项目总控台账!M85)</f>
        <v>未开始</v>
      </c>
      <c r="N85" s="61" t="n">
        <f aca="false">IF(项目总控台账!N85="","",项目总控台账!N85)</f>
        <v>46493</v>
      </c>
      <c r="O85" s="61" t="n">
        <f aca="false">IF(项目总控台账!O85="","",项目总控台账!O85)</f>
        <v>46498</v>
      </c>
      <c r="P85" s="59" t="str">
        <f aca="false">IF(项目总控台账!P85="","",项目总控台账!P85)</f>
        <v/>
      </c>
      <c r="Q85" s="60" t="str">
        <f aca="false">IF(项目总控台账!Q85="","",项目总控台账!Q85)</f>
        <v/>
      </c>
      <c r="R85" s="61" t="str">
        <f aca="false">IF(项目总控台账!R85="","",项目总控台账!R85)</f>
        <v/>
      </c>
      <c r="S85" s="61" t="str">
        <f aca="false">IF(项目总控台账!S85="","",项目总控台账!S85)</f>
        <v/>
      </c>
      <c r="T85" s="59" t="str">
        <f aca="false">IF(项目总控台账!T85="","",项目总控台账!T85)</f>
        <v/>
      </c>
      <c r="U85" s="60" t="str">
        <f aca="false">IF(项目总控台账!U85="","",项目总控台账!U85)</f>
        <v/>
      </c>
      <c r="V85" s="61" t="str">
        <f aca="false">IF(项目总控台账!V85="","",项目总控台账!V85)</f>
        <v/>
      </c>
      <c r="W85" s="61" t="str">
        <f aca="false">IF(项目总控台账!W85="","",项目总控台账!W85)</f>
        <v/>
      </c>
      <c r="X85" s="59" t="str">
        <f aca="false">IF(项目总控台账!X85="","",项目总控台账!X85)</f>
        <v/>
      </c>
      <c r="Y85" s="60" t="str">
        <f aca="false">IF(项目总控台账!Y85="","",项目总控台账!Y85)</f>
        <v/>
      </c>
      <c r="Z85" s="61" t="str">
        <f aca="false">IF(项目总控台账!Z85="","",项目总控台账!Z85)</f>
        <v/>
      </c>
      <c r="AA85" s="61" t="str">
        <f aca="false">IF(项目总控台账!AA85="","",项目总控台账!AA85)</f>
        <v/>
      </c>
      <c r="AB85" s="62" t="n">
        <f aca="false">IF(项目总控台账!AB85="","",项目总控台账!AB85)</f>
        <v>0</v>
      </c>
      <c r="AC85" s="60" t="str">
        <f aca="false">IF(项目总控台账!AC85="","",项目总控台账!AC85)</f>
        <v>正常</v>
      </c>
      <c r="AD85" s="59" t="str">
        <f aca="false">IF(项目总控台账!AD85="","",项目总控台账!AD85)</f>
        <v/>
      </c>
      <c r="AE85" s="59" t="str">
        <f aca="false">IF(项目总控台账!AE85="","",项目总控台账!AE85)</f>
        <v/>
      </c>
      <c r="AF85" s="59" t="str">
        <f aca="false">IF(项目总控台账!AF85="","",项目总控台账!AF85)</f>
        <v/>
      </c>
      <c r="AG85" s="61" t="str">
        <f aca="false">IF(项目总控台账!AG85="","",项目总控台账!AG85)</f>
        <v/>
      </c>
      <c r="AH85" s="63" t="str">
        <f aca="false">IF(项目总控台账!AH85="","",项目总控台账!AH85)</f>
        <v/>
      </c>
    </row>
    <row r="86" customFormat="false" ht="16.5" hidden="false" customHeight="true" outlineLevel="0" collapsed="false">
      <c r="A86" s="59" t="str">
        <f aca="false">IF(项目总控台账!A86="","",项目总控台账!A86)</f>
        <v>T083</v>
      </c>
      <c r="B86" s="59" t="str">
        <f aca="false">项目总控台账!B42</f>
        <v>正式实施与上线准备</v>
      </c>
      <c r="C86" s="59" t="str">
        <f aca="false">项目总控台账!C85</f>
        <v>UAT验收完成</v>
      </c>
      <c r="D86" s="59" t="str">
        <f aca="false">项目总控台账!D86</f>
        <v>UAT执行</v>
      </c>
      <c r="E86" s="59" t="str">
        <f aca="false">IF(项目总控台账!E86="","",项目总控台账!E86)</f>
        <v>组织业务用户执行P0场景验收</v>
      </c>
      <c r="F86" s="59" t="str">
        <f aca="false">IF(项目总控台账!F86="","",项目总控台账!F86)</f>
        <v>MS014</v>
      </c>
      <c r="G86" s="60" t="str">
        <f aca="false">IF(项目总控台账!G86="","",项目总控台账!G86)</f>
        <v>未开始</v>
      </c>
      <c r="H86" s="59" t="str">
        <f aca="false">IF(项目总控台账!H86="","",项目总控台账!H86)</f>
        <v>产品经理</v>
      </c>
      <c r="I86" s="61" t="n">
        <f aca="false">IF(项目总控台账!I86="","",项目总控台账!I86)</f>
        <v>46499</v>
      </c>
      <c r="J86" s="61" t="n">
        <f aca="false">IF(项目总控台账!J86="","",项目总控台账!J86)</f>
        <v>46504</v>
      </c>
      <c r="K86" s="61" t="n">
        <f aca="false">IF(项目总控台账!K86="","",项目总控台账!K86)</f>
        <v>46517</v>
      </c>
      <c r="L86" s="59" t="str">
        <f aca="false">IF(项目总控台账!L86="","",项目总控台账!L86)</f>
        <v>产品经理</v>
      </c>
      <c r="M86" s="60" t="str">
        <f aca="false">IF(项目总控台账!M86="","",项目总控台账!M86)</f>
        <v>未开始</v>
      </c>
      <c r="N86" s="61" t="n">
        <f aca="false">IF(项目总控台账!N86="","",项目总控台账!N86)</f>
        <v>46499</v>
      </c>
      <c r="O86" s="61" t="n">
        <f aca="false">IF(项目总控台账!O86="","",项目总控台账!O86)</f>
        <v>46504</v>
      </c>
      <c r="P86" s="59" t="str">
        <f aca="false">IF(项目总控台账!P86="","",项目总控台账!P86)</f>
        <v/>
      </c>
      <c r="Q86" s="60" t="str">
        <f aca="false">IF(项目总控台账!Q86="","",项目总控台账!Q86)</f>
        <v/>
      </c>
      <c r="R86" s="61" t="str">
        <f aca="false">IF(项目总控台账!R86="","",项目总控台账!R86)</f>
        <v/>
      </c>
      <c r="S86" s="61" t="str">
        <f aca="false">IF(项目总控台账!S86="","",项目总控台账!S86)</f>
        <v/>
      </c>
      <c r="T86" s="59" t="str">
        <f aca="false">IF(项目总控台账!T86="","",项目总控台账!T86)</f>
        <v/>
      </c>
      <c r="U86" s="60" t="str">
        <f aca="false">IF(项目总控台账!U86="","",项目总控台账!U86)</f>
        <v/>
      </c>
      <c r="V86" s="61" t="str">
        <f aca="false">IF(项目总控台账!V86="","",项目总控台账!V86)</f>
        <v/>
      </c>
      <c r="W86" s="61" t="str">
        <f aca="false">IF(项目总控台账!W86="","",项目总控台账!W86)</f>
        <v/>
      </c>
      <c r="X86" s="59" t="str">
        <f aca="false">IF(项目总控台账!X86="","",项目总控台账!X86)</f>
        <v/>
      </c>
      <c r="Y86" s="60" t="str">
        <f aca="false">IF(项目总控台账!Y86="","",项目总控台账!Y86)</f>
        <v/>
      </c>
      <c r="Z86" s="61" t="str">
        <f aca="false">IF(项目总控台账!Z86="","",项目总控台账!Z86)</f>
        <v/>
      </c>
      <c r="AA86" s="61" t="str">
        <f aca="false">IF(项目总控台账!AA86="","",项目总控台账!AA86)</f>
        <v/>
      </c>
      <c r="AB86" s="62" t="n">
        <f aca="false">IF(项目总控台账!AB86="","",项目总控台账!AB86)</f>
        <v>0</v>
      </c>
      <c r="AC86" s="60" t="str">
        <f aca="false">IF(项目总控台账!AC86="","",项目总控台账!AC86)</f>
        <v>正常</v>
      </c>
      <c r="AD86" s="59" t="str">
        <f aca="false">IF(项目总控台账!AD86="","",项目总控台账!AD86)</f>
        <v/>
      </c>
      <c r="AE86" s="59" t="str">
        <f aca="false">IF(项目总控台账!AE86="","",项目总控台账!AE86)</f>
        <v/>
      </c>
      <c r="AF86" s="59" t="str">
        <f aca="false">IF(项目总控台账!AF86="","",项目总控台账!AF86)</f>
        <v/>
      </c>
      <c r="AG86" s="61" t="str">
        <f aca="false">IF(项目总控台账!AG86="","",项目总控台账!AG86)</f>
        <v/>
      </c>
      <c r="AH86" s="63" t="str">
        <f aca="false">IF(项目总控台账!AH86="","",项目总控台账!AH86)</f>
        <v/>
      </c>
    </row>
    <row r="87" customFormat="false" ht="16.5" hidden="false" customHeight="true" outlineLevel="0" collapsed="false">
      <c r="A87" s="59" t="str">
        <f aca="false">IF(项目总控台账!A87="","",项目总控台账!A87)</f>
        <v>T084</v>
      </c>
      <c r="B87" s="59" t="str">
        <f aca="false">项目总控台账!B42</f>
        <v>正式实施与上线准备</v>
      </c>
      <c r="C87" s="59" t="str">
        <f aca="false">项目总控台账!C85</f>
        <v>UAT验收完成</v>
      </c>
      <c r="D87" s="59" t="str">
        <f aca="false">项目总控台账!D87</f>
        <v>问题闭环</v>
      </c>
      <c r="E87" s="59" t="str">
        <f aca="false">IF(项目总控台账!E87="","",项目总控台账!E87)</f>
        <v>修复UAT问题并完成业务回归</v>
      </c>
      <c r="F87" s="59" t="str">
        <f aca="false">IF(项目总控台账!F87="","",项目总控台账!F87)</f>
        <v>MS014</v>
      </c>
      <c r="G87" s="60" t="str">
        <f aca="false">IF(项目总控台账!G87="","",项目总控台账!G87)</f>
        <v>未开始</v>
      </c>
      <c r="H87" s="59" t="str">
        <f aca="false">IF(项目总控台账!H87="","",项目总控台账!H87)</f>
        <v>高级开发人员</v>
      </c>
      <c r="I87" s="61" t="n">
        <f aca="false">IF(项目总控台账!I87="","",项目总控台账!I87)</f>
        <v>46505</v>
      </c>
      <c r="J87" s="61" t="n">
        <f aca="false">IF(项目总控台账!J87="","",项目总控台账!J87)</f>
        <v>46510</v>
      </c>
      <c r="K87" s="61" t="n">
        <f aca="false">IF(项目总控台账!K87="","",项目总控台账!K87)</f>
        <v>46517</v>
      </c>
      <c r="L87" s="59" t="str">
        <f aca="false">IF(项目总控台账!L87="","",项目总控台账!L87)</f>
        <v/>
      </c>
      <c r="M87" s="60" t="str">
        <f aca="false">IF(项目总控台账!M87="","",项目总控台账!M87)</f>
        <v/>
      </c>
      <c r="N87" s="61" t="str">
        <f aca="false">IF(项目总控台账!N87="","",项目总控台账!N87)</f>
        <v/>
      </c>
      <c r="O87" s="61" t="str">
        <f aca="false">IF(项目总控台账!O87="","",项目总控台账!O87)</f>
        <v/>
      </c>
      <c r="P87" s="59" t="str">
        <f aca="false">IF(项目总控台账!P87="","",项目总控台账!P87)</f>
        <v>高级开发人员</v>
      </c>
      <c r="Q87" s="60" t="str">
        <f aca="false">IF(项目总控台账!Q87="","",项目总控台账!Q87)</f>
        <v>未开始</v>
      </c>
      <c r="R87" s="61" t="n">
        <f aca="false">IF(项目总控台账!R87="","",项目总控台账!R87)</f>
        <v>46505</v>
      </c>
      <c r="S87" s="61" t="n">
        <f aca="false">IF(项目总控台账!S87="","",项目总控台账!S87)</f>
        <v>46510</v>
      </c>
      <c r="T87" s="59" t="str">
        <f aca="false">IF(项目总控台账!T87="","",项目总控台账!T87)</f>
        <v/>
      </c>
      <c r="U87" s="60" t="str">
        <f aca="false">IF(项目总控台账!U87="","",项目总控台账!U87)</f>
        <v/>
      </c>
      <c r="V87" s="61" t="str">
        <f aca="false">IF(项目总控台账!V87="","",项目总控台账!V87)</f>
        <v/>
      </c>
      <c r="W87" s="61" t="str">
        <f aca="false">IF(项目总控台账!W87="","",项目总控台账!W87)</f>
        <v/>
      </c>
      <c r="X87" s="59" t="str">
        <f aca="false">IF(项目总控台账!X87="","",项目总控台账!X87)</f>
        <v/>
      </c>
      <c r="Y87" s="60" t="str">
        <f aca="false">IF(项目总控台账!Y87="","",项目总控台账!Y87)</f>
        <v/>
      </c>
      <c r="Z87" s="61" t="str">
        <f aca="false">IF(项目总控台账!Z87="","",项目总控台账!Z87)</f>
        <v/>
      </c>
      <c r="AA87" s="61" t="str">
        <f aca="false">IF(项目总控台账!AA87="","",项目总控台账!AA87)</f>
        <v/>
      </c>
      <c r="AB87" s="62" t="n">
        <f aca="false">IF(项目总控台账!AB87="","",项目总控台账!AB87)</f>
        <v>0</v>
      </c>
      <c r="AC87" s="60" t="str">
        <f aca="false">IF(项目总控台账!AC87="","",项目总控台账!AC87)</f>
        <v>正常</v>
      </c>
      <c r="AD87" s="59" t="str">
        <f aca="false">IF(项目总控台账!AD87="","",项目总控台账!AD87)</f>
        <v/>
      </c>
      <c r="AE87" s="59" t="str">
        <f aca="false">IF(项目总控台账!AE87="","",项目总控台账!AE87)</f>
        <v/>
      </c>
      <c r="AF87" s="59" t="str">
        <f aca="false">IF(项目总控台账!AF87="","",项目总控台账!AF87)</f>
        <v/>
      </c>
      <c r="AG87" s="61" t="str">
        <f aca="false">IF(项目总控台账!AG87="","",项目总控台账!AG87)</f>
        <v/>
      </c>
      <c r="AH87" s="63" t="str">
        <f aca="false">IF(项目总控台账!AH87="","",项目总控台账!AH87)</f>
        <v/>
      </c>
    </row>
    <row r="88" customFormat="false" ht="16.5" hidden="false" customHeight="true" outlineLevel="0" collapsed="false">
      <c r="A88" s="59" t="str">
        <f aca="false">IF(项目总控台账!A88="","",项目总控台账!A88)</f>
        <v>T085</v>
      </c>
      <c r="B88" s="59" t="str">
        <f aca="false">项目总控台账!B42</f>
        <v>正式实施与上线准备</v>
      </c>
      <c r="C88" s="59" t="str">
        <f aca="false">项目总控台账!C85</f>
        <v>UAT验收完成</v>
      </c>
      <c r="D88" s="59" t="str">
        <f aca="false">项目总控台账!D88</f>
        <v>业务验收</v>
      </c>
      <c r="E88" s="59" t="str">
        <f aca="false">IF(项目总控台账!E88="","",项目总控台账!E88)</f>
        <v>形成UAT报告、遗留事项和确认单</v>
      </c>
      <c r="F88" s="59" t="str">
        <f aca="false">IF(项目总控台账!F88="","",项目总控台账!F88)</f>
        <v>MS014</v>
      </c>
      <c r="G88" s="60" t="str">
        <f aca="false">IF(项目总控台账!G88="","",项目总控台账!G88)</f>
        <v>未开始</v>
      </c>
      <c r="H88" s="59" t="str">
        <f aca="false">IF(项目总控台账!H88="","",项目总控台账!H88)</f>
        <v>项目经理</v>
      </c>
      <c r="I88" s="61" t="n">
        <f aca="false">IF(项目总控台账!I88="","",项目总控台账!I88)</f>
        <v>46511</v>
      </c>
      <c r="J88" s="61" t="n">
        <f aca="false">IF(项目总控台账!J88="","",项目总控台账!J88)</f>
        <v>46517</v>
      </c>
      <c r="K88" s="61" t="n">
        <f aca="false">IF(项目总控台账!K88="","",项目总控台账!K88)</f>
        <v>46517</v>
      </c>
      <c r="L88" s="59" t="str">
        <f aca="false">IF(项目总控台账!L88="","",项目总控台账!L88)</f>
        <v>项目经理</v>
      </c>
      <c r="M88" s="60" t="str">
        <f aca="false">IF(项目总控台账!M88="","",项目总控台账!M88)</f>
        <v>未开始</v>
      </c>
      <c r="N88" s="61" t="n">
        <f aca="false">IF(项目总控台账!N88="","",项目总控台账!N88)</f>
        <v>46511</v>
      </c>
      <c r="O88" s="61" t="n">
        <f aca="false">IF(项目总控台账!O88="","",项目总控台账!O88)</f>
        <v>46517</v>
      </c>
      <c r="P88" s="59" t="str">
        <f aca="false">IF(项目总控台账!P88="","",项目总控台账!P88)</f>
        <v/>
      </c>
      <c r="Q88" s="60" t="str">
        <f aca="false">IF(项目总控台账!Q88="","",项目总控台账!Q88)</f>
        <v/>
      </c>
      <c r="R88" s="61" t="str">
        <f aca="false">IF(项目总控台账!R88="","",项目总控台账!R88)</f>
        <v/>
      </c>
      <c r="S88" s="61" t="str">
        <f aca="false">IF(项目总控台账!S88="","",项目总控台账!S88)</f>
        <v/>
      </c>
      <c r="T88" s="59" t="str">
        <f aca="false">IF(项目总控台账!T88="","",项目总控台账!T88)</f>
        <v/>
      </c>
      <c r="U88" s="60" t="str">
        <f aca="false">IF(项目总控台账!U88="","",项目总控台账!U88)</f>
        <v/>
      </c>
      <c r="V88" s="61" t="str">
        <f aca="false">IF(项目总控台账!V88="","",项目总控台账!V88)</f>
        <v/>
      </c>
      <c r="W88" s="61" t="str">
        <f aca="false">IF(项目总控台账!W88="","",项目总控台账!W88)</f>
        <v/>
      </c>
      <c r="X88" s="59" t="str">
        <f aca="false">IF(项目总控台账!X88="","",项目总控台账!X88)</f>
        <v/>
      </c>
      <c r="Y88" s="60" t="str">
        <f aca="false">IF(项目总控台账!Y88="","",项目总控台账!Y88)</f>
        <v/>
      </c>
      <c r="Z88" s="61" t="str">
        <f aca="false">IF(项目总控台账!Z88="","",项目总控台账!Z88)</f>
        <v/>
      </c>
      <c r="AA88" s="61" t="str">
        <f aca="false">IF(项目总控台账!AA88="","",项目总控台账!AA88)</f>
        <v/>
      </c>
      <c r="AB88" s="62" t="n">
        <f aca="false">IF(项目总控台账!AB88="","",项目总控台账!AB88)</f>
        <v>0</v>
      </c>
      <c r="AC88" s="60" t="str">
        <f aca="false">IF(项目总控台账!AC88="","",项目总控台账!AC88)</f>
        <v>正常</v>
      </c>
      <c r="AD88" s="59" t="str">
        <f aca="false">IF(项目总控台账!AD88="","",项目总控台账!AD88)</f>
        <v/>
      </c>
      <c r="AE88" s="59" t="str">
        <f aca="false">IF(项目总控台账!AE88="","",项目总控台账!AE88)</f>
        <v/>
      </c>
      <c r="AF88" s="59" t="str">
        <f aca="false">IF(项目总控台账!AF88="","",项目总控台账!AF88)</f>
        <v/>
      </c>
      <c r="AG88" s="61" t="str">
        <f aca="false">IF(项目总控台账!AG88="","",项目总控台账!AG88)</f>
        <v/>
      </c>
      <c r="AH88" s="63" t="str">
        <f aca="false">IF(项目总控台账!AH88="","",项目总控台账!AH88)</f>
        <v/>
      </c>
    </row>
    <row r="89" customFormat="false" ht="16.5" hidden="false" customHeight="true" outlineLevel="0" collapsed="false">
      <c r="A89" s="59" t="str">
        <f aca="false">IF(项目总控台账!A89="","",项目总控台账!A89)</f>
        <v>T086</v>
      </c>
      <c r="B89" s="59" t="str">
        <f aca="false">项目总控台账!B42</f>
        <v>正式实施与上线准备</v>
      </c>
      <c r="C89" s="59" t="str">
        <f aca="false">项目总控台账!C89</f>
        <v>上线准入评审通过</v>
      </c>
      <c r="D89" s="59" t="str">
        <f aca="false">项目总控台账!D89</f>
        <v>上线准备</v>
      </c>
      <c r="E89" s="59" t="str">
        <f aca="false">IF(项目总控台账!E89="","",项目总控台账!E89)</f>
        <v>完成生产部署、发布和回退方案</v>
      </c>
      <c r="F89" s="59" t="str">
        <f aca="false">IF(项目总控台账!F89="","",项目总控台账!F89)</f>
        <v>MS015</v>
      </c>
      <c r="G89" s="60" t="str">
        <f aca="false">IF(项目总控台账!G89="","",项目总控台账!G89)</f>
        <v>未开始</v>
      </c>
      <c r="H89" s="59" t="str">
        <f aca="false">IF(项目总控台账!H89="","",项目总控台账!H89)</f>
        <v>配置人员</v>
      </c>
      <c r="I89" s="61" t="n">
        <f aca="false">IF(项目总控台账!I89="","",项目总控台账!I89)</f>
        <v>46518</v>
      </c>
      <c r="J89" s="61" t="n">
        <f aca="false">IF(项目总控台账!J89="","",项目总控台账!J89)</f>
        <v>46519</v>
      </c>
      <c r="K89" s="61" t="n">
        <f aca="false">IF(项目总控台账!K89="","",项目总控台账!K89)</f>
        <v>46531</v>
      </c>
      <c r="L89" s="59" t="str">
        <f aca="false">IF(项目总控台账!L89="","",项目总控台账!L89)</f>
        <v/>
      </c>
      <c r="M89" s="60" t="str">
        <f aca="false">IF(项目总控台账!M89="","",项目总控台账!M89)</f>
        <v/>
      </c>
      <c r="N89" s="61" t="str">
        <f aca="false">IF(项目总控台账!N89="","",项目总控台账!N89)</f>
        <v/>
      </c>
      <c r="O89" s="61" t="str">
        <f aca="false">IF(项目总控台账!O89="","",项目总控台账!O89)</f>
        <v/>
      </c>
      <c r="P89" s="59" t="str">
        <f aca="false">IF(项目总控台账!P89="","",项目总控台账!P89)</f>
        <v>配置人员</v>
      </c>
      <c r="Q89" s="60" t="str">
        <f aca="false">IF(项目总控台账!Q89="","",项目总控台账!Q89)</f>
        <v>未开始</v>
      </c>
      <c r="R89" s="61" t="n">
        <f aca="false">IF(项目总控台账!R89="","",项目总控台账!R89)</f>
        <v>46518</v>
      </c>
      <c r="S89" s="61" t="n">
        <f aca="false">IF(项目总控台账!S89="","",项目总控台账!S89)</f>
        <v>46519</v>
      </c>
      <c r="T89" s="59" t="str">
        <f aca="false">IF(项目总控台账!T89="","",项目总控台账!T89)</f>
        <v/>
      </c>
      <c r="U89" s="60" t="str">
        <f aca="false">IF(项目总控台账!U89="","",项目总控台账!U89)</f>
        <v/>
      </c>
      <c r="V89" s="61" t="str">
        <f aca="false">IF(项目总控台账!V89="","",项目总控台账!V89)</f>
        <v/>
      </c>
      <c r="W89" s="61" t="str">
        <f aca="false">IF(项目总控台账!W89="","",项目总控台账!W89)</f>
        <v/>
      </c>
      <c r="X89" s="59" t="str">
        <f aca="false">IF(项目总控台账!X89="","",项目总控台账!X89)</f>
        <v/>
      </c>
      <c r="Y89" s="60" t="str">
        <f aca="false">IF(项目总控台账!Y89="","",项目总控台账!Y89)</f>
        <v/>
      </c>
      <c r="Z89" s="61" t="str">
        <f aca="false">IF(项目总控台账!Z89="","",项目总控台账!Z89)</f>
        <v/>
      </c>
      <c r="AA89" s="61" t="str">
        <f aca="false">IF(项目总控台账!AA89="","",项目总控台账!AA89)</f>
        <v/>
      </c>
      <c r="AB89" s="62" t="n">
        <f aca="false">IF(项目总控台账!AB89="","",项目总控台账!AB89)</f>
        <v>0</v>
      </c>
      <c r="AC89" s="60" t="str">
        <f aca="false">IF(项目总控台账!AC89="","",项目总控台账!AC89)</f>
        <v>正常</v>
      </c>
      <c r="AD89" s="59" t="str">
        <f aca="false">IF(项目总控台账!AD89="","",项目总控台账!AD89)</f>
        <v/>
      </c>
      <c r="AE89" s="59" t="str">
        <f aca="false">IF(项目总控台账!AE89="","",项目总控台账!AE89)</f>
        <v/>
      </c>
      <c r="AF89" s="59" t="str">
        <f aca="false">IF(项目总控台账!AF89="","",项目总控台账!AF89)</f>
        <v/>
      </c>
      <c r="AG89" s="61" t="str">
        <f aca="false">IF(项目总控台账!AG89="","",项目总控台账!AG89)</f>
        <v/>
      </c>
      <c r="AH89" s="63" t="str">
        <f aca="false">IF(项目总控台账!AH89="","",项目总控台账!AH89)</f>
        <v/>
      </c>
    </row>
    <row r="90" customFormat="false" ht="16.5" hidden="false" customHeight="true" outlineLevel="0" collapsed="false">
      <c r="A90" s="59" t="str">
        <f aca="false">IF(项目总控台账!A90="","",项目总控台账!A90)</f>
        <v>T087</v>
      </c>
      <c r="B90" s="59" t="str">
        <f aca="false">项目总控台账!B42</f>
        <v>正式实施与上线准备</v>
      </c>
      <c r="C90" s="59" t="str">
        <f aca="false">项目总控台账!C89</f>
        <v>上线准入评审通过</v>
      </c>
      <c r="D90" s="59" t="str">
        <f aca="false">项目总控台账!D90</f>
        <v>数据准备</v>
      </c>
      <c r="E90" s="59" t="str">
        <f aca="false">IF(项目总控台账!E90="","",项目总控台账!E90)</f>
        <v>完成数据迁移、清洗和对账演练</v>
      </c>
      <c r="F90" s="59" t="str">
        <f aca="false">IF(项目总控台账!F90="","",项目总控台账!F90)</f>
        <v>MS015</v>
      </c>
      <c r="G90" s="60" t="str">
        <f aca="false">IF(项目总控台账!G90="","",项目总控台账!G90)</f>
        <v>未开始</v>
      </c>
      <c r="H90" s="59" t="str">
        <f aca="false">IF(项目总控台账!H90="","",项目总控台账!H90)</f>
        <v>高级开发人员</v>
      </c>
      <c r="I90" s="61" t="n">
        <f aca="false">IF(项目总控台账!I90="","",项目总控台账!I90)</f>
        <v>46520</v>
      </c>
      <c r="J90" s="61" t="n">
        <f aca="false">IF(项目总控台账!J90="","",项目总控台账!J90)</f>
        <v>46521</v>
      </c>
      <c r="K90" s="61" t="n">
        <f aca="false">IF(项目总控台账!K90="","",项目总控台账!K90)</f>
        <v>46531</v>
      </c>
      <c r="L90" s="59" t="str">
        <f aca="false">IF(项目总控台账!L90="","",项目总控台账!L90)</f>
        <v/>
      </c>
      <c r="M90" s="60" t="str">
        <f aca="false">IF(项目总控台账!M90="","",项目总控台账!M90)</f>
        <v/>
      </c>
      <c r="N90" s="61" t="str">
        <f aca="false">IF(项目总控台账!N90="","",项目总控台账!N90)</f>
        <v/>
      </c>
      <c r="O90" s="61" t="str">
        <f aca="false">IF(项目总控台账!O90="","",项目总控台账!O90)</f>
        <v/>
      </c>
      <c r="P90" s="59" t="str">
        <f aca="false">IF(项目总控台账!P90="","",项目总控台账!P90)</f>
        <v>高级开发人员</v>
      </c>
      <c r="Q90" s="60" t="str">
        <f aca="false">IF(项目总控台账!Q90="","",项目总控台账!Q90)</f>
        <v>未开始</v>
      </c>
      <c r="R90" s="61" t="n">
        <f aca="false">IF(项目总控台账!R90="","",项目总控台账!R90)</f>
        <v>46520</v>
      </c>
      <c r="S90" s="61" t="n">
        <f aca="false">IF(项目总控台账!S90="","",项目总控台账!S90)</f>
        <v>46521</v>
      </c>
      <c r="T90" s="59" t="str">
        <f aca="false">IF(项目总控台账!T90="","",项目总控台账!T90)</f>
        <v/>
      </c>
      <c r="U90" s="60" t="str">
        <f aca="false">IF(项目总控台账!U90="","",项目总控台账!U90)</f>
        <v/>
      </c>
      <c r="V90" s="61" t="str">
        <f aca="false">IF(项目总控台账!V90="","",项目总控台账!V90)</f>
        <v/>
      </c>
      <c r="W90" s="61" t="str">
        <f aca="false">IF(项目总控台账!W90="","",项目总控台账!W90)</f>
        <v/>
      </c>
      <c r="X90" s="59" t="str">
        <f aca="false">IF(项目总控台账!X90="","",项目总控台账!X90)</f>
        <v/>
      </c>
      <c r="Y90" s="60" t="str">
        <f aca="false">IF(项目总控台账!Y90="","",项目总控台账!Y90)</f>
        <v/>
      </c>
      <c r="Z90" s="61" t="str">
        <f aca="false">IF(项目总控台账!Z90="","",项目总控台账!Z90)</f>
        <v/>
      </c>
      <c r="AA90" s="61" t="str">
        <f aca="false">IF(项目总控台账!AA90="","",项目总控台账!AA90)</f>
        <v/>
      </c>
      <c r="AB90" s="62" t="n">
        <f aca="false">IF(项目总控台账!AB90="","",项目总控台账!AB90)</f>
        <v>0</v>
      </c>
      <c r="AC90" s="60" t="str">
        <f aca="false">IF(项目总控台账!AC90="","",项目总控台账!AC90)</f>
        <v>正常</v>
      </c>
      <c r="AD90" s="59" t="str">
        <f aca="false">IF(项目总控台账!AD90="","",项目总控台账!AD90)</f>
        <v/>
      </c>
      <c r="AE90" s="59" t="str">
        <f aca="false">IF(项目总控台账!AE90="","",项目总控台账!AE90)</f>
        <v/>
      </c>
      <c r="AF90" s="59" t="str">
        <f aca="false">IF(项目总控台账!AF90="","",项目总控台账!AF90)</f>
        <v/>
      </c>
      <c r="AG90" s="61" t="str">
        <f aca="false">IF(项目总控台账!AG90="","",项目总控台账!AG90)</f>
        <v/>
      </c>
      <c r="AH90" s="63" t="str">
        <f aca="false">IF(项目总控台账!AH90="","",项目总控台账!AH90)</f>
        <v/>
      </c>
    </row>
    <row r="91" customFormat="false" ht="16.5" hidden="false" customHeight="true" outlineLevel="0" collapsed="false">
      <c r="A91" s="59" t="str">
        <f aca="false">IF(项目总控台账!A91="","",项目总控台账!A91)</f>
        <v>T088</v>
      </c>
      <c r="B91" s="59" t="str">
        <f aca="false">项目总控台账!B42</f>
        <v>正式实施与上线准备</v>
      </c>
      <c r="C91" s="59" t="str">
        <f aca="false">项目总控台账!C89</f>
        <v>上线准入评审通过</v>
      </c>
      <c r="D91" s="59" t="str">
        <f aca="false">项目总控台账!D91</f>
        <v>上线检查</v>
      </c>
      <c r="E91" s="59" t="str">
        <f aca="false">IF(项目总控台账!E91="","",项目总控台账!E91)</f>
        <v>核查接口、权限、证书和配置参数</v>
      </c>
      <c r="F91" s="59" t="str">
        <f aca="false">IF(项目总控台账!F91="","",项目总控台账!F91)</f>
        <v>MS015</v>
      </c>
      <c r="G91" s="60" t="str">
        <f aca="false">IF(项目总控台账!G91="","",项目总控台账!G91)</f>
        <v>未开始</v>
      </c>
      <c r="H91" s="59" t="str">
        <f aca="false">IF(项目总控台账!H91="","",项目总控台账!H91)</f>
        <v>技术经理</v>
      </c>
      <c r="I91" s="61" t="n">
        <f aca="false">IF(项目总控台账!I91="","",项目总控台账!I91)</f>
        <v>46522</v>
      </c>
      <c r="J91" s="61" t="n">
        <f aca="false">IF(项目总控台账!J91="","",项目总控台账!J91)</f>
        <v>46524</v>
      </c>
      <c r="K91" s="61" t="n">
        <f aca="false">IF(项目总控台账!K91="","",项目总控台账!K91)</f>
        <v>46531</v>
      </c>
      <c r="L91" s="59" t="str">
        <f aca="false">IF(项目总控台账!L91="","",项目总控台账!L91)</f>
        <v/>
      </c>
      <c r="M91" s="60" t="str">
        <f aca="false">IF(项目总控台账!M91="","",项目总控台账!M91)</f>
        <v/>
      </c>
      <c r="N91" s="61" t="str">
        <f aca="false">IF(项目总控台账!N91="","",项目总控台账!N91)</f>
        <v/>
      </c>
      <c r="O91" s="61" t="str">
        <f aca="false">IF(项目总控台账!O91="","",项目总控台账!O91)</f>
        <v/>
      </c>
      <c r="P91" s="59" t="str">
        <f aca="false">IF(项目总控台账!P91="","",项目总控台账!P91)</f>
        <v>技术经理</v>
      </c>
      <c r="Q91" s="60" t="str">
        <f aca="false">IF(项目总控台账!Q91="","",项目总控台账!Q91)</f>
        <v>未开始</v>
      </c>
      <c r="R91" s="61" t="n">
        <f aca="false">IF(项目总控台账!R91="","",项目总控台账!R91)</f>
        <v>46522</v>
      </c>
      <c r="S91" s="61" t="n">
        <f aca="false">IF(项目总控台账!S91="","",项目总控台账!S91)</f>
        <v>46524</v>
      </c>
      <c r="T91" s="59" t="str">
        <f aca="false">IF(项目总控台账!T91="","",项目总控台账!T91)</f>
        <v/>
      </c>
      <c r="U91" s="60" t="str">
        <f aca="false">IF(项目总控台账!U91="","",项目总控台账!U91)</f>
        <v/>
      </c>
      <c r="V91" s="61" t="str">
        <f aca="false">IF(项目总控台账!V91="","",项目总控台账!V91)</f>
        <v/>
      </c>
      <c r="W91" s="61" t="str">
        <f aca="false">IF(项目总控台账!W91="","",项目总控台账!W91)</f>
        <v/>
      </c>
      <c r="X91" s="59" t="str">
        <f aca="false">IF(项目总控台账!X91="","",项目总控台账!X91)</f>
        <v/>
      </c>
      <c r="Y91" s="60" t="str">
        <f aca="false">IF(项目总控台账!Y91="","",项目总控台账!Y91)</f>
        <v/>
      </c>
      <c r="Z91" s="61" t="str">
        <f aca="false">IF(项目总控台账!Z91="","",项目总控台账!Z91)</f>
        <v/>
      </c>
      <c r="AA91" s="61" t="str">
        <f aca="false">IF(项目总控台账!AA91="","",项目总控台账!AA91)</f>
        <v/>
      </c>
      <c r="AB91" s="62" t="n">
        <f aca="false">IF(项目总控台账!AB91="","",项目总控台账!AB91)</f>
        <v>0</v>
      </c>
      <c r="AC91" s="60" t="str">
        <f aca="false">IF(项目总控台账!AC91="","",项目总控台账!AC91)</f>
        <v>正常</v>
      </c>
      <c r="AD91" s="59" t="str">
        <f aca="false">IF(项目总控台账!AD91="","",项目总控台账!AD91)</f>
        <v/>
      </c>
      <c r="AE91" s="59" t="str">
        <f aca="false">IF(项目总控台账!AE91="","",项目总控台账!AE91)</f>
        <v/>
      </c>
      <c r="AF91" s="59" t="str">
        <f aca="false">IF(项目总控台账!AF91="","",项目总控台账!AF91)</f>
        <v/>
      </c>
      <c r="AG91" s="61" t="str">
        <f aca="false">IF(项目总控台账!AG91="","",项目总控台账!AG91)</f>
        <v/>
      </c>
      <c r="AH91" s="63" t="str">
        <f aca="false">IF(项目总控台账!AH91="","",项目总控台账!AH91)</f>
        <v/>
      </c>
    </row>
    <row r="92" customFormat="false" ht="16.5" hidden="false" customHeight="true" outlineLevel="0" collapsed="false">
      <c r="A92" s="59" t="str">
        <f aca="false">IF(项目总控台账!A92="","",项目总控台账!A92)</f>
        <v>T089</v>
      </c>
      <c r="B92" s="59" t="str">
        <f aca="false">项目总控台账!B42</f>
        <v>正式实施与上线准备</v>
      </c>
      <c r="C92" s="59" t="str">
        <f aca="false">项目总控台账!C89</f>
        <v>上线准入评审通过</v>
      </c>
      <c r="D92" s="59" t="str">
        <f aca="false">项目总控台账!D92</f>
        <v>运维准备</v>
      </c>
      <c r="E92" s="59" t="str">
        <f aca="false">IF(项目总控台账!E92="","",项目总控台账!E92)</f>
        <v>建立监控、告警、备份和支持机制</v>
      </c>
      <c r="F92" s="59" t="str">
        <f aca="false">IF(项目总控台账!F92="","",项目总控台账!F92)</f>
        <v>MS015</v>
      </c>
      <c r="G92" s="60" t="str">
        <f aca="false">IF(项目总控台账!G92="","",项目总控台账!G92)</f>
        <v>未开始</v>
      </c>
      <c r="H92" s="59" t="str">
        <f aca="false">IF(项目总控台账!H92="","",项目总控台账!H92)</f>
        <v>配置人员</v>
      </c>
      <c r="I92" s="61" t="n">
        <f aca="false">IF(项目总控台账!I92="","",项目总控台账!I92)</f>
        <v>46525</v>
      </c>
      <c r="J92" s="61" t="n">
        <f aca="false">IF(项目总控台账!J92="","",项目总控台账!J92)</f>
        <v>46526</v>
      </c>
      <c r="K92" s="61" t="n">
        <f aca="false">IF(项目总控台账!K92="","",项目总控台账!K92)</f>
        <v>46531</v>
      </c>
      <c r="L92" s="59" t="str">
        <f aca="false">IF(项目总控台账!L92="","",项目总控台账!L92)</f>
        <v/>
      </c>
      <c r="M92" s="60" t="str">
        <f aca="false">IF(项目总控台账!M92="","",项目总控台账!M92)</f>
        <v/>
      </c>
      <c r="N92" s="61" t="str">
        <f aca="false">IF(项目总控台账!N92="","",项目总控台账!N92)</f>
        <v/>
      </c>
      <c r="O92" s="61" t="str">
        <f aca="false">IF(项目总控台账!O92="","",项目总控台账!O92)</f>
        <v/>
      </c>
      <c r="P92" s="59" t="str">
        <f aca="false">IF(项目总控台账!P92="","",项目总控台账!P92)</f>
        <v>配置人员</v>
      </c>
      <c r="Q92" s="60" t="str">
        <f aca="false">IF(项目总控台账!Q92="","",项目总控台账!Q92)</f>
        <v>未开始</v>
      </c>
      <c r="R92" s="61" t="n">
        <f aca="false">IF(项目总控台账!R92="","",项目总控台账!R92)</f>
        <v>46525</v>
      </c>
      <c r="S92" s="61" t="n">
        <f aca="false">IF(项目总控台账!S92="","",项目总控台账!S92)</f>
        <v>46526</v>
      </c>
      <c r="T92" s="59" t="str">
        <f aca="false">IF(项目总控台账!T92="","",项目总控台账!T92)</f>
        <v/>
      </c>
      <c r="U92" s="60" t="str">
        <f aca="false">IF(项目总控台账!U92="","",项目总控台账!U92)</f>
        <v/>
      </c>
      <c r="V92" s="61" t="str">
        <f aca="false">IF(项目总控台账!V92="","",项目总控台账!V92)</f>
        <v/>
      </c>
      <c r="W92" s="61" t="str">
        <f aca="false">IF(项目总控台账!W92="","",项目总控台账!W92)</f>
        <v/>
      </c>
      <c r="X92" s="59" t="str">
        <f aca="false">IF(项目总控台账!X92="","",项目总控台账!X92)</f>
        <v/>
      </c>
      <c r="Y92" s="60" t="str">
        <f aca="false">IF(项目总控台账!Y92="","",项目总控台账!Y92)</f>
        <v/>
      </c>
      <c r="Z92" s="61" t="str">
        <f aca="false">IF(项目总控台账!Z92="","",项目总控台账!Z92)</f>
        <v/>
      </c>
      <c r="AA92" s="61" t="str">
        <f aca="false">IF(项目总控台账!AA92="","",项目总控台账!AA92)</f>
        <v/>
      </c>
      <c r="AB92" s="62" t="n">
        <f aca="false">IF(项目总控台账!AB92="","",项目总控台账!AB92)</f>
        <v>0</v>
      </c>
      <c r="AC92" s="60" t="str">
        <f aca="false">IF(项目总控台账!AC92="","",项目总控台账!AC92)</f>
        <v>正常</v>
      </c>
      <c r="AD92" s="59" t="str">
        <f aca="false">IF(项目总控台账!AD92="","",项目总控台账!AD92)</f>
        <v/>
      </c>
      <c r="AE92" s="59" t="str">
        <f aca="false">IF(项目总控台账!AE92="","",项目总控台账!AE92)</f>
        <v/>
      </c>
      <c r="AF92" s="59" t="str">
        <f aca="false">IF(项目总控台账!AF92="","",项目总控台账!AF92)</f>
        <v/>
      </c>
      <c r="AG92" s="61" t="str">
        <f aca="false">IF(项目总控台账!AG92="","",项目总控台账!AG92)</f>
        <v/>
      </c>
      <c r="AH92" s="63" t="str">
        <f aca="false">IF(项目总控台账!AH92="","",项目总控台账!AH92)</f>
        <v/>
      </c>
    </row>
    <row r="93" customFormat="false" ht="16.5" hidden="false" customHeight="true" outlineLevel="0" collapsed="false">
      <c r="A93" s="59" t="str">
        <f aca="false">IF(项目总控台账!A93="","",项目总控台账!A93)</f>
        <v>T090</v>
      </c>
      <c r="B93" s="59" t="str">
        <f aca="false">项目总控台账!B42</f>
        <v>正式实施与上线准备</v>
      </c>
      <c r="C93" s="59" t="str">
        <f aca="false">项目总控台账!C89</f>
        <v>上线准入评审通过</v>
      </c>
      <c r="D93" s="59" t="str">
        <f aca="false">项目总控台账!D93</f>
        <v>培训交接</v>
      </c>
      <c r="E93" s="59" t="str">
        <f aca="false">IF(项目总控台账!E93="","",项目总控台账!E93)</f>
        <v>完成用户培训、手册和运维交接</v>
      </c>
      <c r="F93" s="59" t="str">
        <f aca="false">IF(项目总控台账!F93="","",项目总控台账!F93)</f>
        <v>MS015</v>
      </c>
      <c r="G93" s="60" t="str">
        <f aca="false">IF(项目总控台账!G93="","",项目总控台账!G93)</f>
        <v>未开始</v>
      </c>
      <c r="H93" s="59" t="str">
        <f aca="false">IF(项目总控台账!H93="","",项目总控台账!H93)</f>
        <v>产品经理</v>
      </c>
      <c r="I93" s="61" t="n">
        <f aca="false">IF(项目总控台账!I93="","",项目总控台账!I93)</f>
        <v>46527</v>
      </c>
      <c r="J93" s="61" t="n">
        <f aca="false">IF(项目总控台账!J93="","",项目总控台账!J93)</f>
        <v>46528</v>
      </c>
      <c r="K93" s="61" t="n">
        <f aca="false">IF(项目总控台账!K93="","",项目总控台账!K93)</f>
        <v>46531</v>
      </c>
      <c r="L93" s="59" t="str">
        <f aca="false">IF(项目总控台账!L93="","",项目总控台账!L93)</f>
        <v>产品经理</v>
      </c>
      <c r="M93" s="60" t="str">
        <f aca="false">IF(项目总控台账!M93="","",项目总控台账!M93)</f>
        <v>未开始</v>
      </c>
      <c r="N93" s="61" t="n">
        <f aca="false">IF(项目总控台账!N93="","",项目总控台账!N93)</f>
        <v>46527</v>
      </c>
      <c r="O93" s="61" t="n">
        <f aca="false">IF(项目总控台账!O93="","",项目总控台账!O93)</f>
        <v>46528</v>
      </c>
      <c r="P93" s="59" t="str">
        <f aca="false">IF(项目总控台账!P93="","",项目总控台账!P93)</f>
        <v/>
      </c>
      <c r="Q93" s="60" t="str">
        <f aca="false">IF(项目总控台账!Q93="","",项目总控台账!Q93)</f>
        <v/>
      </c>
      <c r="R93" s="61" t="str">
        <f aca="false">IF(项目总控台账!R93="","",项目总控台账!R93)</f>
        <v/>
      </c>
      <c r="S93" s="61" t="str">
        <f aca="false">IF(项目总控台账!S93="","",项目总控台账!S93)</f>
        <v/>
      </c>
      <c r="T93" s="59" t="str">
        <f aca="false">IF(项目总控台账!T93="","",项目总控台账!T93)</f>
        <v/>
      </c>
      <c r="U93" s="60" t="str">
        <f aca="false">IF(项目总控台账!U93="","",项目总控台账!U93)</f>
        <v/>
      </c>
      <c r="V93" s="61" t="str">
        <f aca="false">IF(项目总控台账!V93="","",项目总控台账!V93)</f>
        <v/>
      </c>
      <c r="W93" s="61" t="str">
        <f aca="false">IF(项目总控台账!W93="","",项目总控台账!W93)</f>
        <v/>
      </c>
      <c r="X93" s="59" t="str">
        <f aca="false">IF(项目总控台账!X93="","",项目总控台账!X93)</f>
        <v/>
      </c>
      <c r="Y93" s="60" t="str">
        <f aca="false">IF(项目总控台账!Y93="","",项目总控台账!Y93)</f>
        <v/>
      </c>
      <c r="Z93" s="61" t="str">
        <f aca="false">IF(项目总控台账!Z93="","",项目总控台账!Z93)</f>
        <v/>
      </c>
      <c r="AA93" s="61" t="str">
        <f aca="false">IF(项目总控台账!AA93="","",项目总控台账!AA93)</f>
        <v/>
      </c>
      <c r="AB93" s="62" t="n">
        <f aca="false">IF(项目总控台账!AB93="","",项目总控台账!AB93)</f>
        <v>0</v>
      </c>
      <c r="AC93" s="60" t="str">
        <f aca="false">IF(项目总控台账!AC93="","",项目总控台账!AC93)</f>
        <v>正常</v>
      </c>
      <c r="AD93" s="59" t="str">
        <f aca="false">IF(项目总控台账!AD93="","",项目总控台账!AD93)</f>
        <v/>
      </c>
      <c r="AE93" s="59" t="str">
        <f aca="false">IF(项目总控台账!AE93="","",项目总控台账!AE93)</f>
        <v/>
      </c>
      <c r="AF93" s="59" t="str">
        <f aca="false">IF(项目总控台账!AF93="","",项目总控台账!AF93)</f>
        <v/>
      </c>
      <c r="AG93" s="61" t="str">
        <f aca="false">IF(项目总控台账!AG93="","",项目总控台账!AG93)</f>
        <v/>
      </c>
      <c r="AH93" s="63" t="str">
        <f aca="false">IF(项目总控台账!AH93="","",项目总控台账!AH93)</f>
        <v/>
      </c>
    </row>
    <row r="94" customFormat="false" ht="16.5" hidden="false" customHeight="true" outlineLevel="0" collapsed="false">
      <c r="A94" s="59" t="str">
        <f aca="false">IF(项目总控台账!A94="","",项目总控台账!A94)</f>
        <v>T091</v>
      </c>
      <c r="B94" s="59" t="str">
        <f aca="false">项目总控台账!B42</f>
        <v>正式实施与上线准备</v>
      </c>
      <c r="C94" s="59" t="str">
        <f aca="false">项目总控台账!C89</f>
        <v>上线准入评审通过</v>
      </c>
      <c r="D94" s="59" t="str">
        <f aca="false">项目总控台账!D94</f>
        <v>准入评审</v>
      </c>
      <c r="E94" s="59" t="str">
        <f aca="false">IF(项目总控台账!E94="","",项目总控台账!E94)</f>
        <v>执行上线检查表并获得上线批准</v>
      </c>
      <c r="F94" s="59" t="str">
        <f aca="false">IF(项目总控台账!F94="","",项目总控台账!F94)</f>
        <v>MS015</v>
      </c>
      <c r="G94" s="60" t="str">
        <f aca="false">IF(项目总控台账!G94="","",项目总控台账!G94)</f>
        <v>未开始</v>
      </c>
      <c r="H94" s="59" t="str">
        <f aca="false">IF(项目总控台账!H94="","",项目总控台账!H94)</f>
        <v>项目集经理</v>
      </c>
      <c r="I94" s="61" t="n">
        <f aca="false">IF(项目总控台账!I94="","",项目总控台账!I94)</f>
        <v>46529</v>
      </c>
      <c r="J94" s="61" t="n">
        <f aca="false">IF(项目总控台账!J94="","",项目总控台账!J94)</f>
        <v>46531</v>
      </c>
      <c r="K94" s="61" t="n">
        <f aca="false">IF(项目总控台账!K94="","",项目总控台账!K94)</f>
        <v>46531</v>
      </c>
      <c r="L94" s="59" t="str">
        <f aca="false">IF(项目总控台账!L94="","",项目总控台账!L94)</f>
        <v>项目集经理</v>
      </c>
      <c r="M94" s="60" t="str">
        <f aca="false">IF(项目总控台账!M94="","",项目总控台账!M94)</f>
        <v>未开始</v>
      </c>
      <c r="N94" s="61" t="n">
        <f aca="false">IF(项目总控台账!N94="","",项目总控台账!N94)</f>
        <v>46529</v>
      </c>
      <c r="O94" s="61" t="n">
        <f aca="false">IF(项目总控台账!O94="","",项目总控台账!O94)</f>
        <v>46531</v>
      </c>
      <c r="P94" s="59" t="str">
        <f aca="false">IF(项目总控台账!P94="","",项目总控台账!P94)</f>
        <v/>
      </c>
      <c r="Q94" s="60" t="str">
        <f aca="false">IF(项目总控台账!Q94="","",项目总控台账!Q94)</f>
        <v/>
      </c>
      <c r="R94" s="61" t="str">
        <f aca="false">IF(项目总控台账!R94="","",项目总控台账!R94)</f>
        <v/>
      </c>
      <c r="S94" s="61" t="str">
        <f aca="false">IF(项目总控台账!S94="","",项目总控台账!S94)</f>
        <v/>
      </c>
      <c r="T94" s="59" t="str">
        <f aca="false">IF(项目总控台账!T94="","",项目总控台账!T94)</f>
        <v/>
      </c>
      <c r="U94" s="60" t="str">
        <f aca="false">IF(项目总控台账!U94="","",项目总控台账!U94)</f>
        <v/>
      </c>
      <c r="V94" s="61" t="str">
        <f aca="false">IF(项目总控台账!V94="","",项目总控台账!V94)</f>
        <v/>
      </c>
      <c r="W94" s="61" t="str">
        <f aca="false">IF(项目总控台账!W94="","",项目总控台账!W94)</f>
        <v/>
      </c>
      <c r="X94" s="59" t="str">
        <f aca="false">IF(项目总控台账!X94="","",项目总控台账!X94)</f>
        <v/>
      </c>
      <c r="Y94" s="60" t="str">
        <f aca="false">IF(项目总控台账!Y94="","",项目总控台账!Y94)</f>
        <v/>
      </c>
      <c r="Z94" s="61" t="str">
        <f aca="false">IF(项目总控台账!Z94="","",项目总控台账!Z94)</f>
        <v/>
      </c>
      <c r="AA94" s="61" t="str">
        <f aca="false">IF(项目总控台账!AA94="","",项目总控台账!AA94)</f>
        <v/>
      </c>
      <c r="AB94" s="62" t="n">
        <f aca="false">IF(项目总控台账!AB94="","",项目总控台账!AB94)</f>
        <v>0</v>
      </c>
      <c r="AC94" s="60" t="str">
        <f aca="false">IF(项目总控台账!AC94="","",项目总控台账!AC94)</f>
        <v>正常</v>
      </c>
      <c r="AD94" s="59" t="str">
        <f aca="false">IF(项目总控台账!AD94="","",项目总控台账!AD94)</f>
        <v/>
      </c>
      <c r="AE94" s="59" t="str">
        <f aca="false">IF(项目总控台账!AE94="","",项目总控台账!AE94)</f>
        <v/>
      </c>
      <c r="AF94" s="59" t="str">
        <f aca="false">IF(项目总控台账!AF94="","",项目总控台账!AF94)</f>
        <v/>
      </c>
      <c r="AG94" s="61" t="str">
        <f aca="false">IF(项目总控台账!AG94="","",项目总控台账!AG94)</f>
        <v/>
      </c>
      <c r="AH94" s="63" t="str">
        <f aca="false">IF(项目总控台账!AH94="","",项目总控台账!AH94)</f>
        <v/>
      </c>
    </row>
    <row r="95" customFormat="false" ht="33.75" hidden="false" customHeight="true" outlineLevel="0" collapsed="false">
      <c r="A95" s="59" t="str">
        <f aca="false">IF(项目总控台账!A95="","",项目总控台账!A95)</f>
        <v>T092</v>
      </c>
      <c r="B95" s="59" t="str">
        <f aca="false">项目总控台账!B95</f>
        <v>系统上线与试运行</v>
      </c>
      <c r="C95" s="59" t="str">
        <f aca="false">项目总控台账!C95</f>
        <v>生产上线并进入试运行</v>
      </c>
      <c r="D95" s="59" t="str">
        <f aca="false">项目总控台账!D95</f>
        <v>生产发布</v>
      </c>
      <c r="E95" s="59" t="str">
        <f aca="false">IF(项目总控台账!E95="","",项目总控台账!E95)</f>
        <v>执行生产部署、数据切换和版本发布</v>
      </c>
      <c r="F95" s="59" t="str">
        <f aca="false">IF(项目总控台账!F95="","",项目总控台账!F95)</f>
        <v>MS016</v>
      </c>
      <c r="G95" s="60" t="str">
        <f aca="false">IF(项目总控台账!G95="","",项目总控台账!G95)</f>
        <v>未开始</v>
      </c>
      <c r="H95" s="59" t="str">
        <f aca="false">IF(项目总控台账!H95="","",项目总控台账!H95)</f>
        <v>配置人员</v>
      </c>
      <c r="I95" s="61" t="n">
        <f aca="false">IF(项目总控台账!I95="","",项目总控台账!I95)</f>
        <v>46538</v>
      </c>
      <c r="J95" s="61" t="n">
        <f aca="false">IF(项目总控台账!J95="","",项目总控台账!J95)</f>
        <v>46538</v>
      </c>
      <c r="K95" s="61" t="n">
        <f aca="false">IF(项目总控台账!K95="","",项目总控台账!K95)</f>
        <v>46538</v>
      </c>
      <c r="L95" s="59" t="str">
        <f aca="false">IF(项目总控台账!L95="","",项目总控台账!L95)</f>
        <v/>
      </c>
      <c r="M95" s="60" t="str">
        <f aca="false">IF(项目总控台账!M95="","",项目总控台账!M95)</f>
        <v/>
      </c>
      <c r="N95" s="61" t="str">
        <f aca="false">IF(项目总控台账!N95="","",项目总控台账!N95)</f>
        <v/>
      </c>
      <c r="O95" s="61" t="str">
        <f aca="false">IF(项目总控台账!O95="","",项目总控台账!O95)</f>
        <v/>
      </c>
      <c r="P95" s="59" t="str">
        <f aca="false">IF(项目总控台账!P95="","",项目总控台账!P95)</f>
        <v>配置人员</v>
      </c>
      <c r="Q95" s="60" t="str">
        <f aca="false">IF(项目总控台账!Q95="","",项目总控台账!Q95)</f>
        <v>未开始</v>
      </c>
      <c r="R95" s="61" t="n">
        <f aca="false">IF(项目总控台账!R95="","",项目总控台账!R95)</f>
        <v>46538</v>
      </c>
      <c r="S95" s="61" t="n">
        <f aca="false">IF(项目总控台账!S95="","",项目总控台账!S95)</f>
        <v>46538</v>
      </c>
      <c r="T95" s="59" t="str">
        <f aca="false">IF(项目总控台账!T95="","",项目总控台账!T95)</f>
        <v/>
      </c>
      <c r="U95" s="60" t="str">
        <f aca="false">IF(项目总控台账!U95="","",项目总控台账!U95)</f>
        <v/>
      </c>
      <c r="V95" s="61" t="str">
        <f aca="false">IF(项目总控台账!V95="","",项目总控台账!V95)</f>
        <v/>
      </c>
      <c r="W95" s="61" t="str">
        <f aca="false">IF(项目总控台账!W95="","",项目总控台账!W95)</f>
        <v/>
      </c>
      <c r="X95" s="59" t="str">
        <f aca="false">IF(项目总控台账!X95="","",项目总控台账!X95)</f>
        <v/>
      </c>
      <c r="Y95" s="60" t="str">
        <f aca="false">IF(项目总控台账!Y95="","",项目总控台账!Y95)</f>
        <v/>
      </c>
      <c r="Z95" s="61" t="str">
        <f aca="false">IF(项目总控台账!Z95="","",项目总控台账!Z95)</f>
        <v/>
      </c>
      <c r="AA95" s="61" t="str">
        <f aca="false">IF(项目总控台账!AA95="","",项目总控台账!AA95)</f>
        <v/>
      </c>
      <c r="AB95" s="62" t="n">
        <f aca="false">IF(项目总控台账!AB95="","",项目总控台账!AB95)</f>
        <v>0</v>
      </c>
      <c r="AC95" s="60" t="str">
        <f aca="false">IF(项目总控台账!AC95="","",项目总控台账!AC95)</f>
        <v>正常</v>
      </c>
      <c r="AD95" s="59" t="str">
        <f aca="false">IF(项目总控台账!AD95="","",项目总控台账!AD95)</f>
        <v/>
      </c>
      <c r="AE95" s="59" t="str">
        <f aca="false">IF(项目总控台账!AE95="","",项目总控台账!AE95)</f>
        <v/>
      </c>
      <c r="AF95" s="59" t="str">
        <f aca="false">IF(项目总控台账!AF95="","",项目总控台账!AF95)</f>
        <v/>
      </c>
      <c r="AG95" s="61" t="str">
        <f aca="false">IF(项目总控台账!AG95="","",项目总控台账!AG95)</f>
        <v/>
      </c>
      <c r="AH95" s="63" t="str">
        <f aca="false">IF(项目总控台账!AH95="","",项目总控台账!AH95)</f>
        <v/>
      </c>
    </row>
    <row r="96" customFormat="false" ht="33.75" hidden="false" customHeight="true" outlineLevel="0" collapsed="false">
      <c r="A96" s="59" t="str">
        <f aca="false">IF(项目总控台账!A96="","",项目总控台账!A96)</f>
        <v>T093</v>
      </c>
      <c r="B96" s="59" t="str">
        <f aca="false">项目总控台账!B95</f>
        <v>系统上线与试运行</v>
      </c>
      <c r="C96" s="59" t="str">
        <f aca="false">项目总控台账!C95</f>
        <v>生产上线并进入试运行</v>
      </c>
      <c r="D96" s="59" t="str">
        <f aca="false">项目总控台账!D96</f>
        <v>上线验证</v>
      </c>
      <c r="E96" s="59" t="str">
        <f aca="false">IF(项目总控台账!E96="","",项目总控台账!E96)</f>
        <v>执行生产冒烟和关键业务链路验证</v>
      </c>
      <c r="F96" s="59" t="str">
        <f aca="false">IF(项目总控台账!F96="","",项目总控台账!F96)</f>
        <v>MS016</v>
      </c>
      <c r="G96" s="60" t="str">
        <f aca="false">IF(项目总控台账!G96="","",项目总控台账!G96)</f>
        <v>未开始</v>
      </c>
      <c r="H96" s="59" t="str">
        <f aca="false">IF(项目总控台账!H96="","",项目总控台账!H96)</f>
        <v>高级测试人员、中级测试人员</v>
      </c>
      <c r="I96" s="61" t="n">
        <f aca="false">IF(项目总控台账!I96="","",项目总控台账!I96)</f>
        <v>46538</v>
      </c>
      <c r="J96" s="61" t="n">
        <f aca="false">IF(项目总控台账!J96="","",项目总控台账!J96)</f>
        <v>46538</v>
      </c>
      <c r="K96" s="61" t="n">
        <f aca="false">IF(项目总控台账!K96="","",项目总控台账!K96)</f>
        <v>46538</v>
      </c>
      <c r="L96" s="59" t="str">
        <f aca="false">IF(项目总控台账!L96="","",项目总控台账!L96)</f>
        <v/>
      </c>
      <c r="M96" s="60" t="str">
        <f aca="false">IF(项目总控台账!M96="","",项目总控台账!M96)</f>
        <v/>
      </c>
      <c r="N96" s="61" t="str">
        <f aca="false">IF(项目总控台账!N96="","",项目总控台账!N96)</f>
        <v/>
      </c>
      <c r="O96" s="61" t="str">
        <f aca="false">IF(项目总控台账!O96="","",项目总控台账!O96)</f>
        <v/>
      </c>
      <c r="P96" s="59" t="str">
        <f aca="false">IF(项目总控台账!P96="","",项目总控台账!P96)</f>
        <v/>
      </c>
      <c r="Q96" s="60" t="str">
        <f aca="false">IF(项目总控台账!Q96="","",项目总控台账!Q96)</f>
        <v/>
      </c>
      <c r="R96" s="61" t="str">
        <f aca="false">IF(项目总控台账!R96="","",项目总控台账!R96)</f>
        <v/>
      </c>
      <c r="S96" s="61" t="str">
        <f aca="false">IF(项目总控台账!S96="","",项目总控台账!S96)</f>
        <v/>
      </c>
      <c r="T96" s="59" t="str">
        <f aca="false">IF(项目总控台账!T96="","",项目总控台账!T96)</f>
        <v/>
      </c>
      <c r="U96" s="60" t="str">
        <f aca="false">IF(项目总控台账!U96="","",项目总控台账!U96)</f>
        <v/>
      </c>
      <c r="V96" s="61" t="str">
        <f aca="false">IF(项目总控台账!V96="","",项目总控台账!V96)</f>
        <v/>
      </c>
      <c r="W96" s="61" t="str">
        <f aca="false">IF(项目总控台账!W96="","",项目总控台账!W96)</f>
        <v/>
      </c>
      <c r="X96" s="59" t="str">
        <f aca="false">IF(项目总控台账!X96="","",项目总控台账!X96)</f>
        <v>高级测试人员、中级测试人员</v>
      </c>
      <c r="Y96" s="60" t="str">
        <f aca="false">IF(项目总控台账!Y96="","",项目总控台账!Y96)</f>
        <v>未开始</v>
      </c>
      <c r="Z96" s="61" t="n">
        <f aca="false">IF(项目总控台账!Z96="","",项目总控台账!Z96)</f>
        <v>46538</v>
      </c>
      <c r="AA96" s="61" t="n">
        <f aca="false">IF(项目总控台账!AA96="","",项目总控台账!AA96)</f>
        <v>46538</v>
      </c>
      <c r="AB96" s="62" t="n">
        <f aca="false">IF(项目总控台账!AB96="","",项目总控台账!AB96)</f>
        <v>0</v>
      </c>
      <c r="AC96" s="60" t="str">
        <f aca="false">IF(项目总控台账!AC96="","",项目总控台账!AC96)</f>
        <v>正常</v>
      </c>
      <c r="AD96" s="59" t="str">
        <f aca="false">IF(项目总控台账!AD96="","",项目总控台账!AD96)</f>
        <v/>
      </c>
      <c r="AE96" s="59" t="str">
        <f aca="false">IF(项目总控台账!AE96="","",项目总控台账!AE96)</f>
        <v/>
      </c>
      <c r="AF96" s="59" t="str">
        <f aca="false">IF(项目总控台账!AF96="","",项目总控台账!AF96)</f>
        <v/>
      </c>
      <c r="AG96" s="61" t="str">
        <f aca="false">IF(项目总控台账!AG96="","",项目总控台账!AG96)</f>
        <v/>
      </c>
      <c r="AH96" s="63" t="str">
        <f aca="false">IF(项目总控台账!AH96="","",项目总控台账!AH96)</f>
        <v/>
      </c>
    </row>
    <row r="97" customFormat="false" ht="33.75" hidden="false" customHeight="true" outlineLevel="0" collapsed="false">
      <c r="A97" s="59" t="str">
        <f aca="false">IF(项目总控台账!A97="","",项目总控台账!A97)</f>
        <v>T094</v>
      </c>
      <c r="B97" s="59" t="str">
        <f aca="false">项目总控台账!B95</f>
        <v>系统上线与试运行</v>
      </c>
      <c r="C97" s="59" t="str">
        <f aca="false">项目总控台账!C95</f>
        <v>生产上线并进入试运行</v>
      </c>
      <c r="D97" s="59" t="str">
        <f aca="false">项目总控台账!D97</f>
        <v>试运行</v>
      </c>
      <c r="E97" s="59" t="str">
        <f aca="false">IF(项目总控台账!E97="","",项目总控台账!E97)</f>
        <v>启动监控、问题响应和试运行支持</v>
      </c>
      <c r="F97" s="59" t="str">
        <f aca="false">IF(项目总控台账!F97="","",项目总控台账!F97)</f>
        <v>MS016</v>
      </c>
      <c r="G97" s="60" t="str">
        <f aca="false">IF(项目总控台账!G97="","",项目总控台账!G97)</f>
        <v>未开始</v>
      </c>
      <c r="H97" s="59" t="str">
        <f aca="false">IF(项目总控台账!H97="","",项目总控台账!H97)</f>
        <v>技术经理</v>
      </c>
      <c r="I97" s="61" t="n">
        <f aca="false">IF(项目总控台账!I97="","",项目总控台账!I97)</f>
        <v>46538</v>
      </c>
      <c r="J97" s="61" t="n">
        <f aca="false">IF(项目总控台账!J97="","",项目总控台账!J97)</f>
        <v>46538</v>
      </c>
      <c r="K97" s="61" t="n">
        <f aca="false">IF(项目总控台账!K97="","",项目总控台账!K97)</f>
        <v>46538</v>
      </c>
      <c r="L97" s="59" t="str">
        <f aca="false">IF(项目总控台账!L97="","",项目总控台账!L97)</f>
        <v/>
      </c>
      <c r="M97" s="60" t="str">
        <f aca="false">IF(项目总控台账!M97="","",项目总控台账!M97)</f>
        <v/>
      </c>
      <c r="N97" s="61" t="str">
        <f aca="false">IF(项目总控台账!N97="","",项目总控台账!N97)</f>
        <v/>
      </c>
      <c r="O97" s="61" t="str">
        <f aca="false">IF(项目总控台账!O97="","",项目总控台账!O97)</f>
        <v/>
      </c>
      <c r="P97" s="59" t="str">
        <f aca="false">IF(项目总控台账!P97="","",项目总控台账!P97)</f>
        <v>技术经理</v>
      </c>
      <c r="Q97" s="60" t="str">
        <f aca="false">IF(项目总控台账!Q97="","",项目总控台账!Q97)</f>
        <v>未开始</v>
      </c>
      <c r="R97" s="61" t="n">
        <f aca="false">IF(项目总控台账!R97="","",项目总控台账!R97)</f>
        <v>46538</v>
      </c>
      <c r="S97" s="61" t="n">
        <f aca="false">IF(项目总控台账!S97="","",项目总控台账!S97)</f>
        <v>46538</v>
      </c>
      <c r="T97" s="59" t="str">
        <f aca="false">IF(项目总控台账!T97="","",项目总控台账!T97)</f>
        <v/>
      </c>
      <c r="U97" s="60" t="str">
        <f aca="false">IF(项目总控台账!U97="","",项目总控台账!U97)</f>
        <v/>
      </c>
      <c r="V97" s="61" t="str">
        <f aca="false">IF(项目总控台账!V97="","",项目总控台账!V97)</f>
        <v/>
      </c>
      <c r="W97" s="61" t="str">
        <f aca="false">IF(项目总控台账!W97="","",项目总控台账!W97)</f>
        <v/>
      </c>
      <c r="X97" s="59" t="str">
        <f aca="false">IF(项目总控台账!X97="","",项目总控台账!X97)</f>
        <v/>
      </c>
      <c r="Y97" s="60" t="str">
        <f aca="false">IF(项目总控台账!Y97="","",项目总控台账!Y97)</f>
        <v/>
      </c>
      <c r="Z97" s="61" t="str">
        <f aca="false">IF(项目总控台账!Z97="","",项目总控台账!Z97)</f>
        <v/>
      </c>
      <c r="AA97" s="61" t="str">
        <f aca="false">IF(项目总控台账!AA97="","",项目总控台账!AA97)</f>
        <v/>
      </c>
      <c r="AB97" s="62" t="n">
        <f aca="false">IF(项目总控台账!AB97="","",项目总控台账!AB97)</f>
        <v>0</v>
      </c>
      <c r="AC97" s="60" t="str">
        <f aca="false">IF(项目总控台账!AC97="","",项目总控台账!AC97)</f>
        <v>正常</v>
      </c>
      <c r="AD97" s="59" t="str">
        <f aca="false">IF(项目总控台账!AD97="","",项目总控台账!AD97)</f>
        <v/>
      </c>
      <c r="AE97" s="59" t="str">
        <f aca="false">IF(项目总控台账!AE97="","",项目总控台账!AE97)</f>
        <v/>
      </c>
      <c r="AF97" s="59" t="str">
        <f aca="false">IF(项目总控台账!AF97="","",项目总控台账!AF97)</f>
        <v/>
      </c>
      <c r="AG97" s="61" t="str">
        <f aca="false">IF(项目总控台账!AG97="","",项目总控台账!AG97)</f>
        <v/>
      </c>
      <c r="AH97" s="63" t="str">
        <f aca="false">IF(项目总控台账!AH97="","",项目总控台账!AH97)</f>
        <v/>
      </c>
    </row>
    <row r="98" customFormat="false" ht="33.75" hidden="false" customHeight="true" outlineLevel="0" collapsed="false">
      <c r="A98" s="59" t="str">
        <f aca="false">IF(项目总控台账!A98="","",项目总控台账!A98)</f>
        <v>T095</v>
      </c>
      <c r="B98" s="59" t="str">
        <f aca="false">项目总控台账!B95</f>
        <v>系统上线与试运行</v>
      </c>
      <c r="C98" s="59" t="str">
        <f aca="false">项目总控台账!C95</f>
        <v>生产上线并进入试运行</v>
      </c>
      <c r="D98" s="59" t="str">
        <f aca="false">项目总控台账!D98</f>
        <v>上线确认</v>
      </c>
      <c r="E98" s="59" t="str">
        <f aca="false">IF(项目总控台账!E98="","",项目总控台账!E98)</f>
        <v>形成上线确认单和试运行跟踪计划</v>
      </c>
      <c r="F98" s="59" t="str">
        <f aca="false">IF(项目总控台账!F98="","",项目总控台账!F98)</f>
        <v>MS016</v>
      </c>
      <c r="G98" s="60" t="str">
        <f aca="false">IF(项目总控台账!G98="","",项目总控台账!G98)</f>
        <v>未开始</v>
      </c>
      <c r="H98" s="59" t="str">
        <f aca="false">IF(项目总控台账!H98="","",项目总控台账!H98)</f>
        <v>项目经理</v>
      </c>
      <c r="I98" s="61" t="n">
        <f aca="false">IF(项目总控台账!I98="","",项目总控台账!I98)</f>
        <v>46538</v>
      </c>
      <c r="J98" s="61" t="n">
        <f aca="false">IF(项目总控台账!J98="","",项目总控台账!J98)</f>
        <v>46538</v>
      </c>
      <c r="K98" s="61" t="n">
        <f aca="false">IF(项目总控台账!K98="","",项目总控台账!K98)</f>
        <v>46538</v>
      </c>
      <c r="L98" s="59" t="str">
        <f aca="false">IF(项目总控台账!L98="","",项目总控台账!L98)</f>
        <v>项目经理</v>
      </c>
      <c r="M98" s="60" t="str">
        <f aca="false">IF(项目总控台账!M98="","",项目总控台账!M98)</f>
        <v>未开始</v>
      </c>
      <c r="N98" s="61" t="n">
        <f aca="false">IF(项目总控台账!N98="","",项目总控台账!N98)</f>
        <v>46538</v>
      </c>
      <c r="O98" s="61" t="n">
        <f aca="false">IF(项目总控台账!O98="","",项目总控台账!O98)</f>
        <v>46538</v>
      </c>
      <c r="P98" s="59" t="str">
        <f aca="false">IF(项目总控台账!P98="","",项目总控台账!P98)</f>
        <v/>
      </c>
      <c r="Q98" s="60" t="str">
        <f aca="false">IF(项目总控台账!Q98="","",项目总控台账!Q98)</f>
        <v/>
      </c>
      <c r="R98" s="61" t="str">
        <f aca="false">IF(项目总控台账!R98="","",项目总控台账!R98)</f>
        <v/>
      </c>
      <c r="S98" s="61" t="str">
        <f aca="false">IF(项目总控台账!S98="","",项目总控台账!S98)</f>
        <v/>
      </c>
      <c r="T98" s="59" t="str">
        <f aca="false">IF(项目总控台账!T98="","",项目总控台账!T98)</f>
        <v/>
      </c>
      <c r="U98" s="60" t="str">
        <f aca="false">IF(项目总控台账!U98="","",项目总控台账!U98)</f>
        <v/>
      </c>
      <c r="V98" s="61" t="str">
        <f aca="false">IF(项目总控台账!V98="","",项目总控台账!V98)</f>
        <v/>
      </c>
      <c r="W98" s="61" t="str">
        <f aca="false">IF(项目总控台账!W98="","",项目总控台账!W98)</f>
        <v/>
      </c>
      <c r="X98" s="59" t="str">
        <f aca="false">IF(项目总控台账!X98="","",项目总控台账!X98)</f>
        <v/>
      </c>
      <c r="Y98" s="60" t="str">
        <f aca="false">IF(项目总控台账!Y98="","",项目总控台账!Y98)</f>
        <v/>
      </c>
      <c r="Z98" s="61" t="str">
        <f aca="false">IF(项目总控台账!Z98="","",项目总控台账!Z98)</f>
        <v/>
      </c>
      <c r="AA98" s="61" t="str">
        <f aca="false">IF(项目总控台账!AA98="","",项目总控台账!AA98)</f>
        <v/>
      </c>
      <c r="AB98" s="62" t="n">
        <f aca="false">IF(项目总控台账!AB98="","",项目总控台账!AB98)</f>
        <v>0</v>
      </c>
      <c r="AC98" s="60" t="str">
        <f aca="false">IF(项目总控台账!AC98="","",项目总控台账!AC98)</f>
        <v>正常</v>
      </c>
      <c r="AD98" s="59" t="str">
        <f aca="false">IF(项目总控台账!AD98="","",项目总控台账!AD98)</f>
        <v/>
      </c>
      <c r="AE98" s="59" t="str">
        <f aca="false">IF(项目总控台账!AE98="","",项目总控台账!AE98)</f>
        <v/>
      </c>
      <c r="AF98" s="59" t="str">
        <f aca="false">IF(项目总控台账!AF98="","",项目总控台账!AF98)</f>
        <v/>
      </c>
      <c r="AG98" s="61" t="str">
        <f aca="false">IF(项目总控台账!AG98="","",项目总控台账!AG98)</f>
        <v/>
      </c>
      <c r="AH98" s="63" t="str">
        <f aca="false">IF(项目总控台账!AH98="","",项目总控台账!AH98)</f>
        <v/>
      </c>
    </row>
    <row r="99" customFormat="false" ht="51" hidden="false" customHeight="true" outlineLevel="0" collapsed="false">
      <c r="A99" s="59" t="str">
        <f aca="false">IF(项目总控台账!A99="","",项目总控台账!A99)</f>
        <v>T096</v>
      </c>
      <c r="B99" s="59" t="str">
        <f aca="false">项目总控台账!B99</f>
        <v>大集中ERP</v>
      </c>
      <c r="C99" s="59" t="str">
        <f aca="false">项目总控台账!C99</f>
        <v>外部系统接口实施</v>
      </c>
      <c r="D99" s="59" t="str">
        <f aca="false">项目总控台账!D99</f>
        <v>设计</v>
      </c>
      <c r="E99" s="59" t="str">
        <f aca="false">IF(项目总控台账!E99="","",项目总控台账!E99)</f>
        <v>大集中ERPP0接口设计工作包：接口设计说明、字段映射、异常与安全方案通过评审</v>
      </c>
      <c r="F99" s="59" t="str">
        <f aca="false">IF(项目总控台账!F99="","",项目总控台账!F99)</f>
        <v>MS009</v>
      </c>
      <c r="G99" s="60" t="str">
        <f aca="false">IF(项目总控台账!G99="","",项目总控台账!G99)</f>
        <v>未开始</v>
      </c>
      <c r="H99" s="59" t="str">
        <f aca="false">IF(项目总控台账!H99="","",项目总控台账!H99)</f>
        <v>产品经理</v>
      </c>
      <c r="I99" s="61" t="n">
        <f aca="false">IF(项目总控台账!I99="","",项目总控台账!I99)</f>
        <v>46341</v>
      </c>
      <c r="J99" s="61" t="n">
        <f aca="false">IF(项目总控台账!J99="","",项目总控台账!J99)</f>
        <v>46367</v>
      </c>
      <c r="K99" s="61" t="n">
        <f aca="false">IF(项目总控台账!K99="","",项目总控台账!K99)</f>
        <v>46367</v>
      </c>
      <c r="L99" s="59" t="str">
        <f aca="false">IF(项目总控台账!L99="","",项目总控台账!L99)</f>
        <v>产品经理</v>
      </c>
      <c r="M99" s="60" t="str">
        <f aca="false">IF(项目总控台账!M99="","",项目总控台账!M99)</f>
        <v>未开始</v>
      </c>
      <c r="N99" s="61" t="n">
        <f aca="false">IF(项目总控台账!N99="","",项目总控台账!N99)</f>
        <v>46341</v>
      </c>
      <c r="O99" s="61" t="n">
        <f aca="false">IF(项目总控台账!O99="","",项目总控台账!O99)</f>
        <v>46367</v>
      </c>
      <c r="P99" s="59" t="str">
        <f aca="false">IF(项目总控台账!P99="","",项目总控台账!P99)</f>
        <v/>
      </c>
      <c r="Q99" s="60" t="str">
        <f aca="false">IF(项目总控台账!Q99="","",项目总控台账!Q99)</f>
        <v/>
      </c>
      <c r="R99" s="61" t="str">
        <f aca="false">IF(项目总控台账!R99="","",项目总控台账!R99)</f>
        <v/>
      </c>
      <c r="S99" s="61" t="str">
        <f aca="false">IF(项目总控台账!S99="","",项目总控台账!S99)</f>
        <v/>
      </c>
      <c r="T99" s="59" t="str">
        <f aca="false">IF(项目总控台账!T99="","",项目总控台账!T99)</f>
        <v/>
      </c>
      <c r="U99" s="60" t="str">
        <f aca="false">IF(项目总控台账!U99="","",项目总控台账!U99)</f>
        <v/>
      </c>
      <c r="V99" s="61" t="str">
        <f aca="false">IF(项目总控台账!V99="","",项目总控台账!V99)</f>
        <v/>
      </c>
      <c r="W99" s="61" t="str">
        <f aca="false">IF(项目总控台账!W99="","",项目总控台账!W99)</f>
        <v/>
      </c>
      <c r="X99" s="59" t="str">
        <f aca="false">IF(项目总控台账!X99="","",项目总控台账!X99)</f>
        <v/>
      </c>
      <c r="Y99" s="60" t="str">
        <f aca="false">IF(项目总控台账!Y99="","",项目总控台账!Y99)</f>
        <v/>
      </c>
      <c r="Z99" s="61" t="str">
        <f aca="false">IF(项目总控台账!Z99="","",项目总控台账!Z99)</f>
        <v/>
      </c>
      <c r="AA99" s="61" t="str">
        <f aca="false">IF(项目总控台账!AA99="","",项目总控台账!AA99)</f>
        <v/>
      </c>
      <c r="AB99" s="62" t="n">
        <f aca="false">IF(项目总控台账!AB99="","",项目总控台账!AB99)</f>
        <v>0</v>
      </c>
      <c r="AC99" s="60" t="str">
        <f aca="false">IF(项目总控台账!AC99="","",项目总控台账!AC99)</f>
        <v>正常</v>
      </c>
      <c r="AD99" s="59" t="str">
        <f aca="false">IF(项目总控台账!AD99="","",项目总控台账!AD99)</f>
        <v/>
      </c>
      <c r="AE99" s="59" t="str">
        <f aca="false">IF(项目总控台账!AE99="","",项目总控台账!AE99)</f>
        <v>实施明细见“04_系统集成管理/系统集成管理-20260918-V1.xlsx”；大集中ERP共23条P0接口</v>
      </c>
      <c r="AF99" s="59" t="str">
        <f aca="false">IF(项目总控台账!AF99="","",项目总控台账!AF99)</f>
        <v/>
      </c>
      <c r="AG99" s="61" t="str">
        <f aca="false">IF(项目总控台账!AG99="","",项目总控台账!AG99)</f>
        <v/>
      </c>
      <c r="AH99" s="63" t="str">
        <f aca="false">IF(项目总控台账!AH99="","",项目总控台账!AH99)</f>
        <v/>
      </c>
    </row>
    <row r="100" customFormat="false" ht="51" hidden="false" customHeight="true" outlineLevel="0" collapsed="false">
      <c r="A100" s="59" t="str">
        <f aca="false">IF(项目总控台账!A100="","",项目总控台账!A100)</f>
        <v>T097</v>
      </c>
      <c r="B100" s="59" t="str">
        <f aca="false">项目总控台账!B99</f>
        <v>大集中ERP</v>
      </c>
      <c r="C100" s="59" t="str">
        <f aca="false">项目总控台账!C100</f>
        <v>外部系统接口实施</v>
      </c>
      <c r="D100" s="59" t="str">
        <f aca="false">项目总控台账!D100</f>
        <v>开发</v>
      </c>
      <c r="E100" s="59" t="str">
        <f aca="false">IF(项目总控台账!E100="","",项目总控台账!E100)</f>
        <v>大集中ERPP0接口开发工作包：接口代码、自测记录及部署包完成</v>
      </c>
      <c r="F100" s="59" t="str">
        <f aca="false">IF(项目总控台账!F100="","",项目总控台账!F100)</f>
        <v>MS010</v>
      </c>
      <c r="G100" s="60" t="str">
        <f aca="false">IF(项目总控台账!G100="","",项目总控台账!G100)</f>
        <v>未开始</v>
      </c>
      <c r="H100" s="59" t="str">
        <f aca="false">IF(项目总控台账!H100="","",项目总控台账!H100)</f>
        <v>产品经理</v>
      </c>
      <c r="I100" s="61" t="n">
        <f aca="false">IF(项目总控台账!I100="","",项目总控台账!I100)</f>
        <v>46368</v>
      </c>
      <c r="J100" s="61" t="n">
        <f aca="false">IF(项目总控台账!J100="","",项目总控台账!J100)</f>
        <v>46430</v>
      </c>
      <c r="K100" s="61" t="n">
        <f aca="false">IF(项目总控台账!K100="","",项目总控台账!K100)</f>
        <v>46430</v>
      </c>
      <c r="L100" s="59" t="str">
        <f aca="false">IF(项目总控台账!L100="","",项目总控台账!L100)</f>
        <v>产品经理</v>
      </c>
      <c r="M100" s="60" t="str">
        <f aca="false">IF(项目总控台账!M100="","",项目总控台账!M100)</f>
        <v>未开始</v>
      </c>
      <c r="N100" s="61" t="n">
        <f aca="false">IF(项目总控台账!N100="","",项目总控台账!N100)</f>
        <v>46368</v>
      </c>
      <c r="O100" s="61" t="n">
        <f aca="false">IF(项目总控台账!O100="","",项目总控台账!O100)</f>
        <v>46430</v>
      </c>
      <c r="P100" s="59" t="str">
        <f aca="false">IF(项目总控台账!P100="","",项目总控台账!P100)</f>
        <v>高级开发人员-01</v>
      </c>
      <c r="Q100" s="60" t="str">
        <f aca="false">IF(项目总控台账!Q100="","",项目总控台账!Q100)</f>
        <v>未开始</v>
      </c>
      <c r="R100" s="61" t="n">
        <f aca="false">IF(项目总控台账!R100="","",项目总控台账!R100)</f>
        <v>46368</v>
      </c>
      <c r="S100" s="61" t="n">
        <f aca="false">IF(项目总控台账!S100="","",项目总控台账!S100)</f>
        <v>46430</v>
      </c>
      <c r="T100" s="59" t="str">
        <f aca="false">IF(项目总控台账!T100="","",项目总控台账!T100)</f>
        <v/>
      </c>
      <c r="U100" s="60" t="str">
        <f aca="false">IF(项目总控台账!U100="","",项目总控台账!U100)</f>
        <v/>
      </c>
      <c r="V100" s="61" t="str">
        <f aca="false">IF(项目总控台账!V100="","",项目总控台账!V100)</f>
        <v/>
      </c>
      <c r="W100" s="61" t="str">
        <f aca="false">IF(项目总控台账!W100="","",项目总控台账!W100)</f>
        <v/>
      </c>
      <c r="X100" s="59" t="str">
        <f aca="false">IF(项目总控台账!X100="","",项目总控台账!X100)</f>
        <v/>
      </c>
      <c r="Y100" s="60" t="str">
        <f aca="false">IF(项目总控台账!Y100="","",项目总控台账!Y100)</f>
        <v/>
      </c>
      <c r="Z100" s="61" t="str">
        <f aca="false">IF(项目总控台账!Z100="","",项目总控台账!Z100)</f>
        <v/>
      </c>
      <c r="AA100" s="61" t="str">
        <f aca="false">IF(项目总控台账!AA100="","",项目总控台账!AA100)</f>
        <v/>
      </c>
      <c r="AB100" s="62" t="n">
        <f aca="false">IF(项目总控台账!AB100="","",项目总控台账!AB100)</f>
        <v>0</v>
      </c>
      <c r="AC100" s="60" t="str">
        <f aca="false">IF(项目总控台账!AC100="","",项目总控台账!AC100)</f>
        <v>正常</v>
      </c>
      <c r="AD100" s="59" t="str">
        <f aca="false">IF(项目总控台账!AD100="","",项目总控台账!AD100)</f>
        <v/>
      </c>
      <c r="AE100" s="59" t="str">
        <f aca="false">IF(项目总控台账!AE100="","",项目总控台账!AE100)</f>
        <v>实施明细见“04_系统集成管理/系统集成管理-20260918-V1.xlsx”；大集中ERP共23条P0接口</v>
      </c>
      <c r="AF100" s="59" t="str">
        <f aca="false">IF(项目总控台账!AF100="","",项目总控台账!AF100)</f>
        <v/>
      </c>
      <c r="AG100" s="61" t="str">
        <f aca="false">IF(项目总控台账!AG100="","",项目总控台账!AG100)</f>
        <v/>
      </c>
      <c r="AH100" s="63" t="str">
        <f aca="false">IF(项目总控台账!AH100="","",项目总控台账!AH100)</f>
        <v/>
      </c>
    </row>
    <row r="101" customFormat="false" ht="51" hidden="false" customHeight="true" outlineLevel="0" collapsed="false">
      <c r="A101" s="59" t="str">
        <f aca="false">IF(项目总控台账!A101="","",项目总控台账!A101)</f>
        <v>T098</v>
      </c>
      <c r="B101" s="59" t="str">
        <f aca="false">项目总控台账!B99</f>
        <v>大集中ERP</v>
      </c>
      <c r="C101" s="59" t="str">
        <f aca="false">项目总控台账!C101</f>
        <v>外部系统接口实施</v>
      </c>
      <c r="D101" s="59" t="str">
        <f aca="false">项目总控台账!D101</f>
        <v>联调</v>
      </c>
      <c r="E101" s="59" t="str">
        <f aca="false">IF(项目总控台账!E101="","",项目总控台账!E101)</f>
        <v>大集中ERPP0接口联调工作包：双向联调通过，异常、重试与补偿验证完成</v>
      </c>
      <c r="F101" s="59" t="str">
        <f aca="false">IF(项目总控台账!F101="","",项目总控台账!F101)</f>
        <v>MS012</v>
      </c>
      <c r="G101" s="60" t="str">
        <f aca="false">IF(项目总控台账!G101="","",项目总控台账!G101)</f>
        <v>未开始</v>
      </c>
      <c r="H101" s="59" t="str">
        <f aca="false">IF(项目总控台账!H101="","",项目总控台账!H101)</f>
        <v>产品经理</v>
      </c>
      <c r="I101" s="61" t="n">
        <f aca="false">IF(项目总控台账!I101="","",项目总控台账!I101)</f>
        <v>46433</v>
      </c>
      <c r="J101" s="61" t="n">
        <f aca="false">IF(项目总控台账!J101="","",项目总控台账!J101)</f>
        <v>46451</v>
      </c>
      <c r="K101" s="61" t="n">
        <f aca="false">IF(项目总控台账!K101="","",项目总控台账!K101)</f>
        <v>46451</v>
      </c>
      <c r="L101" s="59" t="str">
        <f aca="false">IF(项目总控台账!L101="","",项目总控台账!L101)</f>
        <v>产品经理</v>
      </c>
      <c r="M101" s="60" t="str">
        <f aca="false">IF(项目总控台账!M101="","",项目总控台账!M101)</f>
        <v>未开始</v>
      </c>
      <c r="N101" s="61" t="n">
        <f aca="false">IF(项目总控台账!N101="","",项目总控台账!N101)</f>
        <v>46433</v>
      </c>
      <c r="O101" s="61" t="n">
        <f aca="false">IF(项目总控台账!O101="","",项目总控台账!O101)</f>
        <v>46451</v>
      </c>
      <c r="P101" s="59" t="str">
        <f aca="false">IF(项目总控台账!P101="","",项目总控台账!P101)</f>
        <v>高级开发人员-01</v>
      </c>
      <c r="Q101" s="60" t="str">
        <f aca="false">IF(项目总控台账!Q101="","",项目总控台账!Q101)</f>
        <v>未开始</v>
      </c>
      <c r="R101" s="61" t="n">
        <f aca="false">IF(项目总控台账!R101="","",项目总控台账!R101)</f>
        <v>46433</v>
      </c>
      <c r="S101" s="61" t="n">
        <f aca="false">IF(项目总控台账!S101="","",项目总控台账!S101)</f>
        <v>46451</v>
      </c>
      <c r="T101" s="59" t="str">
        <f aca="false">IF(项目总控台账!T101="","",项目总控台账!T101)</f>
        <v/>
      </c>
      <c r="U101" s="60" t="str">
        <f aca="false">IF(项目总控台账!U101="","",项目总控台账!U101)</f>
        <v/>
      </c>
      <c r="V101" s="61" t="str">
        <f aca="false">IF(项目总控台账!V101="","",项目总控台账!V101)</f>
        <v/>
      </c>
      <c r="W101" s="61" t="str">
        <f aca="false">IF(项目总控台账!W101="","",项目总控台账!W101)</f>
        <v/>
      </c>
      <c r="X101" s="59" t="str">
        <f aca="false">IF(项目总控台账!X101="","",项目总控台账!X101)</f>
        <v/>
      </c>
      <c r="Y101" s="60" t="str">
        <f aca="false">IF(项目总控台账!Y101="","",项目总控台账!Y101)</f>
        <v/>
      </c>
      <c r="Z101" s="61" t="str">
        <f aca="false">IF(项目总控台账!Z101="","",项目总控台账!Z101)</f>
        <v/>
      </c>
      <c r="AA101" s="61" t="str">
        <f aca="false">IF(项目总控台账!AA101="","",项目总控台账!AA101)</f>
        <v/>
      </c>
      <c r="AB101" s="62" t="n">
        <f aca="false">IF(项目总控台账!AB101="","",项目总控台账!AB101)</f>
        <v>0</v>
      </c>
      <c r="AC101" s="60" t="str">
        <f aca="false">IF(项目总控台账!AC101="","",项目总控台账!AC101)</f>
        <v>正常</v>
      </c>
      <c r="AD101" s="59" t="str">
        <f aca="false">IF(项目总控台账!AD101="","",项目总控台账!AD101)</f>
        <v/>
      </c>
      <c r="AE101" s="59" t="str">
        <f aca="false">IF(项目总控台账!AE101="","",项目总控台账!AE101)</f>
        <v>实施明细见“04_系统集成管理/系统集成管理-20260918-V1.xlsx”；大集中ERP共23条P0接口</v>
      </c>
      <c r="AF101" s="59" t="str">
        <f aca="false">IF(项目总控台账!AF101="","",项目总控台账!AF101)</f>
        <v/>
      </c>
      <c r="AG101" s="61" t="str">
        <f aca="false">IF(项目总控台账!AG101="","",项目总控台账!AG101)</f>
        <v/>
      </c>
      <c r="AH101" s="63" t="str">
        <f aca="false">IF(项目总控台账!AH101="","",项目总控台账!AH101)</f>
        <v/>
      </c>
    </row>
    <row r="102" customFormat="false" ht="51" hidden="false" customHeight="true" outlineLevel="0" collapsed="false">
      <c r="A102" s="59" t="str">
        <f aca="false">IF(项目总控台账!A102="","",项目总控台账!A102)</f>
        <v>T099</v>
      </c>
      <c r="B102" s="59" t="str">
        <f aca="false">项目总控台账!B99</f>
        <v>大集中ERP</v>
      </c>
      <c r="C102" s="59" t="str">
        <f aca="false">项目总控台账!C102</f>
        <v>外部系统接口实施</v>
      </c>
      <c r="D102" s="59" t="str">
        <f aca="false">项目总控台账!D102</f>
        <v>测试</v>
      </c>
      <c r="E102" s="59" t="str">
        <f aca="false">IF(项目总控台账!E102="","",项目总控台账!E102)</f>
        <v>大集中ERPP0接口测试工作包：集成测试用例执行通过，缺陷闭环</v>
      </c>
      <c r="F102" s="59" t="str">
        <f aca="false">IF(项目总控台账!F102="","",项目总控台账!F102)</f>
        <v>MS013</v>
      </c>
      <c r="G102" s="60" t="str">
        <f aca="false">IF(项目总控台账!G102="","",项目总控台账!G102)</f>
        <v>未开始</v>
      </c>
      <c r="H102" s="59" t="str">
        <f aca="false">IF(项目总控台账!H102="","",项目总控台账!H102)</f>
        <v>产品经理</v>
      </c>
      <c r="I102" s="61" t="n">
        <f aca="false">IF(项目总控台账!I102="","",项目总控台账!I102)</f>
        <v>46452</v>
      </c>
      <c r="J102" s="61" t="n">
        <f aca="false">IF(项目总控台账!J102="","",项目总控台账!J102)</f>
        <v>46492</v>
      </c>
      <c r="K102" s="61" t="n">
        <f aca="false">IF(项目总控台账!K102="","",项目总控台账!K102)</f>
        <v>46492</v>
      </c>
      <c r="L102" s="59" t="str">
        <f aca="false">IF(项目总控台账!L102="","",项目总控台账!L102)</f>
        <v>产品经理</v>
      </c>
      <c r="M102" s="60" t="str">
        <f aca="false">IF(项目总控台账!M102="","",项目总控台账!M102)</f>
        <v>未开始</v>
      </c>
      <c r="N102" s="61" t="n">
        <f aca="false">IF(项目总控台账!N102="","",项目总控台账!N102)</f>
        <v>46452</v>
      </c>
      <c r="O102" s="61" t="n">
        <f aca="false">IF(项目总控台账!O102="","",项目总控台账!O102)</f>
        <v>46492</v>
      </c>
      <c r="P102" s="59" t="str">
        <f aca="false">IF(项目总控台账!P102="","",项目总控台账!P102)</f>
        <v/>
      </c>
      <c r="Q102" s="60" t="str">
        <f aca="false">IF(项目总控台账!Q102="","",项目总控台账!Q102)</f>
        <v/>
      </c>
      <c r="R102" s="61" t="str">
        <f aca="false">IF(项目总控台账!R102="","",项目总控台账!R102)</f>
        <v/>
      </c>
      <c r="S102" s="61" t="str">
        <f aca="false">IF(项目总控台账!S102="","",项目总控台账!S102)</f>
        <v/>
      </c>
      <c r="T102" s="59" t="str">
        <f aca="false">IF(项目总控台账!T102="","",项目总控台账!T102)</f>
        <v/>
      </c>
      <c r="U102" s="60" t="str">
        <f aca="false">IF(项目总控台账!U102="","",项目总控台账!U102)</f>
        <v/>
      </c>
      <c r="V102" s="61" t="str">
        <f aca="false">IF(项目总控台账!V102="","",项目总控台账!V102)</f>
        <v/>
      </c>
      <c r="W102" s="61" t="str">
        <f aca="false">IF(项目总控台账!W102="","",项目总控台账!W102)</f>
        <v/>
      </c>
      <c r="X102" s="59" t="str">
        <f aca="false">IF(项目总控台账!X102="","",项目总控台账!X102)</f>
        <v>高级测试人员-01</v>
      </c>
      <c r="Y102" s="60" t="str">
        <f aca="false">IF(项目总控台账!Y102="","",项目总控台账!Y102)</f>
        <v>未开始</v>
      </c>
      <c r="Z102" s="61" t="n">
        <f aca="false">IF(项目总控台账!Z102="","",项目总控台账!Z102)</f>
        <v>46452</v>
      </c>
      <c r="AA102" s="61" t="n">
        <f aca="false">IF(项目总控台账!AA102="","",项目总控台账!AA102)</f>
        <v>46492</v>
      </c>
      <c r="AB102" s="62" t="n">
        <f aca="false">IF(项目总控台账!AB102="","",项目总控台账!AB102)</f>
        <v>0</v>
      </c>
      <c r="AC102" s="60" t="str">
        <f aca="false">IF(项目总控台账!AC102="","",项目总控台账!AC102)</f>
        <v>正常</v>
      </c>
      <c r="AD102" s="59" t="str">
        <f aca="false">IF(项目总控台账!AD102="","",项目总控台账!AD102)</f>
        <v/>
      </c>
      <c r="AE102" s="59" t="str">
        <f aca="false">IF(项目总控台账!AE102="","",项目总控台账!AE102)</f>
        <v>实施明细见“04_系统集成管理/系统集成管理-20260918-V1.xlsx”；大集中ERP共23条P0接口</v>
      </c>
      <c r="AF102" s="59" t="str">
        <f aca="false">IF(项目总控台账!AF102="","",项目总控台账!AF102)</f>
        <v/>
      </c>
      <c r="AG102" s="61" t="str">
        <f aca="false">IF(项目总控台账!AG102="","",项目总控台账!AG102)</f>
        <v/>
      </c>
      <c r="AH102" s="63" t="str">
        <f aca="false">IF(项目总控台账!AH102="","",项目总控台账!AH102)</f>
        <v/>
      </c>
    </row>
    <row r="103" customFormat="false" ht="51" hidden="false" customHeight="true" outlineLevel="0" collapsed="false">
      <c r="A103" s="59" t="str">
        <f aca="false">IF(项目总控台账!A103="","",项目总控台账!A103)</f>
        <v>T100</v>
      </c>
      <c r="B103" s="59" t="str">
        <f aca="false">项目总控台账!B99</f>
        <v>大集中ERP</v>
      </c>
      <c r="C103" s="59" t="str">
        <f aca="false">项目总控台账!C103</f>
        <v>外部系统接口实施</v>
      </c>
      <c r="D103" s="59" t="str">
        <f aca="false">项目总控台账!D103</f>
        <v>上线准备</v>
      </c>
      <c r="E103" s="59" t="str">
        <f aca="false">IF(项目总控台账!E103="","",项目总控台账!E103)</f>
        <v>大集中ERPP0接口上线准备工作包：生产配置、发布步骤和回退方案就绪</v>
      </c>
      <c r="F103" s="59" t="str">
        <f aca="false">IF(项目总控台账!F103="","",项目总控台账!F103)</f>
        <v>MS015</v>
      </c>
      <c r="G103" s="60" t="str">
        <f aca="false">IF(项目总控台账!G103="","",项目总控台账!G103)</f>
        <v>未开始</v>
      </c>
      <c r="H103" s="59" t="str">
        <f aca="false">IF(项目总控台账!H103="","",项目总控台账!H103)</f>
        <v>产品经理</v>
      </c>
      <c r="I103" s="61" t="n">
        <f aca="false">IF(项目总控台账!I103="","",项目总控台账!I103)</f>
        <v>46518</v>
      </c>
      <c r="J103" s="61" t="n">
        <f aca="false">IF(项目总控台账!J103="","",项目总控台账!J103)</f>
        <v>46531</v>
      </c>
      <c r="K103" s="61" t="n">
        <f aca="false">IF(项目总控台账!K103="","",项目总控台账!K103)</f>
        <v>46531</v>
      </c>
      <c r="L103" s="59" t="str">
        <f aca="false">IF(项目总控台账!L103="","",项目总控台账!L103)</f>
        <v>产品经理</v>
      </c>
      <c r="M103" s="60" t="str">
        <f aca="false">IF(项目总控台账!M103="","",项目总控台账!M103)</f>
        <v>未开始</v>
      </c>
      <c r="N103" s="61" t="n">
        <f aca="false">IF(项目总控台账!N103="","",项目总控台账!N103)</f>
        <v>46518</v>
      </c>
      <c r="O103" s="61" t="n">
        <f aca="false">IF(项目总控台账!O103="","",项目总控台账!O103)</f>
        <v>46531</v>
      </c>
      <c r="P103" s="59" t="str">
        <f aca="false">IF(项目总控台账!P103="","",项目总控台账!P103)</f>
        <v/>
      </c>
      <c r="Q103" s="60" t="str">
        <f aca="false">IF(项目总控台账!Q103="","",项目总控台账!Q103)</f>
        <v/>
      </c>
      <c r="R103" s="61" t="str">
        <f aca="false">IF(项目总控台账!R103="","",项目总控台账!R103)</f>
        <v/>
      </c>
      <c r="S103" s="61" t="str">
        <f aca="false">IF(项目总控台账!S103="","",项目总控台账!S103)</f>
        <v/>
      </c>
      <c r="T103" s="59" t="str">
        <f aca="false">IF(项目总控台账!T103="","",项目总控台账!T103)</f>
        <v/>
      </c>
      <c r="U103" s="60" t="str">
        <f aca="false">IF(项目总控台账!U103="","",项目总控台账!U103)</f>
        <v/>
      </c>
      <c r="V103" s="61" t="str">
        <f aca="false">IF(项目总控台账!V103="","",项目总控台账!V103)</f>
        <v/>
      </c>
      <c r="W103" s="61" t="str">
        <f aca="false">IF(项目总控台账!W103="","",项目总控台账!W103)</f>
        <v/>
      </c>
      <c r="X103" s="59" t="str">
        <f aca="false">IF(项目总控台账!X103="","",项目总控台账!X103)</f>
        <v/>
      </c>
      <c r="Y103" s="60" t="str">
        <f aca="false">IF(项目总控台账!Y103="","",项目总控台账!Y103)</f>
        <v/>
      </c>
      <c r="Z103" s="61" t="str">
        <f aca="false">IF(项目总控台账!Z103="","",项目总控台账!Z103)</f>
        <v/>
      </c>
      <c r="AA103" s="61" t="str">
        <f aca="false">IF(项目总控台账!AA103="","",项目总控台账!AA103)</f>
        <v/>
      </c>
      <c r="AB103" s="62" t="n">
        <f aca="false">IF(项目总控台账!AB103="","",项目总控台账!AB103)</f>
        <v>0</v>
      </c>
      <c r="AC103" s="60" t="str">
        <f aca="false">IF(项目总控台账!AC103="","",项目总控台账!AC103)</f>
        <v>正常</v>
      </c>
      <c r="AD103" s="59" t="str">
        <f aca="false">IF(项目总控台账!AD103="","",项目总控台账!AD103)</f>
        <v/>
      </c>
      <c r="AE103" s="59" t="str">
        <f aca="false">IF(项目总控台账!AE103="","",项目总控台账!AE103)</f>
        <v>实施明细见“04_系统集成管理/系统集成管理-20260918-V1.xlsx”；大集中ERP共23条P0接口</v>
      </c>
      <c r="AF103" s="59" t="str">
        <f aca="false">IF(项目总控台账!AF103="","",项目总控台账!AF103)</f>
        <v/>
      </c>
      <c r="AG103" s="61" t="str">
        <f aca="false">IF(项目总控台账!AG103="","",项目总控台账!AG103)</f>
        <v/>
      </c>
      <c r="AH103" s="63" t="str">
        <f aca="false">IF(项目总控台账!AH103="","",项目总控台账!AH103)</f>
        <v/>
      </c>
    </row>
    <row r="104" customFormat="false" ht="51" hidden="false" customHeight="true" outlineLevel="0" collapsed="false">
      <c r="A104" s="59" t="str">
        <f aca="false">IF(项目总控台账!A104="","",项目总控台账!A104)</f>
        <v>T101</v>
      </c>
      <c r="B104" s="59" t="str">
        <f aca="false">项目总控台账!B104</f>
        <v>昆仑ERP</v>
      </c>
      <c r="C104" s="59" t="str">
        <f aca="false">项目总控台账!C104</f>
        <v>外部系统接口实施</v>
      </c>
      <c r="D104" s="59" t="str">
        <f aca="false">项目总控台账!D104</f>
        <v>设计</v>
      </c>
      <c r="E104" s="59" t="str">
        <f aca="false">IF(项目总控台账!E104="","",项目总控台账!E104)</f>
        <v>昆仑ERPP0接口设计工作包：接口设计说明、字段映射、异常与安全方案通过评审</v>
      </c>
      <c r="F104" s="59" t="str">
        <f aca="false">IF(项目总控台账!F104="","",项目总控台账!F104)</f>
        <v>MS009</v>
      </c>
      <c r="G104" s="60" t="str">
        <f aca="false">IF(项目总控台账!G104="","",项目总控台账!G104)</f>
        <v>未开始</v>
      </c>
      <c r="H104" s="59" t="str">
        <f aca="false">IF(项目总控台账!H104="","",项目总控台账!H104)</f>
        <v>产品经理</v>
      </c>
      <c r="I104" s="61" t="n">
        <f aca="false">IF(项目总控台账!I104="","",项目总控台账!I104)</f>
        <v>46341</v>
      </c>
      <c r="J104" s="61" t="n">
        <f aca="false">IF(项目总控台账!J104="","",项目总控台账!J104)</f>
        <v>46367</v>
      </c>
      <c r="K104" s="61" t="n">
        <f aca="false">IF(项目总控台账!K104="","",项目总控台账!K104)</f>
        <v>46367</v>
      </c>
      <c r="L104" s="59" t="str">
        <f aca="false">IF(项目总控台账!L104="","",项目总控台账!L104)</f>
        <v>产品经理</v>
      </c>
      <c r="M104" s="60" t="str">
        <f aca="false">IF(项目总控台账!M104="","",项目总控台账!M104)</f>
        <v>未开始</v>
      </c>
      <c r="N104" s="61" t="n">
        <f aca="false">IF(项目总控台账!N104="","",项目总控台账!N104)</f>
        <v>46341</v>
      </c>
      <c r="O104" s="61" t="n">
        <f aca="false">IF(项目总控台账!O104="","",项目总控台账!O104)</f>
        <v>46367</v>
      </c>
      <c r="P104" s="59" t="str">
        <f aca="false">IF(项目总控台账!P104="","",项目总控台账!P104)</f>
        <v/>
      </c>
      <c r="Q104" s="60" t="str">
        <f aca="false">IF(项目总控台账!Q104="","",项目总控台账!Q104)</f>
        <v/>
      </c>
      <c r="R104" s="61" t="str">
        <f aca="false">IF(项目总控台账!R104="","",项目总控台账!R104)</f>
        <v/>
      </c>
      <c r="S104" s="61" t="str">
        <f aca="false">IF(项目总控台账!S104="","",项目总控台账!S104)</f>
        <v/>
      </c>
      <c r="T104" s="59" t="str">
        <f aca="false">IF(项目总控台账!T104="","",项目总控台账!T104)</f>
        <v/>
      </c>
      <c r="U104" s="60" t="str">
        <f aca="false">IF(项目总控台账!U104="","",项目总控台账!U104)</f>
        <v/>
      </c>
      <c r="V104" s="61" t="str">
        <f aca="false">IF(项目总控台账!V104="","",项目总控台账!V104)</f>
        <v/>
      </c>
      <c r="W104" s="61" t="str">
        <f aca="false">IF(项目总控台账!W104="","",项目总控台账!W104)</f>
        <v/>
      </c>
      <c r="X104" s="59" t="str">
        <f aca="false">IF(项目总控台账!X104="","",项目总控台账!X104)</f>
        <v/>
      </c>
      <c r="Y104" s="60" t="str">
        <f aca="false">IF(项目总控台账!Y104="","",项目总控台账!Y104)</f>
        <v/>
      </c>
      <c r="Z104" s="61" t="str">
        <f aca="false">IF(项目总控台账!Z104="","",项目总控台账!Z104)</f>
        <v/>
      </c>
      <c r="AA104" s="61" t="str">
        <f aca="false">IF(项目总控台账!AA104="","",项目总控台账!AA104)</f>
        <v/>
      </c>
      <c r="AB104" s="62" t="n">
        <f aca="false">IF(项目总控台账!AB104="","",项目总控台账!AB104)</f>
        <v>0</v>
      </c>
      <c r="AC104" s="60" t="str">
        <f aca="false">IF(项目总控台账!AC104="","",项目总控台账!AC104)</f>
        <v>正常</v>
      </c>
      <c r="AD104" s="59" t="str">
        <f aca="false">IF(项目总控台账!AD104="","",项目总控台账!AD104)</f>
        <v/>
      </c>
      <c r="AE104" s="59" t="str">
        <f aca="false">IF(项目总控台账!AE104="","",项目总控台账!AE104)</f>
        <v>实施明细见“04_系统集成管理/系统集成管理-20260918-V1.xlsx”；昆仑ERP共23条P0接口</v>
      </c>
      <c r="AF104" s="59" t="str">
        <f aca="false">IF(项目总控台账!AF104="","",项目总控台账!AF104)</f>
        <v/>
      </c>
      <c r="AG104" s="61" t="str">
        <f aca="false">IF(项目总控台账!AG104="","",项目总控台账!AG104)</f>
        <v/>
      </c>
      <c r="AH104" s="63" t="str">
        <f aca="false">IF(项目总控台账!AH104="","",项目总控台账!AH104)</f>
        <v/>
      </c>
    </row>
    <row r="105" customFormat="false" ht="51" hidden="false" customHeight="true" outlineLevel="0" collapsed="false">
      <c r="A105" s="59" t="str">
        <f aca="false">IF(项目总控台账!A105="","",项目总控台账!A105)</f>
        <v>T102</v>
      </c>
      <c r="B105" s="59" t="str">
        <f aca="false">项目总控台账!B104</f>
        <v>昆仑ERP</v>
      </c>
      <c r="C105" s="59" t="str">
        <f aca="false">项目总控台账!C105</f>
        <v>外部系统接口实施</v>
      </c>
      <c r="D105" s="59" t="str">
        <f aca="false">项目总控台账!D105</f>
        <v>开发</v>
      </c>
      <c r="E105" s="59" t="str">
        <f aca="false">IF(项目总控台账!E105="","",项目总控台账!E105)</f>
        <v>昆仑ERPP0接口开发工作包：接口代码、自测记录及部署包完成</v>
      </c>
      <c r="F105" s="59" t="str">
        <f aca="false">IF(项目总控台账!F105="","",项目总控台账!F105)</f>
        <v>MS010</v>
      </c>
      <c r="G105" s="60" t="str">
        <f aca="false">IF(项目总控台账!G105="","",项目总控台账!G105)</f>
        <v>未开始</v>
      </c>
      <c r="H105" s="59" t="str">
        <f aca="false">IF(项目总控台账!H105="","",项目总控台账!H105)</f>
        <v>产品经理</v>
      </c>
      <c r="I105" s="61" t="n">
        <f aca="false">IF(项目总控台账!I105="","",项目总控台账!I105)</f>
        <v>46368</v>
      </c>
      <c r="J105" s="61" t="n">
        <f aca="false">IF(项目总控台账!J105="","",项目总控台账!J105)</f>
        <v>46430</v>
      </c>
      <c r="K105" s="61" t="n">
        <f aca="false">IF(项目总控台账!K105="","",项目总控台账!K105)</f>
        <v>46430</v>
      </c>
      <c r="L105" s="59" t="str">
        <f aca="false">IF(项目总控台账!L105="","",项目总控台账!L105)</f>
        <v>产品经理</v>
      </c>
      <c r="M105" s="60" t="str">
        <f aca="false">IF(项目总控台账!M105="","",项目总控台账!M105)</f>
        <v>未开始</v>
      </c>
      <c r="N105" s="61" t="n">
        <f aca="false">IF(项目总控台账!N105="","",项目总控台账!N105)</f>
        <v>46368</v>
      </c>
      <c r="O105" s="61" t="n">
        <f aca="false">IF(项目总控台账!O105="","",项目总控台账!O105)</f>
        <v>46430</v>
      </c>
      <c r="P105" s="59" t="str">
        <f aca="false">IF(项目总控台账!P105="","",项目总控台账!P105)</f>
        <v>高级开发人员-02</v>
      </c>
      <c r="Q105" s="60" t="str">
        <f aca="false">IF(项目总控台账!Q105="","",项目总控台账!Q105)</f>
        <v>未开始</v>
      </c>
      <c r="R105" s="61" t="n">
        <f aca="false">IF(项目总控台账!R105="","",项目总控台账!R105)</f>
        <v>46368</v>
      </c>
      <c r="S105" s="61" t="n">
        <f aca="false">IF(项目总控台账!S105="","",项目总控台账!S105)</f>
        <v>46430</v>
      </c>
      <c r="T105" s="59" t="str">
        <f aca="false">IF(项目总控台账!T105="","",项目总控台账!T105)</f>
        <v/>
      </c>
      <c r="U105" s="60" t="str">
        <f aca="false">IF(项目总控台账!U105="","",项目总控台账!U105)</f>
        <v/>
      </c>
      <c r="V105" s="61" t="str">
        <f aca="false">IF(项目总控台账!V105="","",项目总控台账!V105)</f>
        <v/>
      </c>
      <c r="W105" s="61" t="str">
        <f aca="false">IF(项目总控台账!W105="","",项目总控台账!W105)</f>
        <v/>
      </c>
      <c r="X105" s="59" t="str">
        <f aca="false">IF(项目总控台账!X105="","",项目总控台账!X105)</f>
        <v/>
      </c>
      <c r="Y105" s="60" t="str">
        <f aca="false">IF(项目总控台账!Y105="","",项目总控台账!Y105)</f>
        <v/>
      </c>
      <c r="Z105" s="61" t="str">
        <f aca="false">IF(项目总控台账!Z105="","",项目总控台账!Z105)</f>
        <v/>
      </c>
      <c r="AA105" s="61" t="str">
        <f aca="false">IF(项目总控台账!AA105="","",项目总控台账!AA105)</f>
        <v/>
      </c>
      <c r="AB105" s="62" t="n">
        <f aca="false">IF(项目总控台账!AB105="","",项目总控台账!AB105)</f>
        <v>0</v>
      </c>
      <c r="AC105" s="60" t="str">
        <f aca="false">IF(项目总控台账!AC105="","",项目总控台账!AC105)</f>
        <v>正常</v>
      </c>
      <c r="AD105" s="59" t="str">
        <f aca="false">IF(项目总控台账!AD105="","",项目总控台账!AD105)</f>
        <v/>
      </c>
      <c r="AE105" s="59" t="str">
        <f aca="false">IF(项目总控台账!AE105="","",项目总控台账!AE105)</f>
        <v>实施明细见“04_系统集成管理/系统集成管理-20260918-V1.xlsx”；昆仑ERP共23条P0接口</v>
      </c>
      <c r="AF105" s="59" t="str">
        <f aca="false">IF(项目总控台账!AF105="","",项目总控台账!AF105)</f>
        <v/>
      </c>
      <c r="AG105" s="61" t="str">
        <f aca="false">IF(项目总控台账!AG105="","",项目总控台账!AG105)</f>
        <v/>
      </c>
      <c r="AH105" s="63" t="str">
        <f aca="false">IF(项目总控台账!AH105="","",项目总控台账!AH105)</f>
        <v/>
      </c>
    </row>
    <row r="106" customFormat="false" ht="51" hidden="false" customHeight="true" outlineLevel="0" collapsed="false">
      <c r="A106" s="59" t="str">
        <f aca="false">IF(项目总控台账!A106="","",项目总控台账!A106)</f>
        <v>T103</v>
      </c>
      <c r="B106" s="59" t="str">
        <f aca="false">项目总控台账!B104</f>
        <v>昆仑ERP</v>
      </c>
      <c r="C106" s="59" t="str">
        <f aca="false">项目总控台账!C106</f>
        <v>外部系统接口实施</v>
      </c>
      <c r="D106" s="59" t="str">
        <f aca="false">项目总控台账!D106</f>
        <v>联调</v>
      </c>
      <c r="E106" s="59" t="str">
        <f aca="false">IF(项目总控台账!E106="","",项目总控台账!E106)</f>
        <v>昆仑ERPP0接口联调工作包：双向联调通过，异常、重试与补偿验证完成</v>
      </c>
      <c r="F106" s="59" t="str">
        <f aca="false">IF(项目总控台账!F106="","",项目总控台账!F106)</f>
        <v>MS012</v>
      </c>
      <c r="G106" s="60" t="str">
        <f aca="false">IF(项目总控台账!G106="","",项目总控台账!G106)</f>
        <v>未开始</v>
      </c>
      <c r="H106" s="59" t="str">
        <f aca="false">IF(项目总控台账!H106="","",项目总控台账!H106)</f>
        <v>产品经理</v>
      </c>
      <c r="I106" s="61" t="n">
        <f aca="false">IF(项目总控台账!I106="","",项目总控台账!I106)</f>
        <v>46433</v>
      </c>
      <c r="J106" s="61" t="n">
        <f aca="false">IF(项目总控台账!J106="","",项目总控台账!J106)</f>
        <v>46451</v>
      </c>
      <c r="K106" s="61" t="n">
        <f aca="false">IF(项目总控台账!K106="","",项目总控台账!K106)</f>
        <v>46451</v>
      </c>
      <c r="L106" s="59" t="str">
        <f aca="false">IF(项目总控台账!L106="","",项目总控台账!L106)</f>
        <v>产品经理</v>
      </c>
      <c r="M106" s="60" t="str">
        <f aca="false">IF(项目总控台账!M106="","",项目总控台账!M106)</f>
        <v>未开始</v>
      </c>
      <c r="N106" s="61" t="n">
        <f aca="false">IF(项目总控台账!N106="","",项目总控台账!N106)</f>
        <v>46433</v>
      </c>
      <c r="O106" s="61" t="n">
        <f aca="false">IF(项目总控台账!O106="","",项目总控台账!O106)</f>
        <v>46451</v>
      </c>
      <c r="P106" s="59" t="str">
        <f aca="false">IF(项目总控台账!P106="","",项目总控台账!P106)</f>
        <v>高级开发人员-02</v>
      </c>
      <c r="Q106" s="60" t="str">
        <f aca="false">IF(项目总控台账!Q106="","",项目总控台账!Q106)</f>
        <v>未开始</v>
      </c>
      <c r="R106" s="61" t="n">
        <f aca="false">IF(项目总控台账!R106="","",项目总控台账!R106)</f>
        <v>46433</v>
      </c>
      <c r="S106" s="61" t="n">
        <f aca="false">IF(项目总控台账!S106="","",项目总控台账!S106)</f>
        <v>46451</v>
      </c>
      <c r="T106" s="59" t="str">
        <f aca="false">IF(项目总控台账!T106="","",项目总控台账!T106)</f>
        <v/>
      </c>
      <c r="U106" s="60" t="str">
        <f aca="false">IF(项目总控台账!U106="","",项目总控台账!U106)</f>
        <v/>
      </c>
      <c r="V106" s="61" t="str">
        <f aca="false">IF(项目总控台账!V106="","",项目总控台账!V106)</f>
        <v/>
      </c>
      <c r="W106" s="61" t="str">
        <f aca="false">IF(项目总控台账!W106="","",项目总控台账!W106)</f>
        <v/>
      </c>
      <c r="X106" s="59" t="str">
        <f aca="false">IF(项目总控台账!X106="","",项目总控台账!X106)</f>
        <v/>
      </c>
      <c r="Y106" s="60" t="str">
        <f aca="false">IF(项目总控台账!Y106="","",项目总控台账!Y106)</f>
        <v/>
      </c>
      <c r="Z106" s="61" t="str">
        <f aca="false">IF(项目总控台账!Z106="","",项目总控台账!Z106)</f>
        <v/>
      </c>
      <c r="AA106" s="61" t="str">
        <f aca="false">IF(项目总控台账!AA106="","",项目总控台账!AA106)</f>
        <v/>
      </c>
      <c r="AB106" s="62" t="n">
        <f aca="false">IF(项目总控台账!AB106="","",项目总控台账!AB106)</f>
        <v>0</v>
      </c>
      <c r="AC106" s="60" t="str">
        <f aca="false">IF(项目总控台账!AC106="","",项目总控台账!AC106)</f>
        <v>正常</v>
      </c>
      <c r="AD106" s="59" t="str">
        <f aca="false">IF(项目总控台账!AD106="","",项目总控台账!AD106)</f>
        <v/>
      </c>
      <c r="AE106" s="59" t="str">
        <f aca="false">IF(项目总控台账!AE106="","",项目总控台账!AE106)</f>
        <v>实施明细见“04_系统集成管理/系统集成管理-20260918-V1.xlsx”；昆仑ERP共23条P0接口</v>
      </c>
      <c r="AF106" s="59" t="str">
        <f aca="false">IF(项目总控台账!AF106="","",项目总控台账!AF106)</f>
        <v/>
      </c>
      <c r="AG106" s="61" t="str">
        <f aca="false">IF(项目总控台账!AG106="","",项目总控台账!AG106)</f>
        <v/>
      </c>
      <c r="AH106" s="63" t="str">
        <f aca="false">IF(项目总控台账!AH106="","",项目总控台账!AH106)</f>
        <v/>
      </c>
    </row>
    <row r="107" customFormat="false" ht="51" hidden="false" customHeight="true" outlineLevel="0" collapsed="false">
      <c r="A107" s="59" t="str">
        <f aca="false">IF(项目总控台账!A107="","",项目总控台账!A107)</f>
        <v>T104</v>
      </c>
      <c r="B107" s="59" t="str">
        <f aca="false">项目总控台账!B104</f>
        <v>昆仑ERP</v>
      </c>
      <c r="C107" s="59" t="str">
        <f aca="false">项目总控台账!C107</f>
        <v>外部系统接口实施</v>
      </c>
      <c r="D107" s="59" t="str">
        <f aca="false">项目总控台账!D107</f>
        <v>测试</v>
      </c>
      <c r="E107" s="59" t="str">
        <f aca="false">IF(项目总控台账!E107="","",项目总控台账!E107)</f>
        <v>昆仑ERPP0接口测试工作包：集成测试用例执行通过，缺陷闭环</v>
      </c>
      <c r="F107" s="59" t="str">
        <f aca="false">IF(项目总控台账!F107="","",项目总控台账!F107)</f>
        <v>MS013</v>
      </c>
      <c r="G107" s="60" t="str">
        <f aca="false">IF(项目总控台账!G107="","",项目总控台账!G107)</f>
        <v>未开始</v>
      </c>
      <c r="H107" s="59" t="str">
        <f aca="false">IF(项目总控台账!H107="","",项目总控台账!H107)</f>
        <v>产品经理</v>
      </c>
      <c r="I107" s="61" t="n">
        <f aca="false">IF(项目总控台账!I107="","",项目总控台账!I107)</f>
        <v>46452</v>
      </c>
      <c r="J107" s="61" t="n">
        <f aca="false">IF(项目总控台账!J107="","",项目总控台账!J107)</f>
        <v>46492</v>
      </c>
      <c r="K107" s="61" t="n">
        <f aca="false">IF(项目总控台账!K107="","",项目总控台账!K107)</f>
        <v>46492</v>
      </c>
      <c r="L107" s="59" t="str">
        <f aca="false">IF(项目总控台账!L107="","",项目总控台账!L107)</f>
        <v>产品经理</v>
      </c>
      <c r="M107" s="60" t="str">
        <f aca="false">IF(项目总控台账!M107="","",项目总控台账!M107)</f>
        <v>未开始</v>
      </c>
      <c r="N107" s="61" t="n">
        <f aca="false">IF(项目总控台账!N107="","",项目总控台账!N107)</f>
        <v>46452</v>
      </c>
      <c r="O107" s="61" t="n">
        <f aca="false">IF(项目总控台账!O107="","",项目总控台账!O107)</f>
        <v>46492</v>
      </c>
      <c r="P107" s="59" t="str">
        <f aca="false">IF(项目总控台账!P107="","",项目总控台账!P107)</f>
        <v/>
      </c>
      <c r="Q107" s="60" t="str">
        <f aca="false">IF(项目总控台账!Q107="","",项目总控台账!Q107)</f>
        <v/>
      </c>
      <c r="R107" s="61" t="str">
        <f aca="false">IF(项目总控台账!R107="","",项目总控台账!R107)</f>
        <v/>
      </c>
      <c r="S107" s="61" t="str">
        <f aca="false">IF(项目总控台账!S107="","",项目总控台账!S107)</f>
        <v/>
      </c>
      <c r="T107" s="59" t="str">
        <f aca="false">IF(项目总控台账!T107="","",项目总控台账!T107)</f>
        <v/>
      </c>
      <c r="U107" s="60" t="str">
        <f aca="false">IF(项目总控台账!U107="","",项目总控台账!U107)</f>
        <v/>
      </c>
      <c r="V107" s="61" t="str">
        <f aca="false">IF(项目总控台账!V107="","",项目总控台账!V107)</f>
        <v/>
      </c>
      <c r="W107" s="61" t="str">
        <f aca="false">IF(项目总控台账!W107="","",项目总控台账!W107)</f>
        <v/>
      </c>
      <c r="X107" s="59" t="str">
        <f aca="false">IF(项目总控台账!X107="","",项目总控台账!X107)</f>
        <v>中级测试人员-01</v>
      </c>
      <c r="Y107" s="60" t="str">
        <f aca="false">IF(项目总控台账!Y107="","",项目总控台账!Y107)</f>
        <v>未开始</v>
      </c>
      <c r="Z107" s="61" t="n">
        <f aca="false">IF(项目总控台账!Z107="","",项目总控台账!Z107)</f>
        <v>46452</v>
      </c>
      <c r="AA107" s="61" t="n">
        <f aca="false">IF(项目总控台账!AA107="","",项目总控台账!AA107)</f>
        <v>46492</v>
      </c>
      <c r="AB107" s="62" t="n">
        <f aca="false">IF(项目总控台账!AB107="","",项目总控台账!AB107)</f>
        <v>0</v>
      </c>
      <c r="AC107" s="60" t="str">
        <f aca="false">IF(项目总控台账!AC107="","",项目总控台账!AC107)</f>
        <v>正常</v>
      </c>
      <c r="AD107" s="59" t="str">
        <f aca="false">IF(项目总控台账!AD107="","",项目总控台账!AD107)</f>
        <v/>
      </c>
      <c r="AE107" s="59" t="str">
        <f aca="false">IF(项目总控台账!AE107="","",项目总控台账!AE107)</f>
        <v>实施明细见“04_系统集成管理/系统集成管理-20260918-V1.xlsx”；昆仑ERP共23条P0接口</v>
      </c>
      <c r="AF107" s="59" t="str">
        <f aca="false">IF(项目总控台账!AF107="","",项目总控台账!AF107)</f>
        <v/>
      </c>
      <c r="AG107" s="61" t="str">
        <f aca="false">IF(项目总控台账!AG107="","",项目总控台账!AG107)</f>
        <v/>
      </c>
      <c r="AH107" s="63" t="str">
        <f aca="false">IF(项目总控台账!AH107="","",项目总控台账!AH107)</f>
        <v/>
      </c>
    </row>
    <row r="108" customFormat="false" ht="51" hidden="false" customHeight="true" outlineLevel="0" collapsed="false">
      <c r="A108" s="59" t="str">
        <f aca="false">IF(项目总控台账!A108="","",项目总控台账!A108)</f>
        <v>T105</v>
      </c>
      <c r="B108" s="59" t="str">
        <f aca="false">项目总控台账!B104</f>
        <v>昆仑ERP</v>
      </c>
      <c r="C108" s="59" t="str">
        <f aca="false">项目总控台账!C108</f>
        <v>外部系统接口实施</v>
      </c>
      <c r="D108" s="59" t="str">
        <f aca="false">项目总控台账!D108</f>
        <v>上线准备</v>
      </c>
      <c r="E108" s="59" t="str">
        <f aca="false">IF(项目总控台账!E108="","",项目总控台账!E108)</f>
        <v>昆仑ERPP0接口上线准备工作包：生产配置、发布步骤和回退方案就绪</v>
      </c>
      <c r="F108" s="59" t="str">
        <f aca="false">IF(项目总控台账!F108="","",项目总控台账!F108)</f>
        <v>MS015</v>
      </c>
      <c r="G108" s="60" t="str">
        <f aca="false">IF(项目总控台账!G108="","",项目总控台账!G108)</f>
        <v>未开始</v>
      </c>
      <c r="H108" s="59" t="str">
        <f aca="false">IF(项目总控台账!H108="","",项目总控台账!H108)</f>
        <v>产品经理</v>
      </c>
      <c r="I108" s="61" t="n">
        <f aca="false">IF(项目总控台账!I108="","",项目总控台账!I108)</f>
        <v>46518</v>
      </c>
      <c r="J108" s="61" t="n">
        <f aca="false">IF(项目总控台账!J108="","",项目总控台账!J108)</f>
        <v>46531</v>
      </c>
      <c r="K108" s="61" t="n">
        <f aca="false">IF(项目总控台账!K108="","",项目总控台账!K108)</f>
        <v>46531</v>
      </c>
      <c r="L108" s="59" t="str">
        <f aca="false">IF(项目总控台账!L108="","",项目总控台账!L108)</f>
        <v>产品经理</v>
      </c>
      <c r="M108" s="60" t="str">
        <f aca="false">IF(项目总控台账!M108="","",项目总控台账!M108)</f>
        <v>未开始</v>
      </c>
      <c r="N108" s="61" t="n">
        <f aca="false">IF(项目总控台账!N108="","",项目总控台账!N108)</f>
        <v>46518</v>
      </c>
      <c r="O108" s="61" t="n">
        <f aca="false">IF(项目总控台账!O108="","",项目总控台账!O108)</f>
        <v>46531</v>
      </c>
      <c r="P108" s="59" t="str">
        <f aca="false">IF(项目总控台账!P108="","",项目总控台账!P108)</f>
        <v/>
      </c>
      <c r="Q108" s="60" t="str">
        <f aca="false">IF(项目总控台账!Q108="","",项目总控台账!Q108)</f>
        <v/>
      </c>
      <c r="R108" s="61" t="str">
        <f aca="false">IF(项目总控台账!R108="","",项目总控台账!R108)</f>
        <v/>
      </c>
      <c r="S108" s="61" t="str">
        <f aca="false">IF(项目总控台账!S108="","",项目总控台账!S108)</f>
        <v/>
      </c>
      <c r="T108" s="59" t="str">
        <f aca="false">IF(项目总控台账!T108="","",项目总控台账!T108)</f>
        <v/>
      </c>
      <c r="U108" s="60" t="str">
        <f aca="false">IF(项目总控台账!U108="","",项目总控台账!U108)</f>
        <v/>
      </c>
      <c r="V108" s="61" t="str">
        <f aca="false">IF(项目总控台账!V108="","",项目总控台账!V108)</f>
        <v/>
      </c>
      <c r="W108" s="61" t="str">
        <f aca="false">IF(项目总控台账!W108="","",项目总控台账!W108)</f>
        <v/>
      </c>
      <c r="X108" s="59" t="str">
        <f aca="false">IF(项目总控台账!X108="","",项目总控台账!X108)</f>
        <v/>
      </c>
      <c r="Y108" s="60" t="str">
        <f aca="false">IF(项目总控台账!Y108="","",项目总控台账!Y108)</f>
        <v/>
      </c>
      <c r="Z108" s="61" t="str">
        <f aca="false">IF(项目总控台账!Z108="","",项目总控台账!Z108)</f>
        <v/>
      </c>
      <c r="AA108" s="61" t="str">
        <f aca="false">IF(项目总控台账!AA108="","",项目总控台账!AA108)</f>
        <v/>
      </c>
      <c r="AB108" s="62" t="n">
        <f aca="false">IF(项目总控台账!AB108="","",项目总控台账!AB108)</f>
        <v>0</v>
      </c>
      <c r="AC108" s="60" t="str">
        <f aca="false">IF(项目总控台账!AC108="","",项目总控台账!AC108)</f>
        <v>正常</v>
      </c>
      <c r="AD108" s="59" t="str">
        <f aca="false">IF(项目总控台账!AD108="","",项目总控台账!AD108)</f>
        <v/>
      </c>
      <c r="AE108" s="59" t="str">
        <f aca="false">IF(项目总控台账!AE108="","",项目总控台账!AE108)</f>
        <v>实施明细见“04_系统集成管理/系统集成管理-20260918-V1.xlsx”；昆仑ERP共23条P0接口</v>
      </c>
      <c r="AF108" s="59" t="str">
        <f aca="false">IF(项目总控台账!AF108="","",项目总控台账!AF108)</f>
        <v/>
      </c>
      <c r="AG108" s="61" t="str">
        <f aca="false">IF(项目总控台账!AG108="","",项目总控台账!AG108)</f>
        <v/>
      </c>
      <c r="AH108" s="63" t="str">
        <f aca="false">IF(项目总控台账!AH108="","",项目总控台账!AH108)</f>
        <v/>
      </c>
    </row>
    <row r="109" customFormat="false" ht="51" hidden="false" customHeight="true" outlineLevel="0" collapsed="false">
      <c r="A109" s="59" t="str">
        <f aca="false">IF(项目总控台账!A109="","",项目总控台账!A109)</f>
        <v>T106</v>
      </c>
      <c r="B109" s="59" t="str">
        <f aca="false">项目总控台账!B109</f>
        <v>云梦泽</v>
      </c>
      <c r="C109" s="59" t="str">
        <f aca="false">项目总控台账!C109</f>
        <v>外部系统接口实施</v>
      </c>
      <c r="D109" s="59" t="str">
        <f aca="false">项目总控台账!D109</f>
        <v>设计</v>
      </c>
      <c r="E109" s="59" t="str">
        <f aca="false">IF(项目总控台账!E109="","",项目总控台账!E109)</f>
        <v>云梦泽P0接口设计工作包：接口设计说明、字段映射、异常与安全方案通过评审</v>
      </c>
      <c r="F109" s="59" t="str">
        <f aca="false">IF(项目总控台账!F109="","",项目总控台账!F109)</f>
        <v>MS009</v>
      </c>
      <c r="G109" s="60" t="str">
        <f aca="false">IF(项目总控台账!G109="","",项目总控台账!G109)</f>
        <v>未开始</v>
      </c>
      <c r="H109" s="59" t="str">
        <f aca="false">IF(项目总控台账!H109="","",项目总控台账!H109)</f>
        <v>产品经理</v>
      </c>
      <c r="I109" s="61" t="n">
        <f aca="false">IF(项目总控台账!I109="","",项目总控台账!I109)</f>
        <v>46341</v>
      </c>
      <c r="J109" s="61" t="n">
        <f aca="false">IF(项目总控台账!J109="","",项目总控台账!J109)</f>
        <v>46367</v>
      </c>
      <c r="K109" s="61" t="n">
        <f aca="false">IF(项目总控台账!K109="","",项目总控台账!K109)</f>
        <v>46367</v>
      </c>
      <c r="L109" s="59" t="str">
        <f aca="false">IF(项目总控台账!L109="","",项目总控台账!L109)</f>
        <v>产品经理</v>
      </c>
      <c r="M109" s="60" t="str">
        <f aca="false">IF(项目总控台账!M109="","",项目总控台账!M109)</f>
        <v>未开始</v>
      </c>
      <c r="N109" s="61" t="n">
        <f aca="false">IF(项目总控台账!N109="","",项目总控台账!N109)</f>
        <v>46341</v>
      </c>
      <c r="O109" s="61" t="n">
        <f aca="false">IF(项目总控台账!O109="","",项目总控台账!O109)</f>
        <v>46367</v>
      </c>
      <c r="P109" s="59" t="str">
        <f aca="false">IF(项目总控台账!P109="","",项目总控台账!P109)</f>
        <v/>
      </c>
      <c r="Q109" s="60" t="str">
        <f aca="false">IF(项目总控台账!Q109="","",项目总控台账!Q109)</f>
        <v/>
      </c>
      <c r="R109" s="61" t="str">
        <f aca="false">IF(项目总控台账!R109="","",项目总控台账!R109)</f>
        <v/>
      </c>
      <c r="S109" s="61" t="str">
        <f aca="false">IF(项目总控台账!S109="","",项目总控台账!S109)</f>
        <v/>
      </c>
      <c r="T109" s="59" t="str">
        <f aca="false">IF(项目总控台账!T109="","",项目总控台账!T109)</f>
        <v/>
      </c>
      <c r="U109" s="60" t="str">
        <f aca="false">IF(项目总控台账!U109="","",项目总控台账!U109)</f>
        <v/>
      </c>
      <c r="V109" s="61" t="str">
        <f aca="false">IF(项目总控台账!V109="","",项目总控台账!V109)</f>
        <v/>
      </c>
      <c r="W109" s="61" t="str">
        <f aca="false">IF(项目总控台账!W109="","",项目总控台账!W109)</f>
        <v/>
      </c>
      <c r="X109" s="59" t="str">
        <f aca="false">IF(项目总控台账!X109="","",项目总控台账!X109)</f>
        <v/>
      </c>
      <c r="Y109" s="60" t="str">
        <f aca="false">IF(项目总控台账!Y109="","",项目总控台账!Y109)</f>
        <v/>
      </c>
      <c r="Z109" s="61" t="str">
        <f aca="false">IF(项目总控台账!Z109="","",项目总控台账!Z109)</f>
        <v/>
      </c>
      <c r="AA109" s="61" t="str">
        <f aca="false">IF(项目总控台账!AA109="","",项目总控台账!AA109)</f>
        <v/>
      </c>
      <c r="AB109" s="62" t="n">
        <f aca="false">IF(项目总控台账!AB109="","",项目总控台账!AB109)</f>
        <v>0</v>
      </c>
      <c r="AC109" s="60" t="str">
        <f aca="false">IF(项目总控台账!AC109="","",项目总控台账!AC109)</f>
        <v>正常</v>
      </c>
      <c r="AD109" s="59" t="str">
        <f aca="false">IF(项目总控台账!AD109="","",项目总控台账!AD109)</f>
        <v/>
      </c>
      <c r="AE109" s="59" t="str">
        <f aca="false">IF(项目总控台账!AE109="","",项目总控台账!AE109)</f>
        <v>实施明细见“04_系统集成管理/系统集成管理-20260918-V1.xlsx”；云梦泽共13条P0接口</v>
      </c>
      <c r="AF109" s="59" t="str">
        <f aca="false">IF(项目总控台账!AF109="","",项目总控台账!AF109)</f>
        <v/>
      </c>
      <c r="AG109" s="61" t="str">
        <f aca="false">IF(项目总控台账!AG109="","",项目总控台账!AG109)</f>
        <v/>
      </c>
      <c r="AH109" s="63" t="str">
        <f aca="false">IF(项目总控台账!AH109="","",项目总控台账!AH109)</f>
        <v/>
      </c>
    </row>
    <row r="110" customFormat="false" ht="51" hidden="false" customHeight="true" outlineLevel="0" collapsed="false">
      <c r="A110" s="59" t="str">
        <f aca="false">IF(项目总控台账!A110="","",项目总控台账!A110)</f>
        <v>T107</v>
      </c>
      <c r="B110" s="59" t="str">
        <f aca="false">项目总控台账!B109</f>
        <v>云梦泽</v>
      </c>
      <c r="C110" s="59" t="str">
        <f aca="false">项目总控台账!C110</f>
        <v>外部系统接口实施</v>
      </c>
      <c r="D110" s="59" t="str">
        <f aca="false">项目总控台账!D110</f>
        <v>开发</v>
      </c>
      <c r="E110" s="59" t="str">
        <f aca="false">IF(项目总控台账!E110="","",项目总控台账!E110)</f>
        <v>云梦泽P0接口开发工作包：接口代码、自测记录及部署包完成</v>
      </c>
      <c r="F110" s="59" t="str">
        <f aca="false">IF(项目总控台账!F110="","",项目总控台账!F110)</f>
        <v>MS010</v>
      </c>
      <c r="G110" s="60" t="str">
        <f aca="false">IF(项目总控台账!G110="","",项目总控台账!G110)</f>
        <v>未开始</v>
      </c>
      <c r="H110" s="59" t="str">
        <f aca="false">IF(项目总控台账!H110="","",项目总控台账!H110)</f>
        <v>产品经理</v>
      </c>
      <c r="I110" s="61" t="n">
        <f aca="false">IF(项目总控台账!I110="","",项目总控台账!I110)</f>
        <v>46368</v>
      </c>
      <c r="J110" s="61" t="n">
        <f aca="false">IF(项目总控台账!J110="","",项目总控台账!J110)</f>
        <v>46430</v>
      </c>
      <c r="K110" s="61" t="n">
        <f aca="false">IF(项目总控台账!K110="","",项目总控台账!K110)</f>
        <v>46430</v>
      </c>
      <c r="L110" s="59" t="str">
        <f aca="false">IF(项目总控台账!L110="","",项目总控台账!L110)</f>
        <v>产品经理</v>
      </c>
      <c r="M110" s="60" t="str">
        <f aca="false">IF(项目总控台账!M110="","",项目总控台账!M110)</f>
        <v>未开始</v>
      </c>
      <c r="N110" s="61" t="n">
        <f aca="false">IF(项目总控台账!N110="","",项目总控台账!N110)</f>
        <v>46368</v>
      </c>
      <c r="O110" s="61" t="n">
        <f aca="false">IF(项目总控台账!O110="","",项目总控台账!O110)</f>
        <v>46430</v>
      </c>
      <c r="P110" s="59" t="str">
        <f aca="false">IF(项目总控台账!P110="","",项目总控台账!P110)</f>
        <v>高级开发人员-03</v>
      </c>
      <c r="Q110" s="60" t="str">
        <f aca="false">IF(项目总控台账!Q110="","",项目总控台账!Q110)</f>
        <v>未开始</v>
      </c>
      <c r="R110" s="61" t="n">
        <f aca="false">IF(项目总控台账!R110="","",项目总控台账!R110)</f>
        <v>46368</v>
      </c>
      <c r="S110" s="61" t="n">
        <f aca="false">IF(项目总控台账!S110="","",项目总控台账!S110)</f>
        <v>46430</v>
      </c>
      <c r="T110" s="59" t="str">
        <f aca="false">IF(项目总控台账!T110="","",项目总控台账!T110)</f>
        <v/>
      </c>
      <c r="U110" s="60" t="str">
        <f aca="false">IF(项目总控台账!U110="","",项目总控台账!U110)</f>
        <v/>
      </c>
      <c r="V110" s="61" t="str">
        <f aca="false">IF(项目总控台账!V110="","",项目总控台账!V110)</f>
        <v/>
      </c>
      <c r="W110" s="61" t="str">
        <f aca="false">IF(项目总控台账!W110="","",项目总控台账!W110)</f>
        <v/>
      </c>
      <c r="X110" s="59" t="str">
        <f aca="false">IF(项目总控台账!X110="","",项目总控台账!X110)</f>
        <v/>
      </c>
      <c r="Y110" s="60" t="str">
        <f aca="false">IF(项目总控台账!Y110="","",项目总控台账!Y110)</f>
        <v/>
      </c>
      <c r="Z110" s="61" t="str">
        <f aca="false">IF(项目总控台账!Z110="","",项目总控台账!Z110)</f>
        <v/>
      </c>
      <c r="AA110" s="61" t="str">
        <f aca="false">IF(项目总控台账!AA110="","",项目总控台账!AA110)</f>
        <v/>
      </c>
      <c r="AB110" s="62" t="n">
        <f aca="false">IF(项目总控台账!AB110="","",项目总控台账!AB110)</f>
        <v>0</v>
      </c>
      <c r="AC110" s="60" t="str">
        <f aca="false">IF(项目总控台账!AC110="","",项目总控台账!AC110)</f>
        <v>正常</v>
      </c>
      <c r="AD110" s="59" t="str">
        <f aca="false">IF(项目总控台账!AD110="","",项目总控台账!AD110)</f>
        <v/>
      </c>
      <c r="AE110" s="59" t="str">
        <f aca="false">IF(项目总控台账!AE110="","",项目总控台账!AE110)</f>
        <v>实施明细见“04_系统集成管理/系统集成管理-20260918-V1.xlsx”；云梦泽共13条P0接口</v>
      </c>
      <c r="AF110" s="59" t="str">
        <f aca="false">IF(项目总控台账!AF110="","",项目总控台账!AF110)</f>
        <v/>
      </c>
      <c r="AG110" s="61" t="str">
        <f aca="false">IF(项目总控台账!AG110="","",项目总控台账!AG110)</f>
        <v/>
      </c>
      <c r="AH110" s="63" t="str">
        <f aca="false">IF(项目总控台账!AH110="","",项目总控台账!AH110)</f>
        <v/>
      </c>
    </row>
    <row r="111" customFormat="false" ht="51" hidden="false" customHeight="true" outlineLevel="0" collapsed="false">
      <c r="A111" s="59" t="str">
        <f aca="false">IF(项目总控台账!A111="","",项目总控台账!A111)</f>
        <v>T108</v>
      </c>
      <c r="B111" s="59" t="str">
        <f aca="false">项目总控台账!B109</f>
        <v>云梦泽</v>
      </c>
      <c r="C111" s="59" t="str">
        <f aca="false">项目总控台账!C111</f>
        <v>外部系统接口实施</v>
      </c>
      <c r="D111" s="59" t="str">
        <f aca="false">项目总控台账!D111</f>
        <v>联调</v>
      </c>
      <c r="E111" s="59" t="str">
        <f aca="false">IF(项目总控台账!E111="","",项目总控台账!E111)</f>
        <v>云梦泽P0接口联调工作包：双向联调通过，异常、重试与补偿验证完成</v>
      </c>
      <c r="F111" s="59" t="str">
        <f aca="false">IF(项目总控台账!F111="","",项目总控台账!F111)</f>
        <v>MS012</v>
      </c>
      <c r="G111" s="60" t="str">
        <f aca="false">IF(项目总控台账!G111="","",项目总控台账!G111)</f>
        <v>未开始</v>
      </c>
      <c r="H111" s="59" t="str">
        <f aca="false">IF(项目总控台账!H111="","",项目总控台账!H111)</f>
        <v>产品经理</v>
      </c>
      <c r="I111" s="61" t="n">
        <f aca="false">IF(项目总控台账!I111="","",项目总控台账!I111)</f>
        <v>46433</v>
      </c>
      <c r="J111" s="61" t="n">
        <f aca="false">IF(项目总控台账!J111="","",项目总控台账!J111)</f>
        <v>46451</v>
      </c>
      <c r="K111" s="61" t="n">
        <f aca="false">IF(项目总控台账!K111="","",项目总控台账!K111)</f>
        <v>46451</v>
      </c>
      <c r="L111" s="59" t="str">
        <f aca="false">IF(项目总控台账!L111="","",项目总控台账!L111)</f>
        <v>产品经理</v>
      </c>
      <c r="M111" s="60" t="str">
        <f aca="false">IF(项目总控台账!M111="","",项目总控台账!M111)</f>
        <v>未开始</v>
      </c>
      <c r="N111" s="61" t="n">
        <f aca="false">IF(项目总控台账!N111="","",项目总控台账!N111)</f>
        <v>46433</v>
      </c>
      <c r="O111" s="61" t="n">
        <f aca="false">IF(项目总控台账!O111="","",项目总控台账!O111)</f>
        <v>46451</v>
      </c>
      <c r="P111" s="59" t="str">
        <f aca="false">IF(项目总控台账!P111="","",项目总控台账!P111)</f>
        <v>高级开发人员-03</v>
      </c>
      <c r="Q111" s="60" t="str">
        <f aca="false">IF(项目总控台账!Q111="","",项目总控台账!Q111)</f>
        <v>未开始</v>
      </c>
      <c r="R111" s="61" t="n">
        <f aca="false">IF(项目总控台账!R111="","",项目总控台账!R111)</f>
        <v>46433</v>
      </c>
      <c r="S111" s="61" t="n">
        <f aca="false">IF(项目总控台账!S111="","",项目总控台账!S111)</f>
        <v>46451</v>
      </c>
      <c r="T111" s="59" t="str">
        <f aca="false">IF(项目总控台账!T111="","",项目总控台账!T111)</f>
        <v/>
      </c>
      <c r="U111" s="60" t="str">
        <f aca="false">IF(项目总控台账!U111="","",项目总控台账!U111)</f>
        <v/>
      </c>
      <c r="V111" s="61" t="str">
        <f aca="false">IF(项目总控台账!V111="","",项目总控台账!V111)</f>
        <v/>
      </c>
      <c r="W111" s="61" t="str">
        <f aca="false">IF(项目总控台账!W111="","",项目总控台账!W111)</f>
        <v/>
      </c>
      <c r="X111" s="59" t="str">
        <f aca="false">IF(项目总控台账!X111="","",项目总控台账!X111)</f>
        <v/>
      </c>
      <c r="Y111" s="60" t="str">
        <f aca="false">IF(项目总控台账!Y111="","",项目总控台账!Y111)</f>
        <v/>
      </c>
      <c r="Z111" s="61" t="str">
        <f aca="false">IF(项目总控台账!Z111="","",项目总控台账!Z111)</f>
        <v/>
      </c>
      <c r="AA111" s="61" t="str">
        <f aca="false">IF(项目总控台账!AA111="","",项目总控台账!AA111)</f>
        <v/>
      </c>
      <c r="AB111" s="62" t="n">
        <f aca="false">IF(项目总控台账!AB111="","",项目总控台账!AB111)</f>
        <v>0</v>
      </c>
      <c r="AC111" s="60" t="str">
        <f aca="false">IF(项目总控台账!AC111="","",项目总控台账!AC111)</f>
        <v>正常</v>
      </c>
      <c r="AD111" s="59" t="str">
        <f aca="false">IF(项目总控台账!AD111="","",项目总控台账!AD111)</f>
        <v/>
      </c>
      <c r="AE111" s="59" t="str">
        <f aca="false">IF(项目总控台账!AE111="","",项目总控台账!AE111)</f>
        <v>实施明细见“04_系统集成管理/系统集成管理-20260918-V1.xlsx”；云梦泽共13条P0接口</v>
      </c>
      <c r="AF111" s="59" t="str">
        <f aca="false">IF(项目总控台账!AF111="","",项目总控台账!AF111)</f>
        <v/>
      </c>
      <c r="AG111" s="61" t="str">
        <f aca="false">IF(项目总控台账!AG111="","",项目总控台账!AG111)</f>
        <v/>
      </c>
      <c r="AH111" s="63" t="str">
        <f aca="false">IF(项目总控台账!AH111="","",项目总控台账!AH111)</f>
        <v/>
      </c>
    </row>
    <row r="112" customFormat="false" ht="51" hidden="false" customHeight="true" outlineLevel="0" collapsed="false">
      <c r="A112" s="59" t="str">
        <f aca="false">IF(项目总控台账!A112="","",项目总控台账!A112)</f>
        <v>T109</v>
      </c>
      <c r="B112" s="59" t="str">
        <f aca="false">项目总控台账!B109</f>
        <v>云梦泽</v>
      </c>
      <c r="C112" s="59" t="str">
        <f aca="false">项目总控台账!C112</f>
        <v>外部系统接口实施</v>
      </c>
      <c r="D112" s="59" t="str">
        <f aca="false">项目总控台账!D112</f>
        <v>测试</v>
      </c>
      <c r="E112" s="59" t="str">
        <f aca="false">IF(项目总控台账!E112="","",项目总控台账!E112)</f>
        <v>云梦泽P0接口测试工作包：集成测试用例执行通过，缺陷闭环</v>
      </c>
      <c r="F112" s="59" t="str">
        <f aca="false">IF(项目总控台账!F112="","",项目总控台账!F112)</f>
        <v>MS013</v>
      </c>
      <c r="G112" s="60" t="str">
        <f aca="false">IF(项目总控台账!G112="","",项目总控台账!G112)</f>
        <v>未开始</v>
      </c>
      <c r="H112" s="59" t="str">
        <f aca="false">IF(项目总控台账!H112="","",项目总控台账!H112)</f>
        <v>产品经理</v>
      </c>
      <c r="I112" s="61" t="n">
        <f aca="false">IF(项目总控台账!I112="","",项目总控台账!I112)</f>
        <v>46452</v>
      </c>
      <c r="J112" s="61" t="n">
        <f aca="false">IF(项目总控台账!J112="","",项目总控台账!J112)</f>
        <v>46492</v>
      </c>
      <c r="K112" s="61" t="n">
        <f aca="false">IF(项目总控台账!K112="","",项目总控台账!K112)</f>
        <v>46492</v>
      </c>
      <c r="L112" s="59" t="str">
        <f aca="false">IF(项目总控台账!L112="","",项目总控台账!L112)</f>
        <v>产品经理</v>
      </c>
      <c r="M112" s="60" t="str">
        <f aca="false">IF(项目总控台账!M112="","",项目总控台账!M112)</f>
        <v>未开始</v>
      </c>
      <c r="N112" s="61" t="n">
        <f aca="false">IF(项目总控台账!N112="","",项目总控台账!N112)</f>
        <v>46452</v>
      </c>
      <c r="O112" s="61" t="n">
        <f aca="false">IF(项目总控台账!O112="","",项目总控台账!O112)</f>
        <v>46492</v>
      </c>
      <c r="P112" s="59" t="str">
        <f aca="false">IF(项目总控台账!P112="","",项目总控台账!P112)</f>
        <v/>
      </c>
      <c r="Q112" s="60" t="str">
        <f aca="false">IF(项目总控台账!Q112="","",项目总控台账!Q112)</f>
        <v/>
      </c>
      <c r="R112" s="61" t="str">
        <f aca="false">IF(项目总控台账!R112="","",项目总控台账!R112)</f>
        <v/>
      </c>
      <c r="S112" s="61" t="str">
        <f aca="false">IF(项目总控台账!S112="","",项目总控台账!S112)</f>
        <v/>
      </c>
      <c r="T112" s="59" t="str">
        <f aca="false">IF(项目总控台账!T112="","",项目总控台账!T112)</f>
        <v/>
      </c>
      <c r="U112" s="60" t="str">
        <f aca="false">IF(项目总控台账!U112="","",项目总控台账!U112)</f>
        <v/>
      </c>
      <c r="V112" s="61" t="str">
        <f aca="false">IF(项目总控台账!V112="","",项目总控台账!V112)</f>
        <v/>
      </c>
      <c r="W112" s="61" t="str">
        <f aca="false">IF(项目总控台账!W112="","",项目总控台账!W112)</f>
        <v/>
      </c>
      <c r="X112" s="59" t="str">
        <f aca="false">IF(项目总控台账!X112="","",项目总控台账!X112)</f>
        <v>中级测试人员-02</v>
      </c>
      <c r="Y112" s="60" t="str">
        <f aca="false">IF(项目总控台账!Y112="","",项目总控台账!Y112)</f>
        <v>未开始</v>
      </c>
      <c r="Z112" s="61" t="n">
        <f aca="false">IF(项目总控台账!Z112="","",项目总控台账!Z112)</f>
        <v>46452</v>
      </c>
      <c r="AA112" s="61" t="n">
        <f aca="false">IF(项目总控台账!AA112="","",项目总控台账!AA112)</f>
        <v>46492</v>
      </c>
      <c r="AB112" s="62" t="n">
        <f aca="false">IF(项目总控台账!AB112="","",项目总控台账!AB112)</f>
        <v>0</v>
      </c>
      <c r="AC112" s="60" t="str">
        <f aca="false">IF(项目总控台账!AC112="","",项目总控台账!AC112)</f>
        <v>正常</v>
      </c>
      <c r="AD112" s="59" t="str">
        <f aca="false">IF(项目总控台账!AD112="","",项目总控台账!AD112)</f>
        <v/>
      </c>
      <c r="AE112" s="59" t="str">
        <f aca="false">IF(项目总控台账!AE112="","",项目总控台账!AE112)</f>
        <v>实施明细见“04_系统集成管理/系统集成管理-20260918-V1.xlsx”；云梦泽共13条P0接口</v>
      </c>
      <c r="AF112" s="59" t="str">
        <f aca="false">IF(项目总控台账!AF112="","",项目总控台账!AF112)</f>
        <v/>
      </c>
      <c r="AG112" s="61" t="str">
        <f aca="false">IF(项目总控台账!AG112="","",项目总控台账!AG112)</f>
        <v/>
      </c>
      <c r="AH112" s="63" t="str">
        <f aca="false">IF(项目总控台账!AH112="","",项目总控台账!AH112)</f>
        <v/>
      </c>
    </row>
    <row r="113" customFormat="false" ht="51" hidden="false" customHeight="true" outlineLevel="0" collapsed="false">
      <c r="A113" s="59" t="str">
        <f aca="false">IF(项目总控台账!A113="","",项目总控台账!A113)</f>
        <v>T110</v>
      </c>
      <c r="B113" s="59" t="str">
        <f aca="false">项目总控台账!B109</f>
        <v>云梦泽</v>
      </c>
      <c r="C113" s="59" t="str">
        <f aca="false">项目总控台账!C113</f>
        <v>外部系统接口实施</v>
      </c>
      <c r="D113" s="59" t="str">
        <f aca="false">项目总控台账!D113</f>
        <v>上线准备</v>
      </c>
      <c r="E113" s="59" t="str">
        <f aca="false">IF(项目总控台账!E113="","",项目总控台账!E113)</f>
        <v>云梦泽P0接口上线准备工作包：生产配置、发布步骤和回退方案就绪</v>
      </c>
      <c r="F113" s="59" t="str">
        <f aca="false">IF(项目总控台账!F113="","",项目总控台账!F113)</f>
        <v>MS015</v>
      </c>
      <c r="G113" s="60" t="str">
        <f aca="false">IF(项目总控台账!G113="","",项目总控台账!G113)</f>
        <v>未开始</v>
      </c>
      <c r="H113" s="59" t="str">
        <f aca="false">IF(项目总控台账!H113="","",项目总控台账!H113)</f>
        <v>产品经理</v>
      </c>
      <c r="I113" s="61" t="n">
        <f aca="false">IF(项目总控台账!I113="","",项目总控台账!I113)</f>
        <v>46518</v>
      </c>
      <c r="J113" s="61" t="n">
        <f aca="false">IF(项目总控台账!J113="","",项目总控台账!J113)</f>
        <v>46531</v>
      </c>
      <c r="K113" s="61" t="n">
        <f aca="false">IF(项目总控台账!K113="","",项目总控台账!K113)</f>
        <v>46531</v>
      </c>
      <c r="L113" s="59" t="str">
        <f aca="false">IF(项目总控台账!L113="","",项目总控台账!L113)</f>
        <v>产品经理</v>
      </c>
      <c r="M113" s="60" t="str">
        <f aca="false">IF(项目总控台账!M113="","",项目总控台账!M113)</f>
        <v>未开始</v>
      </c>
      <c r="N113" s="61" t="n">
        <f aca="false">IF(项目总控台账!N113="","",项目总控台账!N113)</f>
        <v>46518</v>
      </c>
      <c r="O113" s="61" t="n">
        <f aca="false">IF(项目总控台账!O113="","",项目总控台账!O113)</f>
        <v>46531</v>
      </c>
      <c r="P113" s="59" t="str">
        <f aca="false">IF(项目总控台账!P113="","",项目总控台账!P113)</f>
        <v/>
      </c>
      <c r="Q113" s="60" t="str">
        <f aca="false">IF(项目总控台账!Q113="","",项目总控台账!Q113)</f>
        <v/>
      </c>
      <c r="R113" s="61" t="str">
        <f aca="false">IF(项目总控台账!R113="","",项目总控台账!R113)</f>
        <v/>
      </c>
      <c r="S113" s="61" t="str">
        <f aca="false">IF(项目总控台账!S113="","",项目总控台账!S113)</f>
        <v/>
      </c>
      <c r="T113" s="59" t="str">
        <f aca="false">IF(项目总控台账!T113="","",项目总控台账!T113)</f>
        <v/>
      </c>
      <c r="U113" s="60" t="str">
        <f aca="false">IF(项目总控台账!U113="","",项目总控台账!U113)</f>
        <v/>
      </c>
      <c r="V113" s="61" t="str">
        <f aca="false">IF(项目总控台账!V113="","",项目总控台账!V113)</f>
        <v/>
      </c>
      <c r="W113" s="61" t="str">
        <f aca="false">IF(项目总控台账!W113="","",项目总控台账!W113)</f>
        <v/>
      </c>
      <c r="X113" s="59" t="str">
        <f aca="false">IF(项目总控台账!X113="","",项目总控台账!X113)</f>
        <v/>
      </c>
      <c r="Y113" s="60" t="str">
        <f aca="false">IF(项目总控台账!Y113="","",项目总控台账!Y113)</f>
        <v/>
      </c>
      <c r="Z113" s="61" t="str">
        <f aca="false">IF(项目总控台账!Z113="","",项目总控台账!Z113)</f>
        <v/>
      </c>
      <c r="AA113" s="61" t="str">
        <f aca="false">IF(项目总控台账!AA113="","",项目总控台账!AA113)</f>
        <v/>
      </c>
      <c r="AB113" s="62" t="n">
        <f aca="false">IF(项目总控台账!AB113="","",项目总控台账!AB113)</f>
        <v>0</v>
      </c>
      <c r="AC113" s="60" t="str">
        <f aca="false">IF(项目总控台账!AC113="","",项目总控台账!AC113)</f>
        <v>正常</v>
      </c>
      <c r="AD113" s="59" t="str">
        <f aca="false">IF(项目总控台账!AD113="","",项目总控台账!AD113)</f>
        <v/>
      </c>
      <c r="AE113" s="59" t="str">
        <f aca="false">IF(项目总控台账!AE113="","",项目总控台账!AE113)</f>
        <v>实施明细见“04_系统集成管理/系统集成管理-20260918-V1.xlsx”；云梦泽共13条P0接口</v>
      </c>
      <c r="AF113" s="59" t="str">
        <f aca="false">IF(项目总控台账!AF113="","",项目总控台账!AF113)</f>
        <v/>
      </c>
      <c r="AG113" s="61" t="str">
        <f aca="false">IF(项目总控台账!AG113="","",项目总控台账!AG113)</f>
        <v/>
      </c>
      <c r="AH113" s="63" t="str">
        <f aca="false">IF(项目总控台账!AH113="","",项目总控台账!AH113)</f>
        <v/>
      </c>
    </row>
    <row r="114" customFormat="false" ht="51" hidden="false" customHeight="true" outlineLevel="0" collapsed="false">
      <c r="A114" s="59" t="str">
        <f aca="false">IF(项目总控台账!A114="","",项目总控台账!A114)</f>
        <v>T111</v>
      </c>
      <c r="B114" s="59" t="str">
        <f aca="false">项目总控台账!B114</f>
        <v>财务共享</v>
      </c>
      <c r="C114" s="59" t="str">
        <f aca="false">项目总控台账!C114</f>
        <v>外部系统接口实施</v>
      </c>
      <c r="D114" s="59" t="str">
        <f aca="false">项目总控台账!D114</f>
        <v>设计</v>
      </c>
      <c r="E114" s="59" t="str">
        <f aca="false">IF(项目总控台账!E114="","",项目总控台账!E114)</f>
        <v>财务共享P0接口设计工作包：接口设计说明、字段映射、异常与安全方案通过评审</v>
      </c>
      <c r="F114" s="59" t="str">
        <f aca="false">IF(项目总控台账!F114="","",项目总控台账!F114)</f>
        <v>MS009</v>
      </c>
      <c r="G114" s="60" t="str">
        <f aca="false">IF(项目总控台账!G114="","",项目总控台账!G114)</f>
        <v>未开始</v>
      </c>
      <c r="H114" s="59" t="str">
        <f aca="false">IF(项目总控台账!H114="","",项目总控台账!H114)</f>
        <v>产品经理</v>
      </c>
      <c r="I114" s="61" t="n">
        <f aca="false">IF(项目总控台账!I114="","",项目总控台账!I114)</f>
        <v>46341</v>
      </c>
      <c r="J114" s="61" t="n">
        <f aca="false">IF(项目总控台账!J114="","",项目总控台账!J114)</f>
        <v>46367</v>
      </c>
      <c r="K114" s="61" t="n">
        <f aca="false">IF(项目总控台账!K114="","",项目总控台账!K114)</f>
        <v>46367</v>
      </c>
      <c r="L114" s="59" t="str">
        <f aca="false">IF(项目总控台账!L114="","",项目总控台账!L114)</f>
        <v>产品经理</v>
      </c>
      <c r="M114" s="60" t="str">
        <f aca="false">IF(项目总控台账!M114="","",项目总控台账!M114)</f>
        <v>未开始</v>
      </c>
      <c r="N114" s="61" t="n">
        <f aca="false">IF(项目总控台账!N114="","",项目总控台账!N114)</f>
        <v>46341</v>
      </c>
      <c r="O114" s="61" t="n">
        <f aca="false">IF(项目总控台账!O114="","",项目总控台账!O114)</f>
        <v>46367</v>
      </c>
      <c r="P114" s="59" t="str">
        <f aca="false">IF(项目总控台账!P114="","",项目总控台账!P114)</f>
        <v/>
      </c>
      <c r="Q114" s="60" t="str">
        <f aca="false">IF(项目总控台账!Q114="","",项目总控台账!Q114)</f>
        <v/>
      </c>
      <c r="R114" s="61" t="str">
        <f aca="false">IF(项目总控台账!R114="","",项目总控台账!R114)</f>
        <v/>
      </c>
      <c r="S114" s="61" t="str">
        <f aca="false">IF(项目总控台账!S114="","",项目总控台账!S114)</f>
        <v/>
      </c>
      <c r="T114" s="59" t="str">
        <f aca="false">IF(项目总控台账!T114="","",项目总控台账!T114)</f>
        <v/>
      </c>
      <c r="U114" s="60" t="str">
        <f aca="false">IF(项目总控台账!U114="","",项目总控台账!U114)</f>
        <v/>
      </c>
      <c r="V114" s="61" t="str">
        <f aca="false">IF(项目总控台账!V114="","",项目总控台账!V114)</f>
        <v/>
      </c>
      <c r="W114" s="61" t="str">
        <f aca="false">IF(项目总控台账!W114="","",项目总控台账!W114)</f>
        <v/>
      </c>
      <c r="X114" s="59" t="str">
        <f aca="false">IF(项目总控台账!X114="","",项目总控台账!X114)</f>
        <v/>
      </c>
      <c r="Y114" s="60" t="str">
        <f aca="false">IF(项目总控台账!Y114="","",项目总控台账!Y114)</f>
        <v/>
      </c>
      <c r="Z114" s="61" t="str">
        <f aca="false">IF(项目总控台账!Z114="","",项目总控台账!Z114)</f>
        <v/>
      </c>
      <c r="AA114" s="61" t="str">
        <f aca="false">IF(项目总控台账!AA114="","",项目总控台账!AA114)</f>
        <v/>
      </c>
      <c r="AB114" s="62" t="n">
        <f aca="false">IF(项目总控台账!AB114="","",项目总控台账!AB114)</f>
        <v>0</v>
      </c>
      <c r="AC114" s="60" t="str">
        <f aca="false">IF(项目总控台账!AC114="","",项目总控台账!AC114)</f>
        <v>正常</v>
      </c>
      <c r="AD114" s="59" t="str">
        <f aca="false">IF(项目总控台账!AD114="","",项目总控台账!AD114)</f>
        <v/>
      </c>
      <c r="AE114" s="59" t="str">
        <f aca="false">IF(项目总控台账!AE114="","",项目总控台账!AE114)</f>
        <v>实施明细见“04_系统集成管理/系统集成管理-20260918-V1.xlsx”；财务共享共9条P0接口</v>
      </c>
      <c r="AF114" s="59" t="str">
        <f aca="false">IF(项目总控台账!AF114="","",项目总控台账!AF114)</f>
        <v/>
      </c>
      <c r="AG114" s="61" t="str">
        <f aca="false">IF(项目总控台账!AG114="","",项目总控台账!AG114)</f>
        <v/>
      </c>
      <c r="AH114" s="63" t="str">
        <f aca="false">IF(项目总控台账!AH114="","",项目总控台账!AH114)</f>
        <v/>
      </c>
    </row>
    <row r="115" customFormat="false" ht="51" hidden="false" customHeight="true" outlineLevel="0" collapsed="false">
      <c r="A115" s="59" t="str">
        <f aca="false">IF(项目总控台账!A115="","",项目总控台账!A115)</f>
        <v>T112</v>
      </c>
      <c r="B115" s="59" t="str">
        <f aca="false">项目总控台账!B114</f>
        <v>财务共享</v>
      </c>
      <c r="C115" s="59" t="str">
        <f aca="false">项目总控台账!C115</f>
        <v>外部系统接口实施</v>
      </c>
      <c r="D115" s="59" t="str">
        <f aca="false">项目总控台账!D115</f>
        <v>开发</v>
      </c>
      <c r="E115" s="59" t="str">
        <f aca="false">IF(项目总控台账!E115="","",项目总控台账!E115)</f>
        <v>财务共享P0接口开发工作包：接口代码、自测记录及部署包完成</v>
      </c>
      <c r="F115" s="59" t="str">
        <f aca="false">IF(项目总控台账!F115="","",项目总控台账!F115)</f>
        <v>MS010</v>
      </c>
      <c r="G115" s="60" t="str">
        <f aca="false">IF(项目总控台账!G115="","",项目总控台账!G115)</f>
        <v>未开始</v>
      </c>
      <c r="H115" s="59" t="str">
        <f aca="false">IF(项目总控台账!H115="","",项目总控台账!H115)</f>
        <v>技术经理</v>
      </c>
      <c r="I115" s="61" t="n">
        <f aca="false">IF(项目总控台账!I115="","",项目总控台账!I115)</f>
        <v>46368</v>
      </c>
      <c r="J115" s="61" t="n">
        <f aca="false">IF(项目总控台账!J115="","",项目总控台账!J115)</f>
        <v>46430</v>
      </c>
      <c r="K115" s="61" t="n">
        <f aca="false">IF(项目总控台账!K115="","",项目总控台账!K115)</f>
        <v>46430</v>
      </c>
      <c r="L115" s="59" t="str">
        <f aca="false">IF(项目总控台账!L115="","",项目总控台账!L115)</f>
        <v>产品经理</v>
      </c>
      <c r="M115" s="60" t="str">
        <f aca="false">IF(项目总控台账!M115="","",项目总控台账!M115)</f>
        <v>未开始</v>
      </c>
      <c r="N115" s="61" t="n">
        <f aca="false">IF(项目总控台账!N115="","",项目总控台账!N115)</f>
        <v>46368</v>
      </c>
      <c r="O115" s="61" t="n">
        <f aca="false">IF(项目总控台账!O115="","",项目总控台账!O115)</f>
        <v>46430</v>
      </c>
      <c r="P115" s="59" t="str">
        <f aca="false">IF(项目总控台账!P115="","",项目总控台账!P115)</f>
        <v>中级开发人员-01</v>
      </c>
      <c r="Q115" s="60" t="str">
        <f aca="false">IF(项目总控台账!Q115="","",项目总控台账!Q115)</f>
        <v>未开始</v>
      </c>
      <c r="R115" s="61" t="n">
        <f aca="false">IF(项目总控台账!R115="","",项目总控台账!R115)</f>
        <v>46368</v>
      </c>
      <c r="S115" s="61" t="n">
        <f aca="false">IF(项目总控台账!S115="","",项目总控台账!S115)</f>
        <v>46430</v>
      </c>
      <c r="T115" s="59" t="str">
        <f aca="false">IF(项目总控台账!T115="","",项目总控台账!T115)</f>
        <v/>
      </c>
      <c r="U115" s="60" t="str">
        <f aca="false">IF(项目总控台账!U115="","",项目总控台账!U115)</f>
        <v/>
      </c>
      <c r="V115" s="61" t="str">
        <f aca="false">IF(项目总控台账!V115="","",项目总控台账!V115)</f>
        <v/>
      </c>
      <c r="W115" s="61" t="str">
        <f aca="false">IF(项目总控台账!W115="","",项目总控台账!W115)</f>
        <v/>
      </c>
      <c r="X115" s="59" t="str">
        <f aca="false">IF(项目总控台账!X115="","",项目总控台账!X115)</f>
        <v/>
      </c>
      <c r="Y115" s="60" t="str">
        <f aca="false">IF(项目总控台账!Y115="","",项目总控台账!Y115)</f>
        <v/>
      </c>
      <c r="Z115" s="61" t="str">
        <f aca="false">IF(项目总控台账!Z115="","",项目总控台账!Z115)</f>
        <v/>
      </c>
      <c r="AA115" s="61" t="str">
        <f aca="false">IF(项目总控台账!AA115="","",项目总控台账!AA115)</f>
        <v/>
      </c>
      <c r="AB115" s="62" t="n">
        <f aca="false">IF(项目总控台账!AB115="","",项目总控台账!AB115)</f>
        <v>0</v>
      </c>
      <c r="AC115" s="60" t="str">
        <f aca="false">IF(项目总控台账!AC115="","",项目总控台账!AC115)</f>
        <v>正常</v>
      </c>
      <c r="AD115" s="59" t="str">
        <f aca="false">IF(项目总控台账!AD115="","",项目总控台账!AD115)</f>
        <v/>
      </c>
      <c r="AE115" s="59" t="str">
        <f aca="false">IF(项目总控台账!AE115="","",项目总控台账!AE115)</f>
        <v>实施明细见“04_系统集成管理/系统集成管理-20260918-V1.xlsx”；财务共享共9条P0接口</v>
      </c>
      <c r="AF115" s="59" t="str">
        <f aca="false">IF(项目总控台账!AF115="","",项目总控台账!AF115)</f>
        <v/>
      </c>
      <c r="AG115" s="61" t="str">
        <f aca="false">IF(项目总控台账!AG115="","",项目总控台账!AG115)</f>
        <v/>
      </c>
      <c r="AH115" s="63" t="str">
        <f aca="false">IF(项目总控台账!AH115="","",项目总控台账!AH115)</f>
        <v/>
      </c>
    </row>
    <row r="116" customFormat="false" ht="51" hidden="false" customHeight="true" outlineLevel="0" collapsed="false">
      <c r="A116" s="59" t="str">
        <f aca="false">IF(项目总控台账!A116="","",项目总控台账!A116)</f>
        <v>T113</v>
      </c>
      <c r="B116" s="59" t="str">
        <f aca="false">项目总控台账!B114</f>
        <v>财务共享</v>
      </c>
      <c r="C116" s="59" t="str">
        <f aca="false">项目总控台账!C116</f>
        <v>外部系统接口实施</v>
      </c>
      <c r="D116" s="59" t="str">
        <f aca="false">项目总控台账!D116</f>
        <v>联调</v>
      </c>
      <c r="E116" s="59" t="str">
        <f aca="false">IF(项目总控台账!E116="","",项目总控台账!E116)</f>
        <v>财务共享P0接口联调工作包：双向联调通过，异常、重试与补偿验证完成</v>
      </c>
      <c r="F116" s="59" t="str">
        <f aca="false">IF(项目总控台账!F116="","",项目总控台账!F116)</f>
        <v>MS012</v>
      </c>
      <c r="G116" s="60" t="str">
        <f aca="false">IF(项目总控台账!G116="","",项目总控台账!G116)</f>
        <v>未开始</v>
      </c>
      <c r="H116" s="59" t="str">
        <f aca="false">IF(项目总控台账!H116="","",项目总控台账!H116)</f>
        <v>技术经理</v>
      </c>
      <c r="I116" s="61" t="n">
        <f aca="false">IF(项目总控台账!I116="","",项目总控台账!I116)</f>
        <v>46433</v>
      </c>
      <c r="J116" s="61" t="n">
        <f aca="false">IF(项目总控台账!J116="","",项目总控台账!J116)</f>
        <v>46451</v>
      </c>
      <c r="K116" s="61" t="n">
        <f aca="false">IF(项目总控台账!K116="","",项目总控台账!K116)</f>
        <v>46451</v>
      </c>
      <c r="L116" s="59" t="str">
        <f aca="false">IF(项目总控台账!L116="","",项目总控台账!L116)</f>
        <v>产品经理</v>
      </c>
      <c r="M116" s="60" t="str">
        <f aca="false">IF(项目总控台账!M116="","",项目总控台账!M116)</f>
        <v>未开始</v>
      </c>
      <c r="N116" s="61" t="n">
        <f aca="false">IF(项目总控台账!N116="","",项目总控台账!N116)</f>
        <v>46433</v>
      </c>
      <c r="O116" s="61" t="n">
        <f aca="false">IF(项目总控台账!O116="","",项目总控台账!O116)</f>
        <v>46451</v>
      </c>
      <c r="P116" s="59" t="str">
        <f aca="false">IF(项目总控台账!P116="","",项目总控台账!P116)</f>
        <v>高级开发人员-01</v>
      </c>
      <c r="Q116" s="60" t="str">
        <f aca="false">IF(项目总控台账!Q116="","",项目总控台账!Q116)</f>
        <v>未开始</v>
      </c>
      <c r="R116" s="61" t="n">
        <f aca="false">IF(项目总控台账!R116="","",项目总控台账!R116)</f>
        <v>46433</v>
      </c>
      <c r="S116" s="61" t="n">
        <f aca="false">IF(项目总控台账!S116="","",项目总控台账!S116)</f>
        <v>46451</v>
      </c>
      <c r="T116" s="59" t="str">
        <f aca="false">IF(项目总控台账!T116="","",项目总控台账!T116)</f>
        <v/>
      </c>
      <c r="U116" s="60" t="str">
        <f aca="false">IF(项目总控台账!U116="","",项目总控台账!U116)</f>
        <v/>
      </c>
      <c r="V116" s="61" t="str">
        <f aca="false">IF(项目总控台账!V116="","",项目总控台账!V116)</f>
        <v/>
      </c>
      <c r="W116" s="61" t="str">
        <f aca="false">IF(项目总控台账!W116="","",项目总控台账!W116)</f>
        <v/>
      </c>
      <c r="X116" s="59" t="str">
        <f aca="false">IF(项目总控台账!X116="","",项目总控台账!X116)</f>
        <v/>
      </c>
      <c r="Y116" s="60" t="str">
        <f aca="false">IF(项目总控台账!Y116="","",项目总控台账!Y116)</f>
        <v/>
      </c>
      <c r="Z116" s="61" t="str">
        <f aca="false">IF(项目总控台账!Z116="","",项目总控台账!Z116)</f>
        <v/>
      </c>
      <c r="AA116" s="61" t="str">
        <f aca="false">IF(项目总控台账!AA116="","",项目总控台账!AA116)</f>
        <v/>
      </c>
      <c r="AB116" s="62" t="n">
        <f aca="false">IF(项目总控台账!AB116="","",项目总控台账!AB116)</f>
        <v>0</v>
      </c>
      <c r="AC116" s="60" t="str">
        <f aca="false">IF(项目总控台账!AC116="","",项目总控台账!AC116)</f>
        <v>正常</v>
      </c>
      <c r="AD116" s="59" t="str">
        <f aca="false">IF(项目总控台账!AD116="","",项目总控台账!AD116)</f>
        <v/>
      </c>
      <c r="AE116" s="59" t="str">
        <f aca="false">IF(项目总控台账!AE116="","",项目总控台账!AE116)</f>
        <v>实施明细见“04_系统集成管理/系统集成管理-20260918-V1.xlsx”；财务共享共9条P0接口</v>
      </c>
      <c r="AF116" s="59" t="str">
        <f aca="false">IF(项目总控台账!AF116="","",项目总控台账!AF116)</f>
        <v/>
      </c>
      <c r="AG116" s="61" t="str">
        <f aca="false">IF(项目总控台账!AG116="","",项目总控台账!AG116)</f>
        <v/>
      </c>
      <c r="AH116" s="63" t="str">
        <f aca="false">IF(项目总控台账!AH116="","",项目总控台账!AH116)</f>
        <v/>
      </c>
    </row>
    <row r="117" customFormat="false" ht="51" hidden="false" customHeight="true" outlineLevel="0" collapsed="false">
      <c r="A117" s="59" t="str">
        <f aca="false">IF(项目总控台账!A117="","",项目总控台账!A117)</f>
        <v>T114</v>
      </c>
      <c r="B117" s="59" t="str">
        <f aca="false">项目总控台账!B114</f>
        <v>财务共享</v>
      </c>
      <c r="C117" s="59" t="str">
        <f aca="false">项目总控台账!C117</f>
        <v>外部系统接口实施</v>
      </c>
      <c r="D117" s="59" t="str">
        <f aca="false">项目总控台账!D117</f>
        <v>测试</v>
      </c>
      <c r="E117" s="59" t="str">
        <f aca="false">IF(项目总控台账!E117="","",项目总控台账!E117)</f>
        <v>财务共享P0接口测试工作包：集成测试用例执行通过，缺陷闭环</v>
      </c>
      <c r="F117" s="59" t="str">
        <f aca="false">IF(项目总控台账!F117="","",项目总控台账!F117)</f>
        <v>MS013</v>
      </c>
      <c r="G117" s="60" t="str">
        <f aca="false">IF(项目总控台账!G117="","",项目总控台账!G117)</f>
        <v>未开始</v>
      </c>
      <c r="H117" s="59" t="str">
        <f aca="false">IF(项目总控台账!H117="","",项目总控台账!H117)</f>
        <v>测试经理</v>
      </c>
      <c r="I117" s="61" t="n">
        <f aca="false">IF(项目总控台账!I117="","",项目总控台账!I117)</f>
        <v>46452</v>
      </c>
      <c r="J117" s="61" t="n">
        <f aca="false">IF(项目总控台账!J117="","",项目总控台账!J117)</f>
        <v>46492</v>
      </c>
      <c r="K117" s="61" t="n">
        <f aca="false">IF(项目总控台账!K117="","",项目总控台账!K117)</f>
        <v>46492</v>
      </c>
      <c r="L117" s="59" t="str">
        <f aca="false">IF(项目总控台账!L117="","",项目总控台账!L117)</f>
        <v>产品经理</v>
      </c>
      <c r="M117" s="60" t="str">
        <f aca="false">IF(项目总控台账!M117="","",项目总控台账!M117)</f>
        <v>未开始</v>
      </c>
      <c r="N117" s="61" t="n">
        <f aca="false">IF(项目总控台账!N117="","",项目总控台账!N117)</f>
        <v>46452</v>
      </c>
      <c r="O117" s="61" t="n">
        <f aca="false">IF(项目总控台账!O117="","",项目总控台账!O117)</f>
        <v>46492</v>
      </c>
      <c r="P117" s="59" t="str">
        <f aca="false">IF(项目总控台账!P117="","",项目总控台账!P117)</f>
        <v/>
      </c>
      <c r="Q117" s="60" t="str">
        <f aca="false">IF(项目总控台账!Q117="","",项目总控台账!Q117)</f>
        <v/>
      </c>
      <c r="R117" s="61" t="str">
        <f aca="false">IF(项目总控台账!R117="","",项目总控台账!R117)</f>
        <v/>
      </c>
      <c r="S117" s="61" t="str">
        <f aca="false">IF(项目总控台账!S117="","",项目总控台账!S117)</f>
        <v/>
      </c>
      <c r="T117" s="59" t="str">
        <f aca="false">IF(项目总控台账!T117="","",项目总控台账!T117)</f>
        <v/>
      </c>
      <c r="U117" s="60" t="str">
        <f aca="false">IF(项目总控台账!U117="","",项目总控台账!U117)</f>
        <v/>
      </c>
      <c r="V117" s="61" t="str">
        <f aca="false">IF(项目总控台账!V117="","",项目总控台账!V117)</f>
        <v/>
      </c>
      <c r="W117" s="61" t="str">
        <f aca="false">IF(项目总控台账!W117="","",项目总控台账!W117)</f>
        <v/>
      </c>
      <c r="X117" s="59" t="str">
        <f aca="false">IF(项目总控台账!X117="","",项目总控台账!X117)</f>
        <v>高级测试人员-01</v>
      </c>
      <c r="Y117" s="60" t="str">
        <f aca="false">IF(项目总控台账!Y117="","",项目总控台账!Y117)</f>
        <v>未开始</v>
      </c>
      <c r="Z117" s="61" t="n">
        <f aca="false">IF(项目总控台账!Z117="","",项目总控台账!Z117)</f>
        <v>46452</v>
      </c>
      <c r="AA117" s="61" t="n">
        <f aca="false">IF(项目总控台账!AA117="","",项目总控台账!AA117)</f>
        <v>46492</v>
      </c>
      <c r="AB117" s="62" t="n">
        <f aca="false">IF(项目总控台账!AB117="","",项目总控台账!AB117)</f>
        <v>0</v>
      </c>
      <c r="AC117" s="60" t="str">
        <f aca="false">IF(项目总控台账!AC117="","",项目总控台账!AC117)</f>
        <v>正常</v>
      </c>
      <c r="AD117" s="59" t="str">
        <f aca="false">IF(项目总控台账!AD117="","",项目总控台账!AD117)</f>
        <v/>
      </c>
      <c r="AE117" s="59" t="str">
        <f aca="false">IF(项目总控台账!AE117="","",项目总控台账!AE117)</f>
        <v>实施明细见“04_系统集成管理/系统集成管理-20260918-V1.xlsx”；财务共享共9条P0接口</v>
      </c>
      <c r="AF117" s="59" t="str">
        <f aca="false">IF(项目总控台账!AF117="","",项目总控台账!AF117)</f>
        <v/>
      </c>
      <c r="AG117" s="61" t="str">
        <f aca="false">IF(项目总控台账!AG117="","",项目总控台账!AG117)</f>
        <v/>
      </c>
      <c r="AH117" s="63" t="str">
        <f aca="false">IF(项目总控台账!AH117="","",项目总控台账!AH117)</f>
        <v/>
      </c>
    </row>
    <row r="118" customFormat="false" ht="51" hidden="false" customHeight="true" outlineLevel="0" collapsed="false">
      <c r="A118" s="59" t="str">
        <f aca="false">IF(项目总控台账!A118="","",项目总控台账!A118)</f>
        <v>T115</v>
      </c>
      <c r="B118" s="59" t="str">
        <f aca="false">项目总控台账!B114</f>
        <v>财务共享</v>
      </c>
      <c r="C118" s="59" t="str">
        <f aca="false">项目总控台账!C118</f>
        <v>外部系统接口实施</v>
      </c>
      <c r="D118" s="59" t="str">
        <f aca="false">项目总控台账!D118</f>
        <v>上线准备</v>
      </c>
      <c r="E118" s="59" t="str">
        <f aca="false">IF(项目总控台账!E118="","",项目总控台账!E118)</f>
        <v>财务共享P0接口上线准备工作包：生产配置、发布步骤和回退方案就绪</v>
      </c>
      <c r="F118" s="59" t="str">
        <f aca="false">IF(项目总控台账!F118="","",项目总控台账!F118)</f>
        <v>MS015</v>
      </c>
      <c r="G118" s="60" t="str">
        <f aca="false">IF(项目总控台账!G118="","",项目总控台账!G118)</f>
        <v>未开始</v>
      </c>
      <c r="H118" s="59" t="str">
        <f aca="false">IF(项目总控台账!H118="","",项目总控台账!H118)</f>
        <v>配置经理</v>
      </c>
      <c r="I118" s="61" t="n">
        <f aca="false">IF(项目总控台账!I118="","",项目总控台账!I118)</f>
        <v>46518</v>
      </c>
      <c r="J118" s="61" t="n">
        <f aca="false">IF(项目总控台账!J118="","",项目总控台账!J118)</f>
        <v>46531</v>
      </c>
      <c r="K118" s="61" t="n">
        <f aca="false">IF(项目总控台账!K118="","",项目总控台账!K118)</f>
        <v>46531</v>
      </c>
      <c r="L118" s="59" t="str">
        <f aca="false">IF(项目总控台账!L118="","",项目总控台账!L118)</f>
        <v>产品经理</v>
      </c>
      <c r="M118" s="60" t="str">
        <f aca="false">IF(项目总控台账!M118="","",项目总控台账!M118)</f>
        <v>未开始</v>
      </c>
      <c r="N118" s="61" t="n">
        <f aca="false">IF(项目总控台账!N118="","",项目总控台账!N118)</f>
        <v>46518</v>
      </c>
      <c r="O118" s="61" t="n">
        <f aca="false">IF(项目总控台账!O118="","",项目总控台账!O118)</f>
        <v>46531</v>
      </c>
      <c r="P118" s="59" t="str">
        <f aca="false">IF(项目总控台账!P118="","",项目总控台账!P118)</f>
        <v/>
      </c>
      <c r="Q118" s="60" t="str">
        <f aca="false">IF(项目总控台账!Q118="","",项目总控台账!Q118)</f>
        <v/>
      </c>
      <c r="R118" s="61" t="str">
        <f aca="false">IF(项目总控台账!R118="","",项目总控台账!R118)</f>
        <v/>
      </c>
      <c r="S118" s="61" t="str">
        <f aca="false">IF(项目总控台账!S118="","",项目总控台账!S118)</f>
        <v/>
      </c>
      <c r="T118" s="59" t="str">
        <f aca="false">IF(项目总控台账!T118="","",项目总控台账!T118)</f>
        <v/>
      </c>
      <c r="U118" s="60" t="str">
        <f aca="false">IF(项目总控台账!U118="","",项目总控台账!U118)</f>
        <v/>
      </c>
      <c r="V118" s="61" t="str">
        <f aca="false">IF(项目总控台账!V118="","",项目总控台账!V118)</f>
        <v/>
      </c>
      <c r="W118" s="61" t="str">
        <f aca="false">IF(项目总控台账!W118="","",项目总控台账!W118)</f>
        <v/>
      </c>
      <c r="X118" s="59" t="str">
        <f aca="false">IF(项目总控台账!X118="","",项目总控台账!X118)</f>
        <v/>
      </c>
      <c r="Y118" s="60" t="str">
        <f aca="false">IF(项目总控台账!Y118="","",项目总控台账!Y118)</f>
        <v/>
      </c>
      <c r="Z118" s="61" t="str">
        <f aca="false">IF(项目总控台账!Z118="","",项目总控台账!Z118)</f>
        <v/>
      </c>
      <c r="AA118" s="61" t="str">
        <f aca="false">IF(项目总控台账!AA118="","",项目总控台账!AA118)</f>
        <v/>
      </c>
      <c r="AB118" s="62" t="n">
        <f aca="false">IF(项目总控台账!AB118="","",项目总控台账!AB118)</f>
        <v>0</v>
      </c>
      <c r="AC118" s="60" t="str">
        <f aca="false">IF(项目总控台账!AC118="","",项目总控台账!AC118)</f>
        <v>正常</v>
      </c>
      <c r="AD118" s="59" t="str">
        <f aca="false">IF(项目总控台账!AD118="","",项目总控台账!AD118)</f>
        <v/>
      </c>
      <c r="AE118" s="59" t="str">
        <f aca="false">IF(项目总控台账!AE118="","",项目总控台账!AE118)</f>
        <v>实施明细见“04_系统集成管理/系统集成管理-20260918-V1.xlsx”；财务共享共9条P0接口</v>
      </c>
      <c r="AF118" s="59" t="str">
        <f aca="false">IF(项目总控台账!AF118="","",项目总控台账!AF118)</f>
        <v/>
      </c>
      <c r="AG118" s="61" t="str">
        <f aca="false">IF(项目总控台账!AG118="","",项目总控台账!AG118)</f>
        <v/>
      </c>
      <c r="AH118" s="63" t="str">
        <f aca="false">IF(项目总控台账!AH118="","",项目总控台账!AH118)</f>
        <v/>
      </c>
    </row>
    <row r="119" customFormat="false" ht="51" hidden="false" customHeight="true" outlineLevel="0" collapsed="false">
      <c r="A119" s="59" t="str">
        <f aca="false">IF(项目总控台账!A119="","",项目总控台账!A119)</f>
        <v>T116</v>
      </c>
      <c r="B119" s="59" t="str">
        <f aca="false">项目总控台账!B119</f>
        <v>档案系统</v>
      </c>
      <c r="C119" s="59" t="str">
        <f aca="false">项目总控台账!C119</f>
        <v>外部系统接口实施</v>
      </c>
      <c r="D119" s="59" t="str">
        <f aca="false">项目总控台账!D119</f>
        <v>设计</v>
      </c>
      <c r="E119" s="59" t="str">
        <f aca="false">IF(项目总控台账!E119="","",项目总控台账!E119)</f>
        <v>档案系统P0接口设计工作包：接口设计说明、字段映射、异常与安全方案通过评审</v>
      </c>
      <c r="F119" s="59" t="str">
        <f aca="false">IF(项目总控台账!F119="","",项目总控台账!F119)</f>
        <v>MS009</v>
      </c>
      <c r="G119" s="60" t="str">
        <f aca="false">IF(项目总控台账!G119="","",项目总控台账!G119)</f>
        <v>未开始</v>
      </c>
      <c r="H119" s="59" t="str">
        <f aca="false">IF(项目总控台账!H119="","",项目总控台账!H119)</f>
        <v>技术经理</v>
      </c>
      <c r="I119" s="61" t="n">
        <f aca="false">IF(项目总控台账!I119="","",项目总控台账!I119)</f>
        <v>46341</v>
      </c>
      <c r="J119" s="61" t="n">
        <f aca="false">IF(项目总控台账!J119="","",项目总控台账!J119)</f>
        <v>46374</v>
      </c>
      <c r="K119" s="61" t="n">
        <f aca="false">IF(项目总控台账!K119="","",项目总控台账!K119)</f>
        <v>46374</v>
      </c>
      <c r="L119" s="59" t="str">
        <f aca="false">IF(项目总控台账!L119="","",项目总控台账!L119)</f>
        <v>产品经理</v>
      </c>
      <c r="M119" s="60" t="str">
        <f aca="false">IF(项目总控台账!M119="","",项目总控台账!M119)</f>
        <v>未开始</v>
      </c>
      <c r="N119" s="61" t="n">
        <f aca="false">IF(项目总控台账!N119="","",项目总控台账!N119)</f>
        <v>46341</v>
      </c>
      <c r="O119" s="61" t="n">
        <f aca="false">IF(项目总控台账!O119="","",项目总控台账!O119)</f>
        <v>46374</v>
      </c>
      <c r="P119" s="59" t="str">
        <f aca="false">IF(项目总控台账!P119="","",项目总控台账!P119)</f>
        <v/>
      </c>
      <c r="Q119" s="60" t="str">
        <f aca="false">IF(项目总控台账!Q119="","",项目总控台账!Q119)</f>
        <v/>
      </c>
      <c r="R119" s="61" t="str">
        <f aca="false">IF(项目总控台账!R119="","",项目总控台账!R119)</f>
        <v/>
      </c>
      <c r="S119" s="61" t="str">
        <f aca="false">IF(项目总控台账!S119="","",项目总控台账!S119)</f>
        <v/>
      </c>
      <c r="T119" s="59" t="str">
        <f aca="false">IF(项目总控台账!T119="","",项目总控台账!T119)</f>
        <v/>
      </c>
      <c r="U119" s="60" t="str">
        <f aca="false">IF(项目总控台账!U119="","",项目总控台账!U119)</f>
        <v/>
      </c>
      <c r="V119" s="61" t="str">
        <f aca="false">IF(项目总控台账!V119="","",项目总控台账!V119)</f>
        <v/>
      </c>
      <c r="W119" s="61" t="str">
        <f aca="false">IF(项目总控台账!W119="","",项目总控台账!W119)</f>
        <v/>
      </c>
      <c r="X119" s="59" t="str">
        <f aca="false">IF(项目总控台账!X119="","",项目总控台账!X119)</f>
        <v/>
      </c>
      <c r="Y119" s="60" t="str">
        <f aca="false">IF(项目总控台账!Y119="","",项目总控台账!Y119)</f>
        <v/>
      </c>
      <c r="Z119" s="61" t="str">
        <f aca="false">IF(项目总控台账!Z119="","",项目总控台账!Z119)</f>
        <v/>
      </c>
      <c r="AA119" s="61" t="str">
        <f aca="false">IF(项目总控台账!AA119="","",项目总控台账!AA119)</f>
        <v/>
      </c>
      <c r="AB119" s="62" t="n">
        <f aca="false">IF(项目总控台账!AB119="","",项目总控台账!AB119)</f>
        <v>0</v>
      </c>
      <c r="AC119" s="60" t="str">
        <f aca="false">IF(项目总控台账!AC119="","",项目总控台账!AC119)</f>
        <v>正常</v>
      </c>
      <c r="AD119" s="59" t="str">
        <f aca="false">IF(项目总控台账!AD119="","",项目总控台账!AD119)</f>
        <v/>
      </c>
      <c r="AE119" s="59" t="str">
        <f aca="false">IF(项目总控台账!AE119="","",项目总控台账!AE119)</f>
        <v>实施明细见“04_系统集成管理/系统集成管理-20260918-V1.xlsx”；档案系统共7条P0接口</v>
      </c>
      <c r="AF119" s="59" t="str">
        <f aca="false">IF(项目总控台账!AF119="","",项目总控台账!AF119)</f>
        <v/>
      </c>
      <c r="AG119" s="61" t="str">
        <f aca="false">IF(项目总控台账!AG119="","",项目总控台账!AG119)</f>
        <v/>
      </c>
      <c r="AH119" s="63" t="str">
        <f aca="false">IF(项目总控台账!AH119="","",项目总控台账!AH119)</f>
        <v/>
      </c>
    </row>
    <row r="120" customFormat="false" ht="51" hidden="false" customHeight="true" outlineLevel="0" collapsed="false">
      <c r="A120" s="59" t="str">
        <f aca="false">IF(项目总控台账!A120="","",项目总控台账!A120)</f>
        <v>T117</v>
      </c>
      <c r="B120" s="59" t="str">
        <f aca="false">项目总控台账!B119</f>
        <v>档案系统</v>
      </c>
      <c r="C120" s="59" t="str">
        <f aca="false">项目总控台账!C120</f>
        <v>外部系统接口实施</v>
      </c>
      <c r="D120" s="59" t="str">
        <f aca="false">项目总控台账!D120</f>
        <v>开发</v>
      </c>
      <c r="E120" s="59" t="str">
        <f aca="false">IF(项目总控台账!E120="","",项目总控台账!E120)</f>
        <v>档案系统P0接口开发工作包：接口代码、自测记录及部署包完成</v>
      </c>
      <c r="F120" s="59" t="str">
        <f aca="false">IF(项目总控台账!F120="","",项目总控台账!F120)</f>
        <v>MS010</v>
      </c>
      <c r="G120" s="60" t="str">
        <f aca="false">IF(项目总控台账!G120="","",项目总控台账!G120)</f>
        <v>未开始</v>
      </c>
      <c r="H120" s="59" t="str">
        <f aca="false">IF(项目总控台账!H120="","",项目总控台账!H120)</f>
        <v>技术经理</v>
      </c>
      <c r="I120" s="61" t="n">
        <f aca="false">IF(项目总控台账!I120="","",项目总控台账!I120)</f>
        <v>46375</v>
      </c>
      <c r="J120" s="61" t="n">
        <f aca="false">IF(项目总控台账!J120="","",项目总控台账!J120)</f>
        <v>46430</v>
      </c>
      <c r="K120" s="61" t="n">
        <f aca="false">IF(项目总控台账!K120="","",项目总控台账!K120)</f>
        <v>46430</v>
      </c>
      <c r="L120" s="59" t="str">
        <f aca="false">IF(项目总控台账!L120="","",项目总控台账!L120)</f>
        <v>产品经理</v>
      </c>
      <c r="M120" s="60" t="str">
        <f aca="false">IF(项目总控台账!M120="","",项目总控台账!M120)</f>
        <v>未开始</v>
      </c>
      <c r="N120" s="61" t="n">
        <f aca="false">IF(项目总控台账!N120="","",项目总控台账!N120)</f>
        <v>46375</v>
      </c>
      <c r="O120" s="61" t="n">
        <f aca="false">IF(项目总控台账!O120="","",项目总控台账!O120)</f>
        <v>46430</v>
      </c>
      <c r="P120" s="59" t="str">
        <f aca="false">IF(项目总控台账!P120="","",项目总控台账!P120)</f>
        <v>中级开发人员-02</v>
      </c>
      <c r="Q120" s="60" t="str">
        <f aca="false">IF(项目总控台账!Q120="","",项目总控台账!Q120)</f>
        <v>未开始</v>
      </c>
      <c r="R120" s="61" t="n">
        <f aca="false">IF(项目总控台账!R120="","",项目总控台账!R120)</f>
        <v>46375</v>
      </c>
      <c r="S120" s="61" t="n">
        <f aca="false">IF(项目总控台账!S120="","",项目总控台账!S120)</f>
        <v>46430</v>
      </c>
      <c r="T120" s="59" t="str">
        <f aca="false">IF(项目总控台账!T120="","",项目总控台账!T120)</f>
        <v/>
      </c>
      <c r="U120" s="60" t="str">
        <f aca="false">IF(项目总控台账!U120="","",项目总控台账!U120)</f>
        <v/>
      </c>
      <c r="V120" s="61" t="str">
        <f aca="false">IF(项目总控台账!V120="","",项目总控台账!V120)</f>
        <v/>
      </c>
      <c r="W120" s="61" t="str">
        <f aca="false">IF(项目总控台账!W120="","",项目总控台账!W120)</f>
        <v/>
      </c>
      <c r="X120" s="59" t="str">
        <f aca="false">IF(项目总控台账!X120="","",项目总控台账!X120)</f>
        <v/>
      </c>
      <c r="Y120" s="60" t="str">
        <f aca="false">IF(项目总控台账!Y120="","",项目总控台账!Y120)</f>
        <v/>
      </c>
      <c r="Z120" s="61" t="str">
        <f aca="false">IF(项目总控台账!Z120="","",项目总控台账!Z120)</f>
        <v/>
      </c>
      <c r="AA120" s="61" t="str">
        <f aca="false">IF(项目总控台账!AA120="","",项目总控台账!AA120)</f>
        <v/>
      </c>
      <c r="AB120" s="62" t="n">
        <f aca="false">IF(项目总控台账!AB120="","",项目总控台账!AB120)</f>
        <v>0</v>
      </c>
      <c r="AC120" s="60" t="str">
        <f aca="false">IF(项目总控台账!AC120="","",项目总控台账!AC120)</f>
        <v>正常</v>
      </c>
      <c r="AD120" s="59" t="str">
        <f aca="false">IF(项目总控台账!AD120="","",项目总控台账!AD120)</f>
        <v/>
      </c>
      <c r="AE120" s="59" t="str">
        <f aca="false">IF(项目总控台账!AE120="","",项目总控台账!AE120)</f>
        <v>实施明细见“04_系统集成管理/系统集成管理-20260918-V1.xlsx”；档案系统共7条P0接口</v>
      </c>
      <c r="AF120" s="59" t="str">
        <f aca="false">IF(项目总控台账!AF120="","",项目总控台账!AF120)</f>
        <v/>
      </c>
      <c r="AG120" s="61" t="str">
        <f aca="false">IF(项目总控台账!AG120="","",项目总控台账!AG120)</f>
        <v/>
      </c>
      <c r="AH120" s="63" t="str">
        <f aca="false">IF(项目总控台账!AH120="","",项目总控台账!AH120)</f>
        <v/>
      </c>
    </row>
    <row r="121" customFormat="false" ht="51" hidden="false" customHeight="true" outlineLevel="0" collapsed="false">
      <c r="A121" s="59" t="str">
        <f aca="false">IF(项目总控台账!A121="","",项目总控台账!A121)</f>
        <v>T118</v>
      </c>
      <c r="B121" s="59" t="str">
        <f aca="false">项目总控台账!B119</f>
        <v>档案系统</v>
      </c>
      <c r="C121" s="59" t="str">
        <f aca="false">项目总控台账!C121</f>
        <v>外部系统接口实施</v>
      </c>
      <c r="D121" s="59" t="str">
        <f aca="false">项目总控台账!D121</f>
        <v>联调</v>
      </c>
      <c r="E121" s="59" t="str">
        <f aca="false">IF(项目总控台账!E121="","",项目总控台账!E121)</f>
        <v>档案系统P0接口联调工作包：双向联调通过，异常、重试与补偿验证完成</v>
      </c>
      <c r="F121" s="59" t="str">
        <f aca="false">IF(项目总控台账!F121="","",项目总控台账!F121)</f>
        <v>MS012</v>
      </c>
      <c r="G121" s="60" t="str">
        <f aca="false">IF(项目总控台账!G121="","",项目总控台账!G121)</f>
        <v>未开始</v>
      </c>
      <c r="H121" s="59" t="str">
        <f aca="false">IF(项目总控台账!H121="","",项目总控台账!H121)</f>
        <v>技术经理</v>
      </c>
      <c r="I121" s="61" t="n">
        <f aca="false">IF(项目总控台账!I121="","",项目总控台账!I121)</f>
        <v>46433</v>
      </c>
      <c r="J121" s="61" t="n">
        <f aca="false">IF(项目总控台账!J121="","",项目总控台账!J121)</f>
        <v>46451</v>
      </c>
      <c r="K121" s="61" t="n">
        <f aca="false">IF(项目总控台账!K121="","",项目总控台账!K121)</f>
        <v>46451</v>
      </c>
      <c r="L121" s="59" t="str">
        <f aca="false">IF(项目总控台账!L121="","",项目总控台账!L121)</f>
        <v>产品经理</v>
      </c>
      <c r="M121" s="60" t="str">
        <f aca="false">IF(项目总控台账!M121="","",项目总控台账!M121)</f>
        <v>未开始</v>
      </c>
      <c r="N121" s="61" t="n">
        <f aca="false">IF(项目总控台账!N121="","",项目总控台账!N121)</f>
        <v>46433</v>
      </c>
      <c r="O121" s="61" t="n">
        <f aca="false">IF(项目总控台账!O121="","",项目总控台账!O121)</f>
        <v>46451</v>
      </c>
      <c r="P121" s="59" t="str">
        <f aca="false">IF(项目总控台账!P121="","",项目总控台账!P121)</f>
        <v>高级开发人员-02</v>
      </c>
      <c r="Q121" s="60" t="str">
        <f aca="false">IF(项目总控台账!Q121="","",项目总控台账!Q121)</f>
        <v>未开始</v>
      </c>
      <c r="R121" s="61" t="n">
        <f aca="false">IF(项目总控台账!R121="","",项目总控台账!R121)</f>
        <v>46433</v>
      </c>
      <c r="S121" s="61" t="n">
        <f aca="false">IF(项目总控台账!S121="","",项目总控台账!S121)</f>
        <v>46451</v>
      </c>
      <c r="T121" s="59" t="str">
        <f aca="false">IF(项目总控台账!T121="","",项目总控台账!T121)</f>
        <v/>
      </c>
      <c r="U121" s="60" t="str">
        <f aca="false">IF(项目总控台账!U121="","",项目总控台账!U121)</f>
        <v/>
      </c>
      <c r="V121" s="61" t="str">
        <f aca="false">IF(项目总控台账!V121="","",项目总控台账!V121)</f>
        <v/>
      </c>
      <c r="W121" s="61" t="str">
        <f aca="false">IF(项目总控台账!W121="","",项目总控台账!W121)</f>
        <v/>
      </c>
      <c r="X121" s="59" t="str">
        <f aca="false">IF(项目总控台账!X121="","",项目总控台账!X121)</f>
        <v/>
      </c>
      <c r="Y121" s="60" t="str">
        <f aca="false">IF(项目总控台账!Y121="","",项目总控台账!Y121)</f>
        <v/>
      </c>
      <c r="Z121" s="61" t="str">
        <f aca="false">IF(项目总控台账!Z121="","",项目总控台账!Z121)</f>
        <v/>
      </c>
      <c r="AA121" s="61" t="str">
        <f aca="false">IF(项目总控台账!AA121="","",项目总控台账!AA121)</f>
        <v/>
      </c>
      <c r="AB121" s="62" t="n">
        <f aca="false">IF(项目总控台账!AB121="","",项目总控台账!AB121)</f>
        <v>0</v>
      </c>
      <c r="AC121" s="60" t="str">
        <f aca="false">IF(项目总控台账!AC121="","",项目总控台账!AC121)</f>
        <v>正常</v>
      </c>
      <c r="AD121" s="59" t="str">
        <f aca="false">IF(项目总控台账!AD121="","",项目总控台账!AD121)</f>
        <v/>
      </c>
      <c r="AE121" s="59" t="str">
        <f aca="false">IF(项目总控台账!AE121="","",项目总控台账!AE121)</f>
        <v>实施明细见“04_系统集成管理/系统集成管理-20260918-V1.xlsx”；档案系统共7条P0接口</v>
      </c>
      <c r="AF121" s="59" t="str">
        <f aca="false">IF(项目总控台账!AF121="","",项目总控台账!AF121)</f>
        <v/>
      </c>
      <c r="AG121" s="61" t="str">
        <f aca="false">IF(项目总控台账!AG121="","",项目总控台账!AG121)</f>
        <v/>
      </c>
      <c r="AH121" s="63" t="str">
        <f aca="false">IF(项目总控台账!AH121="","",项目总控台账!AH121)</f>
        <v/>
      </c>
    </row>
    <row r="122" customFormat="false" ht="51" hidden="false" customHeight="true" outlineLevel="0" collapsed="false">
      <c r="A122" s="59" t="str">
        <f aca="false">IF(项目总控台账!A122="","",项目总控台账!A122)</f>
        <v>T119</v>
      </c>
      <c r="B122" s="59" t="str">
        <f aca="false">项目总控台账!B119</f>
        <v>档案系统</v>
      </c>
      <c r="C122" s="59" t="str">
        <f aca="false">项目总控台账!C122</f>
        <v>外部系统接口实施</v>
      </c>
      <c r="D122" s="59" t="str">
        <f aca="false">项目总控台账!D122</f>
        <v>测试</v>
      </c>
      <c r="E122" s="59" t="str">
        <f aca="false">IF(项目总控台账!E122="","",项目总控台账!E122)</f>
        <v>档案系统P0接口测试工作包：集成测试用例执行通过，缺陷闭环</v>
      </c>
      <c r="F122" s="59" t="str">
        <f aca="false">IF(项目总控台账!F122="","",项目总控台账!F122)</f>
        <v>MS013</v>
      </c>
      <c r="G122" s="60" t="str">
        <f aca="false">IF(项目总控台账!G122="","",项目总控台账!G122)</f>
        <v>未开始</v>
      </c>
      <c r="H122" s="59" t="str">
        <f aca="false">IF(项目总控台账!H122="","",项目总控台账!H122)</f>
        <v>测试经理</v>
      </c>
      <c r="I122" s="61" t="n">
        <f aca="false">IF(项目总控台账!I122="","",项目总控台账!I122)</f>
        <v>46452</v>
      </c>
      <c r="J122" s="61" t="n">
        <f aca="false">IF(项目总控台账!J122="","",项目总控台账!J122)</f>
        <v>46492</v>
      </c>
      <c r="K122" s="61" t="n">
        <f aca="false">IF(项目总控台账!K122="","",项目总控台账!K122)</f>
        <v>46492</v>
      </c>
      <c r="L122" s="59" t="str">
        <f aca="false">IF(项目总控台账!L122="","",项目总控台账!L122)</f>
        <v>产品经理</v>
      </c>
      <c r="M122" s="60" t="str">
        <f aca="false">IF(项目总控台账!M122="","",项目总控台账!M122)</f>
        <v>未开始</v>
      </c>
      <c r="N122" s="61" t="n">
        <f aca="false">IF(项目总控台账!N122="","",项目总控台账!N122)</f>
        <v>46452</v>
      </c>
      <c r="O122" s="61" t="n">
        <f aca="false">IF(项目总控台账!O122="","",项目总控台账!O122)</f>
        <v>46492</v>
      </c>
      <c r="P122" s="59" t="str">
        <f aca="false">IF(项目总控台账!P122="","",项目总控台账!P122)</f>
        <v/>
      </c>
      <c r="Q122" s="60" t="str">
        <f aca="false">IF(项目总控台账!Q122="","",项目总控台账!Q122)</f>
        <v/>
      </c>
      <c r="R122" s="61" t="str">
        <f aca="false">IF(项目总控台账!R122="","",项目总控台账!R122)</f>
        <v/>
      </c>
      <c r="S122" s="61" t="str">
        <f aca="false">IF(项目总控台账!S122="","",项目总控台账!S122)</f>
        <v/>
      </c>
      <c r="T122" s="59" t="str">
        <f aca="false">IF(项目总控台账!T122="","",项目总控台账!T122)</f>
        <v/>
      </c>
      <c r="U122" s="60" t="str">
        <f aca="false">IF(项目总控台账!U122="","",项目总控台账!U122)</f>
        <v/>
      </c>
      <c r="V122" s="61" t="str">
        <f aca="false">IF(项目总控台账!V122="","",项目总控台账!V122)</f>
        <v/>
      </c>
      <c r="W122" s="61" t="str">
        <f aca="false">IF(项目总控台账!W122="","",项目总控台账!W122)</f>
        <v/>
      </c>
      <c r="X122" s="59" t="str">
        <f aca="false">IF(项目总控台账!X122="","",项目总控台账!X122)</f>
        <v>中级测试人员-01</v>
      </c>
      <c r="Y122" s="60" t="str">
        <f aca="false">IF(项目总控台账!Y122="","",项目总控台账!Y122)</f>
        <v>未开始</v>
      </c>
      <c r="Z122" s="61" t="n">
        <f aca="false">IF(项目总控台账!Z122="","",项目总控台账!Z122)</f>
        <v>46452</v>
      </c>
      <c r="AA122" s="61" t="n">
        <f aca="false">IF(项目总控台账!AA122="","",项目总控台账!AA122)</f>
        <v>46492</v>
      </c>
      <c r="AB122" s="62" t="n">
        <f aca="false">IF(项目总控台账!AB122="","",项目总控台账!AB122)</f>
        <v>0</v>
      </c>
      <c r="AC122" s="60" t="str">
        <f aca="false">IF(项目总控台账!AC122="","",项目总控台账!AC122)</f>
        <v>正常</v>
      </c>
      <c r="AD122" s="59" t="str">
        <f aca="false">IF(项目总控台账!AD122="","",项目总控台账!AD122)</f>
        <v/>
      </c>
      <c r="AE122" s="59" t="str">
        <f aca="false">IF(项目总控台账!AE122="","",项目总控台账!AE122)</f>
        <v>实施明细见“04_系统集成管理/系统集成管理-20260918-V1.xlsx”；档案系统共7条P0接口</v>
      </c>
      <c r="AF122" s="59" t="str">
        <f aca="false">IF(项目总控台账!AF122="","",项目总控台账!AF122)</f>
        <v/>
      </c>
      <c r="AG122" s="61" t="str">
        <f aca="false">IF(项目总控台账!AG122="","",项目总控台账!AG122)</f>
        <v/>
      </c>
      <c r="AH122" s="63" t="str">
        <f aca="false">IF(项目总控台账!AH122="","",项目总控台账!AH122)</f>
        <v/>
      </c>
    </row>
    <row r="123" customFormat="false" ht="51" hidden="false" customHeight="true" outlineLevel="0" collapsed="false">
      <c r="A123" s="59" t="str">
        <f aca="false">IF(项目总控台账!A123="","",项目总控台账!A123)</f>
        <v>T120</v>
      </c>
      <c r="B123" s="59" t="str">
        <f aca="false">项目总控台账!B119</f>
        <v>档案系统</v>
      </c>
      <c r="C123" s="59" t="str">
        <f aca="false">项目总控台账!C123</f>
        <v>外部系统接口实施</v>
      </c>
      <c r="D123" s="59" t="str">
        <f aca="false">项目总控台账!D123</f>
        <v>上线准备</v>
      </c>
      <c r="E123" s="59" t="str">
        <f aca="false">IF(项目总控台账!E123="","",项目总控台账!E123)</f>
        <v>档案系统P0接口上线准备工作包：生产配置、发布步骤和回退方案就绪</v>
      </c>
      <c r="F123" s="59" t="str">
        <f aca="false">IF(项目总控台账!F123="","",项目总控台账!F123)</f>
        <v>MS015</v>
      </c>
      <c r="G123" s="60" t="str">
        <f aca="false">IF(项目总控台账!G123="","",项目总控台账!G123)</f>
        <v>未开始</v>
      </c>
      <c r="H123" s="59" t="str">
        <f aca="false">IF(项目总控台账!H123="","",项目总控台账!H123)</f>
        <v>配置经理</v>
      </c>
      <c r="I123" s="61" t="n">
        <f aca="false">IF(项目总控台账!I123="","",项目总控台账!I123)</f>
        <v>46518</v>
      </c>
      <c r="J123" s="61" t="n">
        <f aca="false">IF(项目总控台账!J123="","",项目总控台账!J123)</f>
        <v>46531</v>
      </c>
      <c r="K123" s="61" t="n">
        <f aca="false">IF(项目总控台账!K123="","",项目总控台账!K123)</f>
        <v>46531</v>
      </c>
      <c r="L123" s="59" t="str">
        <f aca="false">IF(项目总控台账!L123="","",项目总控台账!L123)</f>
        <v>产品经理</v>
      </c>
      <c r="M123" s="60" t="str">
        <f aca="false">IF(项目总控台账!M123="","",项目总控台账!M123)</f>
        <v>未开始</v>
      </c>
      <c r="N123" s="61" t="n">
        <f aca="false">IF(项目总控台账!N123="","",项目总控台账!N123)</f>
        <v>46518</v>
      </c>
      <c r="O123" s="61" t="n">
        <f aca="false">IF(项目总控台账!O123="","",项目总控台账!O123)</f>
        <v>46531</v>
      </c>
      <c r="P123" s="59" t="str">
        <f aca="false">IF(项目总控台账!P123="","",项目总控台账!P123)</f>
        <v/>
      </c>
      <c r="Q123" s="60" t="str">
        <f aca="false">IF(项目总控台账!Q123="","",项目总控台账!Q123)</f>
        <v/>
      </c>
      <c r="R123" s="61" t="str">
        <f aca="false">IF(项目总控台账!R123="","",项目总控台账!R123)</f>
        <v/>
      </c>
      <c r="S123" s="61" t="str">
        <f aca="false">IF(项目总控台账!S123="","",项目总控台账!S123)</f>
        <v/>
      </c>
      <c r="T123" s="59" t="str">
        <f aca="false">IF(项目总控台账!T123="","",项目总控台账!T123)</f>
        <v/>
      </c>
      <c r="U123" s="60" t="str">
        <f aca="false">IF(项目总控台账!U123="","",项目总控台账!U123)</f>
        <v/>
      </c>
      <c r="V123" s="61" t="str">
        <f aca="false">IF(项目总控台账!V123="","",项目总控台账!V123)</f>
        <v/>
      </c>
      <c r="W123" s="61" t="str">
        <f aca="false">IF(项目总控台账!W123="","",项目总控台账!W123)</f>
        <v/>
      </c>
      <c r="X123" s="59" t="str">
        <f aca="false">IF(项目总控台账!X123="","",项目总控台账!X123)</f>
        <v/>
      </c>
      <c r="Y123" s="60" t="str">
        <f aca="false">IF(项目总控台账!Y123="","",项目总控台账!Y123)</f>
        <v/>
      </c>
      <c r="Z123" s="61" t="str">
        <f aca="false">IF(项目总控台账!Z123="","",项目总控台账!Z123)</f>
        <v/>
      </c>
      <c r="AA123" s="61" t="str">
        <f aca="false">IF(项目总控台账!AA123="","",项目总控台账!AA123)</f>
        <v/>
      </c>
      <c r="AB123" s="62" t="n">
        <f aca="false">IF(项目总控台账!AB123="","",项目总控台账!AB123)</f>
        <v>0</v>
      </c>
      <c r="AC123" s="60" t="str">
        <f aca="false">IF(项目总控台账!AC123="","",项目总控台账!AC123)</f>
        <v>正常</v>
      </c>
      <c r="AD123" s="59" t="str">
        <f aca="false">IF(项目总控台账!AD123="","",项目总控台账!AD123)</f>
        <v/>
      </c>
      <c r="AE123" s="59" t="str">
        <f aca="false">IF(项目总控台账!AE123="","",项目总控台账!AE123)</f>
        <v>实施明细见“04_系统集成管理/系统集成管理-20260918-V1.xlsx”；档案系统共7条P0接口</v>
      </c>
      <c r="AF123" s="59" t="str">
        <f aca="false">IF(项目总控台账!AF123="","",项目总控台账!AF123)</f>
        <v/>
      </c>
      <c r="AG123" s="61" t="str">
        <f aca="false">IF(项目总控台账!AG123="","",项目总控台账!AG123)</f>
        <v/>
      </c>
      <c r="AH123" s="63" t="str">
        <f aca="false">IF(项目总控台账!AH123="","",项目总控台账!AH123)</f>
        <v/>
      </c>
    </row>
    <row r="124" customFormat="false" ht="51" hidden="false" customHeight="true" outlineLevel="0" collapsed="false">
      <c r="A124" s="59" t="str">
        <f aca="false">IF(项目总控台账!A124="","",项目总控台账!A124)</f>
        <v>T121</v>
      </c>
      <c r="B124" s="59" t="str">
        <f aca="false">项目总控台账!B124</f>
        <v>IAM</v>
      </c>
      <c r="C124" s="59" t="str">
        <f aca="false">项目总控台账!C124</f>
        <v>外部系统接口实施</v>
      </c>
      <c r="D124" s="59" t="str">
        <f aca="false">项目总控台账!D124</f>
        <v>设计</v>
      </c>
      <c r="E124" s="59" t="str">
        <f aca="false">IF(项目总控台账!E124="","",项目总控台账!E124)</f>
        <v>IAMP0接口设计工作包：接口设计说明、字段映射、异常与安全方案通过评审</v>
      </c>
      <c r="F124" s="59" t="str">
        <f aca="false">IF(项目总控台账!F124="","",项目总控台账!F124)</f>
        <v>MS009</v>
      </c>
      <c r="G124" s="60" t="str">
        <f aca="false">IF(项目总控台账!G124="","",项目总控台账!G124)</f>
        <v>未开始</v>
      </c>
      <c r="H124" s="59" t="str">
        <f aca="false">IF(项目总控台账!H124="","",项目总控台账!H124)</f>
        <v>技术经理</v>
      </c>
      <c r="I124" s="61" t="n">
        <f aca="false">IF(项目总控台账!I124="","",项目总控台账!I124)</f>
        <v>46341</v>
      </c>
      <c r="J124" s="61" t="n">
        <f aca="false">IF(项目总控台账!J124="","",项目总控台账!J124)</f>
        <v>46353</v>
      </c>
      <c r="K124" s="61" t="n">
        <f aca="false">IF(项目总控台账!K124="","",项目总控台账!K124)</f>
        <v>46353</v>
      </c>
      <c r="L124" s="59" t="str">
        <f aca="false">IF(项目总控台账!L124="","",项目总控台账!L124)</f>
        <v>产品经理</v>
      </c>
      <c r="M124" s="60" t="str">
        <f aca="false">IF(项目总控台账!M124="","",项目总控台账!M124)</f>
        <v>未开始</v>
      </c>
      <c r="N124" s="61" t="n">
        <f aca="false">IF(项目总控台账!N124="","",项目总控台账!N124)</f>
        <v>46341</v>
      </c>
      <c r="O124" s="61" t="n">
        <f aca="false">IF(项目总控台账!O124="","",项目总控台账!O124)</f>
        <v>46353</v>
      </c>
      <c r="P124" s="59" t="str">
        <f aca="false">IF(项目总控台账!P124="","",项目总控台账!P124)</f>
        <v/>
      </c>
      <c r="Q124" s="60" t="str">
        <f aca="false">IF(项目总控台账!Q124="","",项目总控台账!Q124)</f>
        <v/>
      </c>
      <c r="R124" s="61" t="str">
        <f aca="false">IF(项目总控台账!R124="","",项目总控台账!R124)</f>
        <v/>
      </c>
      <c r="S124" s="61" t="str">
        <f aca="false">IF(项目总控台账!S124="","",项目总控台账!S124)</f>
        <v/>
      </c>
      <c r="T124" s="59" t="str">
        <f aca="false">IF(项目总控台账!T124="","",项目总控台账!T124)</f>
        <v/>
      </c>
      <c r="U124" s="60" t="str">
        <f aca="false">IF(项目总控台账!U124="","",项目总控台账!U124)</f>
        <v/>
      </c>
      <c r="V124" s="61" t="str">
        <f aca="false">IF(项目总控台账!V124="","",项目总控台账!V124)</f>
        <v/>
      </c>
      <c r="W124" s="61" t="str">
        <f aca="false">IF(项目总控台账!W124="","",项目总控台账!W124)</f>
        <v/>
      </c>
      <c r="X124" s="59" t="str">
        <f aca="false">IF(项目总控台账!X124="","",项目总控台账!X124)</f>
        <v/>
      </c>
      <c r="Y124" s="60" t="str">
        <f aca="false">IF(项目总控台账!Y124="","",项目总控台账!Y124)</f>
        <v/>
      </c>
      <c r="Z124" s="61" t="str">
        <f aca="false">IF(项目总控台账!Z124="","",项目总控台账!Z124)</f>
        <v/>
      </c>
      <c r="AA124" s="61" t="str">
        <f aca="false">IF(项目总控台账!AA124="","",项目总控台账!AA124)</f>
        <v/>
      </c>
      <c r="AB124" s="62" t="n">
        <f aca="false">IF(项目总控台账!AB124="","",项目总控台账!AB124)</f>
        <v>0</v>
      </c>
      <c r="AC124" s="60" t="str">
        <f aca="false">IF(项目总控台账!AC124="","",项目总控台账!AC124)</f>
        <v>正常</v>
      </c>
      <c r="AD124" s="59" t="str">
        <f aca="false">IF(项目总控台账!AD124="","",项目总控台账!AD124)</f>
        <v/>
      </c>
      <c r="AE124" s="59" t="str">
        <f aca="false">IF(项目总控台账!AE124="","",项目总控台账!AE124)</f>
        <v>实施明细见“04_系统集成管理/系统集成管理-20260918-V1.xlsx”；IAM共1条P0接口</v>
      </c>
      <c r="AF124" s="59" t="str">
        <f aca="false">IF(项目总控台账!AF124="","",项目总控台账!AF124)</f>
        <v/>
      </c>
      <c r="AG124" s="61" t="str">
        <f aca="false">IF(项目总控台账!AG124="","",项目总控台账!AG124)</f>
        <v/>
      </c>
      <c r="AH124" s="63" t="str">
        <f aca="false">IF(项目总控台账!AH124="","",项目总控台账!AH124)</f>
        <v/>
      </c>
    </row>
    <row r="125" customFormat="false" ht="51" hidden="false" customHeight="true" outlineLevel="0" collapsed="false">
      <c r="A125" s="59" t="str">
        <f aca="false">IF(项目总控台账!A125="","",项目总控台账!A125)</f>
        <v>T122</v>
      </c>
      <c r="B125" s="59" t="str">
        <f aca="false">项目总控台账!B124</f>
        <v>IAM</v>
      </c>
      <c r="C125" s="59" t="str">
        <f aca="false">项目总控台账!C125</f>
        <v>外部系统接口实施</v>
      </c>
      <c r="D125" s="59" t="str">
        <f aca="false">项目总控台账!D125</f>
        <v>开发</v>
      </c>
      <c r="E125" s="59" t="str">
        <f aca="false">IF(项目总控台账!E125="","",项目总控台账!E125)</f>
        <v>IAMP0接口开发工作包：接口代码、自测记录及部署包完成</v>
      </c>
      <c r="F125" s="59" t="str">
        <f aca="false">IF(项目总控台账!F125="","",项目总控台账!F125)</f>
        <v>MS010</v>
      </c>
      <c r="G125" s="60" t="str">
        <f aca="false">IF(项目总控台账!G125="","",项目总控台账!G125)</f>
        <v>未开始</v>
      </c>
      <c r="H125" s="59" t="str">
        <f aca="false">IF(项目总控台账!H125="","",项目总控台账!H125)</f>
        <v>技术经理</v>
      </c>
      <c r="I125" s="61" t="n">
        <f aca="false">IF(项目总控台账!I125="","",项目总控台账!I125)</f>
        <v>46354</v>
      </c>
      <c r="J125" s="61" t="n">
        <f aca="false">IF(项目总控台账!J125="","",项目总控台账!J125)</f>
        <v>46430</v>
      </c>
      <c r="K125" s="61" t="n">
        <f aca="false">IF(项目总控台账!K125="","",项目总控台账!K125)</f>
        <v>46430</v>
      </c>
      <c r="L125" s="59" t="str">
        <f aca="false">IF(项目总控台账!L125="","",项目总控台账!L125)</f>
        <v>产品经理</v>
      </c>
      <c r="M125" s="60" t="str">
        <f aca="false">IF(项目总控台账!M125="","",项目总控台账!M125)</f>
        <v>未开始</v>
      </c>
      <c r="N125" s="61" t="n">
        <f aca="false">IF(项目总控台账!N125="","",项目总控台账!N125)</f>
        <v>46354</v>
      </c>
      <c r="O125" s="61" t="n">
        <f aca="false">IF(项目总控台账!O125="","",项目总控台账!O125)</f>
        <v>46430</v>
      </c>
      <c r="P125" s="59" t="str">
        <f aca="false">IF(项目总控台账!P125="","",项目总控台账!P125)</f>
        <v>中级开发人员-03</v>
      </c>
      <c r="Q125" s="60" t="str">
        <f aca="false">IF(项目总控台账!Q125="","",项目总控台账!Q125)</f>
        <v>未开始</v>
      </c>
      <c r="R125" s="61" t="n">
        <f aca="false">IF(项目总控台账!R125="","",项目总控台账!R125)</f>
        <v>46354</v>
      </c>
      <c r="S125" s="61" t="n">
        <f aca="false">IF(项目总控台账!S125="","",项目总控台账!S125)</f>
        <v>46430</v>
      </c>
      <c r="T125" s="59" t="str">
        <f aca="false">IF(项目总控台账!T125="","",项目总控台账!T125)</f>
        <v/>
      </c>
      <c r="U125" s="60" t="str">
        <f aca="false">IF(项目总控台账!U125="","",项目总控台账!U125)</f>
        <v/>
      </c>
      <c r="V125" s="61" t="str">
        <f aca="false">IF(项目总控台账!V125="","",项目总控台账!V125)</f>
        <v/>
      </c>
      <c r="W125" s="61" t="str">
        <f aca="false">IF(项目总控台账!W125="","",项目总控台账!W125)</f>
        <v/>
      </c>
      <c r="X125" s="59" t="str">
        <f aca="false">IF(项目总控台账!X125="","",项目总控台账!X125)</f>
        <v/>
      </c>
      <c r="Y125" s="60" t="str">
        <f aca="false">IF(项目总控台账!Y125="","",项目总控台账!Y125)</f>
        <v/>
      </c>
      <c r="Z125" s="61" t="str">
        <f aca="false">IF(项目总控台账!Z125="","",项目总控台账!Z125)</f>
        <v/>
      </c>
      <c r="AA125" s="61" t="str">
        <f aca="false">IF(项目总控台账!AA125="","",项目总控台账!AA125)</f>
        <v/>
      </c>
      <c r="AB125" s="62" t="n">
        <f aca="false">IF(项目总控台账!AB125="","",项目总控台账!AB125)</f>
        <v>0</v>
      </c>
      <c r="AC125" s="60" t="str">
        <f aca="false">IF(项目总控台账!AC125="","",项目总控台账!AC125)</f>
        <v>正常</v>
      </c>
      <c r="AD125" s="59" t="str">
        <f aca="false">IF(项目总控台账!AD125="","",项目总控台账!AD125)</f>
        <v/>
      </c>
      <c r="AE125" s="59" t="str">
        <f aca="false">IF(项目总控台账!AE125="","",项目总控台账!AE125)</f>
        <v>实施明细见“04_系统集成管理/系统集成管理-20260918-V1.xlsx”；IAM共1条P0接口</v>
      </c>
      <c r="AF125" s="59" t="str">
        <f aca="false">IF(项目总控台账!AF125="","",项目总控台账!AF125)</f>
        <v/>
      </c>
      <c r="AG125" s="61" t="str">
        <f aca="false">IF(项目总控台账!AG125="","",项目总控台账!AG125)</f>
        <v/>
      </c>
      <c r="AH125" s="63" t="str">
        <f aca="false">IF(项目总控台账!AH125="","",项目总控台账!AH125)</f>
        <v/>
      </c>
    </row>
    <row r="126" customFormat="false" ht="51" hidden="false" customHeight="true" outlineLevel="0" collapsed="false">
      <c r="A126" s="59" t="str">
        <f aca="false">IF(项目总控台账!A126="","",项目总控台账!A126)</f>
        <v>T123</v>
      </c>
      <c r="B126" s="59" t="str">
        <f aca="false">项目总控台账!B124</f>
        <v>IAM</v>
      </c>
      <c r="C126" s="59" t="str">
        <f aca="false">项目总控台账!C126</f>
        <v>外部系统接口实施</v>
      </c>
      <c r="D126" s="59" t="str">
        <f aca="false">项目总控台账!D126</f>
        <v>联调</v>
      </c>
      <c r="E126" s="59" t="str">
        <f aca="false">IF(项目总控台账!E126="","",项目总控台账!E126)</f>
        <v>IAMP0接口联调工作包：双向联调通过，异常、重试与补偿验证完成</v>
      </c>
      <c r="F126" s="59" t="str">
        <f aca="false">IF(项目总控台账!F126="","",项目总控台账!F126)</f>
        <v>MS012</v>
      </c>
      <c r="G126" s="60" t="str">
        <f aca="false">IF(项目总控台账!G126="","",项目总控台账!G126)</f>
        <v>未开始</v>
      </c>
      <c r="H126" s="59" t="str">
        <f aca="false">IF(项目总控台账!H126="","",项目总控台账!H126)</f>
        <v>技术经理</v>
      </c>
      <c r="I126" s="61" t="n">
        <f aca="false">IF(项目总控台账!I126="","",项目总控台账!I126)</f>
        <v>46433</v>
      </c>
      <c r="J126" s="61" t="n">
        <f aca="false">IF(项目总控台账!J126="","",项目总控台账!J126)</f>
        <v>46451</v>
      </c>
      <c r="K126" s="61" t="n">
        <f aca="false">IF(项目总控台账!K126="","",项目总控台账!K126)</f>
        <v>46451</v>
      </c>
      <c r="L126" s="59" t="str">
        <f aca="false">IF(项目总控台账!L126="","",项目总控台账!L126)</f>
        <v>产品经理</v>
      </c>
      <c r="M126" s="60" t="str">
        <f aca="false">IF(项目总控台账!M126="","",项目总控台账!M126)</f>
        <v>未开始</v>
      </c>
      <c r="N126" s="61" t="n">
        <f aca="false">IF(项目总控台账!N126="","",项目总控台账!N126)</f>
        <v>46433</v>
      </c>
      <c r="O126" s="61" t="n">
        <f aca="false">IF(项目总控台账!O126="","",项目总控台账!O126)</f>
        <v>46451</v>
      </c>
      <c r="P126" s="59" t="str">
        <f aca="false">IF(项目总控台账!P126="","",项目总控台账!P126)</f>
        <v>高级开发人员-03</v>
      </c>
      <c r="Q126" s="60" t="str">
        <f aca="false">IF(项目总控台账!Q126="","",项目总控台账!Q126)</f>
        <v>未开始</v>
      </c>
      <c r="R126" s="61" t="n">
        <f aca="false">IF(项目总控台账!R126="","",项目总控台账!R126)</f>
        <v>46433</v>
      </c>
      <c r="S126" s="61" t="n">
        <f aca="false">IF(项目总控台账!S126="","",项目总控台账!S126)</f>
        <v>46451</v>
      </c>
      <c r="T126" s="59" t="str">
        <f aca="false">IF(项目总控台账!T126="","",项目总控台账!T126)</f>
        <v/>
      </c>
      <c r="U126" s="60" t="str">
        <f aca="false">IF(项目总控台账!U126="","",项目总控台账!U126)</f>
        <v/>
      </c>
      <c r="V126" s="61" t="str">
        <f aca="false">IF(项目总控台账!V126="","",项目总控台账!V126)</f>
        <v/>
      </c>
      <c r="W126" s="61" t="str">
        <f aca="false">IF(项目总控台账!W126="","",项目总控台账!W126)</f>
        <v/>
      </c>
      <c r="X126" s="59" t="str">
        <f aca="false">IF(项目总控台账!X126="","",项目总控台账!X126)</f>
        <v/>
      </c>
      <c r="Y126" s="60" t="str">
        <f aca="false">IF(项目总控台账!Y126="","",项目总控台账!Y126)</f>
        <v/>
      </c>
      <c r="Z126" s="61" t="str">
        <f aca="false">IF(项目总控台账!Z126="","",项目总控台账!Z126)</f>
        <v/>
      </c>
      <c r="AA126" s="61" t="str">
        <f aca="false">IF(项目总控台账!AA126="","",项目总控台账!AA126)</f>
        <v/>
      </c>
      <c r="AB126" s="62" t="n">
        <f aca="false">IF(项目总控台账!AB126="","",项目总控台账!AB126)</f>
        <v>0</v>
      </c>
      <c r="AC126" s="60" t="str">
        <f aca="false">IF(项目总控台账!AC126="","",项目总控台账!AC126)</f>
        <v>正常</v>
      </c>
      <c r="AD126" s="59" t="str">
        <f aca="false">IF(项目总控台账!AD126="","",项目总控台账!AD126)</f>
        <v/>
      </c>
      <c r="AE126" s="59" t="str">
        <f aca="false">IF(项目总控台账!AE126="","",项目总控台账!AE126)</f>
        <v>实施明细见“04_系统集成管理/系统集成管理-20260918-V1.xlsx”；IAM共1条P0接口</v>
      </c>
      <c r="AF126" s="59" t="str">
        <f aca="false">IF(项目总控台账!AF126="","",项目总控台账!AF126)</f>
        <v/>
      </c>
      <c r="AG126" s="61" t="str">
        <f aca="false">IF(项目总控台账!AG126="","",项目总控台账!AG126)</f>
        <v/>
      </c>
      <c r="AH126" s="63" t="str">
        <f aca="false">IF(项目总控台账!AH126="","",项目总控台账!AH126)</f>
        <v/>
      </c>
    </row>
    <row r="127" customFormat="false" ht="51" hidden="false" customHeight="true" outlineLevel="0" collapsed="false">
      <c r="A127" s="59" t="str">
        <f aca="false">IF(项目总控台账!A127="","",项目总控台账!A127)</f>
        <v>T124</v>
      </c>
      <c r="B127" s="59" t="str">
        <f aca="false">项目总控台账!B124</f>
        <v>IAM</v>
      </c>
      <c r="C127" s="59" t="str">
        <f aca="false">项目总控台账!C127</f>
        <v>外部系统接口实施</v>
      </c>
      <c r="D127" s="59" t="str">
        <f aca="false">项目总控台账!D127</f>
        <v>测试</v>
      </c>
      <c r="E127" s="59" t="str">
        <f aca="false">IF(项目总控台账!E127="","",项目总控台账!E127)</f>
        <v>IAMP0接口测试工作包：集成测试用例执行通过，缺陷闭环</v>
      </c>
      <c r="F127" s="59" t="str">
        <f aca="false">IF(项目总控台账!F127="","",项目总控台账!F127)</f>
        <v>MS013</v>
      </c>
      <c r="G127" s="60" t="str">
        <f aca="false">IF(项目总控台账!G127="","",项目总控台账!G127)</f>
        <v>未开始</v>
      </c>
      <c r="H127" s="59" t="str">
        <f aca="false">IF(项目总控台账!H127="","",项目总控台账!H127)</f>
        <v>测试经理</v>
      </c>
      <c r="I127" s="61" t="n">
        <f aca="false">IF(项目总控台账!I127="","",项目总控台账!I127)</f>
        <v>46452</v>
      </c>
      <c r="J127" s="61" t="n">
        <f aca="false">IF(项目总控台账!J127="","",项目总控台账!J127)</f>
        <v>46492</v>
      </c>
      <c r="K127" s="61" t="n">
        <f aca="false">IF(项目总控台账!K127="","",项目总控台账!K127)</f>
        <v>46492</v>
      </c>
      <c r="L127" s="59" t="str">
        <f aca="false">IF(项目总控台账!L127="","",项目总控台账!L127)</f>
        <v>产品经理</v>
      </c>
      <c r="M127" s="60" t="str">
        <f aca="false">IF(项目总控台账!M127="","",项目总控台账!M127)</f>
        <v>未开始</v>
      </c>
      <c r="N127" s="61" t="n">
        <f aca="false">IF(项目总控台账!N127="","",项目总控台账!N127)</f>
        <v>46452</v>
      </c>
      <c r="O127" s="61" t="n">
        <f aca="false">IF(项目总控台账!O127="","",项目总控台账!O127)</f>
        <v>46492</v>
      </c>
      <c r="P127" s="59" t="str">
        <f aca="false">IF(项目总控台账!P127="","",项目总控台账!P127)</f>
        <v/>
      </c>
      <c r="Q127" s="60" t="str">
        <f aca="false">IF(项目总控台账!Q127="","",项目总控台账!Q127)</f>
        <v/>
      </c>
      <c r="R127" s="61" t="str">
        <f aca="false">IF(项目总控台账!R127="","",项目总控台账!R127)</f>
        <v/>
      </c>
      <c r="S127" s="61" t="str">
        <f aca="false">IF(项目总控台账!S127="","",项目总控台账!S127)</f>
        <v/>
      </c>
      <c r="T127" s="59" t="str">
        <f aca="false">IF(项目总控台账!T127="","",项目总控台账!T127)</f>
        <v/>
      </c>
      <c r="U127" s="60" t="str">
        <f aca="false">IF(项目总控台账!U127="","",项目总控台账!U127)</f>
        <v/>
      </c>
      <c r="V127" s="61" t="str">
        <f aca="false">IF(项目总控台账!V127="","",项目总控台账!V127)</f>
        <v/>
      </c>
      <c r="W127" s="61" t="str">
        <f aca="false">IF(项目总控台账!W127="","",项目总控台账!W127)</f>
        <v/>
      </c>
      <c r="X127" s="59" t="str">
        <f aca="false">IF(项目总控台账!X127="","",项目总控台账!X127)</f>
        <v>中级测试人员-02</v>
      </c>
      <c r="Y127" s="60" t="str">
        <f aca="false">IF(项目总控台账!Y127="","",项目总控台账!Y127)</f>
        <v>未开始</v>
      </c>
      <c r="Z127" s="61" t="n">
        <f aca="false">IF(项目总控台账!Z127="","",项目总控台账!Z127)</f>
        <v>46452</v>
      </c>
      <c r="AA127" s="61" t="n">
        <f aca="false">IF(项目总控台账!AA127="","",项目总控台账!AA127)</f>
        <v>46492</v>
      </c>
      <c r="AB127" s="62" t="n">
        <f aca="false">IF(项目总控台账!AB127="","",项目总控台账!AB127)</f>
        <v>0</v>
      </c>
      <c r="AC127" s="60" t="str">
        <f aca="false">IF(项目总控台账!AC127="","",项目总控台账!AC127)</f>
        <v>正常</v>
      </c>
      <c r="AD127" s="59" t="str">
        <f aca="false">IF(项目总控台账!AD127="","",项目总控台账!AD127)</f>
        <v/>
      </c>
      <c r="AE127" s="59" t="str">
        <f aca="false">IF(项目总控台账!AE127="","",项目总控台账!AE127)</f>
        <v>实施明细见“04_系统集成管理/系统集成管理-20260918-V1.xlsx”；IAM共1条P0接口</v>
      </c>
      <c r="AF127" s="59" t="str">
        <f aca="false">IF(项目总控台账!AF127="","",项目总控台账!AF127)</f>
        <v/>
      </c>
      <c r="AG127" s="61" t="str">
        <f aca="false">IF(项目总控台账!AG127="","",项目总控台账!AG127)</f>
        <v/>
      </c>
      <c r="AH127" s="63" t="str">
        <f aca="false">IF(项目总控台账!AH127="","",项目总控台账!AH127)</f>
        <v/>
      </c>
    </row>
    <row r="128" customFormat="false" ht="51" hidden="false" customHeight="true" outlineLevel="0" collapsed="false">
      <c r="A128" s="59" t="str">
        <f aca="false">IF(项目总控台账!A128="","",项目总控台账!A128)</f>
        <v>T125</v>
      </c>
      <c r="B128" s="59" t="str">
        <f aca="false">项目总控台账!B124</f>
        <v>IAM</v>
      </c>
      <c r="C128" s="59" t="str">
        <f aca="false">项目总控台账!C128</f>
        <v>外部系统接口实施</v>
      </c>
      <c r="D128" s="59" t="str">
        <f aca="false">项目总控台账!D128</f>
        <v>上线准备</v>
      </c>
      <c r="E128" s="59" t="str">
        <f aca="false">IF(项目总控台账!E128="","",项目总控台账!E128)</f>
        <v>IAMP0接口上线准备工作包：生产配置、发布步骤和回退方案就绪</v>
      </c>
      <c r="F128" s="59" t="str">
        <f aca="false">IF(项目总控台账!F128="","",项目总控台账!F128)</f>
        <v>MS015</v>
      </c>
      <c r="G128" s="60" t="str">
        <f aca="false">IF(项目总控台账!G128="","",项目总控台账!G128)</f>
        <v>未开始</v>
      </c>
      <c r="H128" s="59" t="str">
        <f aca="false">IF(项目总控台账!H128="","",项目总控台账!H128)</f>
        <v>配置经理</v>
      </c>
      <c r="I128" s="61" t="n">
        <f aca="false">IF(项目总控台账!I128="","",项目总控台账!I128)</f>
        <v>46518</v>
      </c>
      <c r="J128" s="61" t="n">
        <f aca="false">IF(项目总控台账!J128="","",项目总控台账!J128)</f>
        <v>46531</v>
      </c>
      <c r="K128" s="61" t="n">
        <f aca="false">IF(项目总控台账!K128="","",项目总控台账!K128)</f>
        <v>46531</v>
      </c>
      <c r="L128" s="59" t="str">
        <f aca="false">IF(项目总控台账!L128="","",项目总控台账!L128)</f>
        <v>产品经理</v>
      </c>
      <c r="M128" s="60" t="str">
        <f aca="false">IF(项目总控台账!M128="","",项目总控台账!M128)</f>
        <v>未开始</v>
      </c>
      <c r="N128" s="61" t="n">
        <f aca="false">IF(项目总控台账!N128="","",项目总控台账!N128)</f>
        <v>46518</v>
      </c>
      <c r="O128" s="61" t="n">
        <f aca="false">IF(项目总控台账!O128="","",项目总控台账!O128)</f>
        <v>46531</v>
      </c>
      <c r="P128" s="59" t="str">
        <f aca="false">IF(项目总控台账!P128="","",项目总控台账!P128)</f>
        <v/>
      </c>
      <c r="Q128" s="60" t="str">
        <f aca="false">IF(项目总控台账!Q128="","",项目总控台账!Q128)</f>
        <v/>
      </c>
      <c r="R128" s="61" t="str">
        <f aca="false">IF(项目总控台账!R128="","",项目总控台账!R128)</f>
        <v/>
      </c>
      <c r="S128" s="61" t="str">
        <f aca="false">IF(项目总控台账!S128="","",项目总控台账!S128)</f>
        <v/>
      </c>
      <c r="T128" s="59" t="str">
        <f aca="false">IF(项目总控台账!T128="","",项目总控台账!T128)</f>
        <v/>
      </c>
      <c r="U128" s="60" t="str">
        <f aca="false">IF(项目总控台账!U128="","",项目总控台账!U128)</f>
        <v/>
      </c>
      <c r="V128" s="61" t="str">
        <f aca="false">IF(项目总控台账!V128="","",项目总控台账!V128)</f>
        <v/>
      </c>
      <c r="W128" s="61" t="str">
        <f aca="false">IF(项目总控台账!W128="","",项目总控台账!W128)</f>
        <v/>
      </c>
      <c r="X128" s="59" t="str">
        <f aca="false">IF(项目总控台账!X128="","",项目总控台账!X128)</f>
        <v/>
      </c>
      <c r="Y128" s="60" t="str">
        <f aca="false">IF(项目总控台账!Y128="","",项目总控台账!Y128)</f>
        <v/>
      </c>
      <c r="Z128" s="61" t="str">
        <f aca="false">IF(项目总控台账!Z128="","",项目总控台账!Z128)</f>
        <v/>
      </c>
      <c r="AA128" s="61" t="str">
        <f aca="false">IF(项目总控台账!AA128="","",项目总控台账!AA128)</f>
        <v/>
      </c>
      <c r="AB128" s="62" t="n">
        <f aca="false">IF(项目总控台账!AB128="","",项目总控台账!AB128)</f>
        <v>0</v>
      </c>
      <c r="AC128" s="60" t="str">
        <f aca="false">IF(项目总控台账!AC128="","",项目总控台账!AC128)</f>
        <v>正常</v>
      </c>
      <c r="AD128" s="59" t="str">
        <f aca="false">IF(项目总控台账!AD128="","",项目总控台账!AD128)</f>
        <v/>
      </c>
      <c r="AE128" s="59" t="str">
        <f aca="false">IF(项目总控台账!AE128="","",项目总控台账!AE128)</f>
        <v>实施明细见“04_系统集成管理/系统集成管理-20260918-V1.xlsx”；IAM共1条P0接口</v>
      </c>
      <c r="AF128" s="59" t="str">
        <f aca="false">IF(项目总控台账!AF128="","",项目总控台账!AF128)</f>
        <v/>
      </c>
      <c r="AG128" s="61" t="str">
        <f aca="false">IF(项目总控台账!AG128="","",项目总控台账!AG128)</f>
        <v/>
      </c>
      <c r="AH128" s="63" t="str">
        <f aca="false">IF(项目总控台账!AH128="","",项目总控台账!AH128)</f>
        <v/>
      </c>
    </row>
    <row r="129" customFormat="false" ht="51" hidden="false" customHeight="true" outlineLevel="0" collapsed="false">
      <c r="A129" s="59" t="str">
        <f aca="false">IF(项目总控台账!A129="","",项目总控台账!A129)</f>
        <v>T126</v>
      </c>
      <c r="B129" s="59" t="str">
        <f aca="false">项目总控台账!B129</f>
        <v>工程建设EPM</v>
      </c>
      <c r="C129" s="59" t="str">
        <f aca="false">项目总控台账!C129</f>
        <v>外部系统接口实施</v>
      </c>
      <c r="D129" s="59" t="str">
        <f aca="false">项目总控台账!D129</f>
        <v>设计</v>
      </c>
      <c r="E129" s="59" t="str">
        <f aca="false">IF(项目总控台账!E129="","",项目总控台账!E129)</f>
        <v>工程建设EPMP0接口设计工作包：接口设计说明、字段映射、异常与安全方案通过评审</v>
      </c>
      <c r="F129" s="59" t="str">
        <f aca="false">IF(项目总控台账!F129="","",项目总控台账!F129)</f>
        <v>MS009</v>
      </c>
      <c r="G129" s="60" t="str">
        <f aca="false">IF(项目总控台账!G129="","",项目总控台账!G129)</f>
        <v>未开始</v>
      </c>
      <c r="H129" s="59" t="str">
        <f aca="false">IF(项目总控台账!H129="","",项目总控台账!H129)</f>
        <v>技术经理</v>
      </c>
      <c r="I129" s="61" t="n">
        <f aca="false">IF(项目总控台账!I129="","",项目总控台账!I129)</f>
        <v>46341</v>
      </c>
      <c r="J129" s="61" t="n">
        <f aca="false">IF(项目总控台账!J129="","",项目总控台账!J129)</f>
        <v>46374</v>
      </c>
      <c r="K129" s="61" t="n">
        <f aca="false">IF(项目总控台账!K129="","",项目总控台账!K129)</f>
        <v>46374</v>
      </c>
      <c r="L129" s="59" t="str">
        <f aca="false">IF(项目总控台账!L129="","",项目总控台账!L129)</f>
        <v>产品经理</v>
      </c>
      <c r="M129" s="60" t="str">
        <f aca="false">IF(项目总控台账!M129="","",项目总控台账!M129)</f>
        <v>未开始</v>
      </c>
      <c r="N129" s="61" t="n">
        <f aca="false">IF(项目总控台账!N129="","",项目总控台账!N129)</f>
        <v>46341</v>
      </c>
      <c r="O129" s="61" t="n">
        <f aca="false">IF(项目总控台账!O129="","",项目总控台账!O129)</f>
        <v>46374</v>
      </c>
      <c r="P129" s="59" t="str">
        <f aca="false">IF(项目总控台账!P129="","",项目总控台账!P129)</f>
        <v/>
      </c>
      <c r="Q129" s="60" t="str">
        <f aca="false">IF(项目总控台账!Q129="","",项目总控台账!Q129)</f>
        <v/>
      </c>
      <c r="R129" s="61" t="str">
        <f aca="false">IF(项目总控台账!R129="","",项目总控台账!R129)</f>
        <v/>
      </c>
      <c r="S129" s="61" t="str">
        <f aca="false">IF(项目总控台账!S129="","",项目总控台账!S129)</f>
        <v/>
      </c>
      <c r="T129" s="59" t="str">
        <f aca="false">IF(项目总控台账!T129="","",项目总控台账!T129)</f>
        <v/>
      </c>
      <c r="U129" s="60" t="str">
        <f aca="false">IF(项目总控台账!U129="","",项目总控台账!U129)</f>
        <v/>
      </c>
      <c r="V129" s="61" t="str">
        <f aca="false">IF(项目总控台账!V129="","",项目总控台账!V129)</f>
        <v/>
      </c>
      <c r="W129" s="61" t="str">
        <f aca="false">IF(项目总控台账!W129="","",项目总控台账!W129)</f>
        <v/>
      </c>
      <c r="X129" s="59" t="str">
        <f aca="false">IF(项目总控台账!X129="","",项目总控台账!X129)</f>
        <v/>
      </c>
      <c r="Y129" s="60" t="str">
        <f aca="false">IF(项目总控台账!Y129="","",项目总控台账!Y129)</f>
        <v/>
      </c>
      <c r="Z129" s="61" t="str">
        <f aca="false">IF(项目总控台账!Z129="","",项目总控台账!Z129)</f>
        <v/>
      </c>
      <c r="AA129" s="61" t="str">
        <f aca="false">IF(项目总控台账!AA129="","",项目总控台账!AA129)</f>
        <v/>
      </c>
      <c r="AB129" s="62" t="n">
        <f aca="false">IF(项目总控台账!AB129="","",项目总控台账!AB129)</f>
        <v>0</v>
      </c>
      <c r="AC129" s="60" t="str">
        <f aca="false">IF(项目总控台账!AC129="","",项目总控台账!AC129)</f>
        <v>正常</v>
      </c>
      <c r="AD129" s="59" t="str">
        <f aca="false">IF(项目总控台账!AD129="","",项目总控台账!AD129)</f>
        <v/>
      </c>
      <c r="AE129" s="59" t="str">
        <f aca="false">IF(项目总控台账!AE129="","",项目总控台账!AE129)</f>
        <v>实施明细见“04_系统集成管理/系统集成管理-20260918-V1.xlsx”；工程建设EPM共2条P0接口</v>
      </c>
      <c r="AF129" s="59" t="str">
        <f aca="false">IF(项目总控台账!AF129="","",项目总控台账!AF129)</f>
        <v/>
      </c>
      <c r="AG129" s="61" t="str">
        <f aca="false">IF(项目总控台账!AG129="","",项目总控台账!AG129)</f>
        <v/>
      </c>
      <c r="AH129" s="63" t="str">
        <f aca="false">IF(项目总控台账!AH129="","",项目总控台账!AH129)</f>
        <v/>
      </c>
    </row>
    <row r="130" customFormat="false" ht="51" hidden="false" customHeight="true" outlineLevel="0" collapsed="false">
      <c r="A130" s="59" t="str">
        <f aca="false">IF(项目总控台账!A130="","",项目总控台账!A130)</f>
        <v>T127</v>
      </c>
      <c r="B130" s="59" t="str">
        <f aca="false">项目总控台账!B129</f>
        <v>工程建设EPM</v>
      </c>
      <c r="C130" s="59" t="str">
        <f aca="false">项目总控台账!C130</f>
        <v>外部系统接口实施</v>
      </c>
      <c r="D130" s="59" t="str">
        <f aca="false">项目总控台账!D130</f>
        <v>开发</v>
      </c>
      <c r="E130" s="59" t="str">
        <f aca="false">IF(项目总控台账!E130="","",项目总控台账!E130)</f>
        <v>工程建设EPMP0接口开发工作包：接口代码、自测记录及部署包完成</v>
      </c>
      <c r="F130" s="59" t="str">
        <f aca="false">IF(项目总控台账!F130="","",项目总控台账!F130)</f>
        <v>MS010</v>
      </c>
      <c r="G130" s="60" t="str">
        <f aca="false">IF(项目总控台账!G130="","",项目总控台账!G130)</f>
        <v>未开始</v>
      </c>
      <c r="H130" s="59" t="str">
        <f aca="false">IF(项目总控台账!H130="","",项目总控台账!H130)</f>
        <v>技术经理</v>
      </c>
      <c r="I130" s="61" t="n">
        <f aca="false">IF(项目总控台账!I130="","",项目总控台账!I130)</f>
        <v>46375</v>
      </c>
      <c r="J130" s="61" t="n">
        <f aca="false">IF(项目总控台账!J130="","",项目总控台账!J130)</f>
        <v>46430</v>
      </c>
      <c r="K130" s="61" t="n">
        <f aca="false">IF(项目总控台账!K130="","",项目总控台账!K130)</f>
        <v>46430</v>
      </c>
      <c r="L130" s="59" t="str">
        <f aca="false">IF(项目总控台账!L130="","",项目总控台账!L130)</f>
        <v>产品经理</v>
      </c>
      <c r="M130" s="60" t="str">
        <f aca="false">IF(项目总控台账!M130="","",项目总控台账!M130)</f>
        <v>未开始</v>
      </c>
      <c r="N130" s="61" t="n">
        <f aca="false">IF(项目总控台账!N130="","",项目总控台账!N130)</f>
        <v>46375</v>
      </c>
      <c r="O130" s="61" t="n">
        <f aca="false">IF(项目总控台账!O130="","",项目总控台账!O130)</f>
        <v>46430</v>
      </c>
      <c r="P130" s="59" t="str">
        <f aca="false">IF(项目总控台账!P130="","",项目总控台账!P130)</f>
        <v>中级开发人员-04</v>
      </c>
      <c r="Q130" s="60" t="str">
        <f aca="false">IF(项目总控台账!Q130="","",项目总控台账!Q130)</f>
        <v>未开始</v>
      </c>
      <c r="R130" s="61" t="n">
        <f aca="false">IF(项目总控台账!R130="","",项目总控台账!R130)</f>
        <v>46375</v>
      </c>
      <c r="S130" s="61" t="n">
        <f aca="false">IF(项目总控台账!S130="","",项目总控台账!S130)</f>
        <v>46430</v>
      </c>
      <c r="T130" s="59" t="str">
        <f aca="false">IF(项目总控台账!T130="","",项目总控台账!T130)</f>
        <v/>
      </c>
      <c r="U130" s="60" t="str">
        <f aca="false">IF(项目总控台账!U130="","",项目总控台账!U130)</f>
        <v/>
      </c>
      <c r="V130" s="61" t="str">
        <f aca="false">IF(项目总控台账!V130="","",项目总控台账!V130)</f>
        <v/>
      </c>
      <c r="W130" s="61" t="str">
        <f aca="false">IF(项目总控台账!W130="","",项目总控台账!W130)</f>
        <v/>
      </c>
      <c r="X130" s="59" t="str">
        <f aca="false">IF(项目总控台账!X130="","",项目总控台账!X130)</f>
        <v/>
      </c>
      <c r="Y130" s="60" t="str">
        <f aca="false">IF(项目总控台账!Y130="","",项目总控台账!Y130)</f>
        <v/>
      </c>
      <c r="Z130" s="61" t="str">
        <f aca="false">IF(项目总控台账!Z130="","",项目总控台账!Z130)</f>
        <v/>
      </c>
      <c r="AA130" s="61" t="str">
        <f aca="false">IF(项目总控台账!AA130="","",项目总控台账!AA130)</f>
        <v/>
      </c>
      <c r="AB130" s="62" t="n">
        <f aca="false">IF(项目总控台账!AB130="","",项目总控台账!AB130)</f>
        <v>0</v>
      </c>
      <c r="AC130" s="60" t="str">
        <f aca="false">IF(项目总控台账!AC130="","",项目总控台账!AC130)</f>
        <v>正常</v>
      </c>
      <c r="AD130" s="59" t="str">
        <f aca="false">IF(项目总控台账!AD130="","",项目总控台账!AD130)</f>
        <v/>
      </c>
      <c r="AE130" s="59" t="str">
        <f aca="false">IF(项目总控台账!AE130="","",项目总控台账!AE130)</f>
        <v>实施明细见“04_系统集成管理/系统集成管理-20260918-V1.xlsx”；工程建设EPM共2条P0接口</v>
      </c>
      <c r="AF130" s="59" t="str">
        <f aca="false">IF(项目总控台账!AF130="","",项目总控台账!AF130)</f>
        <v/>
      </c>
      <c r="AG130" s="61" t="str">
        <f aca="false">IF(项目总控台账!AG130="","",项目总控台账!AG130)</f>
        <v/>
      </c>
      <c r="AH130" s="63" t="str">
        <f aca="false">IF(项目总控台账!AH130="","",项目总控台账!AH130)</f>
        <v/>
      </c>
    </row>
    <row r="131" customFormat="false" ht="51" hidden="false" customHeight="true" outlineLevel="0" collapsed="false">
      <c r="A131" s="59" t="str">
        <f aca="false">IF(项目总控台账!A131="","",项目总控台账!A131)</f>
        <v>T128</v>
      </c>
      <c r="B131" s="59" t="str">
        <f aca="false">项目总控台账!B129</f>
        <v>工程建设EPM</v>
      </c>
      <c r="C131" s="59" t="str">
        <f aca="false">项目总控台账!C131</f>
        <v>外部系统接口实施</v>
      </c>
      <c r="D131" s="59" t="str">
        <f aca="false">项目总控台账!D131</f>
        <v>联调</v>
      </c>
      <c r="E131" s="59" t="str">
        <f aca="false">IF(项目总控台账!E131="","",项目总控台账!E131)</f>
        <v>工程建设EPMP0接口联调工作包：双向联调通过，异常、重试与补偿验证完成</v>
      </c>
      <c r="F131" s="59" t="str">
        <f aca="false">IF(项目总控台账!F131="","",项目总控台账!F131)</f>
        <v>MS012</v>
      </c>
      <c r="G131" s="60" t="str">
        <f aca="false">IF(项目总控台账!G131="","",项目总控台账!G131)</f>
        <v>未开始</v>
      </c>
      <c r="H131" s="59" t="str">
        <f aca="false">IF(项目总控台账!H131="","",项目总控台账!H131)</f>
        <v>技术经理</v>
      </c>
      <c r="I131" s="61" t="n">
        <f aca="false">IF(项目总控台账!I131="","",项目总控台账!I131)</f>
        <v>46433</v>
      </c>
      <c r="J131" s="61" t="n">
        <f aca="false">IF(项目总控台账!J131="","",项目总控台账!J131)</f>
        <v>46451</v>
      </c>
      <c r="K131" s="61" t="n">
        <f aca="false">IF(项目总控台账!K131="","",项目总控台账!K131)</f>
        <v>46451</v>
      </c>
      <c r="L131" s="59" t="str">
        <f aca="false">IF(项目总控台账!L131="","",项目总控台账!L131)</f>
        <v>产品经理</v>
      </c>
      <c r="M131" s="60" t="str">
        <f aca="false">IF(项目总控台账!M131="","",项目总控台账!M131)</f>
        <v>未开始</v>
      </c>
      <c r="N131" s="61" t="n">
        <f aca="false">IF(项目总控台账!N131="","",项目总控台账!N131)</f>
        <v>46433</v>
      </c>
      <c r="O131" s="61" t="n">
        <f aca="false">IF(项目总控台账!O131="","",项目总控台账!O131)</f>
        <v>46451</v>
      </c>
      <c r="P131" s="59" t="str">
        <f aca="false">IF(项目总控台账!P131="","",项目总控台账!P131)</f>
        <v>高级开发人员-01</v>
      </c>
      <c r="Q131" s="60" t="str">
        <f aca="false">IF(项目总控台账!Q131="","",项目总控台账!Q131)</f>
        <v>未开始</v>
      </c>
      <c r="R131" s="61" t="n">
        <f aca="false">IF(项目总控台账!R131="","",项目总控台账!R131)</f>
        <v>46433</v>
      </c>
      <c r="S131" s="61" t="n">
        <f aca="false">IF(项目总控台账!S131="","",项目总控台账!S131)</f>
        <v>46451</v>
      </c>
      <c r="T131" s="59" t="str">
        <f aca="false">IF(项目总控台账!T131="","",项目总控台账!T131)</f>
        <v/>
      </c>
      <c r="U131" s="60" t="str">
        <f aca="false">IF(项目总控台账!U131="","",项目总控台账!U131)</f>
        <v/>
      </c>
      <c r="V131" s="61" t="str">
        <f aca="false">IF(项目总控台账!V131="","",项目总控台账!V131)</f>
        <v/>
      </c>
      <c r="W131" s="61" t="str">
        <f aca="false">IF(项目总控台账!W131="","",项目总控台账!W131)</f>
        <v/>
      </c>
      <c r="X131" s="59" t="str">
        <f aca="false">IF(项目总控台账!X131="","",项目总控台账!X131)</f>
        <v/>
      </c>
      <c r="Y131" s="60" t="str">
        <f aca="false">IF(项目总控台账!Y131="","",项目总控台账!Y131)</f>
        <v/>
      </c>
      <c r="Z131" s="61" t="str">
        <f aca="false">IF(项目总控台账!Z131="","",项目总控台账!Z131)</f>
        <v/>
      </c>
      <c r="AA131" s="61" t="str">
        <f aca="false">IF(项目总控台账!AA131="","",项目总控台账!AA131)</f>
        <v/>
      </c>
      <c r="AB131" s="62" t="n">
        <f aca="false">IF(项目总控台账!AB131="","",项目总控台账!AB131)</f>
        <v>0</v>
      </c>
      <c r="AC131" s="60" t="str">
        <f aca="false">IF(项目总控台账!AC131="","",项目总控台账!AC131)</f>
        <v>正常</v>
      </c>
      <c r="AD131" s="59" t="str">
        <f aca="false">IF(项目总控台账!AD131="","",项目总控台账!AD131)</f>
        <v/>
      </c>
      <c r="AE131" s="59" t="str">
        <f aca="false">IF(项目总控台账!AE131="","",项目总控台账!AE131)</f>
        <v>实施明细见“04_系统集成管理/系统集成管理-20260918-V1.xlsx”；工程建设EPM共2条P0接口</v>
      </c>
      <c r="AF131" s="59" t="str">
        <f aca="false">IF(项目总控台账!AF131="","",项目总控台账!AF131)</f>
        <v/>
      </c>
      <c r="AG131" s="61" t="str">
        <f aca="false">IF(项目总控台账!AG131="","",项目总控台账!AG131)</f>
        <v/>
      </c>
      <c r="AH131" s="63" t="str">
        <f aca="false">IF(项目总控台账!AH131="","",项目总控台账!AH131)</f>
        <v/>
      </c>
    </row>
    <row r="132" customFormat="false" ht="51" hidden="false" customHeight="true" outlineLevel="0" collapsed="false">
      <c r="A132" s="59" t="str">
        <f aca="false">IF(项目总控台账!A132="","",项目总控台账!A132)</f>
        <v>T129</v>
      </c>
      <c r="B132" s="59" t="str">
        <f aca="false">项目总控台账!B129</f>
        <v>工程建设EPM</v>
      </c>
      <c r="C132" s="59" t="str">
        <f aca="false">项目总控台账!C132</f>
        <v>外部系统接口实施</v>
      </c>
      <c r="D132" s="59" t="str">
        <f aca="false">项目总控台账!D132</f>
        <v>测试</v>
      </c>
      <c r="E132" s="59" t="str">
        <f aca="false">IF(项目总控台账!E132="","",项目总控台账!E132)</f>
        <v>工程建设EPMP0接口测试工作包：集成测试用例执行通过，缺陷闭环</v>
      </c>
      <c r="F132" s="59" t="str">
        <f aca="false">IF(项目总控台账!F132="","",项目总控台账!F132)</f>
        <v>MS013</v>
      </c>
      <c r="G132" s="60" t="str">
        <f aca="false">IF(项目总控台账!G132="","",项目总控台账!G132)</f>
        <v>未开始</v>
      </c>
      <c r="H132" s="59" t="str">
        <f aca="false">IF(项目总控台账!H132="","",项目总控台账!H132)</f>
        <v>测试经理</v>
      </c>
      <c r="I132" s="61" t="n">
        <f aca="false">IF(项目总控台账!I132="","",项目总控台账!I132)</f>
        <v>46452</v>
      </c>
      <c r="J132" s="61" t="n">
        <f aca="false">IF(项目总控台账!J132="","",项目总控台账!J132)</f>
        <v>46492</v>
      </c>
      <c r="K132" s="61" t="n">
        <f aca="false">IF(项目总控台账!K132="","",项目总控台账!K132)</f>
        <v>46492</v>
      </c>
      <c r="L132" s="59" t="str">
        <f aca="false">IF(项目总控台账!L132="","",项目总控台账!L132)</f>
        <v>产品经理</v>
      </c>
      <c r="M132" s="60" t="str">
        <f aca="false">IF(项目总控台账!M132="","",项目总控台账!M132)</f>
        <v>未开始</v>
      </c>
      <c r="N132" s="61" t="n">
        <f aca="false">IF(项目总控台账!N132="","",项目总控台账!N132)</f>
        <v>46452</v>
      </c>
      <c r="O132" s="61" t="n">
        <f aca="false">IF(项目总控台账!O132="","",项目总控台账!O132)</f>
        <v>46492</v>
      </c>
      <c r="P132" s="59" t="str">
        <f aca="false">IF(项目总控台账!P132="","",项目总控台账!P132)</f>
        <v/>
      </c>
      <c r="Q132" s="60" t="str">
        <f aca="false">IF(项目总控台账!Q132="","",项目总控台账!Q132)</f>
        <v/>
      </c>
      <c r="R132" s="61" t="str">
        <f aca="false">IF(项目总控台账!R132="","",项目总控台账!R132)</f>
        <v/>
      </c>
      <c r="S132" s="61" t="str">
        <f aca="false">IF(项目总控台账!S132="","",项目总控台账!S132)</f>
        <v/>
      </c>
      <c r="T132" s="59" t="str">
        <f aca="false">IF(项目总控台账!T132="","",项目总控台账!T132)</f>
        <v/>
      </c>
      <c r="U132" s="60" t="str">
        <f aca="false">IF(项目总控台账!U132="","",项目总控台账!U132)</f>
        <v/>
      </c>
      <c r="V132" s="61" t="str">
        <f aca="false">IF(项目总控台账!V132="","",项目总控台账!V132)</f>
        <v/>
      </c>
      <c r="W132" s="61" t="str">
        <f aca="false">IF(项目总控台账!W132="","",项目总控台账!W132)</f>
        <v/>
      </c>
      <c r="X132" s="59" t="str">
        <f aca="false">IF(项目总控台账!X132="","",项目总控台账!X132)</f>
        <v>高级测试人员-01</v>
      </c>
      <c r="Y132" s="60" t="str">
        <f aca="false">IF(项目总控台账!Y132="","",项目总控台账!Y132)</f>
        <v>未开始</v>
      </c>
      <c r="Z132" s="61" t="n">
        <f aca="false">IF(项目总控台账!Z132="","",项目总控台账!Z132)</f>
        <v>46452</v>
      </c>
      <c r="AA132" s="61" t="n">
        <f aca="false">IF(项目总控台账!AA132="","",项目总控台账!AA132)</f>
        <v>46492</v>
      </c>
      <c r="AB132" s="62" t="n">
        <f aca="false">IF(项目总控台账!AB132="","",项目总控台账!AB132)</f>
        <v>0</v>
      </c>
      <c r="AC132" s="60" t="str">
        <f aca="false">IF(项目总控台账!AC132="","",项目总控台账!AC132)</f>
        <v>正常</v>
      </c>
      <c r="AD132" s="59" t="str">
        <f aca="false">IF(项目总控台账!AD132="","",项目总控台账!AD132)</f>
        <v/>
      </c>
      <c r="AE132" s="59" t="str">
        <f aca="false">IF(项目总控台账!AE132="","",项目总控台账!AE132)</f>
        <v>实施明细见“04_系统集成管理/系统集成管理-20260918-V1.xlsx”；工程建设EPM共2条P0接口</v>
      </c>
      <c r="AF132" s="59" t="str">
        <f aca="false">IF(项目总控台账!AF132="","",项目总控台账!AF132)</f>
        <v/>
      </c>
      <c r="AG132" s="61" t="str">
        <f aca="false">IF(项目总控台账!AG132="","",项目总控台账!AG132)</f>
        <v/>
      </c>
      <c r="AH132" s="63" t="str">
        <f aca="false">IF(项目总控台账!AH132="","",项目总控台账!AH132)</f>
        <v/>
      </c>
    </row>
    <row r="133" customFormat="false" ht="51" hidden="false" customHeight="true" outlineLevel="0" collapsed="false">
      <c r="A133" s="59" t="str">
        <f aca="false">IF(项目总控台账!A133="","",项目总控台账!A133)</f>
        <v>T130</v>
      </c>
      <c r="B133" s="59" t="str">
        <f aca="false">项目总控台账!B129</f>
        <v>工程建设EPM</v>
      </c>
      <c r="C133" s="59" t="str">
        <f aca="false">项目总控台账!C133</f>
        <v>外部系统接口实施</v>
      </c>
      <c r="D133" s="59" t="str">
        <f aca="false">项目总控台账!D133</f>
        <v>上线准备</v>
      </c>
      <c r="E133" s="59" t="str">
        <f aca="false">IF(项目总控台账!E133="","",项目总控台账!E133)</f>
        <v>工程建设EPMP0接口上线准备工作包：生产配置、发布步骤和回退方案就绪</v>
      </c>
      <c r="F133" s="59" t="str">
        <f aca="false">IF(项目总控台账!F133="","",项目总控台账!F133)</f>
        <v>MS015</v>
      </c>
      <c r="G133" s="60" t="str">
        <f aca="false">IF(项目总控台账!G133="","",项目总控台账!G133)</f>
        <v>未开始</v>
      </c>
      <c r="H133" s="59" t="str">
        <f aca="false">IF(项目总控台账!H133="","",项目总控台账!H133)</f>
        <v>配置经理</v>
      </c>
      <c r="I133" s="61" t="n">
        <f aca="false">IF(项目总控台账!I133="","",项目总控台账!I133)</f>
        <v>46518</v>
      </c>
      <c r="J133" s="61" t="n">
        <f aca="false">IF(项目总控台账!J133="","",项目总控台账!J133)</f>
        <v>46531</v>
      </c>
      <c r="K133" s="61" t="n">
        <f aca="false">IF(项目总控台账!K133="","",项目总控台账!K133)</f>
        <v>46531</v>
      </c>
      <c r="L133" s="59" t="str">
        <f aca="false">IF(项目总控台账!L133="","",项目总控台账!L133)</f>
        <v>产品经理</v>
      </c>
      <c r="M133" s="60" t="str">
        <f aca="false">IF(项目总控台账!M133="","",项目总控台账!M133)</f>
        <v>未开始</v>
      </c>
      <c r="N133" s="61" t="n">
        <f aca="false">IF(项目总控台账!N133="","",项目总控台账!N133)</f>
        <v>46518</v>
      </c>
      <c r="O133" s="61" t="n">
        <f aca="false">IF(项目总控台账!O133="","",项目总控台账!O133)</f>
        <v>46531</v>
      </c>
      <c r="P133" s="59" t="str">
        <f aca="false">IF(项目总控台账!P133="","",项目总控台账!P133)</f>
        <v/>
      </c>
      <c r="Q133" s="60" t="str">
        <f aca="false">IF(项目总控台账!Q133="","",项目总控台账!Q133)</f>
        <v/>
      </c>
      <c r="R133" s="61" t="str">
        <f aca="false">IF(项目总控台账!R133="","",项目总控台账!R133)</f>
        <v/>
      </c>
      <c r="S133" s="61" t="str">
        <f aca="false">IF(项目总控台账!S133="","",项目总控台账!S133)</f>
        <v/>
      </c>
      <c r="T133" s="59" t="str">
        <f aca="false">IF(项目总控台账!T133="","",项目总控台账!T133)</f>
        <v/>
      </c>
      <c r="U133" s="60" t="str">
        <f aca="false">IF(项目总控台账!U133="","",项目总控台账!U133)</f>
        <v/>
      </c>
      <c r="V133" s="61" t="str">
        <f aca="false">IF(项目总控台账!V133="","",项目总控台账!V133)</f>
        <v/>
      </c>
      <c r="W133" s="61" t="str">
        <f aca="false">IF(项目总控台账!W133="","",项目总控台账!W133)</f>
        <v/>
      </c>
      <c r="X133" s="59" t="str">
        <f aca="false">IF(项目总控台账!X133="","",项目总控台账!X133)</f>
        <v/>
      </c>
      <c r="Y133" s="60" t="str">
        <f aca="false">IF(项目总控台账!Y133="","",项目总控台账!Y133)</f>
        <v/>
      </c>
      <c r="Z133" s="61" t="str">
        <f aca="false">IF(项目总控台账!Z133="","",项目总控台账!Z133)</f>
        <v/>
      </c>
      <c r="AA133" s="61" t="str">
        <f aca="false">IF(项目总控台账!AA133="","",项目总控台账!AA133)</f>
        <v/>
      </c>
      <c r="AB133" s="62" t="n">
        <f aca="false">IF(项目总控台账!AB133="","",项目总控台账!AB133)</f>
        <v>0</v>
      </c>
      <c r="AC133" s="60" t="str">
        <f aca="false">IF(项目总控台账!AC133="","",项目总控台账!AC133)</f>
        <v>正常</v>
      </c>
      <c r="AD133" s="59" t="str">
        <f aca="false">IF(项目总控台账!AD133="","",项目总控台账!AD133)</f>
        <v/>
      </c>
      <c r="AE133" s="59" t="str">
        <f aca="false">IF(项目总控台账!AE133="","",项目总控台账!AE133)</f>
        <v>实施明细见“04_系统集成管理/系统集成管理-20260918-V1.xlsx”；工程建设EPM共2条P0接口</v>
      </c>
      <c r="AF133" s="59" t="str">
        <f aca="false">IF(项目总控台账!AF133="","",项目总控台账!AF133)</f>
        <v/>
      </c>
      <c r="AG133" s="61" t="str">
        <f aca="false">IF(项目总控台账!AG133="","",项目总控台账!AG133)</f>
        <v/>
      </c>
      <c r="AH133" s="63" t="str">
        <f aca="false">IF(项目总控台账!AH133="","",项目总控台账!AH133)</f>
        <v/>
      </c>
    </row>
    <row r="134" customFormat="false" ht="51" hidden="false" customHeight="true" outlineLevel="0" collapsed="false">
      <c r="A134" s="59" t="str">
        <f aca="false">IF(项目总控台账!A134="","",项目总控台账!A134)</f>
        <v>T131</v>
      </c>
      <c r="B134" s="59" t="str">
        <f aca="false">项目总控台账!B134</f>
        <v>MDG</v>
      </c>
      <c r="C134" s="59" t="str">
        <f aca="false">项目总控台账!C134</f>
        <v>外部系统接口实施</v>
      </c>
      <c r="D134" s="59" t="str">
        <f aca="false">项目总控台账!D134</f>
        <v>设计</v>
      </c>
      <c r="E134" s="59" t="str">
        <f aca="false">IF(项目总控台账!E134="","",项目总控台账!E134)</f>
        <v>MDGP0接口设计工作包：接口设计说明、字段映射、异常与安全方案通过评审</v>
      </c>
      <c r="F134" s="59" t="str">
        <f aca="false">IF(项目总控台账!F134="","",项目总控台账!F134)</f>
        <v>MS009</v>
      </c>
      <c r="G134" s="60" t="str">
        <f aca="false">IF(项目总控台账!G134="","",项目总控台账!G134)</f>
        <v>未开始</v>
      </c>
      <c r="H134" s="59" t="str">
        <f aca="false">IF(项目总控台账!H134="","",项目总控台账!H134)</f>
        <v>技术经理</v>
      </c>
      <c r="I134" s="61" t="n">
        <f aca="false">IF(项目总控台账!I134="","",项目总控台账!I134)</f>
        <v>46341</v>
      </c>
      <c r="J134" s="61" t="n">
        <f aca="false">IF(项目总控台账!J134="","",项目总控台账!J134)</f>
        <v>46353</v>
      </c>
      <c r="K134" s="61" t="n">
        <f aca="false">IF(项目总控台账!K134="","",项目总控台账!K134)</f>
        <v>46353</v>
      </c>
      <c r="L134" s="59" t="str">
        <f aca="false">IF(项目总控台账!L134="","",项目总控台账!L134)</f>
        <v>产品经理</v>
      </c>
      <c r="M134" s="60" t="str">
        <f aca="false">IF(项目总控台账!M134="","",项目总控台账!M134)</f>
        <v>未开始</v>
      </c>
      <c r="N134" s="61" t="n">
        <f aca="false">IF(项目总控台账!N134="","",项目总控台账!N134)</f>
        <v>46341</v>
      </c>
      <c r="O134" s="61" t="n">
        <f aca="false">IF(项目总控台账!O134="","",项目总控台账!O134)</f>
        <v>46353</v>
      </c>
      <c r="P134" s="59" t="str">
        <f aca="false">IF(项目总控台账!P134="","",项目总控台账!P134)</f>
        <v/>
      </c>
      <c r="Q134" s="60" t="str">
        <f aca="false">IF(项目总控台账!Q134="","",项目总控台账!Q134)</f>
        <v/>
      </c>
      <c r="R134" s="61" t="str">
        <f aca="false">IF(项目总控台账!R134="","",项目总控台账!R134)</f>
        <v/>
      </c>
      <c r="S134" s="61" t="str">
        <f aca="false">IF(项目总控台账!S134="","",项目总控台账!S134)</f>
        <v/>
      </c>
      <c r="T134" s="59" t="str">
        <f aca="false">IF(项目总控台账!T134="","",项目总控台账!T134)</f>
        <v/>
      </c>
      <c r="U134" s="60" t="str">
        <f aca="false">IF(项目总控台账!U134="","",项目总控台账!U134)</f>
        <v/>
      </c>
      <c r="V134" s="61" t="str">
        <f aca="false">IF(项目总控台账!V134="","",项目总控台账!V134)</f>
        <v/>
      </c>
      <c r="W134" s="61" t="str">
        <f aca="false">IF(项目总控台账!W134="","",项目总控台账!W134)</f>
        <v/>
      </c>
      <c r="X134" s="59" t="str">
        <f aca="false">IF(项目总控台账!X134="","",项目总控台账!X134)</f>
        <v/>
      </c>
      <c r="Y134" s="60" t="str">
        <f aca="false">IF(项目总控台账!Y134="","",项目总控台账!Y134)</f>
        <v/>
      </c>
      <c r="Z134" s="61" t="str">
        <f aca="false">IF(项目总控台账!Z134="","",项目总控台账!Z134)</f>
        <v/>
      </c>
      <c r="AA134" s="61" t="str">
        <f aca="false">IF(项目总控台账!AA134="","",项目总控台账!AA134)</f>
        <v/>
      </c>
      <c r="AB134" s="62" t="n">
        <f aca="false">IF(项目总控台账!AB134="","",项目总控台账!AB134)</f>
        <v>0</v>
      </c>
      <c r="AC134" s="60" t="str">
        <f aca="false">IF(项目总控台账!AC134="","",项目总控台账!AC134)</f>
        <v>正常</v>
      </c>
      <c r="AD134" s="59" t="str">
        <f aca="false">IF(项目总控台账!AD134="","",项目总控台账!AD134)</f>
        <v/>
      </c>
      <c r="AE134" s="59" t="str">
        <f aca="false">IF(项目总控台账!AE134="","",项目总控台账!AE134)</f>
        <v>实施明细见“04_系统集成管理/系统集成管理-20260918-V1.xlsx”；MDG共16条P0接口</v>
      </c>
      <c r="AF134" s="59" t="str">
        <f aca="false">IF(项目总控台账!AF134="","",项目总控台账!AF134)</f>
        <v/>
      </c>
      <c r="AG134" s="61" t="str">
        <f aca="false">IF(项目总控台账!AG134="","",项目总控台账!AG134)</f>
        <v/>
      </c>
      <c r="AH134" s="63" t="str">
        <f aca="false">IF(项目总控台账!AH134="","",项目总控台账!AH134)</f>
        <v/>
      </c>
    </row>
    <row r="135" customFormat="false" ht="51" hidden="false" customHeight="true" outlineLevel="0" collapsed="false">
      <c r="A135" s="59" t="str">
        <f aca="false">IF(项目总控台账!A135="","",项目总控台账!A135)</f>
        <v>T132</v>
      </c>
      <c r="B135" s="59" t="str">
        <f aca="false">项目总控台账!B134</f>
        <v>MDG</v>
      </c>
      <c r="C135" s="59" t="str">
        <f aca="false">项目总控台账!C135</f>
        <v>外部系统接口实施</v>
      </c>
      <c r="D135" s="59" t="str">
        <f aca="false">项目总控台账!D135</f>
        <v>开发</v>
      </c>
      <c r="E135" s="59" t="str">
        <f aca="false">IF(项目总控台账!E135="","",项目总控台账!E135)</f>
        <v>MDGP0接口开发工作包：接口代码、自测记录及部署包完成</v>
      </c>
      <c r="F135" s="59" t="str">
        <f aca="false">IF(项目总控台账!F135="","",项目总控台账!F135)</f>
        <v>MS010</v>
      </c>
      <c r="G135" s="60" t="str">
        <f aca="false">IF(项目总控台账!G135="","",项目总控台账!G135)</f>
        <v>未开始</v>
      </c>
      <c r="H135" s="59" t="str">
        <f aca="false">IF(项目总控台账!H135="","",项目总控台账!H135)</f>
        <v>技术经理</v>
      </c>
      <c r="I135" s="61" t="n">
        <f aca="false">IF(项目总控台账!I135="","",项目总控台账!I135)</f>
        <v>46354</v>
      </c>
      <c r="J135" s="61" t="n">
        <f aca="false">IF(项目总控台账!J135="","",项目总控台账!J135)</f>
        <v>46430</v>
      </c>
      <c r="K135" s="61" t="n">
        <f aca="false">IF(项目总控台账!K135="","",项目总控台账!K135)</f>
        <v>46430</v>
      </c>
      <c r="L135" s="59" t="str">
        <f aca="false">IF(项目总控台账!L135="","",项目总控台账!L135)</f>
        <v>产品经理</v>
      </c>
      <c r="M135" s="60" t="str">
        <f aca="false">IF(项目总控台账!M135="","",项目总控台账!M135)</f>
        <v>未开始</v>
      </c>
      <c r="N135" s="61" t="n">
        <f aca="false">IF(项目总控台账!N135="","",项目总控台账!N135)</f>
        <v>46354</v>
      </c>
      <c r="O135" s="61" t="n">
        <f aca="false">IF(项目总控台账!O135="","",项目总控台账!O135)</f>
        <v>46430</v>
      </c>
      <c r="P135" s="59" t="str">
        <f aca="false">IF(项目总控台账!P135="","",项目总控台账!P135)</f>
        <v>中级开发人员-05</v>
      </c>
      <c r="Q135" s="60" t="str">
        <f aca="false">IF(项目总控台账!Q135="","",项目总控台账!Q135)</f>
        <v>未开始</v>
      </c>
      <c r="R135" s="61" t="n">
        <f aca="false">IF(项目总控台账!R135="","",项目总控台账!R135)</f>
        <v>46354</v>
      </c>
      <c r="S135" s="61" t="n">
        <f aca="false">IF(项目总控台账!S135="","",项目总控台账!S135)</f>
        <v>46430</v>
      </c>
      <c r="T135" s="59" t="str">
        <f aca="false">IF(项目总控台账!T135="","",项目总控台账!T135)</f>
        <v/>
      </c>
      <c r="U135" s="60" t="str">
        <f aca="false">IF(项目总控台账!U135="","",项目总控台账!U135)</f>
        <v/>
      </c>
      <c r="V135" s="61" t="str">
        <f aca="false">IF(项目总控台账!V135="","",项目总控台账!V135)</f>
        <v/>
      </c>
      <c r="W135" s="61" t="str">
        <f aca="false">IF(项目总控台账!W135="","",项目总控台账!W135)</f>
        <v/>
      </c>
      <c r="X135" s="59" t="str">
        <f aca="false">IF(项目总控台账!X135="","",项目总控台账!X135)</f>
        <v/>
      </c>
      <c r="Y135" s="60" t="str">
        <f aca="false">IF(项目总控台账!Y135="","",项目总控台账!Y135)</f>
        <v/>
      </c>
      <c r="Z135" s="61" t="str">
        <f aca="false">IF(项目总控台账!Z135="","",项目总控台账!Z135)</f>
        <v/>
      </c>
      <c r="AA135" s="61" t="str">
        <f aca="false">IF(项目总控台账!AA135="","",项目总控台账!AA135)</f>
        <v/>
      </c>
      <c r="AB135" s="62" t="n">
        <f aca="false">IF(项目总控台账!AB135="","",项目总控台账!AB135)</f>
        <v>0</v>
      </c>
      <c r="AC135" s="60" t="str">
        <f aca="false">IF(项目总控台账!AC135="","",项目总控台账!AC135)</f>
        <v>正常</v>
      </c>
      <c r="AD135" s="59" t="str">
        <f aca="false">IF(项目总控台账!AD135="","",项目总控台账!AD135)</f>
        <v/>
      </c>
      <c r="AE135" s="59" t="str">
        <f aca="false">IF(项目总控台账!AE135="","",项目总控台账!AE135)</f>
        <v>实施明细见“04_系统集成管理/系统集成管理-20260918-V1.xlsx”；MDG共16条P0接口</v>
      </c>
      <c r="AF135" s="59" t="str">
        <f aca="false">IF(项目总控台账!AF135="","",项目总控台账!AF135)</f>
        <v/>
      </c>
      <c r="AG135" s="61" t="str">
        <f aca="false">IF(项目总控台账!AG135="","",项目总控台账!AG135)</f>
        <v/>
      </c>
      <c r="AH135" s="63" t="str">
        <f aca="false">IF(项目总控台账!AH135="","",项目总控台账!AH135)</f>
        <v/>
      </c>
    </row>
    <row r="136" customFormat="false" ht="51" hidden="false" customHeight="true" outlineLevel="0" collapsed="false">
      <c r="A136" s="59" t="str">
        <f aca="false">IF(项目总控台账!A136="","",项目总控台账!A136)</f>
        <v>T133</v>
      </c>
      <c r="B136" s="59" t="str">
        <f aca="false">项目总控台账!B134</f>
        <v>MDG</v>
      </c>
      <c r="C136" s="59" t="str">
        <f aca="false">项目总控台账!C136</f>
        <v>外部系统接口实施</v>
      </c>
      <c r="D136" s="59" t="str">
        <f aca="false">项目总控台账!D136</f>
        <v>联调</v>
      </c>
      <c r="E136" s="59" t="str">
        <f aca="false">IF(项目总控台账!E136="","",项目总控台账!E136)</f>
        <v>MDGP0接口联调工作包：双向联调通过，异常、重试与补偿验证完成</v>
      </c>
      <c r="F136" s="59" t="str">
        <f aca="false">IF(项目总控台账!F136="","",项目总控台账!F136)</f>
        <v>MS012</v>
      </c>
      <c r="G136" s="60" t="str">
        <f aca="false">IF(项目总控台账!G136="","",项目总控台账!G136)</f>
        <v>未开始</v>
      </c>
      <c r="H136" s="59" t="str">
        <f aca="false">IF(项目总控台账!H136="","",项目总控台账!H136)</f>
        <v>技术经理</v>
      </c>
      <c r="I136" s="61" t="n">
        <f aca="false">IF(项目总控台账!I136="","",项目总控台账!I136)</f>
        <v>46433</v>
      </c>
      <c r="J136" s="61" t="n">
        <f aca="false">IF(项目总控台账!J136="","",项目总控台账!J136)</f>
        <v>46451</v>
      </c>
      <c r="K136" s="61" t="n">
        <f aca="false">IF(项目总控台账!K136="","",项目总控台账!K136)</f>
        <v>46451</v>
      </c>
      <c r="L136" s="59" t="str">
        <f aca="false">IF(项目总控台账!L136="","",项目总控台账!L136)</f>
        <v>产品经理</v>
      </c>
      <c r="M136" s="60" t="str">
        <f aca="false">IF(项目总控台账!M136="","",项目总控台账!M136)</f>
        <v>未开始</v>
      </c>
      <c r="N136" s="61" t="n">
        <f aca="false">IF(项目总控台账!N136="","",项目总控台账!N136)</f>
        <v>46433</v>
      </c>
      <c r="O136" s="61" t="n">
        <f aca="false">IF(项目总控台账!O136="","",项目总控台账!O136)</f>
        <v>46451</v>
      </c>
      <c r="P136" s="59" t="str">
        <f aca="false">IF(项目总控台账!P136="","",项目总控台账!P136)</f>
        <v>高级开发人员-02</v>
      </c>
      <c r="Q136" s="60" t="str">
        <f aca="false">IF(项目总控台账!Q136="","",项目总控台账!Q136)</f>
        <v>未开始</v>
      </c>
      <c r="R136" s="61" t="n">
        <f aca="false">IF(项目总控台账!R136="","",项目总控台账!R136)</f>
        <v>46433</v>
      </c>
      <c r="S136" s="61" t="n">
        <f aca="false">IF(项目总控台账!S136="","",项目总控台账!S136)</f>
        <v>46451</v>
      </c>
      <c r="T136" s="59" t="str">
        <f aca="false">IF(项目总控台账!T136="","",项目总控台账!T136)</f>
        <v/>
      </c>
      <c r="U136" s="60" t="str">
        <f aca="false">IF(项目总控台账!U136="","",项目总控台账!U136)</f>
        <v/>
      </c>
      <c r="V136" s="61" t="str">
        <f aca="false">IF(项目总控台账!V136="","",项目总控台账!V136)</f>
        <v/>
      </c>
      <c r="W136" s="61" t="str">
        <f aca="false">IF(项目总控台账!W136="","",项目总控台账!W136)</f>
        <v/>
      </c>
      <c r="X136" s="59" t="str">
        <f aca="false">IF(项目总控台账!X136="","",项目总控台账!X136)</f>
        <v/>
      </c>
      <c r="Y136" s="60" t="str">
        <f aca="false">IF(项目总控台账!Y136="","",项目总控台账!Y136)</f>
        <v/>
      </c>
      <c r="Z136" s="61" t="str">
        <f aca="false">IF(项目总控台账!Z136="","",项目总控台账!Z136)</f>
        <v/>
      </c>
      <c r="AA136" s="61" t="str">
        <f aca="false">IF(项目总控台账!AA136="","",项目总控台账!AA136)</f>
        <v/>
      </c>
      <c r="AB136" s="62" t="n">
        <f aca="false">IF(项目总控台账!AB136="","",项目总控台账!AB136)</f>
        <v>0</v>
      </c>
      <c r="AC136" s="60" t="str">
        <f aca="false">IF(项目总控台账!AC136="","",项目总控台账!AC136)</f>
        <v>正常</v>
      </c>
      <c r="AD136" s="59" t="str">
        <f aca="false">IF(项目总控台账!AD136="","",项目总控台账!AD136)</f>
        <v/>
      </c>
      <c r="AE136" s="59" t="str">
        <f aca="false">IF(项目总控台账!AE136="","",项目总控台账!AE136)</f>
        <v>实施明细见“04_系统集成管理/系统集成管理-20260918-V1.xlsx”；MDG共16条P0接口</v>
      </c>
      <c r="AF136" s="59" t="str">
        <f aca="false">IF(项目总控台账!AF136="","",项目总控台账!AF136)</f>
        <v/>
      </c>
      <c r="AG136" s="61" t="str">
        <f aca="false">IF(项目总控台账!AG136="","",项目总控台账!AG136)</f>
        <v/>
      </c>
      <c r="AH136" s="63" t="str">
        <f aca="false">IF(项目总控台账!AH136="","",项目总控台账!AH136)</f>
        <v/>
      </c>
    </row>
    <row r="137" customFormat="false" ht="51" hidden="false" customHeight="true" outlineLevel="0" collapsed="false">
      <c r="A137" s="59" t="str">
        <f aca="false">IF(项目总控台账!A137="","",项目总控台账!A137)</f>
        <v>T134</v>
      </c>
      <c r="B137" s="59" t="str">
        <f aca="false">项目总控台账!B134</f>
        <v>MDG</v>
      </c>
      <c r="C137" s="59" t="str">
        <f aca="false">项目总控台账!C137</f>
        <v>外部系统接口实施</v>
      </c>
      <c r="D137" s="59" t="str">
        <f aca="false">项目总控台账!D137</f>
        <v>测试</v>
      </c>
      <c r="E137" s="59" t="str">
        <f aca="false">IF(项目总控台账!E137="","",项目总控台账!E137)</f>
        <v>MDGP0接口测试工作包：集成测试用例执行通过，缺陷闭环</v>
      </c>
      <c r="F137" s="59" t="str">
        <f aca="false">IF(项目总控台账!F137="","",项目总控台账!F137)</f>
        <v>MS013</v>
      </c>
      <c r="G137" s="60" t="str">
        <f aca="false">IF(项目总控台账!G137="","",项目总控台账!G137)</f>
        <v>未开始</v>
      </c>
      <c r="H137" s="59" t="str">
        <f aca="false">IF(项目总控台账!H137="","",项目总控台账!H137)</f>
        <v>测试经理</v>
      </c>
      <c r="I137" s="61" t="n">
        <f aca="false">IF(项目总控台账!I137="","",项目总控台账!I137)</f>
        <v>46452</v>
      </c>
      <c r="J137" s="61" t="n">
        <f aca="false">IF(项目总控台账!J137="","",项目总控台账!J137)</f>
        <v>46492</v>
      </c>
      <c r="K137" s="61" t="n">
        <f aca="false">IF(项目总控台账!K137="","",项目总控台账!K137)</f>
        <v>46492</v>
      </c>
      <c r="L137" s="59" t="str">
        <f aca="false">IF(项目总控台账!L137="","",项目总控台账!L137)</f>
        <v>产品经理</v>
      </c>
      <c r="M137" s="60" t="str">
        <f aca="false">IF(项目总控台账!M137="","",项目总控台账!M137)</f>
        <v>未开始</v>
      </c>
      <c r="N137" s="61" t="n">
        <f aca="false">IF(项目总控台账!N137="","",项目总控台账!N137)</f>
        <v>46452</v>
      </c>
      <c r="O137" s="61" t="n">
        <f aca="false">IF(项目总控台账!O137="","",项目总控台账!O137)</f>
        <v>46492</v>
      </c>
      <c r="P137" s="59" t="str">
        <f aca="false">IF(项目总控台账!P137="","",项目总控台账!P137)</f>
        <v/>
      </c>
      <c r="Q137" s="60" t="str">
        <f aca="false">IF(项目总控台账!Q137="","",项目总控台账!Q137)</f>
        <v/>
      </c>
      <c r="R137" s="61" t="str">
        <f aca="false">IF(项目总控台账!R137="","",项目总控台账!R137)</f>
        <v/>
      </c>
      <c r="S137" s="61" t="str">
        <f aca="false">IF(项目总控台账!S137="","",项目总控台账!S137)</f>
        <v/>
      </c>
      <c r="T137" s="59" t="str">
        <f aca="false">IF(项目总控台账!T137="","",项目总控台账!T137)</f>
        <v/>
      </c>
      <c r="U137" s="60" t="str">
        <f aca="false">IF(项目总控台账!U137="","",项目总控台账!U137)</f>
        <v/>
      </c>
      <c r="V137" s="61" t="str">
        <f aca="false">IF(项目总控台账!V137="","",项目总控台账!V137)</f>
        <v/>
      </c>
      <c r="W137" s="61" t="str">
        <f aca="false">IF(项目总控台账!W137="","",项目总控台账!W137)</f>
        <v/>
      </c>
      <c r="X137" s="59" t="str">
        <f aca="false">IF(项目总控台账!X137="","",项目总控台账!X137)</f>
        <v>中级测试人员-01</v>
      </c>
      <c r="Y137" s="60" t="str">
        <f aca="false">IF(项目总控台账!Y137="","",项目总控台账!Y137)</f>
        <v>未开始</v>
      </c>
      <c r="Z137" s="61" t="n">
        <f aca="false">IF(项目总控台账!Z137="","",项目总控台账!Z137)</f>
        <v>46452</v>
      </c>
      <c r="AA137" s="61" t="n">
        <f aca="false">IF(项目总控台账!AA137="","",项目总控台账!AA137)</f>
        <v>46492</v>
      </c>
      <c r="AB137" s="62" t="n">
        <f aca="false">IF(项目总控台账!AB137="","",项目总控台账!AB137)</f>
        <v>0</v>
      </c>
      <c r="AC137" s="60" t="str">
        <f aca="false">IF(项目总控台账!AC137="","",项目总控台账!AC137)</f>
        <v>正常</v>
      </c>
      <c r="AD137" s="59" t="str">
        <f aca="false">IF(项目总控台账!AD137="","",项目总控台账!AD137)</f>
        <v/>
      </c>
      <c r="AE137" s="59" t="str">
        <f aca="false">IF(项目总控台账!AE137="","",项目总控台账!AE137)</f>
        <v>实施明细见“04_系统集成管理/系统集成管理-20260918-V1.xlsx”；MDG共16条P0接口</v>
      </c>
      <c r="AF137" s="59" t="str">
        <f aca="false">IF(项目总控台账!AF137="","",项目总控台账!AF137)</f>
        <v/>
      </c>
      <c r="AG137" s="61" t="str">
        <f aca="false">IF(项目总控台账!AG137="","",项目总控台账!AG137)</f>
        <v/>
      </c>
      <c r="AH137" s="63" t="str">
        <f aca="false">IF(项目总控台账!AH137="","",项目总控台账!AH137)</f>
        <v/>
      </c>
    </row>
    <row r="138" customFormat="false" ht="51" hidden="false" customHeight="true" outlineLevel="0" collapsed="false">
      <c r="A138" s="59" t="str">
        <f aca="false">IF(项目总控台账!A138="","",项目总控台账!A138)</f>
        <v>T135</v>
      </c>
      <c r="B138" s="59" t="str">
        <f aca="false">项目总控台账!B134</f>
        <v>MDG</v>
      </c>
      <c r="C138" s="59" t="str">
        <f aca="false">项目总控台账!C138</f>
        <v>外部系统接口实施</v>
      </c>
      <c r="D138" s="59" t="str">
        <f aca="false">项目总控台账!D138</f>
        <v>上线准备</v>
      </c>
      <c r="E138" s="59" t="str">
        <f aca="false">IF(项目总控台账!E138="","",项目总控台账!E138)</f>
        <v>MDGP0接口上线准备工作包：生产配置、发布步骤和回退方案就绪</v>
      </c>
      <c r="F138" s="59" t="str">
        <f aca="false">IF(项目总控台账!F138="","",项目总控台账!F138)</f>
        <v>MS015</v>
      </c>
      <c r="G138" s="60" t="str">
        <f aca="false">IF(项目总控台账!G138="","",项目总控台账!G138)</f>
        <v>未开始</v>
      </c>
      <c r="H138" s="59" t="str">
        <f aca="false">IF(项目总控台账!H138="","",项目总控台账!H138)</f>
        <v>配置经理</v>
      </c>
      <c r="I138" s="61" t="n">
        <f aca="false">IF(项目总控台账!I138="","",项目总控台账!I138)</f>
        <v>46518</v>
      </c>
      <c r="J138" s="61" t="n">
        <f aca="false">IF(项目总控台账!J138="","",项目总控台账!J138)</f>
        <v>46531</v>
      </c>
      <c r="K138" s="61" t="n">
        <f aca="false">IF(项目总控台账!K138="","",项目总控台账!K138)</f>
        <v>46531</v>
      </c>
      <c r="L138" s="59" t="str">
        <f aca="false">IF(项目总控台账!L138="","",项目总控台账!L138)</f>
        <v>产品经理</v>
      </c>
      <c r="M138" s="60" t="str">
        <f aca="false">IF(项目总控台账!M138="","",项目总控台账!M138)</f>
        <v>未开始</v>
      </c>
      <c r="N138" s="61" t="n">
        <f aca="false">IF(项目总控台账!N138="","",项目总控台账!N138)</f>
        <v>46518</v>
      </c>
      <c r="O138" s="61" t="n">
        <f aca="false">IF(项目总控台账!O138="","",项目总控台账!O138)</f>
        <v>46531</v>
      </c>
      <c r="P138" s="59" t="str">
        <f aca="false">IF(项目总控台账!P138="","",项目总控台账!P138)</f>
        <v/>
      </c>
      <c r="Q138" s="60" t="str">
        <f aca="false">IF(项目总控台账!Q138="","",项目总控台账!Q138)</f>
        <v/>
      </c>
      <c r="R138" s="61" t="str">
        <f aca="false">IF(项目总控台账!R138="","",项目总控台账!R138)</f>
        <v/>
      </c>
      <c r="S138" s="61" t="str">
        <f aca="false">IF(项目总控台账!S138="","",项目总控台账!S138)</f>
        <v/>
      </c>
      <c r="T138" s="59" t="str">
        <f aca="false">IF(项目总控台账!T138="","",项目总控台账!T138)</f>
        <v/>
      </c>
      <c r="U138" s="60" t="str">
        <f aca="false">IF(项目总控台账!U138="","",项目总控台账!U138)</f>
        <v/>
      </c>
      <c r="V138" s="61" t="str">
        <f aca="false">IF(项目总控台账!V138="","",项目总控台账!V138)</f>
        <v/>
      </c>
      <c r="W138" s="61" t="str">
        <f aca="false">IF(项目总控台账!W138="","",项目总控台账!W138)</f>
        <v/>
      </c>
      <c r="X138" s="59" t="str">
        <f aca="false">IF(项目总控台账!X138="","",项目总控台账!X138)</f>
        <v/>
      </c>
      <c r="Y138" s="60" t="str">
        <f aca="false">IF(项目总控台账!Y138="","",项目总控台账!Y138)</f>
        <v/>
      </c>
      <c r="Z138" s="61" t="str">
        <f aca="false">IF(项目总控台账!Z138="","",项目总控台账!Z138)</f>
        <v/>
      </c>
      <c r="AA138" s="61" t="str">
        <f aca="false">IF(项目总控台账!AA138="","",项目总控台账!AA138)</f>
        <v/>
      </c>
      <c r="AB138" s="62" t="n">
        <f aca="false">IF(项目总控台账!AB138="","",项目总控台账!AB138)</f>
        <v>0</v>
      </c>
      <c r="AC138" s="60" t="str">
        <f aca="false">IF(项目总控台账!AC138="","",项目总控台账!AC138)</f>
        <v>正常</v>
      </c>
      <c r="AD138" s="59" t="str">
        <f aca="false">IF(项目总控台账!AD138="","",项目总控台账!AD138)</f>
        <v/>
      </c>
      <c r="AE138" s="59" t="str">
        <f aca="false">IF(项目总控台账!AE138="","",项目总控台账!AE138)</f>
        <v>实施明细见“04_系统集成管理/系统集成管理-20260918-V1.xlsx”；MDG共16条P0接口</v>
      </c>
      <c r="AF138" s="59" t="str">
        <f aca="false">IF(项目总控台账!AF138="","",项目总控台账!AF138)</f>
        <v/>
      </c>
      <c r="AG138" s="61" t="str">
        <f aca="false">IF(项目总控台账!AG138="","",项目总控台账!AG138)</f>
        <v/>
      </c>
      <c r="AH138" s="63" t="str">
        <f aca="false">IF(项目总控台账!AH138="","",项目总控台账!AH138)</f>
        <v/>
      </c>
    </row>
  </sheetData>
  <autoFilter ref="A3:AH138"/>
  <mergeCells count="2">
    <mergeCell ref="A1:AE1"/>
    <mergeCell ref="A2:AE2"/>
  </mergeCells>
  <conditionalFormatting sqref="G4:G138">
    <cfRule type="expression" priority="2" aboveAverage="0" equalAverage="0" bottom="0" percent="0" rank="0" text="" dxfId="3">
      <formula>G4="已完成"</formula>
    </cfRule>
    <cfRule type="expression" priority="3" aboveAverage="0" equalAverage="0" bottom="0" percent="0" rank="0" text="" dxfId="4">
      <formula>G4="进行中"</formula>
    </cfRule>
    <cfRule type="expression" priority="4" aboveAverage="0" equalAverage="0" bottom="0" percent="0" rank="0" text="" dxfId="5">
      <formula>G4="待确认"</formula>
    </cfRule>
    <cfRule type="expression" priority="5" aboveAverage="0" equalAverage="0" bottom="0" percent="0" rank="0" text="" dxfId="6">
      <formula>G4="暂停"</formula>
    </cfRule>
    <cfRule type="expression" priority="6" aboveAverage="0" equalAverage="0" bottom="0" percent="0" rank="0" text="" dxfId="7">
      <formula>G4="挂起"</formula>
    </cfRule>
    <cfRule type="expression" priority="7" aboveAverage="0" equalAverage="0" bottom="0" percent="0" rank="0" text="" dxfId="8">
      <formula>G4="未开始"</formula>
    </cfRule>
  </conditionalFormatting>
  <conditionalFormatting sqref="M4:M138">
    <cfRule type="expression" priority="8" aboveAverage="0" equalAverage="0" bottom="0" percent="0" rank="0" text="" dxfId="3">
      <formula>M4="已完成"</formula>
    </cfRule>
    <cfRule type="expression" priority="9" aboveAverage="0" equalAverage="0" bottom="0" percent="0" rank="0" text="" dxfId="4">
      <formula>M4="进行中"</formula>
    </cfRule>
    <cfRule type="expression" priority="10" aboveAverage="0" equalAverage="0" bottom="0" percent="0" rank="0" text="" dxfId="5">
      <formula>M4="待确认"</formula>
    </cfRule>
    <cfRule type="expression" priority="11" aboveAverage="0" equalAverage="0" bottom="0" percent="0" rank="0" text="" dxfId="6">
      <formula>M4="暂停"</formula>
    </cfRule>
    <cfRule type="expression" priority="12" aboveAverage="0" equalAverage="0" bottom="0" percent="0" rank="0" text="" dxfId="7">
      <formula>M4="挂起"</formula>
    </cfRule>
    <cfRule type="expression" priority="13" aboveAverage="0" equalAverage="0" bottom="0" percent="0" rank="0" text="" dxfId="8">
      <formula>M4="未开始"</formula>
    </cfRule>
  </conditionalFormatting>
  <conditionalFormatting sqref="Q4:Q138">
    <cfRule type="expression" priority="14" aboveAverage="0" equalAverage="0" bottom="0" percent="0" rank="0" text="" dxfId="3">
      <formula>Q4="已完成"</formula>
    </cfRule>
    <cfRule type="expression" priority="15" aboveAverage="0" equalAverage="0" bottom="0" percent="0" rank="0" text="" dxfId="4">
      <formula>Q4="进行中"</formula>
    </cfRule>
    <cfRule type="expression" priority="16" aboveAverage="0" equalAverage="0" bottom="0" percent="0" rank="0" text="" dxfId="5">
      <formula>Q4="待确认"</formula>
    </cfRule>
    <cfRule type="expression" priority="17" aboveAverage="0" equalAverage="0" bottom="0" percent="0" rank="0" text="" dxfId="6">
      <formula>Q4="暂停"</formula>
    </cfRule>
    <cfRule type="expression" priority="18" aboveAverage="0" equalAverage="0" bottom="0" percent="0" rank="0" text="" dxfId="7">
      <formula>Q4="挂起"</formula>
    </cfRule>
    <cfRule type="expression" priority="19" aboveAverage="0" equalAverage="0" bottom="0" percent="0" rank="0" text="" dxfId="8">
      <formula>Q4="未开始"</formula>
    </cfRule>
  </conditionalFormatting>
  <conditionalFormatting sqref="U4:U138">
    <cfRule type="expression" priority="20" aboveAverage="0" equalAverage="0" bottom="0" percent="0" rank="0" text="" dxfId="3">
      <formula>U4="已完成"</formula>
    </cfRule>
    <cfRule type="expression" priority="21" aboveAverage="0" equalAverage="0" bottom="0" percent="0" rank="0" text="" dxfId="4">
      <formula>U4="进行中"</formula>
    </cfRule>
    <cfRule type="expression" priority="22" aboveAverage="0" equalAverage="0" bottom="0" percent="0" rank="0" text="" dxfId="5">
      <formula>U4="待确认"</formula>
    </cfRule>
    <cfRule type="expression" priority="23" aboveAverage="0" equalAverage="0" bottom="0" percent="0" rank="0" text="" dxfId="6">
      <formula>U4="暂停"</formula>
    </cfRule>
    <cfRule type="expression" priority="24" aboveAverage="0" equalAverage="0" bottom="0" percent="0" rank="0" text="" dxfId="7">
      <formula>U4="挂起"</formula>
    </cfRule>
    <cfRule type="expression" priority="25" aboveAverage="0" equalAverage="0" bottom="0" percent="0" rank="0" text="" dxfId="8">
      <formula>U4="未开始"</formula>
    </cfRule>
  </conditionalFormatting>
  <conditionalFormatting sqref="Y4:Y138">
    <cfRule type="expression" priority="26" aboveAverage="0" equalAverage="0" bottom="0" percent="0" rank="0" text="" dxfId="3">
      <formula>Y4="已完成"</formula>
    </cfRule>
    <cfRule type="expression" priority="27" aboveAverage="0" equalAverage="0" bottom="0" percent="0" rank="0" text="" dxfId="4">
      <formula>Y4="进行中"</formula>
    </cfRule>
    <cfRule type="expression" priority="28" aboveAverage="0" equalAverage="0" bottom="0" percent="0" rank="0" text="" dxfId="5">
      <formula>Y4="待确认"</formula>
    </cfRule>
    <cfRule type="expression" priority="29" aboveAverage="0" equalAverage="0" bottom="0" percent="0" rank="0" text="" dxfId="6">
      <formula>Y4="暂停"</formula>
    </cfRule>
    <cfRule type="expression" priority="30" aboveAverage="0" equalAverage="0" bottom="0" percent="0" rank="0" text="" dxfId="7">
      <formula>Y4="挂起"</formula>
    </cfRule>
    <cfRule type="expression" priority="31" aboveAverage="0" equalAverage="0" bottom="0" percent="0" rank="0" text="" dxfId="8">
      <formula>Y4="未开始"</formula>
    </cfRule>
  </conditionalFormatting>
  <conditionalFormatting sqref="AC4:AC138">
    <cfRule type="expression" priority="32" aboveAverage="0" equalAverage="0" bottom="0" percent="0" rank="0" text="" dxfId="0">
      <formula>$AC4="已延期"</formula>
    </cfRule>
    <cfRule type="expression" priority="33" aboveAverage="0" equalAverage="0" bottom="0" percent="0" rank="0" text="" dxfId="9">
      <formula>$AC4="正常"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1:L21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4" activeCellId="0" sqref="E34"/>
    </sheetView>
  </sheetViews>
  <sheetFormatPr defaultColWidth="7.75390625" defaultRowHeight="15" customHeight="false" zeroHeight="false" outlineLevelRow="0" outlineLevelCol="0"/>
  <cols>
    <col collapsed="false" customWidth="true" hidden="false" outlineLevel="0" max="1" min="1" style="1" width="15.49"/>
    <col collapsed="false" customWidth="true" hidden="false" outlineLevel="0" max="3" min="2" style="1" width="10.33"/>
    <col collapsed="false" customWidth="true" hidden="false" outlineLevel="0" max="4" min="4" style="1" width="9.47"/>
    <col collapsed="false" customWidth="true" hidden="false" outlineLevel="0" max="5" min="5" style="1" width="8.61"/>
    <col collapsed="false" customWidth="true" hidden="false" outlineLevel="0" max="6" min="6" style="1" width="11.18"/>
    <col collapsed="false" customWidth="true" hidden="false" outlineLevel="0" max="7" min="7" style="1" width="8.61"/>
    <col collapsed="false" customWidth="true" hidden="false" outlineLevel="0" max="8" min="8" style="1" width="9.8"/>
    <col collapsed="false" customWidth="true" hidden="false" outlineLevel="0" max="9" min="9" style="1" width="11.18"/>
    <col collapsed="false" customWidth="true" hidden="false" outlineLevel="0" max="10" min="10" style="1" width="24.09"/>
    <col collapsed="false" customWidth="true" hidden="false" outlineLevel="0" max="11" min="11" style="1" width="20.65"/>
    <col collapsed="false" customWidth="true" hidden="false" outlineLevel="0" max="12" min="12" style="1" width="18.93"/>
  </cols>
  <sheetData>
    <row r="1" customFormat="false" ht="27.75" hidden="false" customHeight="true" outlineLevel="0" collapsed="false">
      <c r="A1" s="64" t="s">
        <v>25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2" customFormat="false" ht="31.5" hidden="false" customHeight="true" outlineLevel="0" collapsed="false">
      <c r="A2" s="65" t="s">
        <v>594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</row>
    <row r="3" customFormat="false" ht="16.5" hidden="false" customHeight="true" outlineLevel="0" collapsed="false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</row>
    <row r="4" customFormat="false" ht="27.75" hidden="false" customHeight="true" outlineLevel="0" collapsed="false">
      <c r="A4" s="14" t="s">
        <v>595</v>
      </c>
      <c r="B4" s="14" t="s">
        <v>596</v>
      </c>
      <c r="C4" s="14" t="s">
        <v>597</v>
      </c>
      <c r="D4" s="14" t="s">
        <v>598</v>
      </c>
      <c r="E4" s="14" t="s">
        <v>599</v>
      </c>
      <c r="F4" s="14" t="s">
        <v>600</v>
      </c>
      <c r="G4" s="14" t="s">
        <v>601</v>
      </c>
      <c r="H4" s="14" t="s">
        <v>602</v>
      </c>
      <c r="I4" s="14" t="s">
        <v>603</v>
      </c>
      <c r="J4" s="14" t="s">
        <v>604</v>
      </c>
      <c r="K4" s="14" t="s">
        <v>605</v>
      </c>
      <c r="L4" s="14" t="s">
        <v>199</v>
      </c>
    </row>
    <row r="5" customFormat="false" ht="27.75" hidden="false" customHeight="true" outlineLevel="0" collapsed="false">
      <c r="A5" s="67" t="s">
        <v>606</v>
      </c>
      <c r="B5" s="67" t="s">
        <v>110</v>
      </c>
      <c r="C5" s="68" t="n">
        <v>7</v>
      </c>
      <c r="D5" s="68" t="n">
        <v>6</v>
      </c>
      <c r="E5" s="69" t="n">
        <v>46055</v>
      </c>
      <c r="F5" s="69" t="n">
        <v>46537</v>
      </c>
      <c r="G5" s="70" t="n">
        <v>40</v>
      </c>
      <c r="H5" s="70" t="n">
        <v>600</v>
      </c>
      <c r="I5" s="71" t="n">
        <f aca="false">IFERROR(H5/(G5*((MAX($C$39:$C$2168)-MIN($B$39:$B$2168)+1)/7)),0)</f>
        <v>0.211267605633803</v>
      </c>
      <c r="J5" s="72" t="str">
        <f aca="false">IF(I5=0,"空闲",IF(I5&lt;=0.6,"低负荷",IF(I5&lt;=0.85,"正常",IF(I5&lt;=1,"满负荷","超负荷"))))</f>
        <v>低负荷</v>
      </c>
      <c r="K5" s="73" t="s">
        <v>607</v>
      </c>
      <c r="L5" s="73" t="s">
        <v>608</v>
      </c>
    </row>
    <row r="6" customFormat="false" ht="27.75" hidden="false" customHeight="true" outlineLevel="0" collapsed="false">
      <c r="A6" s="67" t="s">
        <v>609</v>
      </c>
      <c r="B6" s="67" t="s">
        <v>73</v>
      </c>
      <c r="C6" s="68" t="n">
        <v>7</v>
      </c>
      <c r="D6" s="68" t="n">
        <v>5</v>
      </c>
      <c r="E6" s="69" t="n">
        <v>46048</v>
      </c>
      <c r="F6" s="69" t="n">
        <v>46523</v>
      </c>
      <c r="G6" s="70" t="n">
        <v>40</v>
      </c>
      <c r="H6" s="70" t="n">
        <v>640</v>
      </c>
      <c r="I6" s="71" t="n">
        <f aca="false">IFERROR(H6/(G6*((MAX($C$39:$C$2168)-MIN($B$39:$B$2168)+1)/7)),0)</f>
        <v>0.225352112676056</v>
      </c>
      <c r="J6" s="72" t="str">
        <f aca="false">IF(I6=0,"空闲",IF(I6&lt;=0.6,"低负荷",IF(I6&lt;=0.85,"正常",IF(I6&lt;=1,"满负荷","超负荷"))))</f>
        <v>低负荷</v>
      </c>
      <c r="K6" s="73" t="s">
        <v>607</v>
      </c>
      <c r="L6" s="73" t="s">
        <v>608</v>
      </c>
    </row>
    <row r="7" customFormat="false" ht="27.75" hidden="false" customHeight="true" outlineLevel="0" collapsed="false">
      <c r="A7" s="67" t="s">
        <v>610</v>
      </c>
      <c r="B7" s="67" t="s">
        <v>73</v>
      </c>
      <c r="C7" s="68" t="n">
        <v>7</v>
      </c>
      <c r="D7" s="68" t="n">
        <v>6</v>
      </c>
      <c r="E7" s="69" t="n">
        <v>46146</v>
      </c>
      <c r="F7" s="69" t="n">
        <v>46544</v>
      </c>
      <c r="G7" s="70" t="n">
        <v>40</v>
      </c>
      <c r="H7" s="70" t="n">
        <v>640</v>
      </c>
      <c r="I7" s="71" t="n">
        <f aca="false">IFERROR(H7/(G7*((MAX($C$39:$C$2168)-MIN($B$39:$B$2168)+1)/7)),0)</f>
        <v>0.225352112676056</v>
      </c>
      <c r="J7" s="72" t="str">
        <f aca="false">IF(I7=0,"空闲",IF(I7&lt;=0.6,"低负荷",IF(I7&lt;=0.85,"正常",IF(I7&lt;=1,"满负荷","超负荷"))))</f>
        <v>低负荷</v>
      </c>
      <c r="K7" s="73" t="s">
        <v>607</v>
      </c>
      <c r="L7" s="73" t="s">
        <v>608</v>
      </c>
    </row>
    <row r="8" customFormat="false" ht="27.75" hidden="false" customHeight="true" outlineLevel="0" collapsed="false">
      <c r="A8" s="67" t="s">
        <v>611</v>
      </c>
      <c r="B8" s="67" t="s">
        <v>98</v>
      </c>
      <c r="C8" s="68" t="n">
        <v>16</v>
      </c>
      <c r="D8" s="68" t="n">
        <v>15</v>
      </c>
      <c r="E8" s="69" t="n">
        <v>46097</v>
      </c>
      <c r="F8" s="69" t="n">
        <v>46544</v>
      </c>
      <c r="G8" s="70" t="n">
        <v>40</v>
      </c>
      <c r="H8" s="70" t="n">
        <v>920</v>
      </c>
      <c r="I8" s="71" t="n">
        <f aca="false">IFERROR(H8/(G8*((MAX($C$39:$C$2168)-MIN($B$39:$B$2168)+1)/7)),0)</f>
        <v>0.323943661971831</v>
      </c>
      <c r="J8" s="72" t="str">
        <f aca="false">IF(I8=0,"空闲",IF(I8&lt;=0.6,"低负荷",IF(I8&lt;=0.85,"正常",IF(I8&lt;=1,"满负荷","超负荷"))))</f>
        <v>低负荷</v>
      </c>
      <c r="K8" s="73" t="s">
        <v>607</v>
      </c>
      <c r="L8" s="73" t="s">
        <v>608</v>
      </c>
    </row>
    <row r="9" customFormat="false" ht="27.75" hidden="false" customHeight="true" outlineLevel="0" collapsed="false">
      <c r="A9" s="67" t="s">
        <v>612</v>
      </c>
      <c r="B9" s="67" t="s">
        <v>98</v>
      </c>
      <c r="C9" s="68" t="n">
        <v>16</v>
      </c>
      <c r="D9" s="68" t="n">
        <v>16</v>
      </c>
      <c r="E9" s="69" t="n">
        <v>46118</v>
      </c>
      <c r="F9" s="69" t="n">
        <v>46530</v>
      </c>
      <c r="G9" s="70" t="n">
        <v>40</v>
      </c>
      <c r="H9" s="70" t="n">
        <v>880</v>
      </c>
      <c r="I9" s="71" t="n">
        <f aca="false">IFERROR(H9/(G9*((MAX($C$39:$C$2168)-MIN($B$39:$B$2168)+1)/7)),0)</f>
        <v>0.309859154929577</v>
      </c>
      <c r="J9" s="72" t="str">
        <f aca="false">IF(I9=0,"空闲",IF(I9&lt;=0.6,"低负荷",IF(I9&lt;=0.85,"正常",IF(I9&lt;=1,"满负荷","超负荷"))))</f>
        <v>低负荷</v>
      </c>
      <c r="K9" s="73" t="s">
        <v>607</v>
      </c>
      <c r="L9" s="73" t="s">
        <v>608</v>
      </c>
    </row>
    <row r="10" customFormat="false" ht="27.75" hidden="false" customHeight="true" outlineLevel="0" collapsed="false">
      <c r="A10" s="67" t="s">
        <v>613</v>
      </c>
      <c r="B10" s="67" t="s">
        <v>85</v>
      </c>
      <c r="C10" s="68" t="n">
        <v>6</v>
      </c>
      <c r="D10" s="68" t="n">
        <v>4</v>
      </c>
      <c r="E10" s="69" t="n">
        <v>46055</v>
      </c>
      <c r="F10" s="69" t="n">
        <v>46509</v>
      </c>
      <c r="G10" s="70" t="n">
        <v>40</v>
      </c>
      <c r="H10" s="70" t="n">
        <v>680</v>
      </c>
      <c r="I10" s="71" t="n">
        <f aca="false">IFERROR(H10/(G10*((MAX($C$39:$C$2168)-MIN($B$39:$B$2168)+1)/7)),0)</f>
        <v>0.23943661971831</v>
      </c>
      <c r="J10" s="72" t="str">
        <f aca="false">IF(I10=0,"空闲",IF(I10&lt;=0.6,"低负荷",IF(I10&lt;=0.85,"正常",IF(I10&lt;=1,"满负荷","超负荷"))))</f>
        <v>低负荷</v>
      </c>
      <c r="K10" s="73" t="s">
        <v>607</v>
      </c>
      <c r="L10" s="73" t="s">
        <v>608</v>
      </c>
    </row>
    <row r="11" customFormat="false" ht="27.75" hidden="false" customHeight="true" outlineLevel="0" collapsed="false">
      <c r="A11" s="67" t="s">
        <v>614</v>
      </c>
      <c r="B11" s="67" t="s">
        <v>85</v>
      </c>
      <c r="C11" s="68" t="n">
        <v>6</v>
      </c>
      <c r="D11" s="68" t="n">
        <v>4</v>
      </c>
      <c r="E11" s="69" t="n">
        <v>46048</v>
      </c>
      <c r="F11" s="69" t="n">
        <v>46530</v>
      </c>
      <c r="G11" s="70" t="n">
        <v>40</v>
      </c>
      <c r="H11" s="70" t="n">
        <v>720</v>
      </c>
      <c r="I11" s="71" t="n">
        <f aca="false">IFERROR(H11/(G11*((MAX($C$39:$C$2168)-MIN($B$39:$B$2168)+1)/7)),0)</f>
        <v>0.253521126760563</v>
      </c>
      <c r="J11" s="72" t="str">
        <f aca="false">IF(I11=0,"空闲",IF(I11&lt;=0.6,"低负荷",IF(I11&lt;=0.85,"正常",IF(I11&lt;=1,"满负荷","超负荷"))))</f>
        <v>低负荷</v>
      </c>
      <c r="K11" s="73" t="s">
        <v>607</v>
      </c>
      <c r="L11" s="73" t="s">
        <v>608</v>
      </c>
    </row>
    <row r="12" customFormat="false" ht="27.75" hidden="false" customHeight="true" outlineLevel="0" collapsed="false">
      <c r="A12" s="67" t="s">
        <v>615</v>
      </c>
      <c r="B12" s="67" t="s">
        <v>330</v>
      </c>
      <c r="C12" s="68" t="n">
        <v>2</v>
      </c>
      <c r="D12" s="68" t="n">
        <v>2</v>
      </c>
      <c r="E12" s="69" t="n">
        <v>46335</v>
      </c>
      <c r="F12" s="69" t="n">
        <v>46383</v>
      </c>
      <c r="G12" s="70" t="n">
        <v>40</v>
      </c>
      <c r="H12" s="70" t="n">
        <v>160</v>
      </c>
      <c r="I12" s="71" t="n">
        <f aca="false">IFERROR(H12/(G12*((MAX($C$39:$C$2168)-MIN($B$39:$B$2168)+1)/7)),0)</f>
        <v>0.0563380281690141</v>
      </c>
      <c r="J12" s="72" t="str">
        <f aca="false">IF(I12=0,"空闲",IF(I12&lt;=0.6,"低负荷",IF(I12&lt;=0.85,"正常",IF(I12&lt;=1,"满负荷","超负荷"))))</f>
        <v>低负荷</v>
      </c>
      <c r="K12" s="73" t="s">
        <v>607</v>
      </c>
      <c r="L12" s="73" t="s">
        <v>608</v>
      </c>
    </row>
    <row r="13" customFormat="false" ht="27.75" hidden="false" customHeight="true" outlineLevel="0" collapsed="false">
      <c r="A13" s="67" t="s">
        <v>487</v>
      </c>
      <c r="B13" s="67" t="s">
        <v>132</v>
      </c>
      <c r="C13" s="68" t="n">
        <v>17</v>
      </c>
      <c r="D13" s="68" t="n">
        <v>17</v>
      </c>
      <c r="E13" s="69" t="n">
        <v>46230</v>
      </c>
      <c r="F13" s="69" t="n">
        <v>46516</v>
      </c>
      <c r="G13" s="70" t="n">
        <v>40</v>
      </c>
      <c r="H13" s="70" t="n">
        <v>840</v>
      </c>
      <c r="I13" s="71" t="n">
        <f aca="false">IFERROR(H13/(G13*((MAX($C$39:$C$2168)-MIN($B$39:$B$2168)+1)/7)),0)</f>
        <v>0.295774647887324</v>
      </c>
      <c r="J13" s="72" t="str">
        <f aca="false">IF(I13=0,"空闲",IF(I13&lt;=0.6,"低负荷",IF(I13&lt;=0.85,"正常",IF(I13&lt;=1,"满负荷","超负荷"))))</f>
        <v>低负荷</v>
      </c>
      <c r="K13" s="73" t="s">
        <v>607</v>
      </c>
      <c r="L13" s="73" t="s">
        <v>608</v>
      </c>
    </row>
    <row r="14" customFormat="false" ht="27.75" hidden="false" customHeight="true" outlineLevel="0" collapsed="false">
      <c r="A14" s="67" t="s">
        <v>503</v>
      </c>
      <c r="B14" s="67" t="s">
        <v>132</v>
      </c>
      <c r="C14" s="68" t="n">
        <v>17</v>
      </c>
      <c r="D14" s="68" t="n">
        <v>17</v>
      </c>
      <c r="E14" s="69" t="n">
        <v>46251</v>
      </c>
      <c r="F14" s="69" t="n">
        <v>46523</v>
      </c>
      <c r="G14" s="70" t="n">
        <v>40</v>
      </c>
      <c r="H14" s="70" t="n">
        <v>760</v>
      </c>
      <c r="I14" s="71" t="n">
        <f aca="false">IFERROR(H14/(G14*((MAX($C$39:$C$2168)-MIN($B$39:$B$2168)+1)/7)),0)</f>
        <v>0.267605633802817</v>
      </c>
      <c r="J14" s="72" t="str">
        <f aca="false">IF(I14=0,"空闲",IF(I14&lt;=0.6,"低负荷",IF(I14&lt;=0.85,"正常",IF(I14&lt;=1,"满负荷","超负荷"))))</f>
        <v>低负荷</v>
      </c>
      <c r="K14" s="73" t="s">
        <v>607</v>
      </c>
      <c r="L14" s="73" t="s">
        <v>608</v>
      </c>
    </row>
    <row r="15" customFormat="false" ht="27.75" hidden="false" customHeight="true" outlineLevel="0" collapsed="false">
      <c r="A15" s="74" t="s">
        <v>517</v>
      </c>
      <c r="B15" s="74" t="s">
        <v>132</v>
      </c>
      <c r="C15" s="75" t="n">
        <v>16</v>
      </c>
      <c r="D15" s="75" t="n">
        <v>16</v>
      </c>
      <c r="E15" s="69" t="n">
        <v>46272</v>
      </c>
      <c r="F15" s="76" t="n">
        <v>46488</v>
      </c>
      <c r="G15" s="70" t="n">
        <v>40</v>
      </c>
      <c r="H15" s="70" t="n">
        <v>760</v>
      </c>
      <c r="I15" s="71" t="n">
        <f aca="false">IFERROR(H15/(G15*((MAX($C$39:$C$2168)-MIN($B$39:$B$2168)+1)/7)),0)</f>
        <v>0.267605633802817</v>
      </c>
      <c r="J15" s="72" t="str">
        <f aca="false">IF(I15=0,"空闲",IF(I15&lt;=0.6,"低负荷",IF(I15&lt;=0.85,"正常",IF(I15&lt;=1,"满负荷","超负荷"))))</f>
        <v>低负荷</v>
      </c>
      <c r="K15" s="73" t="s">
        <v>607</v>
      </c>
      <c r="L15" s="73" t="s">
        <v>608</v>
      </c>
    </row>
    <row r="16" customFormat="false" ht="27.75" hidden="false" customHeight="true" outlineLevel="0" collapsed="false">
      <c r="A16" s="74" t="s">
        <v>531</v>
      </c>
      <c r="B16" s="77" t="s">
        <v>280</v>
      </c>
      <c r="C16" s="68" t="n">
        <v>6</v>
      </c>
      <c r="D16" s="68" t="n">
        <v>6</v>
      </c>
      <c r="E16" s="77" t="n">
        <v>46258</v>
      </c>
      <c r="F16" s="77" t="n">
        <v>46453</v>
      </c>
      <c r="G16" s="70" t="n">
        <v>40</v>
      </c>
      <c r="H16" s="70" t="n">
        <v>600</v>
      </c>
      <c r="I16" s="71" t="n">
        <f aca="false">IFERROR(H16/(G16*((MAX($C$39:$C$2168)-MIN($B$39:$B$2168)+1)/7)),0)</f>
        <v>0.211267605633803</v>
      </c>
      <c r="J16" s="72" t="str">
        <f aca="false">IF(I16=0,"空闲",IF(I16&lt;=0.6,"低负荷",IF(I16&lt;=0.85,"正常",IF(I16&lt;=1,"满负荷","超负荷"))))</f>
        <v>低负荷</v>
      </c>
      <c r="K16" s="73" t="s">
        <v>607</v>
      </c>
      <c r="L16" s="73" t="s">
        <v>608</v>
      </c>
    </row>
    <row r="17" customFormat="false" ht="27.75" hidden="false" customHeight="true" outlineLevel="0" collapsed="false">
      <c r="A17" s="67" t="s">
        <v>546</v>
      </c>
      <c r="B17" s="77" t="s">
        <v>280</v>
      </c>
      <c r="C17" s="68" t="n">
        <v>4</v>
      </c>
      <c r="D17" s="68" t="n">
        <v>4</v>
      </c>
      <c r="E17" s="77" t="n">
        <v>46258</v>
      </c>
      <c r="F17" s="77" t="n">
        <v>46432</v>
      </c>
      <c r="G17" s="70" t="n">
        <v>40</v>
      </c>
      <c r="H17" s="70" t="n">
        <v>480</v>
      </c>
      <c r="I17" s="71" t="n">
        <f aca="false">IFERROR(H17/(G17*((MAX($C$39:$C$2168)-MIN($B$39:$B$2168)+1)/7)),0)</f>
        <v>0.169014084507042</v>
      </c>
      <c r="J17" s="72" t="str">
        <f aca="false">IF(I17=0,"空闲",IF(I17&lt;=0.6,"低负荷",IF(I17&lt;=0.85,"正常",IF(I17&lt;=1,"满负荷","超负荷"))))</f>
        <v>低负荷</v>
      </c>
      <c r="K17" s="73" t="s">
        <v>607</v>
      </c>
      <c r="L17" s="73" t="s">
        <v>608</v>
      </c>
    </row>
    <row r="18" customFormat="false" ht="27.75" hidden="false" customHeight="true" outlineLevel="0" collapsed="false">
      <c r="A18" s="67" t="s">
        <v>559</v>
      </c>
      <c r="B18" s="77" t="s">
        <v>280</v>
      </c>
      <c r="C18" s="68" t="n">
        <v>6</v>
      </c>
      <c r="D18" s="68" t="n">
        <v>6</v>
      </c>
      <c r="E18" s="77" t="n">
        <v>46363</v>
      </c>
      <c r="F18" s="77" t="n">
        <v>46432</v>
      </c>
      <c r="G18" s="70" t="n">
        <v>40</v>
      </c>
      <c r="H18" s="70" t="n">
        <v>400</v>
      </c>
      <c r="I18" s="71" t="n">
        <f aca="false">IFERROR(H18/(G18*((MAX($C$39:$C$2168)-MIN($B$39:$B$2168)+1)/7)),0)</f>
        <v>0.140845070422535</v>
      </c>
      <c r="J18" s="72" t="str">
        <f aca="false">IF(I18=0,"空闲",IF(I18&lt;=0.6,"低负荷",IF(I18&lt;=0.85,"正常",IF(I18&lt;=1,"满负荷","超负荷"))))</f>
        <v>低负荷</v>
      </c>
      <c r="K18" s="73" t="s">
        <v>607</v>
      </c>
      <c r="L18" s="73" t="s">
        <v>608</v>
      </c>
    </row>
    <row r="19" customFormat="false" ht="27.75" hidden="false" customHeight="true" outlineLevel="0" collapsed="false">
      <c r="A19" s="67" t="s">
        <v>572</v>
      </c>
      <c r="B19" s="77" t="s">
        <v>280</v>
      </c>
      <c r="C19" s="68" t="n">
        <v>6</v>
      </c>
      <c r="D19" s="68" t="n">
        <v>6</v>
      </c>
      <c r="E19" s="77" t="n">
        <v>46349</v>
      </c>
      <c r="F19" s="77" t="n">
        <v>46432</v>
      </c>
      <c r="G19" s="70" t="n">
        <v>40</v>
      </c>
      <c r="H19" s="70" t="n">
        <v>480</v>
      </c>
      <c r="I19" s="71" t="n">
        <f aca="false">IFERROR(H19/(G19*((MAX($C$39:$C$2168)-MIN($B$39:$B$2168)+1)/7)),0)</f>
        <v>0.169014084507042</v>
      </c>
      <c r="J19" s="72" t="str">
        <f aca="false">IF(I19=0,"空闲",IF(I19&lt;=0.6,"低负荷",IF(I19&lt;=0.85,"正常",IF(I19&lt;=1,"满负荷","超负荷"))))</f>
        <v>低负荷</v>
      </c>
      <c r="K19" s="73" t="s">
        <v>607</v>
      </c>
      <c r="L19" s="73" t="s">
        <v>608</v>
      </c>
    </row>
    <row r="20" customFormat="false" ht="27.75" hidden="false" customHeight="true" outlineLevel="0" collapsed="false">
      <c r="A20" s="67" t="s">
        <v>585</v>
      </c>
      <c r="B20" s="77" t="s">
        <v>280</v>
      </c>
      <c r="C20" s="68" t="n">
        <v>6</v>
      </c>
      <c r="D20" s="68" t="n">
        <v>6</v>
      </c>
      <c r="E20" s="77" t="n">
        <v>46349</v>
      </c>
      <c r="F20" s="77" t="n">
        <v>46432</v>
      </c>
      <c r="G20" s="70" t="n">
        <v>40</v>
      </c>
      <c r="H20" s="70" t="n">
        <v>480</v>
      </c>
      <c r="I20" s="71" t="n">
        <f aca="false">IFERROR(H20/(G20*((MAX($C$39:$C$2168)-MIN($B$39:$B$2168)+1)/7)),0)</f>
        <v>0.169014084507042</v>
      </c>
      <c r="J20" s="72" t="str">
        <f aca="false">IF(I20=0,"空闲",IF(I20&lt;=0.6,"低负荷",IF(I20&lt;=0.85,"正常",IF(I20&lt;=1,"满负荷","超负荷"))))</f>
        <v>低负荷</v>
      </c>
      <c r="K20" s="73" t="s">
        <v>607</v>
      </c>
      <c r="L20" s="73" t="s">
        <v>608</v>
      </c>
    </row>
    <row r="21" customFormat="false" ht="27.75" hidden="false" customHeight="true" outlineLevel="0" collapsed="false">
      <c r="A21" s="67" t="s">
        <v>616</v>
      </c>
      <c r="B21" s="77" t="s">
        <v>280</v>
      </c>
      <c r="C21" s="68" t="n">
        <v>6</v>
      </c>
      <c r="D21" s="68" t="n">
        <v>6</v>
      </c>
      <c r="E21" s="77" t="n">
        <v>46349</v>
      </c>
      <c r="F21" s="77" t="n">
        <v>46432</v>
      </c>
      <c r="G21" s="70" t="n">
        <v>40</v>
      </c>
      <c r="H21" s="70" t="n">
        <v>480</v>
      </c>
      <c r="I21" s="71" t="n">
        <f aca="false">IFERROR(H21/(G21*((MAX($C$39:$C$2168)-MIN($B$39:$B$2168)+1)/7)),0)</f>
        <v>0.169014084507042</v>
      </c>
      <c r="J21" s="72" t="str">
        <f aca="false">IF(I21=0,"空闲",IF(I21&lt;=0.6,"低负荷",IF(I21&lt;=0.85,"正常",IF(I21&lt;=1,"满负荷","超负荷"))))</f>
        <v>低负荷</v>
      </c>
      <c r="K21" s="73" t="s">
        <v>607</v>
      </c>
      <c r="L21" s="73" t="s">
        <v>608</v>
      </c>
    </row>
    <row r="22" customFormat="false" ht="27.75" hidden="false" customHeight="true" outlineLevel="0" collapsed="false">
      <c r="A22" s="67" t="s">
        <v>617</v>
      </c>
      <c r="B22" s="77" t="s">
        <v>280</v>
      </c>
      <c r="C22" s="68" t="n">
        <v>6</v>
      </c>
      <c r="D22" s="68" t="n">
        <v>6</v>
      </c>
      <c r="E22" s="77" t="n">
        <v>46349</v>
      </c>
      <c r="F22" s="77" t="n">
        <v>46432</v>
      </c>
      <c r="G22" s="70" t="n">
        <v>40</v>
      </c>
      <c r="H22" s="70" t="n">
        <v>480</v>
      </c>
      <c r="I22" s="71" t="n">
        <f aca="false">IFERROR(H22/(G22*((MAX($C$39:$C$2168)-MIN($B$39:$B$2168)+1)/7)),0)</f>
        <v>0.169014084507042</v>
      </c>
      <c r="J22" s="72" t="str">
        <f aca="false">IF(I22=0,"空闲",IF(I22&lt;=0.6,"低负荷",IF(I22&lt;=0.85,"正常",IF(I22&lt;=1,"满负荷","超负荷"))))</f>
        <v>低负荷</v>
      </c>
      <c r="K22" s="73" t="s">
        <v>607</v>
      </c>
      <c r="L22" s="73" t="s">
        <v>608</v>
      </c>
    </row>
    <row r="23" customFormat="false" ht="27.75" hidden="false" customHeight="true" outlineLevel="0" collapsed="false">
      <c r="A23" s="67" t="s">
        <v>618</v>
      </c>
      <c r="B23" s="77" t="s">
        <v>280</v>
      </c>
      <c r="C23" s="68" t="n">
        <v>6</v>
      </c>
      <c r="D23" s="68" t="n">
        <v>6</v>
      </c>
      <c r="E23" s="77" t="n">
        <v>46349</v>
      </c>
      <c r="F23" s="77" t="n">
        <v>46432</v>
      </c>
      <c r="G23" s="70" t="n">
        <v>40</v>
      </c>
      <c r="H23" s="70" t="n">
        <v>480</v>
      </c>
      <c r="I23" s="71" t="n">
        <f aca="false">IFERROR(H23/(G23*((MAX($C$39:$C$2168)-MIN($B$39:$B$2168)+1)/7)),0)</f>
        <v>0.169014084507042</v>
      </c>
      <c r="J23" s="72" t="str">
        <f aca="false">IF(I23=0,"空闲",IF(I23&lt;=0.6,"低负荷",IF(I23&lt;=0.85,"正常",IF(I23&lt;=1,"满负荷","超负荷"))))</f>
        <v>低负荷</v>
      </c>
      <c r="K23" s="73" t="s">
        <v>607</v>
      </c>
      <c r="L23" s="73" t="s">
        <v>608</v>
      </c>
    </row>
    <row r="24" customFormat="false" ht="27.75" hidden="false" customHeight="true" outlineLevel="0" collapsed="false">
      <c r="A24" s="67" t="s">
        <v>619</v>
      </c>
      <c r="B24" s="77" t="s">
        <v>280</v>
      </c>
      <c r="C24" s="68" t="n">
        <v>6</v>
      </c>
      <c r="D24" s="68" t="n">
        <v>6</v>
      </c>
      <c r="E24" s="77" t="n">
        <v>46349</v>
      </c>
      <c r="F24" s="77" t="n">
        <v>46439</v>
      </c>
      <c r="G24" s="70" t="n">
        <v>40</v>
      </c>
      <c r="H24" s="70" t="n">
        <v>520</v>
      </c>
      <c r="I24" s="71" t="n">
        <f aca="false">IFERROR(H24/(G24*((MAX($C$39:$C$2168)-MIN($B$39:$B$2168)+1)/7)),0)</f>
        <v>0.183098591549296</v>
      </c>
      <c r="J24" s="72" t="str">
        <f aca="false">IF(I24=0,"空闲",IF(I24&lt;=0.6,"低负荷",IF(I24&lt;=0.85,"正常",IF(I24&lt;=1,"满负荷","超负荷"))))</f>
        <v>低负荷</v>
      </c>
      <c r="K24" s="73" t="s">
        <v>607</v>
      </c>
      <c r="L24" s="73" t="s">
        <v>608</v>
      </c>
    </row>
    <row r="25" customFormat="false" ht="27.75" hidden="false" customHeight="true" outlineLevel="0" collapsed="false">
      <c r="A25" s="67" t="s">
        <v>620</v>
      </c>
      <c r="B25" s="77" t="s">
        <v>280</v>
      </c>
      <c r="C25" s="68" t="n">
        <v>6</v>
      </c>
      <c r="D25" s="68" t="n">
        <v>6</v>
      </c>
      <c r="E25" s="77" t="n">
        <v>46349</v>
      </c>
      <c r="F25" s="77" t="n">
        <v>46439</v>
      </c>
      <c r="G25" s="70" t="n">
        <v>40</v>
      </c>
      <c r="H25" s="70" t="n">
        <v>520</v>
      </c>
      <c r="I25" s="71" t="n">
        <f aca="false">IFERROR(H25/(G25*((MAX($C$39:$C$2168)-MIN($B$39:$B$2168)+1)/7)),0)</f>
        <v>0.183098591549296</v>
      </c>
      <c r="J25" s="72" t="str">
        <f aca="false">IF(I25=0,"空闲",IF(I25&lt;=0.6,"低负荷",IF(I25&lt;=0.85,"正常",IF(I25&lt;=1,"满负荷","超负荷"))))</f>
        <v>低负荷</v>
      </c>
      <c r="K25" s="73" t="s">
        <v>607</v>
      </c>
      <c r="L25" s="73" t="s">
        <v>608</v>
      </c>
    </row>
    <row r="26" customFormat="false" ht="27.75" hidden="false" customHeight="true" outlineLevel="0" collapsed="false">
      <c r="A26" s="67" t="s">
        <v>621</v>
      </c>
      <c r="B26" s="77" t="s">
        <v>280</v>
      </c>
      <c r="C26" s="68" t="n">
        <v>6</v>
      </c>
      <c r="D26" s="68" t="n">
        <v>6</v>
      </c>
      <c r="E26" s="77" t="n">
        <v>46349</v>
      </c>
      <c r="F26" s="77" t="n">
        <v>46453</v>
      </c>
      <c r="G26" s="70" t="n">
        <v>40</v>
      </c>
      <c r="H26" s="70" t="n">
        <v>600</v>
      </c>
      <c r="I26" s="71" t="n">
        <f aca="false">IFERROR(H26/(G26*((MAX($C$39:$C$2168)-MIN($B$39:$B$2168)+1)/7)),0)</f>
        <v>0.211267605633803</v>
      </c>
      <c r="J26" s="72" t="str">
        <f aca="false">IF(I26=0,"空闲",IF(I26&lt;=0.6,"低负荷",IF(I26&lt;=0.85,"正常",IF(I26&lt;=1,"满负荷","超负荷"))))</f>
        <v>低负荷</v>
      </c>
      <c r="K26" s="73" t="s">
        <v>607</v>
      </c>
      <c r="L26" s="73" t="s">
        <v>608</v>
      </c>
    </row>
    <row r="27" customFormat="false" ht="27.75" hidden="false" customHeight="true" outlineLevel="0" collapsed="false">
      <c r="A27" s="67" t="s">
        <v>622</v>
      </c>
      <c r="B27" s="77" t="s">
        <v>280</v>
      </c>
      <c r="C27" s="68" t="n">
        <v>6</v>
      </c>
      <c r="D27" s="68" t="n">
        <v>6</v>
      </c>
      <c r="E27" s="77" t="n">
        <v>46349</v>
      </c>
      <c r="F27" s="77" t="n">
        <v>46453</v>
      </c>
      <c r="G27" s="70" t="n">
        <v>40</v>
      </c>
      <c r="H27" s="70" t="n">
        <v>600</v>
      </c>
      <c r="I27" s="71" t="n">
        <f aca="false">IFERROR(H27/(G27*((MAX($C$39:$C$2168)-MIN($B$39:$B$2168)+1)/7)),0)</f>
        <v>0.211267605633803</v>
      </c>
      <c r="J27" s="72" t="str">
        <f aca="false">IF(I27=0,"空闲",IF(I27&lt;=0.6,"低负荷",IF(I27&lt;=0.85,"正常",IF(I27&lt;=1,"满负荷","超负荷"))))</f>
        <v>低负荷</v>
      </c>
      <c r="K27" s="73" t="s">
        <v>607</v>
      </c>
      <c r="L27" s="73" t="s">
        <v>608</v>
      </c>
    </row>
    <row r="28" customFormat="false" ht="27.75" hidden="false" customHeight="true" outlineLevel="0" collapsed="false">
      <c r="A28" s="67" t="s">
        <v>623</v>
      </c>
      <c r="B28" s="77" t="s">
        <v>280</v>
      </c>
      <c r="C28" s="68" t="n">
        <v>6</v>
      </c>
      <c r="D28" s="68" t="n">
        <v>6</v>
      </c>
      <c r="E28" s="77" t="n">
        <v>46349</v>
      </c>
      <c r="F28" s="77" t="n">
        <v>46467</v>
      </c>
      <c r="G28" s="70" t="n">
        <v>40</v>
      </c>
      <c r="H28" s="70" t="n">
        <v>600</v>
      </c>
      <c r="I28" s="71" t="n">
        <f aca="false">IFERROR(H28/(G28*((MAX($C$39:$C$2168)-MIN($B$39:$B$2168)+1)/7)),0)</f>
        <v>0.211267605633803</v>
      </c>
      <c r="J28" s="72" t="str">
        <f aca="false">IF(I28=0,"空闲",IF(I28&lt;=0.6,"低负荷",IF(I28&lt;=0.85,"正常",IF(I28&lt;=1,"满负荷","超负荷"))))</f>
        <v>低负荷</v>
      </c>
      <c r="K28" s="73" t="s">
        <v>607</v>
      </c>
      <c r="L28" s="73" t="s">
        <v>608</v>
      </c>
    </row>
    <row r="29" customFormat="false" ht="27.75" hidden="false" customHeight="true" outlineLevel="0" collapsed="false">
      <c r="A29" s="67" t="s">
        <v>624</v>
      </c>
      <c r="B29" s="77" t="s">
        <v>280</v>
      </c>
      <c r="C29" s="68" t="n">
        <v>6</v>
      </c>
      <c r="D29" s="68" t="n">
        <v>6</v>
      </c>
      <c r="E29" s="77" t="n">
        <v>46349</v>
      </c>
      <c r="F29" s="77" t="n">
        <v>46467</v>
      </c>
      <c r="G29" s="70" t="n">
        <v>40</v>
      </c>
      <c r="H29" s="70" t="n">
        <v>600</v>
      </c>
      <c r="I29" s="71" t="n">
        <f aca="false">IFERROR(H29/(G29*((MAX($C$39:$C$2168)-MIN($B$39:$B$2168)+1)/7)),0)</f>
        <v>0.211267605633803</v>
      </c>
      <c r="J29" s="72" t="str">
        <f aca="false">IF(I29=0,"空闲",IF(I29&lt;=0.6,"低负荷",IF(I29&lt;=0.85,"正常",IF(I29&lt;=1,"满负荷","超负荷"))))</f>
        <v>低负荷</v>
      </c>
      <c r="K29" s="73" t="s">
        <v>607</v>
      </c>
      <c r="L29" s="73" t="s">
        <v>608</v>
      </c>
    </row>
    <row r="30" customFormat="false" ht="27.75" hidden="false" customHeight="true" outlineLevel="0" collapsed="false">
      <c r="A30" s="67" t="s">
        <v>625</v>
      </c>
      <c r="B30" s="77" t="s">
        <v>280</v>
      </c>
      <c r="C30" s="68" t="n">
        <v>6</v>
      </c>
      <c r="D30" s="68" t="n">
        <v>6</v>
      </c>
      <c r="E30" s="77" t="n">
        <v>46349</v>
      </c>
      <c r="F30" s="77" t="n">
        <v>46453</v>
      </c>
      <c r="G30" s="70" t="n">
        <v>40</v>
      </c>
      <c r="H30" s="70" t="n">
        <v>520</v>
      </c>
      <c r="I30" s="71" t="n">
        <f aca="false">IFERROR(H30/(G30*((MAX($C$39:$C$2168)-MIN($B$39:$B$2168)+1)/7)),0)</f>
        <v>0.183098591549296</v>
      </c>
      <c r="J30" s="72" t="str">
        <f aca="false">IF(I30=0,"空闲",IF(I30&lt;=0.6,"低负荷",IF(I30&lt;=0.85,"正常",IF(I30&lt;=1,"满负荷","超负荷"))))</f>
        <v>低负荷</v>
      </c>
      <c r="K30" s="73" t="s">
        <v>607</v>
      </c>
      <c r="L30" s="73" t="s">
        <v>608</v>
      </c>
    </row>
    <row r="31" customFormat="false" ht="27.75" hidden="false" customHeight="true" outlineLevel="0" collapsed="false">
      <c r="A31" s="67" t="s">
        <v>494</v>
      </c>
      <c r="B31" s="77" t="s">
        <v>626</v>
      </c>
      <c r="C31" s="68" t="n">
        <v>12</v>
      </c>
      <c r="D31" s="68" t="n">
        <v>12</v>
      </c>
      <c r="E31" s="77" t="n">
        <v>46237</v>
      </c>
      <c r="F31" s="77" t="n">
        <v>46544</v>
      </c>
      <c r="G31" s="70" t="n">
        <v>40</v>
      </c>
      <c r="H31" s="70" t="n">
        <v>480</v>
      </c>
      <c r="I31" s="71" t="n">
        <f aca="false">IFERROR(H31/(G31*((MAX($C$39:$C$2168)-MIN($B$39:$B$2168)+1)/7)),0)</f>
        <v>0.169014084507042</v>
      </c>
      <c r="J31" s="72" t="str">
        <f aca="false">IF(I31=0,"空闲",IF(I31&lt;=0.6,"低负荷",IF(I31&lt;=0.85,"正常",IF(I31&lt;=1,"满负荷","超负荷"))))</f>
        <v>低负荷</v>
      </c>
      <c r="K31" s="73" t="s">
        <v>607</v>
      </c>
      <c r="L31" s="73" t="s">
        <v>608</v>
      </c>
    </row>
    <row r="32" customFormat="false" ht="27.75" hidden="false" customHeight="true" outlineLevel="0" collapsed="false">
      <c r="A32" s="67" t="s">
        <v>508</v>
      </c>
      <c r="B32" s="77" t="s">
        <v>627</v>
      </c>
      <c r="C32" s="68" t="n">
        <v>11</v>
      </c>
      <c r="D32" s="68" t="n">
        <v>11</v>
      </c>
      <c r="E32" s="77" t="n">
        <v>46258</v>
      </c>
      <c r="F32" s="77" t="n">
        <v>46495</v>
      </c>
      <c r="G32" s="70" t="n">
        <v>40</v>
      </c>
      <c r="H32" s="70" t="n">
        <v>400</v>
      </c>
      <c r="I32" s="71" t="n">
        <f aca="false">IFERROR(H32/(G32*((MAX($C$39:$C$2168)-MIN($B$39:$B$2168)+1)/7)),0)</f>
        <v>0.140845070422535</v>
      </c>
      <c r="J32" s="72" t="str">
        <f aca="false">IF(I32=0,"空闲",IF(I32&lt;=0.6,"低负荷",IF(I32&lt;=0.85,"正常",IF(I32&lt;=1,"满负荷","超负荷"))))</f>
        <v>低负荷</v>
      </c>
      <c r="K32" s="73" t="s">
        <v>607</v>
      </c>
      <c r="L32" s="73" t="s">
        <v>608</v>
      </c>
    </row>
    <row r="33" customFormat="false" ht="27.75" hidden="false" customHeight="true" outlineLevel="0" collapsed="false">
      <c r="A33" s="67" t="s">
        <v>522</v>
      </c>
      <c r="B33" s="77" t="s">
        <v>627</v>
      </c>
      <c r="C33" s="68" t="n">
        <v>11</v>
      </c>
      <c r="D33" s="68" t="n">
        <v>11</v>
      </c>
      <c r="E33" s="77" t="n">
        <v>46265</v>
      </c>
      <c r="F33" s="77" t="n">
        <v>46495</v>
      </c>
      <c r="G33" s="70" t="n">
        <v>40</v>
      </c>
      <c r="H33" s="70" t="n">
        <v>360</v>
      </c>
      <c r="I33" s="71" t="n">
        <f aca="false">IFERROR(H33/(G33*((MAX($C$39:$C$2168)-MIN($B$39:$B$2168)+1)/7)),0)</f>
        <v>0.126760563380282</v>
      </c>
      <c r="J33" s="72" t="str">
        <f aca="false">IF(I33=0,"空闲",IF(I33&lt;=0.6,"低负荷",IF(I33&lt;=0.85,"正常",IF(I33&lt;=1,"满负荷","超负荷"))))</f>
        <v>低负荷</v>
      </c>
      <c r="K33" s="73" t="s">
        <v>607</v>
      </c>
      <c r="L33" s="73" t="s">
        <v>608</v>
      </c>
    </row>
    <row r="34" customFormat="false" ht="27.75" hidden="false" customHeight="true" outlineLevel="0" collapsed="false">
      <c r="A34" s="67" t="s">
        <v>628</v>
      </c>
      <c r="B34" s="77" t="s">
        <v>249</v>
      </c>
      <c r="C34" s="68" t="n">
        <v>13</v>
      </c>
      <c r="D34" s="68" t="n">
        <v>13</v>
      </c>
      <c r="E34" s="77" t="n">
        <v>46251</v>
      </c>
      <c r="F34" s="77" t="n">
        <v>46544</v>
      </c>
      <c r="G34" s="70" t="n">
        <v>40</v>
      </c>
      <c r="H34" s="70" t="n">
        <v>360</v>
      </c>
      <c r="I34" s="71" t="n">
        <f aca="false">IFERROR(H34/(G34*((MAX($C$39:$C$2168)-MIN($B$39:$B$2168)+1)/7)),0)</f>
        <v>0.126760563380282</v>
      </c>
      <c r="J34" s="72" t="str">
        <f aca="false">IF(I34=0,"空闲",IF(I34&lt;=0.6,"低负荷",IF(I34&lt;=0.85,"正常",IF(I34&lt;=1,"满负荷","超负荷"))))</f>
        <v>低负荷</v>
      </c>
      <c r="K34" s="73" t="s">
        <v>607</v>
      </c>
      <c r="L34" s="73" t="s">
        <v>608</v>
      </c>
    </row>
    <row r="35" customFormat="false" ht="48" hidden="false" customHeight="true" outlineLevel="0" collapsed="false">
      <c r="A35" s="78"/>
      <c r="B35" s="79"/>
      <c r="C35" s="79"/>
      <c r="D35" s="80"/>
      <c r="E35" s="80"/>
      <c r="F35" s="81"/>
      <c r="G35" s="82"/>
      <c r="H35" s="80"/>
      <c r="I35" s="80"/>
      <c r="J35" s="83"/>
      <c r="K35" s="84"/>
      <c r="L35" s="66"/>
    </row>
    <row r="36" customFormat="false" ht="27.75" hidden="false" customHeight="true" outlineLevel="0" collapsed="false">
      <c r="A36" s="85" t="s">
        <v>629</v>
      </c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</row>
    <row r="37" customFormat="false" ht="24" hidden="false" customHeight="true" outlineLevel="0" collapsed="false">
      <c r="A37" s="86" t="s">
        <v>630</v>
      </c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7" t="s">
        <v>631</v>
      </c>
    </row>
    <row r="38" customFormat="false" ht="27.75" hidden="false" customHeight="true" outlineLevel="0" collapsed="false">
      <c r="A38" s="14" t="s">
        <v>595</v>
      </c>
      <c r="B38" s="88" t="s">
        <v>632</v>
      </c>
      <c r="C38" s="88" t="s">
        <v>633</v>
      </c>
      <c r="D38" s="14" t="s">
        <v>634</v>
      </c>
      <c r="E38" s="14" t="s">
        <v>597</v>
      </c>
      <c r="F38" s="89" t="s">
        <v>635</v>
      </c>
      <c r="G38" s="90" t="s">
        <v>603</v>
      </c>
      <c r="H38" s="14" t="s">
        <v>604</v>
      </c>
      <c r="I38" s="14" t="s">
        <v>636</v>
      </c>
      <c r="J38" s="14"/>
      <c r="K38" s="14"/>
      <c r="L38" s="14" t="s">
        <v>637</v>
      </c>
    </row>
    <row r="39" customFormat="false" ht="48" hidden="false" customHeight="true" outlineLevel="0" collapsed="false">
      <c r="A39" s="91" t="s">
        <v>606</v>
      </c>
      <c r="B39" s="92" t="n">
        <v>46048</v>
      </c>
      <c r="C39" s="92" t="n">
        <v>46054</v>
      </c>
      <c r="D39" s="91" t="s">
        <v>638</v>
      </c>
      <c r="E39" s="91" t="n">
        <v>0</v>
      </c>
      <c r="F39" s="93" t="n">
        <v>0</v>
      </c>
      <c r="G39" s="94" t="n">
        <f aca="false">IFERROR(F39/INDEX($G$5:$G$34,MATCH(LOOKUP(2,1/($A$39:A39&lt;&gt;""),$A$39:A39),$A$5:$A$34,0)),0)</f>
        <v>0</v>
      </c>
      <c r="H39" s="95" t="str">
        <f aca="false">IF(G39=0,"空闲",IF(G39&lt;=0.6,"低负荷",IF(G39&lt;=0.85,"正常",IF(G39&lt;=1,"满负荷","超负荷"))))</f>
        <v>空闲</v>
      </c>
      <c r="I39" s="96" t="s">
        <v>638</v>
      </c>
      <c r="J39" s="96"/>
      <c r="K39" s="96"/>
      <c r="L39" s="97" t="s">
        <v>639</v>
      </c>
    </row>
    <row r="40" customFormat="false" ht="48" hidden="false" customHeight="true" outlineLevel="0" collapsed="false">
      <c r="A40" s="91"/>
      <c r="B40" s="92" t="n">
        <v>46055</v>
      </c>
      <c r="C40" s="92" t="n">
        <v>46061</v>
      </c>
      <c r="D40" s="91" t="s">
        <v>640</v>
      </c>
      <c r="E40" s="91" t="n">
        <v>1</v>
      </c>
      <c r="F40" s="93" t="n">
        <v>40</v>
      </c>
      <c r="G40" s="94" t="n">
        <f aca="false">IFERROR(F40/INDEX($G$5:$G$34,MATCH(LOOKUP(2,1/($A$39:A40&lt;&gt;""),$A$39:A40),$A$5:$A$34,0)),0)</f>
        <v>1</v>
      </c>
      <c r="H40" s="95" t="str">
        <f aca="false">IF(G40=0,"空闲",IF(G40&lt;=0.6,"低负荷",IF(G40&lt;=0.85,"正常",IF(G40&lt;=1,"满负荷","超负荷"))))</f>
        <v>满负荷</v>
      </c>
      <c r="I40" s="98" t="s">
        <v>641</v>
      </c>
      <c r="J40" s="98"/>
      <c r="K40" s="98"/>
      <c r="L40" s="97" t="s">
        <v>642</v>
      </c>
    </row>
    <row r="41" customFormat="false" ht="48" hidden="false" customHeight="true" outlineLevel="0" collapsed="false">
      <c r="A41" s="91"/>
      <c r="B41" s="92" t="n">
        <v>46062</v>
      </c>
      <c r="C41" s="92" t="n">
        <v>46068</v>
      </c>
      <c r="D41" s="91" t="s">
        <v>640</v>
      </c>
      <c r="E41" s="91" t="n">
        <v>1</v>
      </c>
      <c r="F41" s="93" t="n">
        <v>40</v>
      </c>
      <c r="G41" s="94" t="n">
        <f aca="false">IFERROR(F41/INDEX($G$5:$G$34,MATCH(LOOKUP(2,1/($A$39:A41&lt;&gt;""),$A$39:A41),$A$5:$A$34,0)),0)</f>
        <v>1</v>
      </c>
      <c r="H41" s="95" t="str">
        <f aca="false">IF(G41=0,"空闲",IF(G41&lt;=0.6,"低负荷",IF(G41&lt;=0.85,"正常",IF(G41&lt;=1,"满负荷","超负荷"))))</f>
        <v>满负荷</v>
      </c>
      <c r="I41" s="98" t="s">
        <v>641</v>
      </c>
      <c r="J41" s="98"/>
      <c r="K41" s="98"/>
      <c r="L41" s="97" t="s">
        <v>642</v>
      </c>
    </row>
    <row r="42" customFormat="false" ht="48" hidden="false" customHeight="true" outlineLevel="0" collapsed="false">
      <c r="A42" s="91"/>
      <c r="B42" s="92" t="n">
        <v>46069</v>
      </c>
      <c r="C42" s="92" t="n">
        <v>46075</v>
      </c>
      <c r="D42" s="91" t="s">
        <v>638</v>
      </c>
      <c r="E42" s="91" t="n">
        <v>0</v>
      </c>
      <c r="F42" s="93" t="n">
        <v>0</v>
      </c>
      <c r="G42" s="94" t="n">
        <f aca="false">IFERROR(F42/INDEX($G$5:$G$34,MATCH(LOOKUP(2,1/($A$39:A42&lt;&gt;""),$A$39:A42),$A$5:$A$34,0)),0)</f>
        <v>0</v>
      </c>
      <c r="H42" s="95" t="str">
        <f aca="false">IF(G42=0,"空闲",IF(G42&lt;=0.6,"低负荷",IF(G42&lt;=0.85,"正常",IF(G42&lt;=1,"满负荷","超负荷"))))</f>
        <v>空闲</v>
      </c>
      <c r="I42" s="96" t="s">
        <v>638</v>
      </c>
      <c r="J42" s="96"/>
      <c r="K42" s="96"/>
      <c r="L42" s="97" t="s">
        <v>639</v>
      </c>
    </row>
    <row r="43" customFormat="false" ht="48" hidden="false" customHeight="true" outlineLevel="0" collapsed="false">
      <c r="A43" s="91"/>
      <c r="B43" s="92" t="n">
        <v>46076</v>
      </c>
      <c r="C43" s="92" t="n">
        <v>46082</v>
      </c>
      <c r="D43" s="91" t="s">
        <v>638</v>
      </c>
      <c r="E43" s="91" t="n">
        <v>0</v>
      </c>
      <c r="F43" s="93" t="n">
        <v>0</v>
      </c>
      <c r="G43" s="94" t="n">
        <f aca="false">IFERROR(F43/INDEX($G$5:$G$34,MATCH(LOOKUP(2,1/($A$39:A43&lt;&gt;""),$A$39:A43),$A$5:$A$34,0)),0)</f>
        <v>0</v>
      </c>
      <c r="H43" s="95" t="str">
        <f aca="false">IF(G43=0,"空闲",IF(G43&lt;=0.6,"低负荷",IF(G43&lt;=0.85,"正常",IF(G43&lt;=1,"满负荷","超负荷"))))</f>
        <v>空闲</v>
      </c>
      <c r="I43" s="96" t="s">
        <v>638</v>
      </c>
      <c r="J43" s="96"/>
      <c r="K43" s="96"/>
      <c r="L43" s="97" t="s">
        <v>639</v>
      </c>
    </row>
    <row r="44" customFormat="false" ht="48" hidden="false" customHeight="true" outlineLevel="0" collapsed="false">
      <c r="A44" s="91"/>
      <c r="B44" s="92" t="n">
        <v>46083</v>
      </c>
      <c r="C44" s="92" t="n">
        <v>46089</v>
      </c>
      <c r="D44" s="91" t="s">
        <v>638</v>
      </c>
      <c r="E44" s="91" t="n">
        <v>0</v>
      </c>
      <c r="F44" s="93" t="n">
        <v>0</v>
      </c>
      <c r="G44" s="94" t="n">
        <f aca="false">IFERROR(F44/INDEX($G$5:$G$34,MATCH(LOOKUP(2,1/($A$39:A44&lt;&gt;""),$A$39:A44),$A$5:$A$34,0)),0)</f>
        <v>0</v>
      </c>
      <c r="H44" s="95" t="str">
        <f aca="false">IF(G44=0,"空闲",IF(G44&lt;=0.6,"低负荷",IF(G44&lt;=0.85,"正常",IF(G44&lt;=1,"满负荷","超负荷"))))</f>
        <v>空闲</v>
      </c>
      <c r="I44" s="96" t="s">
        <v>638</v>
      </c>
      <c r="J44" s="96"/>
      <c r="K44" s="96"/>
      <c r="L44" s="97" t="s">
        <v>639</v>
      </c>
    </row>
    <row r="45" customFormat="false" ht="48" hidden="false" customHeight="true" outlineLevel="0" collapsed="false">
      <c r="A45" s="91"/>
      <c r="B45" s="92" t="n">
        <v>46090</v>
      </c>
      <c r="C45" s="92" t="n">
        <v>46096</v>
      </c>
      <c r="D45" s="91" t="s">
        <v>638</v>
      </c>
      <c r="E45" s="91" t="n">
        <v>0</v>
      </c>
      <c r="F45" s="93" t="n">
        <v>0</v>
      </c>
      <c r="G45" s="94" t="n">
        <f aca="false">IFERROR(F45/INDEX($G$5:$G$34,MATCH(LOOKUP(2,1/($A$39:A45&lt;&gt;""),$A$39:A45),$A$5:$A$34,0)),0)</f>
        <v>0</v>
      </c>
      <c r="H45" s="95" t="str">
        <f aca="false">IF(G45=0,"空闲",IF(G45&lt;=0.6,"低负荷",IF(G45&lt;=0.85,"正常",IF(G45&lt;=1,"满负荷","超负荷"))))</f>
        <v>空闲</v>
      </c>
      <c r="I45" s="96" t="s">
        <v>638</v>
      </c>
      <c r="J45" s="96"/>
      <c r="K45" s="96"/>
      <c r="L45" s="97" t="s">
        <v>639</v>
      </c>
    </row>
    <row r="46" customFormat="false" ht="48" hidden="false" customHeight="true" outlineLevel="0" collapsed="false">
      <c r="A46" s="91"/>
      <c r="B46" s="92" t="n">
        <v>46097</v>
      </c>
      <c r="C46" s="92" t="n">
        <v>46103</v>
      </c>
      <c r="D46" s="91" t="s">
        <v>638</v>
      </c>
      <c r="E46" s="91" t="n">
        <v>0</v>
      </c>
      <c r="F46" s="93" t="n">
        <v>0</v>
      </c>
      <c r="G46" s="94" t="n">
        <f aca="false">IFERROR(F46/INDEX($G$5:$G$34,MATCH(LOOKUP(2,1/($A$39:A46&lt;&gt;""),$A$39:A46),$A$5:$A$34,0)),0)</f>
        <v>0</v>
      </c>
      <c r="H46" s="95" t="str">
        <f aca="false">IF(G46=0,"空闲",IF(G46&lt;=0.6,"低负荷",IF(G46&lt;=0.85,"正常",IF(G46&lt;=1,"满负荷","超负荷"))))</f>
        <v>空闲</v>
      </c>
      <c r="I46" s="96" t="s">
        <v>638</v>
      </c>
      <c r="J46" s="96"/>
      <c r="K46" s="96"/>
      <c r="L46" s="97" t="s">
        <v>639</v>
      </c>
    </row>
    <row r="47" customFormat="false" ht="48" hidden="false" customHeight="true" outlineLevel="0" collapsed="false">
      <c r="A47" s="91"/>
      <c r="B47" s="92" t="n">
        <v>46104</v>
      </c>
      <c r="C47" s="92" t="n">
        <v>46110</v>
      </c>
      <c r="D47" s="91" t="s">
        <v>638</v>
      </c>
      <c r="E47" s="91" t="n">
        <v>0</v>
      </c>
      <c r="F47" s="93" t="n">
        <v>0</v>
      </c>
      <c r="G47" s="94" t="n">
        <f aca="false">IFERROR(F47/INDEX($G$5:$G$34,MATCH(LOOKUP(2,1/($A$39:A47&lt;&gt;""),$A$39:A47),$A$5:$A$34,0)),0)</f>
        <v>0</v>
      </c>
      <c r="H47" s="95" t="str">
        <f aca="false">IF(G47=0,"空闲",IF(G47&lt;=0.6,"低负荷",IF(G47&lt;=0.85,"正常",IF(G47&lt;=1,"满负荷","超负荷"))))</f>
        <v>空闲</v>
      </c>
      <c r="I47" s="96" t="s">
        <v>638</v>
      </c>
      <c r="J47" s="96"/>
      <c r="K47" s="96"/>
      <c r="L47" s="97" t="s">
        <v>639</v>
      </c>
    </row>
    <row r="48" customFormat="false" ht="48" hidden="false" customHeight="true" outlineLevel="0" collapsed="false">
      <c r="A48" s="91"/>
      <c r="B48" s="92" t="n">
        <v>46111</v>
      </c>
      <c r="C48" s="92" t="n">
        <v>46117</v>
      </c>
      <c r="D48" s="91" t="s">
        <v>638</v>
      </c>
      <c r="E48" s="91" t="n">
        <v>0</v>
      </c>
      <c r="F48" s="93" t="n">
        <v>0</v>
      </c>
      <c r="G48" s="94" t="n">
        <f aca="false">IFERROR(F48/INDEX($G$5:$G$34,MATCH(LOOKUP(2,1/($A$39:A48&lt;&gt;""),$A$39:A48),$A$5:$A$34,0)),0)</f>
        <v>0</v>
      </c>
      <c r="H48" s="95" t="str">
        <f aca="false">IF(G48=0,"空闲",IF(G48&lt;=0.6,"低负荷",IF(G48&lt;=0.85,"正常",IF(G48&lt;=1,"满负荷","超负荷"))))</f>
        <v>空闲</v>
      </c>
      <c r="I48" s="96" t="s">
        <v>638</v>
      </c>
      <c r="J48" s="96"/>
      <c r="K48" s="96"/>
      <c r="L48" s="97" t="s">
        <v>639</v>
      </c>
    </row>
    <row r="49" customFormat="false" ht="48" hidden="false" customHeight="true" outlineLevel="0" collapsed="false">
      <c r="A49" s="91"/>
      <c r="B49" s="92" t="n">
        <v>46118</v>
      </c>
      <c r="C49" s="92" t="n">
        <v>46124</v>
      </c>
      <c r="D49" s="91" t="s">
        <v>638</v>
      </c>
      <c r="E49" s="91" t="n">
        <v>0</v>
      </c>
      <c r="F49" s="93" t="n">
        <v>0</v>
      </c>
      <c r="G49" s="94" t="n">
        <f aca="false">IFERROR(F49/INDEX($G$5:$G$34,MATCH(LOOKUP(2,1/($A$39:A49&lt;&gt;""),$A$39:A49),$A$5:$A$34,0)),0)</f>
        <v>0</v>
      </c>
      <c r="H49" s="95" t="str">
        <f aca="false">IF(G49=0,"空闲",IF(G49&lt;=0.6,"低负荷",IF(G49&lt;=0.85,"正常",IF(G49&lt;=1,"满负荷","超负荷"))))</f>
        <v>空闲</v>
      </c>
      <c r="I49" s="96" t="s">
        <v>638</v>
      </c>
      <c r="J49" s="96"/>
      <c r="K49" s="96"/>
      <c r="L49" s="97" t="s">
        <v>639</v>
      </c>
    </row>
    <row r="50" customFormat="false" ht="48" hidden="false" customHeight="true" outlineLevel="0" collapsed="false">
      <c r="A50" s="91"/>
      <c r="B50" s="92" t="n">
        <v>46125</v>
      </c>
      <c r="C50" s="92" t="n">
        <v>46131</v>
      </c>
      <c r="D50" s="91" t="s">
        <v>638</v>
      </c>
      <c r="E50" s="91" t="n">
        <v>0</v>
      </c>
      <c r="F50" s="93" t="n">
        <v>0</v>
      </c>
      <c r="G50" s="94" t="n">
        <f aca="false">IFERROR(F50/INDEX($G$5:$G$34,MATCH(LOOKUP(2,1/($A$39:A50&lt;&gt;""),$A$39:A50),$A$5:$A$34,0)),0)</f>
        <v>0</v>
      </c>
      <c r="H50" s="95" t="str">
        <f aca="false">IF(G50=0,"空闲",IF(G50&lt;=0.6,"低负荷",IF(G50&lt;=0.85,"正常",IF(G50&lt;=1,"满负荷","超负荷"))))</f>
        <v>空闲</v>
      </c>
      <c r="I50" s="96" t="s">
        <v>638</v>
      </c>
      <c r="J50" s="96"/>
      <c r="K50" s="96"/>
      <c r="L50" s="97" t="s">
        <v>639</v>
      </c>
    </row>
    <row r="51" customFormat="false" ht="48" hidden="false" customHeight="true" outlineLevel="0" collapsed="false">
      <c r="A51" s="91"/>
      <c r="B51" s="92" t="n">
        <v>46132</v>
      </c>
      <c r="C51" s="92" t="n">
        <v>46138</v>
      </c>
      <c r="D51" s="91" t="s">
        <v>638</v>
      </c>
      <c r="E51" s="91" t="n">
        <v>0</v>
      </c>
      <c r="F51" s="93" t="n">
        <v>0</v>
      </c>
      <c r="G51" s="94" t="n">
        <f aca="false">IFERROR(F51/INDEX($G$5:$G$34,MATCH(LOOKUP(2,1/($A$39:A51&lt;&gt;""),$A$39:A51),$A$5:$A$34,0)),0)</f>
        <v>0</v>
      </c>
      <c r="H51" s="95" t="str">
        <f aca="false">IF(G51=0,"空闲",IF(G51&lt;=0.6,"低负荷",IF(G51&lt;=0.85,"正常",IF(G51&lt;=1,"满负荷","超负荷"))))</f>
        <v>空闲</v>
      </c>
      <c r="I51" s="96" t="s">
        <v>638</v>
      </c>
      <c r="J51" s="96"/>
      <c r="K51" s="96"/>
      <c r="L51" s="97" t="s">
        <v>639</v>
      </c>
    </row>
    <row r="52" customFormat="false" ht="48" hidden="false" customHeight="true" outlineLevel="0" collapsed="false">
      <c r="A52" s="91"/>
      <c r="B52" s="92" t="n">
        <v>46139</v>
      </c>
      <c r="C52" s="92" t="n">
        <v>46145</v>
      </c>
      <c r="D52" s="91" t="s">
        <v>638</v>
      </c>
      <c r="E52" s="91" t="n">
        <v>0</v>
      </c>
      <c r="F52" s="93" t="n">
        <v>0</v>
      </c>
      <c r="G52" s="94" t="n">
        <f aca="false">IFERROR(F52/INDEX($G$5:$G$34,MATCH(LOOKUP(2,1/($A$39:A52&lt;&gt;""),$A$39:A52),$A$5:$A$34,0)),0)</f>
        <v>0</v>
      </c>
      <c r="H52" s="95" t="str">
        <f aca="false">IF(G52=0,"空闲",IF(G52&lt;=0.6,"低负荷",IF(G52&lt;=0.85,"正常",IF(G52&lt;=1,"满负荷","超负荷"))))</f>
        <v>空闲</v>
      </c>
      <c r="I52" s="96" t="s">
        <v>638</v>
      </c>
      <c r="J52" s="96"/>
      <c r="K52" s="96"/>
      <c r="L52" s="97" t="s">
        <v>639</v>
      </c>
    </row>
    <row r="53" customFormat="false" ht="48" hidden="false" customHeight="true" outlineLevel="0" collapsed="false">
      <c r="A53" s="91"/>
      <c r="B53" s="92" t="n">
        <v>46146</v>
      </c>
      <c r="C53" s="92" t="n">
        <v>46152</v>
      </c>
      <c r="D53" s="91" t="s">
        <v>638</v>
      </c>
      <c r="E53" s="91" t="n">
        <v>0</v>
      </c>
      <c r="F53" s="93" t="n">
        <v>0</v>
      </c>
      <c r="G53" s="94" t="n">
        <f aca="false">IFERROR(F53/INDEX($G$5:$G$34,MATCH(LOOKUP(2,1/($A$39:A53&lt;&gt;""),$A$39:A53),$A$5:$A$34,0)),0)</f>
        <v>0</v>
      </c>
      <c r="H53" s="95" t="str">
        <f aca="false">IF(G53=0,"空闲",IF(G53&lt;=0.6,"低负荷",IF(G53&lt;=0.85,"正常",IF(G53&lt;=1,"满负荷","超负荷"))))</f>
        <v>空闲</v>
      </c>
      <c r="I53" s="96" t="s">
        <v>638</v>
      </c>
      <c r="J53" s="96"/>
      <c r="K53" s="96"/>
      <c r="L53" s="97" t="s">
        <v>639</v>
      </c>
    </row>
    <row r="54" customFormat="false" ht="48" hidden="false" customHeight="true" outlineLevel="0" collapsed="false">
      <c r="A54" s="91"/>
      <c r="B54" s="92" t="n">
        <v>46153</v>
      </c>
      <c r="C54" s="92" t="n">
        <v>46159</v>
      </c>
      <c r="D54" s="91" t="s">
        <v>638</v>
      </c>
      <c r="E54" s="91" t="n">
        <v>0</v>
      </c>
      <c r="F54" s="93" t="n">
        <v>0</v>
      </c>
      <c r="G54" s="94" t="n">
        <f aca="false">IFERROR(F54/INDEX($G$5:$G$34,MATCH(LOOKUP(2,1/($A$39:A54&lt;&gt;""),$A$39:A54),$A$5:$A$34,0)),0)</f>
        <v>0</v>
      </c>
      <c r="H54" s="95" t="str">
        <f aca="false">IF(G54=0,"空闲",IF(G54&lt;=0.6,"低负荷",IF(G54&lt;=0.85,"正常",IF(G54&lt;=1,"满负荷","超负荷"))))</f>
        <v>空闲</v>
      </c>
      <c r="I54" s="96" t="s">
        <v>638</v>
      </c>
      <c r="J54" s="96"/>
      <c r="K54" s="96"/>
      <c r="L54" s="97" t="s">
        <v>639</v>
      </c>
    </row>
    <row r="55" customFormat="false" ht="48" hidden="false" customHeight="true" outlineLevel="0" collapsed="false">
      <c r="A55" s="91"/>
      <c r="B55" s="92" t="n">
        <v>46160</v>
      </c>
      <c r="C55" s="92" t="n">
        <v>46166</v>
      </c>
      <c r="D55" s="91" t="s">
        <v>638</v>
      </c>
      <c r="E55" s="91" t="n">
        <v>0</v>
      </c>
      <c r="F55" s="93" t="n">
        <v>0</v>
      </c>
      <c r="G55" s="94" t="n">
        <f aca="false">IFERROR(F55/INDEX($G$5:$G$34,MATCH(LOOKUP(2,1/($A$39:A55&lt;&gt;""),$A$39:A55),$A$5:$A$34,0)),0)</f>
        <v>0</v>
      </c>
      <c r="H55" s="95" t="str">
        <f aca="false">IF(G55=0,"空闲",IF(G55&lt;=0.6,"低负荷",IF(G55&lt;=0.85,"正常",IF(G55&lt;=1,"满负荷","超负荷"))))</f>
        <v>空闲</v>
      </c>
      <c r="I55" s="96" t="s">
        <v>638</v>
      </c>
      <c r="J55" s="96"/>
      <c r="K55" s="96"/>
      <c r="L55" s="97" t="s">
        <v>639</v>
      </c>
    </row>
    <row r="56" customFormat="false" ht="48" hidden="false" customHeight="true" outlineLevel="0" collapsed="false">
      <c r="A56" s="91"/>
      <c r="B56" s="92" t="n">
        <v>46167</v>
      </c>
      <c r="C56" s="92" t="n">
        <v>46173</v>
      </c>
      <c r="D56" s="91" t="s">
        <v>638</v>
      </c>
      <c r="E56" s="91" t="n">
        <v>0</v>
      </c>
      <c r="F56" s="93" t="n">
        <v>0</v>
      </c>
      <c r="G56" s="94" t="n">
        <f aca="false">IFERROR(F56/INDEX($G$5:$G$34,MATCH(LOOKUP(2,1/($A$39:A56&lt;&gt;""),$A$39:A56),$A$5:$A$34,0)),0)</f>
        <v>0</v>
      </c>
      <c r="H56" s="95" t="str">
        <f aca="false">IF(G56=0,"空闲",IF(G56&lt;=0.6,"低负荷",IF(G56&lt;=0.85,"正常",IF(G56&lt;=1,"满负荷","超负荷"))))</f>
        <v>空闲</v>
      </c>
      <c r="I56" s="96" t="s">
        <v>638</v>
      </c>
      <c r="J56" s="96"/>
      <c r="K56" s="96"/>
      <c r="L56" s="97" t="s">
        <v>639</v>
      </c>
    </row>
    <row r="57" customFormat="false" ht="48" hidden="false" customHeight="true" outlineLevel="0" collapsed="false">
      <c r="A57" s="91"/>
      <c r="B57" s="92" t="n">
        <v>46174</v>
      </c>
      <c r="C57" s="92" t="n">
        <v>46180</v>
      </c>
      <c r="D57" s="91" t="s">
        <v>638</v>
      </c>
      <c r="E57" s="91" t="n">
        <v>0</v>
      </c>
      <c r="F57" s="93" t="n">
        <v>0</v>
      </c>
      <c r="G57" s="94" t="n">
        <f aca="false">IFERROR(F57/INDEX($G$5:$G$34,MATCH(LOOKUP(2,1/($A$39:A57&lt;&gt;""),$A$39:A57),$A$5:$A$34,0)),0)</f>
        <v>0</v>
      </c>
      <c r="H57" s="95" t="str">
        <f aca="false">IF(G57=0,"空闲",IF(G57&lt;=0.6,"低负荷",IF(G57&lt;=0.85,"正常",IF(G57&lt;=1,"满负荷","超负荷"))))</f>
        <v>空闲</v>
      </c>
      <c r="I57" s="96" t="s">
        <v>638</v>
      </c>
      <c r="J57" s="96"/>
      <c r="K57" s="96"/>
      <c r="L57" s="97" t="s">
        <v>639</v>
      </c>
    </row>
    <row r="58" customFormat="false" ht="48" hidden="false" customHeight="true" outlineLevel="0" collapsed="false">
      <c r="A58" s="91"/>
      <c r="B58" s="92" t="n">
        <v>46181</v>
      </c>
      <c r="C58" s="92" t="n">
        <v>46187</v>
      </c>
      <c r="D58" s="91" t="s">
        <v>638</v>
      </c>
      <c r="E58" s="91" t="n">
        <v>0</v>
      </c>
      <c r="F58" s="93" t="n">
        <v>0</v>
      </c>
      <c r="G58" s="94" t="n">
        <f aca="false">IFERROR(F58/INDEX($G$5:$G$34,MATCH(LOOKUP(2,1/($A$39:A58&lt;&gt;""),$A$39:A58),$A$5:$A$34,0)),0)</f>
        <v>0</v>
      </c>
      <c r="H58" s="95" t="str">
        <f aca="false">IF(G58=0,"空闲",IF(G58&lt;=0.6,"低负荷",IF(G58&lt;=0.85,"正常",IF(G58&lt;=1,"满负荷","超负荷"))))</f>
        <v>空闲</v>
      </c>
      <c r="I58" s="96" t="s">
        <v>638</v>
      </c>
      <c r="J58" s="96"/>
      <c r="K58" s="96"/>
      <c r="L58" s="97" t="s">
        <v>639</v>
      </c>
    </row>
    <row r="59" customFormat="false" ht="48" hidden="false" customHeight="true" outlineLevel="0" collapsed="false">
      <c r="A59" s="91"/>
      <c r="B59" s="92" t="n">
        <v>46188</v>
      </c>
      <c r="C59" s="92" t="n">
        <v>46194</v>
      </c>
      <c r="D59" s="91" t="s">
        <v>638</v>
      </c>
      <c r="E59" s="91" t="n">
        <v>0</v>
      </c>
      <c r="F59" s="93" t="n">
        <v>0</v>
      </c>
      <c r="G59" s="94" t="n">
        <f aca="false">IFERROR(F59/INDEX($G$5:$G$34,MATCH(LOOKUP(2,1/($A$39:A59&lt;&gt;""),$A$39:A59),$A$5:$A$34,0)),0)</f>
        <v>0</v>
      </c>
      <c r="H59" s="95" t="str">
        <f aca="false">IF(G59=0,"空闲",IF(G59&lt;=0.6,"低负荷",IF(G59&lt;=0.85,"正常",IF(G59&lt;=1,"满负荷","超负荷"))))</f>
        <v>空闲</v>
      </c>
      <c r="I59" s="96" t="s">
        <v>638</v>
      </c>
      <c r="J59" s="96"/>
      <c r="K59" s="96"/>
      <c r="L59" s="97" t="s">
        <v>639</v>
      </c>
    </row>
    <row r="60" customFormat="false" ht="48" hidden="false" customHeight="true" outlineLevel="0" collapsed="false">
      <c r="A60" s="91"/>
      <c r="B60" s="92" t="n">
        <v>46195</v>
      </c>
      <c r="C60" s="92" t="n">
        <v>46201</v>
      </c>
      <c r="D60" s="91" t="s">
        <v>638</v>
      </c>
      <c r="E60" s="91" t="n">
        <v>0</v>
      </c>
      <c r="F60" s="93" t="n">
        <v>0</v>
      </c>
      <c r="G60" s="94" t="n">
        <f aca="false">IFERROR(F60/INDEX($G$5:$G$34,MATCH(LOOKUP(2,1/($A$39:A60&lt;&gt;""),$A$39:A60),$A$5:$A$34,0)),0)</f>
        <v>0</v>
      </c>
      <c r="H60" s="95" t="str">
        <f aca="false">IF(G60=0,"空闲",IF(G60&lt;=0.6,"低负荷",IF(G60&lt;=0.85,"正常",IF(G60&lt;=1,"满负荷","超负荷"))))</f>
        <v>空闲</v>
      </c>
      <c r="I60" s="96" t="s">
        <v>638</v>
      </c>
      <c r="J60" s="96"/>
      <c r="K60" s="96"/>
      <c r="L60" s="97" t="s">
        <v>639</v>
      </c>
    </row>
    <row r="61" customFormat="false" ht="48" hidden="false" customHeight="true" outlineLevel="0" collapsed="false">
      <c r="A61" s="91"/>
      <c r="B61" s="92" t="n">
        <v>46202</v>
      </c>
      <c r="C61" s="92" t="n">
        <v>46208</v>
      </c>
      <c r="D61" s="91" t="s">
        <v>638</v>
      </c>
      <c r="E61" s="91" t="n">
        <v>0</v>
      </c>
      <c r="F61" s="93" t="n">
        <v>0</v>
      </c>
      <c r="G61" s="94" t="n">
        <f aca="false">IFERROR(F61/INDEX($G$5:$G$34,MATCH(LOOKUP(2,1/($A$39:A61&lt;&gt;""),$A$39:A61),$A$5:$A$34,0)),0)</f>
        <v>0</v>
      </c>
      <c r="H61" s="95" t="str">
        <f aca="false">IF(G61=0,"空闲",IF(G61&lt;=0.6,"低负荷",IF(G61&lt;=0.85,"正常",IF(G61&lt;=1,"满负荷","超负荷"))))</f>
        <v>空闲</v>
      </c>
      <c r="I61" s="96" t="s">
        <v>638</v>
      </c>
      <c r="J61" s="96"/>
      <c r="K61" s="96"/>
      <c r="L61" s="97" t="s">
        <v>639</v>
      </c>
    </row>
    <row r="62" customFormat="false" ht="48" hidden="false" customHeight="true" outlineLevel="0" collapsed="false">
      <c r="A62" s="91"/>
      <c r="B62" s="92" t="n">
        <v>46209</v>
      </c>
      <c r="C62" s="92" t="n">
        <v>46215</v>
      </c>
      <c r="D62" s="91" t="s">
        <v>638</v>
      </c>
      <c r="E62" s="91" t="n">
        <v>0</v>
      </c>
      <c r="F62" s="93" t="n">
        <v>0</v>
      </c>
      <c r="G62" s="94" t="n">
        <f aca="false">IFERROR(F62/INDEX($G$5:$G$34,MATCH(LOOKUP(2,1/($A$39:A62&lt;&gt;""),$A$39:A62),$A$5:$A$34,0)),0)</f>
        <v>0</v>
      </c>
      <c r="H62" s="95" t="str">
        <f aca="false">IF(G62=0,"空闲",IF(G62&lt;=0.6,"低负荷",IF(G62&lt;=0.85,"正常",IF(G62&lt;=1,"满负荷","超负荷"))))</f>
        <v>空闲</v>
      </c>
      <c r="I62" s="96" t="s">
        <v>638</v>
      </c>
      <c r="J62" s="96"/>
      <c r="K62" s="96"/>
      <c r="L62" s="97" t="s">
        <v>639</v>
      </c>
    </row>
    <row r="63" customFormat="false" ht="48" hidden="false" customHeight="true" outlineLevel="0" collapsed="false">
      <c r="A63" s="91"/>
      <c r="B63" s="92" t="n">
        <v>46216</v>
      </c>
      <c r="C63" s="92" t="n">
        <v>46222</v>
      </c>
      <c r="D63" s="91" t="s">
        <v>638</v>
      </c>
      <c r="E63" s="91" t="n">
        <v>0</v>
      </c>
      <c r="F63" s="93" t="n">
        <v>0</v>
      </c>
      <c r="G63" s="94" t="n">
        <f aca="false">IFERROR(F63/INDEX($G$5:$G$34,MATCH(LOOKUP(2,1/($A$39:A63&lt;&gt;""),$A$39:A63),$A$5:$A$34,0)),0)</f>
        <v>0</v>
      </c>
      <c r="H63" s="95" t="str">
        <f aca="false">IF(G63=0,"空闲",IF(G63&lt;=0.6,"低负荷",IF(G63&lt;=0.85,"正常",IF(G63&lt;=1,"满负荷","超负荷"))))</f>
        <v>空闲</v>
      </c>
      <c r="I63" s="96" t="s">
        <v>638</v>
      </c>
      <c r="J63" s="96"/>
      <c r="K63" s="96"/>
      <c r="L63" s="97" t="s">
        <v>639</v>
      </c>
    </row>
    <row r="64" customFormat="false" ht="48" hidden="false" customHeight="true" outlineLevel="0" collapsed="false">
      <c r="A64" s="91"/>
      <c r="B64" s="92" t="n">
        <v>46223</v>
      </c>
      <c r="C64" s="92" t="n">
        <v>46229</v>
      </c>
      <c r="D64" s="91" t="s">
        <v>638</v>
      </c>
      <c r="E64" s="91" t="n">
        <v>0</v>
      </c>
      <c r="F64" s="93" t="n">
        <v>0</v>
      </c>
      <c r="G64" s="94" t="n">
        <f aca="false">IFERROR(F64/INDEX($G$5:$G$34,MATCH(LOOKUP(2,1/($A$39:A64&lt;&gt;""),$A$39:A64),$A$5:$A$34,0)),0)</f>
        <v>0</v>
      </c>
      <c r="H64" s="95" t="str">
        <f aca="false">IF(G64=0,"空闲",IF(G64&lt;=0.6,"低负荷",IF(G64&lt;=0.85,"正常",IF(G64&lt;=1,"满负荷","超负荷"))))</f>
        <v>空闲</v>
      </c>
      <c r="I64" s="96" t="s">
        <v>638</v>
      </c>
      <c r="J64" s="96"/>
      <c r="K64" s="96"/>
      <c r="L64" s="97" t="s">
        <v>639</v>
      </c>
    </row>
    <row r="65" customFormat="false" ht="48" hidden="false" customHeight="true" outlineLevel="0" collapsed="false">
      <c r="A65" s="91"/>
      <c r="B65" s="92" t="n">
        <v>46230</v>
      </c>
      <c r="C65" s="92" t="n">
        <v>46236</v>
      </c>
      <c r="D65" s="91" t="s">
        <v>638</v>
      </c>
      <c r="E65" s="91" t="n">
        <v>0</v>
      </c>
      <c r="F65" s="93" t="n">
        <v>0</v>
      </c>
      <c r="G65" s="94" t="n">
        <f aca="false">IFERROR(F65/INDEX($G$5:$G$34,MATCH(LOOKUP(2,1/($A$39:A65&lt;&gt;""),$A$39:A65),$A$5:$A$34,0)),0)</f>
        <v>0</v>
      </c>
      <c r="H65" s="95" t="str">
        <f aca="false">IF(G65=0,"空闲",IF(G65&lt;=0.6,"低负荷",IF(G65&lt;=0.85,"正常",IF(G65&lt;=1,"满负荷","超负荷"))))</f>
        <v>空闲</v>
      </c>
      <c r="I65" s="96" t="s">
        <v>638</v>
      </c>
      <c r="J65" s="96"/>
      <c r="K65" s="96"/>
      <c r="L65" s="97" t="s">
        <v>639</v>
      </c>
    </row>
    <row r="66" customFormat="false" ht="48" hidden="false" customHeight="true" outlineLevel="0" collapsed="false">
      <c r="A66" s="91"/>
      <c r="B66" s="92" t="n">
        <v>46237</v>
      </c>
      <c r="C66" s="92" t="n">
        <v>46243</v>
      </c>
      <c r="D66" s="91" t="s">
        <v>640</v>
      </c>
      <c r="E66" s="91" t="n">
        <v>1</v>
      </c>
      <c r="F66" s="93" t="n">
        <v>40</v>
      </c>
      <c r="G66" s="94" t="n">
        <f aca="false">IFERROR(F66/INDEX($G$5:$G$34,MATCH(LOOKUP(2,1/($A$39:A66&lt;&gt;""),$A$39:A66),$A$5:$A$34,0)),0)</f>
        <v>1</v>
      </c>
      <c r="H66" s="95" t="str">
        <f aca="false">IF(G66=0,"空闲",IF(G66&lt;=0.6,"低负荷",IF(G66&lt;=0.85,"正常",IF(G66&lt;=1,"满负荷","超负荷"))))</f>
        <v>满负荷</v>
      </c>
      <c r="I66" s="98" t="s">
        <v>643</v>
      </c>
      <c r="J66" s="98"/>
      <c r="K66" s="98"/>
      <c r="L66" s="97" t="s">
        <v>642</v>
      </c>
    </row>
    <row r="67" customFormat="false" ht="48" hidden="false" customHeight="true" outlineLevel="0" collapsed="false">
      <c r="A67" s="91"/>
      <c r="B67" s="92" t="n">
        <v>46244</v>
      </c>
      <c r="C67" s="92" t="n">
        <v>46250</v>
      </c>
      <c r="D67" s="91" t="s">
        <v>640</v>
      </c>
      <c r="E67" s="91" t="n">
        <v>1</v>
      </c>
      <c r="F67" s="93" t="n">
        <v>40</v>
      </c>
      <c r="G67" s="94" t="n">
        <f aca="false">IFERROR(F67/INDEX($G$5:$G$34,MATCH(LOOKUP(2,1/($A$39:A67&lt;&gt;""),$A$39:A67),$A$5:$A$34,0)),0)</f>
        <v>1</v>
      </c>
      <c r="H67" s="95" t="str">
        <f aca="false">IF(G67=0,"空闲",IF(G67&lt;=0.6,"低负荷",IF(G67&lt;=0.85,"正常",IF(G67&lt;=1,"满负荷","超负荷"))))</f>
        <v>满负荷</v>
      </c>
      <c r="I67" s="98" t="s">
        <v>643</v>
      </c>
      <c r="J67" s="98"/>
      <c r="K67" s="98"/>
      <c r="L67" s="97" t="s">
        <v>642</v>
      </c>
    </row>
    <row r="68" customFormat="false" ht="48" hidden="false" customHeight="true" outlineLevel="0" collapsed="false">
      <c r="A68" s="91"/>
      <c r="B68" s="92" t="n">
        <v>46251</v>
      </c>
      <c r="C68" s="92" t="n">
        <v>46257</v>
      </c>
      <c r="D68" s="91" t="s">
        <v>640</v>
      </c>
      <c r="E68" s="91" t="n">
        <v>1</v>
      </c>
      <c r="F68" s="93" t="n">
        <v>40</v>
      </c>
      <c r="G68" s="94" t="n">
        <f aca="false">IFERROR(F68/INDEX($G$5:$G$34,MATCH(LOOKUP(2,1/($A$39:A68&lt;&gt;""),$A$39:A68),$A$5:$A$34,0)),0)</f>
        <v>1</v>
      </c>
      <c r="H68" s="95" t="str">
        <f aca="false">IF(G68=0,"空闲",IF(G68&lt;=0.6,"低负荷",IF(G68&lt;=0.85,"正常",IF(G68&lt;=1,"满负荷","超负荷"))))</f>
        <v>满负荷</v>
      </c>
      <c r="I68" s="98" t="s">
        <v>643</v>
      </c>
      <c r="J68" s="98"/>
      <c r="K68" s="98"/>
      <c r="L68" s="97" t="s">
        <v>642</v>
      </c>
    </row>
    <row r="69" customFormat="false" ht="48" hidden="false" customHeight="true" outlineLevel="0" collapsed="false">
      <c r="A69" s="91"/>
      <c r="B69" s="92" t="n">
        <v>46258</v>
      </c>
      <c r="C69" s="92" t="n">
        <v>46264</v>
      </c>
      <c r="D69" s="91" t="s">
        <v>640</v>
      </c>
      <c r="E69" s="91" t="n">
        <v>1</v>
      </c>
      <c r="F69" s="93" t="n">
        <v>40</v>
      </c>
      <c r="G69" s="94" t="n">
        <f aca="false">IFERROR(F69/INDEX($G$5:$G$34,MATCH(LOOKUP(2,1/($A$39:A69&lt;&gt;""),$A$39:A69),$A$5:$A$34,0)),0)</f>
        <v>1</v>
      </c>
      <c r="H69" s="95" t="str">
        <f aca="false">IF(G69=0,"空闲",IF(G69&lt;=0.6,"低负荷",IF(G69&lt;=0.85,"正常",IF(G69&lt;=1,"满负荷","超负荷"))))</f>
        <v>满负荷</v>
      </c>
      <c r="I69" s="98" t="s">
        <v>643</v>
      </c>
      <c r="J69" s="98"/>
      <c r="K69" s="98"/>
      <c r="L69" s="97" t="s">
        <v>642</v>
      </c>
    </row>
    <row r="70" customFormat="false" ht="48" hidden="false" customHeight="true" outlineLevel="0" collapsed="false">
      <c r="A70" s="91"/>
      <c r="B70" s="92" t="n">
        <v>46265</v>
      </c>
      <c r="C70" s="92" t="n">
        <v>46271</v>
      </c>
      <c r="D70" s="91" t="s">
        <v>640</v>
      </c>
      <c r="E70" s="91" t="n">
        <v>1</v>
      </c>
      <c r="F70" s="93" t="n">
        <v>40</v>
      </c>
      <c r="G70" s="94" t="n">
        <f aca="false">IFERROR(F70/INDEX($G$5:$G$34,MATCH(LOOKUP(2,1/($A$39:A70&lt;&gt;""),$A$39:A70),$A$5:$A$34,0)),0)</f>
        <v>1</v>
      </c>
      <c r="H70" s="95" t="str">
        <f aca="false">IF(G70=0,"空闲",IF(G70&lt;=0.6,"低负荷",IF(G70&lt;=0.85,"正常",IF(G70&lt;=1,"满负荷","超负荷"))))</f>
        <v>满负荷</v>
      </c>
      <c r="I70" s="98" t="s">
        <v>643</v>
      </c>
      <c r="J70" s="98"/>
      <c r="K70" s="98"/>
      <c r="L70" s="97" t="s">
        <v>642</v>
      </c>
    </row>
    <row r="71" customFormat="false" ht="48" hidden="false" customHeight="true" outlineLevel="0" collapsed="false">
      <c r="A71" s="91"/>
      <c r="B71" s="92" t="n">
        <v>46272</v>
      </c>
      <c r="C71" s="92" t="n">
        <v>46278</v>
      </c>
      <c r="D71" s="91" t="s">
        <v>640</v>
      </c>
      <c r="E71" s="91" t="n">
        <v>1</v>
      </c>
      <c r="F71" s="93" t="n">
        <v>40</v>
      </c>
      <c r="G71" s="94" t="n">
        <f aca="false">IFERROR(F71/INDEX($G$5:$G$34,MATCH(LOOKUP(2,1/($A$39:A71&lt;&gt;""),$A$39:A71),$A$5:$A$34,0)),0)</f>
        <v>1</v>
      </c>
      <c r="H71" s="95" t="str">
        <f aca="false">IF(G71=0,"空闲",IF(G71&lt;=0.6,"低负荷",IF(G71&lt;=0.85,"正常",IF(G71&lt;=1,"满负荷","超负荷"))))</f>
        <v>满负荷</v>
      </c>
      <c r="I71" s="98" t="s">
        <v>643</v>
      </c>
      <c r="J71" s="98"/>
      <c r="K71" s="98"/>
      <c r="L71" s="97" t="s">
        <v>642</v>
      </c>
    </row>
    <row r="72" customFormat="false" ht="48" hidden="false" customHeight="true" outlineLevel="0" collapsed="false">
      <c r="A72" s="91"/>
      <c r="B72" s="92" t="n">
        <v>46279</v>
      </c>
      <c r="C72" s="92" t="n">
        <v>46285</v>
      </c>
      <c r="D72" s="91" t="s">
        <v>640</v>
      </c>
      <c r="E72" s="91" t="n">
        <v>1</v>
      </c>
      <c r="F72" s="93" t="n">
        <v>40</v>
      </c>
      <c r="G72" s="94" t="n">
        <f aca="false">IFERROR(F72/INDEX($G$5:$G$34,MATCH(LOOKUP(2,1/($A$39:A72&lt;&gt;""),$A$39:A72),$A$5:$A$34,0)),0)</f>
        <v>1</v>
      </c>
      <c r="H72" s="95" t="str">
        <f aca="false">IF(G72=0,"空闲",IF(G72&lt;=0.6,"低负荷",IF(G72&lt;=0.85,"正常",IF(G72&lt;=1,"满负荷","超负荷"))))</f>
        <v>满负荷</v>
      </c>
      <c r="I72" s="98" t="s">
        <v>643</v>
      </c>
      <c r="J72" s="98"/>
      <c r="K72" s="98"/>
      <c r="L72" s="97" t="s">
        <v>642</v>
      </c>
    </row>
    <row r="73" customFormat="false" ht="48" hidden="false" customHeight="true" outlineLevel="0" collapsed="false">
      <c r="A73" s="91"/>
      <c r="B73" s="92" t="n">
        <v>46286</v>
      </c>
      <c r="C73" s="92" t="n">
        <v>46292</v>
      </c>
      <c r="D73" s="91" t="s">
        <v>638</v>
      </c>
      <c r="E73" s="91" t="n">
        <v>0</v>
      </c>
      <c r="F73" s="93" t="n">
        <v>0</v>
      </c>
      <c r="G73" s="94" t="n">
        <f aca="false">IFERROR(F73/INDEX($G$5:$G$34,MATCH(LOOKUP(2,1/($A$39:A73&lt;&gt;""),$A$39:A73),$A$5:$A$34,0)),0)</f>
        <v>0</v>
      </c>
      <c r="H73" s="95" t="str">
        <f aca="false">IF(G73=0,"空闲",IF(G73&lt;=0.6,"低负荷",IF(G73&lt;=0.85,"正常",IF(G73&lt;=1,"满负荷","超负荷"))))</f>
        <v>空闲</v>
      </c>
      <c r="I73" s="96" t="s">
        <v>638</v>
      </c>
      <c r="J73" s="96"/>
      <c r="K73" s="96"/>
      <c r="L73" s="97" t="s">
        <v>639</v>
      </c>
    </row>
    <row r="74" customFormat="false" ht="48" hidden="false" customHeight="true" outlineLevel="0" collapsed="false">
      <c r="A74" s="91"/>
      <c r="B74" s="92" t="n">
        <v>46293</v>
      </c>
      <c r="C74" s="92" t="n">
        <v>46299</v>
      </c>
      <c r="D74" s="91" t="s">
        <v>640</v>
      </c>
      <c r="E74" s="91" t="n">
        <v>1</v>
      </c>
      <c r="F74" s="93" t="n">
        <v>40</v>
      </c>
      <c r="G74" s="94" t="n">
        <f aca="false">IFERROR(F74/INDEX($G$5:$G$34,MATCH(LOOKUP(2,1/($A$39:A74&lt;&gt;""),$A$39:A74),$A$5:$A$34,0)),0)</f>
        <v>1</v>
      </c>
      <c r="H74" s="95" t="str">
        <f aca="false">IF(G74=0,"空闲",IF(G74&lt;=0.6,"低负荷",IF(G74&lt;=0.85,"正常",IF(G74&lt;=1,"满负荷","超负荷"))))</f>
        <v>满负荷</v>
      </c>
      <c r="I74" s="98" t="s">
        <v>644</v>
      </c>
      <c r="J74" s="98"/>
      <c r="K74" s="98"/>
      <c r="L74" s="97" t="s">
        <v>642</v>
      </c>
    </row>
    <row r="75" customFormat="false" ht="48" hidden="false" customHeight="true" outlineLevel="0" collapsed="false">
      <c r="A75" s="91"/>
      <c r="B75" s="92" t="n">
        <v>46300</v>
      </c>
      <c r="C75" s="92" t="n">
        <v>46306</v>
      </c>
      <c r="D75" s="91" t="s">
        <v>640</v>
      </c>
      <c r="E75" s="91" t="n">
        <v>1</v>
      </c>
      <c r="F75" s="93" t="n">
        <v>40</v>
      </c>
      <c r="G75" s="94" t="n">
        <f aca="false">IFERROR(F75/INDEX($G$5:$G$34,MATCH(LOOKUP(2,1/($A$39:A75&lt;&gt;""),$A$39:A75),$A$5:$A$34,0)),0)</f>
        <v>1</v>
      </c>
      <c r="H75" s="95" t="str">
        <f aca="false">IF(G75=0,"空闲",IF(G75&lt;=0.6,"低负荷",IF(G75&lt;=0.85,"正常",IF(G75&lt;=1,"满负荷","超负荷"))))</f>
        <v>满负荷</v>
      </c>
      <c r="I75" s="98" t="s">
        <v>645</v>
      </c>
      <c r="J75" s="98"/>
      <c r="K75" s="98"/>
      <c r="L75" s="97" t="s">
        <v>642</v>
      </c>
    </row>
    <row r="76" customFormat="false" ht="48" hidden="false" customHeight="true" outlineLevel="0" collapsed="false">
      <c r="A76" s="91"/>
      <c r="B76" s="92" t="n">
        <v>46307</v>
      </c>
      <c r="C76" s="92" t="n">
        <v>46313</v>
      </c>
      <c r="D76" s="91" t="s">
        <v>640</v>
      </c>
      <c r="E76" s="91" t="n">
        <v>1</v>
      </c>
      <c r="F76" s="93" t="n">
        <v>40</v>
      </c>
      <c r="G76" s="94" t="n">
        <f aca="false">IFERROR(F76/INDEX($G$5:$G$34,MATCH(LOOKUP(2,1/($A$39:A76&lt;&gt;""),$A$39:A76),$A$5:$A$34,0)),0)</f>
        <v>1</v>
      </c>
      <c r="H76" s="95" t="str">
        <f aca="false">IF(G76=0,"空闲",IF(G76&lt;=0.6,"低负荷",IF(G76&lt;=0.85,"正常",IF(G76&lt;=1,"满负荷","超负荷"))))</f>
        <v>满负荷</v>
      </c>
      <c r="I76" s="98" t="s">
        <v>646</v>
      </c>
      <c r="J76" s="98"/>
      <c r="K76" s="98"/>
      <c r="L76" s="97" t="s">
        <v>642</v>
      </c>
    </row>
    <row r="77" customFormat="false" ht="48" hidden="false" customHeight="true" outlineLevel="0" collapsed="false">
      <c r="A77" s="91"/>
      <c r="B77" s="92" t="n">
        <v>46314</v>
      </c>
      <c r="C77" s="92" t="n">
        <v>46320</v>
      </c>
      <c r="D77" s="91" t="s">
        <v>640</v>
      </c>
      <c r="E77" s="91" t="n">
        <v>1</v>
      </c>
      <c r="F77" s="93" t="n">
        <v>40</v>
      </c>
      <c r="G77" s="94" t="n">
        <f aca="false">IFERROR(F77/INDEX($G$5:$G$34,MATCH(LOOKUP(2,1/($A$39:A77&lt;&gt;""),$A$39:A77),$A$5:$A$34,0)),0)</f>
        <v>1</v>
      </c>
      <c r="H77" s="95" t="str">
        <f aca="false">IF(G77=0,"空闲",IF(G77&lt;=0.6,"低负荷",IF(G77&lt;=0.85,"正常",IF(G77&lt;=1,"满负荷","超负荷"))))</f>
        <v>满负荷</v>
      </c>
      <c r="I77" s="98" t="s">
        <v>647</v>
      </c>
      <c r="J77" s="98"/>
      <c r="K77" s="98"/>
      <c r="L77" s="97" t="s">
        <v>642</v>
      </c>
    </row>
    <row r="78" customFormat="false" ht="48" hidden="false" customHeight="true" outlineLevel="0" collapsed="false">
      <c r="A78" s="91"/>
      <c r="B78" s="92" t="n">
        <v>46321</v>
      </c>
      <c r="C78" s="92" t="n">
        <v>46327</v>
      </c>
      <c r="D78" s="91" t="s">
        <v>638</v>
      </c>
      <c r="E78" s="91" t="n">
        <v>0</v>
      </c>
      <c r="F78" s="93" t="n">
        <v>0</v>
      </c>
      <c r="G78" s="94" t="n">
        <f aca="false">IFERROR(F78/INDEX($G$5:$G$34,MATCH(LOOKUP(2,1/($A$39:A78&lt;&gt;""),$A$39:A78),$A$5:$A$34,0)),0)</f>
        <v>0</v>
      </c>
      <c r="H78" s="95" t="str">
        <f aca="false">IF(G78=0,"空闲",IF(G78&lt;=0.6,"低负荷",IF(G78&lt;=0.85,"正常",IF(G78&lt;=1,"满负荷","超负荷"))))</f>
        <v>空闲</v>
      </c>
      <c r="I78" s="96" t="s">
        <v>638</v>
      </c>
      <c r="J78" s="96"/>
      <c r="K78" s="96"/>
      <c r="L78" s="97" t="s">
        <v>639</v>
      </c>
    </row>
    <row r="79" customFormat="false" ht="48" hidden="false" customHeight="true" outlineLevel="0" collapsed="false">
      <c r="A79" s="91"/>
      <c r="B79" s="92" t="n">
        <v>46328</v>
      </c>
      <c r="C79" s="92" t="n">
        <v>46334</v>
      </c>
      <c r="D79" s="91" t="s">
        <v>638</v>
      </c>
      <c r="E79" s="91" t="n">
        <v>0</v>
      </c>
      <c r="F79" s="93" t="n">
        <v>0</v>
      </c>
      <c r="G79" s="94" t="n">
        <f aca="false">IFERROR(F79/INDEX($G$5:$G$34,MATCH(LOOKUP(2,1/($A$39:A79&lt;&gt;""),$A$39:A79),$A$5:$A$34,0)),0)</f>
        <v>0</v>
      </c>
      <c r="H79" s="95" t="str">
        <f aca="false">IF(G79=0,"空闲",IF(G79&lt;=0.6,"低负荷",IF(G79&lt;=0.85,"正常",IF(G79&lt;=1,"满负荷","超负荷"))))</f>
        <v>空闲</v>
      </c>
      <c r="I79" s="96" t="s">
        <v>638</v>
      </c>
      <c r="J79" s="96"/>
      <c r="K79" s="96"/>
      <c r="L79" s="97" t="s">
        <v>639</v>
      </c>
    </row>
    <row r="80" customFormat="false" ht="48" hidden="false" customHeight="true" outlineLevel="0" collapsed="false">
      <c r="A80" s="91"/>
      <c r="B80" s="92" t="n">
        <v>46335</v>
      </c>
      <c r="C80" s="92" t="n">
        <v>46341</v>
      </c>
      <c r="D80" s="91" t="s">
        <v>638</v>
      </c>
      <c r="E80" s="91" t="n">
        <v>0</v>
      </c>
      <c r="F80" s="93" t="n">
        <v>0</v>
      </c>
      <c r="G80" s="94" t="n">
        <f aca="false">IFERROR(F80/INDEX($G$5:$G$34,MATCH(LOOKUP(2,1/($A$39:A80&lt;&gt;""),$A$39:A80),$A$5:$A$34,0)),0)</f>
        <v>0</v>
      </c>
      <c r="H80" s="95" t="str">
        <f aca="false">IF(G80=0,"空闲",IF(G80&lt;=0.6,"低负荷",IF(G80&lt;=0.85,"正常",IF(G80&lt;=1,"满负荷","超负荷"))))</f>
        <v>空闲</v>
      </c>
      <c r="I80" s="96" t="s">
        <v>638</v>
      </c>
      <c r="J80" s="96"/>
      <c r="K80" s="96"/>
      <c r="L80" s="97" t="s">
        <v>639</v>
      </c>
    </row>
    <row r="81" customFormat="false" ht="48" hidden="false" customHeight="true" outlineLevel="0" collapsed="false">
      <c r="A81" s="91"/>
      <c r="B81" s="92" t="n">
        <v>46342</v>
      </c>
      <c r="C81" s="92" t="n">
        <v>46348</v>
      </c>
      <c r="D81" s="91" t="s">
        <v>638</v>
      </c>
      <c r="E81" s="91" t="n">
        <v>0</v>
      </c>
      <c r="F81" s="93" t="n">
        <v>0</v>
      </c>
      <c r="G81" s="94" t="n">
        <f aca="false">IFERROR(F81/INDEX($G$5:$G$34,MATCH(LOOKUP(2,1/($A$39:A81&lt;&gt;""),$A$39:A81),$A$5:$A$34,0)),0)</f>
        <v>0</v>
      </c>
      <c r="H81" s="95" t="str">
        <f aca="false">IF(G81=0,"空闲",IF(G81&lt;=0.6,"低负荷",IF(G81&lt;=0.85,"正常",IF(G81&lt;=1,"满负荷","超负荷"))))</f>
        <v>空闲</v>
      </c>
      <c r="I81" s="96" t="s">
        <v>638</v>
      </c>
      <c r="J81" s="96"/>
      <c r="K81" s="96"/>
      <c r="L81" s="97" t="s">
        <v>639</v>
      </c>
    </row>
    <row r="82" customFormat="false" ht="48" hidden="false" customHeight="true" outlineLevel="0" collapsed="false">
      <c r="A82" s="91"/>
      <c r="B82" s="92" t="n">
        <v>46349</v>
      </c>
      <c r="C82" s="92" t="n">
        <v>46355</v>
      </c>
      <c r="D82" s="91" t="s">
        <v>638</v>
      </c>
      <c r="E82" s="91" t="n">
        <v>0</v>
      </c>
      <c r="F82" s="93" t="n">
        <v>0</v>
      </c>
      <c r="G82" s="94" t="n">
        <f aca="false">IFERROR(F82/INDEX($G$5:$G$34,MATCH(LOOKUP(2,1/($A$39:A82&lt;&gt;""),$A$39:A82),$A$5:$A$34,0)),0)</f>
        <v>0</v>
      </c>
      <c r="H82" s="95" t="str">
        <f aca="false">IF(G82=0,"空闲",IF(G82&lt;=0.6,"低负荷",IF(G82&lt;=0.85,"正常",IF(G82&lt;=1,"满负荷","超负荷"))))</f>
        <v>空闲</v>
      </c>
      <c r="I82" s="96" t="s">
        <v>638</v>
      </c>
      <c r="J82" s="96"/>
      <c r="K82" s="96"/>
      <c r="L82" s="97" t="s">
        <v>639</v>
      </c>
    </row>
    <row r="83" customFormat="false" ht="48" hidden="false" customHeight="true" outlineLevel="0" collapsed="false">
      <c r="A83" s="91"/>
      <c r="B83" s="92" t="n">
        <v>46356</v>
      </c>
      <c r="C83" s="92" t="n">
        <v>46362</v>
      </c>
      <c r="D83" s="91" t="s">
        <v>638</v>
      </c>
      <c r="E83" s="91" t="n">
        <v>0</v>
      </c>
      <c r="F83" s="93" t="n">
        <v>0</v>
      </c>
      <c r="G83" s="94" t="n">
        <f aca="false">IFERROR(F83/INDEX($G$5:$G$34,MATCH(LOOKUP(2,1/($A$39:A83&lt;&gt;""),$A$39:A83),$A$5:$A$34,0)),0)</f>
        <v>0</v>
      </c>
      <c r="H83" s="95" t="str">
        <f aca="false">IF(G83=0,"空闲",IF(G83&lt;=0.6,"低负荷",IF(G83&lt;=0.85,"正常",IF(G83&lt;=1,"满负荷","超负荷"))))</f>
        <v>空闲</v>
      </c>
      <c r="I83" s="96" t="s">
        <v>638</v>
      </c>
      <c r="J83" s="96"/>
      <c r="K83" s="96"/>
      <c r="L83" s="97" t="s">
        <v>639</v>
      </c>
    </row>
    <row r="84" customFormat="false" ht="48" hidden="false" customHeight="true" outlineLevel="0" collapsed="false">
      <c r="A84" s="91"/>
      <c r="B84" s="92" t="n">
        <v>46363</v>
      </c>
      <c r="C84" s="92" t="n">
        <v>46369</v>
      </c>
      <c r="D84" s="91" t="s">
        <v>638</v>
      </c>
      <c r="E84" s="91" t="n">
        <v>0</v>
      </c>
      <c r="F84" s="93" t="n">
        <v>0</v>
      </c>
      <c r="G84" s="94" t="n">
        <f aca="false">IFERROR(F84/INDEX($G$5:$G$34,MATCH(LOOKUP(2,1/($A$39:A84&lt;&gt;""),$A$39:A84),$A$5:$A$34,0)),0)</f>
        <v>0</v>
      </c>
      <c r="H84" s="95" t="str">
        <f aca="false">IF(G84=0,"空闲",IF(G84&lt;=0.6,"低负荷",IF(G84&lt;=0.85,"正常",IF(G84&lt;=1,"满负荷","超负荷"))))</f>
        <v>空闲</v>
      </c>
      <c r="I84" s="96" t="s">
        <v>638</v>
      </c>
      <c r="J84" s="96"/>
      <c r="K84" s="96"/>
      <c r="L84" s="97" t="s">
        <v>639</v>
      </c>
    </row>
    <row r="85" customFormat="false" ht="48" hidden="false" customHeight="true" outlineLevel="0" collapsed="false">
      <c r="A85" s="91"/>
      <c r="B85" s="92" t="n">
        <v>46370</v>
      </c>
      <c r="C85" s="92" t="n">
        <v>46376</v>
      </c>
      <c r="D85" s="91" t="s">
        <v>638</v>
      </c>
      <c r="E85" s="91" t="n">
        <v>0</v>
      </c>
      <c r="F85" s="93" t="n">
        <v>0</v>
      </c>
      <c r="G85" s="94" t="n">
        <f aca="false">IFERROR(F85/INDEX($G$5:$G$34,MATCH(LOOKUP(2,1/($A$39:A85&lt;&gt;""),$A$39:A85),$A$5:$A$34,0)),0)</f>
        <v>0</v>
      </c>
      <c r="H85" s="95" t="str">
        <f aca="false">IF(G85=0,"空闲",IF(G85&lt;=0.6,"低负荷",IF(G85&lt;=0.85,"正常",IF(G85&lt;=1,"满负荷","超负荷"))))</f>
        <v>空闲</v>
      </c>
      <c r="I85" s="96" t="s">
        <v>638</v>
      </c>
      <c r="J85" s="96"/>
      <c r="K85" s="96"/>
      <c r="L85" s="97" t="s">
        <v>639</v>
      </c>
    </row>
    <row r="86" customFormat="false" ht="48" hidden="false" customHeight="true" outlineLevel="0" collapsed="false">
      <c r="A86" s="91"/>
      <c r="B86" s="92" t="n">
        <v>46377</v>
      </c>
      <c r="C86" s="92" t="n">
        <v>46383</v>
      </c>
      <c r="D86" s="91" t="s">
        <v>638</v>
      </c>
      <c r="E86" s="91" t="n">
        <v>0</v>
      </c>
      <c r="F86" s="93" t="n">
        <v>0</v>
      </c>
      <c r="G86" s="94" t="n">
        <f aca="false">IFERROR(F86/INDEX($G$5:$G$34,MATCH(LOOKUP(2,1/($A$39:A86&lt;&gt;""),$A$39:A86),$A$5:$A$34,0)),0)</f>
        <v>0</v>
      </c>
      <c r="H86" s="95" t="str">
        <f aca="false">IF(G86=0,"空闲",IF(G86&lt;=0.6,"低负荷",IF(G86&lt;=0.85,"正常",IF(G86&lt;=1,"满负荷","超负荷"))))</f>
        <v>空闲</v>
      </c>
      <c r="I86" s="96" t="s">
        <v>638</v>
      </c>
      <c r="J86" s="96"/>
      <c r="K86" s="96"/>
      <c r="L86" s="97" t="s">
        <v>639</v>
      </c>
    </row>
    <row r="87" customFormat="false" ht="48" hidden="false" customHeight="true" outlineLevel="0" collapsed="false">
      <c r="A87" s="91"/>
      <c r="B87" s="92" t="n">
        <v>46384</v>
      </c>
      <c r="C87" s="92" t="n">
        <v>46390</v>
      </c>
      <c r="D87" s="91" t="s">
        <v>638</v>
      </c>
      <c r="E87" s="91" t="n">
        <v>0</v>
      </c>
      <c r="F87" s="93" t="n">
        <v>0</v>
      </c>
      <c r="G87" s="94" t="n">
        <f aca="false">IFERROR(F87/INDEX($G$5:$G$34,MATCH(LOOKUP(2,1/($A$39:A87&lt;&gt;""),$A$39:A87),$A$5:$A$34,0)),0)</f>
        <v>0</v>
      </c>
      <c r="H87" s="95" t="str">
        <f aca="false">IF(G87=0,"空闲",IF(G87&lt;=0.6,"低负荷",IF(G87&lt;=0.85,"正常",IF(G87&lt;=1,"满负荷","超负荷"))))</f>
        <v>空闲</v>
      </c>
      <c r="I87" s="96" t="s">
        <v>638</v>
      </c>
      <c r="J87" s="96"/>
      <c r="K87" s="96"/>
      <c r="L87" s="97" t="s">
        <v>639</v>
      </c>
    </row>
    <row r="88" customFormat="false" ht="48" hidden="false" customHeight="true" outlineLevel="0" collapsed="false">
      <c r="A88" s="91"/>
      <c r="B88" s="92" t="n">
        <v>46391</v>
      </c>
      <c r="C88" s="92" t="n">
        <v>46397</v>
      </c>
      <c r="D88" s="91" t="s">
        <v>638</v>
      </c>
      <c r="E88" s="91" t="n">
        <v>0</v>
      </c>
      <c r="F88" s="93" t="n">
        <v>0</v>
      </c>
      <c r="G88" s="94" t="n">
        <f aca="false">IFERROR(F88/INDEX($G$5:$G$34,MATCH(LOOKUP(2,1/($A$39:A88&lt;&gt;""),$A$39:A88),$A$5:$A$34,0)),0)</f>
        <v>0</v>
      </c>
      <c r="H88" s="95" t="str">
        <f aca="false">IF(G88=0,"空闲",IF(G88&lt;=0.6,"低负荷",IF(G88&lt;=0.85,"正常",IF(G88&lt;=1,"满负荷","超负荷"))))</f>
        <v>空闲</v>
      </c>
      <c r="I88" s="96" t="s">
        <v>638</v>
      </c>
      <c r="J88" s="96"/>
      <c r="K88" s="96"/>
      <c r="L88" s="97" t="s">
        <v>639</v>
      </c>
    </row>
    <row r="89" customFormat="false" ht="48" hidden="false" customHeight="true" outlineLevel="0" collapsed="false">
      <c r="A89" s="91"/>
      <c r="B89" s="92" t="n">
        <v>46398</v>
      </c>
      <c r="C89" s="92" t="n">
        <v>46404</v>
      </c>
      <c r="D89" s="91" t="s">
        <v>638</v>
      </c>
      <c r="E89" s="91" t="n">
        <v>0</v>
      </c>
      <c r="F89" s="93" t="n">
        <v>0</v>
      </c>
      <c r="G89" s="94" t="n">
        <f aca="false">IFERROR(F89/INDEX($G$5:$G$34,MATCH(LOOKUP(2,1/($A$39:A89&lt;&gt;""),$A$39:A89),$A$5:$A$34,0)),0)</f>
        <v>0</v>
      </c>
      <c r="H89" s="95" t="str">
        <f aca="false">IF(G89=0,"空闲",IF(G89&lt;=0.6,"低负荷",IF(G89&lt;=0.85,"正常",IF(G89&lt;=1,"满负荷","超负荷"))))</f>
        <v>空闲</v>
      </c>
      <c r="I89" s="96" t="s">
        <v>638</v>
      </c>
      <c r="J89" s="96"/>
      <c r="K89" s="96"/>
      <c r="L89" s="97" t="s">
        <v>639</v>
      </c>
    </row>
    <row r="90" customFormat="false" ht="48" hidden="false" customHeight="true" outlineLevel="0" collapsed="false">
      <c r="A90" s="91"/>
      <c r="B90" s="92" t="n">
        <v>46405</v>
      </c>
      <c r="C90" s="92" t="n">
        <v>46411</v>
      </c>
      <c r="D90" s="91" t="s">
        <v>638</v>
      </c>
      <c r="E90" s="91" t="n">
        <v>0</v>
      </c>
      <c r="F90" s="93" t="n">
        <v>0</v>
      </c>
      <c r="G90" s="94" t="n">
        <f aca="false">IFERROR(F90/INDEX($G$5:$G$34,MATCH(LOOKUP(2,1/($A$39:A90&lt;&gt;""),$A$39:A90),$A$5:$A$34,0)),0)</f>
        <v>0</v>
      </c>
      <c r="H90" s="95" t="str">
        <f aca="false">IF(G90=0,"空闲",IF(G90&lt;=0.6,"低负荷",IF(G90&lt;=0.85,"正常",IF(G90&lt;=1,"满负荷","超负荷"))))</f>
        <v>空闲</v>
      </c>
      <c r="I90" s="96" t="s">
        <v>638</v>
      </c>
      <c r="J90" s="96"/>
      <c r="K90" s="96"/>
      <c r="L90" s="97" t="s">
        <v>639</v>
      </c>
    </row>
    <row r="91" customFormat="false" ht="48" hidden="false" customHeight="true" outlineLevel="0" collapsed="false">
      <c r="A91" s="91"/>
      <c r="B91" s="92" t="n">
        <v>46412</v>
      </c>
      <c r="C91" s="92" t="n">
        <v>46418</v>
      </c>
      <c r="D91" s="91" t="s">
        <v>638</v>
      </c>
      <c r="E91" s="91" t="n">
        <v>0</v>
      </c>
      <c r="F91" s="93" t="n">
        <v>0</v>
      </c>
      <c r="G91" s="94" t="n">
        <f aca="false">IFERROR(F91/INDEX($G$5:$G$34,MATCH(LOOKUP(2,1/($A$39:A91&lt;&gt;""),$A$39:A91),$A$5:$A$34,0)),0)</f>
        <v>0</v>
      </c>
      <c r="H91" s="95" t="str">
        <f aca="false">IF(G91=0,"空闲",IF(G91&lt;=0.6,"低负荷",IF(G91&lt;=0.85,"正常",IF(G91&lt;=1,"满负荷","超负荷"))))</f>
        <v>空闲</v>
      </c>
      <c r="I91" s="96" t="s">
        <v>638</v>
      </c>
      <c r="J91" s="96"/>
      <c r="K91" s="96"/>
      <c r="L91" s="97" t="s">
        <v>639</v>
      </c>
    </row>
    <row r="92" customFormat="false" ht="48" hidden="false" customHeight="true" outlineLevel="0" collapsed="false">
      <c r="A92" s="91"/>
      <c r="B92" s="92" t="n">
        <v>46419</v>
      </c>
      <c r="C92" s="92" t="n">
        <v>46425</v>
      </c>
      <c r="D92" s="91" t="s">
        <v>638</v>
      </c>
      <c r="E92" s="91" t="n">
        <v>0</v>
      </c>
      <c r="F92" s="93" t="n">
        <v>0</v>
      </c>
      <c r="G92" s="94" t="n">
        <f aca="false">IFERROR(F92/INDEX($G$5:$G$34,MATCH(LOOKUP(2,1/($A$39:A92&lt;&gt;""),$A$39:A92),$A$5:$A$34,0)),0)</f>
        <v>0</v>
      </c>
      <c r="H92" s="95" t="str">
        <f aca="false">IF(G92=0,"空闲",IF(G92&lt;=0.6,"低负荷",IF(G92&lt;=0.85,"正常",IF(G92&lt;=1,"满负荷","超负荷"))))</f>
        <v>空闲</v>
      </c>
      <c r="I92" s="96" t="s">
        <v>638</v>
      </c>
      <c r="J92" s="96"/>
      <c r="K92" s="96"/>
      <c r="L92" s="97" t="s">
        <v>639</v>
      </c>
    </row>
    <row r="93" customFormat="false" ht="48" hidden="false" customHeight="true" outlineLevel="0" collapsed="false">
      <c r="A93" s="91"/>
      <c r="B93" s="92" t="n">
        <v>46426</v>
      </c>
      <c r="C93" s="92" t="n">
        <v>46432</v>
      </c>
      <c r="D93" s="91" t="s">
        <v>638</v>
      </c>
      <c r="E93" s="91" t="n">
        <v>0</v>
      </c>
      <c r="F93" s="93" t="n">
        <v>0</v>
      </c>
      <c r="G93" s="94" t="n">
        <f aca="false">IFERROR(F93/INDEX($G$5:$G$34,MATCH(LOOKUP(2,1/($A$39:A93&lt;&gt;""),$A$39:A93),$A$5:$A$34,0)),0)</f>
        <v>0</v>
      </c>
      <c r="H93" s="95" t="str">
        <f aca="false">IF(G93=0,"空闲",IF(G93&lt;=0.6,"低负荷",IF(G93&lt;=0.85,"正常",IF(G93&lt;=1,"满负荷","超负荷"))))</f>
        <v>空闲</v>
      </c>
      <c r="I93" s="96" t="s">
        <v>638</v>
      </c>
      <c r="J93" s="96"/>
      <c r="K93" s="96"/>
      <c r="L93" s="97" t="s">
        <v>639</v>
      </c>
    </row>
    <row r="94" customFormat="false" ht="48" hidden="false" customHeight="true" outlineLevel="0" collapsed="false">
      <c r="A94" s="91"/>
      <c r="B94" s="92" t="n">
        <v>46433</v>
      </c>
      <c r="C94" s="92" t="n">
        <v>46439</v>
      </c>
      <c r="D94" s="91" t="s">
        <v>638</v>
      </c>
      <c r="E94" s="91" t="n">
        <v>0</v>
      </c>
      <c r="F94" s="93" t="n">
        <v>0</v>
      </c>
      <c r="G94" s="94" t="n">
        <f aca="false">IFERROR(F94/INDEX($G$5:$G$34,MATCH(LOOKUP(2,1/($A$39:A94&lt;&gt;""),$A$39:A94),$A$5:$A$34,0)),0)</f>
        <v>0</v>
      </c>
      <c r="H94" s="95" t="str">
        <f aca="false">IF(G94=0,"空闲",IF(G94&lt;=0.6,"低负荷",IF(G94&lt;=0.85,"正常",IF(G94&lt;=1,"满负荷","超负荷"))))</f>
        <v>空闲</v>
      </c>
      <c r="I94" s="96" t="s">
        <v>638</v>
      </c>
      <c r="J94" s="96"/>
      <c r="K94" s="96"/>
      <c r="L94" s="97" t="s">
        <v>639</v>
      </c>
    </row>
    <row r="95" customFormat="false" ht="48" hidden="false" customHeight="true" outlineLevel="0" collapsed="false">
      <c r="A95" s="91"/>
      <c r="B95" s="92" t="n">
        <v>46440</v>
      </c>
      <c r="C95" s="92" t="n">
        <v>46446</v>
      </c>
      <c r="D95" s="91" t="s">
        <v>638</v>
      </c>
      <c r="E95" s="91" t="n">
        <v>0</v>
      </c>
      <c r="F95" s="93" t="n">
        <v>0</v>
      </c>
      <c r="G95" s="94" t="n">
        <f aca="false">IFERROR(F95/INDEX($G$5:$G$34,MATCH(LOOKUP(2,1/($A$39:A95&lt;&gt;""),$A$39:A95),$A$5:$A$34,0)),0)</f>
        <v>0</v>
      </c>
      <c r="H95" s="95" t="str">
        <f aca="false">IF(G95=0,"空闲",IF(G95&lt;=0.6,"低负荷",IF(G95&lt;=0.85,"正常",IF(G95&lt;=1,"满负荷","超负荷"))))</f>
        <v>空闲</v>
      </c>
      <c r="I95" s="96" t="s">
        <v>638</v>
      </c>
      <c r="J95" s="96"/>
      <c r="K95" s="96"/>
      <c r="L95" s="97" t="s">
        <v>639</v>
      </c>
    </row>
    <row r="96" customFormat="false" ht="48" hidden="false" customHeight="true" outlineLevel="0" collapsed="false">
      <c r="A96" s="91"/>
      <c r="B96" s="92" t="n">
        <v>46447</v>
      </c>
      <c r="C96" s="92" t="n">
        <v>46453</v>
      </c>
      <c r="D96" s="91" t="s">
        <v>638</v>
      </c>
      <c r="E96" s="91" t="n">
        <v>0</v>
      </c>
      <c r="F96" s="93" t="n">
        <v>0</v>
      </c>
      <c r="G96" s="94" t="n">
        <f aca="false">IFERROR(F96/INDEX($G$5:$G$34,MATCH(LOOKUP(2,1/($A$39:A96&lt;&gt;""),$A$39:A96),$A$5:$A$34,0)),0)</f>
        <v>0</v>
      </c>
      <c r="H96" s="95" t="str">
        <f aca="false">IF(G96=0,"空闲",IF(G96&lt;=0.6,"低负荷",IF(G96&lt;=0.85,"正常",IF(G96&lt;=1,"满负荷","超负荷"))))</f>
        <v>空闲</v>
      </c>
      <c r="I96" s="96" t="s">
        <v>638</v>
      </c>
      <c r="J96" s="96"/>
      <c r="K96" s="96"/>
      <c r="L96" s="97" t="s">
        <v>639</v>
      </c>
    </row>
    <row r="97" customFormat="false" ht="48" hidden="false" customHeight="true" outlineLevel="0" collapsed="false">
      <c r="A97" s="91"/>
      <c r="B97" s="92" t="n">
        <v>46454</v>
      </c>
      <c r="C97" s="92" t="n">
        <v>46460</v>
      </c>
      <c r="D97" s="91" t="s">
        <v>638</v>
      </c>
      <c r="E97" s="91" t="n">
        <v>0</v>
      </c>
      <c r="F97" s="93" t="n">
        <v>0</v>
      </c>
      <c r="G97" s="94" t="n">
        <f aca="false">IFERROR(F97/INDEX($G$5:$G$34,MATCH(LOOKUP(2,1/($A$39:A97&lt;&gt;""),$A$39:A97),$A$5:$A$34,0)),0)</f>
        <v>0</v>
      </c>
      <c r="H97" s="95" t="str">
        <f aca="false">IF(G97=0,"空闲",IF(G97&lt;=0.6,"低负荷",IF(G97&lt;=0.85,"正常",IF(G97&lt;=1,"满负荷","超负荷"))))</f>
        <v>空闲</v>
      </c>
      <c r="I97" s="96" t="s">
        <v>638</v>
      </c>
      <c r="J97" s="96"/>
      <c r="K97" s="96"/>
      <c r="L97" s="97" t="s">
        <v>639</v>
      </c>
    </row>
    <row r="98" customFormat="false" ht="48" hidden="false" customHeight="true" outlineLevel="0" collapsed="false">
      <c r="A98" s="91"/>
      <c r="B98" s="92" t="n">
        <v>46461</v>
      </c>
      <c r="C98" s="92" t="n">
        <v>46467</v>
      </c>
      <c r="D98" s="91" t="s">
        <v>638</v>
      </c>
      <c r="E98" s="91" t="n">
        <v>0</v>
      </c>
      <c r="F98" s="93" t="n">
        <v>0</v>
      </c>
      <c r="G98" s="94" t="n">
        <f aca="false">IFERROR(F98/INDEX($G$5:$G$34,MATCH(LOOKUP(2,1/($A$39:A98&lt;&gt;""),$A$39:A98),$A$5:$A$34,0)),0)</f>
        <v>0</v>
      </c>
      <c r="H98" s="95" t="str">
        <f aca="false">IF(G98=0,"空闲",IF(G98&lt;=0.6,"低负荷",IF(G98&lt;=0.85,"正常",IF(G98&lt;=1,"满负荷","超负荷"))))</f>
        <v>空闲</v>
      </c>
      <c r="I98" s="96" t="s">
        <v>638</v>
      </c>
      <c r="J98" s="96"/>
      <c r="K98" s="96"/>
      <c r="L98" s="97" t="s">
        <v>639</v>
      </c>
    </row>
    <row r="99" customFormat="false" ht="48" hidden="false" customHeight="true" outlineLevel="0" collapsed="false">
      <c r="A99" s="91"/>
      <c r="B99" s="92" t="n">
        <v>46468</v>
      </c>
      <c r="C99" s="92" t="n">
        <v>46474</v>
      </c>
      <c r="D99" s="91" t="s">
        <v>638</v>
      </c>
      <c r="E99" s="91" t="n">
        <v>0</v>
      </c>
      <c r="F99" s="93" t="n">
        <v>0</v>
      </c>
      <c r="G99" s="94" t="n">
        <f aca="false">IFERROR(F99/INDEX($G$5:$G$34,MATCH(LOOKUP(2,1/($A$39:A99&lt;&gt;""),$A$39:A99),$A$5:$A$34,0)),0)</f>
        <v>0</v>
      </c>
      <c r="H99" s="95" t="str">
        <f aca="false">IF(G99=0,"空闲",IF(G99&lt;=0.6,"低负荷",IF(G99&lt;=0.85,"正常",IF(G99&lt;=1,"满负荷","超负荷"))))</f>
        <v>空闲</v>
      </c>
      <c r="I99" s="96" t="s">
        <v>638</v>
      </c>
      <c r="J99" s="96"/>
      <c r="K99" s="96"/>
      <c r="L99" s="97" t="s">
        <v>639</v>
      </c>
    </row>
    <row r="100" customFormat="false" ht="48" hidden="false" customHeight="true" outlineLevel="0" collapsed="false">
      <c r="A100" s="91"/>
      <c r="B100" s="92" t="n">
        <v>46475</v>
      </c>
      <c r="C100" s="92" t="n">
        <v>46481</v>
      </c>
      <c r="D100" s="91" t="s">
        <v>638</v>
      </c>
      <c r="E100" s="91" t="n">
        <v>0</v>
      </c>
      <c r="F100" s="93" t="n">
        <v>0</v>
      </c>
      <c r="G100" s="94" t="n">
        <f aca="false">IFERROR(F100/INDEX($G$5:$G$34,MATCH(LOOKUP(2,1/($A$39:A100&lt;&gt;""),$A$39:A100),$A$5:$A$34,0)),0)</f>
        <v>0</v>
      </c>
      <c r="H100" s="95" t="str">
        <f aca="false">IF(G100=0,"空闲",IF(G100&lt;=0.6,"低负荷",IF(G100&lt;=0.85,"正常",IF(G100&lt;=1,"满负荷","超负荷"))))</f>
        <v>空闲</v>
      </c>
      <c r="I100" s="96" t="s">
        <v>638</v>
      </c>
      <c r="J100" s="96"/>
      <c r="K100" s="96"/>
      <c r="L100" s="97" t="s">
        <v>639</v>
      </c>
    </row>
    <row r="101" customFormat="false" ht="48" hidden="false" customHeight="true" outlineLevel="0" collapsed="false">
      <c r="A101" s="91"/>
      <c r="B101" s="92" t="n">
        <v>46482</v>
      </c>
      <c r="C101" s="92" t="n">
        <v>46488</v>
      </c>
      <c r="D101" s="91" t="s">
        <v>638</v>
      </c>
      <c r="E101" s="91" t="n">
        <v>0</v>
      </c>
      <c r="F101" s="93" t="n">
        <v>0</v>
      </c>
      <c r="G101" s="94" t="n">
        <f aca="false">IFERROR(F101/INDEX($G$5:$G$34,MATCH(LOOKUP(2,1/($A$39:A101&lt;&gt;""),$A$39:A101),$A$5:$A$34,0)),0)</f>
        <v>0</v>
      </c>
      <c r="H101" s="95" t="str">
        <f aca="false">IF(G101=0,"空闲",IF(G101&lt;=0.6,"低负荷",IF(G101&lt;=0.85,"正常",IF(G101&lt;=1,"满负荷","超负荷"))))</f>
        <v>空闲</v>
      </c>
      <c r="I101" s="96" t="s">
        <v>638</v>
      </c>
      <c r="J101" s="96"/>
      <c r="K101" s="96"/>
      <c r="L101" s="97" t="s">
        <v>639</v>
      </c>
    </row>
    <row r="102" customFormat="false" ht="48" hidden="false" customHeight="true" outlineLevel="0" collapsed="false">
      <c r="A102" s="91"/>
      <c r="B102" s="92" t="n">
        <v>46489</v>
      </c>
      <c r="C102" s="92" t="n">
        <v>46495</v>
      </c>
      <c r="D102" s="91" t="s">
        <v>638</v>
      </c>
      <c r="E102" s="91" t="n">
        <v>0</v>
      </c>
      <c r="F102" s="93" t="n">
        <v>0</v>
      </c>
      <c r="G102" s="94" t="n">
        <f aca="false">IFERROR(F102/INDEX($G$5:$G$34,MATCH(LOOKUP(2,1/($A$39:A102&lt;&gt;""),$A$39:A102),$A$5:$A$34,0)),0)</f>
        <v>0</v>
      </c>
      <c r="H102" s="95" t="str">
        <f aca="false">IF(G102=0,"空闲",IF(G102&lt;=0.6,"低负荷",IF(G102&lt;=0.85,"正常",IF(G102&lt;=1,"满负荷","超负荷"))))</f>
        <v>空闲</v>
      </c>
      <c r="I102" s="96" t="s">
        <v>638</v>
      </c>
      <c r="J102" s="96"/>
      <c r="K102" s="96"/>
      <c r="L102" s="97" t="s">
        <v>639</v>
      </c>
    </row>
    <row r="103" customFormat="false" ht="48" hidden="false" customHeight="true" outlineLevel="0" collapsed="false">
      <c r="A103" s="91"/>
      <c r="B103" s="92" t="n">
        <v>46496</v>
      </c>
      <c r="C103" s="92" t="n">
        <v>46502</v>
      </c>
      <c r="D103" s="91" t="s">
        <v>638</v>
      </c>
      <c r="E103" s="91" t="n">
        <v>0</v>
      </c>
      <c r="F103" s="93" t="n">
        <v>0</v>
      </c>
      <c r="G103" s="94" t="n">
        <f aca="false">IFERROR(F103/INDEX($G$5:$G$34,MATCH(LOOKUP(2,1/($A$39:A103&lt;&gt;""),$A$39:A103),$A$5:$A$34,0)),0)</f>
        <v>0</v>
      </c>
      <c r="H103" s="95" t="str">
        <f aca="false">IF(G103=0,"空闲",IF(G103&lt;=0.6,"低负荷",IF(G103&lt;=0.85,"正常",IF(G103&lt;=1,"满负荷","超负荷"))))</f>
        <v>空闲</v>
      </c>
      <c r="I103" s="96" t="s">
        <v>638</v>
      </c>
      <c r="J103" s="96"/>
      <c r="K103" s="96"/>
      <c r="L103" s="97" t="s">
        <v>639</v>
      </c>
    </row>
    <row r="104" customFormat="false" ht="48" hidden="false" customHeight="true" outlineLevel="0" collapsed="false">
      <c r="A104" s="91"/>
      <c r="B104" s="92" t="n">
        <v>46503</v>
      </c>
      <c r="C104" s="92" t="n">
        <v>46509</v>
      </c>
      <c r="D104" s="91" t="s">
        <v>638</v>
      </c>
      <c r="E104" s="91" t="n">
        <v>0</v>
      </c>
      <c r="F104" s="93" t="n">
        <v>0</v>
      </c>
      <c r="G104" s="94" t="n">
        <f aca="false">IFERROR(F104/INDEX($G$5:$G$34,MATCH(LOOKUP(2,1/($A$39:A104&lt;&gt;""),$A$39:A104),$A$5:$A$34,0)),0)</f>
        <v>0</v>
      </c>
      <c r="H104" s="95" t="str">
        <f aca="false">IF(G104=0,"空闲",IF(G104&lt;=0.6,"低负荷",IF(G104&lt;=0.85,"正常",IF(G104&lt;=1,"满负荷","超负荷"))))</f>
        <v>空闲</v>
      </c>
      <c r="I104" s="96" t="s">
        <v>638</v>
      </c>
      <c r="J104" s="96"/>
      <c r="K104" s="96"/>
      <c r="L104" s="97" t="s">
        <v>639</v>
      </c>
    </row>
    <row r="105" customFormat="false" ht="48" hidden="false" customHeight="true" outlineLevel="0" collapsed="false">
      <c r="A105" s="91"/>
      <c r="B105" s="92" t="n">
        <v>46510</v>
      </c>
      <c r="C105" s="92" t="n">
        <v>46516</v>
      </c>
      <c r="D105" s="91" t="s">
        <v>638</v>
      </c>
      <c r="E105" s="91" t="n">
        <v>0</v>
      </c>
      <c r="F105" s="93" t="n">
        <v>0</v>
      </c>
      <c r="G105" s="94" t="n">
        <f aca="false">IFERROR(F105/INDEX($G$5:$G$34,MATCH(LOOKUP(2,1/($A$39:A105&lt;&gt;""),$A$39:A105),$A$5:$A$34,0)),0)</f>
        <v>0</v>
      </c>
      <c r="H105" s="95" t="str">
        <f aca="false">IF(G105=0,"空闲",IF(G105&lt;=0.6,"低负荷",IF(G105&lt;=0.85,"正常",IF(G105&lt;=1,"满负荷","超负荷"))))</f>
        <v>空闲</v>
      </c>
      <c r="I105" s="96" t="s">
        <v>638</v>
      </c>
      <c r="J105" s="96"/>
      <c r="K105" s="96"/>
      <c r="L105" s="97" t="s">
        <v>639</v>
      </c>
    </row>
    <row r="106" customFormat="false" ht="48" hidden="false" customHeight="true" outlineLevel="0" collapsed="false">
      <c r="A106" s="91"/>
      <c r="B106" s="92" t="n">
        <v>46517</v>
      </c>
      <c r="C106" s="92" t="n">
        <v>46523</v>
      </c>
      <c r="D106" s="91" t="s">
        <v>638</v>
      </c>
      <c r="E106" s="91" t="n">
        <v>0</v>
      </c>
      <c r="F106" s="93" t="n">
        <v>0</v>
      </c>
      <c r="G106" s="94" t="n">
        <f aca="false">IFERROR(F106/INDEX($G$5:$G$34,MATCH(LOOKUP(2,1/($A$39:A106&lt;&gt;""),$A$39:A106),$A$5:$A$34,0)),0)</f>
        <v>0</v>
      </c>
      <c r="H106" s="95" t="str">
        <f aca="false">IF(G106=0,"空闲",IF(G106&lt;=0.6,"低负荷",IF(G106&lt;=0.85,"正常",IF(G106&lt;=1,"满负荷","超负荷"))))</f>
        <v>空闲</v>
      </c>
      <c r="I106" s="96" t="s">
        <v>638</v>
      </c>
      <c r="J106" s="96"/>
      <c r="K106" s="96"/>
      <c r="L106" s="97" t="s">
        <v>639</v>
      </c>
    </row>
    <row r="107" customFormat="false" ht="48" hidden="false" customHeight="true" outlineLevel="0" collapsed="false">
      <c r="A107" s="91"/>
      <c r="B107" s="92" t="n">
        <v>46524</v>
      </c>
      <c r="C107" s="92" t="n">
        <v>46530</v>
      </c>
      <c r="D107" s="91" t="s">
        <v>640</v>
      </c>
      <c r="E107" s="91" t="n">
        <v>1</v>
      </c>
      <c r="F107" s="93" t="n">
        <v>40</v>
      </c>
      <c r="G107" s="94" t="n">
        <f aca="false">IFERROR(F107/INDEX($G$5:$G$34,MATCH(LOOKUP(2,1/($A$39:A107&lt;&gt;""),$A$39:A107),$A$5:$A$34,0)),0)</f>
        <v>1</v>
      </c>
      <c r="H107" s="95" t="str">
        <f aca="false">IF(G107=0,"空闲",IF(G107&lt;=0.6,"低负荷",IF(G107&lt;=0.85,"正常",IF(G107&lt;=1,"满负荷","超负荷"))))</f>
        <v>满负荷</v>
      </c>
      <c r="I107" s="98" t="s">
        <v>648</v>
      </c>
      <c r="J107" s="98"/>
      <c r="K107" s="98"/>
      <c r="L107" s="97" t="s">
        <v>642</v>
      </c>
    </row>
    <row r="108" customFormat="false" ht="48" hidden="false" customHeight="true" outlineLevel="0" collapsed="false">
      <c r="A108" s="91"/>
      <c r="B108" s="92" t="n">
        <v>46531</v>
      </c>
      <c r="C108" s="92" t="n">
        <v>46537</v>
      </c>
      <c r="D108" s="91" t="s">
        <v>640</v>
      </c>
      <c r="E108" s="91" t="n">
        <v>1</v>
      </c>
      <c r="F108" s="93" t="n">
        <v>40</v>
      </c>
      <c r="G108" s="94" t="n">
        <f aca="false">IFERROR(F108/INDEX($G$5:$G$34,MATCH(LOOKUP(2,1/($A$39:A108&lt;&gt;""),$A$39:A108),$A$5:$A$34,0)),0)</f>
        <v>1</v>
      </c>
      <c r="H108" s="95" t="str">
        <f aca="false">IF(G108=0,"空闲",IF(G108&lt;=0.6,"低负荷",IF(G108&lt;=0.85,"正常",IF(G108&lt;=1,"满负荷","超负荷"))))</f>
        <v>满负荷</v>
      </c>
      <c r="I108" s="98" t="s">
        <v>648</v>
      </c>
      <c r="J108" s="98"/>
      <c r="K108" s="98"/>
      <c r="L108" s="97" t="s">
        <v>642</v>
      </c>
    </row>
    <row r="109" customFormat="false" ht="48" hidden="false" customHeight="true" outlineLevel="0" collapsed="false">
      <c r="A109" s="91"/>
      <c r="B109" s="92" t="n">
        <v>46538</v>
      </c>
      <c r="C109" s="92" t="n">
        <v>46544</v>
      </c>
      <c r="D109" s="91" t="s">
        <v>638</v>
      </c>
      <c r="E109" s="91" t="n">
        <v>0</v>
      </c>
      <c r="F109" s="93" t="n">
        <v>0</v>
      </c>
      <c r="G109" s="94" t="n">
        <f aca="false">IFERROR(F109/INDEX($G$5:$G$34,MATCH(LOOKUP(2,1/($A$39:A109&lt;&gt;""),$A$39:A109),$A$5:$A$34,0)),0)</f>
        <v>0</v>
      </c>
      <c r="H109" s="95" t="str">
        <f aca="false">IF(G109=0,"空闲",IF(G109&lt;=0.6,"低负荷",IF(G109&lt;=0.85,"正常",IF(G109&lt;=1,"满负荷","超负荷"))))</f>
        <v>空闲</v>
      </c>
      <c r="I109" s="96" t="s">
        <v>638</v>
      </c>
      <c r="J109" s="96"/>
      <c r="K109" s="96"/>
      <c r="L109" s="97" t="s">
        <v>639</v>
      </c>
    </row>
    <row r="110" customFormat="false" ht="48" hidden="false" customHeight="true" outlineLevel="0" collapsed="false">
      <c r="A110" s="99" t="s">
        <v>609</v>
      </c>
      <c r="B110" s="92" t="n">
        <v>46048</v>
      </c>
      <c r="C110" s="92" t="n">
        <v>46054</v>
      </c>
      <c r="D110" s="91" t="s">
        <v>640</v>
      </c>
      <c r="E110" s="91" t="n">
        <v>1</v>
      </c>
      <c r="F110" s="93" t="n">
        <v>40</v>
      </c>
      <c r="G110" s="94" t="n">
        <f aca="false">IFERROR(F110/INDEX($G$5:$G$34,MATCH(LOOKUP(2,1/($A$39:A110&lt;&gt;""),$A$39:A110),$A$5:$A$34,0)),0)</f>
        <v>1</v>
      </c>
      <c r="H110" s="95" t="str">
        <f aca="false">IF(G110=0,"空闲",IF(G110&lt;=0.6,"低负荷",IF(G110&lt;=0.85,"正常",IF(G110&lt;=1,"满负荷","超负荷"))))</f>
        <v>满负荷</v>
      </c>
      <c r="I110" s="98" t="s">
        <v>649</v>
      </c>
      <c r="J110" s="98"/>
      <c r="K110" s="98"/>
      <c r="L110" s="97" t="s">
        <v>642</v>
      </c>
    </row>
    <row r="111" customFormat="false" ht="48" hidden="false" customHeight="true" outlineLevel="0" collapsed="false">
      <c r="A111" s="99"/>
      <c r="B111" s="92" t="n">
        <v>46055</v>
      </c>
      <c r="C111" s="92" t="n">
        <v>46061</v>
      </c>
      <c r="D111" s="91" t="s">
        <v>640</v>
      </c>
      <c r="E111" s="91" t="n">
        <v>1</v>
      </c>
      <c r="F111" s="93" t="n">
        <v>40</v>
      </c>
      <c r="G111" s="94" t="n">
        <f aca="false">IFERROR(F111/INDEX($G$5:$G$34,MATCH(LOOKUP(2,1/($A$39:A111&lt;&gt;""),$A$39:A111),$A$5:$A$34,0)),0)</f>
        <v>1</v>
      </c>
      <c r="H111" s="95" t="str">
        <f aca="false">IF(G111=0,"空闲",IF(G111&lt;=0.6,"低负荷",IF(G111&lt;=0.85,"正常",IF(G111&lt;=1,"满负荷","超负荷"))))</f>
        <v>满负荷</v>
      </c>
      <c r="I111" s="98" t="s">
        <v>649</v>
      </c>
      <c r="J111" s="98"/>
      <c r="K111" s="98"/>
      <c r="L111" s="97" t="s">
        <v>642</v>
      </c>
    </row>
    <row r="112" customFormat="false" ht="48" hidden="false" customHeight="true" outlineLevel="0" collapsed="false">
      <c r="A112" s="99"/>
      <c r="B112" s="92" t="n">
        <v>46062</v>
      </c>
      <c r="C112" s="92" t="n">
        <v>46068</v>
      </c>
      <c r="D112" s="91" t="s">
        <v>638</v>
      </c>
      <c r="E112" s="91" t="n">
        <v>0</v>
      </c>
      <c r="F112" s="93" t="n">
        <v>0</v>
      </c>
      <c r="G112" s="94" t="n">
        <f aca="false">IFERROR(F112/INDEX($G$5:$G$34,MATCH(LOOKUP(2,1/($A$39:A112&lt;&gt;""),$A$39:A112),$A$5:$A$34,0)),0)</f>
        <v>0</v>
      </c>
      <c r="H112" s="95" t="str">
        <f aca="false">IF(G112=0,"空闲",IF(G112&lt;=0.6,"低负荷",IF(G112&lt;=0.85,"正常",IF(G112&lt;=1,"满负荷","超负荷"))))</f>
        <v>空闲</v>
      </c>
      <c r="I112" s="96" t="s">
        <v>638</v>
      </c>
      <c r="J112" s="96"/>
      <c r="K112" s="96"/>
      <c r="L112" s="97" t="s">
        <v>639</v>
      </c>
    </row>
    <row r="113" customFormat="false" ht="48" hidden="false" customHeight="true" outlineLevel="0" collapsed="false">
      <c r="A113" s="99"/>
      <c r="B113" s="92" t="n">
        <v>46069</v>
      </c>
      <c r="C113" s="92" t="n">
        <v>46075</v>
      </c>
      <c r="D113" s="91" t="s">
        <v>638</v>
      </c>
      <c r="E113" s="91" t="n">
        <v>0</v>
      </c>
      <c r="F113" s="93" t="n">
        <v>0</v>
      </c>
      <c r="G113" s="94" t="n">
        <f aca="false">IFERROR(F113/INDEX($G$5:$G$34,MATCH(LOOKUP(2,1/($A$39:A113&lt;&gt;""),$A$39:A113),$A$5:$A$34,0)),0)</f>
        <v>0</v>
      </c>
      <c r="H113" s="95" t="str">
        <f aca="false">IF(G113=0,"空闲",IF(G113&lt;=0.6,"低负荷",IF(G113&lt;=0.85,"正常",IF(G113&lt;=1,"满负荷","超负荷"))))</f>
        <v>空闲</v>
      </c>
      <c r="I113" s="96" t="s">
        <v>638</v>
      </c>
      <c r="J113" s="96"/>
      <c r="K113" s="96"/>
      <c r="L113" s="97" t="s">
        <v>639</v>
      </c>
    </row>
    <row r="114" customFormat="false" ht="48" hidden="false" customHeight="true" outlineLevel="0" collapsed="false">
      <c r="A114" s="99"/>
      <c r="B114" s="92" t="n">
        <v>46076</v>
      </c>
      <c r="C114" s="92" t="n">
        <v>46082</v>
      </c>
      <c r="D114" s="91" t="s">
        <v>638</v>
      </c>
      <c r="E114" s="91" t="n">
        <v>0</v>
      </c>
      <c r="F114" s="93" t="n">
        <v>0</v>
      </c>
      <c r="G114" s="94" t="n">
        <f aca="false">IFERROR(F114/INDEX($G$5:$G$34,MATCH(LOOKUP(2,1/($A$39:A114&lt;&gt;""),$A$39:A114),$A$5:$A$34,0)),0)</f>
        <v>0</v>
      </c>
      <c r="H114" s="95" t="str">
        <f aca="false">IF(G114=0,"空闲",IF(G114&lt;=0.6,"低负荷",IF(G114&lt;=0.85,"正常",IF(G114&lt;=1,"满负荷","超负荷"))))</f>
        <v>空闲</v>
      </c>
      <c r="I114" s="96" t="s">
        <v>638</v>
      </c>
      <c r="J114" s="96"/>
      <c r="K114" s="96"/>
      <c r="L114" s="97" t="s">
        <v>639</v>
      </c>
    </row>
    <row r="115" customFormat="false" ht="48" hidden="false" customHeight="true" outlineLevel="0" collapsed="false">
      <c r="A115" s="99"/>
      <c r="B115" s="92" t="n">
        <v>46083</v>
      </c>
      <c r="C115" s="92" t="n">
        <v>46089</v>
      </c>
      <c r="D115" s="91" t="s">
        <v>638</v>
      </c>
      <c r="E115" s="91" t="n">
        <v>0</v>
      </c>
      <c r="F115" s="93" t="n">
        <v>0</v>
      </c>
      <c r="G115" s="94" t="n">
        <f aca="false">IFERROR(F115/INDEX($G$5:$G$34,MATCH(LOOKUP(2,1/($A$39:A115&lt;&gt;""),$A$39:A115),$A$5:$A$34,0)),0)</f>
        <v>0</v>
      </c>
      <c r="H115" s="95" t="str">
        <f aca="false">IF(G115=0,"空闲",IF(G115&lt;=0.6,"低负荷",IF(G115&lt;=0.85,"正常",IF(G115&lt;=1,"满负荷","超负荷"))))</f>
        <v>空闲</v>
      </c>
      <c r="I115" s="96" t="s">
        <v>638</v>
      </c>
      <c r="J115" s="96"/>
      <c r="K115" s="96"/>
      <c r="L115" s="97" t="s">
        <v>639</v>
      </c>
    </row>
    <row r="116" customFormat="false" ht="48" hidden="false" customHeight="true" outlineLevel="0" collapsed="false">
      <c r="A116" s="99"/>
      <c r="B116" s="92" t="n">
        <v>46090</v>
      </c>
      <c r="C116" s="92" t="n">
        <v>46096</v>
      </c>
      <c r="D116" s="91" t="s">
        <v>638</v>
      </c>
      <c r="E116" s="91" t="n">
        <v>0</v>
      </c>
      <c r="F116" s="93" t="n">
        <v>0</v>
      </c>
      <c r="G116" s="94" t="n">
        <f aca="false">IFERROR(F116/INDEX($G$5:$G$34,MATCH(LOOKUP(2,1/($A$39:A116&lt;&gt;""),$A$39:A116),$A$5:$A$34,0)),0)</f>
        <v>0</v>
      </c>
      <c r="H116" s="95" t="str">
        <f aca="false">IF(G116=0,"空闲",IF(G116&lt;=0.6,"低负荷",IF(G116&lt;=0.85,"正常",IF(G116&lt;=1,"满负荷","超负荷"))))</f>
        <v>空闲</v>
      </c>
      <c r="I116" s="96" t="s">
        <v>638</v>
      </c>
      <c r="J116" s="96"/>
      <c r="K116" s="96"/>
      <c r="L116" s="97" t="s">
        <v>639</v>
      </c>
    </row>
    <row r="117" customFormat="false" ht="48" hidden="false" customHeight="true" outlineLevel="0" collapsed="false">
      <c r="A117" s="99"/>
      <c r="B117" s="92" t="n">
        <v>46097</v>
      </c>
      <c r="C117" s="92" t="n">
        <v>46103</v>
      </c>
      <c r="D117" s="91" t="s">
        <v>638</v>
      </c>
      <c r="E117" s="91" t="n">
        <v>0</v>
      </c>
      <c r="F117" s="93" t="n">
        <v>0</v>
      </c>
      <c r="G117" s="94" t="n">
        <f aca="false">IFERROR(F117/INDEX($G$5:$G$34,MATCH(LOOKUP(2,1/($A$39:A117&lt;&gt;""),$A$39:A117),$A$5:$A$34,0)),0)</f>
        <v>0</v>
      </c>
      <c r="H117" s="95" t="str">
        <f aca="false">IF(G117=0,"空闲",IF(G117&lt;=0.6,"低负荷",IF(G117&lt;=0.85,"正常",IF(G117&lt;=1,"满负荷","超负荷"))))</f>
        <v>空闲</v>
      </c>
      <c r="I117" s="96" t="s">
        <v>638</v>
      </c>
      <c r="J117" s="96"/>
      <c r="K117" s="96"/>
      <c r="L117" s="97" t="s">
        <v>639</v>
      </c>
    </row>
    <row r="118" customFormat="false" ht="48" hidden="false" customHeight="true" outlineLevel="0" collapsed="false">
      <c r="A118" s="99"/>
      <c r="B118" s="92" t="n">
        <v>46104</v>
      </c>
      <c r="C118" s="92" t="n">
        <v>46110</v>
      </c>
      <c r="D118" s="91" t="s">
        <v>638</v>
      </c>
      <c r="E118" s="91" t="n">
        <v>0</v>
      </c>
      <c r="F118" s="93" t="n">
        <v>0</v>
      </c>
      <c r="G118" s="94" t="n">
        <f aca="false">IFERROR(F118/INDEX($G$5:$G$34,MATCH(LOOKUP(2,1/($A$39:A118&lt;&gt;""),$A$39:A118),$A$5:$A$34,0)),0)</f>
        <v>0</v>
      </c>
      <c r="H118" s="95" t="str">
        <f aca="false">IF(G118=0,"空闲",IF(G118&lt;=0.6,"低负荷",IF(G118&lt;=0.85,"正常",IF(G118&lt;=1,"满负荷","超负荷"))))</f>
        <v>空闲</v>
      </c>
      <c r="I118" s="96" t="s">
        <v>638</v>
      </c>
      <c r="J118" s="96"/>
      <c r="K118" s="96"/>
      <c r="L118" s="97" t="s">
        <v>639</v>
      </c>
    </row>
    <row r="119" customFormat="false" ht="48" hidden="false" customHeight="true" outlineLevel="0" collapsed="false">
      <c r="A119" s="99"/>
      <c r="B119" s="92" t="n">
        <v>46111</v>
      </c>
      <c r="C119" s="92" t="n">
        <v>46117</v>
      </c>
      <c r="D119" s="91" t="s">
        <v>638</v>
      </c>
      <c r="E119" s="91" t="n">
        <v>0</v>
      </c>
      <c r="F119" s="93" t="n">
        <v>0</v>
      </c>
      <c r="G119" s="94" t="n">
        <f aca="false">IFERROR(F119/INDEX($G$5:$G$34,MATCH(LOOKUP(2,1/($A$39:A119&lt;&gt;""),$A$39:A119),$A$5:$A$34,0)),0)</f>
        <v>0</v>
      </c>
      <c r="H119" s="95" t="str">
        <f aca="false">IF(G119=0,"空闲",IF(G119&lt;=0.6,"低负荷",IF(G119&lt;=0.85,"正常",IF(G119&lt;=1,"满负荷","超负荷"))))</f>
        <v>空闲</v>
      </c>
      <c r="I119" s="96" t="s">
        <v>638</v>
      </c>
      <c r="J119" s="96"/>
      <c r="K119" s="96"/>
      <c r="L119" s="97" t="s">
        <v>639</v>
      </c>
    </row>
    <row r="120" customFormat="false" ht="48" hidden="false" customHeight="true" outlineLevel="0" collapsed="false">
      <c r="A120" s="99"/>
      <c r="B120" s="92" t="n">
        <v>46118</v>
      </c>
      <c r="C120" s="92" t="n">
        <v>46124</v>
      </c>
      <c r="D120" s="91" t="s">
        <v>638</v>
      </c>
      <c r="E120" s="91" t="n">
        <v>0</v>
      </c>
      <c r="F120" s="93" t="n">
        <v>0</v>
      </c>
      <c r="G120" s="94" t="n">
        <f aca="false">IFERROR(F120/INDEX($G$5:$G$34,MATCH(LOOKUP(2,1/($A$39:A120&lt;&gt;""),$A$39:A120),$A$5:$A$34,0)),0)</f>
        <v>0</v>
      </c>
      <c r="H120" s="95" t="str">
        <f aca="false">IF(G120=0,"空闲",IF(G120&lt;=0.6,"低负荷",IF(G120&lt;=0.85,"正常",IF(G120&lt;=1,"满负荷","超负荷"))))</f>
        <v>空闲</v>
      </c>
      <c r="I120" s="96" t="s">
        <v>638</v>
      </c>
      <c r="J120" s="96"/>
      <c r="K120" s="96"/>
      <c r="L120" s="97" t="s">
        <v>639</v>
      </c>
    </row>
    <row r="121" customFormat="false" ht="48" hidden="false" customHeight="true" outlineLevel="0" collapsed="false">
      <c r="A121" s="99"/>
      <c r="B121" s="92" t="n">
        <v>46125</v>
      </c>
      <c r="C121" s="92" t="n">
        <v>46131</v>
      </c>
      <c r="D121" s="91" t="s">
        <v>638</v>
      </c>
      <c r="E121" s="91" t="n">
        <v>0</v>
      </c>
      <c r="F121" s="93" t="n">
        <v>0</v>
      </c>
      <c r="G121" s="94" t="n">
        <f aca="false">IFERROR(F121/INDEX($G$5:$G$34,MATCH(LOOKUP(2,1/($A$39:A121&lt;&gt;""),$A$39:A121),$A$5:$A$34,0)),0)</f>
        <v>0</v>
      </c>
      <c r="H121" s="95" t="str">
        <f aca="false">IF(G121=0,"空闲",IF(G121&lt;=0.6,"低负荷",IF(G121&lt;=0.85,"正常",IF(G121&lt;=1,"满负荷","超负荷"))))</f>
        <v>空闲</v>
      </c>
      <c r="I121" s="96" t="s">
        <v>638</v>
      </c>
      <c r="J121" s="96"/>
      <c r="K121" s="96"/>
      <c r="L121" s="97" t="s">
        <v>639</v>
      </c>
    </row>
    <row r="122" customFormat="false" ht="48" hidden="false" customHeight="true" outlineLevel="0" collapsed="false">
      <c r="A122" s="99"/>
      <c r="B122" s="92" t="n">
        <v>46132</v>
      </c>
      <c r="C122" s="92" t="n">
        <v>46138</v>
      </c>
      <c r="D122" s="91" t="s">
        <v>638</v>
      </c>
      <c r="E122" s="91" t="n">
        <v>0</v>
      </c>
      <c r="F122" s="93" t="n">
        <v>0</v>
      </c>
      <c r="G122" s="94" t="n">
        <f aca="false">IFERROR(F122/INDEX($G$5:$G$34,MATCH(LOOKUP(2,1/($A$39:A122&lt;&gt;""),$A$39:A122),$A$5:$A$34,0)),0)</f>
        <v>0</v>
      </c>
      <c r="H122" s="95" t="str">
        <f aca="false">IF(G122=0,"空闲",IF(G122&lt;=0.6,"低负荷",IF(G122&lt;=0.85,"正常",IF(G122&lt;=1,"满负荷","超负荷"))))</f>
        <v>空闲</v>
      </c>
      <c r="I122" s="96" t="s">
        <v>638</v>
      </c>
      <c r="J122" s="96"/>
      <c r="K122" s="96"/>
      <c r="L122" s="97" t="s">
        <v>639</v>
      </c>
    </row>
    <row r="123" customFormat="false" ht="48" hidden="false" customHeight="true" outlineLevel="0" collapsed="false">
      <c r="A123" s="99"/>
      <c r="B123" s="92" t="n">
        <v>46139</v>
      </c>
      <c r="C123" s="92" t="n">
        <v>46145</v>
      </c>
      <c r="D123" s="91" t="s">
        <v>638</v>
      </c>
      <c r="E123" s="91" t="n">
        <v>0</v>
      </c>
      <c r="F123" s="93" t="n">
        <v>0</v>
      </c>
      <c r="G123" s="94" t="n">
        <f aca="false">IFERROR(F123/INDEX($G$5:$G$34,MATCH(LOOKUP(2,1/($A$39:A123&lt;&gt;""),$A$39:A123),$A$5:$A$34,0)),0)</f>
        <v>0</v>
      </c>
      <c r="H123" s="95" t="str">
        <f aca="false">IF(G123=0,"空闲",IF(G123&lt;=0.6,"低负荷",IF(G123&lt;=0.85,"正常",IF(G123&lt;=1,"满负荷","超负荷"))))</f>
        <v>空闲</v>
      </c>
      <c r="I123" s="96" t="s">
        <v>638</v>
      </c>
      <c r="J123" s="96"/>
      <c r="K123" s="96"/>
      <c r="L123" s="97" t="s">
        <v>639</v>
      </c>
    </row>
    <row r="124" customFormat="false" ht="48" hidden="false" customHeight="true" outlineLevel="0" collapsed="false">
      <c r="A124" s="99"/>
      <c r="B124" s="92" t="n">
        <v>46146</v>
      </c>
      <c r="C124" s="92" t="n">
        <v>46152</v>
      </c>
      <c r="D124" s="91" t="s">
        <v>638</v>
      </c>
      <c r="E124" s="91" t="n">
        <v>0</v>
      </c>
      <c r="F124" s="93" t="n">
        <v>0</v>
      </c>
      <c r="G124" s="94" t="n">
        <f aca="false">IFERROR(F124/INDEX($G$5:$G$34,MATCH(LOOKUP(2,1/($A$39:A124&lt;&gt;""),$A$39:A124),$A$5:$A$34,0)),0)</f>
        <v>0</v>
      </c>
      <c r="H124" s="95" t="str">
        <f aca="false">IF(G124=0,"空闲",IF(G124&lt;=0.6,"低负荷",IF(G124&lt;=0.85,"正常",IF(G124&lt;=1,"满负荷","超负荷"))))</f>
        <v>空闲</v>
      </c>
      <c r="I124" s="96" t="s">
        <v>638</v>
      </c>
      <c r="J124" s="96"/>
      <c r="K124" s="96"/>
      <c r="L124" s="97" t="s">
        <v>639</v>
      </c>
    </row>
    <row r="125" customFormat="false" ht="48" hidden="false" customHeight="true" outlineLevel="0" collapsed="false">
      <c r="A125" s="99"/>
      <c r="B125" s="92" t="n">
        <v>46153</v>
      </c>
      <c r="C125" s="92" t="n">
        <v>46159</v>
      </c>
      <c r="D125" s="91" t="s">
        <v>638</v>
      </c>
      <c r="E125" s="91" t="n">
        <v>0</v>
      </c>
      <c r="F125" s="93" t="n">
        <v>0</v>
      </c>
      <c r="G125" s="94" t="n">
        <f aca="false">IFERROR(F125/INDEX($G$5:$G$34,MATCH(LOOKUP(2,1/($A$39:A125&lt;&gt;""),$A$39:A125),$A$5:$A$34,0)),0)</f>
        <v>0</v>
      </c>
      <c r="H125" s="95" t="str">
        <f aca="false">IF(G125=0,"空闲",IF(G125&lt;=0.6,"低负荷",IF(G125&lt;=0.85,"正常",IF(G125&lt;=1,"满负荷","超负荷"))))</f>
        <v>空闲</v>
      </c>
      <c r="I125" s="96" t="s">
        <v>638</v>
      </c>
      <c r="J125" s="96"/>
      <c r="K125" s="96"/>
      <c r="L125" s="97" t="s">
        <v>639</v>
      </c>
    </row>
    <row r="126" customFormat="false" ht="48" hidden="false" customHeight="true" outlineLevel="0" collapsed="false">
      <c r="A126" s="99"/>
      <c r="B126" s="92" t="n">
        <v>46160</v>
      </c>
      <c r="C126" s="92" t="n">
        <v>46166</v>
      </c>
      <c r="D126" s="91" t="s">
        <v>638</v>
      </c>
      <c r="E126" s="91" t="n">
        <v>0</v>
      </c>
      <c r="F126" s="93" t="n">
        <v>0</v>
      </c>
      <c r="G126" s="94" t="n">
        <f aca="false">IFERROR(F126/INDEX($G$5:$G$34,MATCH(LOOKUP(2,1/($A$39:A126&lt;&gt;""),$A$39:A126),$A$5:$A$34,0)),0)</f>
        <v>0</v>
      </c>
      <c r="H126" s="95" t="str">
        <f aca="false">IF(G126=0,"空闲",IF(G126&lt;=0.6,"低负荷",IF(G126&lt;=0.85,"正常",IF(G126&lt;=1,"满负荷","超负荷"))))</f>
        <v>空闲</v>
      </c>
      <c r="I126" s="96" t="s">
        <v>638</v>
      </c>
      <c r="J126" s="96"/>
      <c r="K126" s="96"/>
      <c r="L126" s="97" t="s">
        <v>639</v>
      </c>
    </row>
    <row r="127" customFormat="false" ht="48" hidden="false" customHeight="true" outlineLevel="0" collapsed="false">
      <c r="A127" s="99"/>
      <c r="B127" s="92" t="n">
        <v>46167</v>
      </c>
      <c r="C127" s="92" t="n">
        <v>46173</v>
      </c>
      <c r="D127" s="91" t="s">
        <v>638</v>
      </c>
      <c r="E127" s="91" t="n">
        <v>0</v>
      </c>
      <c r="F127" s="93" t="n">
        <v>0</v>
      </c>
      <c r="G127" s="94" t="n">
        <f aca="false">IFERROR(F127/INDEX($G$5:$G$34,MATCH(LOOKUP(2,1/($A$39:A127&lt;&gt;""),$A$39:A127),$A$5:$A$34,0)),0)</f>
        <v>0</v>
      </c>
      <c r="H127" s="95" t="str">
        <f aca="false">IF(G127=0,"空闲",IF(G127&lt;=0.6,"低负荷",IF(G127&lt;=0.85,"正常",IF(G127&lt;=1,"满负荷","超负荷"))))</f>
        <v>空闲</v>
      </c>
      <c r="I127" s="96" t="s">
        <v>638</v>
      </c>
      <c r="J127" s="96"/>
      <c r="K127" s="96"/>
      <c r="L127" s="97" t="s">
        <v>639</v>
      </c>
    </row>
    <row r="128" customFormat="false" ht="48" hidden="false" customHeight="true" outlineLevel="0" collapsed="false">
      <c r="A128" s="99"/>
      <c r="B128" s="92" t="n">
        <v>46174</v>
      </c>
      <c r="C128" s="92" t="n">
        <v>46180</v>
      </c>
      <c r="D128" s="91" t="s">
        <v>638</v>
      </c>
      <c r="E128" s="91" t="n">
        <v>0</v>
      </c>
      <c r="F128" s="93" t="n">
        <v>0</v>
      </c>
      <c r="G128" s="94" t="n">
        <f aca="false">IFERROR(F128/INDEX($G$5:$G$34,MATCH(LOOKUP(2,1/($A$39:A128&lt;&gt;""),$A$39:A128),$A$5:$A$34,0)),0)</f>
        <v>0</v>
      </c>
      <c r="H128" s="95" t="str">
        <f aca="false">IF(G128=0,"空闲",IF(G128&lt;=0.6,"低负荷",IF(G128&lt;=0.85,"正常",IF(G128&lt;=1,"满负荷","超负荷"))))</f>
        <v>空闲</v>
      </c>
      <c r="I128" s="96" t="s">
        <v>638</v>
      </c>
      <c r="J128" s="96"/>
      <c r="K128" s="96"/>
      <c r="L128" s="97" t="s">
        <v>639</v>
      </c>
    </row>
    <row r="129" customFormat="false" ht="48" hidden="false" customHeight="true" outlineLevel="0" collapsed="false">
      <c r="A129" s="99"/>
      <c r="B129" s="92" t="n">
        <v>46181</v>
      </c>
      <c r="C129" s="92" t="n">
        <v>46187</v>
      </c>
      <c r="D129" s="91" t="s">
        <v>638</v>
      </c>
      <c r="E129" s="91" t="n">
        <v>0</v>
      </c>
      <c r="F129" s="93" t="n">
        <v>0</v>
      </c>
      <c r="G129" s="94" t="n">
        <f aca="false">IFERROR(F129/INDEX($G$5:$G$34,MATCH(LOOKUP(2,1/($A$39:A129&lt;&gt;""),$A$39:A129),$A$5:$A$34,0)),0)</f>
        <v>0</v>
      </c>
      <c r="H129" s="95" t="str">
        <f aca="false">IF(G129=0,"空闲",IF(G129&lt;=0.6,"低负荷",IF(G129&lt;=0.85,"正常",IF(G129&lt;=1,"满负荷","超负荷"))))</f>
        <v>空闲</v>
      </c>
      <c r="I129" s="96" t="s">
        <v>638</v>
      </c>
      <c r="J129" s="96"/>
      <c r="K129" s="96"/>
      <c r="L129" s="97" t="s">
        <v>639</v>
      </c>
    </row>
    <row r="130" customFormat="false" ht="48" hidden="false" customHeight="true" outlineLevel="0" collapsed="false">
      <c r="A130" s="99"/>
      <c r="B130" s="92" t="n">
        <v>46188</v>
      </c>
      <c r="C130" s="92" t="n">
        <v>46194</v>
      </c>
      <c r="D130" s="91" t="s">
        <v>640</v>
      </c>
      <c r="E130" s="91" t="n">
        <v>1</v>
      </c>
      <c r="F130" s="93" t="n">
        <v>40</v>
      </c>
      <c r="G130" s="94" t="n">
        <f aca="false">IFERROR(F130/INDEX($G$5:$G$34,MATCH(LOOKUP(2,1/($A$39:A130&lt;&gt;""),$A$39:A130),$A$5:$A$34,0)),0)</f>
        <v>1</v>
      </c>
      <c r="H130" s="95" t="str">
        <f aca="false">IF(G130=0,"空闲",IF(G130&lt;=0.6,"低负荷",IF(G130&lt;=0.85,"正常",IF(G130&lt;=1,"满负荷","超负荷"))))</f>
        <v>满负荷</v>
      </c>
      <c r="I130" s="98" t="s">
        <v>650</v>
      </c>
      <c r="J130" s="98"/>
      <c r="K130" s="98"/>
      <c r="L130" s="97" t="s">
        <v>642</v>
      </c>
    </row>
    <row r="131" customFormat="false" ht="48" hidden="false" customHeight="true" outlineLevel="0" collapsed="false">
      <c r="A131" s="99"/>
      <c r="B131" s="92" t="n">
        <v>46195</v>
      </c>
      <c r="C131" s="92" t="n">
        <v>46201</v>
      </c>
      <c r="D131" s="91" t="s">
        <v>640</v>
      </c>
      <c r="E131" s="91" t="n">
        <v>1</v>
      </c>
      <c r="F131" s="93" t="n">
        <v>40</v>
      </c>
      <c r="G131" s="94" t="n">
        <f aca="false">IFERROR(F131/INDEX($G$5:$G$34,MATCH(LOOKUP(2,1/($A$39:A131&lt;&gt;""),$A$39:A131),$A$5:$A$34,0)),0)</f>
        <v>1</v>
      </c>
      <c r="H131" s="95" t="str">
        <f aca="false">IF(G131=0,"空闲",IF(G131&lt;=0.6,"低负荷",IF(G131&lt;=0.85,"正常",IF(G131&lt;=1,"满负荷","超负荷"))))</f>
        <v>满负荷</v>
      </c>
      <c r="I131" s="98" t="s">
        <v>650</v>
      </c>
      <c r="J131" s="98"/>
      <c r="K131" s="98"/>
      <c r="L131" s="97" t="s">
        <v>642</v>
      </c>
    </row>
    <row r="132" customFormat="false" ht="48" hidden="false" customHeight="true" outlineLevel="0" collapsed="false">
      <c r="A132" s="99"/>
      <c r="B132" s="92" t="n">
        <v>46202</v>
      </c>
      <c r="C132" s="92" t="n">
        <v>46208</v>
      </c>
      <c r="D132" s="91" t="s">
        <v>640</v>
      </c>
      <c r="E132" s="91" t="n">
        <v>2</v>
      </c>
      <c r="F132" s="93" t="n">
        <v>40</v>
      </c>
      <c r="G132" s="94" t="n">
        <f aca="false">IFERROR(F132/INDEX($G$5:$G$34,MATCH(LOOKUP(2,1/($A$39:A132&lt;&gt;""),$A$39:A132),$A$5:$A$34,0)),0)</f>
        <v>1</v>
      </c>
      <c r="H132" s="95" t="str">
        <f aca="false">IF(G132=0,"空闲",IF(G132&lt;=0.6,"低负荷",IF(G132&lt;=0.85,"正常",IF(G132&lt;=1,"满负荷","超负荷"))))</f>
        <v>满负荷</v>
      </c>
      <c r="I132" s="98" t="s">
        <v>651</v>
      </c>
      <c r="J132" s="98"/>
      <c r="K132" s="98"/>
      <c r="L132" s="97" t="s">
        <v>652</v>
      </c>
    </row>
    <row r="133" customFormat="false" ht="48" hidden="false" customHeight="true" outlineLevel="0" collapsed="false">
      <c r="A133" s="99"/>
      <c r="B133" s="92" t="n">
        <v>46209</v>
      </c>
      <c r="C133" s="92" t="n">
        <v>46215</v>
      </c>
      <c r="D133" s="91" t="s">
        <v>640</v>
      </c>
      <c r="E133" s="91" t="n">
        <v>2</v>
      </c>
      <c r="F133" s="93" t="n">
        <v>40</v>
      </c>
      <c r="G133" s="94" t="n">
        <f aca="false">IFERROR(F133/INDEX($G$5:$G$34,MATCH(LOOKUP(2,1/($A$39:A133&lt;&gt;""),$A$39:A133),$A$5:$A$34,0)),0)</f>
        <v>1</v>
      </c>
      <c r="H133" s="95" t="str">
        <f aca="false">IF(G133=0,"空闲",IF(G133&lt;=0.6,"低负荷",IF(G133&lt;=0.85,"正常",IF(G133&lt;=1,"满负荷","超负荷"))))</f>
        <v>满负荷</v>
      </c>
      <c r="I133" s="98" t="s">
        <v>651</v>
      </c>
      <c r="J133" s="98"/>
      <c r="K133" s="98"/>
      <c r="L133" s="97" t="s">
        <v>652</v>
      </c>
    </row>
    <row r="134" customFormat="false" ht="48" hidden="false" customHeight="true" outlineLevel="0" collapsed="false">
      <c r="A134" s="99"/>
      <c r="B134" s="92" t="n">
        <v>46216</v>
      </c>
      <c r="C134" s="92" t="n">
        <v>46222</v>
      </c>
      <c r="D134" s="91" t="s">
        <v>640</v>
      </c>
      <c r="E134" s="91" t="n">
        <v>1</v>
      </c>
      <c r="F134" s="93" t="n">
        <v>40</v>
      </c>
      <c r="G134" s="94" t="n">
        <f aca="false">IFERROR(F134/INDEX($G$5:$G$34,MATCH(LOOKUP(2,1/($A$39:A134&lt;&gt;""),$A$39:A134),$A$5:$A$34,0)),0)</f>
        <v>1</v>
      </c>
      <c r="H134" s="95" t="str">
        <f aca="false">IF(G134=0,"空闲",IF(G134&lt;=0.6,"低负荷",IF(G134&lt;=0.85,"正常",IF(G134&lt;=1,"满负荷","超负荷"))))</f>
        <v>满负荷</v>
      </c>
      <c r="I134" s="98" t="s">
        <v>650</v>
      </c>
      <c r="J134" s="98"/>
      <c r="K134" s="98"/>
      <c r="L134" s="97" t="s">
        <v>642</v>
      </c>
    </row>
    <row r="135" customFormat="false" ht="48" hidden="false" customHeight="true" outlineLevel="0" collapsed="false">
      <c r="A135" s="99"/>
      <c r="B135" s="92" t="n">
        <v>46223</v>
      </c>
      <c r="C135" s="92" t="n">
        <v>46229</v>
      </c>
      <c r="D135" s="91" t="s">
        <v>640</v>
      </c>
      <c r="E135" s="91" t="n">
        <v>1</v>
      </c>
      <c r="F135" s="93" t="n">
        <v>40</v>
      </c>
      <c r="G135" s="94" t="n">
        <f aca="false">IFERROR(F135/INDEX($G$5:$G$34,MATCH(LOOKUP(2,1/($A$39:A135&lt;&gt;""),$A$39:A135),$A$5:$A$34,0)),0)</f>
        <v>1</v>
      </c>
      <c r="H135" s="95" t="str">
        <f aca="false">IF(G135=0,"空闲",IF(G135&lt;=0.6,"低负荷",IF(G135&lt;=0.85,"正常",IF(G135&lt;=1,"满负荷","超负荷"))))</f>
        <v>满负荷</v>
      </c>
      <c r="I135" s="98" t="s">
        <v>650</v>
      </c>
      <c r="J135" s="98"/>
      <c r="K135" s="98"/>
      <c r="L135" s="97" t="s">
        <v>642</v>
      </c>
    </row>
    <row r="136" customFormat="false" ht="48" hidden="false" customHeight="true" outlineLevel="0" collapsed="false">
      <c r="A136" s="99"/>
      <c r="B136" s="92" t="n">
        <v>46230</v>
      </c>
      <c r="C136" s="92" t="n">
        <v>46236</v>
      </c>
      <c r="D136" s="91" t="s">
        <v>640</v>
      </c>
      <c r="E136" s="91" t="n">
        <v>1</v>
      </c>
      <c r="F136" s="93" t="n">
        <v>40</v>
      </c>
      <c r="G136" s="94" t="n">
        <f aca="false">IFERROR(F136/INDEX($G$5:$G$34,MATCH(LOOKUP(2,1/($A$39:A136&lt;&gt;""),$A$39:A136),$A$5:$A$34,0)),0)</f>
        <v>1</v>
      </c>
      <c r="H136" s="95" t="str">
        <f aca="false">IF(G136=0,"空闲",IF(G136&lt;=0.6,"低负荷",IF(G136&lt;=0.85,"正常",IF(G136&lt;=1,"满负荷","超负荷"))))</f>
        <v>满负荷</v>
      </c>
      <c r="I136" s="98" t="s">
        <v>650</v>
      </c>
      <c r="J136" s="98"/>
      <c r="K136" s="98"/>
      <c r="L136" s="97" t="s">
        <v>642</v>
      </c>
    </row>
    <row r="137" customFormat="false" ht="48" hidden="false" customHeight="true" outlineLevel="0" collapsed="false">
      <c r="A137" s="99"/>
      <c r="B137" s="92" t="n">
        <v>46237</v>
      </c>
      <c r="C137" s="92" t="n">
        <v>46243</v>
      </c>
      <c r="D137" s="91" t="s">
        <v>640</v>
      </c>
      <c r="E137" s="91" t="n">
        <v>1</v>
      </c>
      <c r="F137" s="93" t="n">
        <v>40</v>
      </c>
      <c r="G137" s="94" t="n">
        <f aca="false">IFERROR(F137/INDEX($G$5:$G$34,MATCH(LOOKUP(2,1/($A$39:A137&lt;&gt;""),$A$39:A137),$A$5:$A$34,0)),0)</f>
        <v>1</v>
      </c>
      <c r="H137" s="95" t="str">
        <f aca="false">IF(G137=0,"空闲",IF(G137&lt;=0.6,"低负荷",IF(G137&lt;=0.85,"正常",IF(G137&lt;=1,"满负荷","超负荷"))))</f>
        <v>满负荷</v>
      </c>
      <c r="I137" s="98" t="s">
        <v>650</v>
      </c>
      <c r="J137" s="98"/>
      <c r="K137" s="98"/>
      <c r="L137" s="97" t="s">
        <v>642</v>
      </c>
    </row>
    <row r="138" customFormat="false" ht="48" hidden="false" customHeight="true" outlineLevel="0" collapsed="false">
      <c r="A138" s="99"/>
      <c r="B138" s="92" t="n">
        <v>46244</v>
      </c>
      <c r="C138" s="92" t="n">
        <v>46250</v>
      </c>
      <c r="D138" s="91" t="s">
        <v>638</v>
      </c>
      <c r="E138" s="91" t="n">
        <v>0</v>
      </c>
      <c r="F138" s="93" t="n">
        <v>0</v>
      </c>
      <c r="G138" s="94" t="n">
        <f aca="false">IFERROR(F138/INDEX($G$5:$G$34,MATCH(LOOKUP(2,1/($A$39:A138&lt;&gt;""),$A$39:A138),$A$5:$A$34,0)),0)</f>
        <v>0</v>
      </c>
      <c r="H138" s="95" t="str">
        <f aca="false">IF(G138=0,"空闲",IF(G138&lt;=0.6,"低负荷",IF(G138&lt;=0.85,"正常",IF(G138&lt;=1,"满负荷","超负荷"))))</f>
        <v>空闲</v>
      </c>
      <c r="I138" s="96" t="s">
        <v>638</v>
      </c>
      <c r="J138" s="96"/>
      <c r="K138" s="96"/>
      <c r="L138" s="97" t="s">
        <v>639</v>
      </c>
    </row>
    <row r="139" customFormat="false" ht="48" hidden="false" customHeight="true" outlineLevel="0" collapsed="false">
      <c r="A139" s="99"/>
      <c r="B139" s="92" t="n">
        <v>46251</v>
      </c>
      <c r="C139" s="92" t="n">
        <v>46257</v>
      </c>
      <c r="D139" s="91" t="s">
        <v>638</v>
      </c>
      <c r="E139" s="91" t="n">
        <v>0</v>
      </c>
      <c r="F139" s="93" t="n">
        <v>0</v>
      </c>
      <c r="G139" s="94" t="n">
        <f aca="false">IFERROR(F139/INDEX($G$5:$G$34,MATCH(LOOKUP(2,1/($A$39:A139&lt;&gt;""),$A$39:A139),$A$5:$A$34,0)),0)</f>
        <v>0</v>
      </c>
      <c r="H139" s="95" t="str">
        <f aca="false">IF(G139=0,"空闲",IF(G139&lt;=0.6,"低负荷",IF(G139&lt;=0.85,"正常",IF(G139&lt;=1,"满负荷","超负荷"))))</f>
        <v>空闲</v>
      </c>
      <c r="I139" s="96" t="s">
        <v>638</v>
      </c>
      <c r="J139" s="96"/>
      <c r="K139" s="96"/>
      <c r="L139" s="97" t="s">
        <v>639</v>
      </c>
    </row>
    <row r="140" customFormat="false" ht="48" hidden="false" customHeight="true" outlineLevel="0" collapsed="false">
      <c r="A140" s="99"/>
      <c r="B140" s="92" t="n">
        <v>46258</v>
      </c>
      <c r="C140" s="92" t="n">
        <v>46264</v>
      </c>
      <c r="D140" s="91" t="s">
        <v>638</v>
      </c>
      <c r="E140" s="91" t="n">
        <v>0</v>
      </c>
      <c r="F140" s="93" t="n">
        <v>0</v>
      </c>
      <c r="G140" s="94" t="n">
        <f aca="false">IFERROR(F140/INDEX($G$5:$G$34,MATCH(LOOKUP(2,1/($A$39:A140&lt;&gt;""),$A$39:A140),$A$5:$A$34,0)),0)</f>
        <v>0</v>
      </c>
      <c r="H140" s="95" t="str">
        <f aca="false">IF(G140=0,"空闲",IF(G140&lt;=0.6,"低负荷",IF(G140&lt;=0.85,"正常",IF(G140&lt;=1,"满负荷","超负荷"))))</f>
        <v>空闲</v>
      </c>
      <c r="I140" s="96" t="s">
        <v>638</v>
      </c>
      <c r="J140" s="96"/>
      <c r="K140" s="96"/>
      <c r="L140" s="97" t="s">
        <v>639</v>
      </c>
    </row>
    <row r="141" customFormat="false" ht="48" hidden="false" customHeight="true" outlineLevel="0" collapsed="false">
      <c r="A141" s="99"/>
      <c r="B141" s="92" t="n">
        <v>46265</v>
      </c>
      <c r="C141" s="92" t="n">
        <v>46271</v>
      </c>
      <c r="D141" s="91" t="s">
        <v>638</v>
      </c>
      <c r="E141" s="91" t="n">
        <v>0</v>
      </c>
      <c r="F141" s="93" t="n">
        <v>0</v>
      </c>
      <c r="G141" s="94" t="n">
        <f aca="false">IFERROR(F141/INDEX($G$5:$G$34,MATCH(LOOKUP(2,1/($A$39:A141&lt;&gt;""),$A$39:A141),$A$5:$A$34,0)),0)</f>
        <v>0</v>
      </c>
      <c r="H141" s="95" t="str">
        <f aca="false">IF(G141=0,"空闲",IF(G141&lt;=0.6,"低负荷",IF(G141&lt;=0.85,"正常",IF(G141&lt;=1,"满负荷","超负荷"))))</f>
        <v>空闲</v>
      </c>
      <c r="I141" s="96" t="s">
        <v>638</v>
      </c>
      <c r="J141" s="96"/>
      <c r="K141" s="96"/>
      <c r="L141" s="97" t="s">
        <v>639</v>
      </c>
    </row>
    <row r="142" customFormat="false" ht="48" hidden="false" customHeight="true" outlineLevel="0" collapsed="false">
      <c r="A142" s="99"/>
      <c r="B142" s="92" t="n">
        <v>46272</v>
      </c>
      <c r="C142" s="92" t="n">
        <v>46278</v>
      </c>
      <c r="D142" s="91" t="s">
        <v>638</v>
      </c>
      <c r="E142" s="91" t="n">
        <v>0</v>
      </c>
      <c r="F142" s="93" t="n">
        <v>0</v>
      </c>
      <c r="G142" s="94" t="n">
        <f aca="false">IFERROR(F142/INDEX($G$5:$G$34,MATCH(LOOKUP(2,1/($A$39:A142&lt;&gt;""),$A$39:A142),$A$5:$A$34,0)),0)</f>
        <v>0</v>
      </c>
      <c r="H142" s="95" t="str">
        <f aca="false">IF(G142=0,"空闲",IF(G142&lt;=0.6,"低负荷",IF(G142&lt;=0.85,"正常",IF(G142&lt;=1,"满负荷","超负荷"))))</f>
        <v>空闲</v>
      </c>
      <c r="I142" s="96" t="s">
        <v>638</v>
      </c>
      <c r="J142" s="96"/>
      <c r="K142" s="96"/>
      <c r="L142" s="97" t="s">
        <v>639</v>
      </c>
    </row>
    <row r="143" customFormat="false" ht="48" hidden="false" customHeight="true" outlineLevel="0" collapsed="false">
      <c r="A143" s="99"/>
      <c r="B143" s="92" t="n">
        <v>46279</v>
      </c>
      <c r="C143" s="92" t="n">
        <v>46285</v>
      </c>
      <c r="D143" s="91" t="s">
        <v>638</v>
      </c>
      <c r="E143" s="91" t="n">
        <v>0</v>
      </c>
      <c r="F143" s="93" t="n">
        <v>0</v>
      </c>
      <c r="G143" s="94" t="n">
        <f aca="false">IFERROR(F143/INDEX($G$5:$G$34,MATCH(LOOKUP(2,1/($A$39:A143&lt;&gt;""),$A$39:A143),$A$5:$A$34,0)),0)</f>
        <v>0</v>
      </c>
      <c r="H143" s="95" t="str">
        <f aca="false">IF(G143=0,"空闲",IF(G143&lt;=0.6,"低负荷",IF(G143&lt;=0.85,"正常",IF(G143&lt;=1,"满负荷","超负荷"))))</f>
        <v>空闲</v>
      </c>
      <c r="I143" s="96" t="s">
        <v>638</v>
      </c>
      <c r="J143" s="96"/>
      <c r="K143" s="96"/>
      <c r="L143" s="97" t="s">
        <v>639</v>
      </c>
    </row>
    <row r="144" customFormat="false" ht="48" hidden="false" customHeight="true" outlineLevel="0" collapsed="false">
      <c r="A144" s="99"/>
      <c r="B144" s="92" t="n">
        <v>46286</v>
      </c>
      <c r="C144" s="92" t="n">
        <v>46292</v>
      </c>
      <c r="D144" s="91" t="s">
        <v>638</v>
      </c>
      <c r="E144" s="91" t="n">
        <v>0</v>
      </c>
      <c r="F144" s="93" t="n">
        <v>0</v>
      </c>
      <c r="G144" s="94" t="n">
        <f aca="false">IFERROR(F144/INDEX($G$5:$G$34,MATCH(LOOKUP(2,1/($A$39:A144&lt;&gt;""),$A$39:A144),$A$5:$A$34,0)),0)</f>
        <v>0</v>
      </c>
      <c r="H144" s="95" t="str">
        <f aca="false">IF(G144=0,"空闲",IF(G144&lt;=0.6,"低负荷",IF(G144&lt;=0.85,"正常",IF(G144&lt;=1,"满负荷","超负荷"))))</f>
        <v>空闲</v>
      </c>
      <c r="I144" s="96" t="s">
        <v>638</v>
      </c>
      <c r="J144" s="96"/>
      <c r="K144" s="96"/>
      <c r="L144" s="97" t="s">
        <v>639</v>
      </c>
    </row>
    <row r="145" customFormat="false" ht="48" hidden="false" customHeight="true" outlineLevel="0" collapsed="false">
      <c r="A145" s="99"/>
      <c r="B145" s="92" t="n">
        <v>46293</v>
      </c>
      <c r="C145" s="92" t="n">
        <v>46299</v>
      </c>
      <c r="D145" s="91" t="s">
        <v>640</v>
      </c>
      <c r="E145" s="91" t="n">
        <v>1</v>
      </c>
      <c r="F145" s="93" t="n">
        <v>40</v>
      </c>
      <c r="G145" s="94" t="n">
        <f aca="false">IFERROR(F145/INDEX($G$5:$G$34,MATCH(LOOKUP(2,1/($A$39:A145&lt;&gt;""),$A$39:A145),$A$5:$A$34,0)),0)</f>
        <v>1</v>
      </c>
      <c r="H145" s="95" t="str">
        <f aca="false">IF(G145=0,"空闲",IF(G145&lt;=0.6,"低负荷",IF(G145&lt;=0.85,"正常",IF(G145&lt;=1,"满负荷","超负荷"))))</f>
        <v>满负荷</v>
      </c>
      <c r="I145" s="98" t="s">
        <v>653</v>
      </c>
      <c r="J145" s="98"/>
      <c r="K145" s="98"/>
      <c r="L145" s="97" t="s">
        <v>642</v>
      </c>
    </row>
    <row r="146" customFormat="false" ht="48" hidden="false" customHeight="true" outlineLevel="0" collapsed="false">
      <c r="A146" s="99"/>
      <c r="B146" s="92" t="n">
        <v>46300</v>
      </c>
      <c r="C146" s="92" t="n">
        <v>46306</v>
      </c>
      <c r="D146" s="91" t="s">
        <v>640</v>
      </c>
      <c r="E146" s="91" t="n">
        <v>2</v>
      </c>
      <c r="F146" s="93" t="n">
        <v>40</v>
      </c>
      <c r="G146" s="94" t="n">
        <f aca="false">IFERROR(F146/INDEX($G$5:$G$34,MATCH(LOOKUP(2,1/($A$39:A146&lt;&gt;""),$A$39:A146),$A$5:$A$34,0)),0)</f>
        <v>1</v>
      </c>
      <c r="H146" s="95" t="str">
        <f aca="false">IF(G146=0,"空闲",IF(G146&lt;=0.6,"低负荷",IF(G146&lt;=0.85,"正常",IF(G146&lt;=1,"满负荷","超负荷"))))</f>
        <v>满负荷</v>
      </c>
      <c r="I146" s="98" t="s">
        <v>654</v>
      </c>
      <c r="J146" s="98"/>
      <c r="K146" s="98"/>
      <c r="L146" s="97" t="s">
        <v>652</v>
      </c>
    </row>
    <row r="147" customFormat="false" ht="48" hidden="false" customHeight="true" outlineLevel="0" collapsed="false">
      <c r="A147" s="99"/>
      <c r="B147" s="92" t="n">
        <v>46307</v>
      </c>
      <c r="C147" s="92" t="n">
        <v>46313</v>
      </c>
      <c r="D147" s="91" t="s">
        <v>640</v>
      </c>
      <c r="E147" s="91" t="n">
        <v>1</v>
      </c>
      <c r="F147" s="93" t="n">
        <v>40</v>
      </c>
      <c r="G147" s="94" t="n">
        <f aca="false">IFERROR(F147/INDEX($G$5:$G$34,MATCH(LOOKUP(2,1/($A$39:A147&lt;&gt;""),$A$39:A147),$A$5:$A$34,0)),0)</f>
        <v>1</v>
      </c>
      <c r="H147" s="95" t="str">
        <f aca="false">IF(G147=0,"空闲",IF(G147&lt;=0.6,"低负荷",IF(G147&lt;=0.85,"正常",IF(G147&lt;=1,"满负荷","超负荷"))))</f>
        <v>满负荷</v>
      </c>
      <c r="I147" s="98" t="s">
        <v>655</v>
      </c>
      <c r="J147" s="98"/>
      <c r="K147" s="98"/>
      <c r="L147" s="97" t="s">
        <v>642</v>
      </c>
    </row>
    <row r="148" customFormat="false" ht="48" hidden="false" customHeight="true" outlineLevel="0" collapsed="false">
      <c r="A148" s="99"/>
      <c r="B148" s="92" t="n">
        <v>46314</v>
      </c>
      <c r="C148" s="92" t="n">
        <v>46320</v>
      </c>
      <c r="D148" s="91" t="s">
        <v>640</v>
      </c>
      <c r="E148" s="91" t="n">
        <v>1</v>
      </c>
      <c r="F148" s="93" t="n">
        <v>40</v>
      </c>
      <c r="G148" s="94" t="n">
        <f aca="false">IFERROR(F148/INDEX($G$5:$G$34,MATCH(LOOKUP(2,1/($A$39:A148&lt;&gt;""),$A$39:A148),$A$5:$A$34,0)),0)</f>
        <v>1</v>
      </c>
      <c r="H148" s="95" t="str">
        <f aca="false">IF(G148=0,"空闲",IF(G148&lt;=0.6,"低负荷",IF(G148&lt;=0.85,"正常",IF(G148&lt;=1,"满负荷","超负荷"))))</f>
        <v>满负荷</v>
      </c>
      <c r="I148" s="98" t="s">
        <v>656</v>
      </c>
      <c r="J148" s="98"/>
      <c r="K148" s="98"/>
      <c r="L148" s="97" t="s">
        <v>642</v>
      </c>
    </row>
    <row r="149" customFormat="false" ht="48" hidden="false" customHeight="true" outlineLevel="0" collapsed="false">
      <c r="A149" s="99"/>
      <c r="B149" s="92" t="n">
        <v>46321</v>
      </c>
      <c r="C149" s="92" t="n">
        <v>46327</v>
      </c>
      <c r="D149" s="91" t="s">
        <v>638</v>
      </c>
      <c r="E149" s="91" t="n">
        <v>0</v>
      </c>
      <c r="F149" s="93" t="n">
        <v>0</v>
      </c>
      <c r="G149" s="94" t="n">
        <f aca="false">IFERROR(F149/INDEX($G$5:$G$34,MATCH(LOOKUP(2,1/($A$39:A149&lt;&gt;""),$A$39:A149),$A$5:$A$34,0)),0)</f>
        <v>0</v>
      </c>
      <c r="H149" s="95" t="str">
        <f aca="false">IF(G149=0,"空闲",IF(G149&lt;=0.6,"低负荷",IF(G149&lt;=0.85,"正常",IF(G149&lt;=1,"满负荷","超负荷"))))</f>
        <v>空闲</v>
      </c>
      <c r="I149" s="96" t="s">
        <v>638</v>
      </c>
      <c r="J149" s="96"/>
      <c r="K149" s="96"/>
      <c r="L149" s="97" t="s">
        <v>639</v>
      </c>
    </row>
    <row r="150" customFormat="false" ht="48" hidden="false" customHeight="true" outlineLevel="0" collapsed="false">
      <c r="A150" s="99"/>
      <c r="B150" s="92" t="n">
        <v>46328</v>
      </c>
      <c r="C150" s="92" t="n">
        <v>46334</v>
      </c>
      <c r="D150" s="91" t="s">
        <v>638</v>
      </c>
      <c r="E150" s="91" t="n">
        <v>0</v>
      </c>
      <c r="F150" s="93" t="n">
        <v>0</v>
      </c>
      <c r="G150" s="94" t="n">
        <f aca="false">IFERROR(F150/INDEX($G$5:$G$34,MATCH(LOOKUP(2,1/($A$39:A150&lt;&gt;""),$A$39:A150),$A$5:$A$34,0)),0)</f>
        <v>0</v>
      </c>
      <c r="H150" s="95" t="str">
        <f aca="false">IF(G150=0,"空闲",IF(G150&lt;=0.6,"低负荷",IF(G150&lt;=0.85,"正常",IF(G150&lt;=1,"满负荷","超负荷"))))</f>
        <v>空闲</v>
      </c>
      <c r="I150" s="96" t="s">
        <v>638</v>
      </c>
      <c r="J150" s="96"/>
      <c r="K150" s="96"/>
      <c r="L150" s="97" t="s">
        <v>639</v>
      </c>
    </row>
    <row r="151" customFormat="false" ht="48" hidden="false" customHeight="true" outlineLevel="0" collapsed="false">
      <c r="A151" s="99"/>
      <c r="B151" s="92" t="n">
        <v>46335</v>
      </c>
      <c r="C151" s="92" t="n">
        <v>46341</v>
      </c>
      <c r="D151" s="91" t="s">
        <v>638</v>
      </c>
      <c r="E151" s="91" t="n">
        <v>0</v>
      </c>
      <c r="F151" s="93" t="n">
        <v>0</v>
      </c>
      <c r="G151" s="94" t="n">
        <f aca="false">IFERROR(F151/INDEX($G$5:$G$34,MATCH(LOOKUP(2,1/($A$39:A151&lt;&gt;""),$A$39:A151),$A$5:$A$34,0)),0)</f>
        <v>0</v>
      </c>
      <c r="H151" s="95" t="str">
        <f aca="false">IF(G151=0,"空闲",IF(G151&lt;=0.6,"低负荷",IF(G151&lt;=0.85,"正常",IF(G151&lt;=1,"满负荷","超负荷"))))</f>
        <v>空闲</v>
      </c>
      <c r="I151" s="96" t="s">
        <v>638</v>
      </c>
      <c r="J151" s="96"/>
      <c r="K151" s="96"/>
      <c r="L151" s="97" t="s">
        <v>639</v>
      </c>
    </row>
    <row r="152" customFormat="false" ht="48" hidden="false" customHeight="true" outlineLevel="0" collapsed="false">
      <c r="A152" s="99"/>
      <c r="B152" s="92" t="n">
        <v>46342</v>
      </c>
      <c r="C152" s="92" t="n">
        <v>46348</v>
      </c>
      <c r="D152" s="91" t="s">
        <v>638</v>
      </c>
      <c r="E152" s="91" t="n">
        <v>0</v>
      </c>
      <c r="F152" s="93" t="n">
        <v>0</v>
      </c>
      <c r="G152" s="94" t="n">
        <f aca="false">IFERROR(F152/INDEX($G$5:$G$34,MATCH(LOOKUP(2,1/($A$39:A152&lt;&gt;""),$A$39:A152),$A$5:$A$34,0)),0)</f>
        <v>0</v>
      </c>
      <c r="H152" s="95" t="str">
        <f aca="false">IF(G152=0,"空闲",IF(G152&lt;=0.6,"低负荷",IF(G152&lt;=0.85,"正常",IF(G152&lt;=1,"满负荷","超负荷"))))</f>
        <v>空闲</v>
      </c>
      <c r="I152" s="96" t="s">
        <v>638</v>
      </c>
      <c r="J152" s="96"/>
      <c r="K152" s="96"/>
      <c r="L152" s="97" t="s">
        <v>639</v>
      </c>
    </row>
    <row r="153" customFormat="false" ht="48" hidden="false" customHeight="true" outlineLevel="0" collapsed="false">
      <c r="A153" s="99"/>
      <c r="B153" s="92" t="n">
        <v>46349</v>
      </c>
      <c r="C153" s="92" t="n">
        <v>46355</v>
      </c>
      <c r="D153" s="91" t="s">
        <v>638</v>
      </c>
      <c r="E153" s="91" t="n">
        <v>0</v>
      </c>
      <c r="F153" s="93" t="n">
        <v>0</v>
      </c>
      <c r="G153" s="94" t="n">
        <f aca="false">IFERROR(F153/INDEX($G$5:$G$34,MATCH(LOOKUP(2,1/($A$39:A153&lt;&gt;""),$A$39:A153),$A$5:$A$34,0)),0)</f>
        <v>0</v>
      </c>
      <c r="H153" s="95" t="str">
        <f aca="false">IF(G153=0,"空闲",IF(G153&lt;=0.6,"低负荷",IF(G153&lt;=0.85,"正常",IF(G153&lt;=1,"满负荷","超负荷"))))</f>
        <v>空闲</v>
      </c>
      <c r="I153" s="96" t="s">
        <v>638</v>
      </c>
      <c r="J153" s="96"/>
      <c r="K153" s="96"/>
      <c r="L153" s="97" t="s">
        <v>639</v>
      </c>
    </row>
    <row r="154" customFormat="false" ht="48" hidden="false" customHeight="true" outlineLevel="0" collapsed="false">
      <c r="A154" s="99"/>
      <c r="B154" s="100" t="n">
        <v>46356</v>
      </c>
      <c r="C154" s="100" t="n">
        <v>46362</v>
      </c>
      <c r="D154" s="99" t="s">
        <v>638</v>
      </c>
      <c r="E154" s="99" t="n">
        <v>0</v>
      </c>
      <c r="F154" s="101" t="n">
        <v>0</v>
      </c>
      <c r="G154" s="102" t="n">
        <f aca="false">IFERROR(F154/INDEX($G$5:$G$34,MATCH(LOOKUP(2,1/($A$39:A154&lt;&gt;""),$A$39:A154),$A$5:$A$34,0)),0)</f>
        <v>0</v>
      </c>
      <c r="H154" s="103" t="str">
        <f aca="false">IF(G154=0,"空闲",IF(G154&lt;=0.6,"低负荷",IF(G154&lt;=0.85,"正常",IF(G154&lt;=1,"满负荷","超负荷"))))</f>
        <v>空闲</v>
      </c>
      <c r="I154" s="104" t="s">
        <v>638</v>
      </c>
      <c r="J154" s="104"/>
      <c r="K154" s="104"/>
      <c r="L154" s="105" t="s">
        <v>639</v>
      </c>
    </row>
    <row r="155" customFormat="false" ht="48" hidden="false" customHeight="true" outlineLevel="0" collapsed="false">
      <c r="A155" s="99"/>
      <c r="B155" s="100" t="n">
        <v>46363</v>
      </c>
      <c r="C155" s="100" t="n">
        <v>46369</v>
      </c>
      <c r="D155" s="99" t="s">
        <v>638</v>
      </c>
      <c r="E155" s="99" t="n">
        <v>0</v>
      </c>
      <c r="F155" s="101" t="n">
        <v>0</v>
      </c>
      <c r="G155" s="102" t="n">
        <f aca="false">IFERROR(F155/INDEX($G$5:$G$34,MATCH(LOOKUP(2,1/($A$39:A155&lt;&gt;""),$A$39:A155),$A$5:$A$34,0)),0)</f>
        <v>0</v>
      </c>
      <c r="H155" s="103" t="str">
        <f aca="false">IF(G155=0,"空闲",IF(G155&lt;=0.6,"低负荷",IF(G155&lt;=0.85,"正常",IF(G155&lt;=1,"满负荷","超负荷"))))</f>
        <v>空闲</v>
      </c>
      <c r="I155" s="104" t="s">
        <v>638</v>
      </c>
      <c r="J155" s="104"/>
      <c r="K155" s="104"/>
      <c r="L155" s="105" t="s">
        <v>639</v>
      </c>
    </row>
    <row r="156" customFormat="false" ht="48" hidden="false" customHeight="true" outlineLevel="0" collapsed="false">
      <c r="A156" s="99"/>
      <c r="B156" s="100" t="n">
        <v>46370</v>
      </c>
      <c r="C156" s="100" t="n">
        <v>46376</v>
      </c>
      <c r="D156" s="99" t="s">
        <v>638</v>
      </c>
      <c r="E156" s="99" t="n">
        <v>0</v>
      </c>
      <c r="F156" s="101" t="n">
        <v>0</v>
      </c>
      <c r="G156" s="102" t="n">
        <f aca="false">IFERROR(F156/INDEX($G$5:$G$34,MATCH(LOOKUP(2,1/($A$39:A156&lt;&gt;""),$A$39:A156),$A$5:$A$34,0)),0)</f>
        <v>0</v>
      </c>
      <c r="H156" s="103" t="str">
        <f aca="false">IF(G156=0,"空闲",IF(G156&lt;=0.6,"低负荷",IF(G156&lt;=0.85,"正常",IF(G156&lt;=1,"满负荷","超负荷"))))</f>
        <v>空闲</v>
      </c>
      <c r="I156" s="104" t="s">
        <v>638</v>
      </c>
      <c r="J156" s="104"/>
      <c r="K156" s="104"/>
      <c r="L156" s="105" t="s">
        <v>639</v>
      </c>
    </row>
    <row r="157" customFormat="false" ht="48" hidden="false" customHeight="true" outlineLevel="0" collapsed="false">
      <c r="A157" s="99"/>
      <c r="B157" s="100" t="n">
        <v>46377</v>
      </c>
      <c r="C157" s="100" t="n">
        <v>46383</v>
      </c>
      <c r="D157" s="99" t="s">
        <v>638</v>
      </c>
      <c r="E157" s="99" t="n">
        <v>0</v>
      </c>
      <c r="F157" s="101" t="n">
        <v>0</v>
      </c>
      <c r="G157" s="102" t="n">
        <f aca="false">IFERROR(F157/INDEX($G$5:$G$34,MATCH(LOOKUP(2,1/($A$39:A157&lt;&gt;""),$A$39:A157),$A$5:$A$34,0)),0)</f>
        <v>0</v>
      </c>
      <c r="H157" s="103" t="str">
        <f aca="false">IF(G157=0,"空闲",IF(G157&lt;=0.6,"低负荷",IF(G157&lt;=0.85,"正常",IF(G157&lt;=1,"满负荷","超负荷"))))</f>
        <v>空闲</v>
      </c>
      <c r="I157" s="104" t="s">
        <v>638</v>
      </c>
      <c r="J157" s="104"/>
      <c r="K157" s="104"/>
      <c r="L157" s="105" t="s">
        <v>639</v>
      </c>
    </row>
    <row r="158" customFormat="false" ht="48" hidden="false" customHeight="true" outlineLevel="0" collapsed="false">
      <c r="A158" s="99"/>
      <c r="B158" s="100" t="n">
        <v>46384</v>
      </c>
      <c r="C158" s="100" t="n">
        <v>46390</v>
      </c>
      <c r="D158" s="99" t="s">
        <v>638</v>
      </c>
      <c r="E158" s="99" t="n">
        <v>0</v>
      </c>
      <c r="F158" s="101" t="n">
        <v>0</v>
      </c>
      <c r="G158" s="102" t="n">
        <f aca="false">IFERROR(F158/INDEX($G$5:$G$34,MATCH(LOOKUP(2,1/($A$39:A158&lt;&gt;""),$A$39:A158),$A$5:$A$34,0)),0)</f>
        <v>0</v>
      </c>
      <c r="H158" s="103" t="str">
        <f aca="false">IF(G158=0,"空闲",IF(G158&lt;=0.6,"低负荷",IF(G158&lt;=0.85,"正常",IF(G158&lt;=1,"满负荷","超负荷"))))</f>
        <v>空闲</v>
      </c>
      <c r="I158" s="104" t="s">
        <v>638</v>
      </c>
      <c r="J158" s="104"/>
      <c r="K158" s="104"/>
      <c r="L158" s="105" t="s">
        <v>639</v>
      </c>
    </row>
    <row r="159" customFormat="false" ht="48" hidden="false" customHeight="true" outlineLevel="0" collapsed="false">
      <c r="A159" s="99"/>
      <c r="B159" s="100" t="n">
        <v>46391</v>
      </c>
      <c r="C159" s="100" t="n">
        <v>46397</v>
      </c>
      <c r="D159" s="99" t="s">
        <v>638</v>
      </c>
      <c r="E159" s="99" t="n">
        <v>0</v>
      </c>
      <c r="F159" s="101" t="n">
        <v>0</v>
      </c>
      <c r="G159" s="102" t="n">
        <f aca="false">IFERROR(F159/INDEX($G$5:$G$34,MATCH(LOOKUP(2,1/($A$39:A159&lt;&gt;""),$A$39:A159),$A$5:$A$34,0)),0)</f>
        <v>0</v>
      </c>
      <c r="H159" s="103" t="str">
        <f aca="false">IF(G159=0,"空闲",IF(G159&lt;=0.6,"低负荷",IF(G159&lt;=0.85,"正常",IF(G159&lt;=1,"满负荷","超负荷"))))</f>
        <v>空闲</v>
      </c>
      <c r="I159" s="104" t="s">
        <v>638</v>
      </c>
      <c r="J159" s="104"/>
      <c r="K159" s="104"/>
      <c r="L159" s="105" t="s">
        <v>639</v>
      </c>
    </row>
    <row r="160" customFormat="false" ht="48" hidden="false" customHeight="true" outlineLevel="0" collapsed="false">
      <c r="A160" s="99"/>
      <c r="B160" s="100" t="n">
        <v>46398</v>
      </c>
      <c r="C160" s="100" t="n">
        <v>46404</v>
      </c>
      <c r="D160" s="99" t="s">
        <v>638</v>
      </c>
      <c r="E160" s="99" t="n">
        <v>0</v>
      </c>
      <c r="F160" s="101" t="n">
        <v>0</v>
      </c>
      <c r="G160" s="102" t="n">
        <f aca="false">IFERROR(F160/INDEX($G$5:$G$34,MATCH(LOOKUP(2,1/($A$39:A160&lt;&gt;""),$A$39:A160),$A$5:$A$34,0)),0)</f>
        <v>0</v>
      </c>
      <c r="H160" s="103" t="str">
        <f aca="false">IF(G160=0,"空闲",IF(G160&lt;=0.6,"低负荷",IF(G160&lt;=0.85,"正常",IF(G160&lt;=1,"满负荷","超负荷"))))</f>
        <v>空闲</v>
      </c>
      <c r="I160" s="104" t="s">
        <v>638</v>
      </c>
      <c r="J160" s="104"/>
      <c r="K160" s="104"/>
      <c r="L160" s="105" t="s">
        <v>639</v>
      </c>
    </row>
    <row r="161" customFormat="false" ht="48" hidden="false" customHeight="true" outlineLevel="0" collapsed="false">
      <c r="A161" s="99"/>
      <c r="B161" s="100" t="n">
        <v>46405</v>
      </c>
      <c r="C161" s="100" t="n">
        <v>46411</v>
      </c>
      <c r="D161" s="99" t="s">
        <v>638</v>
      </c>
      <c r="E161" s="99" t="n">
        <v>0</v>
      </c>
      <c r="F161" s="101" t="n">
        <v>0</v>
      </c>
      <c r="G161" s="102" t="n">
        <f aca="false">IFERROR(F161/INDEX($G$5:$G$34,MATCH(LOOKUP(2,1/($A$39:A161&lt;&gt;""),$A$39:A161),$A$5:$A$34,0)),0)</f>
        <v>0</v>
      </c>
      <c r="H161" s="103" t="str">
        <f aca="false">IF(G161=0,"空闲",IF(G161&lt;=0.6,"低负荷",IF(G161&lt;=0.85,"正常",IF(G161&lt;=1,"满负荷","超负荷"))))</f>
        <v>空闲</v>
      </c>
      <c r="I161" s="104" t="s">
        <v>638</v>
      </c>
      <c r="J161" s="104"/>
      <c r="K161" s="104"/>
      <c r="L161" s="105" t="s">
        <v>639</v>
      </c>
    </row>
    <row r="162" customFormat="false" ht="48" hidden="false" customHeight="true" outlineLevel="0" collapsed="false">
      <c r="A162" s="99"/>
      <c r="B162" s="100" t="n">
        <v>46412</v>
      </c>
      <c r="C162" s="100" t="n">
        <v>46418</v>
      </c>
      <c r="D162" s="99" t="s">
        <v>638</v>
      </c>
      <c r="E162" s="99" t="n">
        <v>0</v>
      </c>
      <c r="F162" s="101" t="n">
        <v>0</v>
      </c>
      <c r="G162" s="102" t="n">
        <f aca="false">IFERROR(F162/INDEX($G$5:$G$34,MATCH(LOOKUP(2,1/($A$39:A162&lt;&gt;""),$A$39:A162),$A$5:$A$34,0)),0)</f>
        <v>0</v>
      </c>
      <c r="H162" s="103" t="str">
        <f aca="false">IF(G162=0,"空闲",IF(G162&lt;=0.6,"低负荷",IF(G162&lt;=0.85,"正常",IF(G162&lt;=1,"满负荷","超负荷"))))</f>
        <v>空闲</v>
      </c>
      <c r="I162" s="104" t="s">
        <v>638</v>
      </c>
      <c r="J162" s="104"/>
      <c r="K162" s="104"/>
      <c r="L162" s="105" t="s">
        <v>639</v>
      </c>
    </row>
    <row r="163" customFormat="false" ht="48" hidden="false" customHeight="true" outlineLevel="0" collapsed="false">
      <c r="A163" s="99"/>
      <c r="B163" s="100" t="n">
        <v>46419</v>
      </c>
      <c r="C163" s="100" t="n">
        <v>46425</v>
      </c>
      <c r="D163" s="99" t="s">
        <v>638</v>
      </c>
      <c r="E163" s="99" t="n">
        <v>0</v>
      </c>
      <c r="F163" s="101" t="n">
        <v>0</v>
      </c>
      <c r="G163" s="102" t="n">
        <f aca="false">IFERROR(F163/INDEX($G$5:$G$34,MATCH(LOOKUP(2,1/($A$39:A163&lt;&gt;""),$A$39:A163),$A$5:$A$34,0)),0)</f>
        <v>0</v>
      </c>
      <c r="H163" s="103" t="str">
        <f aca="false">IF(G163=0,"空闲",IF(G163&lt;=0.6,"低负荷",IF(G163&lt;=0.85,"正常",IF(G163&lt;=1,"满负荷","超负荷"))))</f>
        <v>空闲</v>
      </c>
      <c r="I163" s="104" t="s">
        <v>638</v>
      </c>
      <c r="J163" s="104"/>
      <c r="K163" s="104"/>
      <c r="L163" s="105" t="s">
        <v>639</v>
      </c>
    </row>
    <row r="164" customFormat="false" ht="48" hidden="false" customHeight="true" outlineLevel="0" collapsed="false">
      <c r="A164" s="99"/>
      <c r="B164" s="100" t="n">
        <v>46426</v>
      </c>
      <c r="C164" s="100" t="n">
        <v>46432</v>
      </c>
      <c r="D164" s="99" t="s">
        <v>638</v>
      </c>
      <c r="E164" s="99" t="n">
        <v>0</v>
      </c>
      <c r="F164" s="101" t="n">
        <v>0</v>
      </c>
      <c r="G164" s="102" t="n">
        <f aca="false">IFERROR(F164/INDEX($G$5:$G$34,MATCH(LOOKUP(2,1/($A$39:A164&lt;&gt;""),$A$39:A164),$A$5:$A$34,0)),0)</f>
        <v>0</v>
      </c>
      <c r="H164" s="103" t="str">
        <f aca="false">IF(G164=0,"空闲",IF(G164&lt;=0.6,"低负荷",IF(G164&lt;=0.85,"正常",IF(G164&lt;=1,"满负荷","超负荷"))))</f>
        <v>空闲</v>
      </c>
      <c r="I164" s="104" t="s">
        <v>638</v>
      </c>
      <c r="J164" s="104"/>
      <c r="K164" s="104"/>
      <c r="L164" s="105" t="s">
        <v>639</v>
      </c>
    </row>
    <row r="165" customFormat="false" ht="48" hidden="false" customHeight="true" outlineLevel="0" collapsed="false">
      <c r="A165" s="99"/>
      <c r="B165" s="100" t="n">
        <v>46433</v>
      </c>
      <c r="C165" s="100" t="n">
        <v>46439</v>
      </c>
      <c r="D165" s="99" t="s">
        <v>638</v>
      </c>
      <c r="E165" s="99" t="n">
        <v>0</v>
      </c>
      <c r="F165" s="101" t="n">
        <v>0</v>
      </c>
      <c r="G165" s="102" t="n">
        <f aca="false">IFERROR(F165/INDEX($G$5:$G$34,MATCH(LOOKUP(2,1/($A$39:A165&lt;&gt;""),$A$39:A165),$A$5:$A$34,0)),0)</f>
        <v>0</v>
      </c>
      <c r="H165" s="103" t="str">
        <f aca="false">IF(G165=0,"空闲",IF(G165&lt;=0.6,"低负荷",IF(G165&lt;=0.85,"正常",IF(G165&lt;=1,"满负荷","超负荷"))))</f>
        <v>空闲</v>
      </c>
      <c r="I165" s="104" t="s">
        <v>638</v>
      </c>
      <c r="J165" s="104"/>
      <c r="K165" s="104"/>
      <c r="L165" s="105" t="s">
        <v>639</v>
      </c>
    </row>
    <row r="166" customFormat="false" ht="48" hidden="false" customHeight="true" outlineLevel="0" collapsed="false">
      <c r="A166" s="99"/>
      <c r="B166" s="100" t="n">
        <v>46440</v>
      </c>
      <c r="C166" s="100" t="n">
        <v>46446</v>
      </c>
      <c r="D166" s="99" t="s">
        <v>638</v>
      </c>
      <c r="E166" s="99" t="n">
        <v>0</v>
      </c>
      <c r="F166" s="101" t="n">
        <v>0</v>
      </c>
      <c r="G166" s="102" t="n">
        <f aca="false">IFERROR(F166/INDEX($G$5:$G$34,MATCH(LOOKUP(2,1/($A$39:A166&lt;&gt;""),$A$39:A166),$A$5:$A$34,0)),0)</f>
        <v>0</v>
      </c>
      <c r="H166" s="103" t="str">
        <f aca="false">IF(G166=0,"空闲",IF(G166&lt;=0.6,"低负荷",IF(G166&lt;=0.85,"正常",IF(G166&lt;=1,"满负荷","超负荷"))))</f>
        <v>空闲</v>
      </c>
      <c r="I166" s="104" t="s">
        <v>638</v>
      </c>
      <c r="J166" s="104"/>
      <c r="K166" s="104"/>
      <c r="L166" s="105" t="s">
        <v>639</v>
      </c>
    </row>
    <row r="167" customFormat="false" ht="48" hidden="false" customHeight="true" outlineLevel="0" collapsed="false">
      <c r="A167" s="99"/>
      <c r="B167" s="100" t="n">
        <v>46447</v>
      </c>
      <c r="C167" s="100" t="n">
        <v>46453</v>
      </c>
      <c r="D167" s="99" t="s">
        <v>638</v>
      </c>
      <c r="E167" s="99" t="n">
        <v>0</v>
      </c>
      <c r="F167" s="101" t="n">
        <v>0</v>
      </c>
      <c r="G167" s="102" t="n">
        <f aca="false">IFERROR(F167/INDEX($G$5:$G$34,MATCH(LOOKUP(2,1/($A$39:A167&lt;&gt;""),$A$39:A167),$A$5:$A$34,0)),0)</f>
        <v>0</v>
      </c>
      <c r="H167" s="103" t="str">
        <f aca="false">IF(G167=0,"空闲",IF(G167&lt;=0.6,"低负荷",IF(G167&lt;=0.85,"正常",IF(G167&lt;=1,"满负荷","超负荷"))))</f>
        <v>空闲</v>
      </c>
      <c r="I167" s="104" t="s">
        <v>638</v>
      </c>
      <c r="J167" s="104"/>
      <c r="K167" s="104"/>
      <c r="L167" s="105" t="s">
        <v>639</v>
      </c>
    </row>
    <row r="168" customFormat="false" ht="48" hidden="false" customHeight="true" outlineLevel="0" collapsed="false">
      <c r="A168" s="99"/>
      <c r="B168" s="100" t="n">
        <v>46454</v>
      </c>
      <c r="C168" s="100" t="n">
        <v>46460</v>
      </c>
      <c r="D168" s="99" t="s">
        <v>638</v>
      </c>
      <c r="E168" s="99" t="n">
        <v>0</v>
      </c>
      <c r="F168" s="101" t="n">
        <v>0</v>
      </c>
      <c r="G168" s="102" t="n">
        <f aca="false">IFERROR(F168/INDEX($G$5:$G$34,MATCH(LOOKUP(2,1/($A$39:A168&lt;&gt;""),$A$39:A168),$A$5:$A$34,0)),0)</f>
        <v>0</v>
      </c>
      <c r="H168" s="103" t="str">
        <f aca="false">IF(G168=0,"空闲",IF(G168&lt;=0.6,"低负荷",IF(G168&lt;=0.85,"正常",IF(G168&lt;=1,"满负荷","超负荷"))))</f>
        <v>空闲</v>
      </c>
      <c r="I168" s="104" t="s">
        <v>638</v>
      </c>
      <c r="J168" s="104"/>
      <c r="K168" s="104"/>
      <c r="L168" s="105" t="s">
        <v>639</v>
      </c>
    </row>
    <row r="169" customFormat="false" ht="48" hidden="false" customHeight="true" outlineLevel="0" collapsed="false">
      <c r="A169" s="99"/>
      <c r="B169" s="100" t="n">
        <v>46461</v>
      </c>
      <c r="C169" s="100" t="n">
        <v>46467</v>
      </c>
      <c r="D169" s="99" t="s">
        <v>638</v>
      </c>
      <c r="E169" s="99" t="n">
        <v>0</v>
      </c>
      <c r="F169" s="101" t="n">
        <v>0</v>
      </c>
      <c r="G169" s="102" t="n">
        <f aca="false">IFERROR(F169/INDEX($G$5:$G$34,MATCH(LOOKUP(2,1/($A$39:A169&lt;&gt;""),$A$39:A169),$A$5:$A$34,0)),0)</f>
        <v>0</v>
      </c>
      <c r="H169" s="103" t="str">
        <f aca="false">IF(G169=0,"空闲",IF(G169&lt;=0.6,"低负荷",IF(G169&lt;=0.85,"正常",IF(G169&lt;=1,"满负荷","超负荷"))))</f>
        <v>空闲</v>
      </c>
      <c r="I169" s="104" t="s">
        <v>638</v>
      </c>
      <c r="J169" s="104"/>
      <c r="K169" s="104"/>
      <c r="L169" s="105" t="s">
        <v>639</v>
      </c>
    </row>
    <row r="170" customFormat="false" ht="48" hidden="false" customHeight="true" outlineLevel="0" collapsed="false">
      <c r="A170" s="99"/>
      <c r="B170" s="100" t="n">
        <v>46468</v>
      </c>
      <c r="C170" s="100" t="n">
        <v>46474</v>
      </c>
      <c r="D170" s="99" t="s">
        <v>638</v>
      </c>
      <c r="E170" s="99" t="n">
        <v>0</v>
      </c>
      <c r="F170" s="101" t="n">
        <v>0</v>
      </c>
      <c r="G170" s="102" t="n">
        <f aca="false">IFERROR(F170/INDEX($G$5:$G$34,MATCH(LOOKUP(2,1/($A$39:A170&lt;&gt;""),$A$39:A170),$A$5:$A$34,0)),0)</f>
        <v>0</v>
      </c>
      <c r="H170" s="103" t="str">
        <f aca="false">IF(G170=0,"空闲",IF(G170&lt;=0.6,"低负荷",IF(G170&lt;=0.85,"正常",IF(G170&lt;=1,"满负荷","超负荷"))))</f>
        <v>空闲</v>
      </c>
      <c r="I170" s="104" t="s">
        <v>638</v>
      </c>
      <c r="J170" s="104"/>
      <c r="K170" s="104"/>
      <c r="L170" s="105" t="s">
        <v>639</v>
      </c>
    </row>
    <row r="171" customFormat="false" ht="48" hidden="false" customHeight="true" outlineLevel="0" collapsed="false">
      <c r="A171" s="99"/>
      <c r="B171" s="100" t="n">
        <v>46475</v>
      </c>
      <c r="C171" s="100" t="n">
        <v>46481</v>
      </c>
      <c r="D171" s="99" t="s">
        <v>638</v>
      </c>
      <c r="E171" s="99" t="n">
        <v>0</v>
      </c>
      <c r="F171" s="101" t="n">
        <v>0</v>
      </c>
      <c r="G171" s="102" t="n">
        <f aca="false">IFERROR(F171/INDEX($G$5:$G$34,MATCH(LOOKUP(2,1/($A$39:A171&lt;&gt;""),$A$39:A171),$A$5:$A$34,0)),0)</f>
        <v>0</v>
      </c>
      <c r="H171" s="103" t="str">
        <f aca="false">IF(G171=0,"空闲",IF(G171&lt;=0.6,"低负荷",IF(G171&lt;=0.85,"正常",IF(G171&lt;=1,"满负荷","超负荷"))))</f>
        <v>空闲</v>
      </c>
      <c r="I171" s="104" t="s">
        <v>638</v>
      </c>
      <c r="J171" s="104"/>
      <c r="K171" s="104"/>
      <c r="L171" s="105" t="s">
        <v>639</v>
      </c>
    </row>
    <row r="172" customFormat="false" ht="48" hidden="false" customHeight="true" outlineLevel="0" collapsed="false">
      <c r="A172" s="99"/>
      <c r="B172" s="100" t="n">
        <v>46482</v>
      </c>
      <c r="C172" s="100" t="n">
        <v>46488</v>
      </c>
      <c r="D172" s="99" t="s">
        <v>638</v>
      </c>
      <c r="E172" s="99" t="n">
        <v>0</v>
      </c>
      <c r="F172" s="101" t="n">
        <v>0</v>
      </c>
      <c r="G172" s="102" t="n">
        <f aca="false">IFERROR(F172/INDEX($G$5:$G$34,MATCH(LOOKUP(2,1/($A$39:A172&lt;&gt;""),$A$39:A172),$A$5:$A$34,0)),0)</f>
        <v>0</v>
      </c>
      <c r="H172" s="103" t="str">
        <f aca="false">IF(G172=0,"空闲",IF(G172&lt;=0.6,"低负荷",IF(G172&lt;=0.85,"正常",IF(G172&lt;=1,"满负荷","超负荷"))))</f>
        <v>空闲</v>
      </c>
      <c r="I172" s="104" t="s">
        <v>638</v>
      </c>
      <c r="J172" s="104"/>
      <c r="K172" s="104"/>
      <c r="L172" s="105" t="s">
        <v>639</v>
      </c>
    </row>
    <row r="173" customFormat="false" ht="48" hidden="false" customHeight="true" outlineLevel="0" collapsed="false">
      <c r="A173" s="99"/>
      <c r="B173" s="100" t="n">
        <v>46489</v>
      </c>
      <c r="C173" s="100" t="n">
        <v>46495</v>
      </c>
      <c r="D173" s="99" t="s">
        <v>638</v>
      </c>
      <c r="E173" s="99" t="n">
        <v>0</v>
      </c>
      <c r="F173" s="101" t="n">
        <v>0</v>
      </c>
      <c r="G173" s="102" t="n">
        <f aca="false">IFERROR(F173/INDEX($G$5:$G$34,MATCH(LOOKUP(2,1/($A$39:A173&lt;&gt;""),$A$39:A173),$A$5:$A$34,0)),0)</f>
        <v>0</v>
      </c>
      <c r="H173" s="103" t="str">
        <f aca="false">IF(G173=0,"空闲",IF(G173&lt;=0.6,"低负荷",IF(G173&lt;=0.85,"正常",IF(G173&lt;=1,"满负荷","超负荷"))))</f>
        <v>空闲</v>
      </c>
      <c r="I173" s="104" t="s">
        <v>638</v>
      </c>
      <c r="J173" s="104"/>
      <c r="K173" s="104"/>
      <c r="L173" s="105" t="s">
        <v>639</v>
      </c>
    </row>
    <row r="174" customFormat="false" ht="48" hidden="false" customHeight="true" outlineLevel="0" collapsed="false">
      <c r="A174" s="99"/>
      <c r="B174" s="100" t="n">
        <v>46496</v>
      </c>
      <c r="C174" s="100" t="n">
        <v>46502</v>
      </c>
      <c r="D174" s="99" t="s">
        <v>638</v>
      </c>
      <c r="E174" s="99" t="n">
        <v>0</v>
      </c>
      <c r="F174" s="101" t="n">
        <v>0</v>
      </c>
      <c r="G174" s="102" t="n">
        <f aca="false">IFERROR(F174/INDEX($G$5:$G$34,MATCH(LOOKUP(2,1/($A$39:A174&lt;&gt;""),$A$39:A174),$A$5:$A$34,0)),0)</f>
        <v>0</v>
      </c>
      <c r="H174" s="103" t="str">
        <f aca="false">IF(G174=0,"空闲",IF(G174&lt;=0.6,"低负荷",IF(G174&lt;=0.85,"正常",IF(G174&lt;=1,"满负荷","超负荷"))))</f>
        <v>空闲</v>
      </c>
      <c r="I174" s="104" t="s">
        <v>638</v>
      </c>
      <c r="J174" s="104"/>
      <c r="K174" s="104"/>
      <c r="L174" s="105" t="s">
        <v>639</v>
      </c>
    </row>
    <row r="175" customFormat="false" ht="48" hidden="false" customHeight="true" outlineLevel="0" collapsed="false">
      <c r="A175" s="99"/>
      <c r="B175" s="100" t="n">
        <v>46503</v>
      </c>
      <c r="C175" s="100" t="n">
        <v>46509</v>
      </c>
      <c r="D175" s="99" t="s">
        <v>638</v>
      </c>
      <c r="E175" s="99" t="n">
        <v>0</v>
      </c>
      <c r="F175" s="101" t="n">
        <v>0</v>
      </c>
      <c r="G175" s="102" t="n">
        <f aca="false">IFERROR(F175/INDEX($G$5:$G$34,MATCH(LOOKUP(2,1/($A$39:A175&lt;&gt;""),$A$39:A175),$A$5:$A$34,0)),0)</f>
        <v>0</v>
      </c>
      <c r="H175" s="103" t="str">
        <f aca="false">IF(G175=0,"空闲",IF(G175&lt;=0.6,"低负荷",IF(G175&lt;=0.85,"正常",IF(G175&lt;=1,"满负荷","超负荷"))))</f>
        <v>空闲</v>
      </c>
      <c r="I175" s="104" t="s">
        <v>638</v>
      </c>
      <c r="J175" s="104"/>
      <c r="K175" s="104"/>
      <c r="L175" s="105" t="s">
        <v>639</v>
      </c>
    </row>
    <row r="176" customFormat="false" ht="48" hidden="false" customHeight="true" outlineLevel="0" collapsed="false">
      <c r="A176" s="99"/>
      <c r="B176" s="100" t="n">
        <v>46510</v>
      </c>
      <c r="C176" s="100" t="n">
        <v>46516</v>
      </c>
      <c r="D176" s="99" t="s">
        <v>640</v>
      </c>
      <c r="E176" s="99" t="n">
        <v>1</v>
      </c>
      <c r="F176" s="101" t="n">
        <v>40</v>
      </c>
      <c r="G176" s="102" t="n">
        <f aca="false">IFERROR(F176/INDEX($G$5:$G$34,MATCH(LOOKUP(2,1/($A$39:A176&lt;&gt;""),$A$39:A176),$A$5:$A$34,0)),0)</f>
        <v>1</v>
      </c>
      <c r="H176" s="103" t="str">
        <f aca="false">IF(G176=0,"空闲",IF(G176&lt;=0.6,"低负荷",IF(G176&lt;=0.85,"正常",IF(G176&lt;=1,"满负荷","超负荷"))))</f>
        <v>满负荷</v>
      </c>
      <c r="I176" s="106" t="s">
        <v>657</v>
      </c>
      <c r="J176" s="106"/>
      <c r="K176" s="106"/>
      <c r="L176" s="105" t="s">
        <v>642</v>
      </c>
    </row>
    <row r="177" customFormat="false" ht="48" hidden="false" customHeight="true" outlineLevel="0" collapsed="false">
      <c r="A177" s="99"/>
      <c r="B177" s="100" t="n">
        <v>46517</v>
      </c>
      <c r="C177" s="100" t="n">
        <v>46523</v>
      </c>
      <c r="D177" s="99" t="s">
        <v>640</v>
      </c>
      <c r="E177" s="99" t="n">
        <v>1</v>
      </c>
      <c r="F177" s="101" t="n">
        <v>40</v>
      </c>
      <c r="G177" s="102" t="n">
        <f aca="false">IFERROR(F177/INDEX($G$5:$G$34,MATCH(LOOKUP(2,1/($A$39:A177&lt;&gt;""),$A$39:A177),$A$5:$A$34,0)),0)</f>
        <v>1</v>
      </c>
      <c r="H177" s="103" t="str">
        <f aca="false">IF(G177=0,"空闲",IF(G177&lt;=0.6,"低负荷",IF(G177&lt;=0.85,"正常",IF(G177&lt;=1,"满负荷","超负荷"))))</f>
        <v>满负荷</v>
      </c>
      <c r="I177" s="106" t="s">
        <v>657</v>
      </c>
      <c r="J177" s="106"/>
      <c r="K177" s="106"/>
      <c r="L177" s="105" t="s">
        <v>642</v>
      </c>
    </row>
    <row r="178" customFormat="false" ht="48" hidden="false" customHeight="true" outlineLevel="0" collapsed="false">
      <c r="A178" s="99"/>
      <c r="B178" s="100" t="n">
        <v>46524</v>
      </c>
      <c r="C178" s="100" t="n">
        <v>46530</v>
      </c>
      <c r="D178" s="99" t="s">
        <v>638</v>
      </c>
      <c r="E178" s="99" t="n">
        <v>0</v>
      </c>
      <c r="F178" s="101" t="n">
        <v>0</v>
      </c>
      <c r="G178" s="102" t="n">
        <f aca="false">IFERROR(F178/INDEX($G$5:$G$34,MATCH(LOOKUP(2,1/($A$39:A178&lt;&gt;""),$A$39:A178),$A$5:$A$34,0)),0)</f>
        <v>0</v>
      </c>
      <c r="H178" s="103" t="str">
        <f aca="false">IF(G178=0,"空闲",IF(G178&lt;=0.6,"低负荷",IF(G178&lt;=0.85,"正常",IF(G178&lt;=1,"满负荷","超负荷"))))</f>
        <v>空闲</v>
      </c>
      <c r="I178" s="104" t="s">
        <v>638</v>
      </c>
      <c r="J178" s="104"/>
      <c r="K178" s="104"/>
      <c r="L178" s="105" t="s">
        <v>639</v>
      </c>
    </row>
    <row r="179" customFormat="false" ht="48" hidden="false" customHeight="true" outlineLevel="0" collapsed="false">
      <c r="A179" s="99"/>
      <c r="B179" s="100" t="n">
        <v>46531</v>
      </c>
      <c r="C179" s="100" t="n">
        <v>46537</v>
      </c>
      <c r="D179" s="99" t="s">
        <v>638</v>
      </c>
      <c r="E179" s="99" t="n">
        <v>0</v>
      </c>
      <c r="F179" s="101" t="n">
        <v>0</v>
      </c>
      <c r="G179" s="102" t="n">
        <f aca="false">IFERROR(F179/INDEX($G$5:$G$34,MATCH(LOOKUP(2,1/($A$39:A179&lt;&gt;""),$A$39:A179),$A$5:$A$34,0)),0)</f>
        <v>0</v>
      </c>
      <c r="H179" s="103" t="str">
        <f aca="false">IF(G179=0,"空闲",IF(G179&lt;=0.6,"低负荷",IF(G179&lt;=0.85,"正常",IF(G179&lt;=1,"满负荷","超负荷"))))</f>
        <v>空闲</v>
      </c>
      <c r="I179" s="104" t="s">
        <v>638</v>
      </c>
      <c r="J179" s="104"/>
      <c r="K179" s="104"/>
      <c r="L179" s="105" t="s">
        <v>639</v>
      </c>
    </row>
    <row r="180" customFormat="false" ht="48" hidden="false" customHeight="true" outlineLevel="0" collapsed="false">
      <c r="A180" s="99"/>
      <c r="B180" s="100" t="n">
        <v>46538</v>
      </c>
      <c r="C180" s="100" t="n">
        <v>46544</v>
      </c>
      <c r="D180" s="99" t="s">
        <v>638</v>
      </c>
      <c r="E180" s="99" t="n">
        <v>0</v>
      </c>
      <c r="F180" s="101" t="n">
        <v>0</v>
      </c>
      <c r="G180" s="102" t="n">
        <f aca="false">IFERROR(F180/INDEX($G$5:$G$34,MATCH(LOOKUP(2,1/($A$39:A180&lt;&gt;""),$A$39:A180),$A$5:$A$34,0)),0)</f>
        <v>0</v>
      </c>
      <c r="H180" s="103" t="str">
        <f aca="false">IF(G180=0,"空闲",IF(G180&lt;=0.6,"低负荷",IF(G180&lt;=0.85,"正常",IF(G180&lt;=1,"满负荷","超负荷"))))</f>
        <v>空闲</v>
      </c>
      <c r="I180" s="104" t="s">
        <v>638</v>
      </c>
      <c r="J180" s="104"/>
      <c r="K180" s="104"/>
      <c r="L180" s="105" t="s">
        <v>639</v>
      </c>
    </row>
    <row r="181" customFormat="false" ht="48" hidden="false" customHeight="true" outlineLevel="0" collapsed="false">
      <c r="A181" s="99" t="s">
        <v>610</v>
      </c>
      <c r="B181" s="100" t="n">
        <v>46048</v>
      </c>
      <c r="C181" s="100" t="n">
        <v>46054</v>
      </c>
      <c r="D181" s="99" t="s">
        <v>638</v>
      </c>
      <c r="E181" s="99" t="n">
        <v>0</v>
      </c>
      <c r="F181" s="101" t="n">
        <v>0</v>
      </c>
      <c r="G181" s="102" t="n">
        <f aca="false">IFERROR(F181/INDEX($G$5:$G$34,MATCH(LOOKUP(2,1/($A$39:A181&lt;&gt;""),$A$39:A181),$A$5:$A$34,0)),0)</f>
        <v>0</v>
      </c>
      <c r="H181" s="103" t="str">
        <f aca="false">IF(G181=0,"空闲",IF(G181&lt;=0.6,"低负荷",IF(G181&lt;=0.85,"正常",IF(G181&lt;=1,"满负荷","超负荷"))))</f>
        <v>空闲</v>
      </c>
      <c r="I181" s="104" t="s">
        <v>638</v>
      </c>
      <c r="J181" s="104"/>
      <c r="K181" s="104"/>
      <c r="L181" s="105" t="s">
        <v>639</v>
      </c>
    </row>
    <row r="182" customFormat="false" ht="48" hidden="false" customHeight="true" outlineLevel="0" collapsed="false">
      <c r="A182" s="99"/>
      <c r="B182" s="100" t="n">
        <v>46055</v>
      </c>
      <c r="C182" s="100" t="n">
        <v>46061</v>
      </c>
      <c r="D182" s="99" t="s">
        <v>638</v>
      </c>
      <c r="E182" s="99" t="n">
        <v>0</v>
      </c>
      <c r="F182" s="101" t="n">
        <v>0</v>
      </c>
      <c r="G182" s="102" t="n">
        <f aca="false">IFERROR(F182/INDEX($G$5:$G$34,MATCH(LOOKUP(2,1/($A$39:A182&lt;&gt;""),$A$39:A182),$A$5:$A$34,0)),0)</f>
        <v>0</v>
      </c>
      <c r="H182" s="103" t="str">
        <f aca="false">IF(G182=0,"空闲",IF(G182&lt;=0.6,"低负荷",IF(G182&lt;=0.85,"正常",IF(G182&lt;=1,"满负荷","超负荷"))))</f>
        <v>空闲</v>
      </c>
      <c r="I182" s="104" t="s">
        <v>638</v>
      </c>
      <c r="J182" s="104"/>
      <c r="K182" s="104"/>
      <c r="L182" s="105" t="s">
        <v>639</v>
      </c>
    </row>
    <row r="183" customFormat="false" ht="48" hidden="false" customHeight="true" outlineLevel="0" collapsed="false">
      <c r="A183" s="99"/>
      <c r="B183" s="100" t="n">
        <v>46062</v>
      </c>
      <c r="C183" s="100" t="n">
        <v>46068</v>
      </c>
      <c r="D183" s="99" t="s">
        <v>638</v>
      </c>
      <c r="E183" s="99" t="n">
        <v>0</v>
      </c>
      <c r="F183" s="101" t="n">
        <v>0</v>
      </c>
      <c r="G183" s="102" t="n">
        <f aca="false">IFERROR(F183/INDEX($G$5:$G$34,MATCH(LOOKUP(2,1/($A$39:A183&lt;&gt;""),$A$39:A183),$A$5:$A$34,0)),0)</f>
        <v>0</v>
      </c>
      <c r="H183" s="103" t="str">
        <f aca="false">IF(G183=0,"空闲",IF(G183&lt;=0.6,"低负荷",IF(G183&lt;=0.85,"正常",IF(G183&lt;=1,"满负荷","超负荷"))))</f>
        <v>空闲</v>
      </c>
      <c r="I183" s="104" t="s">
        <v>638</v>
      </c>
      <c r="J183" s="104"/>
      <c r="K183" s="104"/>
      <c r="L183" s="105" t="s">
        <v>639</v>
      </c>
    </row>
    <row r="184" customFormat="false" ht="48" hidden="false" customHeight="true" outlineLevel="0" collapsed="false">
      <c r="A184" s="99"/>
      <c r="B184" s="100" t="n">
        <v>46069</v>
      </c>
      <c r="C184" s="100" t="n">
        <v>46075</v>
      </c>
      <c r="D184" s="99" t="s">
        <v>638</v>
      </c>
      <c r="E184" s="99" t="n">
        <v>0</v>
      </c>
      <c r="F184" s="101" t="n">
        <v>0</v>
      </c>
      <c r="G184" s="102" t="n">
        <f aca="false">IFERROR(F184/INDEX($G$5:$G$34,MATCH(LOOKUP(2,1/($A$39:A184&lt;&gt;""),$A$39:A184),$A$5:$A$34,0)),0)</f>
        <v>0</v>
      </c>
      <c r="H184" s="103" t="str">
        <f aca="false">IF(G184=0,"空闲",IF(G184&lt;=0.6,"低负荷",IF(G184&lt;=0.85,"正常",IF(G184&lt;=1,"满负荷","超负荷"))))</f>
        <v>空闲</v>
      </c>
      <c r="I184" s="104" t="s">
        <v>638</v>
      </c>
      <c r="J184" s="104"/>
      <c r="K184" s="104"/>
      <c r="L184" s="105" t="s">
        <v>639</v>
      </c>
    </row>
    <row r="185" customFormat="false" ht="48" hidden="false" customHeight="true" outlineLevel="0" collapsed="false">
      <c r="A185" s="99"/>
      <c r="B185" s="100" t="n">
        <v>46076</v>
      </c>
      <c r="C185" s="100" t="n">
        <v>46082</v>
      </c>
      <c r="D185" s="99" t="s">
        <v>638</v>
      </c>
      <c r="E185" s="99" t="n">
        <v>0</v>
      </c>
      <c r="F185" s="101" t="n">
        <v>0</v>
      </c>
      <c r="G185" s="102" t="n">
        <f aca="false">IFERROR(F185/INDEX($G$5:$G$34,MATCH(LOOKUP(2,1/($A$39:A185&lt;&gt;""),$A$39:A185),$A$5:$A$34,0)),0)</f>
        <v>0</v>
      </c>
      <c r="H185" s="103" t="str">
        <f aca="false">IF(G185=0,"空闲",IF(G185&lt;=0.6,"低负荷",IF(G185&lt;=0.85,"正常",IF(G185&lt;=1,"满负荷","超负荷"))))</f>
        <v>空闲</v>
      </c>
      <c r="I185" s="104" t="s">
        <v>638</v>
      </c>
      <c r="J185" s="104"/>
      <c r="K185" s="104"/>
      <c r="L185" s="105" t="s">
        <v>639</v>
      </c>
    </row>
    <row r="186" customFormat="false" ht="48" hidden="false" customHeight="true" outlineLevel="0" collapsed="false">
      <c r="A186" s="99"/>
      <c r="B186" s="100" t="n">
        <v>46083</v>
      </c>
      <c r="C186" s="100" t="n">
        <v>46089</v>
      </c>
      <c r="D186" s="99" t="s">
        <v>638</v>
      </c>
      <c r="E186" s="99" t="n">
        <v>0</v>
      </c>
      <c r="F186" s="101" t="n">
        <v>0</v>
      </c>
      <c r="G186" s="102" t="n">
        <f aca="false">IFERROR(F186/INDEX($G$5:$G$34,MATCH(LOOKUP(2,1/($A$39:A186&lt;&gt;""),$A$39:A186),$A$5:$A$34,0)),0)</f>
        <v>0</v>
      </c>
      <c r="H186" s="103" t="str">
        <f aca="false">IF(G186=0,"空闲",IF(G186&lt;=0.6,"低负荷",IF(G186&lt;=0.85,"正常",IF(G186&lt;=1,"满负荷","超负荷"))))</f>
        <v>空闲</v>
      </c>
      <c r="I186" s="104" t="s">
        <v>638</v>
      </c>
      <c r="J186" s="104"/>
      <c r="K186" s="104"/>
      <c r="L186" s="105" t="s">
        <v>639</v>
      </c>
    </row>
    <row r="187" customFormat="false" ht="48" hidden="false" customHeight="true" outlineLevel="0" collapsed="false">
      <c r="A187" s="99"/>
      <c r="B187" s="100" t="n">
        <v>46090</v>
      </c>
      <c r="C187" s="100" t="n">
        <v>46096</v>
      </c>
      <c r="D187" s="99" t="s">
        <v>638</v>
      </c>
      <c r="E187" s="99" t="n">
        <v>0</v>
      </c>
      <c r="F187" s="101" t="n">
        <v>0</v>
      </c>
      <c r="G187" s="102" t="n">
        <f aca="false">IFERROR(F187/INDEX($G$5:$G$34,MATCH(LOOKUP(2,1/($A$39:A187&lt;&gt;""),$A$39:A187),$A$5:$A$34,0)),0)</f>
        <v>0</v>
      </c>
      <c r="H187" s="103" t="str">
        <f aca="false">IF(G187=0,"空闲",IF(G187&lt;=0.6,"低负荷",IF(G187&lt;=0.85,"正常",IF(G187&lt;=1,"满负荷","超负荷"))))</f>
        <v>空闲</v>
      </c>
      <c r="I187" s="104" t="s">
        <v>638</v>
      </c>
      <c r="J187" s="104"/>
      <c r="K187" s="104"/>
      <c r="L187" s="105" t="s">
        <v>639</v>
      </c>
    </row>
    <row r="188" customFormat="false" ht="48" hidden="false" customHeight="true" outlineLevel="0" collapsed="false">
      <c r="A188" s="99"/>
      <c r="B188" s="100" t="n">
        <v>46097</v>
      </c>
      <c r="C188" s="100" t="n">
        <v>46103</v>
      </c>
      <c r="D188" s="99" t="s">
        <v>638</v>
      </c>
      <c r="E188" s="99" t="n">
        <v>0</v>
      </c>
      <c r="F188" s="101" t="n">
        <v>0</v>
      </c>
      <c r="G188" s="102" t="n">
        <f aca="false">IFERROR(F188/INDEX($G$5:$G$34,MATCH(LOOKUP(2,1/($A$39:A188&lt;&gt;""),$A$39:A188),$A$5:$A$34,0)),0)</f>
        <v>0</v>
      </c>
      <c r="H188" s="103" t="str">
        <f aca="false">IF(G188=0,"空闲",IF(G188&lt;=0.6,"低负荷",IF(G188&lt;=0.85,"正常",IF(G188&lt;=1,"满负荷","超负荷"))))</f>
        <v>空闲</v>
      </c>
      <c r="I188" s="104" t="s">
        <v>638</v>
      </c>
      <c r="J188" s="104"/>
      <c r="K188" s="104"/>
      <c r="L188" s="105" t="s">
        <v>639</v>
      </c>
    </row>
    <row r="189" customFormat="false" ht="48" hidden="false" customHeight="true" outlineLevel="0" collapsed="false">
      <c r="A189" s="99"/>
      <c r="B189" s="100" t="n">
        <v>46104</v>
      </c>
      <c r="C189" s="100" t="n">
        <v>46110</v>
      </c>
      <c r="D189" s="99" t="s">
        <v>638</v>
      </c>
      <c r="E189" s="99" t="n">
        <v>0</v>
      </c>
      <c r="F189" s="101" t="n">
        <v>0</v>
      </c>
      <c r="G189" s="102" t="n">
        <f aca="false">IFERROR(F189/INDEX($G$5:$G$34,MATCH(LOOKUP(2,1/($A$39:A189&lt;&gt;""),$A$39:A189),$A$5:$A$34,0)),0)</f>
        <v>0</v>
      </c>
      <c r="H189" s="103" t="str">
        <f aca="false">IF(G189=0,"空闲",IF(G189&lt;=0.6,"低负荷",IF(G189&lt;=0.85,"正常",IF(G189&lt;=1,"满负荷","超负荷"))))</f>
        <v>空闲</v>
      </c>
      <c r="I189" s="104" t="s">
        <v>638</v>
      </c>
      <c r="J189" s="104"/>
      <c r="K189" s="104"/>
      <c r="L189" s="105" t="s">
        <v>639</v>
      </c>
    </row>
    <row r="190" customFormat="false" ht="48" hidden="false" customHeight="true" outlineLevel="0" collapsed="false">
      <c r="A190" s="99"/>
      <c r="B190" s="100" t="n">
        <v>46111</v>
      </c>
      <c r="C190" s="100" t="n">
        <v>46117</v>
      </c>
      <c r="D190" s="99" t="s">
        <v>638</v>
      </c>
      <c r="E190" s="99" t="n">
        <v>0</v>
      </c>
      <c r="F190" s="101" t="n">
        <v>0</v>
      </c>
      <c r="G190" s="102" t="n">
        <f aca="false">IFERROR(F190/INDEX($G$5:$G$34,MATCH(LOOKUP(2,1/($A$39:A190&lt;&gt;""),$A$39:A190),$A$5:$A$34,0)),0)</f>
        <v>0</v>
      </c>
      <c r="H190" s="103" t="str">
        <f aca="false">IF(G190=0,"空闲",IF(G190&lt;=0.6,"低负荷",IF(G190&lt;=0.85,"正常",IF(G190&lt;=1,"满负荷","超负荷"))))</f>
        <v>空闲</v>
      </c>
      <c r="I190" s="104" t="s">
        <v>638</v>
      </c>
      <c r="J190" s="104"/>
      <c r="K190" s="104"/>
      <c r="L190" s="105" t="s">
        <v>639</v>
      </c>
    </row>
    <row r="191" customFormat="false" ht="48" hidden="false" customHeight="true" outlineLevel="0" collapsed="false">
      <c r="A191" s="99"/>
      <c r="B191" s="100" t="n">
        <v>46118</v>
      </c>
      <c r="C191" s="100" t="n">
        <v>46124</v>
      </c>
      <c r="D191" s="99" t="s">
        <v>638</v>
      </c>
      <c r="E191" s="99" t="n">
        <v>0</v>
      </c>
      <c r="F191" s="101" t="n">
        <v>0</v>
      </c>
      <c r="G191" s="102" t="n">
        <f aca="false">IFERROR(F191/INDEX($G$5:$G$34,MATCH(LOOKUP(2,1/($A$39:A191&lt;&gt;""),$A$39:A191),$A$5:$A$34,0)),0)</f>
        <v>0</v>
      </c>
      <c r="H191" s="103" t="str">
        <f aca="false">IF(G191=0,"空闲",IF(G191&lt;=0.6,"低负荷",IF(G191&lt;=0.85,"正常",IF(G191&lt;=1,"满负荷","超负荷"))))</f>
        <v>空闲</v>
      </c>
      <c r="I191" s="104" t="s">
        <v>638</v>
      </c>
      <c r="J191" s="104"/>
      <c r="K191" s="104"/>
      <c r="L191" s="105" t="s">
        <v>639</v>
      </c>
    </row>
    <row r="192" customFormat="false" ht="48" hidden="false" customHeight="true" outlineLevel="0" collapsed="false">
      <c r="A192" s="99"/>
      <c r="B192" s="100" t="n">
        <v>46125</v>
      </c>
      <c r="C192" s="100" t="n">
        <v>46131</v>
      </c>
      <c r="D192" s="99" t="s">
        <v>638</v>
      </c>
      <c r="E192" s="99" t="n">
        <v>0</v>
      </c>
      <c r="F192" s="101" t="n">
        <v>0</v>
      </c>
      <c r="G192" s="102" t="n">
        <f aca="false">IFERROR(F192/INDEX($G$5:$G$34,MATCH(LOOKUP(2,1/($A$39:A192&lt;&gt;""),$A$39:A192),$A$5:$A$34,0)),0)</f>
        <v>0</v>
      </c>
      <c r="H192" s="103" t="str">
        <f aca="false">IF(G192=0,"空闲",IF(G192&lt;=0.6,"低负荷",IF(G192&lt;=0.85,"正常",IF(G192&lt;=1,"满负荷","超负荷"))))</f>
        <v>空闲</v>
      </c>
      <c r="I192" s="104" t="s">
        <v>638</v>
      </c>
      <c r="J192" s="104"/>
      <c r="K192" s="104"/>
      <c r="L192" s="105" t="s">
        <v>639</v>
      </c>
    </row>
    <row r="193" customFormat="false" ht="48" hidden="false" customHeight="true" outlineLevel="0" collapsed="false">
      <c r="A193" s="99"/>
      <c r="B193" s="100" t="n">
        <v>46132</v>
      </c>
      <c r="C193" s="100" t="n">
        <v>46138</v>
      </c>
      <c r="D193" s="99" t="s">
        <v>638</v>
      </c>
      <c r="E193" s="99" t="n">
        <v>0</v>
      </c>
      <c r="F193" s="101" t="n">
        <v>0</v>
      </c>
      <c r="G193" s="102" t="n">
        <f aca="false">IFERROR(F193/INDEX($G$5:$G$34,MATCH(LOOKUP(2,1/($A$39:A193&lt;&gt;""),$A$39:A193),$A$5:$A$34,0)),0)</f>
        <v>0</v>
      </c>
      <c r="H193" s="103" t="str">
        <f aca="false">IF(G193=0,"空闲",IF(G193&lt;=0.6,"低负荷",IF(G193&lt;=0.85,"正常",IF(G193&lt;=1,"满负荷","超负荷"))))</f>
        <v>空闲</v>
      </c>
      <c r="I193" s="104" t="s">
        <v>638</v>
      </c>
      <c r="J193" s="104"/>
      <c r="K193" s="104"/>
      <c r="L193" s="105" t="s">
        <v>639</v>
      </c>
    </row>
    <row r="194" customFormat="false" ht="48" hidden="false" customHeight="true" outlineLevel="0" collapsed="false">
      <c r="A194" s="99"/>
      <c r="B194" s="100" t="n">
        <v>46139</v>
      </c>
      <c r="C194" s="100" t="n">
        <v>46145</v>
      </c>
      <c r="D194" s="99" t="s">
        <v>638</v>
      </c>
      <c r="E194" s="99" t="n">
        <v>0</v>
      </c>
      <c r="F194" s="101" t="n">
        <v>0</v>
      </c>
      <c r="G194" s="102" t="n">
        <f aca="false">IFERROR(F194/INDEX($G$5:$G$34,MATCH(LOOKUP(2,1/($A$39:A194&lt;&gt;""),$A$39:A194),$A$5:$A$34,0)),0)</f>
        <v>0</v>
      </c>
      <c r="H194" s="103" t="str">
        <f aca="false">IF(G194=0,"空闲",IF(G194&lt;=0.6,"低负荷",IF(G194&lt;=0.85,"正常",IF(G194&lt;=1,"满负荷","超负荷"))))</f>
        <v>空闲</v>
      </c>
      <c r="I194" s="104" t="s">
        <v>638</v>
      </c>
      <c r="J194" s="104"/>
      <c r="K194" s="104"/>
      <c r="L194" s="105" t="s">
        <v>639</v>
      </c>
    </row>
    <row r="195" customFormat="false" ht="48" hidden="false" customHeight="true" outlineLevel="0" collapsed="false">
      <c r="A195" s="99"/>
      <c r="B195" s="100" t="n">
        <v>46146</v>
      </c>
      <c r="C195" s="100" t="n">
        <v>46152</v>
      </c>
      <c r="D195" s="99" t="s">
        <v>640</v>
      </c>
      <c r="E195" s="99" t="n">
        <v>1</v>
      </c>
      <c r="F195" s="101" t="n">
        <v>40</v>
      </c>
      <c r="G195" s="102" t="n">
        <f aca="false">IFERROR(F195/INDEX($G$5:$G$34,MATCH(LOOKUP(2,1/($A$39:A195&lt;&gt;""),$A$39:A195),$A$5:$A$34,0)),0)</f>
        <v>1</v>
      </c>
      <c r="H195" s="103" t="str">
        <f aca="false">IF(G195=0,"空闲",IF(G195&lt;=0.6,"低负荷",IF(G195&lt;=0.85,"正常",IF(G195&lt;=1,"满负荷","超负荷"))))</f>
        <v>满负荷</v>
      </c>
      <c r="I195" s="106" t="s">
        <v>658</v>
      </c>
      <c r="J195" s="106"/>
      <c r="K195" s="106"/>
      <c r="L195" s="105" t="s">
        <v>642</v>
      </c>
    </row>
    <row r="196" customFormat="false" ht="48" hidden="false" customHeight="true" outlineLevel="0" collapsed="false">
      <c r="A196" s="99"/>
      <c r="B196" s="100" t="n">
        <v>46153</v>
      </c>
      <c r="C196" s="100" t="n">
        <v>46159</v>
      </c>
      <c r="D196" s="99" t="s">
        <v>640</v>
      </c>
      <c r="E196" s="99" t="n">
        <v>1</v>
      </c>
      <c r="F196" s="101" t="n">
        <v>40</v>
      </c>
      <c r="G196" s="102" t="n">
        <f aca="false">IFERROR(F196/INDEX($G$5:$G$34,MATCH(LOOKUP(2,1/($A$39:A196&lt;&gt;""),$A$39:A196),$A$5:$A$34,0)),0)</f>
        <v>1</v>
      </c>
      <c r="H196" s="103" t="str">
        <f aca="false">IF(G196=0,"空闲",IF(G196&lt;=0.6,"低负荷",IF(G196&lt;=0.85,"正常",IF(G196&lt;=1,"满负荷","超负荷"))))</f>
        <v>满负荷</v>
      </c>
      <c r="I196" s="106" t="s">
        <v>658</v>
      </c>
      <c r="J196" s="106"/>
      <c r="K196" s="106"/>
      <c r="L196" s="105" t="s">
        <v>642</v>
      </c>
    </row>
    <row r="197" customFormat="false" ht="48" hidden="false" customHeight="true" outlineLevel="0" collapsed="false">
      <c r="A197" s="99"/>
      <c r="B197" s="100" t="n">
        <v>46160</v>
      </c>
      <c r="C197" s="100" t="n">
        <v>46166</v>
      </c>
      <c r="D197" s="99" t="s">
        <v>640</v>
      </c>
      <c r="E197" s="99" t="n">
        <v>1</v>
      </c>
      <c r="F197" s="101" t="n">
        <v>40</v>
      </c>
      <c r="G197" s="102" t="n">
        <f aca="false">IFERROR(F197/INDEX($G$5:$G$34,MATCH(LOOKUP(2,1/($A$39:A197&lt;&gt;""),$A$39:A197),$A$5:$A$34,0)),0)</f>
        <v>1</v>
      </c>
      <c r="H197" s="103" t="str">
        <f aca="false">IF(G197=0,"空闲",IF(G197&lt;=0.6,"低负荷",IF(G197&lt;=0.85,"正常",IF(G197&lt;=1,"满负荷","超负荷"))))</f>
        <v>满负荷</v>
      </c>
      <c r="I197" s="106" t="s">
        <v>658</v>
      </c>
      <c r="J197" s="106"/>
      <c r="K197" s="106"/>
      <c r="L197" s="105" t="s">
        <v>642</v>
      </c>
    </row>
    <row r="198" customFormat="false" ht="48" hidden="false" customHeight="true" outlineLevel="0" collapsed="false">
      <c r="A198" s="99"/>
      <c r="B198" s="100" t="n">
        <v>46167</v>
      </c>
      <c r="C198" s="100" t="n">
        <v>46173</v>
      </c>
      <c r="D198" s="99" t="s">
        <v>640</v>
      </c>
      <c r="E198" s="99" t="n">
        <v>1</v>
      </c>
      <c r="F198" s="101" t="n">
        <v>40</v>
      </c>
      <c r="G198" s="102" t="n">
        <f aca="false">IFERROR(F198/INDEX($G$5:$G$34,MATCH(LOOKUP(2,1/($A$39:A198&lt;&gt;""),$A$39:A198),$A$5:$A$34,0)),0)</f>
        <v>1</v>
      </c>
      <c r="H198" s="103" t="str">
        <f aca="false">IF(G198=0,"空闲",IF(G198&lt;=0.6,"低负荷",IF(G198&lt;=0.85,"正常",IF(G198&lt;=1,"满负荷","超负荷"))))</f>
        <v>满负荷</v>
      </c>
      <c r="I198" s="106" t="s">
        <v>658</v>
      </c>
      <c r="J198" s="106"/>
      <c r="K198" s="106"/>
      <c r="L198" s="105" t="s">
        <v>642</v>
      </c>
    </row>
    <row r="199" customFormat="false" ht="48" hidden="false" customHeight="true" outlineLevel="0" collapsed="false">
      <c r="A199" s="99"/>
      <c r="B199" s="100" t="n">
        <v>46174</v>
      </c>
      <c r="C199" s="100" t="n">
        <v>46180</v>
      </c>
      <c r="D199" s="99" t="s">
        <v>640</v>
      </c>
      <c r="E199" s="99" t="n">
        <v>2</v>
      </c>
      <c r="F199" s="101" t="n">
        <v>40</v>
      </c>
      <c r="G199" s="102" t="n">
        <f aca="false">IFERROR(F199/INDEX($G$5:$G$34,MATCH(LOOKUP(2,1/($A$39:A199&lt;&gt;""),$A$39:A199),$A$5:$A$34,0)),0)</f>
        <v>1</v>
      </c>
      <c r="H199" s="103" t="str">
        <f aca="false">IF(G199=0,"空闲",IF(G199&lt;=0.6,"低负荷",IF(G199&lt;=0.85,"正常",IF(G199&lt;=1,"满负荷","超负荷"))))</f>
        <v>满负荷</v>
      </c>
      <c r="I199" s="106" t="s">
        <v>659</v>
      </c>
      <c r="J199" s="106"/>
      <c r="K199" s="106"/>
      <c r="L199" s="105" t="s">
        <v>652</v>
      </c>
    </row>
    <row r="200" customFormat="false" ht="48" hidden="false" customHeight="true" outlineLevel="0" collapsed="false">
      <c r="A200" s="99"/>
      <c r="B200" s="100" t="n">
        <v>46181</v>
      </c>
      <c r="C200" s="100" t="n">
        <v>46187</v>
      </c>
      <c r="D200" s="99" t="s">
        <v>640</v>
      </c>
      <c r="E200" s="99" t="n">
        <v>2</v>
      </c>
      <c r="F200" s="101" t="n">
        <v>40</v>
      </c>
      <c r="G200" s="102" t="n">
        <f aca="false">IFERROR(F200/INDEX($G$5:$G$34,MATCH(LOOKUP(2,1/($A$39:A200&lt;&gt;""),$A$39:A200),$A$5:$A$34,0)),0)</f>
        <v>1</v>
      </c>
      <c r="H200" s="103" t="str">
        <f aca="false">IF(G200=0,"空闲",IF(G200&lt;=0.6,"低负荷",IF(G200&lt;=0.85,"正常",IF(G200&lt;=1,"满负荷","超负荷"))))</f>
        <v>满负荷</v>
      </c>
      <c r="I200" s="106" t="s">
        <v>659</v>
      </c>
      <c r="J200" s="106"/>
      <c r="K200" s="106"/>
      <c r="L200" s="105" t="s">
        <v>652</v>
      </c>
    </row>
    <row r="201" customFormat="false" ht="48" hidden="false" customHeight="true" outlineLevel="0" collapsed="false">
      <c r="A201" s="99"/>
      <c r="B201" s="100" t="n">
        <v>46188</v>
      </c>
      <c r="C201" s="100" t="n">
        <v>46194</v>
      </c>
      <c r="D201" s="99" t="s">
        <v>640</v>
      </c>
      <c r="E201" s="99" t="n">
        <v>2</v>
      </c>
      <c r="F201" s="101" t="n">
        <v>40</v>
      </c>
      <c r="G201" s="102" t="n">
        <f aca="false">IFERROR(F201/INDEX($G$5:$G$34,MATCH(LOOKUP(2,1/($A$39:A201&lt;&gt;""),$A$39:A201),$A$5:$A$34,0)),0)</f>
        <v>1</v>
      </c>
      <c r="H201" s="103" t="str">
        <f aca="false">IF(G201=0,"空闲",IF(G201&lt;=0.6,"低负荷",IF(G201&lt;=0.85,"正常",IF(G201&lt;=1,"满负荷","超负荷"))))</f>
        <v>满负荷</v>
      </c>
      <c r="I201" s="106" t="s">
        <v>659</v>
      </c>
      <c r="J201" s="106"/>
      <c r="K201" s="106"/>
      <c r="L201" s="105" t="s">
        <v>652</v>
      </c>
    </row>
    <row r="202" customFormat="false" ht="48" hidden="false" customHeight="true" outlineLevel="0" collapsed="false">
      <c r="A202" s="99"/>
      <c r="B202" s="100" t="n">
        <v>46195</v>
      </c>
      <c r="C202" s="100" t="n">
        <v>46201</v>
      </c>
      <c r="D202" s="99" t="s">
        <v>640</v>
      </c>
      <c r="E202" s="99" t="n">
        <v>1</v>
      </c>
      <c r="F202" s="101" t="n">
        <v>40</v>
      </c>
      <c r="G202" s="102" t="n">
        <f aca="false">IFERROR(F202/INDEX($G$5:$G$34,MATCH(LOOKUP(2,1/($A$39:A202&lt;&gt;""),$A$39:A202),$A$5:$A$34,0)),0)</f>
        <v>1</v>
      </c>
      <c r="H202" s="103" t="str">
        <f aca="false">IF(G202=0,"空闲",IF(G202&lt;=0.6,"低负荷",IF(G202&lt;=0.85,"正常",IF(G202&lt;=1,"满负荷","超负荷"))))</f>
        <v>满负荷</v>
      </c>
      <c r="I202" s="106" t="s">
        <v>660</v>
      </c>
      <c r="J202" s="106"/>
      <c r="K202" s="106"/>
      <c r="L202" s="105" t="s">
        <v>642</v>
      </c>
    </row>
    <row r="203" customFormat="false" ht="48" hidden="false" customHeight="true" outlineLevel="0" collapsed="false">
      <c r="A203" s="99"/>
      <c r="B203" s="100" t="n">
        <v>46202</v>
      </c>
      <c r="C203" s="100" t="n">
        <v>46208</v>
      </c>
      <c r="D203" s="99" t="s">
        <v>640</v>
      </c>
      <c r="E203" s="99" t="n">
        <v>1</v>
      </c>
      <c r="F203" s="101" t="n">
        <v>40</v>
      </c>
      <c r="G203" s="102" t="n">
        <f aca="false">IFERROR(F203/INDEX($G$5:$G$34,MATCH(LOOKUP(2,1/($A$39:A203&lt;&gt;""),$A$39:A203),$A$5:$A$34,0)),0)</f>
        <v>1</v>
      </c>
      <c r="H203" s="103" t="str">
        <f aca="false">IF(G203=0,"空闲",IF(G203&lt;=0.6,"低负荷",IF(G203&lt;=0.85,"正常",IF(G203&lt;=1,"满负荷","超负荷"))))</f>
        <v>满负荷</v>
      </c>
      <c r="I203" s="106" t="s">
        <v>660</v>
      </c>
      <c r="J203" s="106"/>
      <c r="K203" s="106"/>
      <c r="L203" s="105" t="s">
        <v>642</v>
      </c>
    </row>
    <row r="204" customFormat="false" ht="48" hidden="false" customHeight="true" outlineLevel="0" collapsed="false">
      <c r="A204" s="99"/>
      <c r="B204" s="100" t="n">
        <v>46209</v>
      </c>
      <c r="C204" s="100" t="n">
        <v>46215</v>
      </c>
      <c r="D204" s="99" t="s">
        <v>638</v>
      </c>
      <c r="E204" s="99" t="n">
        <v>0</v>
      </c>
      <c r="F204" s="101" t="n">
        <v>0</v>
      </c>
      <c r="G204" s="102" t="n">
        <f aca="false">IFERROR(F204/INDEX($G$5:$G$34,MATCH(LOOKUP(2,1/($A$39:A204&lt;&gt;""),$A$39:A204),$A$5:$A$34,0)),0)</f>
        <v>0</v>
      </c>
      <c r="H204" s="103" t="str">
        <f aca="false">IF(G204=0,"空闲",IF(G204&lt;=0.6,"低负荷",IF(G204&lt;=0.85,"正常",IF(G204&lt;=1,"满负荷","超负荷"))))</f>
        <v>空闲</v>
      </c>
      <c r="I204" s="104" t="s">
        <v>638</v>
      </c>
      <c r="J204" s="104"/>
      <c r="K204" s="104"/>
      <c r="L204" s="105" t="s">
        <v>639</v>
      </c>
    </row>
    <row r="205" customFormat="false" ht="48" hidden="false" customHeight="true" outlineLevel="0" collapsed="false">
      <c r="A205" s="99"/>
      <c r="B205" s="100" t="n">
        <v>46216</v>
      </c>
      <c r="C205" s="100" t="n">
        <v>46222</v>
      </c>
      <c r="D205" s="99" t="s">
        <v>638</v>
      </c>
      <c r="E205" s="99" t="n">
        <v>0</v>
      </c>
      <c r="F205" s="101" t="n">
        <v>0</v>
      </c>
      <c r="G205" s="102" t="n">
        <f aca="false">IFERROR(F205/INDEX($G$5:$G$34,MATCH(LOOKUP(2,1/($A$39:A205&lt;&gt;""),$A$39:A205),$A$5:$A$34,0)),0)</f>
        <v>0</v>
      </c>
      <c r="H205" s="103" t="str">
        <f aca="false">IF(G205=0,"空闲",IF(G205&lt;=0.6,"低负荷",IF(G205&lt;=0.85,"正常",IF(G205&lt;=1,"满负荷","超负荷"))))</f>
        <v>空闲</v>
      </c>
      <c r="I205" s="104" t="s">
        <v>638</v>
      </c>
      <c r="J205" s="104"/>
      <c r="K205" s="104"/>
      <c r="L205" s="105" t="s">
        <v>639</v>
      </c>
    </row>
    <row r="206" customFormat="false" ht="48" hidden="false" customHeight="true" outlineLevel="0" collapsed="false">
      <c r="A206" s="99"/>
      <c r="B206" s="100" t="n">
        <v>46223</v>
      </c>
      <c r="C206" s="100" t="n">
        <v>46229</v>
      </c>
      <c r="D206" s="99" t="s">
        <v>638</v>
      </c>
      <c r="E206" s="99" t="n">
        <v>0</v>
      </c>
      <c r="F206" s="101" t="n">
        <v>0</v>
      </c>
      <c r="G206" s="102" t="n">
        <f aca="false">IFERROR(F206/INDEX($G$5:$G$34,MATCH(LOOKUP(2,1/($A$39:A206&lt;&gt;""),$A$39:A206),$A$5:$A$34,0)),0)</f>
        <v>0</v>
      </c>
      <c r="H206" s="103" t="str">
        <f aca="false">IF(G206=0,"空闲",IF(G206&lt;=0.6,"低负荷",IF(G206&lt;=0.85,"正常",IF(G206&lt;=1,"满负荷","超负荷"))))</f>
        <v>空闲</v>
      </c>
      <c r="I206" s="104" t="s">
        <v>638</v>
      </c>
      <c r="J206" s="104"/>
      <c r="K206" s="104"/>
      <c r="L206" s="105" t="s">
        <v>639</v>
      </c>
    </row>
    <row r="207" customFormat="false" ht="48" hidden="false" customHeight="true" outlineLevel="0" collapsed="false">
      <c r="A207" s="99"/>
      <c r="B207" s="100" t="n">
        <v>46230</v>
      </c>
      <c r="C207" s="100" t="n">
        <v>46236</v>
      </c>
      <c r="D207" s="99" t="s">
        <v>638</v>
      </c>
      <c r="E207" s="99" t="n">
        <v>0</v>
      </c>
      <c r="F207" s="101" t="n">
        <v>0</v>
      </c>
      <c r="G207" s="102" t="n">
        <f aca="false">IFERROR(F207/INDEX($G$5:$G$34,MATCH(LOOKUP(2,1/($A$39:A207&lt;&gt;""),$A$39:A207),$A$5:$A$34,0)),0)</f>
        <v>0</v>
      </c>
      <c r="H207" s="103" t="str">
        <f aca="false">IF(G207=0,"空闲",IF(G207&lt;=0.6,"低负荷",IF(G207&lt;=0.85,"正常",IF(G207&lt;=1,"满负荷","超负荷"))))</f>
        <v>空闲</v>
      </c>
      <c r="I207" s="104" t="s">
        <v>638</v>
      </c>
      <c r="J207" s="104"/>
      <c r="K207" s="104"/>
      <c r="L207" s="105" t="s">
        <v>639</v>
      </c>
    </row>
    <row r="208" customFormat="false" ht="48" hidden="false" customHeight="true" outlineLevel="0" collapsed="false">
      <c r="A208" s="99"/>
      <c r="B208" s="100" t="n">
        <v>46237</v>
      </c>
      <c r="C208" s="100" t="n">
        <v>46243</v>
      </c>
      <c r="D208" s="99" t="s">
        <v>638</v>
      </c>
      <c r="E208" s="99" t="n">
        <v>0</v>
      </c>
      <c r="F208" s="101" t="n">
        <v>0</v>
      </c>
      <c r="G208" s="102" t="n">
        <f aca="false">IFERROR(F208/INDEX($G$5:$G$34,MATCH(LOOKUP(2,1/($A$39:A208&lt;&gt;""),$A$39:A208),$A$5:$A$34,0)),0)</f>
        <v>0</v>
      </c>
      <c r="H208" s="103" t="str">
        <f aca="false">IF(G208=0,"空闲",IF(G208&lt;=0.6,"低负荷",IF(G208&lt;=0.85,"正常",IF(G208&lt;=1,"满负荷","超负荷"))))</f>
        <v>空闲</v>
      </c>
      <c r="I208" s="104" t="s">
        <v>638</v>
      </c>
      <c r="J208" s="104"/>
      <c r="K208" s="104"/>
      <c r="L208" s="105" t="s">
        <v>639</v>
      </c>
    </row>
    <row r="209" customFormat="false" ht="48" hidden="false" customHeight="true" outlineLevel="0" collapsed="false">
      <c r="A209" s="99"/>
      <c r="B209" s="100" t="n">
        <v>46244</v>
      </c>
      <c r="C209" s="100" t="n">
        <v>46250</v>
      </c>
      <c r="D209" s="99" t="s">
        <v>638</v>
      </c>
      <c r="E209" s="99" t="n">
        <v>0</v>
      </c>
      <c r="F209" s="101" t="n">
        <v>0</v>
      </c>
      <c r="G209" s="102" t="n">
        <f aca="false">IFERROR(F209/INDEX($G$5:$G$34,MATCH(LOOKUP(2,1/($A$39:A209&lt;&gt;""),$A$39:A209),$A$5:$A$34,0)),0)</f>
        <v>0</v>
      </c>
      <c r="H209" s="103" t="str">
        <f aca="false">IF(G209=0,"空闲",IF(G209&lt;=0.6,"低负荷",IF(G209&lt;=0.85,"正常",IF(G209&lt;=1,"满负荷","超负荷"))))</f>
        <v>空闲</v>
      </c>
      <c r="I209" s="104" t="s">
        <v>638</v>
      </c>
      <c r="J209" s="104"/>
      <c r="K209" s="104"/>
      <c r="L209" s="105" t="s">
        <v>639</v>
      </c>
    </row>
    <row r="210" customFormat="false" ht="48" hidden="false" customHeight="true" outlineLevel="0" collapsed="false">
      <c r="A210" s="99"/>
      <c r="B210" s="100" t="n">
        <v>46251</v>
      </c>
      <c r="C210" s="100" t="n">
        <v>46257</v>
      </c>
      <c r="D210" s="99" t="s">
        <v>638</v>
      </c>
      <c r="E210" s="99" t="n">
        <v>0</v>
      </c>
      <c r="F210" s="101" t="n">
        <v>0</v>
      </c>
      <c r="G210" s="102" t="n">
        <f aca="false">IFERROR(F210/INDEX($G$5:$G$34,MATCH(LOOKUP(2,1/($A$39:A210&lt;&gt;""),$A$39:A210),$A$5:$A$34,0)),0)</f>
        <v>0</v>
      </c>
      <c r="H210" s="103" t="str">
        <f aca="false">IF(G210=0,"空闲",IF(G210&lt;=0.6,"低负荷",IF(G210&lt;=0.85,"正常",IF(G210&lt;=1,"满负荷","超负荷"))))</f>
        <v>空闲</v>
      </c>
      <c r="I210" s="104" t="s">
        <v>638</v>
      </c>
      <c r="J210" s="104"/>
      <c r="K210" s="104"/>
      <c r="L210" s="105" t="s">
        <v>639</v>
      </c>
    </row>
    <row r="211" customFormat="false" ht="48" hidden="false" customHeight="true" outlineLevel="0" collapsed="false">
      <c r="A211" s="99"/>
      <c r="B211" s="100" t="n">
        <v>46258</v>
      </c>
      <c r="C211" s="100" t="n">
        <v>46264</v>
      </c>
      <c r="D211" s="99" t="s">
        <v>638</v>
      </c>
      <c r="E211" s="99" t="n">
        <v>0</v>
      </c>
      <c r="F211" s="101" t="n">
        <v>0</v>
      </c>
      <c r="G211" s="102" t="n">
        <f aca="false">IFERROR(F211/INDEX($G$5:$G$34,MATCH(LOOKUP(2,1/($A$39:A211&lt;&gt;""),$A$39:A211),$A$5:$A$34,0)),0)</f>
        <v>0</v>
      </c>
      <c r="H211" s="103" t="str">
        <f aca="false">IF(G211=0,"空闲",IF(G211&lt;=0.6,"低负荷",IF(G211&lt;=0.85,"正常",IF(G211&lt;=1,"满负荷","超负荷"))))</f>
        <v>空闲</v>
      </c>
      <c r="I211" s="104" t="s">
        <v>638</v>
      </c>
      <c r="J211" s="104"/>
      <c r="K211" s="104"/>
      <c r="L211" s="105" t="s">
        <v>639</v>
      </c>
    </row>
    <row r="212" customFormat="false" ht="48" hidden="false" customHeight="true" outlineLevel="0" collapsed="false">
      <c r="A212" s="99"/>
      <c r="B212" s="100" t="n">
        <v>46265</v>
      </c>
      <c r="C212" s="100" t="n">
        <v>46271</v>
      </c>
      <c r="D212" s="99" t="s">
        <v>638</v>
      </c>
      <c r="E212" s="99" t="n">
        <v>0</v>
      </c>
      <c r="F212" s="101" t="n">
        <v>0</v>
      </c>
      <c r="G212" s="102" t="n">
        <f aca="false">IFERROR(F212/INDEX($G$5:$G$34,MATCH(LOOKUP(2,1/($A$39:A212&lt;&gt;""),$A$39:A212),$A$5:$A$34,0)),0)</f>
        <v>0</v>
      </c>
      <c r="H212" s="103" t="str">
        <f aca="false">IF(G212=0,"空闲",IF(G212&lt;=0.6,"低负荷",IF(G212&lt;=0.85,"正常",IF(G212&lt;=1,"满负荷","超负荷"))))</f>
        <v>空闲</v>
      </c>
      <c r="I212" s="104" t="s">
        <v>638</v>
      </c>
      <c r="J212" s="104"/>
      <c r="K212" s="104"/>
      <c r="L212" s="105" t="s">
        <v>639</v>
      </c>
    </row>
    <row r="213" customFormat="false" ht="48" hidden="false" customHeight="true" outlineLevel="0" collapsed="false">
      <c r="A213" s="99"/>
      <c r="B213" s="100" t="n">
        <v>46272</v>
      </c>
      <c r="C213" s="100" t="n">
        <v>46278</v>
      </c>
      <c r="D213" s="99" t="s">
        <v>638</v>
      </c>
      <c r="E213" s="99" t="n">
        <v>0</v>
      </c>
      <c r="F213" s="101" t="n">
        <v>0</v>
      </c>
      <c r="G213" s="102" t="n">
        <f aca="false">IFERROR(F213/INDEX($G$5:$G$34,MATCH(LOOKUP(2,1/($A$39:A213&lt;&gt;""),$A$39:A213),$A$5:$A$34,0)),0)</f>
        <v>0</v>
      </c>
      <c r="H213" s="103" t="str">
        <f aca="false">IF(G213=0,"空闲",IF(G213&lt;=0.6,"低负荷",IF(G213&lt;=0.85,"正常",IF(G213&lt;=1,"满负荷","超负荷"))))</f>
        <v>空闲</v>
      </c>
      <c r="I213" s="104" t="s">
        <v>638</v>
      </c>
      <c r="J213" s="104"/>
      <c r="K213" s="104"/>
      <c r="L213" s="105" t="s">
        <v>639</v>
      </c>
    </row>
    <row r="214" customFormat="false" ht="48" hidden="false" customHeight="true" outlineLevel="0" collapsed="false">
      <c r="A214" s="99"/>
      <c r="B214" s="100" t="n">
        <v>46279</v>
      </c>
      <c r="C214" s="100" t="n">
        <v>46285</v>
      </c>
      <c r="D214" s="99" t="s">
        <v>640</v>
      </c>
      <c r="E214" s="99" t="n">
        <v>1</v>
      </c>
      <c r="F214" s="101" t="n">
        <v>40</v>
      </c>
      <c r="G214" s="102" t="n">
        <f aca="false">IFERROR(F214/INDEX($G$5:$G$34,MATCH(LOOKUP(2,1/($A$39:A214&lt;&gt;""),$A$39:A214),$A$5:$A$34,0)),0)</f>
        <v>1</v>
      </c>
      <c r="H214" s="103" t="str">
        <f aca="false">IF(G214=0,"空闲",IF(G214&lt;=0.6,"低负荷",IF(G214&lt;=0.85,"正常",IF(G214&lt;=1,"满负荷","超负荷"))))</f>
        <v>满负荷</v>
      </c>
      <c r="I214" s="106" t="s">
        <v>661</v>
      </c>
      <c r="J214" s="106"/>
      <c r="K214" s="106"/>
      <c r="L214" s="105" t="s">
        <v>642</v>
      </c>
    </row>
    <row r="215" customFormat="false" ht="48" hidden="false" customHeight="true" outlineLevel="0" collapsed="false">
      <c r="A215" s="99"/>
      <c r="B215" s="100" t="n">
        <v>46286</v>
      </c>
      <c r="C215" s="100" t="n">
        <v>46292</v>
      </c>
      <c r="D215" s="99" t="s">
        <v>640</v>
      </c>
      <c r="E215" s="99" t="n">
        <v>1</v>
      </c>
      <c r="F215" s="101" t="n">
        <v>40</v>
      </c>
      <c r="G215" s="102" t="n">
        <f aca="false">IFERROR(F215/INDEX($G$5:$G$34,MATCH(LOOKUP(2,1/($A$39:A215&lt;&gt;""),$A$39:A215),$A$5:$A$34,0)),0)</f>
        <v>1</v>
      </c>
      <c r="H215" s="103" t="str">
        <f aca="false">IF(G215=0,"空闲",IF(G215&lt;=0.6,"低负荷",IF(G215&lt;=0.85,"正常",IF(G215&lt;=1,"满负荷","超负荷"))))</f>
        <v>满负荷</v>
      </c>
      <c r="I215" s="106" t="s">
        <v>661</v>
      </c>
      <c r="J215" s="106"/>
      <c r="K215" s="106"/>
      <c r="L215" s="105" t="s">
        <v>642</v>
      </c>
    </row>
    <row r="216" customFormat="false" ht="48" hidden="false" customHeight="true" outlineLevel="0" collapsed="false">
      <c r="A216" s="99"/>
      <c r="B216" s="100" t="n">
        <v>46293</v>
      </c>
      <c r="C216" s="100" t="n">
        <v>46299</v>
      </c>
      <c r="D216" s="99" t="s">
        <v>638</v>
      </c>
      <c r="E216" s="99" t="n">
        <v>0</v>
      </c>
      <c r="F216" s="101" t="n">
        <v>0</v>
      </c>
      <c r="G216" s="102" t="n">
        <f aca="false">IFERROR(F216/INDEX($G$5:$G$34,MATCH(LOOKUP(2,1/($A$39:A216&lt;&gt;""),$A$39:A216),$A$5:$A$34,0)),0)</f>
        <v>0</v>
      </c>
      <c r="H216" s="103" t="str">
        <f aca="false">IF(G216=0,"空闲",IF(G216&lt;=0.6,"低负荷",IF(G216&lt;=0.85,"正常",IF(G216&lt;=1,"满负荷","超负荷"))))</f>
        <v>空闲</v>
      </c>
      <c r="I216" s="104" t="s">
        <v>638</v>
      </c>
      <c r="J216" s="104"/>
      <c r="K216" s="104"/>
      <c r="L216" s="105" t="s">
        <v>639</v>
      </c>
    </row>
    <row r="217" customFormat="false" ht="48" hidden="false" customHeight="true" outlineLevel="0" collapsed="false">
      <c r="A217" s="99"/>
      <c r="B217" s="100" t="n">
        <v>46300</v>
      </c>
      <c r="C217" s="100" t="n">
        <v>46306</v>
      </c>
      <c r="D217" s="99" t="s">
        <v>640</v>
      </c>
      <c r="E217" s="99" t="n">
        <v>1</v>
      </c>
      <c r="F217" s="101" t="n">
        <v>40</v>
      </c>
      <c r="G217" s="102" t="n">
        <f aca="false">IFERROR(F217/INDEX($G$5:$G$34,MATCH(LOOKUP(2,1/($A$39:A217&lt;&gt;""),$A$39:A217),$A$5:$A$34,0)),0)</f>
        <v>1</v>
      </c>
      <c r="H217" s="103" t="str">
        <f aca="false">IF(G217=0,"空闲",IF(G217&lt;=0.6,"低负荷",IF(G217&lt;=0.85,"正常",IF(G217&lt;=1,"满负荷","超负荷"))))</f>
        <v>满负荷</v>
      </c>
      <c r="I217" s="106" t="s">
        <v>662</v>
      </c>
      <c r="J217" s="106"/>
      <c r="K217" s="106"/>
      <c r="L217" s="105" t="s">
        <v>642</v>
      </c>
    </row>
    <row r="218" customFormat="false" ht="48" hidden="false" customHeight="true" outlineLevel="0" collapsed="false">
      <c r="A218" s="99"/>
      <c r="B218" s="100" t="n">
        <v>46307</v>
      </c>
      <c r="C218" s="100" t="n">
        <v>46313</v>
      </c>
      <c r="D218" s="99" t="s">
        <v>638</v>
      </c>
      <c r="E218" s="99" t="n">
        <v>0</v>
      </c>
      <c r="F218" s="101" t="n">
        <v>0</v>
      </c>
      <c r="G218" s="102" t="n">
        <f aca="false">IFERROR(F218/INDEX($G$5:$G$34,MATCH(LOOKUP(2,1/($A$39:A218&lt;&gt;""),$A$39:A218),$A$5:$A$34,0)),0)</f>
        <v>0</v>
      </c>
      <c r="H218" s="103" t="str">
        <f aca="false">IF(G218=0,"空闲",IF(G218&lt;=0.6,"低负荷",IF(G218&lt;=0.85,"正常",IF(G218&lt;=1,"满负荷","超负荷"))))</f>
        <v>空闲</v>
      </c>
      <c r="I218" s="104" t="s">
        <v>638</v>
      </c>
      <c r="J218" s="104"/>
      <c r="K218" s="104"/>
      <c r="L218" s="105" t="s">
        <v>639</v>
      </c>
    </row>
    <row r="219" customFormat="false" ht="48" hidden="false" customHeight="true" outlineLevel="0" collapsed="false">
      <c r="A219" s="99"/>
      <c r="B219" s="100" t="n">
        <v>46314</v>
      </c>
      <c r="C219" s="100" t="n">
        <v>46320</v>
      </c>
      <c r="D219" s="99" t="s">
        <v>640</v>
      </c>
      <c r="E219" s="99" t="n">
        <v>1</v>
      </c>
      <c r="F219" s="101" t="n">
        <v>40</v>
      </c>
      <c r="G219" s="102" t="n">
        <f aca="false">IFERROR(F219/INDEX($G$5:$G$34,MATCH(LOOKUP(2,1/($A$39:A219&lt;&gt;""),$A$39:A219),$A$5:$A$34,0)),0)</f>
        <v>1</v>
      </c>
      <c r="H219" s="103" t="str">
        <f aca="false">IF(G219=0,"空闲",IF(G219&lt;=0.6,"低负荷",IF(G219&lt;=0.85,"正常",IF(G219&lt;=1,"满负荷","超负荷"))))</f>
        <v>满负荷</v>
      </c>
      <c r="I219" s="106" t="s">
        <v>663</v>
      </c>
      <c r="J219" s="106"/>
      <c r="K219" s="106"/>
      <c r="L219" s="105" t="s">
        <v>642</v>
      </c>
    </row>
    <row r="220" customFormat="false" ht="48" hidden="false" customHeight="true" outlineLevel="0" collapsed="false">
      <c r="A220" s="99"/>
      <c r="B220" s="100" t="n">
        <v>46321</v>
      </c>
      <c r="C220" s="100" t="n">
        <v>46327</v>
      </c>
      <c r="D220" s="99" t="s">
        <v>638</v>
      </c>
      <c r="E220" s="99" t="n">
        <v>0</v>
      </c>
      <c r="F220" s="101" t="n">
        <v>0</v>
      </c>
      <c r="G220" s="102" t="n">
        <f aca="false">IFERROR(F220/INDEX($G$5:$G$34,MATCH(LOOKUP(2,1/($A$39:A220&lt;&gt;""),$A$39:A220),$A$5:$A$34,0)),0)</f>
        <v>0</v>
      </c>
      <c r="H220" s="103" t="str">
        <f aca="false">IF(G220=0,"空闲",IF(G220&lt;=0.6,"低负荷",IF(G220&lt;=0.85,"正常",IF(G220&lt;=1,"满负荷","超负荷"))))</f>
        <v>空闲</v>
      </c>
      <c r="I220" s="104" t="s">
        <v>638</v>
      </c>
      <c r="J220" s="104"/>
      <c r="K220" s="104"/>
      <c r="L220" s="105" t="s">
        <v>639</v>
      </c>
    </row>
    <row r="221" customFormat="false" ht="48" hidden="false" customHeight="true" outlineLevel="0" collapsed="false">
      <c r="A221" s="99"/>
      <c r="B221" s="100" t="n">
        <v>46328</v>
      </c>
      <c r="C221" s="100" t="n">
        <v>46334</v>
      </c>
      <c r="D221" s="99" t="s">
        <v>638</v>
      </c>
      <c r="E221" s="99" t="n">
        <v>0</v>
      </c>
      <c r="F221" s="101" t="n">
        <v>0</v>
      </c>
      <c r="G221" s="102" t="n">
        <f aca="false">IFERROR(F221/INDEX($G$5:$G$34,MATCH(LOOKUP(2,1/($A$39:A221&lt;&gt;""),$A$39:A221),$A$5:$A$34,0)),0)</f>
        <v>0</v>
      </c>
      <c r="H221" s="103" t="str">
        <f aca="false">IF(G221=0,"空闲",IF(G221&lt;=0.6,"低负荷",IF(G221&lt;=0.85,"正常",IF(G221&lt;=1,"满负荷","超负荷"))))</f>
        <v>空闲</v>
      </c>
      <c r="I221" s="104" t="s">
        <v>638</v>
      </c>
      <c r="J221" s="104"/>
      <c r="K221" s="104"/>
      <c r="L221" s="105" t="s">
        <v>639</v>
      </c>
    </row>
    <row r="222" customFormat="false" ht="48" hidden="false" customHeight="true" outlineLevel="0" collapsed="false">
      <c r="A222" s="99"/>
      <c r="B222" s="100" t="n">
        <v>46335</v>
      </c>
      <c r="C222" s="100" t="n">
        <v>46341</v>
      </c>
      <c r="D222" s="99" t="s">
        <v>638</v>
      </c>
      <c r="E222" s="99" t="n">
        <v>0</v>
      </c>
      <c r="F222" s="101" t="n">
        <v>0</v>
      </c>
      <c r="G222" s="102" t="n">
        <f aca="false">IFERROR(F222/INDEX($G$5:$G$34,MATCH(LOOKUP(2,1/($A$39:A222&lt;&gt;""),$A$39:A222),$A$5:$A$34,0)),0)</f>
        <v>0</v>
      </c>
      <c r="H222" s="103" t="str">
        <f aca="false">IF(G222=0,"空闲",IF(G222&lt;=0.6,"低负荷",IF(G222&lt;=0.85,"正常",IF(G222&lt;=1,"满负荷","超负荷"))))</f>
        <v>空闲</v>
      </c>
      <c r="I222" s="104" t="s">
        <v>638</v>
      </c>
      <c r="J222" s="104"/>
      <c r="K222" s="104"/>
      <c r="L222" s="105" t="s">
        <v>639</v>
      </c>
    </row>
    <row r="223" customFormat="false" ht="48" hidden="false" customHeight="true" outlineLevel="0" collapsed="false">
      <c r="A223" s="99"/>
      <c r="B223" s="100" t="n">
        <v>46342</v>
      </c>
      <c r="C223" s="100" t="n">
        <v>46348</v>
      </c>
      <c r="D223" s="99" t="s">
        <v>638</v>
      </c>
      <c r="E223" s="99" t="n">
        <v>0</v>
      </c>
      <c r="F223" s="101" t="n">
        <v>0</v>
      </c>
      <c r="G223" s="102" t="n">
        <f aca="false">IFERROR(F223/INDEX($G$5:$G$34,MATCH(LOOKUP(2,1/($A$39:A223&lt;&gt;""),$A$39:A223),$A$5:$A$34,0)),0)</f>
        <v>0</v>
      </c>
      <c r="H223" s="103" t="str">
        <f aca="false">IF(G223=0,"空闲",IF(G223&lt;=0.6,"低负荷",IF(G223&lt;=0.85,"正常",IF(G223&lt;=1,"满负荷","超负荷"))))</f>
        <v>空闲</v>
      </c>
      <c r="I223" s="104" t="s">
        <v>638</v>
      </c>
      <c r="J223" s="104"/>
      <c r="K223" s="104"/>
      <c r="L223" s="105" t="s">
        <v>639</v>
      </c>
    </row>
    <row r="224" customFormat="false" ht="48" hidden="false" customHeight="true" outlineLevel="0" collapsed="false">
      <c r="A224" s="99"/>
      <c r="B224" s="100" t="n">
        <v>46349</v>
      </c>
      <c r="C224" s="100" t="n">
        <v>46355</v>
      </c>
      <c r="D224" s="99" t="s">
        <v>640</v>
      </c>
      <c r="E224" s="99" t="n">
        <v>1</v>
      </c>
      <c r="F224" s="101" t="n">
        <v>40</v>
      </c>
      <c r="G224" s="102" t="n">
        <f aca="false">IFERROR(F224/INDEX($G$5:$G$34,MATCH(LOOKUP(2,1/($A$39:A224&lt;&gt;""),$A$39:A224),$A$5:$A$34,0)),0)</f>
        <v>1</v>
      </c>
      <c r="H224" s="103" t="str">
        <f aca="false">IF(G224=0,"空闲",IF(G224&lt;=0.6,"低负荷",IF(G224&lt;=0.85,"正常",IF(G224&lt;=1,"满负荷","超负荷"))))</f>
        <v>满负荷</v>
      </c>
      <c r="I224" s="106" t="s">
        <v>664</v>
      </c>
      <c r="J224" s="106"/>
      <c r="K224" s="106"/>
      <c r="L224" s="105" t="s">
        <v>642</v>
      </c>
    </row>
    <row r="225" customFormat="false" ht="48" hidden="false" customHeight="true" outlineLevel="0" collapsed="false">
      <c r="A225" s="99"/>
      <c r="B225" s="100" t="n">
        <v>46356</v>
      </c>
      <c r="C225" s="100" t="n">
        <v>46362</v>
      </c>
      <c r="D225" s="99" t="s">
        <v>640</v>
      </c>
      <c r="E225" s="99" t="n">
        <v>1</v>
      </c>
      <c r="F225" s="101" t="n">
        <v>40</v>
      </c>
      <c r="G225" s="102" t="n">
        <f aca="false">IFERROR(F225/INDEX($G$5:$G$34,MATCH(LOOKUP(2,1/($A$39:A225&lt;&gt;""),$A$39:A225),$A$5:$A$34,0)),0)</f>
        <v>1</v>
      </c>
      <c r="H225" s="103" t="str">
        <f aca="false">IF(G225=0,"空闲",IF(G225&lt;=0.6,"低负荷",IF(G225&lt;=0.85,"正常",IF(G225&lt;=1,"满负荷","超负荷"))))</f>
        <v>满负荷</v>
      </c>
      <c r="I225" s="106" t="s">
        <v>664</v>
      </c>
      <c r="J225" s="106"/>
      <c r="K225" s="106"/>
      <c r="L225" s="105" t="s">
        <v>642</v>
      </c>
    </row>
    <row r="226" customFormat="false" ht="48" hidden="false" customHeight="true" outlineLevel="0" collapsed="false">
      <c r="A226" s="99"/>
      <c r="B226" s="100" t="n">
        <v>46363</v>
      </c>
      <c r="C226" s="100" t="n">
        <v>46369</v>
      </c>
      <c r="D226" s="99" t="s">
        <v>638</v>
      </c>
      <c r="E226" s="99" t="n">
        <v>0</v>
      </c>
      <c r="F226" s="101" t="n">
        <v>0</v>
      </c>
      <c r="G226" s="102" t="n">
        <f aca="false">IFERROR(F226/INDEX($G$5:$G$34,MATCH(LOOKUP(2,1/($A$39:A226&lt;&gt;""),$A$39:A226),$A$5:$A$34,0)),0)</f>
        <v>0</v>
      </c>
      <c r="H226" s="103" t="str">
        <f aca="false">IF(G226=0,"空闲",IF(G226&lt;=0.6,"低负荷",IF(G226&lt;=0.85,"正常",IF(G226&lt;=1,"满负荷","超负荷"))))</f>
        <v>空闲</v>
      </c>
      <c r="I226" s="104" t="s">
        <v>638</v>
      </c>
      <c r="J226" s="104"/>
      <c r="K226" s="104"/>
      <c r="L226" s="105" t="s">
        <v>639</v>
      </c>
    </row>
    <row r="227" customFormat="false" ht="48" hidden="false" customHeight="true" outlineLevel="0" collapsed="false">
      <c r="A227" s="99"/>
      <c r="B227" s="100" t="n">
        <v>46370</v>
      </c>
      <c r="C227" s="100" t="n">
        <v>46376</v>
      </c>
      <c r="D227" s="99" t="s">
        <v>638</v>
      </c>
      <c r="E227" s="99" t="n">
        <v>0</v>
      </c>
      <c r="F227" s="101" t="n">
        <v>0</v>
      </c>
      <c r="G227" s="102" t="n">
        <f aca="false">IFERROR(F227/INDEX($G$5:$G$34,MATCH(LOOKUP(2,1/($A$39:A227&lt;&gt;""),$A$39:A227),$A$5:$A$34,0)),0)</f>
        <v>0</v>
      </c>
      <c r="H227" s="103" t="str">
        <f aca="false">IF(G227=0,"空闲",IF(G227&lt;=0.6,"低负荷",IF(G227&lt;=0.85,"正常",IF(G227&lt;=1,"满负荷","超负荷"))))</f>
        <v>空闲</v>
      </c>
      <c r="I227" s="104" t="s">
        <v>638</v>
      </c>
      <c r="J227" s="104"/>
      <c r="K227" s="104"/>
      <c r="L227" s="105" t="s">
        <v>639</v>
      </c>
    </row>
    <row r="228" customFormat="false" ht="48" hidden="false" customHeight="true" outlineLevel="0" collapsed="false">
      <c r="A228" s="99"/>
      <c r="B228" s="100" t="n">
        <v>46377</v>
      </c>
      <c r="C228" s="100" t="n">
        <v>46383</v>
      </c>
      <c r="D228" s="99" t="s">
        <v>638</v>
      </c>
      <c r="E228" s="99" t="n">
        <v>0</v>
      </c>
      <c r="F228" s="101" t="n">
        <v>0</v>
      </c>
      <c r="G228" s="102" t="n">
        <f aca="false">IFERROR(F228/INDEX($G$5:$G$34,MATCH(LOOKUP(2,1/($A$39:A228&lt;&gt;""),$A$39:A228),$A$5:$A$34,0)),0)</f>
        <v>0</v>
      </c>
      <c r="H228" s="103" t="str">
        <f aca="false">IF(G228=0,"空闲",IF(G228&lt;=0.6,"低负荷",IF(G228&lt;=0.85,"正常",IF(G228&lt;=1,"满负荷","超负荷"))))</f>
        <v>空闲</v>
      </c>
      <c r="I228" s="104" t="s">
        <v>638</v>
      </c>
      <c r="J228" s="104"/>
      <c r="K228" s="104"/>
      <c r="L228" s="105" t="s">
        <v>639</v>
      </c>
    </row>
    <row r="229" customFormat="false" ht="48" hidden="false" customHeight="true" outlineLevel="0" collapsed="false">
      <c r="A229" s="99"/>
      <c r="B229" s="100" t="n">
        <v>46384</v>
      </c>
      <c r="C229" s="100" t="n">
        <v>46390</v>
      </c>
      <c r="D229" s="99" t="s">
        <v>638</v>
      </c>
      <c r="E229" s="99" t="n">
        <v>0</v>
      </c>
      <c r="F229" s="101" t="n">
        <v>0</v>
      </c>
      <c r="G229" s="102" t="n">
        <f aca="false">IFERROR(F229/INDEX($G$5:$G$34,MATCH(LOOKUP(2,1/($A$39:A229&lt;&gt;""),$A$39:A229),$A$5:$A$34,0)),0)</f>
        <v>0</v>
      </c>
      <c r="H229" s="103" t="str">
        <f aca="false">IF(G229=0,"空闲",IF(G229&lt;=0.6,"低负荷",IF(G229&lt;=0.85,"正常",IF(G229&lt;=1,"满负荷","超负荷"))))</f>
        <v>空闲</v>
      </c>
      <c r="I229" s="104" t="s">
        <v>638</v>
      </c>
      <c r="J229" s="104"/>
      <c r="K229" s="104"/>
      <c r="L229" s="105" t="s">
        <v>639</v>
      </c>
    </row>
    <row r="230" customFormat="false" ht="48" hidden="false" customHeight="true" outlineLevel="0" collapsed="false">
      <c r="A230" s="99"/>
      <c r="B230" s="100" t="n">
        <v>46391</v>
      </c>
      <c r="C230" s="100" t="n">
        <v>46397</v>
      </c>
      <c r="D230" s="99" t="s">
        <v>638</v>
      </c>
      <c r="E230" s="99" t="n">
        <v>0</v>
      </c>
      <c r="F230" s="101" t="n">
        <v>0</v>
      </c>
      <c r="G230" s="102" t="n">
        <f aca="false">IFERROR(F230/INDEX($G$5:$G$34,MATCH(LOOKUP(2,1/($A$39:A230&lt;&gt;""),$A$39:A230),$A$5:$A$34,0)),0)</f>
        <v>0</v>
      </c>
      <c r="H230" s="103" t="str">
        <f aca="false">IF(G230=0,"空闲",IF(G230&lt;=0.6,"低负荷",IF(G230&lt;=0.85,"正常",IF(G230&lt;=1,"满负荷","超负荷"))))</f>
        <v>空闲</v>
      </c>
      <c r="I230" s="104" t="s">
        <v>638</v>
      </c>
      <c r="J230" s="104"/>
      <c r="K230" s="104"/>
      <c r="L230" s="105" t="s">
        <v>639</v>
      </c>
    </row>
    <row r="231" customFormat="false" ht="48" hidden="false" customHeight="true" outlineLevel="0" collapsed="false">
      <c r="A231" s="99"/>
      <c r="B231" s="100" t="n">
        <v>46398</v>
      </c>
      <c r="C231" s="100" t="n">
        <v>46404</v>
      </c>
      <c r="D231" s="99" t="s">
        <v>638</v>
      </c>
      <c r="E231" s="99" t="n">
        <v>0</v>
      </c>
      <c r="F231" s="101" t="n">
        <v>0</v>
      </c>
      <c r="G231" s="102" t="n">
        <f aca="false">IFERROR(F231/INDEX($G$5:$G$34,MATCH(LOOKUP(2,1/($A$39:A231&lt;&gt;""),$A$39:A231),$A$5:$A$34,0)),0)</f>
        <v>0</v>
      </c>
      <c r="H231" s="103" t="str">
        <f aca="false">IF(G231=0,"空闲",IF(G231&lt;=0.6,"低负荷",IF(G231&lt;=0.85,"正常",IF(G231&lt;=1,"满负荷","超负荷"))))</f>
        <v>空闲</v>
      </c>
      <c r="I231" s="104" t="s">
        <v>638</v>
      </c>
      <c r="J231" s="104"/>
      <c r="K231" s="104"/>
      <c r="L231" s="105" t="s">
        <v>639</v>
      </c>
    </row>
    <row r="232" customFormat="false" ht="48" hidden="false" customHeight="true" outlineLevel="0" collapsed="false">
      <c r="A232" s="99"/>
      <c r="B232" s="100" t="n">
        <v>46405</v>
      </c>
      <c r="C232" s="100" t="n">
        <v>46411</v>
      </c>
      <c r="D232" s="99" t="s">
        <v>638</v>
      </c>
      <c r="E232" s="99" t="n">
        <v>0</v>
      </c>
      <c r="F232" s="101" t="n">
        <v>0</v>
      </c>
      <c r="G232" s="102" t="n">
        <f aca="false">IFERROR(F232/INDEX($G$5:$G$34,MATCH(LOOKUP(2,1/($A$39:A232&lt;&gt;""),$A$39:A232),$A$5:$A$34,0)),0)</f>
        <v>0</v>
      </c>
      <c r="H232" s="103" t="str">
        <f aca="false">IF(G232=0,"空闲",IF(G232&lt;=0.6,"低负荷",IF(G232&lt;=0.85,"正常",IF(G232&lt;=1,"满负荷","超负荷"))))</f>
        <v>空闲</v>
      </c>
      <c r="I232" s="104" t="s">
        <v>638</v>
      </c>
      <c r="J232" s="104"/>
      <c r="K232" s="104"/>
      <c r="L232" s="105" t="s">
        <v>639</v>
      </c>
    </row>
    <row r="233" customFormat="false" ht="48" hidden="false" customHeight="true" outlineLevel="0" collapsed="false">
      <c r="A233" s="99"/>
      <c r="B233" s="100" t="n">
        <v>46412</v>
      </c>
      <c r="C233" s="100" t="n">
        <v>46418</v>
      </c>
      <c r="D233" s="99" t="s">
        <v>638</v>
      </c>
      <c r="E233" s="99" t="n">
        <v>0</v>
      </c>
      <c r="F233" s="101" t="n">
        <v>0</v>
      </c>
      <c r="G233" s="102" t="n">
        <f aca="false">IFERROR(F233/INDEX($G$5:$G$34,MATCH(LOOKUP(2,1/($A$39:A233&lt;&gt;""),$A$39:A233),$A$5:$A$34,0)),0)</f>
        <v>0</v>
      </c>
      <c r="H233" s="103" t="str">
        <f aca="false">IF(G233=0,"空闲",IF(G233&lt;=0.6,"低负荷",IF(G233&lt;=0.85,"正常",IF(G233&lt;=1,"满负荷","超负荷"))))</f>
        <v>空闲</v>
      </c>
      <c r="I233" s="104" t="s">
        <v>638</v>
      </c>
      <c r="J233" s="104"/>
      <c r="K233" s="104"/>
      <c r="L233" s="105" t="s">
        <v>639</v>
      </c>
    </row>
    <row r="234" customFormat="false" ht="48" hidden="false" customHeight="true" outlineLevel="0" collapsed="false">
      <c r="A234" s="99"/>
      <c r="B234" s="100" t="n">
        <v>46419</v>
      </c>
      <c r="C234" s="100" t="n">
        <v>46425</v>
      </c>
      <c r="D234" s="99" t="s">
        <v>638</v>
      </c>
      <c r="E234" s="99" t="n">
        <v>0</v>
      </c>
      <c r="F234" s="101" t="n">
        <v>0</v>
      </c>
      <c r="G234" s="102" t="n">
        <f aca="false">IFERROR(F234/INDEX($G$5:$G$34,MATCH(LOOKUP(2,1/($A$39:A234&lt;&gt;""),$A$39:A234),$A$5:$A$34,0)),0)</f>
        <v>0</v>
      </c>
      <c r="H234" s="103" t="str">
        <f aca="false">IF(G234=0,"空闲",IF(G234&lt;=0.6,"低负荷",IF(G234&lt;=0.85,"正常",IF(G234&lt;=1,"满负荷","超负荷"))))</f>
        <v>空闲</v>
      </c>
      <c r="I234" s="104" t="s">
        <v>638</v>
      </c>
      <c r="J234" s="104"/>
      <c r="K234" s="104"/>
      <c r="L234" s="105" t="s">
        <v>639</v>
      </c>
    </row>
    <row r="235" customFormat="false" ht="48" hidden="false" customHeight="true" outlineLevel="0" collapsed="false">
      <c r="A235" s="99"/>
      <c r="B235" s="100" t="n">
        <v>46426</v>
      </c>
      <c r="C235" s="100" t="n">
        <v>46432</v>
      </c>
      <c r="D235" s="99" t="s">
        <v>638</v>
      </c>
      <c r="E235" s="99" t="n">
        <v>0</v>
      </c>
      <c r="F235" s="101" t="n">
        <v>0</v>
      </c>
      <c r="G235" s="102" t="n">
        <f aca="false">IFERROR(F235/INDEX($G$5:$G$34,MATCH(LOOKUP(2,1/($A$39:A235&lt;&gt;""),$A$39:A235),$A$5:$A$34,0)),0)</f>
        <v>0</v>
      </c>
      <c r="H235" s="103" t="str">
        <f aca="false">IF(G235=0,"空闲",IF(G235&lt;=0.6,"低负荷",IF(G235&lt;=0.85,"正常",IF(G235&lt;=1,"满负荷","超负荷"))))</f>
        <v>空闲</v>
      </c>
      <c r="I235" s="104" t="s">
        <v>638</v>
      </c>
      <c r="J235" s="104"/>
      <c r="K235" s="104"/>
      <c r="L235" s="105" t="s">
        <v>639</v>
      </c>
    </row>
    <row r="236" customFormat="false" ht="48" hidden="false" customHeight="true" outlineLevel="0" collapsed="false">
      <c r="A236" s="99"/>
      <c r="B236" s="100" t="n">
        <v>46433</v>
      </c>
      <c r="C236" s="100" t="n">
        <v>46439</v>
      </c>
      <c r="D236" s="99" t="s">
        <v>638</v>
      </c>
      <c r="E236" s="99" t="n">
        <v>0</v>
      </c>
      <c r="F236" s="101" t="n">
        <v>0</v>
      </c>
      <c r="G236" s="102" t="n">
        <f aca="false">IFERROR(F236/INDEX($G$5:$G$34,MATCH(LOOKUP(2,1/($A$39:A236&lt;&gt;""),$A$39:A236),$A$5:$A$34,0)),0)</f>
        <v>0</v>
      </c>
      <c r="H236" s="103" t="str">
        <f aca="false">IF(G236=0,"空闲",IF(G236&lt;=0.6,"低负荷",IF(G236&lt;=0.85,"正常",IF(G236&lt;=1,"满负荷","超负荷"))))</f>
        <v>空闲</v>
      </c>
      <c r="I236" s="104" t="s">
        <v>638</v>
      </c>
      <c r="J236" s="104"/>
      <c r="K236" s="104"/>
      <c r="L236" s="105" t="s">
        <v>639</v>
      </c>
    </row>
    <row r="237" customFormat="false" ht="48" hidden="false" customHeight="true" outlineLevel="0" collapsed="false">
      <c r="A237" s="99"/>
      <c r="B237" s="100" t="n">
        <v>46440</v>
      </c>
      <c r="C237" s="100" t="n">
        <v>46446</v>
      </c>
      <c r="D237" s="99" t="s">
        <v>638</v>
      </c>
      <c r="E237" s="99" t="n">
        <v>0</v>
      </c>
      <c r="F237" s="101" t="n">
        <v>0</v>
      </c>
      <c r="G237" s="102" t="n">
        <f aca="false">IFERROR(F237/INDEX($G$5:$G$34,MATCH(LOOKUP(2,1/($A$39:A237&lt;&gt;""),$A$39:A237),$A$5:$A$34,0)),0)</f>
        <v>0</v>
      </c>
      <c r="H237" s="103" t="str">
        <f aca="false">IF(G237=0,"空闲",IF(G237&lt;=0.6,"低负荷",IF(G237&lt;=0.85,"正常",IF(G237&lt;=1,"满负荷","超负荷"))))</f>
        <v>空闲</v>
      </c>
      <c r="I237" s="104" t="s">
        <v>638</v>
      </c>
      <c r="J237" s="104"/>
      <c r="K237" s="104"/>
      <c r="L237" s="105" t="s">
        <v>639</v>
      </c>
    </row>
    <row r="238" customFormat="false" ht="48" hidden="false" customHeight="true" outlineLevel="0" collapsed="false">
      <c r="A238" s="99"/>
      <c r="B238" s="100" t="n">
        <v>46447</v>
      </c>
      <c r="C238" s="100" t="n">
        <v>46453</v>
      </c>
      <c r="D238" s="99" t="s">
        <v>638</v>
      </c>
      <c r="E238" s="99" t="n">
        <v>0</v>
      </c>
      <c r="F238" s="101" t="n">
        <v>0</v>
      </c>
      <c r="G238" s="102" t="n">
        <f aca="false">IFERROR(F238/INDEX($G$5:$G$34,MATCH(LOOKUP(2,1/($A$39:A238&lt;&gt;""),$A$39:A238),$A$5:$A$34,0)),0)</f>
        <v>0</v>
      </c>
      <c r="H238" s="103" t="str">
        <f aca="false">IF(G238=0,"空闲",IF(G238&lt;=0.6,"低负荷",IF(G238&lt;=0.85,"正常",IF(G238&lt;=1,"满负荷","超负荷"))))</f>
        <v>空闲</v>
      </c>
      <c r="I238" s="104" t="s">
        <v>638</v>
      </c>
      <c r="J238" s="104"/>
      <c r="K238" s="104"/>
      <c r="L238" s="105" t="s">
        <v>639</v>
      </c>
    </row>
    <row r="239" customFormat="false" ht="48" hidden="false" customHeight="true" outlineLevel="0" collapsed="false">
      <c r="A239" s="99"/>
      <c r="B239" s="100" t="n">
        <v>46454</v>
      </c>
      <c r="C239" s="100" t="n">
        <v>46460</v>
      </c>
      <c r="D239" s="99" t="s">
        <v>638</v>
      </c>
      <c r="E239" s="99" t="n">
        <v>0</v>
      </c>
      <c r="F239" s="101" t="n">
        <v>0</v>
      </c>
      <c r="G239" s="102" t="n">
        <f aca="false">IFERROR(F239/INDEX($G$5:$G$34,MATCH(LOOKUP(2,1/($A$39:A239&lt;&gt;""),$A$39:A239),$A$5:$A$34,0)),0)</f>
        <v>0</v>
      </c>
      <c r="H239" s="103" t="str">
        <f aca="false">IF(G239=0,"空闲",IF(G239&lt;=0.6,"低负荷",IF(G239&lt;=0.85,"正常",IF(G239&lt;=1,"满负荷","超负荷"))))</f>
        <v>空闲</v>
      </c>
      <c r="I239" s="104" t="s">
        <v>638</v>
      </c>
      <c r="J239" s="104"/>
      <c r="K239" s="104"/>
      <c r="L239" s="105" t="s">
        <v>639</v>
      </c>
    </row>
    <row r="240" customFormat="false" ht="48" hidden="false" customHeight="true" outlineLevel="0" collapsed="false">
      <c r="A240" s="99"/>
      <c r="B240" s="100" t="n">
        <v>46461</v>
      </c>
      <c r="C240" s="100" t="n">
        <v>46467</v>
      </c>
      <c r="D240" s="99" t="s">
        <v>638</v>
      </c>
      <c r="E240" s="99" t="n">
        <v>0</v>
      </c>
      <c r="F240" s="101" t="n">
        <v>0</v>
      </c>
      <c r="G240" s="102" t="n">
        <f aca="false">IFERROR(F240/INDEX($G$5:$G$34,MATCH(LOOKUP(2,1/($A$39:A240&lt;&gt;""),$A$39:A240),$A$5:$A$34,0)),0)</f>
        <v>0</v>
      </c>
      <c r="H240" s="103" t="str">
        <f aca="false">IF(G240=0,"空闲",IF(G240&lt;=0.6,"低负荷",IF(G240&lt;=0.85,"正常",IF(G240&lt;=1,"满负荷","超负荷"))))</f>
        <v>空闲</v>
      </c>
      <c r="I240" s="104" t="s">
        <v>638</v>
      </c>
      <c r="J240" s="104"/>
      <c r="K240" s="104"/>
      <c r="L240" s="105" t="s">
        <v>639</v>
      </c>
    </row>
    <row r="241" customFormat="false" ht="48" hidden="false" customHeight="true" outlineLevel="0" collapsed="false">
      <c r="A241" s="99"/>
      <c r="B241" s="100" t="n">
        <v>46468</v>
      </c>
      <c r="C241" s="100" t="n">
        <v>46474</v>
      </c>
      <c r="D241" s="99" t="s">
        <v>638</v>
      </c>
      <c r="E241" s="99" t="n">
        <v>0</v>
      </c>
      <c r="F241" s="101" t="n">
        <v>0</v>
      </c>
      <c r="G241" s="102" t="n">
        <f aca="false">IFERROR(F241/INDEX($G$5:$G$34,MATCH(LOOKUP(2,1/($A$39:A241&lt;&gt;""),$A$39:A241),$A$5:$A$34,0)),0)</f>
        <v>0</v>
      </c>
      <c r="H241" s="103" t="str">
        <f aca="false">IF(G241=0,"空闲",IF(G241&lt;=0.6,"低负荷",IF(G241&lt;=0.85,"正常",IF(G241&lt;=1,"满负荷","超负荷"))))</f>
        <v>空闲</v>
      </c>
      <c r="I241" s="104" t="s">
        <v>638</v>
      </c>
      <c r="J241" s="104"/>
      <c r="K241" s="104"/>
      <c r="L241" s="105" t="s">
        <v>639</v>
      </c>
    </row>
    <row r="242" customFormat="false" ht="48" hidden="false" customHeight="true" outlineLevel="0" collapsed="false">
      <c r="A242" s="99"/>
      <c r="B242" s="100" t="n">
        <v>46475</v>
      </c>
      <c r="C242" s="100" t="n">
        <v>46481</v>
      </c>
      <c r="D242" s="99" t="s">
        <v>638</v>
      </c>
      <c r="E242" s="99" t="n">
        <v>0</v>
      </c>
      <c r="F242" s="101" t="n">
        <v>0</v>
      </c>
      <c r="G242" s="102" t="n">
        <f aca="false">IFERROR(F242/INDEX($G$5:$G$34,MATCH(LOOKUP(2,1/($A$39:A242&lt;&gt;""),$A$39:A242),$A$5:$A$34,0)),0)</f>
        <v>0</v>
      </c>
      <c r="H242" s="103" t="str">
        <f aca="false">IF(G242=0,"空闲",IF(G242&lt;=0.6,"低负荷",IF(G242&lt;=0.85,"正常",IF(G242&lt;=1,"满负荷","超负荷"))))</f>
        <v>空闲</v>
      </c>
      <c r="I242" s="104" t="s">
        <v>638</v>
      </c>
      <c r="J242" s="104"/>
      <c r="K242" s="104"/>
      <c r="L242" s="105" t="s">
        <v>639</v>
      </c>
    </row>
    <row r="243" customFormat="false" ht="48" hidden="false" customHeight="true" outlineLevel="0" collapsed="false">
      <c r="A243" s="99"/>
      <c r="B243" s="100" t="n">
        <v>46482</v>
      </c>
      <c r="C243" s="100" t="n">
        <v>46488</v>
      </c>
      <c r="D243" s="99" t="s">
        <v>638</v>
      </c>
      <c r="E243" s="99" t="n">
        <v>0</v>
      </c>
      <c r="F243" s="101" t="n">
        <v>0</v>
      </c>
      <c r="G243" s="102" t="n">
        <f aca="false">IFERROR(F243/INDEX($G$5:$G$34,MATCH(LOOKUP(2,1/($A$39:A243&lt;&gt;""),$A$39:A243),$A$5:$A$34,0)),0)</f>
        <v>0</v>
      </c>
      <c r="H243" s="103" t="str">
        <f aca="false">IF(G243=0,"空闲",IF(G243&lt;=0.6,"低负荷",IF(G243&lt;=0.85,"正常",IF(G243&lt;=1,"满负荷","超负荷"))))</f>
        <v>空闲</v>
      </c>
      <c r="I243" s="104" t="s">
        <v>638</v>
      </c>
      <c r="J243" s="104"/>
      <c r="K243" s="104"/>
      <c r="L243" s="105" t="s">
        <v>639</v>
      </c>
    </row>
    <row r="244" customFormat="false" ht="48" hidden="false" customHeight="true" outlineLevel="0" collapsed="false">
      <c r="A244" s="99"/>
      <c r="B244" s="100" t="n">
        <v>46489</v>
      </c>
      <c r="C244" s="100" t="n">
        <v>46495</v>
      </c>
      <c r="D244" s="99" t="s">
        <v>638</v>
      </c>
      <c r="E244" s="99" t="n">
        <v>0</v>
      </c>
      <c r="F244" s="101" t="n">
        <v>0</v>
      </c>
      <c r="G244" s="102" t="n">
        <f aca="false">IFERROR(F244/INDEX($G$5:$G$34,MATCH(LOOKUP(2,1/($A$39:A244&lt;&gt;""),$A$39:A244),$A$5:$A$34,0)),0)</f>
        <v>0</v>
      </c>
      <c r="H244" s="103" t="str">
        <f aca="false">IF(G244=0,"空闲",IF(G244&lt;=0.6,"低负荷",IF(G244&lt;=0.85,"正常",IF(G244&lt;=1,"满负荷","超负荷"))))</f>
        <v>空闲</v>
      </c>
      <c r="I244" s="104" t="s">
        <v>638</v>
      </c>
      <c r="J244" s="104"/>
      <c r="K244" s="104"/>
      <c r="L244" s="105" t="s">
        <v>639</v>
      </c>
    </row>
    <row r="245" customFormat="false" ht="48" hidden="false" customHeight="true" outlineLevel="0" collapsed="false">
      <c r="A245" s="99"/>
      <c r="B245" s="100" t="n">
        <v>46496</v>
      </c>
      <c r="C245" s="100" t="n">
        <v>46502</v>
      </c>
      <c r="D245" s="99" t="s">
        <v>638</v>
      </c>
      <c r="E245" s="99" t="n">
        <v>0</v>
      </c>
      <c r="F245" s="101" t="n">
        <v>0</v>
      </c>
      <c r="G245" s="102" t="n">
        <f aca="false">IFERROR(F245/INDEX($G$5:$G$34,MATCH(LOOKUP(2,1/($A$39:A245&lt;&gt;""),$A$39:A245),$A$5:$A$34,0)),0)</f>
        <v>0</v>
      </c>
      <c r="H245" s="103" t="str">
        <f aca="false">IF(G245=0,"空闲",IF(G245&lt;=0.6,"低负荷",IF(G245&lt;=0.85,"正常",IF(G245&lt;=1,"满负荷","超负荷"))))</f>
        <v>空闲</v>
      </c>
      <c r="I245" s="104" t="s">
        <v>638</v>
      </c>
      <c r="J245" s="104"/>
      <c r="K245" s="104"/>
      <c r="L245" s="105" t="s">
        <v>639</v>
      </c>
    </row>
    <row r="246" customFormat="false" ht="48" hidden="false" customHeight="true" outlineLevel="0" collapsed="false">
      <c r="A246" s="99"/>
      <c r="B246" s="100" t="n">
        <v>46503</v>
      </c>
      <c r="C246" s="100" t="n">
        <v>46509</v>
      </c>
      <c r="D246" s="99" t="s">
        <v>638</v>
      </c>
      <c r="E246" s="99" t="n">
        <v>0</v>
      </c>
      <c r="F246" s="101" t="n">
        <v>0</v>
      </c>
      <c r="G246" s="102" t="n">
        <f aca="false">IFERROR(F246/INDEX($G$5:$G$34,MATCH(LOOKUP(2,1/($A$39:A246&lt;&gt;""),$A$39:A246),$A$5:$A$34,0)),0)</f>
        <v>0</v>
      </c>
      <c r="H246" s="103" t="str">
        <f aca="false">IF(G246=0,"空闲",IF(G246&lt;=0.6,"低负荷",IF(G246&lt;=0.85,"正常",IF(G246&lt;=1,"满负荷","超负荷"))))</f>
        <v>空闲</v>
      </c>
      <c r="I246" s="104" t="s">
        <v>638</v>
      </c>
      <c r="J246" s="104"/>
      <c r="K246" s="104"/>
      <c r="L246" s="105" t="s">
        <v>639</v>
      </c>
    </row>
    <row r="247" customFormat="false" ht="48" hidden="false" customHeight="true" outlineLevel="0" collapsed="false">
      <c r="A247" s="99"/>
      <c r="B247" s="100" t="n">
        <v>46510</v>
      </c>
      <c r="C247" s="100" t="n">
        <v>46516</v>
      </c>
      <c r="D247" s="99" t="s">
        <v>638</v>
      </c>
      <c r="E247" s="99" t="n">
        <v>0</v>
      </c>
      <c r="F247" s="101" t="n">
        <v>0</v>
      </c>
      <c r="G247" s="102" t="n">
        <f aca="false">IFERROR(F247/INDEX($G$5:$G$34,MATCH(LOOKUP(2,1/($A$39:A247&lt;&gt;""),$A$39:A247),$A$5:$A$34,0)),0)</f>
        <v>0</v>
      </c>
      <c r="H247" s="103" t="str">
        <f aca="false">IF(G247=0,"空闲",IF(G247&lt;=0.6,"低负荷",IF(G247&lt;=0.85,"正常",IF(G247&lt;=1,"满负荷","超负荷"))))</f>
        <v>空闲</v>
      </c>
      <c r="I247" s="104" t="s">
        <v>638</v>
      </c>
      <c r="J247" s="104"/>
      <c r="K247" s="104"/>
      <c r="L247" s="105" t="s">
        <v>639</v>
      </c>
    </row>
    <row r="248" customFormat="false" ht="48" hidden="false" customHeight="true" outlineLevel="0" collapsed="false">
      <c r="A248" s="99"/>
      <c r="B248" s="100" t="n">
        <v>46517</v>
      </c>
      <c r="C248" s="100" t="n">
        <v>46523</v>
      </c>
      <c r="D248" s="99" t="s">
        <v>638</v>
      </c>
      <c r="E248" s="99" t="n">
        <v>0</v>
      </c>
      <c r="F248" s="101" t="n">
        <v>0</v>
      </c>
      <c r="G248" s="102" t="n">
        <f aca="false">IFERROR(F248/INDEX($G$5:$G$34,MATCH(LOOKUP(2,1/($A$39:A248&lt;&gt;""),$A$39:A248),$A$5:$A$34,0)),0)</f>
        <v>0</v>
      </c>
      <c r="H248" s="103" t="str">
        <f aca="false">IF(G248=0,"空闲",IF(G248&lt;=0.6,"低负荷",IF(G248&lt;=0.85,"正常",IF(G248&lt;=1,"满负荷","超负荷"))))</f>
        <v>空闲</v>
      </c>
      <c r="I248" s="104" t="s">
        <v>638</v>
      </c>
      <c r="J248" s="104"/>
      <c r="K248" s="104"/>
      <c r="L248" s="105" t="s">
        <v>639</v>
      </c>
    </row>
    <row r="249" customFormat="false" ht="48" hidden="false" customHeight="true" outlineLevel="0" collapsed="false">
      <c r="A249" s="99"/>
      <c r="B249" s="100" t="n">
        <v>46524</v>
      </c>
      <c r="C249" s="100" t="n">
        <v>46530</v>
      </c>
      <c r="D249" s="99" t="s">
        <v>638</v>
      </c>
      <c r="E249" s="99" t="n">
        <v>0</v>
      </c>
      <c r="F249" s="101" t="n">
        <v>0</v>
      </c>
      <c r="G249" s="102" t="n">
        <f aca="false">IFERROR(F249/INDEX($G$5:$G$34,MATCH(LOOKUP(2,1/($A$39:A249&lt;&gt;""),$A$39:A249),$A$5:$A$34,0)),0)</f>
        <v>0</v>
      </c>
      <c r="H249" s="103" t="str">
        <f aca="false">IF(G249=0,"空闲",IF(G249&lt;=0.6,"低负荷",IF(G249&lt;=0.85,"正常",IF(G249&lt;=1,"满负荷","超负荷"))))</f>
        <v>空闲</v>
      </c>
      <c r="I249" s="104" t="s">
        <v>638</v>
      </c>
      <c r="J249" s="104"/>
      <c r="K249" s="104"/>
      <c r="L249" s="105" t="s">
        <v>639</v>
      </c>
    </row>
    <row r="250" customFormat="false" ht="48" hidden="false" customHeight="true" outlineLevel="0" collapsed="false">
      <c r="A250" s="99"/>
      <c r="B250" s="100" t="n">
        <v>46531</v>
      </c>
      <c r="C250" s="100" t="n">
        <v>46537</v>
      </c>
      <c r="D250" s="99" t="s">
        <v>638</v>
      </c>
      <c r="E250" s="99" t="n">
        <v>0</v>
      </c>
      <c r="F250" s="101" t="n">
        <v>0</v>
      </c>
      <c r="G250" s="102" t="n">
        <f aca="false">IFERROR(F250/INDEX($G$5:$G$34,MATCH(LOOKUP(2,1/($A$39:A250&lt;&gt;""),$A$39:A250),$A$5:$A$34,0)),0)</f>
        <v>0</v>
      </c>
      <c r="H250" s="103" t="str">
        <f aca="false">IF(G250=0,"空闲",IF(G250&lt;=0.6,"低负荷",IF(G250&lt;=0.85,"正常",IF(G250&lt;=1,"满负荷","超负荷"))))</f>
        <v>空闲</v>
      </c>
      <c r="I250" s="104" t="s">
        <v>638</v>
      </c>
      <c r="J250" s="104"/>
      <c r="K250" s="104"/>
      <c r="L250" s="105" t="s">
        <v>639</v>
      </c>
    </row>
    <row r="251" customFormat="false" ht="48" hidden="false" customHeight="true" outlineLevel="0" collapsed="false">
      <c r="A251" s="99"/>
      <c r="B251" s="100" t="n">
        <v>46538</v>
      </c>
      <c r="C251" s="100" t="n">
        <v>46544</v>
      </c>
      <c r="D251" s="99" t="s">
        <v>640</v>
      </c>
      <c r="E251" s="99" t="n">
        <v>1</v>
      </c>
      <c r="F251" s="101" t="n">
        <v>40</v>
      </c>
      <c r="G251" s="102" t="n">
        <f aca="false">IFERROR(F251/INDEX($G$5:$G$34,MATCH(LOOKUP(2,1/($A$39:A251&lt;&gt;""),$A$39:A251),$A$5:$A$34,0)),0)</f>
        <v>1</v>
      </c>
      <c r="H251" s="103" t="str">
        <f aca="false">IF(G251=0,"空闲",IF(G251&lt;=0.6,"低负荷",IF(G251&lt;=0.85,"正常",IF(G251&lt;=1,"满负荷","超负荷"))))</f>
        <v>满负荷</v>
      </c>
      <c r="I251" s="106" t="s">
        <v>665</v>
      </c>
      <c r="J251" s="106"/>
      <c r="K251" s="106"/>
      <c r="L251" s="105" t="s">
        <v>642</v>
      </c>
    </row>
    <row r="252" customFormat="false" ht="48" hidden="false" customHeight="true" outlineLevel="0" collapsed="false">
      <c r="A252" s="99" t="s">
        <v>611</v>
      </c>
      <c r="B252" s="100" t="n">
        <v>46048</v>
      </c>
      <c r="C252" s="100" t="n">
        <v>46054</v>
      </c>
      <c r="D252" s="99" t="s">
        <v>638</v>
      </c>
      <c r="E252" s="99" t="n">
        <v>0</v>
      </c>
      <c r="F252" s="101" t="n">
        <v>0</v>
      </c>
      <c r="G252" s="102" t="n">
        <f aca="false">IFERROR(F252/INDEX($G$5:$G$34,MATCH(LOOKUP(2,1/($A$39:A252&lt;&gt;""),$A$39:A252),$A$5:$A$34,0)),0)</f>
        <v>0</v>
      </c>
      <c r="H252" s="103" t="str">
        <f aca="false">IF(G252=0,"空闲",IF(G252&lt;=0.6,"低负荷",IF(G252&lt;=0.85,"正常",IF(G252&lt;=1,"满负荷","超负荷"))))</f>
        <v>空闲</v>
      </c>
      <c r="I252" s="104" t="s">
        <v>638</v>
      </c>
      <c r="J252" s="104"/>
      <c r="K252" s="104"/>
      <c r="L252" s="105" t="s">
        <v>639</v>
      </c>
    </row>
    <row r="253" customFormat="false" ht="48" hidden="false" customHeight="true" outlineLevel="0" collapsed="false">
      <c r="A253" s="99"/>
      <c r="B253" s="100" t="n">
        <v>46055</v>
      </c>
      <c r="C253" s="100" t="n">
        <v>46061</v>
      </c>
      <c r="D253" s="99" t="s">
        <v>638</v>
      </c>
      <c r="E253" s="99" t="n">
        <v>0</v>
      </c>
      <c r="F253" s="101" t="n">
        <v>0</v>
      </c>
      <c r="G253" s="102" t="n">
        <f aca="false">IFERROR(F253/INDEX($G$5:$G$34,MATCH(LOOKUP(2,1/($A$39:A253&lt;&gt;""),$A$39:A253),$A$5:$A$34,0)),0)</f>
        <v>0</v>
      </c>
      <c r="H253" s="103" t="str">
        <f aca="false">IF(G253=0,"空闲",IF(G253&lt;=0.6,"低负荷",IF(G253&lt;=0.85,"正常",IF(G253&lt;=1,"满负荷","超负荷"))))</f>
        <v>空闲</v>
      </c>
      <c r="I253" s="104" t="s">
        <v>638</v>
      </c>
      <c r="J253" s="104"/>
      <c r="K253" s="104"/>
      <c r="L253" s="105" t="s">
        <v>639</v>
      </c>
    </row>
    <row r="254" customFormat="false" ht="48" hidden="false" customHeight="true" outlineLevel="0" collapsed="false">
      <c r="A254" s="99"/>
      <c r="B254" s="100" t="n">
        <v>46062</v>
      </c>
      <c r="C254" s="100" t="n">
        <v>46068</v>
      </c>
      <c r="D254" s="99" t="s">
        <v>638</v>
      </c>
      <c r="E254" s="99" t="n">
        <v>0</v>
      </c>
      <c r="F254" s="101" t="n">
        <v>0</v>
      </c>
      <c r="G254" s="102" t="n">
        <f aca="false">IFERROR(F254/INDEX($G$5:$G$34,MATCH(LOOKUP(2,1/($A$39:A254&lt;&gt;""),$A$39:A254),$A$5:$A$34,0)),0)</f>
        <v>0</v>
      </c>
      <c r="H254" s="103" t="str">
        <f aca="false">IF(G254=0,"空闲",IF(G254&lt;=0.6,"低负荷",IF(G254&lt;=0.85,"正常",IF(G254&lt;=1,"满负荷","超负荷"))))</f>
        <v>空闲</v>
      </c>
      <c r="I254" s="104" t="s">
        <v>638</v>
      </c>
      <c r="J254" s="104"/>
      <c r="K254" s="104"/>
      <c r="L254" s="105" t="s">
        <v>639</v>
      </c>
    </row>
    <row r="255" customFormat="false" ht="48" hidden="false" customHeight="true" outlineLevel="0" collapsed="false">
      <c r="A255" s="99"/>
      <c r="B255" s="100" t="n">
        <v>46069</v>
      </c>
      <c r="C255" s="100" t="n">
        <v>46075</v>
      </c>
      <c r="D255" s="99" t="s">
        <v>638</v>
      </c>
      <c r="E255" s="99" t="n">
        <v>0</v>
      </c>
      <c r="F255" s="101" t="n">
        <v>0</v>
      </c>
      <c r="G255" s="102" t="n">
        <f aca="false">IFERROR(F255/INDEX($G$5:$G$34,MATCH(LOOKUP(2,1/($A$39:A255&lt;&gt;""),$A$39:A255),$A$5:$A$34,0)),0)</f>
        <v>0</v>
      </c>
      <c r="H255" s="103" t="str">
        <f aca="false">IF(G255=0,"空闲",IF(G255&lt;=0.6,"低负荷",IF(G255&lt;=0.85,"正常",IF(G255&lt;=1,"满负荷","超负荷"))))</f>
        <v>空闲</v>
      </c>
      <c r="I255" s="104" t="s">
        <v>638</v>
      </c>
      <c r="J255" s="104"/>
      <c r="K255" s="104"/>
      <c r="L255" s="105" t="s">
        <v>639</v>
      </c>
    </row>
    <row r="256" customFormat="false" ht="48" hidden="false" customHeight="true" outlineLevel="0" collapsed="false">
      <c r="A256" s="99"/>
      <c r="B256" s="100" t="n">
        <v>46076</v>
      </c>
      <c r="C256" s="100" t="n">
        <v>46082</v>
      </c>
      <c r="D256" s="99" t="s">
        <v>638</v>
      </c>
      <c r="E256" s="99" t="n">
        <v>0</v>
      </c>
      <c r="F256" s="101" t="n">
        <v>0</v>
      </c>
      <c r="G256" s="102" t="n">
        <f aca="false">IFERROR(F256/INDEX($G$5:$G$34,MATCH(LOOKUP(2,1/($A$39:A256&lt;&gt;""),$A$39:A256),$A$5:$A$34,0)),0)</f>
        <v>0</v>
      </c>
      <c r="H256" s="103" t="str">
        <f aca="false">IF(G256=0,"空闲",IF(G256&lt;=0.6,"低负荷",IF(G256&lt;=0.85,"正常",IF(G256&lt;=1,"满负荷","超负荷"))))</f>
        <v>空闲</v>
      </c>
      <c r="I256" s="104" t="s">
        <v>638</v>
      </c>
      <c r="J256" s="104"/>
      <c r="K256" s="104"/>
      <c r="L256" s="105" t="s">
        <v>639</v>
      </c>
    </row>
    <row r="257" customFormat="false" ht="48" hidden="false" customHeight="true" outlineLevel="0" collapsed="false">
      <c r="A257" s="99"/>
      <c r="B257" s="100" t="n">
        <v>46083</v>
      </c>
      <c r="C257" s="100" t="n">
        <v>46089</v>
      </c>
      <c r="D257" s="99" t="s">
        <v>638</v>
      </c>
      <c r="E257" s="99" t="n">
        <v>0</v>
      </c>
      <c r="F257" s="101" t="n">
        <v>0</v>
      </c>
      <c r="G257" s="102" t="n">
        <f aca="false">IFERROR(F257/INDEX($G$5:$G$34,MATCH(LOOKUP(2,1/($A$39:A257&lt;&gt;""),$A$39:A257),$A$5:$A$34,0)),0)</f>
        <v>0</v>
      </c>
      <c r="H257" s="103" t="str">
        <f aca="false">IF(G257=0,"空闲",IF(G257&lt;=0.6,"低负荷",IF(G257&lt;=0.85,"正常",IF(G257&lt;=1,"满负荷","超负荷"))))</f>
        <v>空闲</v>
      </c>
      <c r="I257" s="104" t="s">
        <v>638</v>
      </c>
      <c r="J257" s="104"/>
      <c r="K257" s="104"/>
      <c r="L257" s="105" t="s">
        <v>639</v>
      </c>
    </row>
    <row r="258" customFormat="false" ht="48" hidden="false" customHeight="true" outlineLevel="0" collapsed="false">
      <c r="A258" s="99"/>
      <c r="B258" s="100" t="n">
        <v>46090</v>
      </c>
      <c r="C258" s="100" t="n">
        <v>46096</v>
      </c>
      <c r="D258" s="99" t="s">
        <v>638</v>
      </c>
      <c r="E258" s="99" t="n">
        <v>0</v>
      </c>
      <c r="F258" s="101" t="n">
        <v>0</v>
      </c>
      <c r="G258" s="102" t="n">
        <f aca="false">IFERROR(F258/INDEX($G$5:$G$34,MATCH(LOOKUP(2,1/($A$39:A258&lt;&gt;""),$A$39:A258),$A$5:$A$34,0)),0)</f>
        <v>0</v>
      </c>
      <c r="H258" s="103" t="str">
        <f aca="false">IF(G258=0,"空闲",IF(G258&lt;=0.6,"低负荷",IF(G258&lt;=0.85,"正常",IF(G258&lt;=1,"满负荷","超负荷"))))</f>
        <v>空闲</v>
      </c>
      <c r="I258" s="104" t="s">
        <v>638</v>
      </c>
      <c r="J258" s="104"/>
      <c r="K258" s="104"/>
      <c r="L258" s="105" t="s">
        <v>639</v>
      </c>
    </row>
    <row r="259" customFormat="false" ht="48" hidden="false" customHeight="true" outlineLevel="0" collapsed="false">
      <c r="A259" s="99"/>
      <c r="B259" s="100" t="n">
        <v>46097</v>
      </c>
      <c r="C259" s="100" t="n">
        <v>46103</v>
      </c>
      <c r="D259" s="99" t="s">
        <v>640</v>
      </c>
      <c r="E259" s="99" t="n">
        <v>1</v>
      </c>
      <c r="F259" s="101" t="n">
        <v>40</v>
      </c>
      <c r="G259" s="102" t="n">
        <f aca="false">IFERROR(F259/INDEX($G$5:$G$34,MATCH(LOOKUP(2,1/($A$39:A259&lt;&gt;""),$A$39:A259),$A$5:$A$34,0)),0)</f>
        <v>1</v>
      </c>
      <c r="H259" s="103" t="str">
        <f aca="false">IF(G259=0,"空闲",IF(G259&lt;=0.6,"低负荷",IF(G259&lt;=0.85,"正常",IF(G259&lt;=1,"满负荷","超负荷"))))</f>
        <v>满负荷</v>
      </c>
      <c r="I259" s="106" t="s">
        <v>666</v>
      </c>
      <c r="J259" s="106"/>
      <c r="K259" s="106"/>
      <c r="L259" s="105" t="s">
        <v>642</v>
      </c>
    </row>
    <row r="260" customFormat="false" ht="48" hidden="false" customHeight="true" outlineLevel="0" collapsed="false">
      <c r="A260" s="99"/>
      <c r="B260" s="100" t="n">
        <v>46104</v>
      </c>
      <c r="C260" s="100" t="n">
        <v>46110</v>
      </c>
      <c r="D260" s="99" t="s">
        <v>640</v>
      </c>
      <c r="E260" s="99" t="n">
        <v>1</v>
      </c>
      <c r="F260" s="101" t="n">
        <v>40</v>
      </c>
      <c r="G260" s="102" t="n">
        <f aca="false">IFERROR(F260/INDEX($G$5:$G$34,MATCH(LOOKUP(2,1/($A$39:A260&lt;&gt;""),$A$39:A260),$A$5:$A$34,0)),0)</f>
        <v>1</v>
      </c>
      <c r="H260" s="103" t="str">
        <f aca="false">IF(G260=0,"空闲",IF(G260&lt;=0.6,"低负荷",IF(G260&lt;=0.85,"正常",IF(G260&lt;=1,"满负荷","超负荷"))))</f>
        <v>满负荷</v>
      </c>
      <c r="I260" s="106" t="s">
        <v>666</v>
      </c>
      <c r="J260" s="106"/>
      <c r="K260" s="106"/>
      <c r="L260" s="105" t="s">
        <v>642</v>
      </c>
    </row>
    <row r="261" customFormat="false" ht="48" hidden="false" customHeight="true" outlineLevel="0" collapsed="false">
      <c r="A261" s="99"/>
      <c r="B261" s="100" t="n">
        <v>46111</v>
      </c>
      <c r="C261" s="100" t="n">
        <v>46117</v>
      </c>
      <c r="D261" s="99" t="s">
        <v>640</v>
      </c>
      <c r="E261" s="99" t="n">
        <v>1</v>
      </c>
      <c r="F261" s="101" t="n">
        <v>40</v>
      </c>
      <c r="G261" s="102" t="n">
        <f aca="false">IFERROR(F261/INDEX($G$5:$G$34,MATCH(LOOKUP(2,1/($A$39:A261&lt;&gt;""),$A$39:A261),$A$5:$A$34,0)),0)</f>
        <v>1</v>
      </c>
      <c r="H261" s="103" t="str">
        <f aca="false">IF(G261=0,"空闲",IF(G261&lt;=0.6,"低负荷",IF(G261&lt;=0.85,"正常",IF(G261&lt;=1,"满负荷","超负荷"))))</f>
        <v>满负荷</v>
      </c>
      <c r="I261" s="106" t="s">
        <v>666</v>
      </c>
      <c r="J261" s="106"/>
      <c r="K261" s="106"/>
      <c r="L261" s="105" t="s">
        <v>642</v>
      </c>
    </row>
    <row r="262" customFormat="false" ht="48" hidden="false" customHeight="true" outlineLevel="0" collapsed="false">
      <c r="A262" s="99"/>
      <c r="B262" s="100" t="n">
        <v>46118</v>
      </c>
      <c r="C262" s="100" t="n">
        <v>46124</v>
      </c>
      <c r="D262" s="99" t="s">
        <v>640</v>
      </c>
      <c r="E262" s="99" t="n">
        <v>1</v>
      </c>
      <c r="F262" s="101" t="n">
        <v>40</v>
      </c>
      <c r="G262" s="102" t="n">
        <f aca="false">IFERROR(F262/INDEX($G$5:$G$34,MATCH(LOOKUP(2,1/($A$39:A262&lt;&gt;""),$A$39:A262),$A$5:$A$34,0)),0)</f>
        <v>1</v>
      </c>
      <c r="H262" s="103" t="str">
        <f aca="false">IF(G262=0,"空闲",IF(G262&lt;=0.6,"低负荷",IF(G262&lt;=0.85,"正常",IF(G262&lt;=1,"满负荷","超负荷"))))</f>
        <v>满负荷</v>
      </c>
      <c r="I262" s="106" t="s">
        <v>666</v>
      </c>
      <c r="J262" s="106"/>
      <c r="K262" s="106"/>
      <c r="L262" s="105" t="s">
        <v>642</v>
      </c>
    </row>
    <row r="263" customFormat="false" ht="48" hidden="false" customHeight="true" outlineLevel="0" collapsed="false">
      <c r="A263" s="99"/>
      <c r="B263" s="100" t="n">
        <v>46125</v>
      </c>
      <c r="C263" s="100" t="n">
        <v>46131</v>
      </c>
      <c r="D263" s="99" t="s">
        <v>640</v>
      </c>
      <c r="E263" s="99" t="n">
        <v>1</v>
      </c>
      <c r="F263" s="101" t="n">
        <v>40</v>
      </c>
      <c r="G263" s="102" t="n">
        <f aca="false">IFERROR(F263/INDEX($G$5:$G$34,MATCH(LOOKUP(2,1/($A$39:A263&lt;&gt;""),$A$39:A263),$A$5:$A$34,0)),0)</f>
        <v>1</v>
      </c>
      <c r="H263" s="103" t="str">
        <f aca="false">IF(G263=0,"空闲",IF(G263&lt;=0.6,"低负荷",IF(G263&lt;=0.85,"正常",IF(G263&lt;=1,"满负荷","超负荷"))))</f>
        <v>满负荷</v>
      </c>
      <c r="I263" s="106" t="s">
        <v>666</v>
      </c>
      <c r="J263" s="106"/>
      <c r="K263" s="106"/>
      <c r="L263" s="105" t="s">
        <v>642</v>
      </c>
    </row>
    <row r="264" customFormat="false" ht="48" hidden="false" customHeight="true" outlineLevel="0" collapsed="false">
      <c r="A264" s="99"/>
      <c r="B264" s="100" t="n">
        <v>46132</v>
      </c>
      <c r="C264" s="100" t="n">
        <v>46138</v>
      </c>
      <c r="D264" s="99" t="s">
        <v>640</v>
      </c>
      <c r="E264" s="99" t="n">
        <v>1</v>
      </c>
      <c r="F264" s="101" t="n">
        <v>40</v>
      </c>
      <c r="G264" s="102" t="n">
        <f aca="false">IFERROR(F264/INDEX($G$5:$G$34,MATCH(LOOKUP(2,1/($A$39:A264&lt;&gt;""),$A$39:A264),$A$5:$A$34,0)),0)</f>
        <v>1</v>
      </c>
      <c r="H264" s="103" t="str">
        <f aca="false">IF(G264=0,"空闲",IF(G264&lt;=0.6,"低负荷",IF(G264&lt;=0.85,"正常",IF(G264&lt;=1,"满负荷","超负荷"))))</f>
        <v>满负荷</v>
      </c>
      <c r="I264" s="106" t="s">
        <v>666</v>
      </c>
      <c r="J264" s="106"/>
      <c r="K264" s="106"/>
      <c r="L264" s="105" t="s">
        <v>642</v>
      </c>
    </row>
    <row r="265" customFormat="false" ht="48" hidden="false" customHeight="true" outlineLevel="0" collapsed="false">
      <c r="A265" s="99"/>
      <c r="B265" s="100" t="n">
        <v>46139</v>
      </c>
      <c r="C265" s="100" t="n">
        <v>46145</v>
      </c>
      <c r="D265" s="99" t="s">
        <v>640</v>
      </c>
      <c r="E265" s="99" t="n">
        <v>1</v>
      </c>
      <c r="F265" s="101" t="n">
        <v>40</v>
      </c>
      <c r="G265" s="102" t="n">
        <f aca="false">IFERROR(F265/INDEX($G$5:$G$34,MATCH(LOOKUP(2,1/($A$39:A265&lt;&gt;""),$A$39:A265),$A$5:$A$34,0)),0)</f>
        <v>1</v>
      </c>
      <c r="H265" s="103" t="str">
        <f aca="false">IF(G265=0,"空闲",IF(G265&lt;=0.6,"低负荷",IF(G265&lt;=0.85,"正常",IF(G265&lt;=1,"满负荷","超负荷"))))</f>
        <v>满负荷</v>
      </c>
      <c r="I265" s="106" t="s">
        <v>666</v>
      </c>
      <c r="J265" s="106"/>
      <c r="K265" s="106"/>
      <c r="L265" s="105" t="s">
        <v>642</v>
      </c>
    </row>
    <row r="266" customFormat="false" ht="48" hidden="false" customHeight="true" outlineLevel="0" collapsed="false">
      <c r="A266" s="99"/>
      <c r="B266" s="100" t="n">
        <v>46146</v>
      </c>
      <c r="C266" s="100" t="n">
        <v>46152</v>
      </c>
      <c r="D266" s="99" t="s">
        <v>638</v>
      </c>
      <c r="E266" s="99" t="n">
        <v>0</v>
      </c>
      <c r="F266" s="101" t="n">
        <v>0</v>
      </c>
      <c r="G266" s="102" t="n">
        <f aca="false">IFERROR(F266/INDEX($G$5:$G$34,MATCH(LOOKUP(2,1/($A$39:A266&lt;&gt;""),$A$39:A266),$A$5:$A$34,0)),0)</f>
        <v>0</v>
      </c>
      <c r="H266" s="103" t="str">
        <f aca="false">IF(G266=0,"空闲",IF(G266&lt;=0.6,"低负荷",IF(G266&lt;=0.85,"正常",IF(G266&lt;=1,"满负荷","超负荷"))))</f>
        <v>空闲</v>
      </c>
      <c r="I266" s="104" t="s">
        <v>638</v>
      </c>
      <c r="J266" s="104"/>
      <c r="K266" s="104"/>
      <c r="L266" s="105" t="s">
        <v>639</v>
      </c>
    </row>
    <row r="267" customFormat="false" ht="48" hidden="false" customHeight="true" outlineLevel="0" collapsed="false">
      <c r="A267" s="99"/>
      <c r="B267" s="100" t="n">
        <v>46153</v>
      </c>
      <c r="C267" s="100" t="n">
        <v>46159</v>
      </c>
      <c r="D267" s="99" t="s">
        <v>638</v>
      </c>
      <c r="E267" s="99" t="n">
        <v>0</v>
      </c>
      <c r="F267" s="101" t="n">
        <v>0</v>
      </c>
      <c r="G267" s="102" t="n">
        <f aca="false">IFERROR(F267/INDEX($G$5:$G$34,MATCH(LOOKUP(2,1/($A$39:A267&lt;&gt;""),$A$39:A267),$A$5:$A$34,0)),0)</f>
        <v>0</v>
      </c>
      <c r="H267" s="103" t="str">
        <f aca="false">IF(G267=0,"空闲",IF(G267&lt;=0.6,"低负荷",IF(G267&lt;=0.85,"正常",IF(G267&lt;=1,"满负荷","超负荷"))))</f>
        <v>空闲</v>
      </c>
      <c r="I267" s="104" t="s">
        <v>638</v>
      </c>
      <c r="J267" s="104"/>
      <c r="K267" s="104"/>
      <c r="L267" s="105" t="s">
        <v>639</v>
      </c>
    </row>
    <row r="268" customFormat="false" ht="48" hidden="false" customHeight="true" outlineLevel="0" collapsed="false">
      <c r="A268" s="99"/>
      <c r="B268" s="100" t="n">
        <v>46160</v>
      </c>
      <c r="C268" s="100" t="n">
        <v>46166</v>
      </c>
      <c r="D268" s="99" t="s">
        <v>638</v>
      </c>
      <c r="E268" s="99" t="n">
        <v>0</v>
      </c>
      <c r="F268" s="101" t="n">
        <v>0</v>
      </c>
      <c r="G268" s="102" t="n">
        <f aca="false">IFERROR(F268/INDEX($G$5:$G$34,MATCH(LOOKUP(2,1/($A$39:A268&lt;&gt;""),$A$39:A268),$A$5:$A$34,0)),0)</f>
        <v>0</v>
      </c>
      <c r="H268" s="103" t="str">
        <f aca="false">IF(G268=0,"空闲",IF(G268&lt;=0.6,"低负荷",IF(G268&lt;=0.85,"正常",IF(G268&lt;=1,"满负荷","超负荷"))))</f>
        <v>空闲</v>
      </c>
      <c r="I268" s="104" t="s">
        <v>638</v>
      </c>
      <c r="J268" s="104"/>
      <c r="K268" s="104"/>
      <c r="L268" s="105" t="s">
        <v>639</v>
      </c>
    </row>
    <row r="269" customFormat="false" ht="48" hidden="false" customHeight="true" outlineLevel="0" collapsed="false">
      <c r="A269" s="99"/>
      <c r="B269" s="100" t="n">
        <v>46167</v>
      </c>
      <c r="C269" s="100" t="n">
        <v>46173</v>
      </c>
      <c r="D269" s="99" t="s">
        <v>638</v>
      </c>
      <c r="E269" s="99" t="n">
        <v>0</v>
      </c>
      <c r="F269" s="101" t="n">
        <v>0</v>
      </c>
      <c r="G269" s="102" t="n">
        <f aca="false">IFERROR(F269/INDEX($G$5:$G$34,MATCH(LOOKUP(2,1/($A$39:A269&lt;&gt;""),$A$39:A269),$A$5:$A$34,0)),0)</f>
        <v>0</v>
      </c>
      <c r="H269" s="103" t="str">
        <f aca="false">IF(G269=0,"空闲",IF(G269&lt;=0.6,"低负荷",IF(G269&lt;=0.85,"正常",IF(G269&lt;=1,"满负荷","超负荷"))))</f>
        <v>空闲</v>
      </c>
      <c r="I269" s="104" t="s">
        <v>638</v>
      </c>
      <c r="J269" s="104"/>
      <c r="K269" s="104"/>
      <c r="L269" s="105" t="s">
        <v>639</v>
      </c>
    </row>
    <row r="270" customFormat="false" ht="48" hidden="false" customHeight="true" outlineLevel="0" collapsed="false">
      <c r="A270" s="99"/>
      <c r="B270" s="100" t="n">
        <v>46174</v>
      </c>
      <c r="C270" s="100" t="n">
        <v>46180</v>
      </c>
      <c r="D270" s="99" t="s">
        <v>638</v>
      </c>
      <c r="E270" s="99" t="n">
        <v>0</v>
      </c>
      <c r="F270" s="101" t="n">
        <v>0</v>
      </c>
      <c r="G270" s="102" t="n">
        <f aca="false">IFERROR(F270/INDEX($G$5:$G$34,MATCH(LOOKUP(2,1/($A$39:A270&lt;&gt;""),$A$39:A270),$A$5:$A$34,0)),0)</f>
        <v>0</v>
      </c>
      <c r="H270" s="103" t="str">
        <f aca="false">IF(G270=0,"空闲",IF(G270&lt;=0.6,"低负荷",IF(G270&lt;=0.85,"正常",IF(G270&lt;=1,"满负荷","超负荷"))))</f>
        <v>空闲</v>
      </c>
      <c r="I270" s="104" t="s">
        <v>638</v>
      </c>
      <c r="J270" s="104"/>
      <c r="K270" s="104"/>
      <c r="L270" s="105" t="s">
        <v>639</v>
      </c>
    </row>
    <row r="271" customFormat="false" ht="48" hidden="false" customHeight="true" outlineLevel="0" collapsed="false">
      <c r="A271" s="99"/>
      <c r="B271" s="100" t="n">
        <v>46181</v>
      </c>
      <c r="C271" s="100" t="n">
        <v>46187</v>
      </c>
      <c r="D271" s="99" t="s">
        <v>638</v>
      </c>
      <c r="E271" s="99" t="n">
        <v>0</v>
      </c>
      <c r="F271" s="101" t="n">
        <v>0</v>
      </c>
      <c r="G271" s="102" t="n">
        <f aca="false">IFERROR(F271/INDEX($G$5:$G$34,MATCH(LOOKUP(2,1/($A$39:A271&lt;&gt;""),$A$39:A271),$A$5:$A$34,0)),0)</f>
        <v>0</v>
      </c>
      <c r="H271" s="103" t="str">
        <f aca="false">IF(G271=0,"空闲",IF(G271&lt;=0.6,"低负荷",IF(G271&lt;=0.85,"正常",IF(G271&lt;=1,"满负荷","超负荷"))))</f>
        <v>空闲</v>
      </c>
      <c r="I271" s="104" t="s">
        <v>638</v>
      </c>
      <c r="J271" s="104"/>
      <c r="K271" s="104"/>
      <c r="L271" s="105" t="s">
        <v>639</v>
      </c>
    </row>
    <row r="272" customFormat="false" ht="48" hidden="false" customHeight="true" outlineLevel="0" collapsed="false">
      <c r="A272" s="99"/>
      <c r="B272" s="100" t="n">
        <v>46188</v>
      </c>
      <c r="C272" s="100" t="n">
        <v>46194</v>
      </c>
      <c r="D272" s="99" t="s">
        <v>638</v>
      </c>
      <c r="E272" s="99" t="n">
        <v>0</v>
      </c>
      <c r="F272" s="101" t="n">
        <v>0</v>
      </c>
      <c r="G272" s="102" t="n">
        <f aca="false">IFERROR(F272/INDEX($G$5:$G$34,MATCH(LOOKUP(2,1/($A$39:A272&lt;&gt;""),$A$39:A272),$A$5:$A$34,0)),0)</f>
        <v>0</v>
      </c>
      <c r="H272" s="103" t="str">
        <f aca="false">IF(G272=0,"空闲",IF(G272&lt;=0.6,"低负荷",IF(G272&lt;=0.85,"正常",IF(G272&lt;=1,"满负荷","超负荷"))))</f>
        <v>空闲</v>
      </c>
      <c r="I272" s="104" t="s">
        <v>638</v>
      </c>
      <c r="J272" s="104"/>
      <c r="K272" s="104"/>
      <c r="L272" s="105" t="s">
        <v>639</v>
      </c>
    </row>
    <row r="273" customFormat="false" ht="48" hidden="false" customHeight="true" outlineLevel="0" collapsed="false">
      <c r="A273" s="99"/>
      <c r="B273" s="100" t="n">
        <v>46195</v>
      </c>
      <c r="C273" s="100" t="n">
        <v>46201</v>
      </c>
      <c r="D273" s="99" t="s">
        <v>638</v>
      </c>
      <c r="E273" s="99" t="n">
        <v>0</v>
      </c>
      <c r="F273" s="101" t="n">
        <v>0</v>
      </c>
      <c r="G273" s="102" t="n">
        <f aca="false">IFERROR(F273/INDEX($G$5:$G$34,MATCH(LOOKUP(2,1/($A$39:A273&lt;&gt;""),$A$39:A273),$A$5:$A$34,0)),0)</f>
        <v>0</v>
      </c>
      <c r="H273" s="103" t="str">
        <f aca="false">IF(G273=0,"空闲",IF(G273&lt;=0.6,"低负荷",IF(G273&lt;=0.85,"正常",IF(G273&lt;=1,"满负荷","超负荷"))))</f>
        <v>空闲</v>
      </c>
      <c r="I273" s="104" t="s">
        <v>638</v>
      </c>
      <c r="J273" s="104"/>
      <c r="K273" s="104"/>
      <c r="L273" s="105" t="s">
        <v>639</v>
      </c>
    </row>
    <row r="274" customFormat="false" ht="48" hidden="false" customHeight="true" outlineLevel="0" collapsed="false">
      <c r="A274" s="99"/>
      <c r="B274" s="100" t="n">
        <v>46202</v>
      </c>
      <c r="C274" s="100" t="n">
        <v>46208</v>
      </c>
      <c r="D274" s="99" t="s">
        <v>638</v>
      </c>
      <c r="E274" s="99" t="n">
        <v>0</v>
      </c>
      <c r="F274" s="101" t="n">
        <v>0</v>
      </c>
      <c r="G274" s="102" t="n">
        <f aca="false">IFERROR(F274/INDEX($G$5:$G$34,MATCH(LOOKUP(2,1/($A$39:A274&lt;&gt;""),$A$39:A274),$A$5:$A$34,0)),0)</f>
        <v>0</v>
      </c>
      <c r="H274" s="103" t="str">
        <f aca="false">IF(G274=0,"空闲",IF(G274&lt;=0.6,"低负荷",IF(G274&lt;=0.85,"正常",IF(G274&lt;=1,"满负荷","超负荷"))))</f>
        <v>空闲</v>
      </c>
      <c r="I274" s="104" t="s">
        <v>638</v>
      </c>
      <c r="J274" s="104"/>
      <c r="K274" s="104"/>
      <c r="L274" s="105" t="s">
        <v>639</v>
      </c>
    </row>
    <row r="275" customFormat="false" ht="48" hidden="false" customHeight="true" outlineLevel="0" collapsed="false">
      <c r="A275" s="99"/>
      <c r="B275" s="100" t="n">
        <v>46209</v>
      </c>
      <c r="C275" s="100" t="n">
        <v>46215</v>
      </c>
      <c r="D275" s="99" t="s">
        <v>638</v>
      </c>
      <c r="E275" s="99" t="n">
        <v>0</v>
      </c>
      <c r="F275" s="101" t="n">
        <v>0</v>
      </c>
      <c r="G275" s="102" t="n">
        <f aca="false">IFERROR(F275/INDEX($G$5:$G$34,MATCH(LOOKUP(2,1/($A$39:A275&lt;&gt;""),$A$39:A275),$A$5:$A$34,0)),0)</f>
        <v>0</v>
      </c>
      <c r="H275" s="103" t="str">
        <f aca="false">IF(G275=0,"空闲",IF(G275&lt;=0.6,"低负荷",IF(G275&lt;=0.85,"正常",IF(G275&lt;=1,"满负荷","超负荷"))))</f>
        <v>空闲</v>
      </c>
      <c r="I275" s="104" t="s">
        <v>638</v>
      </c>
      <c r="J275" s="104"/>
      <c r="K275" s="104"/>
      <c r="L275" s="105" t="s">
        <v>639</v>
      </c>
    </row>
    <row r="276" customFormat="false" ht="48" hidden="false" customHeight="true" outlineLevel="0" collapsed="false">
      <c r="A276" s="99"/>
      <c r="B276" s="100" t="n">
        <v>46216</v>
      </c>
      <c r="C276" s="100" t="n">
        <v>46222</v>
      </c>
      <c r="D276" s="99" t="s">
        <v>640</v>
      </c>
      <c r="E276" s="99" t="n">
        <v>1</v>
      </c>
      <c r="F276" s="101" t="n">
        <v>40</v>
      </c>
      <c r="G276" s="102" t="n">
        <f aca="false">IFERROR(F276/INDEX($G$5:$G$34,MATCH(LOOKUP(2,1/($A$39:A276&lt;&gt;""),$A$39:A276),$A$5:$A$34,0)),0)</f>
        <v>1</v>
      </c>
      <c r="H276" s="103" t="str">
        <f aca="false">IF(G276=0,"空闲",IF(G276&lt;=0.6,"低负荷",IF(G276&lt;=0.85,"正常",IF(G276&lt;=1,"满负荷","超负荷"))))</f>
        <v>满负荷</v>
      </c>
      <c r="I276" s="106" t="s">
        <v>667</v>
      </c>
      <c r="J276" s="106"/>
      <c r="K276" s="106"/>
      <c r="L276" s="105" t="s">
        <v>642</v>
      </c>
    </row>
    <row r="277" customFormat="false" ht="48" hidden="false" customHeight="true" outlineLevel="0" collapsed="false">
      <c r="A277" s="99"/>
      <c r="B277" s="100" t="n">
        <v>46223</v>
      </c>
      <c r="C277" s="100" t="n">
        <v>46229</v>
      </c>
      <c r="D277" s="99" t="s">
        <v>640</v>
      </c>
      <c r="E277" s="99" t="n">
        <v>2</v>
      </c>
      <c r="F277" s="101" t="n">
        <v>40</v>
      </c>
      <c r="G277" s="102" t="n">
        <f aca="false">IFERROR(F277/INDEX($G$5:$G$34,MATCH(LOOKUP(2,1/($A$39:A277&lt;&gt;""),$A$39:A277),$A$5:$A$34,0)),0)</f>
        <v>1</v>
      </c>
      <c r="H277" s="103" t="str">
        <f aca="false">IF(G277=0,"空闲",IF(G277&lt;=0.6,"低负荷",IF(G277&lt;=0.85,"正常",IF(G277&lt;=1,"满负荷","超负荷"))))</f>
        <v>满负荷</v>
      </c>
      <c r="I277" s="106" t="s">
        <v>668</v>
      </c>
      <c r="J277" s="106"/>
      <c r="K277" s="106"/>
      <c r="L277" s="105" t="s">
        <v>652</v>
      </c>
    </row>
    <row r="278" customFormat="false" ht="48" hidden="false" customHeight="true" outlineLevel="0" collapsed="false">
      <c r="A278" s="99"/>
      <c r="B278" s="100" t="n">
        <v>46230</v>
      </c>
      <c r="C278" s="100" t="n">
        <v>46236</v>
      </c>
      <c r="D278" s="99" t="s">
        <v>640</v>
      </c>
      <c r="E278" s="99" t="n">
        <v>2</v>
      </c>
      <c r="F278" s="101" t="n">
        <v>40</v>
      </c>
      <c r="G278" s="102" t="n">
        <f aca="false">IFERROR(F278/INDEX($G$5:$G$34,MATCH(LOOKUP(2,1/($A$39:A278&lt;&gt;""),$A$39:A278),$A$5:$A$34,0)),0)</f>
        <v>1</v>
      </c>
      <c r="H278" s="103" t="str">
        <f aca="false">IF(G278=0,"空闲",IF(G278&lt;=0.6,"低负荷",IF(G278&lt;=0.85,"正常",IF(G278&lt;=1,"满负荷","超负荷"))))</f>
        <v>满负荷</v>
      </c>
      <c r="I278" s="106" t="s">
        <v>668</v>
      </c>
      <c r="J278" s="106"/>
      <c r="K278" s="106"/>
      <c r="L278" s="105" t="s">
        <v>652</v>
      </c>
    </row>
    <row r="279" customFormat="false" ht="48" hidden="false" customHeight="true" outlineLevel="0" collapsed="false">
      <c r="A279" s="99"/>
      <c r="B279" s="100" t="n">
        <v>46237</v>
      </c>
      <c r="C279" s="100" t="n">
        <v>46243</v>
      </c>
      <c r="D279" s="99" t="s">
        <v>640</v>
      </c>
      <c r="E279" s="99" t="n">
        <v>1</v>
      </c>
      <c r="F279" s="101" t="n">
        <v>40</v>
      </c>
      <c r="G279" s="102" t="n">
        <f aca="false">IFERROR(F279/INDEX($G$5:$G$34,MATCH(LOOKUP(2,1/($A$39:A279&lt;&gt;""),$A$39:A279),$A$5:$A$34,0)),0)</f>
        <v>1</v>
      </c>
      <c r="H279" s="103" t="str">
        <f aca="false">IF(G279=0,"空闲",IF(G279&lt;=0.6,"低负荷",IF(G279&lt;=0.85,"正常",IF(G279&lt;=1,"满负荷","超负荷"))))</f>
        <v>满负荷</v>
      </c>
      <c r="I279" s="106" t="s">
        <v>669</v>
      </c>
      <c r="J279" s="106"/>
      <c r="K279" s="106"/>
      <c r="L279" s="105" t="s">
        <v>642</v>
      </c>
    </row>
    <row r="280" customFormat="false" ht="48" hidden="false" customHeight="true" outlineLevel="0" collapsed="false">
      <c r="A280" s="99"/>
      <c r="B280" s="100" t="n">
        <v>46244</v>
      </c>
      <c r="C280" s="100" t="n">
        <v>46250</v>
      </c>
      <c r="D280" s="99" t="s">
        <v>638</v>
      </c>
      <c r="E280" s="99" t="n">
        <v>0</v>
      </c>
      <c r="F280" s="101" t="n">
        <v>0</v>
      </c>
      <c r="G280" s="102" t="n">
        <f aca="false">IFERROR(F280/INDEX($G$5:$G$34,MATCH(LOOKUP(2,1/($A$39:A280&lt;&gt;""),$A$39:A280),$A$5:$A$34,0)),0)</f>
        <v>0</v>
      </c>
      <c r="H280" s="103" t="str">
        <f aca="false">IF(G280=0,"空闲",IF(G280&lt;=0.6,"低负荷",IF(G280&lt;=0.85,"正常",IF(G280&lt;=1,"满负荷","超负荷"))))</f>
        <v>空闲</v>
      </c>
      <c r="I280" s="104" t="s">
        <v>638</v>
      </c>
      <c r="J280" s="104"/>
      <c r="K280" s="104"/>
      <c r="L280" s="105" t="s">
        <v>639</v>
      </c>
    </row>
    <row r="281" customFormat="false" ht="48" hidden="false" customHeight="true" outlineLevel="0" collapsed="false">
      <c r="A281" s="99"/>
      <c r="B281" s="100" t="n">
        <v>46251</v>
      </c>
      <c r="C281" s="100" t="n">
        <v>46257</v>
      </c>
      <c r="D281" s="99" t="s">
        <v>638</v>
      </c>
      <c r="E281" s="99" t="n">
        <v>0</v>
      </c>
      <c r="F281" s="101" t="n">
        <v>0</v>
      </c>
      <c r="G281" s="102" t="n">
        <f aca="false">IFERROR(F281/INDEX($G$5:$G$34,MATCH(LOOKUP(2,1/($A$39:A281&lt;&gt;""),$A$39:A281),$A$5:$A$34,0)),0)</f>
        <v>0</v>
      </c>
      <c r="H281" s="103" t="str">
        <f aca="false">IF(G281=0,"空闲",IF(G281&lt;=0.6,"低负荷",IF(G281&lt;=0.85,"正常",IF(G281&lt;=1,"满负荷","超负荷"))))</f>
        <v>空闲</v>
      </c>
      <c r="I281" s="104" t="s">
        <v>638</v>
      </c>
      <c r="J281" s="104"/>
      <c r="K281" s="104"/>
      <c r="L281" s="105" t="s">
        <v>639</v>
      </c>
    </row>
    <row r="282" customFormat="false" ht="48" hidden="false" customHeight="true" outlineLevel="0" collapsed="false">
      <c r="A282" s="99"/>
      <c r="B282" s="100" t="n">
        <v>46258</v>
      </c>
      <c r="C282" s="100" t="n">
        <v>46264</v>
      </c>
      <c r="D282" s="99" t="s">
        <v>638</v>
      </c>
      <c r="E282" s="99" t="n">
        <v>0</v>
      </c>
      <c r="F282" s="101" t="n">
        <v>0</v>
      </c>
      <c r="G282" s="102" t="n">
        <f aca="false">IFERROR(F282/INDEX($G$5:$G$34,MATCH(LOOKUP(2,1/($A$39:A282&lt;&gt;""),$A$39:A282),$A$5:$A$34,0)),0)</f>
        <v>0</v>
      </c>
      <c r="H282" s="103" t="str">
        <f aca="false">IF(G282=0,"空闲",IF(G282&lt;=0.6,"低负荷",IF(G282&lt;=0.85,"正常",IF(G282&lt;=1,"满负荷","超负荷"))))</f>
        <v>空闲</v>
      </c>
      <c r="I282" s="104" t="s">
        <v>638</v>
      </c>
      <c r="J282" s="104"/>
      <c r="K282" s="104"/>
      <c r="L282" s="105" t="s">
        <v>639</v>
      </c>
    </row>
    <row r="283" customFormat="false" ht="48" hidden="false" customHeight="true" outlineLevel="0" collapsed="false">
      <c r="A283" s="99"/>
      <c r="B283" s="100" t="n">
        <v>46265</v>
      </c>
      <c r="C283" s="100" t="n">
        <v>46271</v>
      </c>
      <c r="D283" s="99" t="s">
        <v>638</v>
      </c>
      <c r="E283" s="99" t="n">
        <v>0</v>
      </c>
      <c r="F283" s="101" t="n">
        <v>0</v>
      </c>
      <c r="G283" s="102" t="n">
        <f aca="false">IFERROR(F283/INDEX($G$5:$G$34,MATCH(LOOKUP(2,1/($A$39:A283&lt;&gt;""),$A$39:A283),$A$5:$A$34,0)),0)</f>
        <v>0</v>
      </c>
      <c r="H283" s="103" t="str">
        <f aca="false">IF(G283=0,"空闲",IF(G283&lt;=0.6,"低负荷",IF(G283&lt;=0.85,"正常",IF(G283&lt;=1,"满负荷","超负荷"))))</f>
        <v>空闲</v>
      </c>
      <c r="I283" s="104" t="s">
        <v>638</v>
      </c>
      <c r="J283" s="104"/>
      <c r="K283" s="104"/>
      <c r="L283" s="105" t="s">
        <v>639</v>
      </c>
    </row>
    <row r="284" customFormat="false" ht="48" hidden="false" customHeight="true" outlineLevel="0" collapsed="false">
      <c r="A284" s="99"/>
      <c r="B284" s="100" t="n">
        <v>46272</v>
      </c>
      <c r="C284" s="100" t="n">
        <v>46278</v>
      </c>
      <c r="D284" s="99" t="s">
        <v>638</v>
      </c>
      <c r="E284" s="99" t="n">
        <v>0</v>
      </c>
      <c r="F284" s="101" t="n">
        <v>0</v>
      </c>
      <c r="G284" s="102" t="n">
        <f aca="false">IFERROR(F284/INDEX($G$5:$G$34,MATCH(LOOKUP(2,1/($A$39:A284&lt;&gt;""),$A$39:A284),$A$5:$A$34,0)),0)</f>
        <v>0</v>
      </c>
      <c r="H284" s="103" t="str">
        <f aca="false">IF(G284=0,"空闲",IF(G284&lt;=0.6,"低负荷",IF(G284&lt;=0.85,"正常",IF(G284&lt;=1,"满负荷","超负荷"))))</f>
        <v>空闲</v>
      </c>
      <c r="I284" s="104" t="s">
        <v>638</v>
      </c>
      <c r="J284" s="104"/>
      <c r="K284" s="104"/>
      <c r="L284" s="105" t="s">
        <v>639</v>
      </c>
    </row>
    <row r="285" customFormat="false" ht="48" hidden="false" customHeight="true" outlineLevel="0" collapsed="false">
      <c r="A285" s="99"/>
      <c r="B285" s="100" t="n">
        <v>46279</v>
      </c>
      <c r="C285" s="100" t="n">
        <v>46285</v>
      </c>
      <c r="D285" s="99" t="s">
        <v>640</v>
      </c>
      <c r="E285" s="99" t="n">
        <v>1</v>
      </c>
      <c r="F285" s="101" t="n">
        <v>40</v>
      </c>
      <c r="G285" s="102" t="n">
        <f aca="false">IFERROR(F285/INDEX($G$5:$G$34,MATCH(LOOKUP(2,1/($A$39:A285&lt;&gt;""),$A$39:A285),$A$5:$A$34,0)),0)</f>
        <v>1</v>
      </c>
      <c r="H285" s="103" t="str">
        <f aca="false">IF(G285=0,"空闲",IF(G285&lt;=0.6,"低负荷",IF(G285&lt;=0.85,"正常",IF(G285&lt;=1,"满负荷","超负荷"))))</f>
        <v>满负荷</v>
      </c>
      <c r="I285" s="106" t="s">
        <v>670</v>
      </c>
      <c r="J285" s="106"/>
      <c r="K285" s="106"/>
      <c r="L285" s="105" t="s">
        <v>642</v>
      </c>
    </row>
    <row r="286" customFormat="false" ht="48" hidden="false" customHeight="true" outlineLevel="0" collapsed="false">
      <c r="A286" s="99"/>
      <c r="B286" s="100" t="n">
        <v>46286</v>
      </c>
      <c r="C286" s="100" t="n">
        <v>46292</v>
      </c>
      <c r="D286" s="99" t="s">
        <v>640</v>
      </c>
      <c r="E286" s="99" t="n">
        <v>1</v>
      </c>
      <c r="F286" s="101" t="n">
        <v>40</v>
      </c>
      <c r="G286" s="102" t="n">
        <f aca="false">IFERROR(F286/INDEX($G$5:$G$34,MATCH(LOOKUP(2,1/($A$39:A286&lt;&gt;""),$A$39:A286),$A$5:$A$34,0)),0)</f>
        <v>1</v>
      </c>
      <c r="H286" s="103" t="str">
        <f aca="false">IF(G286=0,"空闲",IF(G286&lt;=0.6,"低负荷",IF(G286&lt;=0.85,"正常",IF(G286&lt;=1,"满负荷","超负荷"))))</f>
        <v>满负荷</v>
      </c>
      <c r="I286" s="106" t="s">
        <v>670</v>
      </c>
      <c r="J286" s="106"/>
      <c r="K286" s="106"/>
      <c r="L286" s="105" t="s">
        <v>642</v>
      </c>
    </row>
    <row r="287" customFormat="false" ht="48" hidden="false" customHeight="true" outlineLevel="0" collapsed="false">
      <c r="A287" s="99"/>
      <c r="B287" s="100" t="n">
        <v>46293</v>
      </c>
      <c r="C287" s="100" t="n">
        <v>46299</v>
      </c>
      <c r="D287" s="99" t="s">
        <v>640</v>
      </c>
      <c r="E287" s="99" t="n">
        <v>1</v>
      </c>
      <c r="F287" s="101" t="n">
        <v>40</v>
      </c>
      <c r="G287" s="102" t="n">
        <f aca="false">IFERROR(F287/INDEX($G$5:$G$34,MATCH(LOOKUP(2,1/($A$39:A287&lt;&gt;""),$A$39:A287),$A$5:$A$34,0)),0)</f>
        <v>1</v>
      </c>
      <c r="H287" s="103" t="str">
        <f aca="false">IF(G287=0,"空闲",IF(G287&lt;=0.6,"低负荷",IF(G287&lt;=0.85,"正常",IF(G287&lt;=1,"满负荷","超负荷"))))</f>
        <v>满负荷</v>
      </c>
      <c r="I287" s="106" t="s">
        <v>670</v>
      </c>
      <c r="J287" s="106"/>
      <c r="K287" s="106"/>
      <c r="L287" s="105" t="s">
        <v>642</v>
      </c>
    </row>
    <row r="288" customFormat="false" ht="48" hidden="false" customHeight="true" outlineLevel="0" collapsed="false">
      <c r="A288" s="99"/>
      <c r="B288" s="100" t="n">
        <v>46300</v>
      </c>
      <c r="C288" s="100" t="n">
        <v>46306</v>
      </c>
      <c r="D288" s="99" t="s">
        <v>638</v>
      </c>
      <c r="E288" s="99" t="n">
        <v>0</v>
      </c>
      <c r="F288" s="101" t="n">
        <v>0</v>
      </c>
      <c r="G288" s="102" t="n">
        <f aca="false">IFERROR(F288/INDEX($G$5:$G$34,MATCH(LOOKUP(2,1/($A$39:A288&lt;&gt;""),$A$39:A288),$A$5:$A$34,0)),0)</f>
        <v>0</v>
      </c>
      <c r="H288" s="103" t="str">
        <f aca="false">IF(G288=0,"空闲",IF(G288&lt;=0.6,"低负荷",IF(G288&lt;=0.85,"正常",IF(G288&lt;=1,"满负荷","超负荷"))))</f>
        <v>空闲</v>
      </c>
      <c r="I288" s="104" t="s">
        <v>638</v>
      </c>
      <c r="J288" s="104"/>
      <c r="K288" s="104"/>
      <c r="L288" s="105" t="s">
        <v>639</v>
      </c>
    </row>
    <row r="289" customFormat="false" ht="48" hidden="false" customHeight="true" outlineLevel="0" collapsed="false">
      <c r="A289" s="99"/>
      <c r="B289" s="100" t="n">
        <v>46307</v>
      </c>
      <c r="C289" s="100" t="n">
        <v>46313</v>
      </c>
      <c r="D289" s="99" t="s">
        <v>638</v>
      </c>
      <c r="E289" s="99" t="n">
        <v>0</v>
      </c>
      <c r="F289" s="101" t="n">
        <v>0</v>
      </c>
      <c r="G289" s="102" t="n">
        <f aca="false">IFERROR(F289/INDEX($G$5:$G$34,MATCH(LOOKUP(2,1/($A$39:A289&lt;&gt;""),$A$39:A289),$A$5:$A$34,0)),0)</f>
        <v>0</v>
      </c>
      <c r="H289" s="103" t="str">
        <f aca="false">IF(G289=0,"空闲",IF(G289&lt;=0.6,"低负荷",IF(G289&lt;=0.85,"正常",IF(G289&lt;=1,"满负荷","超负荷"))))</f>
        <v>空闲</v>
      </c>
      <c r="I289" s="104" t="s">
        <v>638</v>
      </c>
      <c r="J289" s="104"/>
      <c r="K289" s="104"/>
      <c r="L289" s="105" t="s">
        <v>639</v>
      </c>
    </row>
    <row r="290" customFormat="false" ht="48" hidden="false" customHeight="true" outlineLevel="0" collapsed="false">
      <c r="A290" s="99"/>
      <c r="B290" s="100" t="n">
        <v>46314</v>
      </c>
      <c r="C290" s="100" t="n">
        <v>46320</v>
      </c>
      <c r="D290" s="99" t="s">
        <v>638</v>
      </c>
      <c r="E290" s="99" t="n">
        <v>0</v>
      </c>
      <c r="F290" s="101" t="n">
        <v>0</v>
      </c>
      <c r="G290" s="102" t="n">
        <f aca="false">IFERROR(F290/INDEX($G$5:$G$34,MATCH(LOOKUP(2,1/($A$39:A290&lt;&gt;""),$A$39:A290),$A$5:$A$34,0)),0)</f>
        <v>0</v>
      </c>
      <c r="H290" s="103" t="str">
        <f aca="false">IF(G290=0,"空闲",IF(G290&lt;=0.6,"低负荷",IF(G290&lt;=0.85,"正常",IF(G290&lt;=1,"满负荷","超负荷"))))</f>
        <v>空闲</v>
      </c>
      <c r="I290" s="104" t="s">
        <v>638</v>
      </c>
      <c r="J290" s="104"/>
      <c r="K290" s="104"/>
      <c r="L290" s="105" t="s">
        <v>639</v>
      </c>
    </row>
    <row r="291" customFormat="false" ht="48" hidden="false" customHeight="true" outlineLevel="0" collapsed="false">
      <c r="A291" s="99"/>
      <c r="B291" s="100" t="n">
        <v>46321</v>
      </c>
      <c r="C291" s="100" t="n">
        <v>46327</v>
      </c>
      <c r="D291" s="99" t="s">
        <v>638</v>
      </c>
      <c r="E291" s="99" t="n">
        <v>0</v>
      </c>
      <c r="F291" s="101" t="n">
        <v>0</v>
      </c>
      <c r="G291" s="102" t="n">
        <f aca="false">IFERROR(F291/INDEX($G$5:$G$34,MATCH(LOOKUP(2,1/($A$39:A291&lt;&gt;""),$A$39:A291),$A$5:$A$34,0)),0)</f>
        <v>0</v>
      </c>
      <c r="H291" s="103" t="str">
        <f aca="false">IF(G291=0,"空闲",IF(G291&lt;=0.6,"低负荷",IF(G291&lt;=0.85,"正常",IF(G291&lt;=1,"满负荷","超负荷"))))</f>
        <v>空闲</v>
      </c>
      <c r="I291" s="104" t="s">
        <v>638</v>
      </c>
      <c r="J291" s="104"/>
      <c r="K291" s="104"/>
      <c r="L291" s="105" t="s">
        <v>639</v>
      </c>
    </row>
    <row r="292" customFormat="false" ht="48" hidden="false" customHeight="true" outlineLevel="0" collapsed="false">
      <c r="A292" s="99"/>
      <c r="B292" s="100" t="n">
        <v>46328</v>
      </c>
      <c r="C292" s="100" t="n">
        <v>46334</v>
      </c>
      <c r="D292" s="99" t="s">
        <v>638</v>
      </c>
      <c r="E292" s="99" t="n">
        <v>0</v>
      </c>
      <c r="F292" s="101" t="n">
        <v>0</v>
      </c>
      <c r="G292" s="102" t="n">
        <f aca="false">IFERROR(F292/INDEX($G$5:$G$34,MATCH(LOOKUP(2,1/($A$39:A292&lt;&gt;""),$A$39:A292),$A$5:$A$34,0)),0)</f>
        <v>0</v>
      </c>
      <c r="H292" s="103" t="str">
        <f aca="false">IF(G292=0,"空闲",IF(G292&lt;=0.6,"低负荷",IF(G292&lt;=0.85,"正常",IF(G292&lt;=1,"满负荷","超负荷"))))</f>
        <v>空闲</v>
      </c>
      <c r="I292" s="104" t="s">
        <v>638</v>
      </c>
      <c r="J292" s="104"/>
      <c r="K292" s="104"/>
      <c r="L292" s="105" t="s">
        <v>639</v>
      </c>
    </row>
    <row r="293" customFormat="false" ht="48" hidden="false" customHeight="true" outlineLevel="0" collapsed="false">
      <c r="A293" s="99"/>
      <c r="B293" s="100" t="n">
        <v>46335</v>
      </c>
      <c r="C293" s="100" t="n">
        <v>46341</v>
      </c>
      <c r="D293" s="99" t="s">
        <v>640</v>
      </c>
      <c r="E293" s="99" t="n">
        <v>7</v>
      </c>
      <c r="F293" s="101" t="n">
        <v>40</v>
      </c>
      <c r="G293" s="102" t="n">
        <f aca="false">IFERROR(F293/INDEX($G$5:$G$34,MATCH(LOOKUP(2,1/($A$39:A293&lt;&gt;""),$A$39:A293),$A$5:$A$34,0)),0)</f>
        <v>1</v>
      </c>
      <c r="H293" s="103" t="str">
        <f aca="false">IF(G293=0,"空闲",IF(G293&lt;=0.6,"低负荷",IF(G293&lt;=0.85,"正常",IF(G293&lt;=1,"满负荷","超负荷"))))</f>
        <v>满负荷</v>
      </c>
      <c r="I293" s="106" t="s">
        <v>671</v>
      </c>
      <c r="J293" s="106"/>
      <c r="K293" s="106"/>
      <c r="L293" s="105" t="s">
        <v>672</v>
      </c>
    </row>
    <row r="294" customFormat="false" ht="48" hidden="false" customHeight="true" outlineLevel="0" collapsed="false">
      <c r="A294" s="99"/>
      <c r="B294" s="100" t="n">
        <v>46342</v>
      </c>
      <c r="C294" s="100" t="n">
        <v>46348</v>
      </c>
      <c r="D294" s="99" t="s">
        <v>640</v>
      </c>
      <c r="E294" s="99" t="n">
        <v>8</v>
      </c>
      <c r="F294" s="101" t="n">
        <v>40</v>
      </c>
      <c r="G294" s="102" t="n">
        <f aca="false">IFERROR(F294/INDEX($G$5:$G$34,MATCH(LOOKUP(2,1/($A$39:A294&lt;&gt;""),$A$39:A294),$A$5:$A$34,0)),0)</f>
        <v>1</v>
      </c>
      <c r="H294" s="103" t="str">
        <f aca="false">IF(G294=0,"空闲",IF(G294&lt;=0.6,"低负荷",IF(G294&lt;=0.85,"正常",IF(G294&lt;=1,"满负荷","超负荷"))))</f>
        <v>满负荷</v>
      </c>
      <c r="I294" s="106" t="s">
        <v>673</v>
      </c>
      <c r="J294" s="106"/>
      <c r="K294" s="106"/>
      <c r="L294" s="105" t="s">
        <v>674</v>
      </c>
    </row>
    <row r="295" customFormat="false" ht="48" hidden="false" customHeight="true" outlineLevel="0" collapsed="false">
      <c r="A295" s="99"/>
      <c r="B295" s="100" t="n">
        <v>46349</v>
      </c>
      <c r="C295" s="100" t="n">
        <v>46355</v>
      </c>
      <c r="D295" s="99" t="s">
        <v>640</v>
      </c>
      <c r="E295" s="99" t="n">
        <v>8</v>
      </c>
      <c r="F295" s="101" t="n">
        <v>40</v>
      </c>
      <c r="G295" s="102" t="n">
        <f aca="false">IFERROR(F295/INDEX($G$5:$G$34,MATCH(LOOKUP(2,1/($A$39:A295&lt;&gt;""),$A$39:A295),$A$5:$A$34,0)),0)</f>
        <v>1</v>
      </c>
      <c r="H295" s="103" t="str">
        <f aca="false">IF(G295=0,"空闲",IF(G295&lt;=0.6,"低负荷",IF(G295&lt;=0.85,"正常",IF(G295&lt;=1,"满负荷","超负荷"))))</f>
        <v>满负荷</v>
      </c>
      <c r="I295" s="106" t="s">
        <v>673</v>
      </c>
      <c r="J295" s="106"/>
      <c r="K295" s="106"/>
      <c r="L295" s="105" t="s">
        <v>674</v>
      </c>
    </row>
    <row r="296" customFormat="false" ht="48" hidden="false" customHeight="true" outlineLevel="0" collapsed="false">
      <c r="A296" s="99"/>
      <c r="B296" s="100" t="n">
        <v>46356</v>
      </c>
      <c r="C296" s="100" t="n">
        <v>46362</v>
      </c>
      <c r="D296" s="99" t="s">
        <v>640</v>
      </c>
      <c r="E296" s="99" t="n">
        <v>6</v>
      </c>
      <c r="F296" s="101" t="n">
        <v>40</v>
      </c>
      <c r="G296" s="102" t="n">
        <f aca="false">IFERROR(F296/INDEX($G$5:$G$34,MATCH(LOOKUP(2,1/($A$39:A296&lt;&gt;""),$A$39:A296),$A$5:$A$34,0)),0)</f>
        <v>1</v>
      </c>
      <c r="H296" s="103" t="str">
        <f aca="false">IF(G296=0,"空闲",IF(G296&lt;=0.6,"低负荷",IF(G296&lt;=0.85,"正常",IF(G296&lt;=1,"满负荷","超负荷"))))</f>
        <v>满负荷</v>
      </c>
      <c r="I296" s="106" t="s">
        <v>675</v>
      </c>
      <c r="J296" s="106"/>
      <c r="K296" s="106"/>
      <c r="L296" s="105" t="s">
        <v>676</v>
      </c>
    </row>
    <row r="297" customFormat="false" ht="48" hidden="false" customHeight="true" outlineLevel="0" collapsed="false">
      <c r="A297" s="99"/>
      <c r="B297" s="100" t="n">
        <v>46363</v>
      </c>
      <c r="C297" s="100" t="n">
        <v>46369</v>
      </c>
      <c r="D297" s="99" t="s">
        <v>640</v>
      </c>
      <c r="E297" s="99" t="n">
        <v>7</v>
      </c>
      <c r="F297" s="101" t="n">
        <v>40</v>
      </c>
      <c r="G297" s="102" t="n">
        <f aca="false">IFERROR(F297/INDEX($G$5:$G$34,MATCH(LOOKUP(2,1/($A$39:A297&lt;&gt;""),$A$39:A297),$A$5:$A$34,0)),0)</f>
        <v>1</v>
      </c>
      <c r="H297" s="103" t="str">
        <f aca="false">IF(G297=0,"空闲",IF(G297&lt;=0.6,"低负荷",IF(G297&lt;=0.85,"正常",IF(G297&lt;=1,"满负荷","超负荷"))))</f>
        <v>满负荷</v>
      </c>
      <c r="I297" s="106" t="s">
        <v>677</v>
      </c>
      <c r="J297" s="106"/>
      <c r="K297" s="106"/>
      <c r="L297" s="105" t="s">
        <v>672</v>
      </c>
    </row>
    <row r="298" customFormat="false" ht="48" hidden="false" customHeight="true" outlineLevel="0" collapsed="false">
      <c r="A298" s="99"/>
      <c r="B298" s="100" t="n">
        <v>46370</v>
      </c>
      <c r="C298" s="100" t="n">
        <v>46376</v>
      </c>
      <c r="D298" s="99" t="s">
        <v>640</v>
      </c>
      <c r="E298" s="99" t="n">
        <v>3</v>
      </c>
      <c r="F298" s="101" t="n">
        <v>40</v>
      </c>
      <c r="G298" s="102" t="n">
        <f aca="false">IFERROR(F298/INDEX($G$5:$G$34,MATCH(LOOKUP(2,1/($A$39:A298&lt;&gt;""),$A$39:A298),$A$5:$A$34,0)),0)</f>
        <v>1</v>
      </c>
      <c r="H298" s="103" t="str">
        <f aca="false">IF(G298=0,"空闲",IF(G298&lt;=0.6,"低负荷",IF(G298&lt;=0.85,"正常",IF(G298&lt;=1,"满负荷","超负荷"))))</f>
        <v>满负荷</v>
      </c>
      <c r="I298" s="106" t="s">
        <v>678</v>
      </c>
      <c r="J298" s="106"/>
      <c r="K298" s="106"/>
      <c r="L298" s="105" t="s">
        <v>679</v>
      </c>
    </row>
    <row r="299" customFormat="false" ht="48" hidden="false" customHeight="true" outlineLevel="0" collapsed="false">
      <c r="A299" s="99"/>
      <c r="B299" s="100" t="n">
        <v>46377</v>
      </c>
      <c r="C299" s="100" t="n">
        <v>46383</v>
      </c>
      <c r="D299" s="99" t="s">
        <v>638</v>
      </c>
      <c r="E299" s="99" t="n">
        <v>0</v>
      </c>
      <c r="F299" s="101" t="n">
        <v>0</v>
      </c>
      <c r="G299" s="102" t="n">
        <f aca="false">IFERROR(F299/INDEX($G$5:$G$34,MATCH(LOOKUP(2,1/($A$39:A299&lt;&gt;""),$A$39:A299),$A$5:$A$34,0)),0)</f>
        <v>0</v>
      </c>
      <c r="H299" s="103" t="str">
        <f aca="false">IF(G299=0,"空闲",IF(G299&lt;=0.6,"低负荷",IF(G299&lt;=0.85,"正常",IF(G299&lt;=1,"满负荷","超负荷"))))</f>
        <v>空闲</v>
      </c>
      <c r="I299" s="104" t="s">
        <v>638</v>
      </c>
      <c r="J299" s="104"/>
      <c r="K299" s="104"/>
      <c r="L299" s="105" t="s">
        <v>639</v>
      </c>
    </row>
    <row r="300" customFormat="false" ht="48" hidden="false" customHeight="true" outlineLevel="0" collapsed="false">
      <c r="A300" s="99"/>
      <c r="B300" s="100" t="n">
        <v>46384</v>
      </c>
      <c r="C300" s="100" t="n">
        <v>46390</v>
      </c>
      <c r="D300" s="99" t="s">
        <v>638</v>
      </c>
      <c r="E300" s="99" t="n">
        <v>0</v>
      </c>
      <c r="F300" s="101" t="n">
        <v>0</v>
      </c>
      <c r="G300" s="102" t="n">
        <f aca="false">IFERROR(F300/INDEX($G$5:$G$34,MATCH(LOOKUP(2,1/($A$39:A300&lt;&gt;""),$A$39:A300),$A$5:$A$34,0)),0)</f>
        <v>0</v>
      </c>
      <c r="H300" s="103" t="str">
        <f aca="false">IF(G300=0,"空闲",IF(G300&lt;=0.6,"低负荷",IF(G300&lt;=0.85,"正常",IF(G300&lt;=1,"满负荷","超负荷"))))</f>
        <v>空闲</v>
      </c>
      <c r="I300" s="104" t="s">
        <v>638</v>
      </c>
      <c r="J300" s="104"/>
      <c r="K300" s="104"/>
      <c r="L300" s="105" t="s">
        <v>639</v>
      </c>
    </row>
    <row r="301" customFormat="false" ht="48" hidden="false" customHeight="true" outlineLevel="0" collapsed="false">
      <c r="A301" s="99"/>
      <c r="B301" s="100" t="n">
        <v>46391</v>
      </c>
      <c r="C301" s="100" t="n">
        <v>46397</v>
      </c>
      <c r="D301" s="99" t="s">
        <v>638</v>
      </c>
      <c r="E301" s="99" t="n">
        <v>0</v>
      </c>
      <c r="F301" s="101" t="n">
        <v>0</v>
      </c>
      <c r="G301" s="102" t="n">
        <f aca="false">IFERROR(F301/INDEX($G$5:$G$34,MATCH(LOOKUP(2,1/($A$39:A301&lt;&gt;""),$A$39:A301),$A$5:$A$34,0)),0)</f>
        <v>0</v>
      </c>
      <c r="H301" s="103" t="str">
        <f aca="false">IF(G301=0,"空闲",IF(G301&lt;=0.6,"低负荷",IF(G301&lt;=0.85,"正常",IF(G301&lt;=1,"满负荷","超负荷"))))</f>
        <v>空闲</v>
      </c>
      <c r="I301" s="104" t="s">
        <v>638</v>
      </c>
      <c r="J301" s="104"/>
      <c r="K301" s="104"/>
      <c r="L301" s="105" t="s">
        <v>639</v>
      </c>
    </row>
    <row r="302" customFormat="false" ht="48" hidden="false" customHeight="true" outlineLevel="0" collapsed="false">
      <c r="A302" s="99"/>
      <c r="B302" s="100" t="n">
        <v>46398</v>
      </c>
      <c r="C302" s="100" t="n">
        <v>46404</v>
      </c>
      <c r="D302" s="99" t="s">
        <v>638</v>
      </c>
      <c r="E302" s="99" t="n">
        <v>0</v>
      </c>
      <c r="F302" s="101" t="n">
        <v>0</v>
      </c>
      <c r="G302" s="102" t="n">
        <f aca="false">IFERROR(F302/INDEX($G$5:$G$34,MATCH(LOOKUP(2,1/($A$39:A302&lt;&gt;""),$A$39:A302),$A$5:$A$34,0)),0)</f>
        <v>0</v>
      </c>
      <c r="H302" s="103" t="str">
        <f aca="false">IF(G302=0,"空闲",IF(G302&lt;=0.6,"低负荷",IF(G302&lt;=0.85,"正常",IF(G302&lt;=1,"满负荷","超负荷"))))</f>
        <v>空闲</v>
      </c>
      <c r="I302" s="104" t="s">
        <v>638</v>
      </c>
      <c r="J302" s="104"/>
      <c r="K302" s="104"/>
      <c r="L302" s="105" t="s">
        <v>639</v>
      </c>
    </row>
    <row r="303" customFormat="false" ht="48" hidden="false" customHeight="true" outlineLevel="0" collapsed="false">
      <c r="A303" s="99"/>
      <c r="B303" s="100" t="n">
        <v>46405</v>
      </c>
      <c r="C303" s="100" t="n">
        <v>46411</v>
      </c>
      <c r="D303" s="99" t="s">
        <v>638</v>
      </c>
      <c r="E303" s="99" t="n">
        <v>0</v>
      </c>
      <c r="F303" s="101" t="n">
        <v>0</v>
      </c>
      <c r="G303" s="102" t="n">
        <f aca="false">IFERROR(F303/INDEX($G$5:$G$34,MATCH(LOOKUP(2,1/($A$39:A303&lt;&gt;""),$A$39:A303),$A$5:$A$34,0)),0)</f>
        <v>0</v>
      </c>
      <c r="H303" s="103" t="str">
        <f aca="false">IF(G303=0,"空闲",IF(G303&lt;=0.6,"低负荷",IF(G303&lt;=0.85,"正常",IF(G303&lt;=1,"满负荷","超负荷"))))</f>
        <v>空闲</v>
      </c>
      <c r="I303" s="104" t="s">
        <v>638</v>
      </c>
      <c r="J303" s="104"/>
      <c r="K303" s="104"/>
      <c r="L303" s="105" t="s">
        <v>639</v>
      </c>
    </row>
    <row r="304" customFormat="false" ht="48" hidden="false" customHeight="true" outlineLevel="0" collapsed="false">
      <c r="A304" s="99"/>
      <c r="B304" s="100" t="n">
        <v>46412</v>
      </c>
      <c r="C304" s="100" t="n">
        <v>46418</v>
      </c>
      <c r="D304" s="99" t="s">
        <v>638</v>
      </c>
      <c r="E304" s="99" t="n">
        <v>0</v>
      </c>
      <c r="F304" s="101" t="n">
        <v>0</v>
      </c>
      <c r="G304" s="102" t="n">
        <f aca="false">IFERROR(F304/INDEX($G$5:$G$34,MATCH(LOOKUP(2,1/($A$39:A304&lt;&gt;""),$A$39:A304),$A$5:$A$34,0)),0)</f>
        <v>0</v>
      </c>
      <c r="H304" s="103" t="str">
        <f aca="false">IF(G304=0,"空闲",IF(G304&lt;=0.6,"低负荷",IF(G304&lt;=0.85,"正常",IF(G304&lt;=1,"满负荷","超负荷"))))</f>
        <v>空闲</v>
      </c>
      <c r="I304" s="104" t="s">
        <v>638</v>
      </c>
      <c r="J304" s="104"/>
      <c r="K304" s="104"/>
      <c r="L304" s="105" t="s">
        <v>639</v>
      </c>
    </row>
    <row r="305" customFormat="false" ht="48" hidden="false" customHeight="true" outlineLevel="0" collapsed="false">
      <c r="A305" s="99"/>
      <c r="B305" s="100" t="n">
        <v>46419</v>
      </c>
      <c r="C305" s="100" t="n">
        <v>46425</v>
      </c>
      <c r="D305" s="99" t="s">
        <v>640</v>
      </c>
      <c r="E305" s="99" t="n">
        <v>1</v>
      </c>
      <c r="F305" s="101" t="n">
        <v>40</v>
      </c>
      <c r="G305" s="102" t="n">
        <f aca="false">IFERROR(F305/INDEX($G$5:$G$34,MATCH(LOOKUP(2,1/($A$39:A305&lt;&gt;""),$A$39:A305),$A$5:$A$34,0)),0)</f>
        <v>1</v>
      </c>
      <c r="H305" s="103" t="str">
        <f aca="false">IF(G305=0,"空闲",IF(G305&lt;=0.6,"低负荷",IF(G305&lt;=0.85,"正常",IF(G305&lt;=1,"满负荷","超负荷"))))</f>
        <v>满负荷</v>
      </c>
      <c r="I305" s="106" t="s">
        <v>680</v>
      </c>
      <c r="J305" s="106"/>
      <c r="K305" s="106"/>
      <c r="L305" s="105" t="s">
        <v>642</v>
      </c>
    </row>
    <row r="306" customFormat="false" ht="48" hidden="false" customHeight="true" outlineLevel="0" collapsed="false">
      <c r="A306" s="99"/>
      <c r="B306" s="100" t="n">
        <v>46426</v>
      </c>
      <c r="C306" s="100" t="n">
        <v>46432</v>
      </c>
      <c r="D306" s="99" t="s">
        <v>638</v>
      </c>
      <c r="E306" s="99" t="n">
        <v>0</v>
      </c>
      <c r="F306" s="101" t="n">
        <v>0</v>
      </c>
      <c r="G306" s="102" t="n">
        <f aca="false">IFERROR(F306/INDEX($G$5:$G$34,MATCH(LOOKUP(2,1/($A$39:A306&lt;&gt;""),$A$39:A306),$A$5:$A$34,0)),0)</f>
        <v>0</v>
      </c>
      <c r="H306" s="103" t="str">
        <f aca="false">IF(G306=0,"空闲",IF(G306&lt;=0.6,"低负荷",IF(G306&lt;=0.85,"正常",IF(G306&lt;=1,"满负荷","超负荷"))))</f>
        <v>空闲</v>
      </c>
      <c r="I306" s="104" t="s">
        <v>638</v>
      </c>
      <c r="J306" s="104"/>
      <c r="K306" s="104"/>
      <c r="L306" s="105" t="s">
        <v>639</v>
      </c>
    </row>
    <row r="307" customFormat="false" ht="48" hidden="false" customHeight="true" outlineLevel="0" collapsed="false">
      <c r="A307" s="99"/>
      <c r="B307" s="100" t="n">
        <v>46433</v>
      </c>
      <c r="C307" s="100" t="n">
        <v>46439</v>
      </c>
      <c r="D307" s="99" t="s">
        <v>638</v>
      </c>
      <c r="E307" s="99" t="n">
        <v>0</v>
      </c>
      <c r="F307" s="101" t="n">
        <v>0</v>
      </c>
      <c r="G307" s="102" t="n">
        <f aca="false">IFERROR(F307/INDEX($G$5:$G$34,MATCH(LOOKUP(2,1/($A$39:A307&lt;&gt;""),$A$39:A307),$A$5:$A$34,0)),0)</f>
        <v>0</v>
      </c>
      <c r="H307" s="103" t="str">
        <f aca="false">IF(G307=0,"空闲",IF(G307&lt;=0.6,"低负荷",IF(G307&lt;=0.85,"正常",IF(G307&lt;=1,"满负荷","超负荷"))))</f>
        <v>空闲</v>
      </c>
      <c r="I307" s="104" t="s">
        <v>638</v>
      </c>
      <c r="J307" s="104"/>
      <c r="K307" s="104"/>
      <c r="L307" s="105" t="s">
        <v>639</v>
      </c>
    </row>
    <row r="308" customFormat="false" ht="48" hidden="false" customHeight="true" outlineLevel="0" collapsed="false">
      <c r="A308" s="99"/>
      <c r="B308" s="100" t="n">
        <v>46440</v>
      </c>
      <c r="C308" s="100" t="n">
        <v>46446</v>
      </c>
      <c r="D308" s="99" t="s">
        <v>638</v>
      </c>
      <c r="E308" s="99" t="n">
        <v>0</v>
      </c>
      <c r="F308" s="101" t="n">
        <v>0</v>
      </c>
      <c r="G308" s="102" t="n">
        <f aca="false">IFERROR(F308/INDEX($G$5:$G$34,MATCH(LOOKUP(2,1/($A$39:A308&lt;&gt;""),$A$39:A308),$A$5:$A$34,0)),0)</f>
        <v>0</v>
      </c>
      <c r="H308" s="103" t="str">
        <f aca="false">IF(G308=0,"空闲",IF(G308&lt;=0.6,"低负荷",IF(G308&lt;=0.85,"正常",IF(G308&lt;=1,"满负荷","超负荷"))))</f>
        <v>空闲</v>
      </c>
      <c r="I308" s="104" t="s">
        <v>638</v>
      </c>
      <c r="J308" s="104"/>
      <c r="K308" s="104"/>
      <c r="L308" s="105" t="s">
        <v>639</v>
      </c>
    </row>
    <row r="309" customFormat="false" ht="48" hidden="false" customHeight="true" outlineLevel="0" collapsed="false">
      <c r="A309" s="99"/>
      <c r="B309" s="100" t="n">
        <v>46447</v>
      </c>
      <c r="C309" s="100" t="n">
        <v>46453</v>
      </c>
      <c r="D309" s="99" t="s">
        <v>638</v>
      </c>
      <c r="E309" s="99" t="n">
        <v>0</v>
      </c>
      <c r="F309" s="101" t="n">
        <v>0</v>
      </c>
      <c r="G309" s="102" t="n">
        <f aca="false">IFERROR(F309/INDEX($G$5:$G$34,MATCH(LOOKUP(2,1/($A$39:A309&lt;&gt;""),$A$39:A309),$A$5:$A$34,0)),0)</f>
        <v>0</v>
      </c>
      <c r="H309" s="103" t="str">
        <f aca="false">IF(G309=0,"空闲",IF(G309&lt;=0.6,"低负荷",IF(G309&lt;=0.85,"正常",IF(G309&lt;=1,"满负荷","超负荷"))))</f>
        <v>空闲</v>
      </c>
      <c r="I309" s="104" t="s">
        <v>638</v>
      </c>
      <c r="J309" s="104"/>
      <c r="K309" s="104"/>
      <c r="L309" s="105" t="s">
        <v>639</v>
      </c>
    </row>
    <row r="310" customFormat="false" ht="48" hidden="false" customHeight="true" outlineLevel="0" collapsed="false">
      <c r="A310" s="99"/>
      <c r="B310" s="100" t="n">
        <v>46454</v>
      </c>
      <c r="C310" s="100" t="n">
        <v>46460</v>
      </c>
      <c r="D310" s="99" t="s">
        <v>638</v>
      </c>
      <c r="E310" s="99" t="n">
        <v>0</v>
      </c>
      <c r="F310" s="101" t="n">
        <v>0</v>
      </c>
      <c r="G310" s="102" t="n">
        <f aca="false">IFERROR(F310/INDEX($G$5:$G$34,MATCH(LOOKUP(2,1/($A$39:A310&lt;&gt;""),$A$39:A310),$A$5:$A$34,0)),0)</f>
        <v>0</v>
      </c>
      <c r="H310" s="103" t="str">
        <f aca="false">IF(G310=0,"空闲",IF(G310&lt;=0.6,"低负荷",IF(G310&lt;=0.85,"正常",IF(G310&lt;=1,"满负荷","超负荷"))))</f>
        <v>空闲</v>
      </c>
      <c r="I310" s="104" t="s">
        <v>638</v>
      </c>
      <c r="J310" s="104"/>
      <c r="K310" s="104"/>
      <c r="L310" s="105" t="s">
        <v>639</v>
      </c>
    </row>
    <row r="311" customFormat="false" ht="48" hidden="false" customHeight="true" outlineLevel="0" collapsed="false">
      <c r="A311" s="99"/>
      <c r="B311" s="100" t="n">
        <v>46461</v>
      </c>
      <c r="C311" s="100" t="n">
        <v>46467</v>
      </c>
      <c r="D311" s="99" t="s">
        <v>640</v>
      </c>
      <c r="E311" s="99" t="n">
        <v>1</v>
      </c>
      <c r="F311" s="101" t="n">
        <v>40</v>
      </c>
      <c r="G311" s="102" t="n">
        <f aca="false">IFERROR(F311/INDEX($G$5:$G$34,MATCH(LOOKUP(2,1/($A$39:A311&lt;&gt;""),$A$39:A311),$A$5:$A$34,0)),0)</f>
        <v>1</v>
      </c>
      <c r="H311" s="103" t="str">
        <f aca="false">IF(G311=0,"空闲",IF(G311&lt;=0.6,"低负荷",IF(G311&lt;=0.85,"正常",IF(G311&lt;=1,"满负荷","超负荷"))))</f>
        <v>满负荷</v>
      </c>
      <c r="I311" s="106" t="s">
        <v>681</v>
      </c>
      <c r="J311" s="106"/>
      <c r="K311" s="106"/>
      <c r="L311" s="105" t="s">
        <v>642</v>
      </c>
    </row>
    <row r="312" customFormat="false" ht="48" hidden="false" customHeight="true" outlineLevel="0" collapsed="false">
      <c r="A312" s="99"/>
      <c r="B312" s="100" t="n">
        <v>46468</v>
      </c>
      <c r="C312" s="100" t="n">
        <v>46474</v>
      </c>
      <c r="D312" s="99" t="s">
        <v>638</v>
      </c>
      <c r="E312" s="99" t="n">
        <v>0</v>
      </c>
      <c r="F312" s="101" t="n">
        <v>0</v>
      </c>
      <c r="G312" s="102" t="n">
        <f aca="false">IFERROR(F312/INDEX($G$5:$G$34,MATCH(LOOKUP(2,1/($A$39:A312&lt;&gt;""),$A$39:A312),$A$5:$A$34,0)),0)</f>
        <v>0</v>
      </c>
      <c r="H312" s="103" t="str">
        <f aca="false">IF(G312=0,"空闲",IF(G312&lt;=0.6,"低负荷",IF(G312&lt;=0.85,"正常",IF(G312&lt;=1,"满负荷","超负荷"))))</f>
        <v>空闲</v>
      </c>
      <c r="I312" s="104" t="s">
        <v>638</v>
      </c>
      <c r="J312" s="104"/>
      <c r="K312" s="104"/>
      <c r="L312" s="105" t="s">
        <v>639</v>
      </c>
    </row>
    <row r="313" customFormat="false" ht="48" hidden="false" customHeight="true" outlineLevel="0" collapsed="false">
      <c r="A313" s="99"/>
      <c r="B313" s="100" t="n">
        <v>46475</v>
      </c>
      <c r="C313" s="100" t="n">
        <v>46481</v>
      </c>
      <c r="D313" s="99" t="s">
        <v>638</v>
      </c>
      <c r="E313" s="99" t="n">
        <v>0</v>
      </c>
      <c r="F313" s="101" t="n">
        <v>0</v>
      </c>
      <c r="G313" s="102" t="n">
        <f aca="false">IFERROR(F313/INDEX($G$5:$G$34,MATCH(LOOKUP(2,1/($A$39:A313&lt;&gt;""),$A$39:A313),$A$5:$A$34,0)),0)</f>
        <v>0</v>
      </c>
      <c r="H313" s="103" t="str">
        <f aca="false">IF(G313=0,"空闲",IF(G313&lt;=0.6,"低负荷",IF(G313&lt;=0.85,"正常",IF(G313&lt;=1,"满负荷","超负荷"))))</f>
        <v>空闲</v>
      </c>
      <c r="I313" s="104" t="s">
        <v>638</v>
      </c>
      <c r="J313" s="104"/>
      <c r="K313" s="104"/>
      <c r="L313" s="105" t="s">
        <v>639</v>
      </c>
    </row>
    <row r="314" customFormat="false" ht="48" hidden="false" customHeight="true" outlineLevel="0" collapsed="false">
      <c r="A314" s="99"/>
      <c r="B314" s="100" t="n">
        <v>46482</v>
      </c>
      <c r="C314" s="100" t="n">
        <v>46488</v>
      </c>
      <c r="D314" s="99" t="s">
        <v>638</v>
      </c>
      <c r="E314" s="99" t="n">
        <v>0</v>
      </c>
      <c r="F314" s="101" t="n">
        <v>0</v>
      </c>
      <c r="G314" s="102" t="n">
        <f aca="false">IFERROR(F314/INDEX($G$5:$G$34,MATCH(LOOKUP(2,1/($A$39:A314&lt;&gt;""),$A$39:A314),$A$5:$A$34,0)),0)</f>
        <v>0</v>
      </c>
      <c r="H314" s="103" t="str">
        <f aca="false">IF(G314=0,"空闲",IF(G314&lt;=0.6,"低负荷",IF(G314&lt;=0.85,"正常",IF(G314&lt;=1,"满负荷","超负荷"))))</f>
        <v>空闲</v>
      </c>
      <c r="I314" s="104" t="s">
        <v>638</v>
      </c>
      <c r="J314" s="104"/>
      <c r="K314" s="104"/>
      <c r="L314" s="105" t="s">
        <v>639</v>
      </c>
    </row>
    <row r="315" customFormat="false" ht="48" hidden="false" customHeight="true" outlineLevel="0" collapsed="false">
      <c r="A315" s="99"/>
      <c r="B315" s="100" t="n">
        <v>46489</v>
      </c>
      <c r="C315" s="100" t="n">
        <v>46495</v>
      </c>
      <c r="D315" s="99" t="s">
        <v>638</v>
      </c>
      <c r="E315" s="99" t="n">
        <v>0</v>
      </c>
      <c r="F315" s="101" t="n">
        <v>0</v>
      </c>
      <c r="G315" s="102" t="n">
        <f aca="false">IFERROR(F315/INDEX($G$5:$G$34,MATCH(LOOKUP(2,1/($A$39:A315&lt;&gt;""),$A$39:A315),$A$5:$A$34,0)),0)</f>
        <v>0</v>
      </c>
      <c r="H315" s="103" t="str">
        <f aca="false">IF(G315=0,"空闲",IF(G315&lt;=0.6,"低负荷",IF(G315&lt;=0.85,"正常",IF(G315&lt;=1,"满负荷","超负荷"))))</f>
        <v>空闲</v>
      </c>
      <c r="I315" s="104" t="s">
        <v>638</v>
      </c>
      <c r="J315" s="104"/>
      <c r="K315" s="104"/>
      <c r="L315" s="105" t="s">
        <v>639</v>
      </c>
    </row>
    <row r="316" customFormat="false" ht="48" hidden="false" customHeight="true" outlineLevel="0" collapsed="false">
      <c r="A316" s="99"/>
      <c r="B316" s="100" t="n">
        <v>46496</v>
      </c>
      <c r="C316" s="100" t="n">
        <v>46502</v>
      </c>
      <c r="D316" s="99" t="s">
        <v>638</v>
      </c>
      <c r="E316" s="99" t="n">
        <v>0</v>
      </c>
      <c r="F316" s="101" t="n">
        <v>0</v>
      </c>
      <c r="G316" s="102" t="n">
        <f aca="false">IFERROR(F316/INDEX($G$5:$G$34,MATCH(LOOKUP(2,1/($A$39:A316&lt;&gt;""),$A$39:A316),$A$5:$A$34,0)),0)</f>
        <v>0</v>
      </c>
      <c r="H316" s="103" t="str">
        <f aca="false">IF(G316=0,"空闲",IF(G316&lt;=0.6,"低负荷",IF(G316&lt;=0.85,"正常",IF(G316&lt;=1,"满负荷","超负荷"))))</f>
        <v>空闲</v>
      </c>
      <c r="I316" s="104" t="s">
        <v>638</v>
      </c>
      <c r="J316" s="104"/>
      <c r="K316" s="104"/>
      <c r="L316" s="105" t="s">
        <v>639</v>
      </c>
    </row>
    <row r="317" customFormat="false" ht="48" hidden="false" customHeight="true" outlineLevel="0" collapsed="false">
      <c r="A317" s="99"/>
      <c r="B317" s="100" t="n">
        <v>46503</v>
      </c>
      <c r="C317" s="100" t="n">
        <v>46509</v>
      </c>
      <c r="D317" s="99" t="s">
        <v>638</v>
      </c>
      <c r="E317" s="99" t="n">
        <v>0</v>
      </c>
      <c r="F317" s="101" t="n">
        <v>0</v>
      </c>
      <c r="G317" s="102" t="n">
        <f aca="false">IFERROR(F317/INDEX($G$5:$G$34,MATCH(LOOKUP(2,1/($A$39:A317&lt;&gt;""),$A$39:A317),$A$5:$A$34,0)),0)</f>
        <v>0</v>
      </c>
      <c r="H317" s="103" t="str">
        <f aca="false">IF(G317=0,"空闲",IF(G317&lt;=0.6,"低负荷",IF(G317&lt;=0.85,"正常",IF(G317&lt;=1,"满负荷","超负荷"))))</f>
        <v>空闲</v>
      </c>
      <c r="I317" s="104" t="s">
        <v>638</v>
      </c>
      <c r="J317" s="104"/>
      <c r="K317" s="104"/>
      <c r="L317" s="105" t="s">
        <v>639</v>
      </c>
    </row>
    <row r="318" customFormat="false" ht="48" hidden="false" customHeight="true" outlineLevel="0" collapsed="false">
      <c r="A318" s="99"/>
      <c r="B318" s="100" t="n">
        <v>46510</v>
      </c>
      <c r="C318" s="100" t="n">
        <v>46516</v>
      </c>
      <c r="D318" s="99" t="s">
        <v>638</v>
      </c>
      <c r="E318" s="99" t="n">
        <v>0</v>
      </c>
      <c r="F318" s="101" t="n">
        <v>0</v>
      </c>
      <c r="G318" s="102" t="n">
        <f aca="false">IFERROR(F318/INDEX($G$5:$G$34,MATCH(LOOKUP(2,1/($A$39:A318&lt;&gt;""),$A$39:A318),$A$5:$A$34,0)),0)</f>
        <v>0</v>
      </c>
      <c r="H318" s="103" t="str">
        <f aca="false">IF(G318=0,"空闲",IF(G318&lt;=0.6,"低负荷",IF(G318&lt;=0.85,"正常",IF(G318&lt;=1,"满负荷","超负荷"))))</f>
        <v>空闲</v>
      </c>
      <c r="I318" s="104" t="s">
        <v>638</v>
      </c>
      <c r="J318" s="104"/>
      <c r="K318" s="104"/>
      <c r="L318" s="105" t="s">
        <v>639</v>
      </c>
    </row>
    <row r="319" customFormat="false" ht="48" hidden="false" customHeight="true" outlineLevel="0" collapsed="false">
      <c r="A319" s="99"/>
      <c r="B319" s="100" t="n">
        <v>46517</v>
      </c>
      <c r="C319" s="100" t="n">
        <v>46523</v>
      </c>
      <c r="D319" s="99" t="s">
        <v>638</v>
      </c>
      <c r="E319" s="99" t="n">
        <v>0</v>
      </c>
      <c r="F319" s="101" t="n">
        <v>0</v>
      </c>
      <c r="G319" s="102" t="n">
        <f aca="false">IFERROR(F319/INDEX($G$5:$G$34,MATCH(LOOKUP(2,1/($A$39:A319&lt;&gt;""),$A$39:A319),$A$5:$A$34,0)),0)</f>
        <v>0</v>
      </c>
      <c r="H319" s="103" t="str">
        <f aca="false">IF(G319=0,"空闲",IF(G319&lt;=0.6,"低负荷",IF(G319&lt;=0.85,"正常",IF(G319&lt;=1,"满负荷","超负荷"))))</f>
        <v>空闲</v>
      </c>
      <c r="I319" s="104" t="s">
        <v>638</v>
      </c>
      <c r="J319" s="104"/>
      <c r="K319" s="104"/>
      <c r="L319" s="105" t="s">
        <v>639</v>
      </c>
    </row>
    <row r="320" customFormat="false" ht="48" hidden="false" customHeight="true" outlineLevel="0" collapsed="false">
      <c r="A320" s="99"/>
      <c r="B320" s="100" t="n">
        <v>46524</v>
      </c>
      <c r="C320" s="100" t="n">
        <v>46530</v>
      </c>
      <c r="D320" s="99" t="s">
        <v>638</v>
      </c>
      <c r="E320" s="99" t="n">
        <v>0</v>
      </c>
      <c r="F320" s="101" t="n">
        <v>0</v>
      </c>
      <c r="G320" s="102" t="n">
        <f aca="false">IFERROR(F320/INDEX($G$5:$G$34,MATCH(LOOKUP(2,1/($A$39:A320&lt;&gt;""),$A$39:A320),$A$5:$A$34,0)),0)</f>
        <v>0</v>
      </c>
      <c r="H320" s="103" t="str">
        <f aca="false">IF(G320=0,"空闲",IF(G320&lt;=0.6,"低负荷",IF(G320&lt;=0.85,"正常",IF(G320&lt;=1,"满负荷","超负荷"))))</f>
        <v>空闲</v>
      </c>
      <c r="I320" s="104" t="s">
        <v>638</v>
      </c>
      <c r="J320" s="104"/>
      <c r="K320" s="104"/>
      <c r="L320" s="105" t="s">
        <v>639</v>
      </c>
    </row>
    <row r="321" customFormat="false" ht="48" hidden="false" customHeight="true" outlineLevel="0" collapsed="false">
      <c r="A321" s="99"/>
      <c r="B321" s="100" t="n">
        <v>46531</v>
      </c>
      <c r="C321" s="100" t="n">
        <v>46537</v>
      </c>
      <c r="D321" s="99" t="s">
        <v>638</v>
      </c>
      <c r="E321" s="99" t="n">
        <v>0</v>
      </c>
      <c r="F321" s="101" t="n">
        <v>0</v>
      </c>
      <c r="G321" s="102" t="n">
        <f aca="false">IFERROR(F321/INDEX($G$5:$G$34,MATCH(LOOKUP(2,1/($A$39:A321&lt;&gt;""),$A$39:A321),$A$5:$A$34,0)),0)</f>
        <v>0</v>
      </c>
      <c r="H321" s="103" t="str">
        <f aca="false">IF(G321=0,"空闲",IF(G321&lt;=0.6,"低负荷",IF(G321&lt;=0.85,"正常",IF(G321&lt;=1,"满负荷","超负荷"))))</f>
        <v>空闲</v>
      </c>
      <c r="I321" s="104" t="s">
        <v>638</v>
      </c>
      <c r="J321" s="104"/>
      <c r="K321" s="104"/>
      <c r="L321" s="105" t="s">
        <v>639</v>
      </c>
    </row>
    <row r="322" customFormat="false" ht="48" hidden="false" customHeight="true" outlineLevel="0" collapsed="false">
      <c r="A322" s="99"/>
      <c r="B322" s="100" t="n">
        <v>46538</v>
      </c>
      <c r="C322" s="100" t="n">
        <v>46544</v>
      </c>
      <c r="D322" s="99" t="s">
        <v>640</v>
      </c>
      <c r="E322" s="99" t="n">
        <v>1</v>
      </c>
      <c r="F322" s="101" t="n">
        <v>40</v>
      </c>
      <c r="G322" s="102" t="n">
        <f aca="false">IFERROR(F322/INDEX($G$5:$G$34,MATCH(LOOKUP(2,1/($A$39:A322&lt;&gt;""),$A$39:A322),$A$5:$A$34,0)),0)</f>
        <v>1</v>
      </c>
      <c r="H322" s="103" t="str">
        <f aca="false">IF(G322=0,"空闲",IF(G322&lt;=0.6,"低负荷",IF(G322&lt;=0.85,"正常",IF(G322&lt;=1,"满负荷","超负荷"))))</f>
        <v>满负荷</v>
      </c>
      <c r="I322" s="106" t="s">
        <v>682</v>
      </c>
      <c r="J322" s="106"/>
      <c r="K322" s="106"/>
      <c r="L322" s="105" t="s">
        <v>642</v>
      </c>
    </row>
    <row r="323" customFormat="false" ht="48" hidden="false" customHeight="true" outlineLevel="0" collapsed="false">
      <c r="A323" s="99" t="s">
        <v>612</v>
      </c>
      <c r="B323" s="100" t="n">
        <v>46048</v>
      </c>
      <c r="C323" s="100" t="n">
        <v>46054</v>
      </c>
      <c r="D323" s="99" t="s">
        <v>638</v>
      </c>
      <c r="E323" s="99" t="n">
        <v>0</v>
      </c>
      <c r="F323" s="101" t="n">
        <v>0</v>
      </c>
      <c r="G323" s="102" t="n">
        <f aca="false">IFERROR(F323/INDEX($G$5:$G$34,MATCH(LOOKUP(2,1/($A$39:A323&lt;&gt;""),$A$39:A323),$A$5:$A$34,0)),0)</f>
        <v>0</v>
      </c>
      <c r="H323" s="103" t="str">
        <f aca="false">IF(G323=0,"空闲",IF(G323&lt;=0.6,"低负荷",IF(G323&lt;=0.85,"正常",IF(G323&lt;=1,"满负荷","超负荷"))))</f>
        <v>空闲</v>
      </c>
      <c r="I323" s="104" t="s">
        <v>638</v>
      </c>
      <c r="J323" s="104"/>
      <c r="K323" s="104"/>
      <c r="L323" s="105" t="s">
        <v>639</v>
      </c>
    </row>
    <row r="324" customFormat="false" ht="48" hidden="false" customHeight="true" outlineLevel="0" collapsed="false">
      <c r="A324" s="99"/>
      <c r="B324" s="100" t="n">
        <v>46055</v>
      </c>
      <c r="C324" s="100" t="n">
        <v>46061</v>
      </c>
      <c r="D324" s="99" t="s">
        <v>638</v>
      </c>
      <c r="E324" s="99" t="n">
        <v>0</v>
      </c>
      <c r="F324" s="101" t="n">
        <v>0</v>
      </c>
      <c r="G324" s="102" t="n">
        <f aca="false">IFERROR(F324/INDEX($G$5:$G$34,MATCH(LOOKUP(2,1/($A$39:A324&lt;&gt;""),$A$39:A324),$A$5:$A$34,0)),0)</f>
        <v>0</v>
      </c>
      <c r="H324" s="103" t="str">
        <f aca="false">IF(G324=0,"空闲",IF(G324&lt;=0.6,"低负荷",IF(G324&lt;=0.85,"正常",IF(G324&lt;=1,"满负荷","超负荷"))))</f>
        <v>空闲</v>
      </c>
      <c r="I324" s="104" t="s">
        <v>638</v>
      </c>
      <c r="J324" s="104"/>
      <c r="K324" s="104"/>
      <c r="L324" s="105" t="s">
        <v>639</v>
      </c>
    </row>
    <row r="325" customFormat="false" ht="48" hidden="false" customHeight="true" outlineLevel="0" collapsed="false">
      <c r="A325" s="99"/>
      <c r="B325" s="100" t="n">
        <v>46062</v>
      </c>
      <c r="C325" s="100" t="n">
        <v>46068</v>
      </c>
      <c r="D325" s="99" t="s">
        <v>638</v>
      </c>
      <c r="E325" s="99" t="n">
        <v>0</v>
      </c>
      <c r="F325" s="101" t="n">
        <v>0</v>
      </c>
      <c r="G325" s="102" t="n">
        <f aca="false">IFERROR(F325/INDEX($G$5:$G$34,MATCH(LOOKUP(2,1/($A$39:A325&lt;&gt;""),$A$39:A325),$A$5:$A$34,0)),0)</f>
        <v>0</v>
      </c>
      <c r="H325" s="103" t="str">
        <f aca="false">IF(G325=0,"空闲",IF(G325&lt;=0.6,"低负荷",IF(G325&lt;=0.85,"正常",IF(G325&lt;=1,"满负荷","超负荷"))))</f>
        <v>空闲</v>
      </c>
      <c r="I325" s="104" t="s">
        <v>638</v>
      </c>
      <c r="J325" s="104"/>
      <c r="K325" s="104"/>
      <c r="L325" s="105" t="s">
        <v>639</v>
      </c>
    </row>
    <row r="326" customFormat="false" ht="48" hidden="false" customHeight="true" outlineLevel="0" collapsed="false">
      <c r="A326" s="99"/>
      <c r="B326" s="100" t="n">
        <v>46069</v>
      </c>
      <c r="C326" s="100" t="n">
        <v>46075</v>
      </c>
      <c r="D326" s="99" t="s">
        <v>638</v>
      </c>
      <c r="E326" s="99" t="n">
        <v>0</v>
      </c>
      <c r="F326" s="101" t="n">
        <v>0</v>
      </c>
      <c r="G326" s="102" t="n">
        <f aca="false">IFERROR(F326/INDEX($G$5:$G$34,MATCH(LOOKUP(2,1/($A$39:A326&lt;&gt;""),$A$39:A326),$A$5:$A$34,0)),0)</f>
        <v>0</v>
      </c>
      <c r="H326" s="103" t="str">
        <f aca="false">IF(G326=0,"空闲",IF(G326&lt;=0.6,"低负荷",IF(G326&lt;=0.85,"正常",IF(G326&lt;=1,"满负荷","超负荷"))))</f>
        <v>空闲</v>
      </c>
      <c r="I326" s="104" t="s">
        <v>638</v>
      </c>
      <c r="J326" s="104"/>
      <c r="K326" s="104"/>
      <c r="L326" s="105" t="s">
        <v>639</v>
      </c>
    </row>
    <row r="327" customFormat="false" ht="48" hidden="false" customHeight="true" outlineLevel="0" collapsed="false">
      <c r="A327" s="99"/>
      <c r="B327" s="100" t="n">
        <v>46076</v>
      </c>
      <c r="C327" s="100" t="n">
        <v>46082</v>
      </c>
      <c r="D327" s="99" t="s">
        <v>638</v>
      </c>
      <c r="E327" s="99" t="n">
        <v>0</v>
      </c>
      <c r="F327" s="101" t="n">
        <v>0</v>
      </c>
      <c r="G327" s="102" t="n">
        <f aca="false">IFERROR(F327/INDEX($G$5:$G$34,MATCH(LOOKUP(2,1/($A$39:A327&lt;&gt;""),$A$39:A327),$A$5:$A$34,0)),0)</f>
        <v>0</v>
      </c>
      <c r="H327" s="103" t="str">
        <f aca="false">IF(G327=0,"空闲",IF(G327&lt;=0.6,"低负荷",IF(G327&lt;=0.85,"正常",IF(G327&lt;=1,"满负荷","超负荷"))))</f>
        <v>空闲</v>
      </c>
      <c r="I327" s="104" t="s">
        <v>638</v>
      </c>
      <c r="J327" s="104"/>
      <c r="K327" s="104"/>
      <c r="L327" s="105" t="s">
        <v>639</v>
      </c>
    </row>
    <row r="328" customFormat="false" ht="48" hidden="false" customHeight="true" outlineLevel="0" collapsed="false">
      <c r="A328" s="99"/>
      <c r="B328" s="100" t="n">
        <v>46083</v>
      </c>
      <c r="C328" s="100" t="n">
        <v>46089</v>
      </c>
      <c r="D328" s="99" t="s">
        <v>638</v>
      </c>
      <c r="E328" s="99" t="n">
        <v>0</v>
      </c>
      <c r="F328" s="101" t="n">
        <v>0</v>
      </c>
      <c r="G328" s="102" t="n">
        <f aca="false">IFERROR(F328/INDEX($G$5:$G$34,MATCH(LOOKUP(2,1/($A$39:A328&lt;&gt;""),$A$39:A328),$A$5:$A$34,0)),0)</f>
        <v>0</v>
      </c>
      <c r="H328" s="103" t="str">
        <f aca="false">IF(G328=0,"空闲",IF(G328&lt;=0.6,"低负荷",IF(G328&lt;=0.85,"正常",IF(G328&lt;=1,"满负荷","超负荷"))))</f>
        <v>空闲</v>
      </c>
      <c r="I328" s="104" t="s">
        <v>638</v>
      </c>
      <c r="J328" s="104"/>
      <c r="K328" s="104"/>
      <c r="L328" s="105" t="s">
        <v>639</v>
      </c>
    </row>
    <row r="329" customFormat="false" ht="48" hidden="false" customHeight="true" outlineLevel="0" collapsed="false">
      <c r="A329" s="99"/>
      <c r="B329" s="100" t="n">
        <v>46090</v>
      </c>
      <c r="C329" s="100" t="n">
        <v>46096</v>
      </c>
      <c r="D329" s="99" t="s">
        <v>638</v>
      </c>
      <c r="E329" s="99" t="n">
        <v>0</v>
      </c>
      <c r="F329" s="101" t="n">
        <v>0</v>
      </c>
      <c r="G329" s="102" t="n">
        <f aca="false">IFERROR(F329/INDEX($G$5:$G$34,MATCH(LOOKUP(2,1/($A$39:A329&lt;&gt;""),$A$39:A329),$A$5:$A$34,0)),0)</f>
        <v>0</v>
      </c>
      <c r="H329" s="103" t="str">
        <f aca="false">IF(G329=0,"空闲",IF(G329&lt;=0.6,"低负荷",IF(G329&lt;=0.85,"正常",IF(G329&lt;=1,"满负荷","超负荷"))))</f>
        <v>空闲</v>
      </c>
      <c r="I329" s="104" t="s">
        <v>638</v>
      </c>
      <c r="J329" s="104"/>
      <c r="K329" s="104"/>
      <c r="L329" s="105" t="s">
        <v>639</v>
      </c>
    </row>
    <row r="330" customFormat="false" ht="48" hidden="false" customHeight="true" outlineLevel="0" collapsed="false">
      <c r="A330" s="99"/>
      <c r="B330" s="100" t="n">
        <v>46097</v>
      </c>
      <c r="C330" s="100" t="n">
        <v>46103</v>
      </c>
      <c r="D330" s="99" t="s">
        <v>638</v>
      </c>
      <c r="E330" s="99" t="n">
        <v>0</v>
      </c>
      <c r="F330" s="101" t="n">
        <v>0</v>
      </c>
      <c r="G330" s="102" t="n">
        <f aca="false">IFERROR(F330/INDEX($G$5:$G$34,MATCH(LOOKUP(2,1/($A$39:A330&lt;&gt;""),$A$39:A330),$A$5:$A$34,0)),0)</f>
        <v>0</v>
      </c>
      <c r="H330" s="103" t="str">
        <f aca="false">IF(G330=0,"空闲",IF(G330&lt;=0.6,"低负荷",IF(G330&lt;=0.85,"正常",IF(G330&lt;=1,"满负荷","超负荷"))))</f>
        <v>空闲</v>
      </c>
      <c r="I330" s="104" t="s">
        <v>638</v>
      </c>
      <c r="J330" s="104"/>
      <c r="K330" s="104"/>
      <c r="L330" s="105" t="s">
        <v>639</v>
      </c>
    </row>
    <row r="331" customFormat="false" ht="48" hidden="false" customHeight="true" outlineLevel="0" collapsed="false">
      <c r="A331" s="99"/>
      <c r="B331" s="100" t="n">
        <v>46104</v>
      </c>
      <c r="C331" s="100" t="n">
        <v>46110</v>
      </c>
      <c r="D331" s="99" t="s">
        <v>638</v>
      </c>
      <c r="E331" s="99" t="n">
        <v>0</v>
      </c>
      <c r="F331" s="101" t="n">
        <v>0</v>
      </c>
      <c r="G331" s="102" t="n">
        <f aca="false">IFERROR(F331/INDEX($G$5:$G$34,MATCH(LOOKUP(2,1/($A$39:A331&lt;&gt;""),$A$39:A331),$A$5:$A$34,0)),0)</f>
        <v>0</v>
      </c>
      <c r="H331" s="103" t="str">
        <f aca="false">IF(G331=0,"空闲",IF(G331&lt;=0.6,"低负荷",IF(G331&lt;=0.85,"正常",IF(G331&lt;=1,"满负荷","超负荷"))))</f>
        <v>空闲</v>
      </c>
      <c r="I331" s="104" t="s">
        <v>638</v>
      </c>
      <c r="J331" s="104"/>
      <c r="K331" s="104"/>
      <c r="L331" s="105" t="s">
        <v>639</v>
      </c>
    </row>
    <row r="332" customFormat="false" ht="48" hidden="false" customHeight="true" outlineLevel="0" collapsed="false">
      <c r="A332" s="99"/>
      <c r="B332" s="100" t="n">
        <v>46111</v>
      </c>
      <c r="C332" s="100" t="n">
        <v>46117</v>
      </c>
      <c r="D332" s="99" t="s">
        <v>638</v>
      </c>
      <c r="E332" s="99" t="n">
        <v>0</v>
      </c>
      <c r="F332" s="101" t="n">
        <v>0</v>
      </c>
      <c r="G332" s="102" t="n">
        <f aca="false">IFERROR(F332/INDEX($G$5:$G$34,MATCH(LOOKUP(2,1/($A$39:A332&lt;&gt;""),$A$39:A332),$A$5:$A$34,0)),0)</f>
        <v>0</v>
      </c>
      <c r="H332" s="103" t="str">
        <f aca="false">IF(G332=0,"空闲",IF(G332&lt;=0.6,"低负荷",IF(G332&lt;=0.85,"正常",IF(G332&lt;=1,"满负荷","超负荷"))))</f>
        <v>空闲</v>
      </c>
      <c r="I332" s="104" t="s">
        <v>638</v>
      </c>
      <c r="J332" s="104"/>
      <c r="K332" s="104"/>
      <c r="L332" s="105" t="s">
        <v>639</v>
      </c>
    </row>
    <row r="333" customFormat="false" ht="48" hidden="false" customHeight="true" outlineLevel="0" collapsed="false">
      <c r="A333" s="99"/>
      <c r="B333" s="100" t="n">
        <v>46118</v>
      </c>
      <c r="C333" s="100" t="n">
        <v>46124</v>
      </c>
      <c r="D333" s="99" t="s">
        <v>640</v>
      </c>
      <c r="E333" s="99" t="n">
        <v>1</v>
      </c>
      <c r="F333" s="101" t="n">
        <v>40</v>
      </c>
      <c r="G333" s="102" t="n">
        <f aca="false">IFERROR(F333/INDEX($G$5:$G$34,MATCH(LOOKUP(2,1/($A$39:A333&lt;&gt;""),$A$39:A333),$A$5:$A$34,0)),0)</f>
        <v>1</v>
      </c>
      <c r="H333" s="103" t="str">
        <f aca="false">IF(G333=0,"空闲",IF(G333&lt;=0.6,"低负荷",IF(G333&lt;=0.85,"正常",IF(G333&lt;=1,"满负荷","超负荷"))))</f>
        <v>满负荷</v>
      </c>
      <c r="I333" s="106" t="s">
        <v>683</v>
      </c>
      <c r="J333" s="106"/>
      <c r="K333" s="106"/>
      <c r="L333" s="105" t="s">
        <v>642</v>
      </c>
    </row>
    <row r="334" customFormat="false" ht="48" hidden="false" customHeight="true" outlineLevel="0" collapsed="false">
      <c r="A334" s="99"/>
      <c r="B334" s="100" t="n">
        <v>46125</v>
      </c>
      <c r="C334" s="100" t="n">
        <v>46131</v>
      </c>
      <c r="D334" s="99" t="s">
        <v>640</v>
      </c>
      <c r="E334" s="99" t="n">
        <v>1</v>
      </c>
      <c r="F334" s="101" t="n">
        <v>40</v>
      </c>
      <c r="G334" s="102" t="n">
        <f aca="false">IFERROR(F334/INDEX($G$5:$G$34,MATCH(LOOKUP(2,1/($A$39:A334&lt;&gt;""),$A$39:A334),$A$5:$A$34,0)),0)</f>
        <v>1</v>
      </c>
      <c r="H334" s="103" t="str">
        <f aca="false">IF(G334=0,"空闲",IF(G334&lt;=0.6,"低负荷",IF(G334&lt;=0.85,"正常",IF(G334&lt;=1,"满负荷","超负荷"))))</f>
        <v>满负荷</v>
      </c>
      <c r="I334" s="106" t="s">
        <v>683</v>
      </c>
      <c r="J334" s="106"/>
      <c r="K334" s="106"/>
      <c r="L334" s="105" t="s">
        <v>642</v>
      </c>
    </row>
    <row r="335" customFormat="false" ht="48" hidden="false" customHeight="true" outlineLevel="0" collapsed="false">
      <c r="A335" s="99"/>
      <c r="B335" s="100" t="n">
        <v>46132</v>
      </c>
      <c r="C335" s="100" t="n">
        <v>46138</v>
      </c>
      <c r="D335" s="99" t="s">
        <v>640</v>
      </c>
      <c r="E335" s="99" t="n">
        <v>1</v>
      </c>
      <c r="F335" s="101" t="n">
        <v>40</v>
      </c>
      <c r="G335" s="102" t="n">
        <f aca="false">IFERROR(F335/INDEX($G$5:$G$34,MATCH(LOOKUP(2,1/($A$39:A335&lt;&gt;""),$A$39:A335),$A$5:$A$34,0)),0)</f>
        <v>1</v>
      </c>
      <c r="H335" s="103" t="str">
        <f aca="false">IF(G335=0,"空闲",IF(G335&lt;=0.6,"低负荷",IF(G335&lt;=0.85,"正常",IF(G335&lt;=1,"满负荷","超负荷"))))</f>
        <v>满负荷</v>
      </c>
      <c r="I335" s="106" t="s">
        <v>683</v>
      </c>
      <c r="J335" s="106"/>
      <c r="K335" s="106"/>
      <c r="L335" s="105" t="s">
        <v>642</v>
      </c>
    </row>
    <row r="336" customFormat="false" ht="48" hidden="false" customHeight="true" outlineLevel="0" collapsed="false">
      <c r="A336" s="99"/>
      <c r="B336" s="100" t="n">
        <v>46139</v>
      </c>
      <c r="C336" s="100" t="n">
        <v>46145</v>
      </c>
      <c r="D336" s="99" t="s">
        <v>640</v>
      </c>
      <c r="E336" s="99" t="n">
        <v>1</v>
      </c>
      <c r="F336" s="101" t="n">
        <v>40</v>
      </c>
      <c r="G336" s="102" t="n">
        <f aca="false">IFERROR(F336/INDEX($G$5:$G$34,MATCH(LOOKUP(2,1/($A$39:A336&lt;&gt;""),$A$39:A336),$A$5:$A$34,0)),0)</f>
        <v>1</v>
      </c>
      <c r="H336" s="103" t="str">
        <f aca="false">IF(G336=0,"空闲",IF(G336&lt;=0.6,"低负荷",IF(G336&lt;=0.85,"正常",IF(G336&lt;=1,"满负荷","超负荷"))))</f>
        <v>满负荷</v>
      </c>
      <c r="I336" s="106" t="s">
        <v>683</v>
      </c>
      <c r="J336" s="106"/>
      <c r="K336" s="106"/>
      <c r="L336" s="105" t="s">
        <v>642</v>
      </c>
    </row>
    <row r="337" customFormat="false" ht="48" hidden="false" customHeight="true" outlineLevel="0" collapsed="false">
      <c r="A337" s="99"/>
      <c r="B337" s="100" t="n">
        <v>46146</v>
      </c>
      <c r="C337" s="100" t="n">
        <v>46152</v>
      </c>
      <c r="D337" s="99" t="s">
        <v>640</v>
      </c>
      <c r="E337" s="99" t="n">
        <v>1</v>
      </c>
      <c r="F337" s="101" t="n">
        <v>40</v>
      </c>
      <c r="G337" s="102" t="n">
        <f aca="false">IFERROR(F337/INDEX($G$5:$G$34,MATCH(LOOKUP(2,1/($A$39:A337&lt;&gt;""),$A$39:A337),$A$5:$A$34,0)),0)</f>
        <v>1</v>
      </c>
      <c r="H337" s="103" t="str">
        <f aca="false">IF(G337=0,"空闲",IF(G337&lt;=0.6,"低负荷",IF(G337&lt;=0.85,"正常",IF(G337&lt;=1,"满负荷","超负荷"))))</f>
        <v>满负荷</v>
      </c>
      <c r="I337" s="106" t="s">
        <v>683</v>
      </c>
      <c r="J337" s="106"/>
      <c r="K337" s="106"/>
      <c r="L337" s="105" t="s">
        <v>642</v>
      </c>
    </row>
    <row r="338" customFormat="false" ht="48" hidden="false" customHeight="true" outlineLevel="0" collapsed="false">
      <c r="A338" s="99"/>
      <c r="B338" s="100" t="n">
        <v>46153</v>
      </c>
      <c r="C338" s="100" t="n">
        <v>46159</v>
      </c>
      <c r="D338" s="99" t="s">
        <v>638</v>
      </c>
      <c r="E338" s="99" t="n">
        <v>0</v>
      </c>
      <c r="F338" s="101" t="n">
        <v>0</v>
      </c>
      <c r="G338" s="102" t="n">
        <f aca="false">IFERROR(F338/INDEX($G$5:$G$34,MATCH(LOOKUP(2,1/($A$39:A338&lt;&gt;""),$A$39:A338),$A$5:$A$34,0)),0)</f>
        <v>0</v>
      </c>
      <c r="H338" s="103" t="str">
        <f aca="false">IF(G338=0,"空闲",IF(G338&lt;=0.6,"低负荷",IF(G338&lt;=0.85,"正常",IF(G338&lt;=1,"满负荷","超负荷"))))</f>
        <v>空闲</v>
      </c>
      <c r="I338" s="104" t="s">
        <v>638</v>
      </c>
      <c r="J338" s="104"/>
      <c r="K338" s="104"/>
      <c r="L338" s="105" t="s">
        <v>639</v>
      </c>
    </row>
    <row r="339" customFormat="false" ht="48" hidden="false" customHeight="true" outlineLevel="0" collapsed="false">
      <c r="A339" s="99"/>
      <c r="B339" s="100" t="n">
        <v>46160</v>
      </c>
      <c r="C339" s="100" t="n">
        <v>46166</v>
      </c>
      <c r="D339" s="99" t="s">
        <v>638</v>
      </c>
      <c r="E339" s="99" t="n">
        <v>0</v>
      </c>
      <c r="F339" s="101" t="n">
        <v>0</v>
      </c>
      <c r="G339" s="102" t="n">
        <f aca="false">IFERROR(F339/INDEX($G$5:$G$34,MATCH(LOOKUP(2,1/($A$39:A339&lt;&gt;""),$A$39:A339),$A$5:$A$34,0)),0)</f>
        <v>0</v>
      </c>
      <c r="H339" s="103" t="str">
        <f aca="false">IF(G339=0,"空闲",IF(G339&lt;=0.6,"低负荷",IF(G339&lt;=0.85,"正常",IF(G339&lt;=1,"满负荷","超负荷"))))</f>
        <v>空闲</v>
      </c>
      <c r="I339" s="104" t="s">
        <v>638</v>
      </c>
      <c r="J339" s="104"/>
      <c r="K339" s="104"/>
      <c r="L339" s="105" t="s">
        <v>639</v>
      </c>
    </row>
    <row r="340" customFormat="false" ht="48" hidden="false" customHeight="true" outlineLevel="0" collapsed="false">
      <c r="A340" s="99"/>
      <c r="B340" s="100" t="n">
        <v>46167</v>
      </c>
      <c r="C340" s="100" t="n">
        <v>46173</v>
      </c>
      <c r="D340" s="99" t="s">
        <v>638</v>
      </c>
      <c r="E340" s="99" t="n">
        <v>0</v>
      </c>
      <c r="F340" s="101" t="n">
        <v>0</v>
      </c>
      <c r="G340" s="102" t="n">
        <f aca="false">IFERROR(F340/INDEX($G$5:$G$34,MATCH(LOOKUP(2,1/($A$39:A340&lt;&gt;""),$A$39:A340),$A$5:$A$34,0)),0)</f>
        <v>0</v>
      </c>
      <c r="H340" s="103" t="str">
        <f aca="false">IF(G340=0,"空闲",IF(G340&lt;=0.6,"低负荷",IF(G340&lt;=0.85,"正常",IF(G340&lt;=1,"满负荷","超负荷"))))</f>
        <v>空闲</v>
      </c>
      <c r="I340" s="104" t="s">
        <v>638</v>
      </c>
      <c r="J340" s="104"/>
      <c r="K340" s="104"/>
      <c r="L340" s="105" t="s">
        <v>639</v>
      </c>
    </row>
    <row r="341" customFormat="false" ht="48" hidden="false" customHeight="true" outlineLevel="0" collapsed="false">
      <c r="A341" s="99"/>
      <c r="B341" s="100" t="n">
        <v>46174</v>
      </c>
      <c r="C341" s="100" t="n">
        <v>46180</v>
      </c>
      <c r="D341" s="99" t="s">
        <v>638</v>
      </c>
      <c r="E341" s="99" t="n">
        <v>0</v>
      </c>
      <c r="F341" s="101" t="n">
        <v>0</v>
      </c>
      <c r="G341" s="102" t="n">
        <f aca="false">IFERROR(F341/INDEX($G$5:$G$34,MATCH(LOOKUP(2,1/($A$39:A341&lt;&gt;""),$A$39:A341),$A$5:$A$34,0)),0)</f>
        <v>0</v>
      </c>
      <c r="H341" s="103" t="str">
        <f aca="false">IF(G341=0,"空闲",IF(G341&lt;=0.6,"低负荷",IF(G341&lt;=0.85,"正常",IF(G341&lt;=1,"满负荷","超负荷"))))</f>
        <v>空闲</v>
      </c>
      <c r="I341" s="104" t="s">
        <v>638</v>
      </c>
      <c r="J341" s="104"/>
      <c r="K341" s="104"/>
      <c r="L341" s="105" t="s">
        <v>639</v>
      </c>
    </row>
    <row r="342" customFormat="false" ht="48" hidden="false" customHeight="true" outlineLevel="0" collapsed="false">
      <c r="A342" s="99"/>
      <c r="B342" s="100" t="n">
        <v>46181</v>
      </c>
      <c r="C342" s="100" t="n">
        <v>46187</v>
      </c>
      <c r="D342" s="99" t="s">
        <v>638</v>
      </c>
      <c r="E342" s="99" t="n">
        <v>0</v>
      </c>
      <c r="F342" s="101" t="n">
        <v>0</v>
      </c>
      <c r="G342" s="102" t="n">
        <f aca="false">IFERROR(F342/INDEX($G$5:$G$34,MATCH(LOOKUP(2,1/($A$39:A342&lt;&gt;""),$A$39:A342),$A$5:$A$34,0)),0)</f>
        <v>0</v>
      </c>
      <c r="H342" s="103" t="str">
        <f aca="false">IF(G342=0,"空闲",IF(G342&lt;=0.6,"低负荷",IF(G342&lt;=0.85,"正常",IF(G342&lt;=1,"满负荷","超负荷"))))</f>
        <v>空闲</v>
      </c>
      <c r="I342" s="104" t="s">
        <v>638</v>
      </c>
      <c r="J342" s="104"/>
      <c r="K342" s="104"/>
      <c r="L342" s="105" t="s">
        <v>639</v>
      </c>
    </row>
    <row r="343" customFormat="false" ht="48" hidden="false" customHeight="true" outlineLevel="0" collapsed="false">
      <c r="A343" s="99"/>
      <c r="B343" s="100" t="n">
        <v>46188</v>
      </c>
      <c r="C343" s="100" t="n">
        <v>46194</v>
      </c>
      <c r="D343" s="99" t="s">
        <v>638</v>
      </c>
      <c r="E343" s="99" t="n">
        <v>0</v>
      </c>
      <c r="F343" s="101" t="n">
        <v>0</v>
      </c>
      <c r="G343" s="102" t="n">
        <f aca="false">IFERROR(F343/INDEX($G$5:$G$34,MATCH(LOOKUP(2,1/($A$39:A343&lt;&gt;""),$A$39:A343),$A$5:$A$34,0)),0)</f>
        <v>0</v>
      </c>
      <c r="H343" s="103" t="str">
        <f aca="false">IF(G343=0,"空闲",IF(G343&lt;=0.6,"低负荷",IF(G343&lt;=0.85,"正常",IF(G343&lt;=1,"满负荷","超负荷"))))</f>
        <v>空闲</v>
      </c>
      <c r="I343" s="104" t="s">
        <v>638</v>
      </c>
      <c r="J343" s="104"/>
      <c r="K343" s="104"/>
      <c r="L343" s="105" t="s">
        <v>639</v>
      </c>
    </row>
    <row r="344" customFormat="false" ht="48" hidden="false" customHeight="true" outlineLevel="0" collapsed="false">
      <c r="A344" s="99"/>
      <c r="B344" s="100" t="n">
        <v>46195</v>
      </c>
      <c r="C344" s="100" t="n">
        <v>46201</v>
      </c>
      <c r="D344" s="99" t="s">
        <v>638</v>
      </c>
      <c r="E344" s="99" t="n">
        <v>0</v>
      </c>
      <c r="F344" s="101" t="n">
        <v>0</v>
      </c>
      <c r="G344" s="102" t="n">
        <f aca="false">IFERROR(F344/INDEX($G$5:$G$34,MATCH(LOOKUP(2,1/($A$39:A344&lt;&gt;""),$A$39:A344),$A$5:$A$34,0)),0)</f>
        <v>0</v>
      </c>
      <c r="H344" s="103" t="str">
        <f aca="false">IF(G344=0,"空闲",IF(G344&lt;=0.6,"低负荷",IF(G344&lt;=0.85,"正常",IF(G344&lt;=1,"满负荷","超负荷"))))</f>
        <v>空闲</v>
      </c>
      <c r="I344" s="104" t="s">
        <v>638</v>
      </c>
      <c r="J344" s="104"/>
      <c r="K344" s="104"/>
      <c r="L344" s="105" t="s">
        <v>639</v>
      </c>
    </row>
    <row r="345" customFormat="false" ht="48" hidden="false" customHeight="true" outlineLevel="0" collapsed="false">
      <c r="A345" s="99"/>
      <c r="B345" s="100" t="n">
        <v>46202</v>
      </c>
      <c r="C345" s="100" t="n">
        <v>46208</v>
      </c>
      <c r="D345" s="99" t="s">
        <v>640</v>
      </c>
      <c r="E345" s="99" t="n">
        <v>1</v>
      </c>
      <c r="F345" s="101" t="n">
        <v>40</v>
      </c>
      <c r="G345" s="102" t="n">
        <f aca="false">IFERROR(F345/INDEX($G$5:$G$34,MATCH(LOOKUP(2,1/($A$39:A345&lt;&gt;""),$A$39:A345),$A$5:$A$34,0)),0)</f>
        <v>1</v>
      </c>
      <c r="H345" s="103" t="str">
        <f aca="false">IF(G345=0,"空闲",IF(G345&lt;=0.6,"低负荷",IF(G345&lt;=0.85,"正常",IF(G345&lt;=1,"满负荷","超负荷"))))</f>
        <v>满负荷</v>
      </c>
      <c r="I345" s="106" t="s">
        <v>684</v>
      </c>
      <c r="J345" s="106"/>
      <c r="K345" s="106"/>
      <c r="L345" s="105" t="s">
        <v>642</v>
      </c>
    </row>
    <row r="346" customFormat="false" ht="48" hidden="false" customHeight="true" outlineLevel="0" collapsed="false">
      <c r="A346" s="99"/>
      <c r="B346" s="100" t="n">
        <v>46209</v>
      </c>
      <c r="C346" s="100" t="n">
        <v>46215</v>
      </c>
      <c r="D346" s="99" t="s">
        <v>640</v>
      </c>
      <c r="E346" s="99" t="n">
        <v>1</v>
      </c>
      <c r="F346" s="101" t="n">
        <v>40</v>
      </c>
      <c r="G346" s="102" t="n">
        <f aca="false">IFERROR(F346/INDEX($G$5:$G$34,MATCH(LOOKUP(2,1/($A$39:A346&lt;&gt;""),$A$39:A346),$A$5:$A$34,0)),0)</f>
        <v>1</v>
      </c>
      <c r="H346" s="103" t="str">
        <f aca="false">IF(G346=0,"空闲",IF(G346&lt;=0.6,"低负荷",IF(G346&lt;=0.85,"正常",IF(G346&lt;=1,"满负荷","超负荷"))))</f>
        <v>满负荷</v>
      </c>
      <c r="I346" s="106" t="s">
        <v>684</v>
      </c>
      <c r="J346" s="106"/>
      <c r="K346" s="106"/>
      <c r="L346" s="105" t="s">
        <v>642</v>
      </c>
    </row>
    <row r="347" customFormat="false" ht="48" hidden="false" customHeight="true" outlineLevel="0" collapsed="false">
      <c r="A347" s="99"/>
      <c r="B347" s="100" t="n">
        <v>46216</v>
      </c>
      <c r="C347" s="100" t="n">
        <v>46222</v>
      </c>
      <c r="D347" s="99" t="s">
        <v>640</v>
      </c>
      <c r="E347" s="99" t="n">
        <v>1</v>
      </c>
      <c r="F347" s="101" t="n">
        <v>40</v>
      </c>
      <c r="G347" s="102" t="n">
        <f aca="false">IFERROR(F347/INDEX($G$5:$G$34,MATCH(LOOKUP(2,1/($A$39:A347&lt;&gt;""),$A$39:A347),$A$5:$A$34,0)),0)</f>
        <v>1</v>
      </c>
      <c r="H347" s="103" t="str">
        <f aca="false">IF(G347=0,"空闲",IF(G347&lt;=0.6,"低负荷",IF(G347&lt;=0.85,"正常",IF(G347&lt;=1,"满负荷","超负荷"))))</f>
        <v>满负荷</v>
      </c>
      <c r="I347" s="106" t="s">
        <v>684</v>
      </c>
      <c r="J347" s="106"/>
      <c r="K347" s="106"/>
      <c r="L347" s="105" t="s">
        <v>642</v>
      </c>
    </row>
    <row r="348" customFormat="false" ht="48" hidden="false" customHeight="true" outlineLevel="0" collapsed="false">
      <c r="A348" s="99"/>
      <c r="B348" s="100" t="n">
        <v>46223</v>
      </c>
      <c r="C348" s="100" t="n">
        <v>46229</v>
      </c>
      <c r="D348" s="99" t="s">
        <v>638</v>
      </c>
      <c r="E348" s="99" t="n">
        <v>0</v>
      </c>
      <c r="F348" s="101" t="n">
        <v>0</v>
      </c>
      <c r="G348" s="102" t="n">
        <f aca="false">IFERROR(F348/INDEX($G$5:$G$34,MATCH(LOOKUP(2,1/($A$39:A348&lt;&gt;""),$A$39:A348),$A$5:$A$34,0)),0)</f>
        <v>0</v>
      </c>
      <c r="H348" s="103" t="str">
        <f aca="false">IF(G348=0,"空闲",IF(G348&lt;=0.6,"低负荷",IF(G348&lt;=0.85,"正常",IF(G348&lt;=1,"满负荷","超负荷"))))</f>
        <v>空闲</v>
      </c>
      <c r="I348" s="104" t="s">
        <v>638</v>
      </c>
      <c r="J348" s="104"/>
      <c r="K348" s="104"/>
      <c r="L348" s="105" t="s">
        <v>639</v>
      </c>
    </row>
    <row r="349" customFormat="false" ht="48" hidden="false" customHeight="true" outlineLevel="0" collapsed="false">
      <c r="A349" s="99"/>
      <c r="B349" s="100" t="n">
        <v>46230</v>
      </c>
      <c r="C349" s="100" t="n">
        <v>46236</v>
      </c>
      <c r="D349" s="99" t="s">
        <v>638</v>
      </c>
      <c r="E349" s="99" t="n">
        <v>0</v>
      </c>
      <c r="F349" s="101" t="n">
        <v>0</v>
      </c>
      <c r="G349" s="102" t="n">
        <f aca="false">IFERROR(F349/INDEX($G$5:$G$34,MATCH(LOOKUP(2,1/($A$39:A349&lt;&gt;""),$A$39:A349),$A$5:$A$34,0)),0)</f>
        <v>0</v>
      </c>
      <c r="H349" s="103" t="str">
        <f aca="false">IF(G349=0,"空闲",IF(G349&lt;=0.6,"低负荷",IF(G349&lt;=0.85,"正常",IF(G349&lt;=1,"满负荷","超负荷"))))</f>
        <v>空闲</v>
      </c>
      <c r="I349" s="104" t="s">
        <v>638</v>
      </c>
      <c r="J349" s="104"/>
      <c r="K349" s="104"/>
      <c r="L349" s="105" t="s">
        <v>639</v>
      </c>
    </row>
    <row r="350" customFormat="false" ht="48" hidden="false" customHeight="true" outlineLevel="0" collapsed="false">
      <c r="A350" s="99"/>
      <c r="B350" s="100" t="n">
        <v>46237</v>
      </c>
      <c r="C350" s="100" t="n">
        <v>46243</v>
      </c>
      <c r="D350" s="99" t="s">
        <v>638</v>
      </c>
      <c r="E350" s="99" t="n">
        <v>0</v>
      </c>
      <c r="F350" s="101" t="n">
        <v>0</v>
      </c>
      <c r="G350" s="102" t="n">
        <f aca="false">IFERROR(F350/INDEX($G$5:$G$34,MATCH(LOOKUP(2,1/($A$39:A350&lt;&gt;""),$A$39:A350),$A$5:$A$34,0)),0)</f>
        <v>0</v>
      </c>
      <c r="H350" s="103" t="str">
        <f aca="false">IF(G350=0,"空闲",IF(G350&lt;=0.6,"低负荷",IF(G350&lt;=0.85,"正常",IF(G350&lt;=1,"满负荷","超负荷"))))</f>
        <v>空闲</v>
      </c>
      <c r="I350" s="104" t="s">
        <v>638</v>
      </c>
      <c r="J350" s="104"/>
      <c r="K350" s="104"/>
      <c r="L350" s="105" t="s">
        <v>639</v>
      </c>
    </row>
    <row r="351" customFormat="false" ht="48" hidden="false" customHeight="true" outlineLevel="0" collapsed="false">
      <c r="A351" s="99"/>
      <c r="B351" s="100" t="n">
        <v>46244</v>
      </c>
      <c r="C351" s="100" t="n">
        <v>46250</v>
      </c>
      <c r="D351" s="99" t="s">
        <v>640</v>
      </c>
      <c r="E351" s="99" t="n">
        <v>2</v>
      </c>
      <c r="F351" s="101" t="n">
        <v>40</v>
      </c>
      <c r="G351" s="102" t="n">
        <f aca="false">IFERROR(F351/INDEX($G$5:$G$34,MATCH(LOOKUP(2,1/($A$39:A351&lt;&gt;""),$A$39:A351),$A$5:$A$34,0)),0)</f>
        <v>1</v>
      </c>
      <c r="H351" s="103" t="str">
        <f aca="false">IF(G351=0,"空闲",IF(G351&lt;=0.6,"低负荷",IF(G351&lt;=0.85,"正常",IF(G351&lt;=1,"满负荷","超负荷"))))</f>
        <v>满负荷</v>
      </c>
      <c r="I351" s="106" t="s">
        <v>685</v>
      </c>
      <c r="J351" s="106"/>
      <c r="K351" s="106"/>
      <c r="L351" s="105" t="s">
        <v>652</v>
      </c>
    </row>
    <row r="352" customFormat="false" ht="48" hidden="false" customHeight="true" outlineLevel="0" collapsed="false">
      <c r="A352" s="99"/>
      <c r="B352" s="100" t="n">
        <v>46251</v>
      </c>
      <c r="C352" s="100" t="n">
        <v>46257</v>
      </c>
      <c r="D352" s="99" t="s">
        <v>640</v>
      </c>
      <c r="E352" s="99" t="n">
        <v>2</v>
      </c>
      <c r="F352" s="101" t="n">
        <v>40</v>
      </c>
      <c r="G352" s="102" t="n">
        <f aca="false">IFERROR(F352/INDEX($G$5:$G$34,MATCH(LOOKUP(2,1/($A$39:A352&lt;&gt;""),$A$39:A352),$A$5:$A$34,0)),0)</f>
        <v>1</v>
      </c>
      <c r="H352" s="103" t="str">
        <f aca="false">IF(G352=0,"空闲",IF(G352&lt;=0.6,"低负荷",IF(G352&lt;=0.85,"正常",IF(G352&lt;=1,"满负荷","超负荷"))))</f>
        <v>满负荷</v>
      </c>
      <c r="I352" s="106" t="s">
        <v>685</v>
      </c>
      <c r="J352" s="106"/>
      <c r="K352" s="106"/>
      <c r="L352" s="105" t="s">
        <v>652</v>
      </c>
    </row>
    <row r="353" customFormat="false" ht="48" hidden="false" customHeight="true" outlineLevel="0" collapsed="false">
      <c r="A353" s="99"/>
      <c r="B353" s="100" t="n">
        <v>46258</v>
      </c>
      <c r="C353" s="100" t="n">
        <v>46264</v>
      </c>
      <c r="D353" s="99" t="s">
        <v>640</v>
      </c>
      <c r="E353" s="99" t="n">
        <v>1</v>
      </c>
      <c r="F353" s="101" t="n">
        <v>40</v>
      </c>
      <c r="G353" s="102" t="n">
        <f aca="false">IFERROR(F353/INDEX($G$5:$G$34,MATCH(LOOKUP(2,1/($A$39:A353&lt;&gt;""),$A$39:A353),$A$5:$A$34,0)),0)</f>
        <v>1</v>
      </c>
      <c r="H353" s="103" t="str">
        <f aca="false">IF(G353=0,"空闲",IF(G353&lt;=0.6,"低负荷",IF(G353&lt;=0.85,"正常",IF(G353&lt;=1,"满负荷","超负荷"))))</f>
        <v>满负荷</v>
      </c>
      <c r="I353" s="106" t="s">
        <v>686</v>
      </c>
      <c r="J353" s="106"/>
      <c r="K353" s="106"/>
      <c r="L353" s="105" t="s">
        <v>642</v>
      </c>
    </row>
    <row r="354" customFormat="false" ht="48" hidden="false" customHeight="true" outlineLevel="0" collapsed="false">
      <c r="A354" s="99"/>
      <c r="B354" s="100" t="n">
        <v>46265</v>
      </c>
      <c r="C354" s="100" t="n">
        <v>46271</v>
      </c>
      <c r="D354" s="99" t="s">
        <v>638</v>
      </c>
      <c r="E354" s="99" t="n">
        <v>0</v>
      </c>
      <c r="F354" s="101" t="n">
        <v>0</v>
      </c>
      <c r="G354" s="102" t="n">
        <f aca="false">IFERROR(F354/INDEX($G$5:$G$34,MATCH(LOOKUP(2,1/($A$39:A354&lt;&gt;""),$A$39:A354),$A$5:$A$34,0)),0)</f>
        <v>0</v>
      </c>
      <c r="H354" s="103" t="str">
        <f aca="false">IF(G354=0,"空闲",IF(G354&lt;=0.6,"低负荷",IF(G354&lt;=0.85,"正常",IF(G354&lt;=1,"满负荷","超负荷"))))</f>
        <v>空闲</v>
      </c>
      <c r="I354" s="104" t="s">
        <v>638</v>
      </c>
      <c r="J354" s="104"/>
      <c r="K354" s="104"/>
      <c r="L354" s="105" t="s">
        <v>639</v>
      </c>
    </row>
    <row r="355" customFormat="false" ht="48" hidden="false" customHeight="true" outlineLevel="0" collapsed="false">
      <c r="A355" s="99"/>
      <c r="B355" s="100" t="n">
        <v>46272</v>
      </c>
      <c r="C355" s="100" t="n">
        <v>46278</v>
      </c>
      <c r="D355" s="99" t="s">
        <v>638</v>
      </c>
      <c r="E355" s="99" t="n">
        <v>0</v>
      </c>
      <c r="F355" s="101" t="n">
        <v>0</v>
      </c>
      <c r="G355" s="102" t="n">
        <f aca="false">IFERROR(F355/INDEX($G$5:$G$34,MATCH(LOOKUP(2,1/($A$39:A355&lt;&gt;""),$A$39:A355),$A$5:$A$34,0)),0)</f>
        <v>0</v>
      </c>
      <c r="H355" s="103" t="str">
        <f aca="false">IF(G355=0,"空闲",IF(G355&lt;=0.6,"低负荷",IF(G355&lt;=0.85,"正常",IF(G355&lt;=1,"满负荷","超负荷"))))</f>
        <v>空闲</v>
      </c>
      <c r="I355" s="104" t="s">
        <v>638</v>
      </c>
      <c r="J355" s="104"/>
      <c r="K355" s="104"/>
      <c r="L355" s="105" t="s">
        <v>639</v>
      </c>
    </row>
    <row r="356" customFormat="false" ht="48" hidden="false" customHeight="true" outlineLevel="0" collapsed="false">
      <c r="A356" s="99"/>
      <c r="B356" s="100" t="n">
        <v>46279</v>
      </c>
      <c r="C356" s="100" t="n">
        <v>46285</v>
      </c>
      <c r="D356" s="99" t="s">
        <v>638</v>
      </c>
      <c r="E356" s="99" t="n">
        <v>0</v>
      </c>
      <c r="F356" s="101" t="n">
        <v>0</v>
      </c>
      <c r="G356" s="102" t="n">
        <f aca="false">IFERROR(F356/INDEX($G$5:$G$34,MATCH(LOOKUP(2,1/($A$39:A356&lt;&gt;""),$A$39:A356),$A$5:$A$34,0)),0)</f>
        <v>0</v>
      </c>
      <c r="H356" s="103" t="str">
        <f aca="false">IF(G356=0,"空闲",IF(G356&lt;=0.6,"低负荷",IF(G356&lt;=0.85,"正常",IF(G356&lt;=1,"满负荷","超负荷"))))</f>
        <v>空闲</v>
      </c>
      <c r="I356" s="104" t="s">
        <v>638</v>
      </c>
      <c r="J356" s="104"/>
      <c r="K356" s="104"/>
      <c r="L356" s="105" t="s">
        <v>639</v>
      </c>
    </row>
    <row r="357" customFormat="false" ht="48" hidden="false" customHeight="true" outlineLevel="0" collapsed="false">
      <c r="A357" s="99"/>
      <c r="B357" s="100" t="n">
        <v>46286</v>
      </c>
      <c r="C357" s="100" t="n">
        <v>46292</v>
      </c>
      <c r="D357" s="99" t="s">
        <v>638</v>
      </c>
      <c r="E357" s="99" t="n">
        <v>0</v>
      </c>
      <c r="F357" s="101" t="n">
        <v>0</v>
      </c>
      <c r="G357" s="102" t="n">
        <f aca="false">IFERROR(F357/INDEX($G$5:$G$34,MATCH(LOOKUP(2,1/($A$39:A357&lt;&gt;""),$A$39:A357),$A$5:$A$34,0)),0)</f>
        <v>0</v>
      </c>
      <c r="H357" s="103" t="str">
        <f aca="false">IF(G357=0,"空闲",IF(G357&lt;=0.6,"低负荷",IF(G357&lt;=0.85,"正常",IF(G357&lt;=1,"满负荷","超负荷"))))</f>
        <v>空闲</v>
      </c>
      <c r="I357" s="104" t="s">
        <v>638</v>
      </c>
      <c r="J357" s="104"/>
      <c r="K357" s="104"/>
      <c r="L357" s="105" t="s">
        <v>639</v>
      </c>
    </row>
    <row r="358" customFormat="false" ht="48" hidden="false" customHeight="true" outlineLevel="0" collapsed="false">
      <c r="A358" s="99"/>
      <c r="B358" s="100" t="n">
        <v>46293</v>
      </c>
      <c r="C358" s="100" t="n">
        <v>46299</v>
      </c>
      <c r="D358" s="99" t="s">
        <v>638</v>
      </c>
      <c r="E358" s="99" t="n">
        <v>0</v>
      </c>
      <c r="F358" s="101" t="n">
        <v>0</v>
      </c>
      <c r="G358" s="102" t="n">
        <f aca="false">IFERROR(F358/INDEX($G$5:$G$34,MATCH(LOOKUP(2,1/($A$39:A358&lt;&gt;""),$A$39:A358),$A$5:$A$34,0)),0)</f>
        <v>0</v>
      </c>
      <c r="H358" s="103" t="str">
        <f aca="false">IF(G358=0,"空闲",IF(G358&lt;=0.6,"低负荷",IF(G358&lt;=0.85,"正常",IF(G358&lt;=1,"满负荷","超负荷"))))</f>
        <v>空闲</v>
      </c>
      <c r="I358" s="104" t="s">
        <v>638</v>
      </c>
      <c r="J358" s="104"/>
      <c r="K358" s="104"/>
      <c r="L358" s="105" t="s">
        <v>639</v>
      </c>
    </row>
    <row r="359" customFormat="false" ht="48" hidden="false" customHeight="true" outlineLevel="0" collapsed="false">
      <c r="A359" s="99"/>
      <c r="B359" s="100" t="n">
        <v>46300</v>
      </c>
      <c r="C359" s="100" t="n">
        <v>46306</v>
      </c>
      <c r="D359" s="99" t="s">
        <v>638</v>
      </c>
      <c r="E359" s="99" t="n">
        <v>0</v>
      </c>
      <c r="F359" s="101" t="n">
        <v>0</v>
      </c>
      <c r="G359" s="102" t="n">
        <f aca="false">IFERROR(F359/INDEX($G$5:$G$34,MATCH(LOOKUP(2,1/($A$39:A359&lt;&gt;""),$A$39:A359),$A$5:$A$34,0)),0)</f>
        <v>0</v>
      </c>
      <c r="H359" s="103" t="str">
        <f aca="false">IF(G359=0,"空闲",IF(G359&lt;=0.6,"低负荷",IF(G359&lt;=0.85,"正常",IF(G359&lt;=1,"满负荷","超负荷"))))</f>
        <v>空闲</v>
      </c>
      <c r="I359" s="104" t="s">
        <v>638</v>
      </c>
      <c r="J359" s="104"/>
      <c r="K359" s="104"/>
      <c r="L359" s="105" t="s">
        <v>639</v>
      </c>
    </row>
    <row r="360" customFormat="false" ht="48" hidden="false" customHeight="true" outlineLevel="0" collapsed="false">
      <c r="A360" s="99"/>
      <c r="B360" s="100" t="n">
        <v>46307</v>
      </c>
      <c r="C360" s="100" t="n">
        <v>46313</v>
      </c>
      <c r="D360" s="99" t="s">
        <v>638</v>
      </c>
      <c r="E360" s="99" t="n">
        <v>0</v>
      </c>
      <c r="F360" s="101" t="n">
        <v>0</v>
      </c>
      <c r="G360" s="102" t="n">
        <f aca="false">IFERROR(F360/INDEX($G$5:$G$34,MATCH(LOOKUP(2,1/($A$39:A360&lt;&gt;""),$A$39:A360),$A$5:$A$34,0)),0)</f>
        <v>0</v>
      </c>
      <c r="H360" s="103" t="str">
        <f aca="false">IF(G360=0,"空闲",IF(G360&lt;=0.6,"低负荷",IF(G360&lt;=0.85,"正常",IF(G360&lt;=1,"满负荷","超负荷"))))</f>
        <v>空闲</v>
      </c>
      <c r="I360" s="104" t="s">
        <v>638</v>
      </c>
      <c r="J360" s="104"/>
      <c r="K360" s="104"/>
      <c r="L360" s="105" t="s">
        <v>639</v>
      </c>
    </row>
    <row r="361" customFormat="false" ht="48" hidden="false" customHeight="true" outlineLevel="0" collapsed="false">
      <c r="A361" s="99"/>
      <c r="B361" s="100" t="n">
        <v>46314</v>
      </c>
      <c r="C361" s="100" t="n">
        <v>46320</v>
      </c>
      <c r="D361" s="99" t="s">
        <v>638</v>
      </c>
      <c r="E361" s="99" t="n">
        <v>0</v>
      </c>
      <c r="F361" s="101" t="n">
        <v>0</v>
      </c>
      <c r="G361" s="102" t="n">
        <f aca="false">IFERROR(F361/INDEX($G$5:$G$34,MATCH(LOOKUP(2,1/($A$39:A361&lt;&gt;""),$A$39:A361),$A$5:$A$34,0)),0)</f>
        <v>0</v>
      </c>
      <c r="H361" s="103" t="str">
        <f aca="false">IF(G361=0,"空闲",IF(G361&lt;=0.6,"低负荷",IF(G361&lt;=0.85,"正常",IF(G361&lt;=1,"满负荷","超负荷"))))</f>
        <v>空闲</v>
      </c>
      <c r="I361" s="104" t="s">
        <v>638</v>
      </c>
      <c r="J361" s="104"/>
      <c r="K361" s="104"/>
      <c r="L361" s="105" t="s">
        <v>639</v>
      </c>
    </row>
    <row r="362" customFormat="false" ht="48" hidden="false" customHeight="true" outlineLevel="0" collapsed="false">
      <c r="A362" s="99"/>
      <c r="B362" s="100" t="n">
        <v>46321</v>
      </c>
      <c r="C362" s="100" t="n">
        <v>46327</v>
      </c>
      <c r="D362" s="99" t="s">
        <v>638</v>
      </c>
      <c r="E362" s="99" t="n">
        <v>0</v>
      </c>
      <c r="F362" s="101" t="n">
        <v>0</v>
      </c>
      <c r="G362" s="102" t="n">
        <f aca="false">IFERROR(F362/INDEX($G$5:$G$34,MATCH(LOOKUP(2,1/($A$39:A362&lt;&gt;""),$A$39:A362),$A$5:$A$34,0)),0)</f>
        <v>0</v>
      </c>
      <c r="H362" s="103" t="str">
        <f aca="false">IF(G362=0,"空闲",IF(G362&lt;=0.6,"低负荷",IF(G362&lt;=0.85,"正常",IF(G362&lt;=1,"满负荷","超负荷"))))</f>
        <v>空闲</v>
      </c>
      <c r="I362" s="104" t="s">
        <v>638</v>
      </c>
      <c r="J362" s="104"/>
      <c r="K362" s="104"/>
      <c r="L362" s="105" t="s">
        <v>639</v>
      </c>
    </row>
    <row r="363" customFormat="false" ht="48" hidden="false" customHeight="true" outlineLevel="0" collapsed="false">
      <c r="A363" s="99"/>
      <c r="B363" s="100" t="n">
        <v>46328</v>
      </c>
      <c r="C363" s="100" t="n">
        <v>46334</v>
      </c>
      <c r="D363" s="99" t="s">
        <v>638</v>
      </c>
      <c r="E363" s="99" t="n">
        <v>0</v>
      </c>
      <c r="F363" s="101" t="n">
        <v>0</v>
      </c>
      <c r="G363" s="102" t="n">
        <f aca="false">IFERROR(F363/INDEX($G$5:$G$34,MATCH(LOOKUP(2,1/($A$39:A363&lt;&gt;""),$A$39:A363),$A$5:$A$34,0)),0)</f>
        <v>0</v>
      </c>
      <c r="H363" s="103" t="str">
        <f aca="false">IF(G363=0,"空闲",IF(G363&lt;=0.6,"低负荷",IF(G363&lt;=0.85,"正常",IF(G363&lt;=1,"满负荷","超负荷"))))</f>
        <v>空闲</v>
      </c>
      <c r="I363" s="104" t="s">
        <v>638</v>
      </c>
      <c r="J363" s="104"/>
      <c r="K363" s="104"/>
      <c r="L363" s="105" t="s">
        <v>639</v>
      </c>
    </row>
    <row r="364" customFormat="false" ht="48" hidden="false" customHeight="true" outlineLevel="0" collapsed="false">
      <c r="A364" s="99"/>
      <c r="B364" s="100" t="n">
        <v>46335</v>
      </c>
      <c r="C364" s="100" t="n">
        <v>46341</v>
      </c>
      <c r="D364" s="99" t="s">
        <v>640</v>
      </c>
      <c r="E364" s="99" t="n">
        <v>9</v>
      </c>
      <c r="F364" s="101" t="n">
        <v>40</v>
      </c>
      <c r="G364" s="102" t="n">
        <f aca="false">IFERROR(F364/INDEX($G$5:$G$34,MATCH(LOOKUP(2,1/($A$39:A364&lt;&gt;""),$A$39:A364),$A$5:$A$34,0)),0)</f>
        <v>1</v>
      </c>
      <c r="H364" s="103" t="str">
        <f aca="false">IF(G364=0,"空闲",IF(G364&lt;=0.6,"低负荷",IF(G364&lt;=0.85,"正常",IF(G364&lt;=1,"满负荷","超负荷"))))</f>
        <v>满负荷</v>
      </c>
      <c r="I364" s="106" t="s">
        <v>687</v>
      </c>
      <c r="J364" s="106"/>
      <c r="K364" s="106"/>
      <c r="L364" s="105" t="s">
        <v>688</v>
      </c>
    </row>
    <row r="365" customFormat="false" ht="48" hidden="false" customHeight="true" outlineLevel="0" collapsed="false">
      <c r="A365" s="99"/>
      <c r="B365" s="100" t="n">
        <v>46342</v>
      </c>
      <c r="C365" s="100" t="n">
        <v>46348</v>
      </c>
      <c r="D365" s="99" t="s">
        <v>640</v>
      </c>
      <c r="E365" s="99" t="n">
        <v>9</v>
      </c>
      <c r="F365" s="101" t="n">
        <v>40</v>
      </c>
      <c r="G365" s="102" t="n">
        <f aca="false">IFERROR(F365/INDEX($G$5:$G$34,MATCH(LOOKUP(2,1/($A$39:A365&lt;&gt;""),$A$39:A365),$A$5:$A$34,0)),0)</f>
        <v>1</v>
      </c>
      <c r="H365" s="103" t="str">
        <f aca="false">IF(G365=0,"空闲",IF(G365&lt;=0.6,"低负荷",IF(G365&lt;=0.85,"正常",IF(G365&lt;=1,"满负荷","超负荷"))))</f>
        <v>满负荷</v>
      </c>
      <c r="I365" s="106" t="s">
        <v>687</v>
      </c>
      <c r="J365" s="106"/>
      <c r="K365" s="106"/>
      <c r="L365" s="105" t="s">
        <v>688</v>
      </c>
    </row>
    <row r="366" customFormat="false" ht="48" hidden="false" customHeight="true" outlineLevel="0" collapsed="false">
      <c r="A366" s="99"/>
      <c r="B366" s="100" t="n">
        <v>46349</v>
      </c>
      <c r="C366" s="100" t="n">
        <v>46355</v>
      </c>
      <c r="D366" s="99" t="s">
        <v>640</v>
      </c>
      <c r="E366" s="99" t="n">
        <v>8</v>
      </c>
      <c r="F366" s="101" t="n">
        <v>40</v>
      </c>
      <c r="G366" s="102" t="n">
        <f aca="false">IFERROR(F366/INDEX($G$5:$G$34,MATCH(LOOKUP(2,1/($A$39:A366&lt;&gt;""),$A$39:A366),$A$5:$A$34,0)),0)</f>
        <v>1</v>
      </c>
      <c r="H366" s="103" t="str">
        <f aca="false">IF(G366=0,"空闲",IF(G366&lt;=0.6,"低负荷",IF(G366&lt;=0.85,"正常",IF(G366&lt;=1,"满负荷","超负荷"))))</f>
        <v>满负荷</v>
      </c>
      <c r="I366" s="106" t="s">
        <v>689</v>
      </c>
      <c r="J366" s="106"/>
      <c r="K366" s="106"/>
      <c r="L366" s="105" t="s">
        <v>674</v>
      </c>
    </row>
    <row r="367" customFormat="false" ht="48" hidden="false" customHeight="true" outlineLevel="0" collapsed="false">
      <c r="A367" s="99"/>
      <c r="B367" s="100" t="n">
        <v>46356</v>
      </c>
      <c r="C367" s="100" t="n">
        <v>46362</v>
      </c>
      <c r="D367" s="99" t="s">
        <v>640</v>
      </c>
      <c r="E367" s="99" t="n">
        <v>6</v>
      </c>
      <c r="F367" s="101" t="n">
        <v>40</v>
      </c>
      <c r="G367" s="102" t="n">
        <f aca="false">IFERROR(F367/INDEX($G$5:$G$34,MATCH(LOOKUP(2,1/($A$39:A367&lt;&gt;""),$A$39:A367),$A$5:$A$34,0)),0)</f>
        <v>1</v>
      </c>
      <c r="H367" s="103" t="str">
        <f aca="false">IF(G367=0,"空闲",IF(G367&lt;=0.6,"低负荷",IF(G367&lt;=0.85,"正常",IF(G367&lt;=1,"满负荷","超负荷"))))</f>
        <v>满负荷</v>
      </c>
      <c r="I367" s="106" t="s">
        <v>675</v>
      </c>
      <c r="J367" s="106"/>
      <c r="K367" s="106"/>
      <c r="L367" s="105" t="s">
        <v>676</v>
      </c>
    </row>
    <row r="368" customFormat="false" ht="48" hidden="false" customHeight="true" outlineLevel="0" collapsed="false">
      <c r="A368" s="99"/>
      <c r="B368" s="100" t="n">
        <v>46363</v>
      </c>
      <c r="C368" s="100" t="n">
        <v>46369</v>
      </c>
      <c r="D368" s="99" t="s">
        <v>640</v>
      </c>
      <c r="E368" s="99" t="n">
        <v>6</v>
      </c>
      <c r="F368" s="101" t="n">
        <v>40</v>
      </c>
      <c r="G368" s="102" t="n">
        <f aca="false">IFERROR(F368/INDEX($G$5:$G$34,MATCH(LOOKUP(2,1/($A$39:A368&lt;&gt;""),$A$39:A368),$A$5:$A$34,0)),0)</f>
        <v>1</v>
      </c>
      <c r="H368" s="103" t="str">
        <f aca="false">IF(G368=0,"空闲",IF(G368&lt;=0.6,"低负荷",IF(G368&lt;=0.85,"正常",IF(G368&lt;=1,"满负荷","超负荷"))))</f>
        <v>满负荷</v>
      </c>
      <c r="I368" s="106" t="s">
        <v>675</v>
      </c>
      <c r="J368" s="106"/>
      <c r="K368" s="106"/>
      <c r="L368" s="105" t="s">
        <v>676</v>
      </c>
    </row>
    <row r="369" customFormat="false" ht="48" hidden="false" customHeight="true" outlineLevel="0" collapsed="false">
      <c r="A369" s="99"/>
      <c r="B369" s="100" t="n">
        <v>46370</v>
      </c>
      <c r="C369" s="100" t="n">
        <v>46376</v>
      </c>
      <c r="D369" s="99" t="s">
        <v>640</v>
      </c>
      <c r="E369" s="99" t="n">
        <v>2</v>
      </c>
      <c r="F369" s="101" t="n">
        <v>40</v>
      </c>
      <c r="G369" s="102" t="n">
        <f aca="false">IFERROR(F369/INDEX($G$5:$G$34,MATCH(LOOKUP(2,1/($A$39:A369&lt;&gt;""),$A$39:A369),$A$5:$A$34,0)),0)</f>
        <v>1</v>
      </c>
      <c r="H369" s="103" t="str">
        <f aca="false">IF(G369=0,"空闲",IF(G369&lt;=0.6,"低负荷",IF(G369&lt;=0.85,"正常",IF(G369&lt;=1,"满负荷","超负荷"))))</f>
        <v>满负荷</v>
      </c>
      <c r="I369" s="106" t="s">
        <v>690</v>
      </c>
      <c r="J369" s="106"/>
      <c r="K369" s="106"/>
      <c r="L369" s="105" t="s">
        <v>652</v>
      </c>
    </row>
    <row r="370" customFormat="false" ht="48" hidden="false" customHeight="true" outlineLevel="0" collapsed="false">
      <c r="A370" s="99"/>
      <c r="B370" s="100" t="n">
        <v>46377</v>
      </c>
      <c r="C370" s="100" t="n">
        <v>46383</v>
      </c>
      <c r="D370" s="99" t="s">
        <v>640</v>
      </c>
      <c r="E370" s="99" t="n">
        <v>1</v>
      </c>
      <c r="F370" s="101" t="n">
        <v>40</v>
      </c>
      <c r="G370" s="102" t="n">
        <f aca="false">IFERROR(F370/INDEX($G$5:$G$34,MATCH(LOOKUP(2,1/($A$39:A370&lt;&gt;""),$A$39:A370),$A$5:$A$34,0)),0)</f>
        <v>1</v>
      </c>
      <c r="H370" s="103" t="str">
        <f aca="false">IF(G370=0,"空闲",IF(G370&lt;=0.6,"低负荷",IF(G370&lt;=0.85,"正常",IF(G370&lt;=1,"满负荷","超负荷"))))</f>
        <v>满负荷</v>
      </c>
      <c r="I370" s="106" t="s">
        <v>691</v>
      </c>
      <c r="J370" s="106"/>
      <c r="K370" s="106"/>
      <c r="L370" s="105" t="s">
        <v>642</v>
      </c>
    </row>
    <row r="371" customFormat="false" ht="48" hidden="false" customHeight="true" outlineLevel="0" collapsed="false">
      <c r="A371" s="99"/>
      <c r="B371" s="100" t="n">
        <v>46384</v>
      </c>
      <c r="C371" s="100" t="n">
        <v>46390</v>
      </c>
      <c r="D371" s="99" t="s">
        <v>640</v>
      </c>
      <c r="E371" s="99" t="n">
        <v>1</v>
      </c>
      <c r="F371" s="101" t="n">
        <v>40</v>
      </c>
      <c r="G371" s="102" t="n">
        <f aca="false">IFERROR(F371/INDEX($G$5:$G$34,MATCH(LOOKUP(2,1/($A$39:A371&lt;&gt;""),$A$39:A371),$A$5:$A$34,0)),0)</f>
        <v>1</v>
      </c>
      <c r="H371" s="103" t="str">
        <f aca="false">IF(G371=0,"空闲",IF(G371&lt;=0.6,"低负荷",IF(G371&lt;=0.85,"正常",IF(G371&lt;=1,"满负荷","超负荷"))))</f>
        <v>满负荷</v>
      </c>
      <c r="I371" s="106" t="s">
        <v>691</v>
      </c>
      <c r="J371" s="106"/>
      <c r="K371" s="106"/>
      <c r="L371" s="105" t="s">
        <v>642</v>
      </c>
    </row>
    <row r="372" customFormat="false" ht="48" hidden="false" customHeight="true" outlineLevel="0" collapsed="false">
      <c r="A372" s="99"/>
      <c r="B372" s="100" t="n">
        <v>46391</v>
      </c>
      <c r="C372" s="100" t="n">
        <v>46397</v>
      </c>
      <c r="D372" s="99" t="s">
        <v>638</v>
      </c>
      <c r="E372" s="99" t="n">
        <v>0</v>
      </c>
      <c r="F372" s="101" t="n">
        <v>0</v>
      </c>
      <c r="G372" s="102" t="n">
        <f aca="false">IFERROR(F372/INDEX($G$5:$G$34,MATCH(LOOKUP(2,1/($A$39:A372&lt;&gt;""),$A$39:A372),$A$5:$A$34,0)),0)</f>
        <v>0</v>
      </c>
      <c r="H372" s="103" t="str">
        <f aca="false">IF(G372=0,"空闲",IF(G372&lt;=0.6,"低负荷",IF(G372&lt;=0.85,"正常",IF(G372&lt;=1,"满负荷","超负荷"))))</f>
        <v>空闲</v>
      </c>
      <c r="I372" s="104" t="s">
        <v>638</v>
      </c>
      <c r="J372" s="104"/>
      <c r="K372" s="104"/>
      <c r="L372" s="105" t="s">
        <v>639</v>
      </c>
    </row>
    <row r="373" customFormat="false" ht="48" hidden="false" customHeight="true" outlineLevel="0" collapsed="false">
      <c r="A373" s="99"/>
      <c r="B373" s="100" t="n">
        <v>46398</v>
      </c>
      <c r="C373" s="100" t="n">
        <v>46404</v>
      </c>
      <c r="D373" s="99" t="s">
        <v>638</v>
      </c>
      <c r="E373" s="99" t="n">
        <v>0</v>
      </c>
      <c r="F373" s="101" t="n">
        <v>0</v>
      </c>
      <c r="G373" s="102" t="n">
        <f aca="false">IFERROR(F373/INDEX($G$5:$G$34,MATCH(LOOKUP(2,1/($A$39:A373&lt;&gt;""),$A$39:A373),$A$5:$A$34,0)),0)</f>
        <v>0</v>
      </c>
      <c r="H373" s="103" t="str">
        <f aca="false">IF(G373=0,"空闲",IF(G373&lt;=0.6,"低负荷",IF(G373&lt;=0.85,"正常",IF(G373&lt;=1,"满负荷","超负荷"))))</f>
        <v>空闲</v>
      </c>
      <c r="I373" s="104" t="s">
        <v>638</v>
      </c>
      <c r="J373" s="104"/>
      <c r="K373" s="104"/>
      <c r="L373" s="105" t="s">
        <v>639</v>
      </c>
    </row>
    <row r="374" customFormat="false" ht="48" hidden="false" customHeight="true" outlineLevel="0" collapsed="false">
      <c r="A374" s="99"/>
      <c r="B374" s="100" t="n">
        <v>46405</v>
      </c>
      <c r="C374" s="100" t="n">
        <v>46411</v>
      </c>
      <c r="D374" s="99" t="s">
        <v>638</v>
      </c>
      <c r="E374" s="99" t="n">
        <v>0</v>
      </c>
      <c r="F374" s="101" t="n">
        <v>0</v>
      </c>
      <c r="G374" s="102" t="n">
        <f aca="false">IFERROR(F374/INDEX($G$5:$G$34,MATCH(LOOKUP(2,1/($A$39:A374&lt;&gt;""),$A$39:A374),$A$5:$A$34,0)),0)</f>
        <v>0</v>
      </c>
      <c r="H374" s="103" t="str">
        <f aca="false">IF(G374=0,"空闲",IF(G374&lt;=0.6,"低负荷",IF(G374&lt;=0.85,"正常",IF(G374&lt;=1,"满负荷","超负荷"))))</f>
        <v>空闲</v>
      </c>
      <c r="I374" s="104" t="s">
        <v>638</v>
      </c>
      <c r="J374" s="104"/>
      <c r="K374" s="104"/>
      <c r="L374" s="105" t="s">
        <v>639</v>
      </c>
    </row>
    <row r="375" customFormat="false" ht="48" hidden="false" customHeight="true" outlineLevel="0" collapsed="false">
      <c r="A375" s="99"/>
      <c r="B375" s="100" t="n">
        <v>46412</v>
      </c>
      <c r="C375" s="100" t="n">
        <v>46418</v>
      </c>
      <c r="D375" s="99" t="s">
        <v>638</v>
      </c>
      <c r="E375" s="99" t="n">
        <v>0</v>
      </c>
      <c r="F375" s="101" t="n">
        <v>0</v>
      </c>
      <c r="G375" s="102" t="n">
        <f aca="false">IFERROR(F375/INDEX($G$5:$G$34,MATCH(LOOKUP(2,1/($A$39:A375&lt;&gt;""),$A$39:A375),$A$5:$A$34,0)),0)</f>
        <v>0</v>
      </c>
      <c r="H375" s="103" t="str">
        <f aca="false">IF(G375=0,"空闲",IF(G375&lt;=0.6,"低负荷",IF(G375&lt;=0.85,"正常",IF(G375&lt;=1,"满负荷","超负荷"))))</f>
        <v>空闲</v>
      </c>
      <c r="I375" s="104" t="s">
        <v>638</v>
      </c>
      <c r="J375" s="104"/>
      <c r="K375" s="104"/>
      <c r="L375" s="105" t="s">
        <v>639</v>
      </c>
    </row>
    <row r="376" customFormat="false" ht="48" hidden="false" customHeight="true" outlineLevel="0" collapsed="false">
      <c r="A376" s="99"/>
      <c r="B376" s="100" t="n">
        <v>46419</v>
      </c>
      <c r="C376" s="100" t="n">
        <v>46425</v>
      </c>
      <c r="D376" s="99" t="s">
        <v>638</v>
      </c>
      <c r="E376" s="99" t="n">
        <v>0</v>
      </c>
      <c r="F376" s="101" t="n">
        <v>0</v>
      </c>
      <c r="G376" s="102" t="n">
        <f aca="false">IFERROR(F376/INDEX($G$5:$G$34,MATCH(LOOKUP(2,1/($A$39:A376&lt;&gt;""),$A$39:A376),$A$5:$A$34,0)),0)</f>
        <v>0</v>
      </c>
      <c r="H376" s="103" t="str">
        <f aca="false">IF(G376=0,"空闲",IF(G376&lt;=0.6,"低负荷",IF(G376&lt;=0.85,"正常",IF(G376&lt;=1,"满负荷","超负荷"))))</f>
        <v>空闲</v>
      </c>
      <c r="I376" s="104" t="s">
        <v>638</v>
      </c>
      <c r="J376" s="104"/>
      <c r="K376" s="104"/>
      <c r="L376" s="105" t="s">
        <v>639</v>
      </c>
    </row>
    <row r="377" customFormat="false" ht="48" hidden="false" customHeight="true" outlineLevel="0" collapsed="false">
      <c r="A377" s="99"/>
      <c r="B377" s="100" t="n">
        <v>46426</v>
      </c>
      <c r="C377" s="100" t="n">
        <v>46432</v>
      </c>
      <c r="D377" s="99" t="s">
        <v>638</v>
      </c>
      <c r="E377" s="99" t="n">
        <v>0</v>
      </c>
      <c r="F377" s="101" t="n">
        <v>0</v>
      </c>
      <c r="G377" s="102" t="n">
        <f aca="false">IFERROR(F377/INDEX($G$5:$G$34,MATCH(LOOKUP(2,1/($A$39:A377&lt;&gt;""),$A$39:A377),$A$5:$A$34,0)),0)</f>
        <v>0</v>
      </c>
      <c r="H377" s="103" t="str">
        <f aca="false">IF(G377=0,"空闲",IF(G377&lt;=0.6,"低负荷",IF(G377&lt;=0.85,"正常",IF(G377&lt;=1,"满负荷","超负荷"))))</f>
        <v>空闲</v>
      </c>
      <c r="I377" s="104" t="s">
        <v>638</v>
      </c>
      <c r="J377" s="104"/>
      <c r="K377" s="104"/>
      <c r="L377" s="105" t="s">
        <v>639</v>
      </c>
    </row>
    <row r="378" customFormat="false" ht="48" hidden="false" customHeight="true" outlineLevel="0" collapsed="false">
      <c r="A378" s="99"/>
      <c r="B378" s="100" t="n">
        <v>46433</v>
      </c>
      <c r="C378" s="100" t="n">
        <v>46439</v>
      </c>
      <c r="D378" s="99" t="s">
        <v>640</v>
      </c>
      <c r="E378" s="99" t="n">
        <v>1</v>
      </c>
      <c r="F378" s="101" t="n">
        <v>40</v>
      </c>
      <c r="G378" s="102" t="n">
        <f aca="false">IFERROR(F378/INDEX($G$5:$G$34,MATCH(LOOKUP(2,1/($A$39:A378&lt;&gt;""),$A$39:A378),$A$5:$A$34,0)),0)</f>
        <v>1</v>
      </c>
      <c r="H378" s="103" t="str">
        <f aca="false">IF(G378=0,"空闲",IF(G378&lt;=0.6,"低负荷",IF(G378&lt;=0.85,"正常",IF(G378&lt;=1,"满负荷","超负荷"))))</f>
        <v>满负荷</v>
      </c>
      <c r="I378" s="106" t="s">
        <v>692</v>
      </c>
      <c r="J378" s="106"/>
      <c r="K378" s="106"/>
      <c r="L378" s="105" t="s">
        <v>642</v>
      </c>
    </row>
    <row r="379" customFormat="false" ht="48" hidden="false" customHeight="true" outlineLevel="0" collapsed="false">
      <c r="A379" s="99"/>
      <c r="B379" s="100" t="n">
        <v>46440</v>
      </c>
      <c r="C379" s="100" t="n">
        <v>46446</v>
      </c>
      <c r="D379" s="99" t="s">
        <v>638</v>
      </c>
      <c r="E379" s="99" t="n">
        <v>0</v>
      </c>
      <c r="F379" s="101" t="n">
        <v>0</v>
      </c>
      <c r="G379" s="102" t="n">
        <f aca="false">IFERROR(F379/INDEX($G$5:$G$34,MATCH(LOOKUP(2,1/($A$39:A379&lt;&gt;""),$A$39:A379),$A$5:$A$34,0)),0)</f>
        <v>0</v>
      </c>
      <c r="H379" s="103" t="str">
        <f aca="false">IF(G379=0,"空闲",IF(G379&lt;=0.6,"低负荷",IF(G379&lt;=0.85,"正常",IF(G379&lt;=1,"满负荷","超负荷"))))</f>
        <v>空闲</v>
      </c>
      <c r="I379" s="104" t="s">
        <v>638</v>
      </c>
      <c r="J379" s="104"/>
      <c r="K379" s="104"/>
      <c r="L379" s="105" t="s">
        <v>639</v>
      </c>
    </row>
    <row r="380" customFormat="false" ht="48" hidden="false" customHeight="true" outlineLevel="0" collapsed="false">
      <c r="A380" s="99"/>
      <c r="B380" s="100" t="n">
        <v>46447</v>
      </c>
      <c r="C380" s="100" t="n">
        <v>46453</v>
      </c>
      <c r="D380" s="99" t="s">
        <v>638</v>
      </c>
      <c r="E380" s="99" t="n">
        <v>0</v>
      </c>
      <c r="F380" s="101" t="n">
        <v>0</v>
      </c>
      <c r="G380" s="102" t="n">
        <f aca="false">IFERROR(F380/INDEX($G$5:$G$34,MATCH(LOOKUP(2,1/($A$39:A380&lt;&gt;""),$A$39:A380),$A$5:$A$34,0)),0)</f>
        <v>0</v>
      </c>
      <c r="H380" s="103" t="str">
        <f aca="false">IF(G380=0,"空闲",IF(G380&lt;=0.6,"低负荷",IF(G380&lt;=0.85,"正常",IF(G380&lt;=1,"满负荷","超负荷"))))</f>
        <v>空闲</v>
      </c>
      <c r="I380" s="104" t="s">
        <v>638</v>
      </c>
      <c r="J380" s="104"/>
      <c r="K380" s="104"/>
      <c r="L380" s="105" t="s">
        <v>639</v>
      </c>
    </row>
    <row r="381" customFormat="false" ht="48" hidden="false" customHeight="true" outlineLevel="0" collapsed="false">
      <c r="A381" s="99"/>
      <c r="B381" s="100" t="n">
        <v>46454</v>
      </c>
      <c r="C381" s="100" t="n">
        <v>46460</v>
      </c>
      <c r="D381" s="99" t="s">
        <v>638</v>
      </c>
      <c r="E381" s="99" t="n">
        <v>0</v>
      </c>
      <c r="F381" s="101" t="n">
        <v>0</v>
      </c>
      <c r="G381" s="102" t="n">
        <f aca="false">IFERROR(F381/INDEX($G$5:$G$34,MATCH(LOOKUP(2,1/($A$39:A381&lt;&gt;""),$A$39:A381),$A$5:$A$34,0)),0)</f>
        <v>0</v>
      </c>
      <c r="H381" s="103" t="str">
        <f aca="false">IF(G381=0,"空闲",IF(G381&lt;=0.6,"低负荷",IF(G381&lt;=0.85,"正常",IF(G381&lt;=1,"满负荷","超负荷"))))</f>
        <v>空闲</v>
      </c>
      <c r="I381" s="104" t="s">
        <v>638</v>
      </c>
      <c r="J381" s="104"/>
      <c r="K381" s="104"/>
      <c r="L381" s="105" t="s">
        <v>639</v>
      </c>
    </row>
    <row r="382" customFormat="false" ht="48" hidden="false" customHeight="true" outlineLevel="0" collapsed="false">
      <c r="A382" s="99"/>
      <c r="B382" s="100" t="n">
        <v>46461</v>
      </c>
      <c r="C382" s="100" t="n">
        <v>46467</v>
      </c>
      <c r="D382" s="99" t="s">
        <v>638</v>
      </c>
      <c r="E382" s="99" t="n">
        <v>0</v>
      </c>
      <c r="F382" s="101" t="n">
        <v>0</v>
      </c>
      <c r="G382" s="102" t="n">
        <f aca="false">IFERROR(F382/INDEX($G$5:$G$34,MATCH(LOOKUP(2,1/($A$39:A382&lt;&gt;""),$A$39:A382),$A$5:$A$34,0)),0)</f>
        <v>0</v>
      </c>
      <c r="H382" s="103" t="str">
        <f aca="false">IF(G382=0,"空闲",IF(G382&lt;=0.6,"低负荷",IF(G382&lt;=0.85,"正常",IF(G382&lt;=1,"满负荷","超负荷"))))</f>
        <v>空闲</v>
      </c>
      <c r="I382" s="104" t="s">
        <v>638</v>
      </c>
      <c r="J382" s="104"/>
      <c r="K382" s="104"/>
      <c r="L382" s="105" t="s">
        <v>639</v>
      </c>
    </row>
    <row r="383" customFormat="false" ht="48" hidden="false" customHeight="true" outlineLevel="0" collapsed="false">
      <c r="A383" s="99"/>
      <c r="B383" s="100" t="n">
        <v>46468</v>
      </c>
      <c r="C383" s="100" t="n">
        <v>46474</v>
      </c>
      <c r="D383" s="99" t="s">
        <v>638</v>
      </c>
      <c r="E383" s="99" t="n">
        <v>0</v>
      </c>
      <c r="F383" s="101" t="n">
        <v>0</v>
      </c>
      <c r="G383" s="102" t="n">
        <f aca="false">IFERROR(F383/INDEX($G$5:$G$34,MATCH(LOOKUP(2,1/($A$39:A383&lt;&gt;""),$A$39:A383),$A$5:$A$34,0)),0)</f>
        <v>0</v>
      </c>
      <c r="H383" s="103" t="str">
        <f aca="false">IF(G383=0,"空闲",IF(G383&lt;=0.6,"低负荷",IF(G383&lt;=0.85,"正常",IF(G383&lt;=1,"满负荷","超负荷"))))</f>
        <v>空闲</v>
      </c>
      <c r="I383" s="104" t="s">
        <v>638</v>
      </c>
      <c r="J383" s="104"/>
      <c r="K383" s="104"/>
      <c r="L383" s="105" t="s">
        <v>639</v>
      </c>
    </row>
    <row r="384" customFormat="false" ht="48" hidden="false" customHeight="true" outlineLevel="0" collapsed="false">
      <c r="A384" s="99"/>
      <c r="B384" s="100" t="n">
        <v>46475</v>
      </c>
      <c r="C384" s="100" t="n">
        <v>46481</v>
      </c>
      <c r="D384" s="99" t="s">
        <v>638</v>
      </c>
      <c r="E384" s="99" t="n">
        <v>0</v>
      </c>
      <c r="F384" s="101" t="n">
        <v>0</v>
      </c>
      <c r="G384" s="102" t="n">
        <f aca="false">IFERROR(F384/INDEX($G$5:$G$34,MATCH(LOOKUP(2,1/($A$39:A384&lt;&gt;""),$A$39:A384),$A$5:$A$34,0)),0)</f>
        <v>0</v>
      </c>
      <c r="H384" s="103" t="str">
        <f aca="false">IF(G384=0,"空闲",IF(G384&lt;=0.6,"低负荷",IF(G384&lt;=0.85,"正常",IF(G384&lt;=1,"满负荷","超负荷"))))</f>
        <v>空闲</v>
      </c>
      <c r="I384" s="104" t="s">
        <v>638</v>
      </c>
      <c r="J384" s="104"/>
      <c r="K384" s="104"/>
      <c r="L384" s="105" t="s">
        <v>639</v>
      </c>
    </row>
    <row r="385" customFormat="false" ht="48" hidden="false" customHeight="true" outlineLevel="0" collapsed="false">
      <c r="A385" s="99"/>
      <c r="B385" s="100" t="n">
        <v>46482</v>
      </c>
      <c r="C385" s="100" t="n">
        <v>46488</v>
      </c>
      <c r="D385" s="99" t="s">
        <v>638</v>
      </c>
      <c r="E385" s="99" t="n">
        <v>0</v>
      </c>
      <c r="F385" s="101" t="n">
        <v>0</v>
      </c>
      <c r="G385" s="102" t="n">
        <f aca="false">IFERROR(F385/INDEX($G$5:$G$34,MATCH(LOOKUP(2,1/($A$39:A385&lt;&gt;""),$A$39:A385),$A$5:$A$34,0)),0)</f>
        <v>0</v>
      </c>
      <c r="H385" s="103" t="str">
        <f aca="false">IF(G385=0,"空闲",IF(G385&lt;=0.6,"低负荷",IF(G385&lt;=0.85,"正常",IF(G385&lt;=1,"满负荷","超负荷"))))</f>
        <v>空闲</v>
      </c>
      <c r="I385" s="104" t="s">
        <v>638</v>
      </c>
      <c r="J385" s="104"/>
      <c r="K385" s="104"/>
      <c r="L385" s="105" t="s">
        <v>639</v>
      </c>
    </row>
    <row r="386" customFormat="false" ht="48" hidden="false" customHeight="true" outlineLevel="0" collapsed="false">
      <c r="A386" s="99"/>
      <c r="B386" s="100" t="n">
        <v>46489</v>
      </c>
      <c r="C386" s="100" t="n">
        <v>46495</v>
      </c>
      <c r="D386" s="99" t="s">
        <v>638</v>
      </c>
      <c r="E386" s="99" t="n">
        <v>0</v>
      </c>
      <c r="F386" s="101" t="n">
        <v>0</v>
      </c>
      <c r="G386" s="102" t="n">
        <f aca="false">IFERROR(F386/INDEX($G$5:$G$34,MATCH(LOOKUP(2,1/($A$39:A386&lt;&gt;""),$A$39:A386),$A$5:$A$34,0)),0)</f>
        <v>0</v>
      </c>
      <c r="H386" s="103" t="str">
        <f aca="false">IF(G386=0,"空闲",IF(G386&lt;=0.6,"低负荷",IF(G386&lt;=0.85,"正常",IF(G386&lt;=1,"满负荷","超负荷"))))</f>
        <v>空闲</v>
      </c>
      <c r="I386" s="104" t="s">
        <v>638</v>
      </c>
      <c r="J386" s="104"/>
      <c r="K386" s="104"/>
      <c r="L386" s="105" t="s">
        <v>639</v>
      </c>
    </row>
    <row r="387" customFormat="false" ht="48" hidden="false" customHeight="true" outlineLevel="0" collapsed="false">
      <c r="A387" s="99"/>
      <c r="B387" s="100" t="n">
        <v>46496</v>
      </c>
      <c r="C387" s="100" t="n">
        <v>46502</v>
      </c>
      <c r="D387" s="99" t="s">
        <v>638</v>
      </c>
      <c r="E387" s="99" t="n">
        <v>0</v>
      </c>
      <c r="F387" s="101" t="n">
        <v>0</v>
      </c>
      <c r="G387" s="102" t="n">
        <f aca="false">IFERROR(F387/INDEX($G$5:$G$34,MATCH(LOOKUP(2,1/($A$39:A387&lt;&gt;""),$A$39:A387),$A$5:$A$34,0)),0)</f>
        <v>0</v>
      </c>
      <c r="H387" s="103" t="str">
        <f aca="false">IF(G387=0,"空闲",IF(G387&lt;=0.6,"低负荷",IF(G387&lt;=0.85,"正常",IF(G387&lt;=1,"满负荷","超负荷"))))</f>
        <v>空闲</v>
      </c>
      <c r="I387" s="104" t="s">
        <v>638</v>
      </c>
      <c r="J387" s="104"/>
      <c r="K387" s="104"/>
      <c r="L387" s="105" t="s">
        <v>639</v>
      </c>
    </row>
    <row r="388" customFormat="false" ht="48" hidden="false" customHeight="true" outlineLevel="0" collapsed="false">
      <c r="A388" s="99"/>
      <c r="B388" s="100" t="n">
        <v>46503</v>
      </c>
      <c r="C388" s="100" t="n">
        <v>46509</v>
      </c>
      <c r="D388" s="99" t="s">
        <v>638</v>
      </c>
      <c r="E388" s="99" t="n">
        <v>0</v>
      </c>
      <c r="F388" s="101" t="n">
        <v>0</v>
      </c>
      <c r="G388" s="102" t="n">
        <f aca="false">IFERROR(F388/INDEX($G$5:$G$34,MATCH(LOOKUP(2,1/($A$39:A388&lt;&gt;""),$A$39:A388),$A$5:$A$34,0)),0)</f>
        <v>0</v>
      </c>
      <c r="H388" s="103" t="str">
        <f aca="false">IF(G388=0,"空闲",IF(G388&lt;=0.6,"低负荷",IF(G388&lt;=0.85,"正常",IF(G388&lt;=1,"满负荷","超负荷"))))</f>
        <v>空闲</v>
      </c>
      <c r="I388" s="104" t="s">
        <v>638</v>
      </c>
      <c r="J388" s="104"/>
      <c r="K388" s="104"/>
      <c r="L388" s="105" t="s">
        <v>639</v>
      </c>
    </row>
    <row r="389" customFormat="false" ht="48" hidden="false" customHeight="true" outlineLevel="0" collapsed="false">
      <c r="A389" s="99"/>
      <c r="B389" s="100" t="n">
        <v>46510</v>
      </c>
      <c r="C389" s="100" t="n">
        <v>46516</v>
      </c>
      <c r="D389" s="99" t="s">
        <v>638</v>
      </c>
      <c r="E389" s="99" t="n">
        <v>0</v>
      </c>
      <c r="F389" s="101" t="n">
        <v>0</v>
      </c>
      <c r="G389" s="102" t="n">
        <f aca="false">IFERROR(F389/INDEX($G$5:$G$34,MATCH(LOOKUP(2,1/($A$39:A389&lt;&gt;""),$A$39:A389),$A$5:$A$34,0)),0)</f>
        <v>0</v>
      </c>
      <c r="H389" s="103" t="str">
        <f aca="false">IF(G389=0,"空闲",IF(G389&lt;=0.6,"低负荷",IF(G389&lt;=0.85,"正常",IF(G389&lt;=1,"满负荷","超负荷"))))</f>
        <v>空闲</v>
      </c>
      <c r="I389" s="104" t="s">
        <v>638</v>
      </c>
      <c r="J389" s="104"/>
      <c r="K389" s="104"/>
      <c r="L389" s="105" t="s">
        <v>639</v>
      </c>
    </row>
    <row r="390" customFormat="false" ht="48" hidden="false" customHeight="true" outlineLevel="0" collapsed="false">
      <c r="A390" s="99"/>
      <c r="B390" s="100" t="n">
        <v>46517</v>
      </c>
      <c r="C390" s="100" t="n">
        <v>46523</v>
      </c>
      <c r="D390" s="99" t="s">
        <v>640</v>
      </c>
      <c r="E390" s="99" t="n">
        <v>1</v>
      </c>
      <c r="F390" s="101" t="n">
        <v>40</v>
      </c>
      <c r="G390" s="102" t="n">
        <f aca="false">IFERROR(F390/INDEX($G$5:$G$34,MATCH(LOOKUP(2,1/($A$39:A390&lt;&gt;""),$A$39:A390),$A$5:$A$34,0)),0)</f>
        <v>1</v>
      </c>
      <c r="H390" s="103" t="str">
        <f aca="false">IF(G390=0,"空闲",IF(G390&lt;=0.6,"低负荷",IF(G390&lt;=0.85,"正常",IF(G390&lt;=1,"满负荷","超负荷"))))</f>
        <v>满负荷</v>
      </c>
      <c r="I390" s="106" t="s">
        <v>693</v>
      </c>
      <c r="J390" s="106"/>
      <c r="K390" s="106"/>
      <c r="L390" s="105" t="s">
        <v>642</v>
      </c>
    </row>
    <row r="391" customFormat="false" ht="48" hidden="false" customHeight="true" outlineLevel="0" collapsed="false">
      <c r="A391" s="99"/>
      <c r="B391" s="100" t="n">
        <v>46524</v>
      </c>
      <c r="C391" s="100" t="n">
        <v>46530</v>
      </c>
      <c r="D391" s="99" t="s">
        <v>640</v>
      </c>
      <c r="E391" s="99" t="n">
        <v>1</v>
      </c>
      <c r="F391" s="101" t="n">
        <v>40</v>
      </c>
      <c r="G391" s="102" t="n">
        <f aca="false">IFERROR(F391/INDEX($G$5:$G$34,MATCH(LOOKUP(2,1/($A$39:A391&lt;&gt;""),$A$39:A391),$A$5:$A$34,0)),0)</f>
        <v>1</v>
      </c>
      <c r="H391" s="103" t="str">
        <f aca="false">IF(G391=0,"空闲",IF(G391&lt;=0.6,"低负荷",IF(G391&lt;=0.85,"正常",IF(G391&lt;=1,"满负荷","超负荷"))))</f>
        <v>满负荷</v>
      </c>
      <c r="I391" s="106" t="s">
        <v>693</v>
      </c>
      <c r="J391" s="106"/>
      <c r="K391" s="106"/>
      <c r="L391" s="105" t="s">
        <v>642</v>
      </c>
    </row>
    <row r="392" customFormat="false" ht="48" hidden="false" customHeight="true" outlineLevel="0" collapsed="false">
      <c r="A392" s="99"/>
      <c r="B392" s="100" t="n">
        <v>46531</v>
      </c>
      <c r="C392" s="100" t="n">
        <v>46537</v>
      </c>
      <c r="D392" s="99" t="s">
        <v>638</v>
      </c>
      <c r="E392" s="99" t="n">
        <v>0</v>
      </c>
      <c r="F392" s="101" t="n">
        <v>0</v>
      </c>
      <c r="G392" s="102" t="n">
        <f aca="false">IFERROR(F392/INDEX($G$5:$G$34,MATCH(LOOKUP(2,1/($A$39:A392&lt;&gt;""),$A$39:A392),$A$5:$A$34,0)),0)</f>
        <v>0</v>
      </c>
      <c r="H392" s="103" t="str">
        <f aca="false">IF(G392=0,"空闲",IF(G392&lt;=0.6,"低负荷",IF(G392&lt;=0.85,"正常",IF(G392&lt;=1,"满负荷","超负荷"))))</f>
        <v>空闲</v>
      </c>
      <c r="I392" s="104" t="s">
        <v>638</v>
      </c>
      <c r="J392" s="104"/>
      <c r="K392" s="104"/>
      <c r="L392" s="105" t="s">
        <v>639</v>
      </c>
    </row>
    <row r="393" customFormat="false" ht="48" hidden="false" customHeight="true" outlineLevel="0" collapsed="false">
      <c r="A393" s="99"/>
      <c r="B393" s="100" t="n">
        <v>46538</v>
      </c>
      <c r="C393" s="100" t="n">
        <v>46544</v>
      </c>
      <c r="D393" s="99" t="s">
        <v>638</v>
      </c>
      <c r="E393" s="99" t="n">
        <v>0</v>
      </c>
      <c r="F393" s="101" t="n">
        <v>0</v>
      </c>
      <c r="G393" s="102" t="n">
        <f aca="false">IFERROR(F393/INDEX($G$5:$G$34,MATCH(LOOKUP(2,1/($A$39:A393&lt;&gt;""),$A$39:A393),$A$5:$A$34,0)),0)</f>
        <v>0</v>
      </c>
      <c r="H393" s="103" t="str">
        <f aca="false">IF(G393=0,"空闲",IF(G393&lt;=0.6,"低负荷",IF(G393&lt;=0.85,"正常",IF(G393&lt;=1,"满负荷","超负荷"))))</f>
        <v>空闲</v>
      </c>
      <c r="I393" s="104" t="s">
        <v>638</v>
      </c>
      <c r="J393" s="104"/>
      <c r="K393" s="104"/>
      <c r="L393" s="105" t="s">
        <v>639</v>
      </c>
    </row>
    <row r="394" customFormat="false" ht="48" hidden="false" customHeight="true" outlineLevel="0" collapsed="false">
      <c r="A394" s="99" t="s">
        <v>613</v>
      </c>
      <c r="B394" s="100" t="n">
        <v>46048</v>
      </c>
      <c r="C394" s="100" t="n">
        <v>46054</v>
      </c>
      <c r="D394" s="99" t="s">
        <v>638</v>
      </c>
      <c r="E394" s="99" t="n">
        <v>0</v>
      </c>
      <c r="F394" s="101" t="n">
        <v>0</v>
      </c>
      <c r="G394" s="102" t="n">
        <f aca="false">IFERROR(F394/INDEX($G$5:$G$34,MATCH(LOOKUP(2,1/($A$39:A394&lt;&gt;""),$A$39:A394),$A$5:$A$34,0)),0)</f>
        <v>0</v>
      </c>
      <c r="H394" s="103" t="str">
        <f aca="false">IF(G394=0,"空闲",IF(G394&lt;=0.6,"低负荷",IF(G394&lt;=0.85,"正常",IF(G394&lt;=1,"满负荷","超负荷"))))</f>
        <v>空闲</v>
      </c>
      <c r="I394" s="104" t="s">
        <v>638</v>
      </c>
      <c r="J394" s="104"/>
      <c r="K394" s="104"/>
      <c r="L394" s="105" t="s">
        <v>639</v>
      </c>
    </row>
    <row r="395" customFormat="false" ht="48" hidden="false" customHeight="true" outlineLevel="0" collapsed="false">
      <c r="A395" s="99"/>
      <c r="B395" s="100" t="n">
        <v>46055</v>
      </c>
      <c r="C395" s="100" t="n">
        <v>46061</v>
      </c>
      <c r="D395" s="99" t="s">
        <v>640</v>
      </c>
      <c r="E395" s="99" t="n">
        <v>1</v>
      </c>
      <c r="F395" s="101" t="n">
        <v>40</v>
      </c>
      <c r="G395" s="102" t="n">
        <f aca="false">IFERROR(F395/INDEX($G$5:$G$34,MATCH(LOOKUP(2,1/($A$39:A395&lt;&gt;""),$A$39:A395),$A$5:$A$34,0)),0)</f>
        <v>1</v>
      </c>
      <c r="H395" s="103" t="str">
        <f aca="false">IF(G395=0,"空闲",IF(G395&lt;=0.6,"低负荷",IF(G395&lt;=0.85,"正常",IF(G395&lt;=1,"满负荷","超负荷"))))</f>
        <v>满负荷</v>
      </c>
      <c r="I395" s="106" t="s">
        <v>694</v>
      </c>
      <c r="J395" s="106"/>
      <c r="K395" s="106"/>
      <c r="L395" s="105" t="s">
        <v>642</v>
      </c>
    </row>
    <row r="396" customFormat="false" ht="48" hidden="false" customHeight="true" outlineLevel="0" collapsed="false">
      <c r="A396" s="99"/>
      <c r="B396" s="100" t="n">
        <v>46062</v>
      </c>
      <c r="C396" s="100" t="n">
        <v>46068</v>
      </c>
      <c r="D396" s="99" t="s">
        <v>640</v>
      </c>
      <c r="E396" s="99" t="n">
        <v>1</v>
      </c>
      <c r="F396" s="101" t="n">
        <v>40</v>
      </c>
      <c r="G396" s="102" t="n">
        <f aca="false">IFERROR(F396/INDEX($G$5:$G$34,MATCH(LOOKUP(2,1/($A$39:A396&lt;&gt;""),$A$39:A396),$A$5:$A$34,0)),0)</f>
        <v>1</v>
      </c>
      <c r="H396" s="103" t="str">
        <f aca="false">IF(G396=0,"空闲",IF(G396&lt;=0.6,"低负荷",IF(G396&lt;=0.85,"正常",IF(G396&lt;=1,"满负荷","超负荷"))))</f>
        <v>满负荷</v>
      </c>
      <c r="I396" s="106" t="s">
        <v>695</v>
      </c>
      <c r="J396" s="106"/>
      <c r="K396" s="106"/>
      <c r="L396" s="105" t="s">
        <v>642</v>
      </c>
    </row>
    <row r="397" customFormat="false" ht="48" hidden="false" customHeight="true" outlineLevel="0" collapsed="false">
      <c r="A397" s="99"/>
      <c r="B397" s="100" t="n">
        <v>46069</v>
      </c>
      <c r="C397" s="100" t="n">
        <v>46075</v>
      </c>
      <c r="D397" s="99" t="s">
        <v>640</v>
      </c>
      <c r="E397" s="99" t="n">
        <v>1</v>
      </c>
      <c r="F397" s="101" t="n">
        <v>40</v>
      </c>
      <c r="G397" s="102" t="n">
        <f aca="false">IFERROR(F397/INDEX($G$5:$G$34,MATCH(LOOKUP(2,1/($A$39:A397&lt;&gt;""),$A$39:A397),$A$5:$A$34,0)),0)</f>
        <v>1</v>
      </c>
      <c r="H397" s="103" t="str">
        <f aca="false">IF(G397=0,"空闲",IF(G397&lt;=0.6,"低负荷",IF(G397&lt;=0.85,"正常",IF(G397&lt;=1,"满负荷","超负荷"))))</f>
        <v>满负荷</v>
      </c>
      <c r="I397" s="106" t="s">
        <v>695</v>
      </c>
      <c r="J397" s="106"/>
      <c r="K397" s="106"/>
      <c r="L397" s="105" t="s">
        <v>642</v>
      </c>
    </row>
    <row r="398" customFormat="false" ht="48" hidden="false" customHeight="true" outlineLevel="0" collapsed="false">
      <c r="A398" s="99"/>
      <c r="B398" s="100" t="n">
        <v>46076</v>
      </c>
      <c r="C398" s="100" t="n">
        <v>46082</v>
      </c>
      <c r="D398" s="99" t="s">
        <v>640</v>
      </c>
      <c r="E398" s="99" t="n">
        <v>1</v>
      </c>
      <c r="F398" s="101" t="n">
        <v>40</v>
      </c>
      <c r="G398" s="102" t="n">
        <f aca="false">IFERROR(F398/INDEX($G$5:$G$34,MATCH(LOOKUP(2,1/($A$39:A398&lt;&gt;""),$A$39:A398),$A$5:$A$34,0)),0)</f>
        <v>1</v>
      </c>
      <c r="H398" s="103" t="str">
        <f aca="false">IF(G398=0,"空闲",IF(G398&lt;=0.6,"低负荷",IF(G398&lt;=0.85,"正常",IF(G398&lt;=1,"满负荷","超负荷"))))</f>
        <v>满负荷</v>
      </c>
      <c r="I398" s="106" t="s">
        <v>695</v>
      </c>
      <c r="J398" s="106"/>
      <c r="K398" s="106"/>
      <c r="L398" s="105" t="s">
        <v>642</v>
      </c>
    </row>
    <row r="399" customFormat="false" ht="48" hidden="false" customHeight="true" outlineLevel="0" collapsed="false">
      <c r="A399" s="99"/>
      <c r="B399" s="100" t="n">
        <v>46083</v>
      </c>
      <c r="C399" s="100" t="n">
        <v>46089</v>
      </c>
      <c r="D399" s="99" t="s">
        <v>640</v>
      </c>
      <c r="E399" s="99" t="n">
        <v>1</v>
      </c>
      <c r="F399" s="101" t="n">
        <v>40</v>
      </c>
      <c r="G399" s="102" t="n">
        <f aca="false">IFERROR(F399/INDEX($G$5:$G$34,MATCH(LOOKUP(2,1/($A$39:A399&lt;&gt;""),$A$39:A399),$A$5:$A$34,0)),0)</f>
        <v>1</v>
      </c>
      <c r="H399" s="103" t="str">
        <f aca="false">IF(G399=0,"空闲",IF(G399&lt;=0.6,"低负荷",IF(G399&lt;=0.85,"正常",IF(G399&lt;=1,"满负荷","超负荷"))))</f>
        <v>满负荷</v>
      </c>
      <c r="I399" s="106" t="s">
        <v>695</v>
      </c>
      <c r="J399" s="106"/>
      <c r="K399" s="106"/>
      <c r="L399" s="105" t="s">
        <v>642</v>
      </c>
    </row>
    <row r="400" customFormat="false" ht="48" hidden="false" customHeight="true" outlineLevel="0" collapsed="false">
      <c r="A400" s="99"/>
      <c r="B400" s="100" t="n">
        <v>46090</v>
      </c>
      <c r="C400" s="100" t="n">
        <v>46096</v>
      </c>
      <c r="D400" s="99" t="s">
        <v>640</v>
      </c>
      <c r="E400" s="99" t="n">
        <v>1</v>
      </c>
      <c r="F400" s="101" t="n">
        <v>40</v>
      </c>
      <c r="G400" s="102" t="n">
        <f aca="false">IFERROR(F400/INDEX($G$5:$G$34,MATCH(LOOKUP(2,1/($A$39:A400&lt;&gt;""),$A$39:A400),$A$5:$A$34,0)),0)</f>
        <v>1</v>
      </c>
      <c r="H400" s="103" t="str">
        <f aca="false">IF(G400=0,"空闲",IF(G400&lt;=0.6,"低负荷",IF(G400&lt;=0.85,"正常",IF(G400&lt;=1,"满负荷","超负荷"))))</f>
        <v>满负荷</v>
      </c>
      <c r="I400" s="106" t="s">
        <v>695</v>
      </c>
      <c r="J400" s="106"/>
      <c r="K400" s="106"/>
      <c r="L400" s="105" t="s">
        <v>642</v>
      </c>
    </row>
    <row r="401" customFormat="false" ht="48" hidden="false" customHeight="true" outlineLevel="0" collapsed="false">
      <c r="A401" s="99"/>
      <c r="B401" s="100" t="n">
        <v>46097</v>
      </c>
      <c r="C401" s="100" t="n">
        <v>46103</v>
      </c>
      <c r="D401" s="99" t="s">
        <v>638</v>
      </c>
      <c r="E401" s="99" t="n">
        <v>0</v>
      </c>
      <c r="F401" s="101" t="n">
        <v>0</v>
      </c>
      <c r="G401" s="102" t="n">
        <f aca="false">IFERROR(F401/INDEX($G$5:$G$34,MATCH(LOOKUP(2,1/($A$39:A401&lt;&gt;""),$A$39:A401),$A$5:$A$34,0)),0)</f>
        <v>0</v>
      </c>
      <c r="H401" s="103" t="str">
        <f aca="false">IF(G401=0,"空闲",IF(G401&lt;=0.6,"低负荷",IF(G401&lt;=0.85,"正常",IF(G401&lt;=1,"满负荷","超负荷"))))</f>
        <v>空闲</v>
      </c>
      <c r="I401" s="104" t="s">
        <v>638</v>
      </c>
      <c r="J401" s="104"/>
      <c r="K401" s="104"/>
      <c r="L401" s="105" t="s">
        <v>639</v>
      </c>
    </row>
    <row r="402" customFormat="false" ht="48" hidden="false" customHeight="true" outlineLevel="0" collapsed="false">
      <c r="A402" s="99"/>
      <c r="B402" s="100" t="n">
        <v>46104</v>
      </c>
      <c r="C402" s="100" t="n">
        <v>46110</v>
      </c>
      <c r="D402" s="99" t="s">
        <v>638</v>
      </c>
      <c r="E402" s="99" t="n">
        <v>0</v>
      </c>
      <c r="F402" s="101" t="n">
        <v>0</v>
      </c>
      <c r="G402" s="102" t="n">
        <f aca="false">IFERROR(F402/INDEX($G$5:$G$34,MATCH(LOOKUP(2,1/($A$39:A402&lt;&gt;""),$A$39:A402),$A$5:$A$34,0)),0)</f>
        <v>0</v>
      </c>
      <c r="H402" s="103" t="str">
        <f aca="false">IF(G402=0,"空闲",IF(G402&lt;=0.6,"低负荷",IF(G402&lt;=0.85,"正常",IF(G402&lt;=1,"满负荷","超负荷"))))</f>
        <v>空闲</v>
      </c>
      <c r="I402" s="104" t="s">
        <v>638</v>
      </c>
      <c r="J402" s="104"/>
      <c r="K402" s="104"/>
      <c r="L402" s="105" t="s">
        <v>639</v>
      </c>
    </row>
    <row r="403" customFormat="false" ht="48" hidden="false" customHeight="true" outlineLevel="0" collapsed="false">
      <c r="A403" s="99"/>
      <c r="B403" s="100" t="n">
        <v>46111</v>
      </c>
      <c r="C403" s="100" t="n">
        <v>46117</v>
      </c>
      <c r="D403" s="99" t="s">
        <v>638</v>
      </c>
      <c r="E403" s="99" t="n">
        <v>0</v>
      </c>
      <c r="F403" s="101" t="n">
        <v>0</v>
      </c>
      <c r="G403" s="102" t="n">
        <f aca="false">IFERROR(F403/INDEX($G$5:$G$34,MATCH(LOOKUP(2,1/($A$39:A403&lt;&gt;""),$A$39:A403),$A$5:$A$34,0)),0)</f>
        <v>0</v>
      </c>
      <c r="H403" s="103" t="str">
        <f aca="false">IF(G403=0,"空闲",IF(G403&lt;=0.6,"低负荷",IF(G403&lt;=0.85,"正常",IF(G403&lt;=1,"满负荷","超负荷"))))</f>
        <v>空闲</v>
      </c>
      <c r="I403" s="104" t="s">
        <v>638</v>
      </c>
      <c r="J403" s="104"/>
      <c r="K403" s="104"/>
      <c r="L403" s="105" t="s">
        <v>639</v>
      </c>
    </row>
    <row r="404" customFormat="false" ht="48" hidden="false" customHeight="true" outlineLevel="0" collapsed="false">
      <c r="A404" s="99"/>
      <c r="B404" s="100" t="n">
        <v>46118</v>
      </c>
      <c r="C404" s="100" t="n">
        <v>46124</v>
      </c>
      <c r="D404" s="99" t="s">
        <v>638</v>
      </c>
      <c r="E404" s="99" t="n">
        <v>0</v>
      </c>
      <c r="F404" s="101" t="n">
        <v>0</v>
      </c>
      <c r="G404" s="102" t="n">
        <f aca="false">IFERROR(F404/INDEX($G$5:$G$34,MATCH(LOOKUP(2,1/($A$39:A404&lt;&gt;""),$A$39:A404),$A$5:$A$34,0)),0)</f>
        <v>0</v>
      </c>
      <c r="H404" s="103" t="str">
        <f aca="false">IF(G404=0,"空闲",IF(G404&lt;=0.6,"低负荷",IF(G404&lt;=0.85,"正常",IF(G404&lt;=1,"满负荷","超负荷"))))</f>
        <v>空闲</v>
      </c>
      <c r="I404" s="104" t="s">
        <v>638</v>
      </c>
      <c r="J404" s="104"/>
      <c r="K404" s="104"/>
      <c r="L404" s="105" t="s">
        <v>639</v>
      </c>
    </row>
    <row r="405" customFormat="false" ht="48" hidden="false" customHeight="true" outlineLevel="0" collapsed="false">
      <c r="A405" s="99"/>
      <c r="B405" s="100" t="n">
        <v>46125</v>
      </c>
      <c r="C405" s="100" t="n">
        <v>46131</v>
      </c>
      <c r="D405" s="99" t="s">
        <v>638</v>
      </c>
      <c r="E405" s="99" t="n">
        <v>0</v>
      </c>
      <c r="F405" s="101" t="n">
        <v>0</v>
      </c>
      <c r="G405" s="102" t="n">
        <f aca="false">IFERROR(F405/INDEX($G$5:$G$34,MATCH(LOOKUP(2,1/($A$39:A405&lt;&gt;""),$A$39:A405),$A$5:$A$34,0)),0)</f>
        <v>0</v>
      </c>
      <c r="H405" s="103" t="str">
        <f aca="false">IF(G405=0,"空闲",IF(G405&lt;=0.6,"低负荷",IF(G405&lt;=0.85,"正常",IF(G405&lt;=1,"满负荷","超负荷"))))</f>
        <v>空闲</v>
      </c>
      <c r="I405" s="104" t="s">
        <v>638</v>
      </c>
      <c r="J405" s="104"/>
      <c r="K405" s="104"/>
      <c r="L405" s="105" t="s">
        <v>639</v>
      </c>
    </row>
    <row r="406" customFormat="false" ht="48" hidden="false" customHeight="true" outlineLevel="0" collapsed="false">
      <c r="A406" s="99"/>
      <c r="B406" s="100" t="n">
        <v>46132</v>
      </c>
      <c r="C406" s="100" t="n">
        <v>46138</v>
      </c>
      <c r="D406" s="99" t="s">
        <v>638</v>
      </c>
      <c r="E406" s="99" t="n">
        <v>0</v>
      </c>
      <c r="F406" s="101" t="n">
        <v>0</v>
      </c>
      <c r="G406" s="102" t="n">
        <f aca="false">IFERROR(F406/INDEX($G$5:$G$34,MATCH(LOOKUP(2,1/($A$39:A406&lt;&gt;""),$A$39:A406),$A$5:$A$34,0)),0)</f>
        <v>0</v>
      </c>
      <c r="H406" s="103" t="str">
        <f aca="false">IF(G406=0,"空闲",IF(G406&lt;=0.6,"低负荷",IF(G406&lt;=0.85,"正常",IF(G406&lt;=1,"满负荷","超负荷"))))</f>
        <v>空闲</v>
      </c>
      <c r="I406" s="104" t="s">
        <v>638</v>
      </c>
      <c r="J406" s="104"/>
      <c r="K406" s="104"/>
      <c r="L406" s="105" t="s">
        <v>639</v>
      </c>
    </row>
    <row r="407" customFormat="false" ht="48" hidden="false" customHeight="true" outlineLevel="0" collapsed="false">
      <c r="A407" s="99"/>
      <c r="B407" s="100" t="n">
        <v>46139</v>
      </c>
      <c r="C407" s="100" t="n">
        <v>46145</v>
      </c>
      <c r="D407" s="99" t="s">
        <v>638</v>
      </c>
      <c r="E407" s="99" t="n">
        <v>0</v>
      </c>
      <c r="F407" s="101" t="n">
        <v>0</v>
      </c>
      <c r="G407" s="102" t="n">
        <f aca="false">IFERROR(F407/INDEX($G$5:$G$34,MATCH(LOOKUP(2,1/($A$39:A407&lt;&gt;""),$A$39:A407),$A$5:$A$34,0)),0)</f>
        <v>0</v>
      </c>
      <c r="H407" s="103" t="str">
        <f aca="false">IF(G407=0,"空闲",IF(G407&lt;=0.6,"低负荷",IF(G407&lt;=0.85,"正常",IF(G407&lt;=1,"满负荷","超负荷"))))</f>
        <v>空闲</v>
      </c>
      <c r="I407" s="104" t="s">
        <v>638</v>
      </c>
      <c r="J407" s="104"/>
      <c r="K407" s="104"/>
      <c r="L407" s="105" t="s">
        <v>639</v>
      </c>
    </row>
    <row r="408" customFormat="false" ht="48" hidden="false" customHeight="true" outlineLevel="0" collapsed="false">
      <c r="A408" s="99"/>
      <c r="B408" s="100" t="n">
        <v>46146</v>
      </c>
      <c r="C408" s="100" t="n">
        <v>46152</v>
      </c>
      <c r="D408" s="99" t="s">
        <v>640</v>
      </c>
      <c r="E408" s="99" t="n">
        <v>1</v>
      </c>
      <c r="F408" s="101" t="n">
        <v>40</v>
      </c>
      <c r="G408" s="102" t="n">
        <f aca="false">IFERROR(F408/INDEX($G$5:$G$34,MATCH(LOOKUP(2,1/($A$39:A408&lt;&gt;""),$A$39:A408),$A$5:$A$34,0)),0)</f>
        <v>1</v>
      </c>
      <c r="H408" s="103" t="str">
        <f aca="false">IF(G408=0,"空闲",IF(G408&lt;=0.6,"低负荷",IF(G408&lt;=0.85,"正常",IF(G408&lt;=1,"满负荷","超负荷"))))</f>
        <v>满负荷</v>
      </c>
      <c r="I408" s="106" t="s">
        <v>696</v>
      </c>
      <c r="J408" s="106"/>
      <c r="K408" s="106"/>
      <c r="L408" s="105" t="s">
        <v>642</v>
      </c>
    </row>
    <row r="409" customFormat="false" ht="48" hidden="false" customHeight="true" outlineLevel="0" collapsed="false">
      <c r="A409" s="99"/>
      <c r="B409" s="100" t="n">
        <v>46153</v>
      </c>
      <c r="C409" s="100" t="n">
        <v>46159</v>
      </c>
      <c r="D409" s="99" t="s">
        <v>640</v>
      </c>
      <c r="E409" s="99" t="n">
        <v>1</v>
      </c>
      <c r="F409" s="101" t="n">
        <v>40</v>
      </c>
      <c r="G409" s="102" t="n">
        <f aca="false">IFERROR(F409/INDEX($G$5:$G$34,MATCH(LOOKUP(2,1/($A$39:A409&lt;&gt;""),$A$39:A409),$A$5:$A$34,0)),0)</f>
        <v>1</v>
      </c>
      <c r="H409" s="103" t="str">
        <f aca="false">IF(G409=0,"空闲",IF(G409&lt;=0.6,"低负荷",IF(G409&lt;=0.85,"正常",IF(G409&lt;=1,"满负荷","超负荷"))))</f>
        <v>满负荷</v>
      </c>
      <c r="I409" s="106" t="s">
        <v>696</v>
      </c>
      <c r="J409" s="106"/>
      <c r="K409" s="106"/>
      <c r="L409" s="105" t="s">
        <v>642</v>
      </c>
    </row>
    <row r="410" customFormat="false" ht="48" hidden="false" customHeight="true" outlineLevel="0" collapsed="false">
      <c r="A410" s="99"/>
      <c r="B410" s="100" t="n">
        <v>46160</v>
      </c>
      <c r="C410" s="100" t="n">
        <v>46166</v>
      </c>
      <c r="D410" s="99" t="s">
        <v>640</v>
      </c>
      <c r="E410" s="99" t="n">
        <v>1</v>
      </c>
      <c r="F410" s="101" t="n">
        <v>40</v>
      </c>
      <c r="G410" s="102" t="n">
        <f aca="false">IFERROR(F410/INDEX($G$5:$G$34,MATCH(LOOKUP(2,1/($A$39:A410&lt;&gt;""),$A$39:A410),$A$5:$A$34,0)),0)</f>
        <v>1</v>
      </c>
      <c r="H410" s="103" t="str">
        <f aca="false">IF(G410=0,"空闲",IF(G410&lt;=0.6,"低负荷",IF(G410&lt;=0.85,"正常",IF(G410&lt;=1,"满负荷","超负荷"))))</f>
        <v>满负荷</v>
      </c>
      <c r="I410" s="106" t="s">
        <v>696</v>
      </c>
      <c r="J410" s="106"/>
      <c r="K410" s="106"/>
      <c r="L410" s="105" t="s">
        <v>642</v>
      </c>
    </row>
    <row r="411" customFormat="false" ht="48" hidden="false" customHeight="true" outlineLevel="0" collapsed="false">
      <c r="A411" s="99"/>
      <c r="B411" s="100" t="n">
        <v>46167</v>
      </c>
      <c r="C411" s="100" t="n">
        <v>46173</v>
      </c>
      <c r="D411" s="99" t="s">
        <v>640</v>
      </c>
      <c r="E411" s="99" t="n">
        <v>1</v>
      </c>
      <c r="F411" s="101" t="n">
        <v>40</v>
      </c>
      <c r="G411" s="102" t="n">
        <f aca="false">IFERROR(F411/INDEX($G$5:$G$34,MATCH(LOOKUP(2,1/($A$39:A411&lt;&gt;""),$A$39:A411),$A$5:$A$34,0)),0)</f>
        <v>1</v>
      </c>
      <c r="H411" s="103" t="str">
        <f aca="false">IF(G411=0,"空闲",IF(G411&lt;=0.6,"低负荷",IF(G411&lt;=0.85,"正常",IF(G411&lt;=1,"满负荷","超负荷"))))</f>
        <v>满负荷</v>
      </c>
      <c r="I411" s="106" t="s">
        <v>696</v>
      </c>
      <c r="J411" s="106"/>
      <c r="K411" s="106"/>
      <c r="L411" s="105" t="s">
        <v>642</v>
      </c>
    </row>
    <row r="412" customFormat="false" ht="48" hidden="false" customHeight="true" outlineLevel="0" collapsed="false">
      <c r="A412" s="99"/>
      <c r="B412" s="100" t="n">
        <v>46174</v>
      </c>
      <c r="C412" s="100" t="n">
        <v>46180</v>
      </c>
      <c r="D412" s="99" t="s">
        <v>640</v>
      </c>
      <c r="E412" s="99" t="n">
        <v>1</v>
      </c>
      <c r="F412" s="101" t="n">
        <v>40</v>
      </c>
      <c r="G412" s="102" t="n">
        <f aca="false">IFERROR(F412/INDEX($G$5:$G$34,MATCH(LOOKUP(2,1/($A$39:A412&lt;&gt;""),$A$39:A412),$A$5:$A$34,0)),0)</f>
        <v>1</v>
      </c>
      <c r="H412" s="103" t="str">
        <f aca="false">IF(G412=0,"空闲",IF(G412&lt;=0.6,"低负荷",IF(G412&lt;=0.85,"正常",IF(G412&lt;=1,"满负荷","超负荷"))))</f>
        <v>满负荷</v>
      </c>
      <c r="I412" s="106" t="s">
        <v>696</v>
      </c>
      <c r="J412" s="106"/>
      <c r="K412" s="106"/>
      <c r="L412" s="105" t="s">
        <v>642</v>
      </c>
    </row>
    <row r="413" customFormat="false" ht="48" hidden="false" customHeight="true" outlineLevel="0" collapsed="false">
      <c r="A413" s="99"/>
      <c r="B413" s="100" t="n">
        <v>46181</v>
      </c>
      <c r="C413" s="100" t="n">
        <v>46187</v>
      </c>
      <c r="D413" s="99" t="s">
        <v>638</v>
      </c>
      <c r="E413" s="99" t="n">
        <v>0</v>
      </c>
      <c r="F413" s="101" t="n">
        <v>0</v>
      </c>
      <c r="G413" s="102" t="n">
        <f aca="false">IFERROR(F413/INDEX($G$5:$G$34,MATCH(LOOKUP(2,1/($A$39:A413&lt;&gt;""),$A$39:A413),$A$5:$A$34,0)),0)</f>
        <v>0</v>
      </c>
      <c r="H413" s="103" t="str">
        <f aca="false">IF(G413=0,"空闲",IF(G413&lt;=0.6,"低负荷",IF(G413&lt;=0.85,"正常",IF(G413&lt;=1,"满负荷","超负荷"))))</f>
        <v>空闲</v>
      </c>
      <c r="I413" s="104" t="s">
        <v>638</v>
      </c>
      <c r="J413" s="104"/>
      <c r="K413" s="104"/>
      <c r="L413" s="105" t="s">
        <v>639</v>
      </c>
    </row>
    <row r="414" customFormat="false" ht="48" hidden="false" customHeight="true" outlineLevel="0" collapsed="false">
      <c r="A414" s="99"/>
      <c r="B414" s="100" t="n">
        <v>46188</v>
      </c>
      <c r="C414" s="100" t="n">
        <v>46194</v>
      </c>
      <c r="D414" s="99" t="s">
        <v>638</v>
      </c>
      <c r="E414" s="99" t="n">
        <v>0</v>
      </c>
      <c r="F414" s="101" t="n">
        <v>0</v>
      </c>
      <c r="G414" s="102" t="n">
        <f aca="false">IFERROR(F414/INDEX($G$5:$G$34,MATCH(LOOKUP(2,1/($A$39:A414&lt;&gt;""),$A$39:A414),$A$5:$A$34,0)),0)</f>
        <v>0</v>
      </c>
      <c r="H414" s="103" t="str">
        <f aca="false">IF(G414=0,"空闲",IF(G414&lt;=0.6,"低负荷",IF(G414&lt;=0.85,"正常",IF(G414&lt;=1,"满负荷","超负荷"))))</f>
        <v>空闲</v>
      </c>
      <c r="I414" s="104" t="s">
        <v>638</v>
      </c>
      <c r="J414" s="104"/>
      <c r="K414" s="104"/>
      <c r="L414" s="105" t="s">
        <v>639</v>
      </c>
    </row>
    <row r="415" customFormat="false" ht="48" hidden="false" customHeight="true" outlineLevel="0" collapsed="false">
      <c r="A415" s="99"/>
      <c r="B415" s="100" t="n">
        <v>46195</v>
      </c>
      <c r="C415" s="100" t="n">
        <v>46201</v>
      </c>
      <c r="D415" s="99" t="s">
        <v>638</v>
      </c>
      <c r="E415" s="99" t="n">
        <v>0</v>
      </c>
      <c r="F415" s="101" t="n">
        <v>0</v>
      </c>
      <c r="G415" s="102" t="n">
        <f aca="false">IFERROR(F415/INDEX($G$5:$G$34,MATCH(LOOKUP(2,1/($A$39:A415&lt;&gt;""),$A$39:A415),$A$5:$A$34,0)),0)</f>
        <v>0</v>
      </c>
      <c r="H415" s="103" t="str">
        <f aca="false">IF(G415=0,"空闲",IF(G415&lt;=0.6,"低负荷",IF(G415&lt;=0.85,"正常",IF(G415&lt;=1,"满负荷","超负荷"))))</f>
        <v>空闲</v>
      </c>
      <c r="I415" s="104" t="s">
        <v>638</v>
      </c>
      <c r="J415" s="104"/>
      <c r="K415" s="104"/>
      <c r="L415" s="105" t="s">
        <v>639</v>
      </c>
    </row>
    <row r="416" customFormat="false" ht="48" hidden="false" customHeight="true" outlineLevel="0" collapsed="false">
      <c r="A416" s="99"/>
      <c r="B416" s="100" t="n">
        <v>46202</v>
      </c>
      <c r="C416" s="100" t="n">
        <v>46208</v>
      </c>
      <c r="D416" s="99" t="s">
        <v>638</v>
      </c>
      <c r="E416" s="99" t="n">
        <v>0</v>
      </c>
      <c r="F416" s="101" t="n">
        <v>0</v>
      </c>
      <c r="G416" s="102" t="n">
        <f aca="false">IFERROR(F416/INDEX($G$5:$G$34,MATCH(LOOKUP(2,1/($A$39:A416&lt;&gt;""),$A$39:A416),$A$5:$A$34,0)),0)</f>
        <v>0</v>
      </c>
      <c r="H416" s="103" t="str">
        <f aca="false">IF(G416=0,"空闲",IF(G416&lt;=0.6,"低负荷",IF(G416&lt;=0.85,"正常",IF(G416&lt;=1,"满负荷","超负荷"))))</f>
        <v>空闲</v>
      </c>
      <c r="I416" s="104" t="s">
        <v>638</v>
      </c>
      <c r="J416" s="104"/>
      <c r="K416" s="104"/>
      <c r="L416" s="105" t="s">
        <v>639</v>
      </c>
    </row>
    <row r="417" customFormat="false" ht="48" hidden="false" customHeight="true" outlineLevel="0" collapsed="false">
      <c r="A417" s="99"/>
      <c r="B417" s="100" t="n">
        <v>46209</v>
      </c>
      <c r="C417" s="100" t="n">
        <v>46215</v>
      </c>
      <c r="D417" s="99" t="s">
        <v>638</v>
      </c>
      <c r="E417" s="99" t="n">
        <v>0</v>
      </c>
      <c r="F417" s="101" t="n">
        <v>0</v>
      </c>
      <c r="G417" s="102" t="n">
        <f aca="false">IFERROR(F417/INDEX($G$5:$G$34,MATCH(LOOKUP(2,1/($A$39:A417&lt;&gt;""),$A$39:A417),$A$5:$A$34,0)),0)</f>
        <v>0</v>
      </c>
      <c r="H417" s="103" t="str">
        <f aca="false">IF(G417=0,"空闲",IF(G417&lt;=0.6,"低负荷",IF(G417&lt;=0.85,"正常",IF(G417&lt;=1,"满负荷","超负荷"))))</f>
        <v>空闲</v>
      </c>
      <c r="I417" s="104" t="s">
        <v>638</v>
      </c>
      <c r="J417" s="104"/>
      <c r="K417" s="104"/>
      <c r="L417" s="105" t="s">
        <v>639</v>
      </c>
    </row>
    <row r="418" customFormat="false" ht="48" hidden="false" customHeight="true" outlineLevel="0" collapsed="false">
      <c r="A418" s="99"/>
      <c r="B418" s="100" t="n">
        <v>46216</v>
      </c>
      <c r="C418" s="100" t="n">
        <v>46222</v>
      </c>
      <c r="D418" s="99" t="s">
        <v>638</v>
      </c>
      <c r="E418" s="99" t="n">
        <v>0</v>
      </c>
      <c r="F418" s="101" t="n">
        <v>0</v>
      </c>
      <c r="G418" s="102" t="n">
        <f aca="false">IFERROR(F418/INDEX($G$5:$G$34,MATCH(LOOKUP(2,1/($A$39:A418&lt;&gt;""),$A$39:A418),$A$5:$A$34,0)),0)</f>
        <v>0</v>
      </c>
      <c r="H418" s="103" t="str">
        <f aca="false">IF(G418=0,"空闲",IF(G418&lt;=0.6,"低负荷",IF(G418&lt;=0.85,"正常",IF(G418&lt;=1,"满负荷","超负荷"))))</f>
        <v>空闲</v>
      </c>
      <c r="I418" s="104" t="s">
        <v>638</v>
      </c>
      <c r="J418" s="104"/>
      <c r="K418" s="104"/>
      <c r="L418" s="105" t="s">
        <v>639</v>
      </c>
    </row>
    <row r="419" customFormat="false" ht="48" hidden="false" customHeight="true" outlineLevel="0" collapsed="false">
      <c r="A419" s="99"/>
      <c r="B419" s="100" t="n">
        <v>46223</v>
      </c>
      <c r="C419" s="100" t="n">
        <v>46229</v>
      </c>
      <c r="D419" s="99" t="s">
        <v>638</v>
      </c>
      <c r="E419" s="99" t="n">
        <v>0</v>
      </c>
      <c r="F419" s="101" t="n">
        <v>0</v>
      </c>
      <c r="G419" s="102" t="n">
        <f aca="false">IFERROR(F419/INDEX($G$5:$G$34,MATCH(LOOKUP(2,1/($A$39:A419&lt;&gt;""),$A$39:A419),$A$5:$A$34,0)),0)</f>
        <v>0</v>
      </c>
      <c r="H419" s="103" t="str">
        <f aca="false">IF(G419=0,"空闲",IF(G419&lt;=0.6,"低负荷",IF(G419&lt;=0.85,"正常",IF(G419&lt;=1,"满负荷","超负荷"))))</f>
        <v>空闲</v>
      </c>
      <c r="I419" s="104" t="s">
        <v>638</v>
      </c>
      <c r="J419" s="104"/>
      <c r="K419" s="104"/>
      <c r="L419" s="105" t="s">
        <v>639</v>
      </c>
    </row>
    <row r="420" customFormat="false" ht="48" hidden="false" customHeight="true" outlineLevel="0" collapsed="false">
      <c r="A420" s="99"/>
      <c r="B420" s="100" t="n">
        <v>46230</v>
      </c>
      <c r="C420" s="100" t="n">
        <v>46236</v>
      </c>
      <c r="D420" s="99" t="s">
        <v>638</v>
      </c>
      <c r="E420" s="99" t="n">
        <v>0</v>
      </c>
      <c r="F420" s="101" t="n">
        <v>0</v>
      </c>
      <c r="G420" s="102" t="n">
        <f aca="false">IFERROR(F420/INDEX($G$5:$G$34,MATCH(LOOKUP(2,1/($A$39:A420&lt;&gt;""),$A$39:A420),$A$5:$A$34,0)),0)</f>
        <v>0</v>
      </c>
      <c r="H420" s="103" t="str">
        <f aca="false">IF(G420=0,"空闲",IF(G420&lt;=0.6,"低负荷",IF(G420&lt;=0.85,"正常",IF(G420&lt;=1,"满负荷","超负荷"))))</f>
        <v>空闲</v>
      </c>
      <c r="I420" s="104" t="s">
        <v>638</v>
      </c>
      <c r="J420" s="104"/>
      <c r="K420" s="104"/>
      <c r="L420" s="105" t="s">
        <v>639</v>
      </c>
    </row>
    <row r="421" customFormat="false" ht="48" hidden="false" customHeight="true" outlineLevel="0" collapsed="false">
      <c r="A421" s="99"/>
      <c r="B421" s="100" t="n">
        <v>46237</v>
      </c>
      <c r="C421" s="100" t="n">
        <v>46243</v>
      </c>
      <c r="D421" s="99" t="s">
        <v>638</v>
      </c>
      <c r="E421" s="99" t="n">
        <v>0</v>
      </c>
      <c r="F421" s="101" t="n">
        <v>0</v>
      </c>
      <c r="G421" s="102" t="n">
        <f aca="false">IFERROR(F421/INDEX($G$5:$G$34,MATCH(LOOKUP(2,1/($A$39:A421&lt;&gt;""),$A$39:A421),$A$5:$A$34,0)),0)</f>
        <v>0</v>
      </c>
      <c r="H421" s="103" t="str">
        <f aca="false">IF(G421=0,"空闲",IF(G421&lt;=0.6,"低负荷",IF(G421&lt;=0.85,"正常",IF(G421&lt;=1,"满负荷","超负荷"))))</f>
        <v>空闲</v>
      </c>
      <c r="I421" s="104" t="s">
        <v>638</v>
      </c>
      <c r="J421" s="104"/>
      <c r="K421" s="104"/>
      <c r="L421" s="105" t="s">
        <v>639</v>
      </c>
    </row>
    <row r="422" customFormat="false" ht="48" hidden="false" customHeight="true" outlineLevel="0" collapsed="false">
      <c r="A422" s="99"/>
      <c r="B422" s="100" t="n">
        <v>46244</v>
      </c>
      <c r="C422" s="100" t="n">
        <v>46250</v>
      </c>
      <c r="D422" s="99" t="s">
        <v>638</v>
      </c>
      <c r="E422" s="99" t="n">
        <v>0</v>
      </c>
      <c r="F422" s="101" t="n">
        <v>0</v>
      </c>
      <c r="G422" s="102" t="n">
        <f aca="false">IFERROR(F422/INDEX($G$5:$G$34,MATCH(LOOKUP(2,1/($A$39:A422&lt;&gt;""),$A$39:A422),$A$5:$A$34,0)),0)</f>
        <v>0</v>
      </c>
      <c r="H422" s="103" t="str">
        <f aca="false">IF(G422=0,"空闲",IF(G422&lt;=0.6,"低负荷",IF(G422&lt;=0.85,"正常",IF(G422&lt;=1,"满负荷","超负荷"))))</f>
        <v>空闲</v>
      </c>
      <c r="I422" s="104" t="s">
        <v>638</v>
      </c>
      <c r="J422" s="104"/>
      <c r="K422" s="104"/>
      <c r="L422" s="105" t="s">
        <v>639</v>
      </c>
    </row>
    <row r="423" customFormat="false" ht="48" hidden="false" customHeight="true" outlineLevel="0" collapsed="false">
      <c r="A423" s="99"/>
      <c r="B423" s="100" t="n">
        <v>46251</v>
      </c>
      <c r="C423" s="100" t="n">
        <v>46257</v>
      </c>
      <c r="D423" s="99" t="s">
        <v>638</v>
      </c>
      <c r="E423" s="99" t="n">
        <v>0</v>
      </c>
      <c r="F423" s="101" t="n">
        <v>0</v>
      </c>
      <c r="G423" s="102" t="n">
        <f aca="false">IFERROR(F423/INDEX($G$5:$G$34,MATCH(LOOKUP(2,1/($A$39:A423&lt;&gt;""),$A$39:A423),$A$5:$A$34,0)),0)</f>
        <v>0</v>
      </c>
      <c r="H423" s="103" t="str">
        <f aca="false">IF(G423=0,"空闲",IF(G423&lt;=0.6,"低负荷",IF(G423&lt;=0.85,"正常",IF(G423&lt;=1,"满负荷","超负荷"))))</f>
        <v>空闲</v>
      </c>
      <c r="I423" s="104" t="s">
        <v>638</v>
      </c>
      <c r="J423" s="104"/>
      <c r="K423" s="104"/>
      <c r="L423" s="105" t="s">
        <v>639</v>
      </c>
    </row>
    <row r="424" customFormat="false" ht="48" hidden="false" customHeight="true" outlineLevel="0" collapsed="false">
      <c r="A424" s="99"/>
      <c r="B424" s="100" t="n">
        <v>46258</v>
      </c>
      <c r="C424" s="100" t="n">
        <v>46264</v>
      </c>
      <c r="D424" s="99" t="s">
        <v>638</v>
      </c>
      <c r="E424" s="99" t="n">
        <v>0</v>
      </c>
      <c r="F424" s="101" t="n">
        <v>0</v>
      </c>
      <c r="G424" s="102" t="n">
        <f aca="false">IFERROR(F424/INDEX($G$5:$G$34,MATCH(LOOKUP(2,1/($A$39:A424&lt;&gt;""),$A$39:A424),$A$5:$A$34,0)),0)</f>
        <v>0</v>
      </c>
      <c r="H424" s="103" t="str">
        <f aca="false">IF(G424=0,"空闲",IF(G424&lt;=0.6,"低负荷",IF(G424&lt;=0.85,"正常",IF(G424&lt;=1,"满负荷","超负荷"))))</f>
        <v>空闲</v>
      </c>
      <c r="I424" s="104" t="s">
        <v>638</v>
      </c>
      <c r="J424" s="104"/>
      <c r="K424" s="104"/>
      <c r="L424" s="105" t="s">
        <v>639</v>
      </c>
    </row>
    <row r="425" customFormat="false" ht="48" hidden="false" customHeight="true" outlineLevel="0" collapsed="false">
      <c r="A425" s="99"/>
      <c r="B425" s="100" t="n">
        <v>46265</v>
      </c>
      <c r="C425" s="100" t="n">
        <v>46271</v>
      </c>
      <c r="D425" s="99" t="s">
        <v>638</v>
      </c>
      <c r="E425" s="99" t="n">
        <v>0</v>
      </c>
      <c r="F425" s="101" t="n">
        <v>0</v>
      </c>
      <c r="G425" s="102" t="n">
        <f aca="false">IFERROR(F425/INDEX($G$5:$G$34,MATCH(LOOKUP(2,1/($A$39:A425&lt;&gt;""),$A$39:A425),$A$5:$A$34,0)),0)</f>
        <v>0</v>
      </c>
      <c r="H425" s="103" t="str">
        <f aca="false">IF(G425=0,"空闲",IF(G425&lt;=0.6,"低负荷",IF(G425&lt;=0.85,"正常",IF(G425&lt;=1,"满负荷","超负荷"))))</f>
        <v>空闲</v>
      </c>
      <c r="I425" s="104" t="s">
        <v>638</v>
      </c>
      <c r="J425" s="104"/>
      <c r="K425" s="104"/>
      <c r="L425" s="105" t="s">
        <v>639</v>
      </c>
    </row>
    <row r="426" customFormat="false" ht="48" hidden="false" customHeight="true" outlineLevel="0" collapsed="false">
      <c r="A426" s="99"/>
      <c r="B426" s="100" t="n">
        <v>46272</v>
      </c>
      <c r="C426" s="100" t="n">
        <v>46278</v>
      </c>
      <c r="D426" s="99" t="s">
        <v>638</v>
      </c>
      <c r="E426" s="99" t="n">
        <v>0</v>
      </c>
      <c r="F426" s="101" t="n">
        <v>0</v>
      </c>
      <c r="G426" s="102" t="n">
        <f aca="false">IFERROR(F426/INDEX($G$5:$G$34,MATCH(LOOKUP(2,1/($A$39:A426&lt;&gt;""),$A$39:A426),$A$5:$A$34,0)),0)</f>
        <v>0</v>
      </c>
      <c r="H426" s="103" t="str">
        <f aca="false">IF(G426=0,"空闲",IF(G426&lt;=0.6,"低负荷",IF(G426&lt;=0.85,"正常",IF(G426&lt;=1,"满负荷","超负荷"))))</f>
        <v>空闲</v>
      </c>
      <c r="I426" s="104" t="s">
        <v>638</v>
      </c>
      <c r="J426" s="104"/>
      <c r="K426" s="104"/>
      <c r="L426" s="105" t="s">
        <v>639</v>
      </c>
    </row>
    <row r="427" customFormat="false" ht="48" hidden="false" customHeight="true" outlineLevel="0" collapsed="false">
      <c r="A427" s="99"/>
      <c r="B427" s="100" t="n">
        <v>46279</v>
      </c>
      <c r="C427" s="100" t="n">
        <v>46285</v>
      </c>
      <c r="D427" s="99" t="s">
        <v>638</v>
      </c>
      <c r="E427" s="99" t="n">
        <v>0</v>
      </c>
      <c r="F427" s="101" t="n">
        <v>0</v>
      </c>
      <c r="G427" s="102" t="n">
        <f aca="false">IFERROR(F427/INDEX($G$5:$G$34,MATCH(LOOKUP(2,1/($A$39:A427&lt;&gt;""),$A$39:A427),$A$5:$A$34,0)),0)</f>
        <v>0</v>
      </c>
      <c r="H427" s="103" t="str">
        <f aca="false">IF(G427=0,"空闲",IF(G427&lt;=0.6,"低负荷",IF(G427&lt;=0.85,"正常",IF(G427&lt;=1,"满负荷","超负荷"))))</f>
        <v>空闲</v>
      </c>
      <c r="I427" s="104" t="s">
        <v>638</v>
      </c>
      <c r="J427" s="104"/>
      <c r="K427" s="104"/>
      <c r="L427" s="105" t="s">
        <v>639</v>
      </c>
    </row>
    <row r="428" customFormat="false" ht="48" hidden="false" customHeight="true" outlineLevel="0" collapsed="false">
      <c r="A428" s="99"/>
      <c r="B428" s="100" t="n">
        <v>46286</v>
      </c>
      <c r="C428" s="100" t="n">
        <v>46292</v>
      </c>
      <c r="D428" s="99" t="s">
        <v>638</v>
      </c>
      <c r="E428" s="99" t="n">
        <v>0</v>
      </c>
      <c r="F428" s="101" t="n">
        <v>0</v>
      </c>
      <c r="G428" s="102" t="n">
        <f aca="false">IFERROR(F428/INDEX($G$5:$G$34,MATCH(LOOKUP(2,1/($A$39:A428&lt;&gt;""),$A$39:A428),$A$5:$A$34,0)),0)</f>
        <v>0</v>
      </c>
      <c r="H428" s="103" t="str">
        <f aca="false">IF(G428=0,"空闲",IF(G428&lt;=0.6,"低负荷",IF(G428&lt;=0.85,"正常",IF(G428&lt;=1,"满负荷","超负荷"))))</f>
        <v>空闲</v>
      </c>
      <c r="I428" s="104" t="s">
        <v>638</v>
      </c>
      <c r="J428" s="104"/>
      <c r="K428" s="104"/>
      <c r="L428" s="105" t="s">
        <v>639</v>
      </c>
    </row>
    <row r="429" customFormat="false" ht="48" hidden="false" customHeight="true" outlineLevel="0" collapsed="false">
      <c r="A429" s="99"/>
      <c r="B429" s="100" t="n">
        <v>46293</v>
      </c>
      <c r="C429" s="100" t="n">
        <v>46299</v>
      </c>
      <c r="D429" s="99" t="s">
        <v>638</v>
      </c>
      <c r="E429" s="99" t="n">
        <v>0</v>
      </c>
      <c r="F429" s="101" t="n">
        <v>0</v>
      </c>
      <c r="G429" s="102" t="n">
        <f aca="false">IFERROR(F429/INDEX($G$5:$G$34,MATCH(LOOKUP(2,1/($A$39:A429&lt;&gt;""),$A$39:A429),$A$5:$A$34,0)),0)</f>
        <v>0</v>
      </c>
      <c r="H429" s="103" t="str">
        <f aca="false">IF(G429=0,"空闲",IF(G429&lt;=0.6,"低负荷",IF(G429&lt;=0.85,"正常",IF(G429&lt;=1,"满负荷","超负荷"))))</f>
        <v>空闲</v>
      </c>
      <c r="I429" s="104" t="s">
        <v>638</v>
      </c>
      <c r="J429" s="104"/>
      <c r="K429" s="104"/>
      <c r="L429" s="105" t="s">
        <v>639</v>
      </c>
    </row>
    <row r="430" customFormat="false" ht="48" hidden="false" customHeight="true" outlineLevel="0" collapsed="false">
      <c r="A430" s="99"/>
      <c r="B430" s="100" t="n">
        <v>46300</v>
      </c>
      <c r="C430" s="100" t="n">
        <v>46306</v>
      </c>
      <c r="D430" s="99" t="s">
        <v>638</v>
      </c>
      <c r="E430" s="99" t="n">
        <v>0</v>
      </c>
      <c r="F430" s="101" t="n">
        <v>0</v>
      </c>
      <c r="G430" s="102" t="n">
        <f aca="false">IFERROR(F430/INDEX($G$5:$G$34,MATCH(LOOKUP(2,1/($A$39:A430&lt;&gt;""),$A$39:A430),$A$5:$A$34,0)),0)</f>
        <v>0</v>
      </c>
      <c r="H430" s="103" t="str">
        <f aca="false">IF(G430=0,"空闲",IF(G430&lt;=0.6,"低负荷",IF(G430&lt;=0.85,"正常",IF(G430&lt;=1,"满负荷","超负荷"))))</f>
        <v>空闲</v>
      </c>
      <c r="I430" s="104" t="s">
        <v>638</v>
      </c>
      <c r="J430" s="104"/>
      <c r="K430" s="104"/>
      <c r="L430" s="105" t="s">
        <v>639</v>
      </c>
    </row>
    <row r="431" customFormat="false" ht="48" hidden="false" customHeight="true" outlineLevel="0" collapsed="false">
      <c r="A431" s="99"/>
      <c r="B431" s="100" t="n">
        <v>46307</v>
      </c>
      <c r="C431" s="100" t="n">
        <v>46313</v>
      </c>
      <c r="D431" s="99" t="s">
        <v>638</v>
      </c>
      <c r="E431" s="99" t="n">
        <v>0</v>
      </c>
      <c r="F431" s="101" t="n">
        <v>0</v>
      </c>
      <c r="G431" s="102" t="n">
        <f aca="false">IFERROR(F431/INDEX($G$5:$G$34,MATCH(LOOKUP(2,1/($A$39:A431&lt;&gt;""),$A$39:A431),$A$5:$A$34,0)),0)</f>
        <v>0</v>
      </c>
      <c r="H431" s="103" t="str">
        <f aca="false">IF(G431=0,"空闲",IF(G431&lt;=0.6,"低负荷",IF(G431&lt;=0.85,"正常",IF(G431&lt;=1,"满负荷","超负荷"))))</f>
        <v>空闲</v>
      </c>
      <c r="I431" s="104" t="s">
        <v>638</v>
      </c>
      <c r="J431" s="104"/>
      <c r="K431" s="104"/>
      <c r="L431" s="105" t="s">
        <v>639</v>
      </c>
    </row>
    <row r="432" customFormat="false" ht="48" hidden="false" customHeight="true" outlineLevel="0" collapsed="false">
      <c r="A432" s="99"/>
      <c r="B432" s="100" t="n">
        <v>46314</v>
      </c>
      <c r="C432" s="100" t="n">
        <v>46320</v>
      </c>
      <c r="D432" s="99" t="s">
        <v>640</v>
      </c>
      <c r="E432" s="99" t="n">
        <v>1</v>
      </c>
      <c r="F432" s="101" t="n">
        <v>40</v>
      </c>
      <c r="G432" s="102" t="n">
        <f aca="false">IFERROR(F432/INDEX($G$5:$G$34,MATCH(LOOKUP(2,1/($A$39:A432&lt;&gt;""),$A$39:A432),$A$5:$A$34,0)),0)</f>
        <v>1</v>
      </c>
      <c r="H432" s="103" t="str">
        <f aca="false">IF(G432=0,"空闲",IF(G432&lt;=0.6,"低负荷",IF(G432&lt;=0.85,"正常",IF(G432&lt;=1,"满负荷","超负荷"))))</f>
        <v>满负荷</v>
      </c>
      <c r="I432" s="106" t="s">
        <v>697</v>
      </c>
      <c r="J432" s="106"/>
      <c r="K432" s="106"/>
      <c r="L432" s="105" t="s">
        <v>642</v>
      </c>
    </row>
    <row r="433" customFormat="false" ht="48" hidden="false" customHeight="true" outlineLevel="0" collapsed="false">
      <c r="A433" s="99"/>
      <c r="B433" s="100" t="n">
        <v>46321</v>
      </c>
      <c r="C433" s="100" t="n">
        <v>46327</v>
      </c>
      <c r="D433" s="99" t="s">
        <v>640</v>
      </c>
      <c r="E433" s="99" t="n">
        <v>1</v>
      </c>
      <c r="F433" s="101" t="n">
        <v>40</v>
      </c>
      <c r="G433" s="102" t="n">
        <f aca="false">IFERROR(F433/INDEX($G$5:$G$34,MATCH(LOOKUP(2,1/($A$39:A433&lt;&gt;""),$A$39:A433),$A$5:$A$34,0)),0)</f>
        <v>1</v>
      </c>
      <c r="H433" s="103" t="str">
        <f aca="false">IF(G433=0,"空闲",IF(G433&lt;=0.6,"低负荷",IF(G433&lt;=0.85,"正常",IF(G433&lt;=1,"满负荷","超负荷"))))</f>
        <v>满负荷</v>
      </c>
      <c r="I433" s="106" t="s">
        <v>697</v>
      </c>
      <c r="J433" s="106"/>
      <c r="K433" s="106"/>
      <c r="L433" s="105" t="s">
        <v>642</v>
      </c>
    </row>
    <row r="434" customFormat="false" ht="48" hidden="false" customHeight="true" outlineLevel="0" collapsed="false">
      <c r="A434" s="99"/>
      <c r="B434" s="100" t="n">
        <v>46328</v>
      </c>
      <c r="C434" s="100" t="n">
        <v>46334</v>
      </c>
      <c r="D434" s="99" t="s">
        <v>640</v>
      </c>
      <c r="E434" s="99" t="n">
        <v>1</v>
      </c>
      <c r="F434" s="101" t="n">
        <v>40</v>
      </c>
      <c r="G434" s="102" t="n">
        <f aca="false">IFERROR(F434/INDEX($G$5:$G$34,MATCH(LOOKUP(2,1/($A$39:A434&lt;&gt;""),$A$39:A434),$A$5:$A$34,0)),0)</f>
        <v>1</v>
      </c>
      <c r="H434" s="103" t="str">
        <f aca="false">IF(G434=0,"空闲",IF(G434&lt;=0.6,"低负荷",IF(G434&lt;=0.85,"正常",IF(G434&lt;=1,"满负荷","超负荷"))))</f>
        <v>满负荷</v>
      </c>
      <c r="I434" s="106" t="s">
        <v>698</v>
      </c>
      <c r="J434" s="106"/>
      <c r="K434" s="106"/>
      <c r="L434" s="105" t="s">
        <v>642</v>
      </c>
    </row>
    <row r="435" customFormat="false" ht="48" hidden="false" customHeight="true" outlineLevel="0" collapsed="false">
      <c r="A435" s="99"/>
      <c r="B435" s="100" t="n">
        <v>46335</v>
      </c>
      <c r="C435" s="100" t="n">
        <v>46341</v>
      </c>
      <c r="D435" s="99" t="s">
        <v>640</v>
      </c>
      <c r="E435" s="99" t="n">
        <v>1</v>
      </c>
      <c r="F435" s="101" t="n">
        <v>40</v>
      </c>
      <c r="G435" s="102" t="n">
        <f aca="false">IFERROR(F435/INDEX($G$5:$G$34,MATCH(LOOKUP(2,1/($A$39:A435&lt;&gt;""),$A$39:A435),$A$5:$A$34,0)),0)</f>
        <v>1</v>
      </c>
      <c r="H435" s="103" t="str">
        <f aca="false">IF(G435=0,"空闲",IF(G435&lt;=0.6,"低负荷",IF(G435&lt;=0.85,"正常",IF(G435&lt;=1,"满负荷","超负荷"))))</f>
        <v>满负荷</v>
      </c>
      <c r="I435" s="106" t="s">
        <v>698</v>
      </c>
      <c r="J435" s="106"/>
      <c r="K435" s="106"/>
      <c r="L435" s="105" t="s">
        <v>642</v>
      </c>
    </row>
    <row r="436" customFormat="false" ht="48" hidden="false" customHeight="true" outlineLevel="0" collapsed="false">
      <c r="A436" s="99"/>
      <c r="B436" s="100" t="n">
        <v>46342</v>
      </c>
      <c r="C436" s="100" t="n">
        <v>46348</v>
      </c>
      <c r="D436" s="99" t="s">
        <v>638</v>
      </c>
      <c r="E436" s="99" t="n">
        <v>0</v>
      </c>
      <c r="F436" s="101" t="n">
        <v>0</v>
      </c>
      <c r="G436" s="102" t="n">
        <f aca="false">IFERROR(F436/INDEX($G$5:$G$34,MATCH(LOOKUP(2,1/($A$39:A436&lt;&gt;""),$A$39:A436),$A$5:$A$34,0)),0)</f>
        <v>0</v>
      </c>
      <c r="H436" s="103" t="str">
        <f aca="false">IF(G436=0,"空闲",IF(G436&lt;=0.6,"低负荷",IF(G436&lt;=0.85,"正常",IF(G436&lt;=1,"满负荷","超负荷"))))</f>
        <v>空闲</v>
      </c>
      <c r="I436" s="104" t="s">
        <v>638</v>
      </c>
      <c r="J436" s="104"/>
      <c r="K436" s="104"/>
      <c r="L436" s="105" t="s">
        <v>639</v>
      </c>
    </row>
    <row r="437" customFormat="false" ht="48" hidden="false" customHeight="true" outlineLevel="0" collapsed="false">
      <c r="A437" s="99"/>
      <c r="B437" s="100" t="n">
        <v>46349</v>
      </c>
      <c r="C437" s="100" t="n">
        <v>46355</v>
      </c>
      <c r="D437" s="99" t="s">
        <v>638</v>
      </c>
      <c r="E437" s="99" t="n">
        <v>0</v>
      </c>
      <c r="F437" s="101" t="n">
        <v>0</v>
      </c>
      <c r="G437" s="102" t="n">
        <f aca="false">IFERROR(F437/INDEX($G$5:$G$34,MATCH(LOOKUP(2,1/($A$39:A437&lt;&gt;""),$A$39:A437),$A$5:$A$34,0)),0)</f>
        <v>0</v>
      </c>
      <c r="H437" s="103" t="str">
        <f aca="false">IF(G437=0,"空闲",IF(G437&lt;=0.6,"低负荷",IF(G437&lt;=0.85,"正常",IF(G437&lt;=1,"满负荷","超负荷"))))</f>
        <v>空闲</v>
      </c>
      <c r="I437" s="104" t="s">
        <v>638</v>
      </c>
      <c r="J437" s="104"/>
      <c r="K437" s="104"/>
      <c r="L437" s="105" t="s">
        <v>639</v>
      </c>
    </row>
    <row r="438" customFormat="false" ht="48" hidden="false" customHeight="true" outlineLevel="0" collapsed="false">
      <c r="A438" s="99"/>
      <c r="B438" s="100" t="n">
        <v>46356</v>
      </c>
      <c r="C438" s="100" t="n">
        <v>46362</v>
      </c>
      <c r="D438" s="99" t="s">
        <v>638</v>
      </c>
      <c r="E438" s="99" t="n">
        <v>0</v>
      </c>
      <c r="F438" s="101" t="n">
        <v>0</v>
      </c>
      <c r="G438" s="102" t="n">
        <f aca="false">IFERROR(F438/INDEX($G$5:$G$34,MATCH(LOOKUP(2,1/($A$39:A438&lt;&gt;""),$A$39:A438),$A$5:$A$34,0)),0)</f>
        <v>0</v>
      </c>
      <c r="H438" s="103" t="str">
        <f aca="false">IF(G438=0,"空闲",IF(G438&lt;=0.6,"低负荷",IF(G438&lt;=0.85,"正常",IF(G438&lt;=1,"满负荷","超负荷"))))</f>
        <v>空闲</v>
      </c>
      <c r="I438" s="104" t="s">
        <v>638</v>
      </c>
      <c r="J438" s="104"/>
      <c r="K438" s="104"/>
      <c r="L438" s="105" t="s">
        <v>639</v>
      </c>
    </row>
    <row r="439" customFormat="false" ht="48" hidden="false" customHeight="true" outlineLevel="0" collapsed="false">
      <c r="A439" s="99"/>
      <c r="B439" s="100" t="n">
        <v>46363</v>
      </c>
      <c r="C439" s="100" t="n">
        <v>46369</v>
      </c>
      <c r="D439" s="99" t="s">
        <v>638</v>
      </c>
      <c r="E439" s="99" t="n">
        <v>0</v>
      </c>
      <c r="F439" s="101" t="n">
        <v>0</v>
      </c>
      <c r="G439" s="102" t="n">
        <f aca="false">IFERROR(F439/INDEX($G$5:$G$34,MATCH(LOOKUP(2,1/($A$39:A439&lt;&gt;""),$A$39:A439),$A$5:$A$34,0)),0)</f>
        <v>0</v>
      </c>
      <c r="H439" s="103" t="str">
        <f aca="false">IF(G439=0,"空闲",IF(G439&lt;=0.6,"低负荷",IF(G439&lt;=0.85,"正常",IF(G439&lt;=1,"满负荷","超负荷"))))</f>
        <v>空闲</v>
      </c>
      <c r="I439" s="104" t="s">
        <v>638</v>
      </c>
      <c r="J439" s="104"/>
      <c r="K439" s="104"/>
      <c r="L439" s="105" t="s">
        <v>639</v>
      </c>
    </row>
    <row r="440" customFormat="false" ht="48" hidden="false" customHeight="true" outlineLevel="0" collapsed="false">
      <c r="A440" s="99"/>
      <c r="B440" s="100" t="n">
        <v>46370</v>
      </c>
      <c r="C440" s="100" t="n">
        <v>46376</v>
      </c>
      <c r="D440" s="99" t="s">
        <v>638</v>
      </c>
      <c r="E440" s="99" t="n">
        <v>0</v>
      </c>
      <c r="F440" s="101" t="n">
        <v>0</v>
      </c>
      <c r="G440" s="102" t="n">
        <f aca="false">IFERROR(F440/INDEX($G$5:$G$34,MATCH(LOOKUP(2,1/($A$39:A440&lt;&gt;""),$A$39:A440),$A$5:$A$34,0)),0)</f>
        <v>0</v>
      </c>
      <c r="H440" s="103" t="str">
        <f aca="false">IF(G440=0,"空闲",IF(G440&lt;=0.6,"低负荷",IF(G440&lt;=0.85,"正常",IF(G440&lt;=1,"满负荷","超负荷"))))</f>
        <v>空闲</v>
      </c>
      <c r="I440" s="104" t="s">
        <v>638</v>
      </c>
      <c r="J440" s="104"/>
      <c r="K440" s="104"/>
      <c r="L440" s="105" t="s">
        <v>639</v>
      </c>
    </row>
    <row r="441" customFormat="false" ht="48" hidden="false" customHeight="true" outlineLevel="0" collapsed="false">
      <c r="A441" s="99"/>
      <c r="B441" s="100" t="n">
        <v>46377</v>
      </c>
      <c r="C441" s="100" t="n">
        <v>46383</v>
      </c>
      <c r="D441" s="99" t="s">
        <v>638</v>
      </c>
      <c r="E441" s="99" t="n">
        <v>0</v>
      </c>
      <c r="F441" s="101" t="n">
        <v>0</v>
      </c>
      <c r="G441" s="102" t="n">
        <f aca="false">IFERROR(F441/INDEX($G$5:$G$34,MATCH(LOOKUP(2,1/($A$39:A441&lt;&gt;""),$A$39:A441),$A$5:$A$34,0)),0)</f>
        <v>0</v>
      </c>
      <c r="H441" s="103" t="str">
        <f aca="false">IF(G441=0,"空闲",IF(G441&lt;=0.6,"低负荷",IF(G441&lt;=0.85,"正常",IF(G441&lt;=1,"满负荷","超负荷"))))</f>
        <v>空闲</v>
      </c>
      <c r="I441" s="104" t="s">
        <v>638</v>
      </c>
      <c r="J441" s="104"/>
      <c r="K441" s="104"/>
      <c r="L441" s="105" t="s">
        <v>639</v>
      </c>
    </row>
    <row r="442" customFormat="false" ht="48" hidden="false" customHeight="true" outlineLevel="0" collapsed="false">
      <c r="A442" s="99"/>
      <c r="B442" s="100" t="n">
        <v>46384</v>
      </c>
      <c r="C442" s="100" t="n">
        <v>46390</v>
      </c>
      <c r="D442" s="99" t="s">
        <v>638</v>
      </c>
      <c r="E442" s="99" t="n">
        <v>0</v>
      </c>
      <c r="F442" s="101" t="n">
        <v>0</v>
      </c>
      <c r="G442" s="102" t="n">
        <f aca="false">IFERROR(F442/INDEX($G$5:$G$34,MATCH(LOOKUP(2,1/($A$39:A442&lt;&gt;""),$A$39:A442),$A$5:$A$34,0)),0)</f>
        <v>0</v>
      </c>
      <c r="H442" s="103" t="str">
        <f aca="false">IF(G442=0,"空闲",IF(G442&lt;=0.6,"低负荷",IF(G442&lt;=0.85,"正常",IF(G442&lt;=1,"满负荷","超负荷"))))</f>
        <v>空闲</v>
      </c>
      <c r="I442" s="104" t="s">
        <v>638</v>
      </c>
      <c r="J442" s="104"/>
      <c r="K442" s="104"/>
      <c r="L442" s="105" t="s">
        <v>639</v>
      </c>
    </row>
    <row r="443" customFormat="false" ht="48" hidden="false" customHeight="true" outlineLevel="0" collapsed="false">
      <c r="A443" s="99"/>
      <c r="B443" s="100" t="n">
        <v>46391</v>
      </c>
      <c r="C443" s="100" t="n">
        <v>46397</v>
      </c>
      <c r="D443" s="99" t="s">
        <v>638</v>
      </c>
      <c r="E443" s="99" t="n">
        <v>0</v>
      </c>
      <c r="F443" s="101" t="n">
        <v>0</v>
      </c>
      <c r="G443" s="102" t="n">
        <f aca="false">IFERROR(F443/INDEX($G$5:$G$34,MATCH(LOOKUP(2,1/($A$39:A443&lt;&gt;""),$A$39:A443),$A$5:$A$34,0)),0)</f>
        <v>0</v>
      </c>
      <c r="H443" s="103" t="str">
        <f aca="false">IF(G443=0,"空闲",IF(G443&lt;=0.6,"低负荷",IF(G443&lt;=0.85,"正常",IF(G443&lt;=1,"满负荷","超负荷"))))</f>
        <v>空闲</v>
      </c>
      <c r="I443" s="104" t="s">
        <v>638</v>
      </c>
      <c r="J443" s="104"/>
      <c r="K443" s="104"/>
      <c r="L443" s="105" t="s">
        <v>639</v>
      </c>
    </row>
    <row r="444" customFormat="false" ht="48" hidden="false" customHeight="true" outlineLevel="0" collapsed="false">
      <c r="A444" s="99"/>
      <c r="B444" s="100" t="n">
        <v>46398</v>
      </c>
      <c r="C444" s="100" t="n">
        <v>46404</v>
      </c>
      <c r="D444" s="99" t="s">
        <v>638</v>
      </c>
      <c r="E444" s="99" t="n">
        <v>0</v>
      </c>
      <c r="F444" s="101" t="n">
        <v>0</v>
      </c>
      <c r="G444" s="102" t="n">
        <f aca="false">IFERROR(F444/INDEX($G$5:$G$34,MATCH(LOOKUP(2,1/($A$39:A444&lt;&gt;""),$A$39:A444),$A$5:$A$34,0)),0)</f>
        <v>0</v>
      </c>
      <c r="H444" s="103" t="str">
        <f aca="false">IF(G444=0,"空闲",IF(G444&lt;=0.6,"低负荷",IF(G444&lt;=0.85,"正常",IF(G444&lt;=1,"满负荷","超负荷"))))</f>
        <v>空闲</v>
      </c>
      <c r="I444" s="104" t="s">
        <v>638</v>
      </c>
      <c r="J444" s="104"/>
      <c r="K444" s="104"/>
      <c r="L444" s="105" t="s">
        <v>639</v>
      </c>
    </row>
    <row r="445" customFormat="false" ht="48" hidden="false" customHeight="true" outlineLevel="0" collapsed="false">
      <c r="A445" s="99"/>
      <c r="B445" s="100" t="n">
        <v>46405</v>
      </c>
      <c r="C445" s="100" t="n">
        <v>46411</v>
      </c>
      <c r="D445" s="99" t="s">
        <v>638</v>
      </c>
      <c r="E445" s="99" t="n">
        <v>0</v>
      </c>
      <c r="F445" s="101" t="n">
        <v>0</v>
      </c>
      <c r="G445" s="102" t="n">
        <f aca="false">IFERROR(F445/INDEX($G$5:$G$34,MATCH(LOOKUP(2,1/($A$39:A445&lt;&gt;""),$A$39:A445),$A$5:$A$34,0)),0)</f>
        <v>0</v>
      </c>
      <c r="H445" s="103" t="str">
        <f aca="false">IF(G445=0,"空闲",IF(G445&lt;=0.6,"低负荷",IF(G445&lt;=0.85,"正常",IF(G445&lt;=1,"满负荷","超负荷"))))</f>
        <v>空闲</v>
      </c>
      <c r="I445" s="104" t="s">
        <v>638</v>
      </c>
      <c r="J445" s="104"/>
      <c r="K445" s="104"/>
      <c r="L445" s="105" t="s">
        <v>639</v>
      </c>
    </row>
    <row r="446" customFormat="false" ht="48" hidden="false" customHeight="true" outlineLevel="0" collapsed="false">
      <c r="A446" s="99"/>
      <c r="B446" s="100" t="n">
        <v>46412</v>
      </c>
      <c r="C446" s="100" t="n">
        <v>46418</v>
      </c>
      <c r="D446" s="99" t="s">
        <v>638</v>
      </c>
      <c r="E446" s="99" t="n">
        <v>0</v>
      </c>
      <c r="F446" s="101" t="n">
        <v>0</v>
      </c>
      <c r="G446" s="102" t="n">
        <f aca="false">IFERROR(F446/INDEX($G$5:$G$34,MATCH(LOOKUP(2,1/($A$39:A446&lt;&gt;""),$A$39:A446),$A$5:$A$34,0)),0)</f>
        <v>0</v>
      </c>
      <c r="H446" s="103" t="str">
        <f aca="false">IF(G446=0,"空闲",IF(G446&lt;=0.6,"低负荷",IF(G446&lt;=0.85,"正常",IF(G446&lt;=1,"满负荷","超负荷"))))</f>
        <v>空闲</v>
      </c>
      <c r="I446" s="104" t="s">
        <v>638</v>
      </c>
      <c r="J446" s="104"/>
      <c r="K446" s="104"/>
      <c r="L446" s="105" t="s">
        <v>639</v>
      </c>
    </row>
    <row r="447" customFormat="false" ht="48" hidden="false" customHeight="true" outlineLevel="0" collapsed="false">
      <c r="A447" s="99"/>
      <c r="B447" s="100" t="n">
        <v>46419</v>
      </c>
      <c r="C447" s="100" t="n">
        <v>46425</v>
      </c>
      <c r="D447" s="99" t="s">
        <v>638</v>
      </c>
      <c r="E447" s="99" t="n">
        <v>0</v>
      </c>
      <c r="F447" s="101" t="n">
        <v>0</v>
      </c>
      <c r="G447" s="102" t="n">
        <f aca="false">IFERROR(F447/INDEX($G$5:$G$34,MATCH(LOOKUP(2,1/($A$39:A447&lt;&gt;""),$A$39:A447),$A$5:$A$34,0)),0)</f>
        <v>0</v>
      </c>
      <c r="H447" s="103" t="str">
        <f aca="false">IF(G447=0,"空闲",IF(G447&lt;=0.6,"低负荷",IF(G447&lt;=0.85,"正常",IF(G447&lt;=1,"满负荷","超负荷"))))</f>
        <v>空闲</v>
      </c>
      <c r="I447" s="104" t="s">
        <v>638</v>
      </c>
      <c r="J447" s="104"/>
      <c r="K447" s="104"/>
      <c r="L447" s="105" t="s">
        <v>639</v>
      </c>
    </row>
    <row r="448" customFormat="false" ht="48" hidden="false" customHeight="true" outlineLevel="0" collapsed="false">
      <c r="A448" s="99"/>
      <c r="B448" s="100" t="n">
        <v>46426</v>
      </c>
      <c r="C448" s="100" t="n">
        <v>46432</v>
      </c>
      <c r="D448" s="99" t="s">
        <v>638</v>
      </c>
      <c r="E448" s="99" t="n">
        <v>0</v>
      </c>
      <c r="F448" s="101" t="n">
        <v>0</v>
      </c>
      <c r="G448" s="102" t="n">
        <f aca="false">IFERROR(F448/INDEX($G$5:$G$34,MATCH(LOOKUP(2,1/($A$39:A448&lt;&gt;""),$A$39:A448),$A$5:$A$34,0)),0)</f>
        <v>0</v>
      </c>
      <c r="H448" s="103" t="str">
        <f aca="false">IF(G448=0,"空闲",IF(G448&lt;=0.6,"低负荷",IF(G448&lt;=0.85,"正常",IF(G448&lt;=1,"满负荷","超负荷"))))</f>
        <v>空闲</v>
      </c>
      <c r="I448" s="104" t="s">
        <v>638</v>
      </c>
      <c r="J448" s="104"/>
      <c r="K448" s="104"/>
      <c r="L448" s="105" t="s">
        <v>639</v>
      </c>
    </row>
    <row r="449" customFormat="false" ht="48" hidden="false" customHeight="true" outlineLevel="0" collapsed="false">
      <c r="A449" s="99"/>
      <c r="B449" s="100" t="n">
        <v>46433</v>
      </c>
      <c r="C449" s="100" t="n">
        <v>46439</v>
      </c>
      <c r="D449" s="99" t="s">
        <v>638</v>
      </c>
      <c r="E449" s="99" t="n">
        <v>0</v>
      </c>
      <c r="F449" s="101" t="n">
        <v>0</v>
      </c>
      <c r="G449" s="102" t="n">
        <f aca="false">IFERROR(F449/INDEX($G$5:$G$34,MATCH(LOOKUP(2,1/($A$39:A449&lt;&gt;""),$A$39:A449),$A$5:$A$34,0)),0)</f>
        <v>0</v>
      </c>
      <c r="H449" s="103" t="str">
        <f aca="false">IF(G449=0,"空闲",IF(G449&lt;=0.6,"低负荷",IF(G449&lt;=0.85,"正常",IF(G449&lt;=1,"满负荷","超负荷"))))</f>
        <v>空闲</v>
      </c>
      <c r="I449" s="104" t="s">
        <v>638</v>
      </c>
      <c r="J449" s="104"/>
      <c r="K449" s="104"/>
      <c r="L449" s="105" t="s">
        <v>639</v>
      </c>
    </row>
    <row r="450" customFormat="false" ht="48" hidden="false" customHeight="true" outlineLevel="0" collapsed="false">
      <c r="A450" s="99"/>
      <c r="B450" s="100" t="n">
        <v>46440</v>
      </c>
      <c r="C450" s="100" t="n">
        <v>46446</v>
      </c>
      <c r="D450" s="99" t="s">
        <v>638</v>
      </c>
      <c r="E450" s="99" t="n">
        <v>0</v>
      </c>
      <c r="F450" s="101" t="n">
        <v>0</v>
      </c>
      <c r="G450" s="102" t="n">
        <f aca="false">IFERROR(F450/INDEX($G$5:$G$34,MATCH(LOOKUP(2,1/($A$39:A450&lt;&gt;""),$A$39:A450),$A$5:$A$34,0)),0)</f>
        <v>0</v>
      </c>
      <c r="H450" s="103" t="str">
        <f aca="false">IF(G450=0,"空闲",IF(G450&lt;=0.6,"低负荷",IF(G450&lt;=0.85,"正常",IF(G450&lt;=1,"满负荷","超负荷"))))</f>
        <v>空闲</v>
      </c>
      <c r="I450" s="104" t="s">
        <v>638</v>
      </c>
      <c r="J450" s="104"/>
      <c r="K450" s="104"/>
      <c r="L450" s="105" t="s">
        <v>639</v>
      </c>
    </row>
    <row r="451" customFormat="false" ht="48" hidden="false" customHeight="true" outlineLevel="0" collapsed="false">
      <c r="A451" s="99"/>
      <c r="B451" s="100" t="n">
        <v>46447</v>
      </c>
      <c r="C451" s="100" t="n">
        <v>46453</v>
      </c>
      <c r="D451" s="99" t="s">
        <v>638</v>
      </c>
      <c r="E451" s="99" t="n">
        <v>0</v>
      </c>
      <c r="F451" s="101" t="n">
        <v>0</v>
      </c>
      <c r="G451" s="102" t="n">
        <f aca="false">IFERROR(F451/INDEX($G$5:$G$34,MATCH(LOOKUP(2,1/($A$39:A451&lt;&gt;""),$A$39:A451),$A$5:$A$34,0)),0)</f>
        <v>0</v>
      </c>
      <c r="H451" s="103" t="str">
        <f aca="false">IF(G451=0,"空闲",IF(G451&lt;=0.6,"低负荷",IF(G451&lt;=0.85,"正常",IF(G451&lt;=1,"满负荷","超负荷"))))</f>
        <v>空闲</v>
      </c>
      <c r="I451" s="104" t="s">
        <v>638</v>
      </c>
      <c r="J451" s="104"/>
      <c r="K451" s="104"/>
      <c r="L451" s="105" t="s">
        <v>639</v>
      </c>
    </row>
    <row r="452" customFormat="false" ht="48" hidden="false" customHeight="true" outlineLevel="0" collapsed="false">
      <c r="A452" s="99"/>
      <c r="B452" s="100" t="n">
        <v>46454</v>
      </c>
      <c r="C452" s="100" t="n">
        <v>46460</v>
      </c>
      <c r="D452" s="99" t="s">
        <v>638</v>
      </c>
      <c r="E452" s="99" t="n">
        <v>0</v>
      </c>
      <c r="F452" s="101" t="n">
        <v>0</v>
      </c>
      <c r="G452" s="102" t="n">
        <f aca="false">IFERROR(F452/INDEX($G$5:$G$34,MATCH(LOOKUP(2,1/($A$39:A452&lt;&gt;""),$A$39:A452),$A$5:$A$34,0)),0)</f>
        <v>0</v>
      </c>
      <c r="H452" s="103" t="str">
        <f aca="false">IF(G452=0,"空闲",IF(G452&lt;=0.6,"低负荷",IF(G452&lt;=0.85,"正常",IF(G452&lt;=1,"满负荷","超负荷"))))</f>
        <v>空闲</v>
      </c>
      <c r="I452" s="104" t="s">
        <v>638</v>
      </c>
      <c r="J452" s="104"/>
      <c r="K452" s="104"/>
      <c r="L452" s="105" t="s">
        <v>639</v>
      </c>
    </row>
    <row r="453" customFormat="false" ht="48" hidden="false" customHeight="true" outlineLevel="0" collapsed="false">
      <c r="A453" s="99"/>
      <c r="B453" s="100" t="n">
        <v>46461</v>
      </c>
      <c r="C453" s="100" t="n">
        <v>46467</v>
      </c>
      <c r="D453" s="99" t="s">
        <v>638</v>
      </c>
      <c r="E453" s="99" t="n">
        <v>0</v>
      </c>
      <c r="F453" s="101" t="n">
        <v>0</v>
      </c>
      <c r="G453" s="102" t="n">
        <f aca="false">IFERROR(F453/INDEX($G$5:$G$34,MATCH(LOOKUP(2,1/($A$39:A453&lt;&gt;""),$A$39:A453),$A$5:$A$34,0)),0)</f>
        <v>0</v>
      </c>
      <c r="H453" s="103" t="str">
        <f aca="false">IF(G453=0,"空闲",IF(G453&lt;=0.6,"低负荷",IF(G453&lt;=0.85,"正常",IF(G453&lt;=1,"满负荷","超负荷"))))</f>
        <v>空闲</v>
      </c>
      <c r="I453" s="104" t="s">
        <v>638</v>
      </c>
      <c r="J453" s="104"/>
      <c r="K453" s="104"/>
      <c r="L453" s="105" t="s">
        <v>639</v>
      </c>
    </row>
    <row r="454" customFormat="false" ht="48" hidden="false" customHeight="true" outlineLevel="0" collapsed="false">
      <c r="A454" s="99"/>
      <c r="B454" s="100" t="n">
        <v>46468</v>
      </c>
      <c r="C454" s="100" t="n">
        <v>46474</v>
      </c>
      <c r="D454" s="99" t="s">
        <v>638</v>
      </c>
      <c r="E454" s="99" t="n">
        <v>0</v>
      </c>
      <c r="F454" s="101" t="n">
        <v>0</v>
      </c>
      <c r="G454" s="102" t="n">
        <f aca="false">IFERROR(F454/INDEX($G$5:$G$34,MATCH(LOOKUP(2,1/($A$39:A454&lt;&gt;""),$A$39:A454),$A$5:$A$34,0)),0)</f>
        <v>0</v>
      </c>
      <c r="H454" s="103" t="str">
        <f aca="false">IF(G454=0,"空闲",IF(G454&lt;=0.6,"低负荷",IF(G454&lt;=0.85,"正常",IF(G454&lt;=1,"满负荷","超负荷"))))</f>
        <v>空闲</v>
      </c>
      <c r="I454" s="104" t="s">
        <v>638</v>
      </c>
      <c r="J454" s="104"/>
      <c r="K454" s="104"/>
      <c r="L454" s="105" t="s">
        <v>639</v>
      </c>
    </row>
    <row r="455" customFormat="false" ht="48" hidden="false" customHeight="true" outlineLevel="0" collapsed="false">
      <c r="A455" s="99"/>
      <c r="B455" s="100" t="n">
        <v>46475</v>
      </c>
      <c r="C455" s="100" t="n">
        <v>46481</v>
      </c>
      <c r="D455" s="99" t="s">
        <v>638</v>
      </c>
      <c r="E455" s="99" t="n">
        <v>0</v>
      </c>
      <c r="F455" s="101" t="n">
        <v>0</v>
      </c>
      <c r="G455" s="102" t="n">
        <f aca="false">IFERROR(F455/INDEX($G$5:$G$34,MATCH(LOOKUP(2,1/($A$39:A455&lt;&gt;""),$A$39:A455),$A$5:$A$34,0)),0)</f>
        <v>0</v>
      </c>
      <c r="H455" s="103" t="str">
        <f aca="false">IF(G455=0,"空闲",IF(G455&lt;=0.6,"低负荷",IF(G455&lt;=0.85,"正常",IF(G455&lt;=1,"满负荷","超负荷"))))</f>
        <v>空闲</v>
      </c>
      <c r="I455" s="104" t="s">
        <v>638</v>
      </c>
      <c r="J455" s="104"/>
      <c r="K455" s="104"/>
      <c r="L455" s="105" t="s">
        <v>639</v>
      </c>
    </row>
    <row r="456" customFormat="false" ht="48" hidden="false" customHeight="true" outlineLevel="0" collapsed="false">
      <c r="A456" s="99"/>
      <c r="B456" s="100" t="n">
        <v>46482</v>
      </c>
      <c r="C456" s="100" t="n">
        <v>46488</v>
      </c>
      <c r="D456" s="99" t="s">
        <v>638</v>
      </c>
      <c r="E456" s="99" t="n">
        <v>0</v>
      </c>
      <c r="F456" s="101" t="n">
        <v>0</v>
      </c>
      <c r="G456" s="102" t="n">
        <f aca="false">IFERROR(F456/INDEX($G$5:$G$34,MATCH(LOOKUP(2,1/($A$39:A456&lt;&gt;""),$A$39:A456),$A$5:$A$34,0)),0)</f>
        <v>0</v>
      </c>
      <c r="H456" s="103" t="str">
        <f aca="false">IF(G456=0,"空闲",IF(G456&lt;=0.6,"低负荷",IF(G456&lt;=0.85,"正常",IF(G456&lt;=1,"满负荷","超负荷"))))</f>
        <v>空闲</v>
      </c>
      <c r="I456" s="104" t="s">
        <v>638</v>
      </c>
      <c r="J456" s="104"/>
      <c r="K456" s="104"/>
      <c r="L456" s="105" t="s">
        <v>639</v>
      </c>
    </row>
    <row r="457" customFormat="false" ht="48" hidden="false" customHeight="true" outlineLevel="0" collapsed="false">
      <c r="A457" s="99"/>
      <c r="B457" s="100" t="n">
        <v>46489</v>
      </c>
      <c r="C457" s="100" t="n">
        <v>46495</v>
      </c>
      <c r="D457" s="99" t="s">
        <v>638</v>
      </c>
      <c r="E457" s="99" t="n">
        <v>0</v>
      </c>
      <c r="F457" s="101" t="n">
        <v>0</v>
      </c>
      <c r="G457" s="102" t="n">
        <f aca="false">IFERROR(F457/INDEX($G$5:$G$34,MATCH(LOOKUP(2,1/($A$39:A457&lt;&gt;""),$A$39:A457),$A$5:$A$34,0)),0)</f>
        <v>0</v>
      </c>
      <c r="H457" s="103" t="str">
        <f aca="false">IF(G457=0,"空闲",IF(G457&lt;=0.6,"低负荷",IF(G457&lt;=0.85,"正常",IF(G457&lt;=1,"满负荷","超负荷"))))</f>
        <v>空闲</v>
      </c>
      <c r="I457" s="104" t="s">
        <v>638</v>
      </c>
      <c r="J457" s="104"/>
      <c r="K457" s="104"/>
      <c r="L457" s="105" t="s">
        <v>639</v>
      </c>
    </row>
    <row r="458" customFormat="false" ht="48" hidden="false" customHeight="true" outlineLevel="0" collapsed="false">
      <c r="A458" s="99"/>
      <c r="B458" s="100" t="n">
        <v>46496</v>
      </c>
      <c r="C458" s="100" t="n">
        <v>46502</v>
      </c>
      <c r="D458" s="99" t="s">
        <v>640</v>
      </c>
      <c r="E458" s="99" t="n">
        <v>1</v>
      </c>
      <c r="F458" s="101" t="n">
        <v>40</v>
      </c>
      <c r="G458" s="102" t="n">
        <f aca="false">IFERROR(F458/INDEX($G$5:$G$34,MATCH(LOOKUP(2,1/($A$39:A458&lt;&gt;""),$A$39:A458),$A$5:$A$34,0)),0)</f>
        <v>1</v>
      </c>
      <c r="H458" s="103" t="str">
        <f aca="false">IF(G458=0,"空闲",IF(G458&lt;=0.6,"低负荷",IF(G458&lt;=0.85,"正常",IF(G458&lt;=1,"满负荷","超负荷"))))</f>
        <v>满负荷</v>
      </c>
      <c r="I458" s="106" t="s">
        <v>699</v>
      </c>
      <c r="J458" s="106"/>
      <c r="K458" s="106"/>
      <c r="L458" s="105" t="s">
        <v>642</v>
      </c>
    </row>
    <row r="459" customFormat="false" ht="48" hidden="false" customHeight="true" outlineLevel="0" collapsed="false">
      <c r="A459" s="99"/>
      <c r="B459" s="100" t="n">
        <v>46503</v>
      </c>
      <c r="C459" s="100" t="n">
        <v>46509</v>
      </c>
      <c r="D459" s="99" t="s">
        <v>640</v>
      </c>
      <c r="E459" s="99" t="n">
        <v>1</v>
      </c>
      <c r="F459" s="101" t="n">
        <v>40</v>
      </c>
      <c r="G459" s="102" t="n">
        <f aca="false">IFERROR(F459/INDEX($G$5:$G$34,MATCH(LOOKUP(2,1/($A$39:A459&lt;&gt;""),$A$39:A459),$A$5:$A$34,0)),0)</f>
        <v>1</v>
      </c>
      <c r="H459" s="103" t="str">
        <f aca="false">IF(G459=0,"空闲",IF(G459&lt;=0.6,"低负荷",IF(G459&lt;=0.85,"正常",IF(G459&lt;=1,"满负荷","超负荷"))))</f>
        <v>满负荷</v>
      </c>
      <c r="I459" s="106" t="s">
        <v>699</v>
      </c>
      <c r="J459" s="106"/>
      <c r="K459" s="106"/>
      <c r="L459" s="105" t="s">
        <v>642</v>
      </c>
    </row>
    <row r="460" customFormat="false" ht="48" hidden="false" customHeight="true" outlineLevel="0" collapsed="false">
      <c r="A460" s="99"/>
      <c r="B460" s="100" t="n">
        <v>46510</v>
      </c>
      <c r="C460" s="100" t="n">
        <v>46516</v>
      </c>
      <c r="D460" s="99" t="s">
        <v>638</v>
      </c>
      <c r="E460" s="99" t="n">
        <v>0</v>
      </c>
      <c r="F460" s="101" t="n">
        <v>0</v>
      </c>
      <c r="G460" s="102" t="n">
        <f aca="false">IFERROR(F460/INDEX($G$5:$G$34,MATCH(LOOKUP(2,1/($A$39:A460&lt;&gt;""),$A$39:A460),$A$5:$A$34,0)),0)</f>
        <v>0</v>
      </c>
      <c r="H460" s="103" t="str">
        <f aca="false">IF(G460=0,"空闲",IF(G460&lt;=0.6,"低负荷",IF(G460&lt;=0.85,"正常",IF(G460&lt;=1,"满负荷","超负荷"))))</f>
        <v>空闲</v>
      </c>
      <c r="I460" s="104" t="s">
        <v>638</v>
      </c>
      <c r="J460" s="104"/>
      <c r="K460" s="104"/>
      <c r="L460" s="105" t="s">
        <v>639</v>
      </c>
    </row>
    <row r="461" customFormat="false" ht="48" hidden="false" customHeight="true" outlineLevel="0" collapsed="false">
      <c r="A461" s="99"/>
      <c r="B461" s="100" t="n">
        <v>46517</v>
      </c>
      <c r="C461" s="100" t="n">
        <v>46523</v>
      </c>
      <c r="D461" s="99" t="s">
        <v>638</v>
      </c>
      <c r="E461" s="99" t="n">
        <v>0</v>
      </c>
      <c r="F461" s="101" t="n">
        <v>0</v>
      </c>
      <c r="G461" s="102" t="n">
        <f aca="false">IFERROR(F461/INDEX($G$5:$G$34,MATCH(LOOKUP(2,1/($A$39:A461&lt;&gt;""),$A$39:A461),$A$5:$A$34,0)),0)</f>
        <v>0</v>
      </c>
      <c r="H461" s="103" t="str">
        <f aca="false">IF(G461=0,"空闲",IF(G461&lt;=0.6,"低负荷",IF(G461&lt;=0.85,"正常",IF(G461&lt;=1,"满负荷","超负荷"))))</f>
        <v>空闲</v>
      </c>
      <c r="I461" s="104" t="s">
        <v>638</v>
      </c>
      <c r="J461" s="104"/>
      <c r="K461" s="104"/>
      <c r="L461" s="105" t="s">
        <v>639</v>
      </c>
    </row>
    <row r="462" customFormat="false" ht="48" hidden="false" customHeight="true" outlineLevel="0" collapsed="false">
      <c r="A462" s="99"/>
      <c r="B462" s="100" t="n">
        <v>46524</v>
      </c>
      <c r="C462" s="100" t="n">
        <v>46530</v>
      </c>
      <c r="D462" s="99" t="s">
        <v>638</v>
      </c>
      <c r="E462" s="99" t="n">
        <v>0</v>
      </c>
      <c r="F462" s="101" t="n">
        <v>0</v>
      </c>
      <c r="G462" s="102" t="n">
        <f aca="false">IFERROR(F462/INDEX($G$5:$G$34,MATCH(LOOKUP(2,1/($A$39:A462&lt;&gt;""),$A$39:A462),$A$5:$A$34,0)),0)</f>
        <v>0</v>
      </c>
      <c r="H462" s="103" t="str">
        <f aca="false">IF(G462=0,"空闲",IF(G462&lt;=0.6,"低负荷",IF(G462&lt;=0.85,"正常",IF(G462&lt;=1,"满负荷","超负荷"))))</f>
        <v>空闲</v>
      </c>
      <c r="I462" s="104" t="s">
        <v>638</v>
      </c>
      <c r="J462" s="104"/>
      <c r="K462" s="104"/>
      <c r="L462" s="105" t="s">
        <v>639</v>
      </c>
    </row>
    <row r="463" customFormat="false" ht="48" hidden="false" customHeight="true" outlineLevel="0" collapsed="false">
      <c r="A463" s="99"/>
      <c r="B463" s="100" t="n">
        <v>46531</v>
      </c>
      <c r="C463" s="100" t="n">
        <v>46537</v>
      </c>
      <c r="D463" s="99" t="s">
        <v>638</v>
      </c>
      <c r="E463" s="99" t="n">
        <v>0</v>
      </c>
      <c r="F463" s="101" t="n">
        <v>0</v>
      </c>
      <c r="G463" s="102" t="n">
        <f aca="false">IFERROR(F463/INDEX($G$5:$G$34,MATCH(LOOKUP(2,1/($A$39:A463&lt;&gt;""),$A$39:A463),$A$5:$A$34,0)),0)</f>
        <v>0</v>
      </c>
      <c r="H463" s="103" t="str">
        <f aca="false">IF(G463=0,"空闲",IF(G463&lt;=0.6,"低负荷",IF(G463&lt;=0.85,"正常",IF(G463&lt;=1,"满负荷","超负荷"))))</f>
        <v>空闲</v>
      </c>
      <c r="I463" s="104" t="s">
        <v>638</v>
      </c>
      <c r="J463" s="104"/>
      <c r="K463" s="104"/>
      <c r="L463" s="105" t="s">
        <v>639</v>
      </c>
    </row>
    <row r="464" customFormat="false" ht="48" hidden="false" customHeight="true" outlineLevel="0" collapsed="false">
      <c r="A464" s="99"/>
      <c r="B464" s="100" t="n">
        <v>46538</v>
      </c>
      <c r="C464" s="100" t="n">
        <v>46544</v>
      </c>
      <c r="D464" s="99" t="s">
        <v>638</v>
      </c>
      <c r="E464" s="99" t="n">
        <v>0</v>
      </c>
      <c r="F464" s="101" t="n">
        <v>0</v>
      </c>
      <c r="G464" s="102" t="n">
        <f aca="false">IFERROR(F464/INDEX($G$5:$G$34,MATCH(LOOKUP(2,1/($A$39:A464&lt;&gt;""),$A$39:A464),$A$5:$A$34,0)),0)</f>
        <v>0</v>
      </c>
      <c r="H464" s="103" t="str">
        <f aca="false">IF(G464=0,"空闲",IF(G464&lt;=0.6,"低负荷",IF(G464&lt;=0.85,"正常",IF(G464&lt;=1,"满负荷","超负荷"))))</f>
        <v>空闲</v>
      </c>
      <c r="I464" s="104" t="s">
        <v>638</v>
      </c>
      <c r="J464" s="104"/>
      <c r="K464" s="104"/>
      <c r="L464" s="105" t="s">
        <v>639</v>
      </c>
    </row>
    <row r="465" customFormat="false" ht="48" hidden="false" customHeight="true" outlineLevel="0" collapsed="false">
      <c r="A465" s="99" t="s">
        <v>614</v>
      </c>
      <c r="B465" s="100" t="n">
        <v>46048</v>
      </c>
      <c r="C465" s="100" t="n">
        <v>46054</v>
      </c>
      <c r="D465" s="99" t="s">
        <v>640</v>
      </c>
      <c r="E465" s="99" t="n">
        <v>1</v>
      </c>
      <c r="F465" s="101" t="n">
        <v>40</v>
      </c>
      <c r="G465" s="102" t="n">
        <f aca="false">IFERROR(F465/INDEX($G$5:$G$34,MATCH(LOOKUP(2,1/($A$39:A465&lt;&gt;""),$A$39:A465),$A$5:$A$34,0)),0)</f>
        <v>1</v>
      </c>
      <c r="H465" s="103" t="str">
        <f aca="false">IF(G465=0,"空闲",IF(G465&lt;=0.6,"低负荷",IF(G465&lt;=0.85,"正常",IF(G465&lt;=1,"满负荷","超负荷"))))</f>
        <v>满负荷</v>
      </c>
      <c r="I465" s="106" t="s">
        <v>700</v>
      </c>
      <c r="J465" s="106"/>
      <c r="K465" s="106"/>
      <c r="L465" s="105" t="s">
        <v>642</v>
      </c>
    </row>
    <row r="466" customFormat="false" ht="48" hidden="false" customHeight="true" outlineLevel="0" collapsed="false">
      <c r="A466" s="99"/>
      <c r="B466" s="100" t="n">
        <v>46055</v>
      </c>
      <c r="C466" s="100" t="n">
        <v>46061</v>
      </c>
      <c r="D466" s="99" t="s">
        <v>640</v>
      </c>
      <c r="E466" s="99" t="n">
        <v>1</v>
      </c>
      <c r="F466" s="101" t="n">
        <v>40</v>
      </c>
      <c r="G466" s="102" t="n">
        <f aca="false">IFERROR(F466/INDEX($G$5:$G$34,MATCH(LOOKUP(2,1/($A$39:A466&lt;&gt;""),$A$39:A466),$A$5:$A$34,0)),0)</f>
        <v>1</v>
      </c>
      <c r="H466" s="103" t="str">
        <f aca="false">IF(G466=0,"空闲",IF(G466&lt;=0.6,"低负荷",IF(G466&lt;=0.85,"正常",IF(G466&lt;=1,"满负荷","超负荷"))))</f>
        <v>满负荷</v>
      </c>
      <c r="I466" s="106" t="s">
        <v>700</v>
      </c>
      <c r="J466" s="106"/>
      <c r="K466" s="106"/>
      <c r="L466" s="105" t="s">
        <v>642</v>
      </c>
    </row>
    <row r="467" customFormat="false" ht="48" hidden="false" customHeight="true" outlineLevel="0" collapsed="false">
      <c r="A467" s="99"/>
      <c r="B467" s="100" t="n">
        <v>46062</v>
      </c>
      <c r="C467" s="100" t="n">
        <v>46068</v>
      </c>
      <c r="D467" s="99" t="s">
        <v>640</v>
      </c>
      <c r="E467" s="99" t="n">
        <v>1</v>
      </c>
      <c r="F467" s="101" t="n">
        <v>40</v>
      </c>
      <c r="G467" s="102" t="n">
        <f aca="false">IFERROR(F467/INDEX($G$5:$G$34,MATCH(LOOKUP(2,1/($A$39:A467&lt;&gt;""),$A$39:A467),$A$5:$A$34,0)),0)</f>
        <v>1</v>
      </c>
      <c r="H467" s="103" t="str">
        <f aca="false">IF(G467=0,"空闲",IF(G467&lt;=0.6,"低负荷",IF(G467&lt;=0.85,"正常",IF(G467&lt;=1,"满负荷","超负荷"))))</f>
        <v>满负荷</v>
      </c>
      <c r="I467" s="106" t="s">
        <v>700</v>
      </c>
      <c r="J467" s="106"/>
      <c r="K467" s="106"/>
      <c r="L467" s="105" t="s">
        <v>642</v>
      </c>
    </row>
    <row r="468" customFormat="false" ht="48" hidden="false" customHeight="true" outlineLevel="0" collapsed="false">
      <c r="A468" s="99"/>
      <c r="B468" s="100" t="n">
        <v>46069</v>
      </c>
      <c r="C468" s="100" t="n">
        <v>46075</v>
      </c>
      <c r="D468" s="99" t="s">
        <v>640</v>
      </c>
      <c r="E468" s="99" t="n">
        <v>1</v>
      </c>
      <c r="F468" s="101" t="n">
        <v>40</v>
      </c>
      <c r="G468" s="102" t="n">
        <f aca="false">IFERROR(F468/INDEX($G$5:$G$34,MATCH(LOOKUP(2,1/($A$39:A468&lt;&gt;""),$A$39:A468),$A$5:$A$34,0)),0)</f>
        <v>1</v>
      </c>
      <c r="H468" s="103" t="str">
        <f aca="false">IF(G468=0,"空闲",IF(G468&lt;=0.6,"低负荷",IF(G468&lt;=0.85,"正常",IF(G468&lt;=1,"满负荷","超负荷"))))</f>
        <v>满负荷</v>
      </c>
      <c r="I468" s="106" t="s">
        <v>700</v>
      </c>
      <c r="J468" s="106"/>
      <c r="K468" s="106"/>
      <c r="L468" s="105" t="s">
        <v>642</v>
      </c>
    </row>
    <row r="469" customFormat="false" ht="48" hidden="false" customHeight="true" outlineLevel="0" collapsed="false">
      <c r="A469" s="99"/>
      <c r="B469" s="100" t="n">
        <v>46076</v>
      </c>
      <c r="C469" s="100" t="n">
        <v>46082</v>
      </c>
      <c r="D469" s="99" t="s">
        <v>640</v>
      </c>
      <c r="E469" s="99" t="n">
        <v>1</v>
      </c>
      <c r="F469" s="101" t="n">
        <v>40</v>
      </c>
      <c r="G469" s="102" t="n">
        <f aca="false">IFERROR(F469/INDEX($G$5:$G$34,MATCH(LOOKUP(2,1/($A$39:A469&lt;&gt;""),$A$39:A469),$A$5:$A$34,0)),0)</f>
        <v>1</v>
      </c>
      <c r="H469" s="103" t="str">
        <f aca="false">IF(G469=0,"空闲",IF(G469&lt;=0.6,"低负荷",IF(G469&lt;=0.85,"正常",IF(G469&lt;=1,"满负荷","超负荷"))))</f>
        <v>满负荷</v>
      </c>
      <c r="I469" s="106" t="s">
        <v>700</v>
      </c>
      <c r="J469" s="106"/>
      <c r="K469" s="106"/>
      <c r="L469" s="105" t="s">
        <v>642</v>
      </c>
    </row>
    <row r="470" customFormat="false" ht="48" hidden="false" customHeight="true" outlineLevel="0" collapsed="false">
      <c r="A470" s="99"/>
      <c r="B470" s="100" t="n">
        <v>46083</v>
      </c>
      <c r="C470" s="100" t="n">
        <v>46089</v>
      </c>
      <c r="D470" s="99" t="s">
        <v>640</v>
      </c>
      <c r="E470" s="99" t="n">
        <v>1</v>
      </c>
      <c r="F470" s="101" t="n">
        <v>40</v>
      </c>
      <c r="G470" s="102" t="n">
        <f aca="false">IFERROR(F470/INDEX($G$5:$G$34,MATCH(LOOKUP(2,1/($A$39:A470&lt;&gt;""),$A$39:A470),$A$5:$A$34,0)),0)</f>
        <v>1</v>
      </c>
      <c r="H470" s="103" t="str">
        <f aca="false">IF(G470=0,"空闲",IF(G470&lt;=0.6,"低负荷",IF(G470&lt;=0.85,"正常",IF(G470&lt;=1,"满负荷","超负荷"))))</f>
        <v>满负荷</v>
      </c>
      <c r="I470" s="106" t="s">
        <v>700</v>
      </c>
      <c r="J470" s="106"/>
      <c r="K470" s="106"/>
      <c r="L470" s="105" t="s">
        <v>642</v>
      </c>
    </row>
    <row r="471" customFormat="false" ht="48" hidden="false" customHeight="true" outlineLevel="0" collapsed="false">
      <c r="A471" s="99"/>
      <c r="B471" s="100" t="n">
        <v>46090</v>
      </c>
      <c r="C471" s="100" t="n">
        <v>46096</v>
      </c>
      <c r="D471" s="99" t="s">
        <v>640</v>
      </c>
      <c r="E471" s="99" t="n">
        <v>2</v>
      </c>
      <c r="F471" s="101" t="n">
        <v>40</v>
      </c>
      <c r="G471" s="102" t="n">
        <f aca="false">IFERROR(F471/INDEX($G$5:$G$34,MATCH(LOOKUP(2,1/($A$39:A471&lt;&gt;""),$A$39:A471),$A$5:$A$34,0)),0)</f>
        <v>1</v>
      </c>
      <c r="H471" s="103" t="str">
        <f aca="false">IF(G471=0,"空闲",IF(G471&lt;=0.6,"低负荷",IF(G471&lt;=0.85,"正常",IF(G471&lt;=1,"满负荷","超负荷"))))</f>
        <v>满负荷</v>
      </c>
      <c r="I471" s="106" t="s">
        <v>701</v>
      </c>
      <c r="J471" s="106"/>
      <c r="K471" s="106"/>
      <c r="L471" s="105" t="s">
        <v>652</v>
      </c>
    </row>
    <row r="472" customFormat="false" ht="48" hidden="false" customHeight="true" outlineLevel="0" collapsed="false">
      <c r="A472" s="99"/>
      <c r="B472" s="100" t="n">
        <v>46097</v>
      </c>
      <c r="C472" s="100" t="n">
        <v>46103</v>
      </c>
      <c r="D472" s="99" t="s">
        <v>640</v>
      </c>
      <c r="E472" s="99" t="n">
        <v>2</v>
      </c>
      <c r="F472" s="101" t="n">
        <v>40</v>
      </c>
      <c r="G472" s="102" t="n">
        <f aca="false">IFERROR(F472/INDEX($G$5:$G$34,MATCH(LOOKUP(2,1/($A$39:A472&lt;&gt;""),$A$39:A472),$A$5:$A$34,0)),0)</f>
        <v>1</v>
      </c>
      <c r="H472" s="103" t="str">
        <f aca="false">IF(G472=0,"空闲",IF(G472&lt;=0.6,"低负荷",IF(G472&lt;=0.85,"正常",IF(G472&lt;=1,"满负荷","超负荷"))))</f>
        <v>满负荷</v>
      </c>
      <c r="I472" s="106" t="s">
        <v>701</v>
      </c>
      <c r="J472" s="106"/>
      <c r="K472" s="106"/>
      <c r="L472" s="105" t="s">
        <v>652</v>
      </c>
    </row>
    <row r="473" customFormat="false" ht="48" hidden="false" customHeight="true" outlineLevel="0" collapsed="false">
      <c r="A473" s="99"/>
      <c r="B473" s="100" t="n">
        <v>46104</v>
      </c>
      <c r="C473" s="100" t="n">
        <v>46110</v>
      </c>
      <c r="D473" s="99" t="s">
        <v>640</v>
      </c>
      <c r="E473" s="99" t="n">
        <v>1</v>
      </c>
      <c r="F473" s="101" t="n">
        <v>40</v>
      </c>
      <c r="G473" s="102" t="n">
        <f aca="false">IFERROR(F473/INDEX($G$5:$G$34,MATCH(LOOKUP(2,1/($A$39:A473&lt;&gt;""),$A$39:A473),$A$5:$A$34,0)),0)</f>
        <v>1</v>
      </c>
      <c r="H473" s="103" t="str">
        <f aca="false">IF(G473=0,"空闲",IF(G473&lt;=0.6,"低负荷",IF(G473&lt;=0.85,"正常",IF(G473&lt;=1,"满负荷","超负荷"))))</f>
        <v>满负荷</v>
      </c>
      <c r="I473" s="106" t="s">
        <v>702</v>
      </c>
      <c r="J473" s="106"/>
      <c r="K473" s="106"/>
      <c r="L473" s="105" t="s">
        <v>642</v>
      </c>
    </row>
    <row r="474" customFormat="false" ht="48" hidden="false" customHeight="true" outlineLevel="0" collapsed="false">
      <c r="A474" s="99"/>
      <c r="B474" s="100" t="n">
        <v>46111</v>
      </c>
      <c r="C474" s="100" t="n">
        <v>46117</v>
      </c>
      <c r="D474" s="99" t="s">
        <v>640</v>
      </c>
      <c r="E474" s="99" t="n">
        <v>1</v>
      </c>
      <c r="F474" s="101" t="n">
        <v>40</v>
      </c>
      <c r="G474" s="102" t="n">
        <f aca="false">IFERROR(F474/INDEX($G$5:$G$34,MATCH(LOOKUP(2,1/($A$39:A474&lt;&gt;""),$A$39:A474),$A$5:$A$34,0)),0)</f>
        <v>1</v>
      </c>
      <c r="H474" s="103" t="str">
        <f aca="false">IF(G474=0,"空闲",IF(G474&lt;=0.6,"低负荷",IF(G474&lt;=0.85,"正常",IF(G474&lt;=1,"满负荷","超负荷"))))</f>
        <v>满负荷</v>
      </c>
      <c r="I474" s="106" t="s">
        <v>702</v>
      </c>
      <c r="J474" s="106"/>
      <c r="K474" s="106"/>
      <c r="L474" s="105" t="s">
        <v>642</v>
      </c>
    </row>
    <row r="475" customFormat="false" ht="48" hidden="false" customHeight="true" outlineLevel="0" collapsed="false">
      <c r="A475" s="99"/>
      <c r="B475" s="100" t="n">
        <v>46118</v>
      </c>
      <c r="C475" s="100" t="n">
        <v>46124</v>
      </c>
      <c r="D475" s="99" t="s">
        <v>640</v>
      </c>
      <c r="E475" s="99" t="n">
        <v>1</v>
      </c>
      <c r="F475" s="101" t="n">
        <v>40</v>
      </c>
      <c r="G475" s="102" t="n">
        <f aca="false">IFERROR(F475/INDEX($G$5:$G$34,MATCH(LOOKUP(2,1/($A$39:A475&lt;&gt;""),$A$39:A475),$A$5:$A$34,0)),0)</f>
        <v>1</v>
      </c>
      <c r="H475" s="103" t="str">
        <f aca="false">IF(G475=0,"空闲",IF(G475&lt;=0.6,"低负荷",IF(G475&lt;=0.85,"正常",IF(G475&lt;=1,"满负荷","超负荷"))))</f>
        <v>满负荷</v>
      </c>
      <c r="I475" s="106" t="s">
        <v>702</v>
      </c>
      <c r="J475" s="106"/>
      <c r="K475" s="106"/>
      <c r="L475" s="105" t="s">
        <v>642</v>
      </c>
    </row>
    <row r="476" customFormat="false" ht="48" hidden="false" customHeight="true" outlineLevel="0" collapsed="false">
      <c r="A476" s="99"/>
      <c r="B476" s="100" t="n">
        <v>46125</v>
      </c>
      <c r="C476" s="100" t="n">
        <v>46131</v>
      </c>
      <c r="D476" s="99" t="s">
        <v>638</v>
      </c>
      <c r="E476" s="99" t="n">
        <v>0</v>
      </c>
      <c r="F476" s="101" t="n">
        <v>0</v>
      </c>
      <c r="G476" s="102" t="n">
        <f aca="false">IFERROR(F476/INDEX($G$5:$G$34,MATCH(LOOKUP(2,1/($A$39:A476&lt;&gt;""),$A$39:A476),$A$5:$A$34,0)),0)</f>
        <v>0</v>
      </c>
      <c r="H476" s="103" t="str">
        <f aca="false">IF(G476=0,"空闲",IF(G476&lt;=0.6,"低负荷",IF(G476&lt;=0.85,"正常",IF(G476&lt;=1,"满负荷","超负荷"))))</f>
        <v>空闲</v>
      </c>
      <c r="I476" s="104" t="s">
        <v>638</v>
      </c>
      <c r="J476" s="104"/>
      <c r="K476" s="104"/>
      <c r="L476" s="105" t="s">
        <v>639</v>
      </c>
    </row>
    <row r="477" customFormat="false" ht="48" hidden="false" customHeight="true" outlineLevel="0" collapsed="false">
      <c r="A477" s="99"/>
      <c r="B477" s="100" t="n">
        <v>46132</v>
      </c>
      <c r="C477" s="100" t="n">
        <v>46138</v>
      </c>
      <c r="D477" s="99" t="s">
        <v>638</v>
      </c>
      <c r="E477" s="99" t="n">
        <v>0</v>
      </c>
      <c r="F477" s="101" t="n">
        <v>0</v>
      </c>
      <c r="G477" s="102" t="n">
        <f aca="false">IFERROR(F477/INDEX($G$5:$G$34,MATCH(LOOKUP(2,1/($A$39:A477&lt;&gt;""),$A$39:A477),$A$5:$A$34,0)),0)</f>
        <v>0</v>
      </c>
      <c r="H477" s="103" t="str">
        <f aca="false">IF(G477=0,"空闲",IF(G477&lt;=0.6,"低负荷",IF(G477&lt;=0.85,"正常",IF(G477&lt;=1,"满负荷","超负荷"))))</f>
        <v>空闲</v>
      </c>
      <c r="I477" s="104" t="s">
        <v>638</v>
      </c>
      <c r="J477" s="104"/>
      <c r="K477" s="104"/>
      <c r="L477" s="105" t="s">
        <v>639</v>
      </c>
    </row>
    <row r="478" customFormat="false" ht="48" hidden="false" customHeight="true" outlineLevel="0" collapsed="false">
      <c r="A478" s="99"/>
      <c r="B478" s="100" t="n">
        <v>46139</v>
      </c>
      <c r="C478" s="100" t="n">
        <v>46145</v>
      </c>
      <c r="D478" s="99" t="s">
        <v>638</v>
      </c>
      <c r="E478" s="99" t="n">
        <v>0</v>
      </c>
      <c r="F478" s="101" t="n">
        <v>0</v>
      </c>
      <c r="G478" s="102" t="n">
        <f aca="false">IFERROR(F478/INDEX($G$5:$G$34,MATCH(LOOKUP(2,1/($A$39:A478&lt;&gt;""),$A$39:A478),$A$5:$A$34,0)),0)</f>
        <v>0</v>
      </c>
      <c r="H478" s="103" t="str">
        <f aca="false">IF(G478=0,"空闲",IF(G478&lt;=0.6,"低负荷",IF(G478&lt;=0.85,"正常",IF(G478&lt;=1,"满负荷","超负荷"))))</f>
        <v>空闲</v>
      </c>
      <c r="I478" s="104" t="s">
        <v>638</v>
      </c>
      <c r="J478" s="104"/>
      <c r="K478" s="104"/>
      <c r="L478" s="105" t="s">
        <v>639</v>
      </c>
    </row>
    <row r="479" customFormat="false" ht="48" hidden="false" customHeight="true" outlineLevel="0" collapsed="false">
      <c r="A479" s="99"/>
      <c r="B479" s="100" t="n">
        <v>46146</v>
      </c>
      <c r="C479" s="100" t="n">
        <v>46152</v>
      </c>
      <c r="D479" s="99" t="s">
        <v>638</v>
      </c>
      <c r="E479" s="99" t="n">
        <v>0</v>
      </c>
      <c r="F479" s="101" t="n">
        <v>0</v>
      </c>
      <c r="G479" s="102" t="n">
        <f aca="false">IFERROR(F479/INDEX($G$5:$G$34,MATCH(LOOKUP(2,1/($A$39:A479&lt;&gt;""),$A$39:A479),$A$5:$A$34,0)),0)</f>
        <v>0</v>
      </c>
      <c r="H479" s="103" t="str">
        <f aca="false">IF(G479=0,"空闲",IF(G479&lt;=0.6,"低负荷",IF(G479&lt;=0.85,"正常",IF(G479&lt;=1,"满负荷","超负荷"))))</f>
        <v>空闲</v>
      </c>
      <c r="I479" s="104" t="s">
        <v>638</v>
      </c>
      <c r="J479" s="104"/>
      <c r="K479" s="104"/>
      <c r="L479" s="105" t="s">
        <v>639</v>
      </c>
    </row>
    <row r="480" customFormat="false" ht="48" hidden="false" customHeight="true" outlineLevel="0" collapsed="false">
      <c r="A480" s="99"/>
      <c r="B480" s="100" t="n">
        <v>46153</v>
      </c>
      <c r="C480" s="100" t="n">
        <v>46159</v>
      </c>
      <c r="D480" s="99" t="s">
        <v>638</v>
      </c>
      <c r="E480" s="99" t="n">
        <v>0</v>
      </c>
      <c r="F480" s="101" t="n">
        <v>0</v>
      </c>
      <c r="G480" s="102" t="n">
        <f aca="false">IFERROR(F480/INDEX($G$5:$G$34,MATCH(LOOKUP(2,1/($A$39:A480&lt;&gt;""),$A$39:A480),$A$5:$A$34,0)),0)</f>
        <v>0</v>
      </c>
      <c r="H480" s="103" t="str">
        <f aca="false">IF(G480=0,"空闲",IF(G480&lt;=0.6,"低负荷",IF(G480&lt;=0.85,"正常",IF(G480&lt;=1,"满负荷","超负荷"))))</f>
        <v>空闲</v>
      </c>
      <c r="I480" s="104" t="s">
        <v>638</v>
      </c>
      <c r="J480" s="104"/>
      <c r="K480" s="104"/>
      <c r="L480" s="105" t="s">
        <v>639</v>
      </c>
    </row>
    <row r="481" customFormat="false" ht="48" hidden="false" customHeight="true" outlineLevel="0" collapsed="false">
      <c r="A481" s="99"/>
      <c r="B481" s="100" t="n">
        <v>46160</v>
      </c>
      <c r="C481" s="100" t="n">
        <v>46166</v>
      </c>
      <c r="D481" s="99" t="s">
        <v>638</v>
      </c>
      <c r="E481" s="99" t="n">
        <v>0</v>
      </c>
      <c r="F481" s="101" t="n">
        <v>0</v>
      </c>
      <c r="G481" s="102" t="n">
        <f aca="false">IFERROR(F481/INDEX($G$5:$G$34,MATCH(LOOKUP(2,1/($A$39:A481&lt;&gt;""),$A$39:A481),$A$5:$A$34,0)),0)</f>
        <v>0</v>
      </c>
      <c r="H481" s="103" t="str">
        <f aca="false">IF(G481=0,"空闲",IF(G481&lt;=0.6,"低负荷",IF(G481&lt;=0.85,"正常",IF(G481&lt;=1,"满负荷","超负荷"))))</f>
        <v>空闲</v>
      </c>
      <c r="I481" s="104" t="s">
        <v>638</v>
      </c>
      <c r="J481" s="104"/>
      <c r="K481" s="104"/>
      <c r="L481" s="105" t="s">
        <v>639</v>
      </c>
    </row>
    <row r="482" customFormat="false" ht="48" hidden="false" customHeight="true" outlineLevel="0" collapsed="false">
      <c r="A482" s="99"/>
      <c r="B482" s="100" t="n">
        <v>46167</v>
      </c>
      <c r="C482" s="100" t="n">
        <v>46173</v>
      </c>
      <c r="D482" s="99" t="s">
        <v>638</v>
      </c>
      <c r="E482" s="99" t="n">
        <v>0</v>
      </c>
      <c r="F482" s="101" t="n">
        <v>0</v>
      </c>
      <c r="G482" s="102" t="n">
        <f aca="false">IFERROR(F482/INDEX($G$5:$G$34,MATCH(LOOKUP(2,1/($A$39:A482&lt;&gt;""),$A$39:A482),$A$5:$A$34,0)),0)</f>
        <v>0</v>
      </c>
      <c r="H482" s="103" t="str">
        <f aca="false">IF(G482=0,"空闲",IF(G482&lt;=0.6,"低负荷",IF(G482&lt;=0.85,"正常",IF(G482&lt;=1,"满负荷","超负荷"))))</f>
        <v>空闲</v>
      </c>
      <c r="I482" s="104" t="s">
        <v>638</v>
      </c>
      <c r="J482" s="104"/>
      <c r="K482" s="104"/>
      <c r="L482" s="105" t="s">
        <v>639</v>
      </c>
    </row>
    <row r="483" customFormat="false" ht="48" hidden="false" customHeight="true" outlineLevel="0" collapsed="false">
      <c r="A483" s="99"/>
      <c r="B483" s="100" t="n">
        <v>46174</v>
      </c>
      <c r="C483" s="100" t="n">
        <v>46180</v>
      </c>
      <c r="D483" s="99" t="s">
        <v>638</v>
      </c>
      <c r="E483" s="99" t="n">
        <v>0</v>
      </c>
      <c r="F483" s="101" t="n">
        <v>0</v>
      </c>
      <c r="G483" s="102" t="n">
        <f aca="false">IFERROR(F483/INDEX($G$5:$G$34,MATCH(LOOKUP(2,1/($A$39:A483&lt;&gt;""),$A$39:A483),$A$5:$A$34,0)),0)</f>
        <v>0</v>
      </c>
      <c r="H483" s="103" t="str">
        <f aca="false">IF(G483=0,"空闲",IF(G483&lt;=0.6,"低负荷",IF(G483&lt;=0.85,"正常",IF(G483&lt;=1,"满负荷","超负荷"))))</f>
        <v>空闲</v>
      </c>
      <c r="I483" s="104" t="s">
        <v>638</v>
      </c>
      <c r="J483" s="104"/>
      <c r="K483" s="104"/>
      <c r="L483" s="105" t="s">
        <v>639</v>
      </c>
    </row>
    <row r="484" customFormat="false" ht="48" hidden="false" customHeight="true" outlineLevel="0" collapsed="false">
      <c r="A484" s="99"/>
      <c r="B484" s="100" t="n">
        <v>46181</v>
      </c>
      <c r="C484" s="100" t="n">
        <v>46187</v>
      </c>
      <c r="D484" s="99" t="s">
        <v>638</v>
      </c>
      <c r="E484" s="99" t="n">
        <v>0</v>
      </c>
      <c r="F484" s="101" t="n">
        <v>0</v>
      </c>
      <c r="G484" s="102" t="n">
        <f aca="false">IFERROR(F484/INDEX($G$5:$G$34,MATCH(LOOKUP(2,1/($A$39:A484&lt;&gt;""),$A$39:A484),$A$5:$A$34,0)),0)</f>
        <v>0</v>
      </c>
      <c r="H484" s="103" t="str">
        <f aca="false">IF(G484=0,"空闲",IF(G484&lt;=0.6,"低负荷",IF(G484&lt;=0.85,"正常",IF(G484&lt;=1,"满负荷","超负荷"))))</f>
        <v>空闲</v>
      </c>
      <c r="I484" s="104" t="s">
        <v>638</v>
      </c>
      <c r="J484" s="104"/>
      <c r="K484" s="104"/>
      <c r="L484" s="105" t="s">
        <v>639</v>
      </c>
    </row>
    <row r="485" customFormat="false" ht="48" hidden="false" customHeight="true" outlineLevel="0" collapsed="false">
      <c r="A485" s="99"/>
      <c r="B485" s="100" t="n">
        <v>46188</v>
      </c>
      <c r="C485" s="100" t="n">
        <v>46194</v>
      </c>
      <c r="D485" s="99" t="s">
        <v>638</v>
      </c>
      <c r="E485" s="99" t="n">
        <v>0</v>
      </c>
      <c r="F485" s="101" t="n">
        <v>0</v>
      </c>
      <c r="G485" s="102" t="n">
        <f aca="false">IFERROR(F485/INDEX($G$5:$G$34,MATCH(LOOKUP(2,1/($A$39:A485&lt;&gt;""),$A$39:A485),$A$5:$A$34,0)),0)</f>
        <v>0</v>
      </c>
      <c r="H485" s="103" t="str">
        <f aca="false">IF(G485=0,"空闲",IF(G485&lt;=0.6,"低负荷",IF(G485&lt;=0.85,"正常",IF(G485&lt;=1,"满负荷","超负荷"))))</f>
        <v>空闲</v>
      </c>
      <c r="I485" s="104" t="s">
        <v>638</v>
      </c>
      <c r="J485" s="104"/>
      <c r="K485" s="104"/>
      <c r="L485" s="105" t="s">
        <v>639</v>
      </c>
    </row>
    <row r="486" customFormat="false" ht="48" hidden="false" customHeight="true" outlineLevel="0" collapsed="false">
      <c r="A486" s="99"/>
      <c r="B486" s="100" t="n">
        <v>46195</v>
      </c>
      <c r="C486" s="100" t="n">
        <v>46201</v>
      </c>
      <c r="D486" s="99" t="s">
        <v>638</v>
      </c>
      <c r="E486" s="99" t="n">
        <v>0</v>
      </c>
      <c r="F486" s="101" t="n">
        <v>0</v>
      </c>
      <c r="G486" s="102" t="n">
        <f aca="false">IFERROR(F486/INDEX($G$5:$G$34,MATCH(LOOKUP(2,1/($A$39:A486&lt;&gt;""),$A$39:A486),$A$5:$A$34,0)),0)</f>
        <v>0</v>
      </c>
      <c r="H486" s="103" t="str">
        <f aca="false">IF(G486=0,"空闲",IF(G486&lt;=0.6,"低负荷",IF(G486&lt;=0.85,"正常",IF(G486&lt;=1,"满负荷","超负荷"))))</f>
        <v>空闲</v>
      </c>
      <c r="I486" s="104" t="s">
        <v>638</v>
      </c>
      <c r="J486" s="104"/>
      <c r="K486" s="104"/>
      <c r="L486" s="105" t="s">
        <v>639</v>
      </c>
    </row>
    <row r="487" customFormat="false" ht="48" hidden="false" customHeight="true" outlineLevel="0" collapsed="false">
      <c r="A487" s="99"/>
      <c r="B487" s="100" t="n">
        <v>46202</v>
      </c>
      <c r="C487" s="100" t="n">
        <v>46208</v>
      </c>
      <c r="D487" s="99" t="s">
        <v>638</v>
      </c>
      <c r="E487" s="99" t="n">
        <v>0</v>
      </c>
      <c r="F487" s="101" t="n">
        <v>0</v>
      </c>
      <c r="G487" s="102" t="n">
        <f aca="false">IFERROR(F487/INDEX($G$5:$G$34,MATCH(LOOKUP(2,1/($A$39:A487&lt;&gt;""),$A$39:A487),$A$5:$A$34,0)),0)</f>
        <v>0</v>
      </c>
      <c r="H487" s="103" t="str">
        <f aca="false">IF(G487=0,"空闲",IF(G487&lt;=0.6,"低负荷",IF(G487&lt;=0.85,"正常",IF(G487&lt;=1,"满负荷","超负荷"))))</f>
        <v>空闲</v>
      </c>
      <c r="I487" s="104" t="s">
        <v>638</v>
      </c>
      <c r="J487" s="104"/>
      <c r="K487" s="104"/>
      <c r="L487" s="105" t="s">
        <v>639</v>
      </c>
    </row>
    <row r="488" customFormat="false" ht="48" hidden="false" customHeight="true" outlineLevel="0" collapsed="false">
      <c r="A488" s="99"/>
      <c r="B488" s="100" t="n">
        <v>46209</v>
      </c>
      <c r="C488" s="100" t="n">
        <v>46215</v>
      </c>
      <c r="D488" s="99" t="s">
        <v>638</v>
      </c>
      <c r="E488" s="99" t="n">
        <v>0</v>
      </c>
      <c r="F488" s="101" t="n">
        <v>0</v>
      </c>
      <c r="G488" s="102" t="n">
        <f aca="false">IFERROR(F488/INDEX($G$5:$G$34,MATCH(LOOKUP(2,1/($A$39:A488&lt;&gt;""),$A$39:A488),$A$5:$A$34,0)),0)</f>
        <v>0</v>
      </c>
      <c r="H488" s="103" t="str">
        <f aca="false">IF(G488=0,"空闲",IF(G488&lt;=0.6,"低负荷",IF(G488&lt;=0.85,"正常",IF(G488&lt;=1,"满负荷","超负荷"))))</f>
        <v>空闲</v>
      </c>
      <c r="I488" s="104" t="s">
        <v>638</v>
      </c>
      <c r="J488" s="104"/>
      <c r="K488" s="104"/>
      <c r="L488" s="105" t="s">
        <v>639</v>
      </c>
    </row>
    <row r="489" customFormat="false" ht="48" hidden="false" customHeight="true" outlineLevel="0" collapsed="false">
      <c r="A489" s="99"/>
      <c r="B489" s="100" t="n">
        <v>46216</v>
      </c>
      <c r="C489" s="100" t="n">
        <v>46222</v>
      </c>
      <c r="D489" s="99" t="s">
        <v>640</v>
      </c>
      <c r="E489" s="99" t="n">
        <v>1</v>
      </c>
      <c r="F489" s="101" t="n">
        <v>40</v>
      </c>
      <c r="G489" s="102" t="n">
        <f aca="false">IFERROR(F489/INDEX($G$5:$G$34,MATCH(LOOKUP(2,1/($A$39:A489&lt;&gt;""),$A$39:A489),$A$5:$A$34,0)),0)</f>
        <v>1</v>
      </c>
      <c r="H489" s="103" t="str">
        <f aca="false">IF(G489=0,"空闲",IF(G489&lt;=0.6,"低负荷",IF(G489&lt;=0.85,"正常",IF(G489&lt;=1,"满负荷","超负荷"))))</f>
        <v>满负荷</v>
      </c>
      <c r="I489" s="106" t="s">
        <v>703</v>
      </c>
      <c r="J489" s="106"/>
      <c r="K489" s="106"/>
      <c r="L489" s="105" t="s">
        <v>642</v>
      </c>
    </row>
    <row r="490" customFormat="false" ht="48" hidden="false" customHeight="true" outlineLevel="0" collapsed="false">
      <c r="A490" s="99"/>
      <c r="B490" s="100" t="n">
        <v>46223</v>
      </c>
      <c r="C490" s="100" t="n">
        <v>46229</v>
      </c>
      <c r="D490" s="99" t="s">
        <v>640</v>
      </c>
      <c r="E490" s="99" t="n">
        <v>1</v>
      </c>
      <c r="F490" s="101" t="n">
        <v>40</v>
      </c>
      <c r="G490" s="102" t="n">
        <f aca="false">IFERROR(F490/INDEX($G$5:$G$34,MATCH(LOOKUP(2,1/($A$39:A490&lt;&gt;""),$A$39:A490),$A$5:$A$34,0)),0)</f>
        <v>1</v>
      </c>
      <c r="H490" s="103" t="str">
        <f aca="false">IF(G490=0,"空闲",IF(G490&lt;=0.6,"低负荷",IF(G490&lt;=0.85,"正常",IF(G490&lt;=1,"满负荷","超负荷"))))</f>
        <v>满负荷</v>
      </c>
      <c r="I490" s="106" t="s">
        <v>703</v>
      </c>
      <c r="J490" s="106"/>
      <c r="K490" s="106"/>
      <c r="L490" s="105" t="s">
        <v>642</v>
      </c>
    </row>
    <row r="491" customFormat="false" ht="48" hidden="false" customHeight="true" outlineLevel="0" collapsed="false">
      <c r="A491" s="99"/>
      <c r="B491" s="100" t="n">
        <v>46230</v>
      </c>
      <c r="C491" s="100" t="n">
        <v>46236</v>
      </c>
      <c r="D491" s="99" t="s">
        <v>638</v>
      </c>
      <c r="E491" s="99" t="n">
        <v>0</v>
      </c>
      <c r="F491" s="101" t="n">
        <v>0</v>
      </c>
      <c r="G491" s="102" t="n">
        <f aca="false">IFERROR(F491/INDEX($G$5:$G$34,MATCH(LOOKUP(2,1/($A$39:A491&lt;&gt;""),$A$39:A491),$A$5:$A$34,0)),0)</f>
        <v>0</v>
      </c>
      <c r="H491" s="103" t="str">
        <f aca="false">IF(G491=0,"空闲",IF(G491&lt;=0.6,"低负荷",IF(G491&lt;=0.85,"正常",IF(G491&lt;=1,"满负荷","超负荷"))))</f>
        <v>空闲</v>
      </c>
      <c r="I491" s="104" t="s">
        <v>638</v>
      </c>
      <c r="J491" s="104"/>
      <c r="K491" s="104"/>
      <c r="L491" s="105" t="s">
        <v>639</v>
      </c>
    </row>
    <row r="492" customFormat="false" ht="48" hidden="false" customHeight="true" outlineLevel="0" collapsed="false">
      <c r="A492" s="99"/>
      <c r="B492" s="100" t="n">
        <v>46237</v>
      </c>
      <c r="C492" s="100" t="n">
        <v>46243</v>
      </c>
      <c r="D492" s="99" t="s">
        <v>638</v>
      </c>
      <c r="E492" s="99" t="n">
        <v>0</v>
      </c>
      <c r="F492" s="101" t="n">
        <v>0</v>
      </c>
      <c r="G492" s="102" t="n">
        <f aca="false">IFERROR(F492/INDEX($G$5:$G$34,MATCH(LOOKUP(2,1/($A$39:A492&lt;&gt;""),$A$39:A492),$A$5:$A$34,0)),0)</f>
        <v>0</v>
      </c>
      <c r="H492" s="103" t="str">
        <f aca="false">IF(G492=0,"空闲",IF(G492&lt;=0.6,"低负荷",IF(G492&lt;=0.85,"正常",IF(G492&lt;=1,"满负荷","超负荷"))))</f>
        <v>空闲</v>
      </c>
      <c r="I492" s="104" t="s">
        <v>638</v>
      </c>
      <c r="J492" s="104"/>
      <c r="K492" s="104"/>
      <c r="L492" s="105" t="s">
        <v>639</v>
      </c>
    </row>
    <row r="493" customFormat="false" ht="48" hidden="false" customHeight="true" outlineLevel="0" collapsed="false">
      <c r="A493" s="99"/>
      <c r="B493" s="100" t="n">
        <v>46244</v>
      </c>
      <c r="C493" s="100" t="n">
        <v>46250</v>
      </c>
      <c r="D493" s="99" t="s">
        <v>638</v>
      </c>
      <c r="E493" s="99" t="n">
        <v>0</v>
      </c>
      <c r="F493" s="101" t="n">
        <v>0</v>
      </c>
      <c r="G493" s="102" t="n">
        <f aca="false">IFERROR(F493/INDEX($G$5:$G$34,MATCH(LOOKUP(2,1/($A$39:A493&lt;&gt;""),$A$39:A493),$A$5:$A$34,0)),0)</f>
        <v>0</v>
      </c>
      <c r="H493" s="103" t="str">
        <f aca="false">IF(G493=0,"空闲",IF(G493&lt;=0.6,"低负荷",IF(G493&lt;=0.85,"正常",IF(G493&lt;=1,"满负荷","超负荷"))))</f>
        <v>空闲</v>
      </c>
      <c r="I493" s="104" t="s">
        <v>638</v>
      </c>
      <c r="J493" s="104"/>
      <c r="K493" s="104"/>
      <c r="L493" s="105" t="s">
        <v>639</v>
      </c>
    </row>
    <row r="494" customFormat="false" ht="48" hidden="false" customHeight="true" outlineLevel="0" collapsed="false">
      <c r="A494" s="99"/>
      <c r="B494" s="100" t="n">
        <v>46251</v>
      </c>
      <c r="C494" s="100" t="n">
        <v>46257</v>
      </c>
      <c r="D494" s="99" t="s">
        <v>638</v>
      </c>
      <c r="E494" s="99" t="n">
        <v>0</v>
      </c>
      <c r="F494" s="101" t="n">
        <v>0</v>
      </c>
      <c r="G494" s="102" t="n">
        <f aca="false">IFERROR(F494/INDEX($G$5:$G$34,MATCH(LOOKUP(2,1/($A$39:A494&lt;&gt;""),$A$39:A494),$A$5:$A$34,0)),0)</f>
        <v>0</v>
      </c>
      <c r="H494" s="103" t="str">
        <f aca="false">IF(G494=0,"空闲",IF(G494&lt;=0.6,"低负荷",IF(G494&lt;=0.85,"正常",IF(G494&lt;=1,"满负荷","超负荷"))))</f>
        <v>空闲</v>
      </c>
      <c r="I494" s="104" t="s">
        <v>638</v>
      </c>
      <c r="J494" s="104"/>
      <c r="K494" s="104"/>
      <c r="L494" s="105" t="s">
        <v>639</v>
      </c>
    </row>
    <row r="495" customFormat="false" ht="48" hidden="false" customHeight="true" outlineLevel="0" collapsed="false">
      <c r="A495" s="99"/>
      <c r="B495" s="100" t="n">
        <v>46258</v>
      </c>
      <c r="C495" s="100" t="n">
        <v>46264</v>
      </c>
      <c r="D495" s="99" t="s">
        <v>638</v>
      </c>
      <c r="E495" s="99" t="n">
        <v>0</v>
      </c>
      <c r="F495" s="101" t="n">
        <v>0</v>
      </c>
      <c r="G495" s="102" t="n">
        <f aca="false">IFERROR(F495/INDEX($G$5:$G$34,MATCH(LOOKUP(2,1/($A$39:A495&lt;&gt;""),$A$39:A495),$A$5:$A$34,0)),0)</f>
        <v>0</v>
      </c>
      <c r="H495" s="103" t="str">
        <f aca="false">IF(G495=0,"空闲",IF(G495&lt;=0.6,"低负荷",IF(G495&lt;=0.85,"正常",IF(G495&lt;=1,"满负荷","超负荷"))))</f>
        <v>空闲</v>
      </c>
      <c r="I495" s="104" t="s">
        <v>638</v>
      </c>
      <c r="J495" s="104"/>
      <c r="K495" s="104"/>
      <c r="L495" s="105" t="s">
        <v>639</v>
      </c>
    </row>
    <row r="496" customFormat="false" ht="48" hidden="false" customHeight="true" outlineLevel="0" collapsed="false">
      <c r="A496" s="99"/>
      <c r="B496" s="100" t="n">
        <v>46265</v>
      </c>
      <c r="C496" s="100" t="n">
        <v>46271</v>
      </c>
      <c r="D496" s="99" t="s">
        <v>638</v>
      </c>
      <c r="E496" s="99" t="n">
        <v>0</v>
      </c>
      <c r="F496" s="101" t="n">
        <v>0</v>
      </c>
      <c r="G496" s="102" t="n">
        <f aca="false">IFERROR(F496/INDEX($G$5:$G$34,MATCH(LOOKUP(2,1/($A$39:A496&lt;&gt;""),$A$39:A496),$A$5:$A$34,0)),0)</f>
        <v>0</v>
      </c>
      <c r="H496" s="103" t="str">
        <f aca="false">IF(G496=0,"空闲",IF(G496&lt;=0.6,"低负荷",IF(G496&lt;=0.85,"正常",IF(G496&lt;=1,"满负荷","超负荷"))))</f>
        <v>空闲</v>
      </c>
      <c r="I496" s="104" t="s">
        <v>638</v>
      </c>
      <c r="J496" s="104"/>
      <c r="K496" s="104"/>
      <c r="L496" s="105" t="s">
        <v>639</v>
      </c>
    </row>
    <row r="497" customFormat="false" ht="48" hidden="false" customHeight="true" outlineLevel="0" collapsed="false">
      <c r="A497" s="99"/>
      <c r="B497" s="100" t="n">
        <v>46272</v>
      </c>
      <c r="C497" s="100" t="n">
        <v>46278</v>
      </c>
      <c r="D497" s="99" t="s">
        <v>638</v>
      </c>
      <c r="E497" s="99" t="n">
        <v>0</v>
      </c>
      <c r="F497" s="101" t="n">
        <v>0</v>
      </c>
      <c r="G497" s="102" t="n">
        <f aca="false">IFERROR(F497/INDEX($G$5:$G$34,MATCH(LOOKUP(2,1/($A$39:A497&lt;&gt;""),$A$39:A497),$A$5:$A$34,0)),0)</f>
        <v>0</v>
      </c>
      <c r="H497" s="103" t="str">
        <f aca="false">IF(G497=0,"空闲",IF(G497&lt;=0.6,"低负荷",IF(G497&lt;=0.85,"正常",IF(G497&lt;=1,"满负荷","超负荷"))))</f>
        <v>空闲</v>
      </c>
      <c r="I497" s="104" t="s">
        <v>638</v>
      </c>
      <c r="J497" s="104"/>
      <c r="K497" s="104"/>
      <c r="L497" s="105" t="s">
        <v>639</v>
      </c>
    </row>
    <row r="498" customFormat="false" ht="48" hidden="false" customHeight="true" outlineLevel="0" collapsed="false">
      <c r="A498" s="99"/>
      <c r="B498" s="100" t="n">
        <v>46279</v>
      </c>
      <c r="C498" s="100" t="n">
        <v>46285</v>
      </c>
      <c r="D498" s="99" t="s">
        <v>638</v>
      </c>
      <c r="E498" s="99" t="n">
        <v>0</v>
      </c>
      <c r="F498" s="101" t="n">
        <v>0</v>
      </c>
      <c r="G498" s="102" t="n">
        <f aca="false">IFERROR(F498/INDEX($G$5:$G$34,MATCH(LOOKUP(2,1/($A$39:A498&lt;&gt;""),$A$39:A498),$A$5:$A$34,0)),0)</f>
        <v>0</v>
      </c>
      <c r="H498" s="103" t="str">
        <f aca="false">IF(G498=0,"空闲",IF(G498&lt;=0.6,"低负荷",IF(G498&lt;=0.85,"正常",IF(G498&lt;=1,"满负荷","超负荷"))))</f>
        <v>空闲</v>
      </c>
      <c r="I498" s="104" t="s">
        <v>638</v>
      </c>
      <c r="J498" s="104"/>
      <c r="K498" s="104"/>
      <c r="L498" s="105" t="s">
        <v>639</v>
      </c>
    </row>
    <row r="499" customFormat="false" ht="48" hidden="false" customHeight="true" outlineLevel="0" collapsed="false">
      <c r="A499" s="99"/>
      <c r="B499" s="100" t="n">
        <v>46286</v>
      </c>
      <c r="C499" s="100" t="n">
        <v>46292</v>
      </c>
      <c r="D499" s="99" t="s">
        <v>638</v>
      </c>
      <c r="E499" s="99" t="n">
        <v>0</v>
      </c>
      <c r="F499" s="101" t="n">
        <v>0</v>
      </c>
      <c r="G499" s="102" t="n">
        <f aca="false">IFERROR(F499/INDEX($G$5:$G$34,MATCH(LOOKUP(2,1/($A$39:A499&lt;&gt;""),$A$39:A499),$A$5:$A$34,0)),0)</f>
        <v>0</v>
      </c>
      <c r="H499" s="103" t="str">
        <f aca="false">IF(G499=0,"空闲",IF(G499&lt;=0.6,"低负荷",IF(G499&lt;=0.85,"正常",IF(G499&lt;=1,"满负荷","超负荷"))))</f>
        <v>空闲</v>
      </c>
      <c r="I499" s="104" t="s">
        <v>638</v>
      </c>
      <c r="J499" s="104"/>
      <c r="K499" s="104"/>
      <c r="L499" s="105" t="s">
        <v>639</v>
      </c>
    </row>
    <row r="500" customFormat="false" ht="48" hidden="false" customHeight="true" outlineLevel="0" collapsed="false">
      <c r="A500" s="99"/>
      <c r="B500" s="100" t="n">
        <v>46293</v>
      </c>
      <c r="C500" s="100" t="n">
        <v>46299</v>
      </c>
      <c r="D500" s="99" t="s">
        <v>638</v>
      </c>
      <c r="E500" s="99" t="n">
        <v>0</v>
      </c>
      <c r="F500" s="101" t="n">
        <v>0</v>
      </c>
      <c r="G500" s="102" t="n">
        <f aca="false">IFERROR(F500/INDEX($G$5:$G$34,MATCH(LOOKUP(2,1/($A$39:A500&lt;&gt;""),$A$39:A500),$A$5:$A$34,0)),0)</f>
        <v>0</v>
      </c>
      <c r="H500" s="103" t="str">
        <f aca="false">IF(G500=0,"空闲",IF(G500&lt;=0.6,"低负荷",IF(G500&lt;=0.85,"正常",IF(G500&lt;=1,"满负荷","超负荷"))))</f>
        <v>空闲</v>
      </c>
      <c r="I500" s="104" t="s">
        <v>638</v>
      </c>
      <c r="J500" s="104"/>
      <c r="K500" s="104"/>
      <c r="L500" s="105" t="s">
        <v>639</v>
      </c>
    </row>
    <row r="501" customFormat="false" ht="48" hidden="false" customHeight="true" outlineLevel="0" collapsed="false">
      <c r="A501" s="99"/>
      <c r="B501" s="100" t="n">
        <v>46300</v>
      </c>
      <c r="C501" s="100" t="n">
        <v>46306</v>
      </c>
      <c r="D501" s="99" t="s">
        <v>638</v>
      </c>
      <c r="E501" s="99" t="n">
        <v>0</v>
      </c>
      <c r="F501" s="101" t="n">
        <v>0</v>
      </c>
      <c r="G501" s="102" t="n">
        <f aca="false">IFERROR(F501/INDEX($G$5:$G$34,MATCH(LOOKUP(2,1/($A$39:A501&lt;&gt;""),$A$39:A501),$A$5:$A$34,0)),0)</f>
        <v>0</v>
      </c>
      <c r="H501" s="103" t="str">
        <f aca="false">IF(G501=0,"空闲",IF(G501&lt;=0.6,"低负荷",IF(G501&lt;=0.85,"正常",IF(G501&lt;=1,"满负荷","超负荷"))))</f>
        <v>空闲</v>
      </c>
      <c r="I501" s="104" t="s">
        <v>638</v>
      </c>
      <c r="J501" s="104"/>
      <c r="K501" s="104"/>
      <c r="L501" s="105" t="s">
        <v>639</v>
      </c>
    </row>
    <row r="502" customFormat="false" ht="48" hidden="false" customHeight="true" outlineLevel="0" collapsed="false">
      <c r="A502" s="99"/>
      <c r="B502" s="100" t="n">
        <v>46307</v>
      </c>
      <c r="C502" s="100" t="n">
        <v>46313</v>
      </c>
      <c r="D502" s="99" t="s">
        <v>638</v>
      </c>
      <c r="E502" s="99" t="n">
        <v>0</v>
      </c>
      <c r="F502" s="101" t="n">
        <v>0</v>
      </c>
      <c r="G502" s="102" t="n">
        <f aca="false">IFERROR(F502/INDEX($G$5:$G$34,MATCH(LOOKUP(2,1/($A$39:A502&lt;&gt;""),$A$39:A502),$A$5:$A$34,0)),0)</f>
        <v>0</v>
      </c>
      <c r="H502" s="103" t="str">
        <f aca="false">IF(G502=0,"空闲",IF(G502&lt;=0.6,"低负荷",IF(G502&lt;=0.85,"正常",IF(G502&lt;=1,"满负荷","超负荷"))))</f>
        <v>空闲</v>
      </c>
      <c r="I502" s="104" t="s">
        <v>638</v>
      </c>
      <c r="J502" s="104"/>
      <c r="K502" s="104"/>
      <c r="L502" s="105" t="s">
        <v>639</v>
      </c>
    </row>
    <row r="503" customFormat="false" ht="48" hidden="false" customHeight="true" outlineLevel="0" collapsed="false">
      <c r="A503" s="99"/>
      <c r="B503" s="100" t="n">
        <v>46314</v>
      </c>
      <c r="C503" s="100" t="n">
        <v>46320</v>
      </c>
      <c r="D503" s="99" t="s">
        <v>638</v>
      </c>
      <c r="E503" s="99" t="n">
        <v>0</v>
      </c>
      <c r="F503" s="101" t="n">
        <v>0</v>
      </c>
      <c r="G503" s="102" t="n">
        <f aca="false">IFERROR(F503/INDEX($G$5:$G$34,MATCH(LOOKUP(2,1/($A$39:A503&lt;&gt;""),$A$39:A503),$A$5:$A$34,0)),0)</f>
        <v>0</v>
      </c>
      <c r="H503" s="103" t="str">
        <f aca="false">IF(G503=0,"空闲",IF(G503&lt;=0.6,"低负荷",IF(G503&lt;=0.85,"正常",IF(G503&lt;=1,"满负荷","超负荷"))))</f>
        <v>空闲</v>
      </c>
      <c r="I503" s="104" t="s">
        <v>638</v>
      </c>
      <c r="J503" s="104"/>
      <c r="K503" s="104"/>
      <c r="L503" s="105" t="s">
        <v>639</v>
      </c>
    </row>
    <row r="504" customFormat="false" ht="48" hidden="false" customHeight="true" outlineLevel="0" collapsed="false">
      <c r="A504" s="99"/>
      <c r="B504" s="100" t="n">
        <v>46321</v>
      </c>
      <c r="C504" s="100" t="n">
        <v>46327</v>
      </c>
      <c r="D504" s="99" t="s">
        <v>640</v>
      </c>
      <c r="E504" s="99" t="n">
        <v>1</v>
      </c>
      <c r="F504" s="101" t="n">
        <v>40</v>
      </c>
      <c r="G504" s="102" t="n">
        <f aca="false">IFERROR(F504/INDEX($G$5:$G$34,MATCH(LOOKUP(2,1/($A$39:A504&lt;&gt;""),$A$39:A504),$A$5:$A$34,0)),0)</f>
        <v>1</v>
      </c>
      <c r="H504" s="103" t="str">
        <f aca="false">IF(G504=0,"空闲",IF(G504&lt;=0.6,"低负荷",IF(G504&lt;=0.85,"正常",IF(G504&lt;=1,"满负荷","超负荷"))))</f>
        <v>满负荷</v>
      </c>
      <c r="I504" s="106" t="s">
        <v>704</v>
      </c>
      <c r="J504" s="106"/>
      <c r="K504" s="106"/>
      <c r="L504" s="105" t="s">
        <v>642</v>
      </c>
    </row>
    <row r="505" customFormat="false" ht="48" hidden="false" customHeight="true" outlineLevel="0" collapsed="false">
      <c r="A505" s="99"/>
      <c r="B505" s="100" t="n">
        <v>46328</v>
      </c>
      <c r="C505" s="100" t="n">
        <v>46334</v>
      </c>
      <c r="D505" s="99" t="s">
        <v>640</v>
      </c>
      <c r="E505" s="99" t="n">
        <v>1</v>
      </c>
      <c r="F505" s="101" t="n">
        <v>40</v>
      </c>
      <c r="G505" s="102" t="n">
        <f aca="false">IFERROR(F505/INDEX($G$5:$G$34,MATCH(LOOKUP(2,1/($A$39:A505&lt;&gt;""),$A$39:A505),$A$5:$A$34,0)),0)</f>
        <v>1</v>
      </c>
      <c r="H505" s="103" t="str">
        <f aca="false">IF(G505=0,"空闲",IF(G505&lt;=0.6,"低负荷",IF(G505&lt;=0.85,"正常",IF(G505&lt;=1,"满负荷","超负荷"))))</f>
        <v>满负荷</v>
      </c>
      <c r="I505" s="106" t="s">
        <v>704</v>
      </c>
      <c r="J505" s="106"/>
      <c r="K505" s="106"/>
      <c r="L505" s="105" t="s">
        <v>642</v>
      </c>
    </row>
    <row r="506" customFormat="false" ht="48" hidden="false" customHeight="true" outlineLevel="0" collapsed="false">
      <c r="A506" s="99"/>
      <c r="B506" s="100" t="n">
        <v>46335</v>
      </c>
      <c r="C506" s="100" t="n">
        <v>46341</v>
      </c>
      <c r="D506" s="99" t="s">
        <v>638</v>
      </c>
      <c r="E506" s="99" t="n">
        <v>0</v>
      </c>
      <c r="F506" s="101" t="n">
        <v>0</v>
      </c>
      <c r="G506" s="102" t="n">
        <f aca="false">IFERROR(F506/INDEX($G$5:$G$34,MATCH(LOOKUP(2,1/($A$39:A506&lt;&gt;""),$A$39:A506),$A$5:$A$34,0)),0)</f>
        <v>0</v>
      </c>
      <c r="H506" s="103" t="str">
        <f aca="false">IF(G506=0,"空闲",IF(G506&lt;=0.6,"低负荷",IF(G506&lt;=0.85,"正常",IF(G506&lt;=1,"满负荷","超负荷"))))</f>
        <v>空闲</v>
      </c>
      <c r="I506" s="104" t="s">
        <v>638</v>
      </c>
      <c r="J506" s="104"/>
      <c r="K506" s="104"/>
      <c r="L506" s="105" t="s">
        <v>639</v>
      </c>
    </row>
    <row r="507" customFormat="false" ht="48" hidden="false" customHeight="true" outlineLevel="0" collapsed="false">
      <c r="A507" s="99"/>
      <c r="B507" s="100" t="n">
        <v>46342</v>
      </c>
      <c r="C507" s="100" t="n">
        <v>46348</v>
      </c>
      <c r="D507" s="99" t="s">
        <v>638</v>
      </c>
      <c r="E507" s="99" t="n">
        <v>0</v>
      </c>
      <c r="F507" s="101" t="n">
        <v>0</v>
      </c>
      <c r="G507" s="102" t="n">
        <f aca="false">IFERROR(F507/INDEX($G$5:$G$34,MATCH(LOOKUP(2,1/($A$39:A507&lt;&gt;""),$A$39:A507),$A$5:$A$34,0)),0)</f>
        <v>0</v>
      </c>
      <c r="H507" s="103" t="str">
        <f aca="false">IF(G507=0,"空闲",IF(G507&lt;=0.6,"低负荷",IF(G507&lt;=0.85,"正常",IF(G507&lt;=1,"满负荷","超负荷"))))</f>
        <v>空闲</v>
      </c>
      <c r="I507" s="104" t="s">
        <v>638</v>
      </c>
      <c r="J507" s="104"/>
      <c r="K507" s="104"/>
      <c r="L507" s="105" t="s">
        <v>639</v>
      </c>
    </row>
    <row r="508" customFormat="false" ht="48" hidden="false" customHeight="true" outlineLevel="0" collapsed="false">
      <c r="A508" s="99"/>
      <c r="B508" s="100" t="n">
        <v>46349</v>
      </c>
      <c r="C508" s="100" t="n">
        <v>46355</v>
      </c>
      <c r="D508" s="99" t="s">
        <v>638</v>
      </c>
      <c r="E508" s="99" t="n">
        <v>0</v>
      </c>
      <c r="F508" s="101" t="n">
        <v>0</v>
      </c>
      <c r="G508" s="102" t="n">
        <f aca="false">IFERROR(F508/INDEX($G$5:$G$34,MATCH(LOOKUP(2,1/($A$39:A508&lt;&gt;""),$A$39:A508),$A$5:$A$34,0)),0)</f>
        <v>0</v>
      </c>
      <c r="H508" s="103" t="str">
        <f aca="false">IF(G508=0,"空闲",IF(G508&lt;=0.6,"低负荷",IF(G508&lt;=0.85,"正常",IF(G508&lt;=1,"满负荷","超负荷"))))</f>
        <v>空闲</v>
      </c>
      <c r="I508" s="104" t="s">
        <v>638</v>
      </c>
      <c r="J508" s="104"/>
      <c r="K508" s="104"/>
      <c r="L508" s="105" t="s">
        <v>639</v>
      </c>
    </row>
    <row r="509" customFormat="false" ht="48" hidden="false" customHeight="true" outlineLevel="0" collapsed="false">
      <c r="A509" s="99"/>
      <c r="B509" s="100" t="n">
        <v>46356</v>
      </c>
      <c r="C509" s="100" t="n">
        <v>46362</v>
      </c>
      <c r="D509" s="99" t="s">
        <v>638</v>
      </c>
      <c r="E509" s="99" t="n">
        <v>0</v>
      </c>
      <c r="F509" s="101" t="n">
        <v>0</v>
      </c>
      <c r="G509" s="102" t="n">
        <f aca="false">IFERROR(F509/INDEX($G$5:$G$34,MATCH(LOOKUP(2,1/($A$39:A509&lt;&gt;""),$A$39:A509),$A$5:$A$34,0)),0)</f>
        <v>0</v>
      </c>
      <c r="H509" s="103" t="str">
        <f aca="false">IF(G509=0,"空闲",IF(G509&lt;=0.6,"低负荷",IF(G509&lt;=0.85,"正常",IF(G509&lt;=1,"满负荷","超负荷"))))</f>
        <v>空闲</v>
      </c>
      <c r="I509" s="104" t="s">
        <v>638</v>
      </c>
      <c r="J509" s="104"/>
      <c r="K509" s="104"/>
      <c r="L509" s="105" t="s">
        <v>639</v>
      </c>
    </row>
    <row r="510" customFormat="false" ht="48" hidden="false" customHeight="true" outlineLevel="0" collapsed="false">
      <c r="A510" s="99"/>
      <c r="B510" s="100" t="n">
        <v>46363</v>
      </c>
      <c r="C510" s="100" t="n">
        <v>46369</v>
      </c>
      <c r="D510" s="99" t="s">
        <v>638</v>
      </c>
      <c r="E510" s="99" t="n">
        <v>0</v>
      </c>
      <c r="F510" s="101" t="n">
        <v>0</v>
      </c>
      <c r="G510" s="102" t="n">
        <f aca="false">IFERROR(F510/INDEX($G$5:$G$34,MATCH(LOOKUP(2,1/($A$39:A510&lt;&gt;""),$A$39:A510),$A$5:$A$34,0)),0)</f>
        <v>0</v>
      </c>
      <c r="H510" s="103" t="str">
        <f aca="false">IF(G510=0,"空闲",IF(G510&lt;=0.6,"低负荷",IF(G510&lt;=0.85,"正常",IF(G510&lt;=1,"满负荷","超负荷"))))</f>
        <v>空闲</v>
      </c>
      <c r="I510" s="104" t="s">
        <v>638</v>
      </c>
      <c r="J510" s="104"/>
      <c r="K510" s="104"/>
      <c r="L510" s="105" t="s">
        <v>639</v>
      </c>
    </row>
    <row r="511" customFormat="false" ht="48" hidden="false" customHeight="true" outlineLevel="0" collapsed="false">
      <c r="A511" s="99"/>
      <c r="B511" s="100" t="n">
        <v>46370</v>
      </c>
      <c r="C511" s="100" t="n">
        <v>46376</v>
      </c>
      <c r="D511" s="99" t="s">
        <v>638</v>
      </c>
      <c r="E511" s="99" t="n">
        <v>0</v>
      </c>
      <c r="F511" s="101" t="n">
        <v>0</v>
      </c>
      <c r="G511" s="102" t="n">
        <f aca="false">IFERROR(F511/INDEX($G$5:$G$34,MATCH(LOOKUP(2,1/($A$39:A511&lt;&gt;""),$A$39:A511),$A$5:$A$34,0)),0)</f>
        <v>0</v>
      </c>
      <c r="H511" s="103" t="str">
        <f aca="false">IF(G511=0,"空闲",IF(G511&lt;=0.6,"低负荷",IF(G511&lt;=0.85,"正常",IF(G511&lt;=1,"满负荷","超负荷"))))</f>
        <v>空闲</v>
      </c>
      <c r="I511" s="104" t="s">
        <v>638</v>
      </c>
      <c r="J511" s="104"/>
      <c r="K511" s="104"/>
      <c r="L511" s="105" t="s">
        <v>639</v>
      </c>
    </row>
    <row r="512" customFormat="false" ht="48" hidden="false" customHeight="true" outlineLevel="0" collapsed="false">
      <c r="A512" s="99"/>
      <c r="B512" s="100" t="n">
        <v>46377</v>
      </c>
      <c r="C512" s="100" t="n">
        <v>46383</v>
      </c>
      <c r="D512" s="99" t="s">
        <v>638</v>
      </c>
      <c r="E512" s="99" t="n">
        <v>0</v>
      </c>
      <c r="F512" s="101" t="n">
        <v>0</v>
      </c>
      <c r="G512" s="102" t="n">
        <f aca="false">IFERROR(F512/INDEX($G$5:$G$34,MATCH(LOOKUP(2,1/($A$39:A512&lt;&gt;""),$A$39:A512),$A$5:$A$34,0)),0)</f>
        <v>0</v>
      </c>
      <c r="H512" s="103" t="str">
        <f aca="false">IF(G512=0,"空闲",IF(G512&lt;=0.6,"低负荷",IF(G512&lt;=0.85,"正常",IF(G512&lt;=1,"满负荷","超负荷"))))</f>
        <v>空闲</v>
      </c>
      <c r="I512" s="104" t="s">
        <v>638</v>
      </c>
      <c r="J512" s="104"/>
      <c r="K512" s="104"/>
      <c r="L512" s="105" t="s">
        <v>639</v>
      </c>
    </row>
    <row r="513" customFormat="false" ht="48" hidden="false" customHeight="true" outlineLevel="0" collapsed="false">
      <c r="A513" s="99"/>
      <c r="B513" s="100" t="n">
        <v>46384</v>
      </c>
      <c r="C513" s="100" t="n">
        <v>46390</v>
      </c>
      <c r="D513" s="99" t="s">
        <v>638</v>
      </c>
      <c r="E513" s="99" t="n">
        <v>0</v>
      </c>
      <c r="F513" s="101" t="n">
        <v>0</v>
      </c>
      <c r="G513" s="102" t="n">
        <f aca="false">IFERROR(F513/INDEX($G$5:$G$34,MATCH(LOOKUP(2,1/($A$39:A513&lt;&gt;""),$A$39:A513),$A$5:$A$34,0)),0)</f>
        <v>0</v>
      </c>
      <c r="H513" s="103" t="str">
        <f aca="false">IF(G513=0,"空闲",IF(G513&lt;=0.6,"低负荷",IF(G513&lt;=0.85,"正常",IF(G513&lt;=1,"满负荷","超负荷"))))</f>
        <v>空闲</v>
      </c>
      <c r="I513" s="104" t="s">
        <v>638</v>
      </c>
      <c r="J513" s="104"/>
      <c r="K513" s="104"/>
      <c r="L513" s="105" t="s">
        <v>639</v>
      </c>
    </row>
    <row r="514" customFormat="false" ht="48" hidden="false" customHeight="true" outlineLevel="0" collapsed="false">
      <c r="A514" s="99"/>
      <c r="B514" s="100" t="n">
        <v>46391</v>
      </c>
      <c r="C514" s="100" t="n">
        <v>46397</v>
      </c>
      <c r="D514" s="99" t="s">
        <v>638</v>
      </c>
      <c r="E514" s="99" t="n">
        <v>0</v>
      </c>
      <c r="F514" s="101" t="n">
        <v>0</v>
      </c>
      <c r="G514" s="102" t="n">
        <f aca="false">IFERROR(F514/INDEX($G$5:$G$34,MATCH(LOOKUP(2,1/($A$39:A514&lt;&gt;""),$A$39:A514),$A$5:$A$34,0)),0)</f>
        <v>0</v>
      </c>
      <c r="H514" s="103" t="str">
        <f aca="false">IF(G514=0,"空闲",IF(G514&lt;=0.6,"低负荷",IF(G514&lt;=0.85,"正常",IF(G514&lt;=1,"满负荷","超负荷"))))</f>
        <v>空闲</v>
      </c>
      <c r="I514" s="104" t="s">
        <v>638</v>
      </c>
      <c r="J514" s="104"/>
      <c r="K514" s="104"/>
      <c r="L514" s="105" t="s">
        <v>639</v>
      </c>
    </row>
    <row r="515" customFormat="false" ht="48" hidden="false" customHeight="true" outlineLevel="0" collapsed="false">
      <c r="A515" s="99"/>
      <c r="B515" s="100" t="n">
        <v>46398</v>
      </c>
      <c r="C515" s="100" t="n">
        <v>46404</v>
      </c>
      <c r="D515" s="99" t="s">
        <v>638</v>
      </c>
      <c r="E515" s="99" t="n">
        <v>0</v>
      </c>
      <c r="F515" s="101" t="n">
        <v>0</v>
      </c>
      <c r="G515" s="102" t="n">
        <f aca="false">IFERROR(F515/INDEX($G$5:$G$34,MATCH(LOOKUP(2,1/($A$39:A515&lt;&gt;""),$A$39:A515),$A$5:$A$34,0)),0)</f>
        <v>0</v>
      </c>
      <c r="H515" s="103" t="str">
        <f aca="false">IF(G515=0,"空闲",IF(G515&lt;=0.6,"低负荷",IF(G515&lt;=0.85,"正常",IF(G515&lt;=1,"满负荷","超负荷"))))</f>
        <v>空闲</v>
      </c>
      <c r="I515" s="104" t="s">
        <v>638</v>
      </c>
      <c r="J515" s="104"/>
      <c r="K515" s="104"/>
      <c r="L515" s="105" t="s">
        <v>639</v>
      </c>
    </row>
    <row r="516" customFormat="false" ht="48" hidden="false" customHeight="true" outlineLevel="0" collapsed="false">
      <c r="A516" s="99"/>
      <c r="B516" s="100" t="n">
        <v>46405</v>
      </c>
      <c r="C516" s="100" t="n">
        <v>46411</v>
      </c>
      <c r="D516" s="99" t="s">
        <v>638</v>
      </c>
      <c r="E516" s="99" t="n">
        <v>0</v>
      </c>
      <c r="F516" s="101" t="n">
        <v>0</v>
      </c>
      <c r="G516" s="102" t="n">
        <f aca="false">IFERROR(F516/INDEX($G$5:$G$34,MATCH(LOOKUP(2,1/($A$39:A516&lt;&gt;""),$A$39:A516),$A$5:$A$34,0)),0)</f>
        <v>0</v>
      </c>
      <c r="H516" s="103" t="str">
        <f aca="false">IF(G516=0,"空闲",IF(G516&lt;=0.6,"低负荷",IF(G516&lt;=0.85,"正常",IF(G516&lt;=1,"满负荷","超负荷"))))</f>
        <v>空闲</v>
      </c>
      <c r="I516" s="104" t="s">
        <v>638</v>
      </c>
      <c r="J516" s="104"/>
      <c r="K516" s="104"/>
      <c r="L516" s="105" t="s">
        <v>639</v>
      </c>
    </row>
    <row r="517" customFormat="false" ht="48" hidden="false" customHeight="true" outlineLevel="0" collapsed="false">
      <c r="A517" s="99"/>
      <c r="B517" s="100" t="n">
        <v>46412</v>
      </c>
      <c r="C517" s="100" t="n">
        <v>46418</v>
      </c>
      <c r="D517" s="99" t="s">
        <v>638</v>
      </c>
      <c r="E517" s="99" t="n">
        <v>0</v>
      </c>
      <c r="F517" s="101" t="n">
        <v>0</v>
      </c>
      <c r="G517" s="102" t="n">
        <f aca="false">IFERROR(F517/INDEX($G$5:$G$34,MATCH(LOOKUP(2,1/($A$39:A517&lt;&gt;""),$A$39:A517),$A$5:$A$34,0)),0)</f>
        <v>0</v>
      </c>
      <c r="H517" s="103" t="str">
        <f aca="false">IF(G517=0,"空闲",IF(G517&lt;=0.6,"低负荷",IF(G517&lt;=0.85,"正常",IF(G517&lt;=1,"满负荷","超负荷"))))</f>
        <v>空闲</v>
      </c>
      <c r="I517" s="104" t="s">
        <v>638</v>
      </c>
      <c r="J517" s="104"/>
      <c r="K517" s="104"/>
      <c r="L517" s="105" t="s">
        <v>639</v>
      </c>
    </row>
    <row r="518" customFormat="false" ht="48" hidden="false" customHeight="true" outlineLevel="0" collapsed="false">
      <c r="A518" s="99"/>
      <c r="B518" s="100" t="n">
        <v>46419</v>
      </c>
      <c r="C518" s="100" t="n">
        <v>46425</v>
      </c>
      <c r="D518" s="99" t="s">
        <v>638</v>
      </c>
      <c r="E518" s="99" t="n">
        <v>0</v>
      </c>
      <c r="F518" s="101" t="n">
        <v>0</v>
      </c>
      <c r="G518" s="102" t="n">
        <f aca="false">IFERROR(F518/INDEX($G$5:$G$34,MATCH(LOOKUP(2,1/($A$39:A518&lt;&gt;""),$A$39:A518),$A$5:$A$34,0)),0)</f>
        <v>0</v>
      </c>
      <c r="H518" s="103" t="str">
        <f aca="false">IF(G518=0,"空闲",IF(G518&lt;=0.6,"低负荷",IF(G518&lt;=0.85,"正常",IF(G518&lt;=1,"满负荷","超负荷"))))</f>
        <v>空闲</v>
      </c>
      <c r="I518" s="104" t="s">
        <v>638</v>
      </c>
      <c r="J518" s="104"/>
      <c r="K518" s="104"/>
      <c r="L518" s="105" t="s">
        <v>639</v>
      </c>
    </row>
    <row r="519" customFormat="false" ht="48" hidden="false" customHeight="true" outlineLevel="0" collapsed="false">
      <c r="A519" s="99"/>
      <c r="B519" s="100" t="n">
        <v>46426</v>
      </c>
      <c r="C519" s="100" t="n">
        <v>46432</v>
      </c>
      <c r="D519" s="99" t="s">
        <v>638</v>
      </c>
      <c r="E519" s="99" t="n">
        <v>0</v>
      </c>
      <c r="F519" s="101" t="n">
        <v>0</v>
      </c>
      <c r="G519" s="102" t="n">
        <f aca="false">IFERROR(F519/INDEX($G$5:$G$34,MATCH(LOOKUP(2,1/($A$39:A519&lt;&gt;""),$A$39:A519),$A$5:$A$34,0)),0)</f>
        <v>0</v>
      </c>
      <c r="H519" s="103" t="str">
        <f aca="false">IF(G519=0,"空闲",IF(G519&lt;=0.6,"低负荷",IF(G519&lt;=0.85,"正常",IF(G519&lt;=1,"满负荷","超负荷"))))</f>
        <v>空闲</v>
      </c>
      <c r="I519" s="104" t="s">
        <v>638</v>
      </c>
      <c r="J519" s="104"/>
      <c r="K519" s="104"/>
      <c r="L519" s="105" t="s">
        <v>639</v>
      </c>
    </row>
    <row r="520" customFormat="false" ht="48" hidden="false" customHeight="true" outlineLevel="0" collapsed="false">
      <c r="A520" s="99"/>
      <c r="B520" s="100" t="n">
        <v>46433</v>
      </c>
      <c r="C520" s="100" t="n">
        <v>46439</v>
      </c>
      <c r="D520" s="99" t="s">
        <v>638</v>
      </c>
      <c r="E520" s="99" t="n">
        <v>0</v>
      </c>
      <c r="F520" s="101" t="n">
        <v>0</v>
      </c>
      <c r="G520" s="102" t="n">
        <f aca="false">IFERROR(F520/INDEX($G$5:$G$34,MATCH(LOOKUP(2,1/($A$39:A520&lt;&gt;""),$A$39:A520),$A$5:$A$34,0)),0)</f>
        <v>0</v>
      </c>
      <c r="H520" s="103" t="str">
        <f aca="false">IF(G520=0,"空闲",IF(G520&lt;=0.6,"低负荷",IF(G520&lt;=0.85,"正常",IF(G520&lt;=1,"满负荷","超负荷"))))</f>
        <v>空闲</v>
      </c>
      <c r="I520" s="104" t="s">
        <v>638</v>
      </c>
      <c r="J520" s="104"/>
      <c r="K520" s="104"/>
      <c r="L520" s="105" t="s">
        <v>639</v>
      </c>
    </row>
    <row r="521" customFormat="false" ht="48" hidden="false" customHeight="true" outlineLevel="0" collapsed="false">
      <c r="A521" s="99"/>
      <c r="B521" s="100" t="n">
        <v>46440</v>
      </c>
      <c r="C521" s="100" t="n">
        <v>46446</v>
      </c>
      <c r="D521" s="99" t="s">
        <v>638</v>
      </c>
      <c r="E521" s="99" t="n">
        <v>0</v>
      </c>
      <c r="F521" s="101" t="n">
        <v>0</v>
      </c>
      <c r="G521" s="102" t="n">
        <f aca="false">IFERROR(F521/INDEX($G$5:$G$34,MATCH(LOOKUP(2,1/($A$39:A521&lt;&gt;""),$A$39:A521),$A$5:$A$34,0)),0)</f>
        <v>0</v>
      </c>
      <c r="H521" s="103" t="str">
        <f aca="false">IF(G521=0,"空闲",IF(G521&lt;=0.6,"低负荷",IF(G521&lt;=0.85,"正常",IF(G521&lt;=1,"满负荷","超负荷"))))</f>
        <v>空闲</v>
      </c>
      <c r="I521" s="104" t="s">
        <v>638</v>
      </c>
      <c r="J521" s="104"/>
      <c r="K521" s="104"/>
      <c r="L521" s="105" t="s">
        <v>639</v>
      </c>
    </row>
    <row r="522" customFormat="false" ht="48" hidden="false" customHeight="true" outlineLevel="0" collapsed="false">
      <c r="A522" s="99"/>
      <c r="B522" s="100" t="n">
        <v>46447</v>
      </c>
      <c r="C522" s="100" t="n">
        <v>46453</v>
      </c>
      <c r="D522" s="99" t="s">
        <v>638</v>
      </c>
      <c r="E522" s="99" t="n">
        <v>0</v>
      </c>
      <c r="F522" s="101" t="n">
        <v>0</v>
      </c>
      <c r="G522" s="102" t="n">
        <f aca="false">IFERROR(F522/INDEX($G$5:$G$34,MATCH(LOOKUP(2,1/($A$39:A522&lt;&gt;""),$A$39:A522),$A$5:$A$34,0)),0)</f>
        <v>0</v>
      </c>
      <c r="H522" s="103" t="str">
        <f aca="false">IF(G522=0,"空闲",IF(G522&lt;=0.6,"低负荷",IF(G522&lt;=0.85,"正常",IF(G522&lt;=1,"满负荷","超负荷"))))</f>
        <v>空闲</v>
      </c>
      <c r="I522" s="104" t="s">
        <v>638</v>
      </c>
      <c r="J522" s="104"/>
      <c r="K522" s="104"/>
      <c r="L522" s="105" t="s">
        <v>639</v>
      </c>
    </row>
    <row r="523" customFormat="false" ht="48" hidden="false" customHeight="true" outlineLevel="0" collapsed="false">
      <c r="A523" s="99"/>
      <c r="B523" s="100" t="n">
        <v>46454</v>
      </c>
      <c r="C523" s="100" t="n">
        <v>46460</v>
      </c>
      <c r="D523" s="99" t="s">
        <v>638</v>
      </c>
      <c r="E523" s="99" t="n">
        <v>0</v>
      </c>
      <c r="F523" s="101" t="n">
        <v>0</v>
      </c>
      <c r="G523" s="102" t="n">
        <f aca="false">IFERROR(F523/INDEX($G$5:$G$34,MATCH(LOOKUP(2,1/($A$39:A523&lt;&gt;""),$A$39:A523),$A$5:$A$34,0)),0)</f>
        <v>0</v>
      </c>
      <c r="H523" s="103" t="str">
        <f aca="false">IF(G523=0,"空闲",IF(G523&lt;=0.6,"低负荷",IF(G523&lt;=0.85,"正常",IF(G523&lt;=1,"满负荷","超负荷"))))</f>
        <v>空闲</v>
      </c>
      <c r="I523" s="104" t="s">
        <v>638</v>
      </c>
      <c r="J523" s="104"/>
      <c r="K523" s="104"/>
      <c r="L523" s="105" t="s">
        <v>639</v>
      </c>
    </row>
    <row r="524" customFormat="false" ht="48" hidden="false" customHeight="true" outlineLevel="0" collapsed="false">
      <c r="A524" s="99"/>
      <c r="B524" s="100" t="n">
        <v>46461</v>
      </c>
      <c r="C524" s="100" t="n">
        <v>46467</v>
      </c>
      <c r="D524" s="99" t="s">
        <v>638</v>
      </c>
      <c r="E524" s="99" t="n">
        <v>0</v>
      </c>
      <c r="F524" s="101" t="n">
        <v>0</v>
      </c>
      <c r="G524" s="102" t="n">
        <f aca="false">IFERROR(F524/INDEX($G$5:$G$34,MATCH(LOOKUP(2,1/($A$39:A524&lt;&gt;""),$A$39:A524),$A$5:$A$34,0)),0)</f>
        <v>0</v>
      </c>
      <c r="H524" s="103" t="str">
        <f aca="false">IF(G524=0,"空闲",IF(G524&lt;=0.6,"低负荷",IF(G524&lt;=0.85,"正常",IF(G524&lt;=1,"满负荷","超负荷"))))</f>
        <v>空闲</v>
      </c>
      <c r="I524" s="104" t="s">
        <v>638</v>
      </c>
      <c r="J524" s="104"/>
      <c r="K524" s="104"/>
      <c r="L524" s="105" t="s">
        <v>639</v>
      </c>
    </row>
    <row r="525" customFormat="false" ht="48" hidden="false" customHeight="true" outlineLevel="0" collapsed="false">
      <c r="A525" s="99"/>
      <c r="B525" s="100" t="n">
        <v>46468</v>
      </c>
      <c r="C525" s="100" t="n">
        <v>46474</v>
      </c>
      <c r="D525" s="99" t="s">
        <v>638</v>
      </c>
      <c r="E525" s="99" t="n">
        <v>0</v>
      </c>
      <c r="F525" s="101" t="n">
        <v>0</v>
      </c>
      <c r="G525" s="102" t="n">
        <f aca="false">IFERROR(F525/INDEX($G$5:$G$34,MATCH(LOOKUP(2,1/($A$39:A525&lt;&gt;""),$A$39:A525),$A$5:$A$34,0)),0)</f>
        <v>0</v>
      </c>
      <c r="H525" s="103" t="str">
        <f aca="false">IF(G525=0,"空闲",IF(G525&lt;=0.6,"低负荷",IF(G525&lt;=0.85,"正常",IF(G525&lt;=1,"满负荷","超负荷"))))</f>
        <v>空闲</v>
      </c>
      <c r="I525" s="104" t="s">
        <v>638</v>
      </c>
      <c r="J525" s="104"/>
      <c r="K525" s="104"/>
      <c r="L525" s="105" t="s">
        <v>639</v>
      </c>
    </row>
    <row r="526" customFormat="false" ht="48" hidden="false" customHeight="true" outlineLevel="0" collapsed="false">
      <c r="A526" s="99"/>
      <c r="B526" s="100" t="n">
        <v>46475</v>
      </c>
      <c r="C526" s="100" t="n">
        <v>46481</v>
      </c>
      <c r="D526" s="99" t="s">
        <v>638</v>
      </c>
      <c r="E526" s="99" t="n">
        <v>0</v>
      </c>
      <c r="F526" s="101" t="n">
        <v>0</v>
      </c>
      <c r="G526" s="102" t="n">
        <f aca="false">IFERROR(F526/INDEX($G$5:$G$34,MATCH(LOOKUP(2,1/($A$39:A526&lt;&gt;""),$A$39:A526),$A$5:$A$34,0)),0)</f>
        <v>0</v>
      </c>
      <c r="H526" s="103" t="str">
        <f aca="false">IF(G526=0,"空闲",IF(G526&lt;=0.6,"低负荷",IF(G526&lt;=0.85,"正常",IF(G526&lt;=1,"满负荷","超负荷"))))</f>
        <v>空闲</v>
      </c>
      <c r="I526" s="104" t="s">
        <v>638</v>
      </c>
      <c r="J526" s="104"/>
      <c r="K526" s="104"/>
      <c r="L526" s="105" t="s">
        <v>639</v>
      </c>
    </row>
    <row r="527" customFormat="false" ht="48" hidden="false" customHeight="true" outlineLevel="0" collapsed="false">
      <c r="A527" s="99"/>
      <c r="B527" s="100" t="n">
        <v>46482</v>
      </c>
      <c r="C527" s="100" t="n">
        <v>46488</v>
      </c>
      <c r="D527" s="99" t="s">
        <v>638</v>
      </c>
      <c r="E527" s="99" t="n">
        <v>0</v>
      </c>
      <c r="F527" s="101" t="n">
        <v>0</v>
      </c>
      <c r="G527" s="102" t="n">
        <f aca="false">IFERROR(F527/INDEX($G$5:$G$34,MATCH(LOOKUP(2,1/($A$39:A527&lt;&gt;""),$A$39:A527),$A$5:$A$34,0)),0)</f>
        <v>0</v>
      </c>
      <c r="H527" s="103" t="str">
        <f aca="false">IF(G527=0,"空闲",IF(G527&lt;=0.6,"低负荷",IF(G527&lt;=0.85,"正常",IF(G527&lt;=1,"满负荷","超负荷"))))</f>
        <v>空闲</v>
      </c>
      <c r="I527" s="104" t="s">
        <v>638</v>
      </c>
      <c r="J527" s="104"/>
      <c r="K527" s="104"/>
      <c r="L527" s="105" t="s">
        <v>639</v>
      </c>
    </row>
    <row r="528" customFormat="false" ht="48" hidden="false" customHeight="true" outlineLevel="0" collapsed="false">
      <c r="A528" s="99"/>
      <c r="B528" s="100" t="n">
        <v>46489</v>
      </c>
      <c r="C528" s="100" t="n">
        <v>46495</v>
      </c>
      <c r="D528" s="99" t="s">
        <v>640</v>
      </c>
      <c r="E528" s="99" t="n">
        <v>1</v>
      </c>
      <c r="F528" s="101" t="n">
        <v>40</v>
      </c>
      <c r="G528" s="102" t="n">
        <f aca="false">IFERROR(F528/INDEX($G$5:$G$34,MATCH(LOOKUP(2,1/($A$39:A528&lt;&gt;""),$A$39:A528),$A$5:$A$34,0)),0)</f>
        <v>1</v>
      </c>
      <c r="H528" s="103" t="str">
        <f aca="false">IF(G528=0,"空闲",IF(G528&lt;=0.6,"低负荷",IF(G528&lt;=0.85,"正常",IF(G528&lt;=1,"满负荷","超负荷"))))</f>
        <v>满负荷</v>
      </c>
      <c r="I528" s="106" t="s">
        <v>705</v>
      </c>
      <c r="J528" s="106"/>
      <c r="K528" s="106"/>
      <c r="L528" s="105" t="s">
        <v>642</v>
      </c>
    </row>
    <row r="529" customFormat="false" ht="48" hidden="false" customHeight="true" outlineLevel="0" collapsed="false">
      <c r="A529" s="99"/>
      <c r="B529" s="100" t="n">
        <v>46496</v>
      </c>
      <c r="C529" s="100" t="n">
        <v>46502</v>
      </c>
      <c r="D529" s="99" t="s">
        <v>640</v>
      </c>
      <c r="E529" s="99" t="n">
        <v>1</v>
      </c>
      <c r="F529" s="101" t="n">
        <v>40</v>
      </c>
      <c r="G529" s="102" t="n">
        <f aca="false">IFERROR(F529/INDEX($G$5:$G$34,MATCH(LOOKUP(2,1/($A$39:A529&lt;&gt;""),$A$39:A529),$A$5:$A$34,0)),0)</f>
        <v>1</v>
      </c>
      <c r="H529" s="103" t="str">
        <f aca="false">IF(G529=0,"空闲",IF(G529&lt;=0.6,"低负荷",IF(G529&lt;=0.85,"正常",IF(G529&lt;=1,"满负荷","超负荷"))))</f>
        <v>满负荷</v>
      </c>
      <c r="I529" s="106" t="s">
        <v>705</v>
      </c>
      <c r="J529" s="106"/>
      <c r="K529" s="106"/>
      <c r="L529" s="105" t="s">
        <v>642</v>
      </c>
    </row>
    <row r="530" customFormat="false" ht="48" hidden="false" customHeight="true" outlineLevel="0" collapsed="false">
      <c r="A530" s="99"/>
      <c r="B530" s="100" t="n">
        <v>46503</v>
      </c>
      <c r="C530" s="100" t="n">
        <v>46509</v>
      </c>
      <c r="D530" s="99" t="s">
        <v>638</v>
      </c>
      <c r="E530" s="99" t="n">
        <v>0</v>
      </c>
      <c r="F530" s="101" t="n">
        <v>0</v>
      </c>
      <c r="G530" s="102" t="n">
        <f aca="false">IFERROR(F530/INDEX($G$5:$G$34,MATCH(LOOKUP(2,1/($A$39:A530&lt;&gt;""),$A$39:A530),$A$5:$A$34,0)),0)</f>
        <v>0</v>
      </c>
      <c r="H530" s="103" t="str">
        <f aca="false">IF(G530=0,"空闲",IF(G530&lt;=0.6,"低负荷",IF(G530&lt;=0.85,"正常",IF(G530&lt;=1,"满负荷","超负荷"))))</f>
        <v>空闲</v>
      </c>
      <c r="I530" s="104" t="s">
        <v>638</v>
      </c>
      <c r="J530" s="104"/>
      <c r="K530" s="104"/>
      <c r="L530" s="105" t="s">
        <v>639</v>
      </c>
    </row>
    <row r="531" customFormat="false" ht="48" hidden="false" customHeight="true" outlineLevel="0" collapsed="false">
      <c r="A531" s="99"/>
      <c r="B531" s="100" t="n">
        <v>46510</v>
      </c>
      <c r="C531" s="100" t="n">
        <v>46516</v>
      </c>
      <c r="D531" s="99" t="s">
        <v>638</v>
      </c>
      <c r="E531" s="99" t="n">
        <v>0</v>
      </c>
      <c r="F531" s="101" t="n">
        <v>0</v>
      </c>
      <c r="G531" s="102" t="n">
        <f aca="false">IFERROR(F531/INDEX($G$5:$G$34,MATCH(LOOKUP(2,1/($A$39:A531&lt;&gt;""),$A$39:A531),$A$5:$A$34,0)),0)</f>
        <v>0</v>
      </c>
      <c r="H531" s="103" t="str">
        <f aca="false">IF(G531=0,"空闲",IF(G531&lt;=0.6,"低负荷",IF(G531&lt;=0.85,"正常",IF(G531&lt;=1,"满负荷","超负荷"))))</f>
        <v>空闲</v>
      </c>
      <c r="I531" s="104" t="s">
        <v>638</v>
      </c>
      <c r="J531" s="104"/>
      <c r="K531" s="104"/>
      <c r="L531" s="105" t="s">
        <v>639</v>
      </c>
    </row>
    <row r="532" customFormat="false" ht="48" hidden="false" customHeight="true" outlineLevel="0" collapsed="false">
      <c r="A532" s="99"/>
      <c r="B532" s="100" t="n">
        <v>46517</v>
      </c>
      <c r="C532" s="100" t="n">
        <v>46523</v>
      </c>
      <c r="D532" s="99" t="s">
        <v>638</v>
      </c>
      <c r="E532" s="99" t="n">
        <v>0</v>
      </c>
      <c r="F532" s="101" t="n">
        <v>0</v>
      </c>
      <c r="G532" s="102" t="n">
        <f aca="false">IFERROR(F532/INDEX($G$5:$G$34,MATCH(LOOKUP(2,1/($A$39:A532&lt;&gt;""),$A$39:A532),$A$5:$A$34,0)),0)</f>
        <v>0</v>
      </c>
      <c r="H532" s="103" t="str">
        <f aca="false">IF(G532=0,"空闲",IF(G532&lt;=0.6,"低负荷",IF(G532&lt;=0.85,"正常",IF(G532&lt;=1,"满负荷","超负荷"))))</f>
        <v>空闲</v>
      </c>
      <c r="I532" s="104" t="s">
        <v>638</v>
      </c>
      <c r="J532" s="104"/>
      <c r="K532" s="104"/>
      <c r="L532" s="105" t="s">
        <v>639</v>
      </c>
    </row>
    <row r="533" customFormat="false" ht="48" hidden="false" customHeight="true" outlineLevel="0" collapsed="false">
      <c r="A533" s="99"/>
      <c r="B533" s="100" t="n">
        <v>46524</v>
      </c>
      <c r="C533" s="100" t="n">
        <v>46530</v>
      </c>
      <c r="D533" s="99" t="s">
        <v>640</v>
      </c>
      <c r="E533" s="99" t="n">
        <v>1</v>
      </c>
      <c r="F533" s="101" t="n">
        <v>40</v>
      </c>
      <c r="G533" s="102" t="n">
        <f aca="false">IFERROR(F533/INDEX($G$5:$G$34,MATCH(LOOKUP(2,1/($A$39:A533&lt;&gt;""),$A$39:A533),$A$5:$A$34,0)),0)</f>
        <v>1</v>
      </c>
      <c r="H533" s="103" t="str">
        <f aca="false">IF(G533=0,"空闲",IF(G533&lt;=0.6,"低负荷",IF(G533&lt;=0.85,"正常",IF(G533&lt;=1,"满负荷","超负荷"))))</f>
        <v>满负荷</v>
      </c>
      <c r="I533" s="106" t="s">
        <v>706</v>
      </c>
      <c r="J533" s="106"/>
      <c r="K533" s="106"/>
      <c r="L533" s="105" t="s">
        <v>642</v>
      </c>
    </row>
    <row r="534" customFormat="false" ht="48" hidden="false" customHeight="true" outlineLevel="0" collapsed="false">
      <c r="A534" s="99"/>
      <c r="B534" s="100" t="n">
        <v>46531</v>
      </c>
      <c r="C534" s="100" t="n">
        <v>46537</v>
      </c>
      <c r="D534" s="99" t="s">
        <v>638</v>
      </c>
      <c r="E534" s="99" t="n">
        <v>0</v>
      </c>
      <c r="F534" s="101" t="n">
        <v>0</v>
      </c>
      <c r="G534" s="102" t="n">
        <f aca="false">IFERROR(F534/INDEX($G$5:$G$34,MATCH(LOOKUP(2,1/($A$39:A534&lt;&gt;""),$A$39:A534),$A$5:$A$34,0)),0)</f>
        <v>0</v>
      </c>
      <c r="H534" s="103" t="str">
        <f aca="false">IF(G534=0,"空闲",IF(G534&lt;=0.6,"低负荷",IF(G534&lt;=0.85,"正常",IF(G534&lt;=1,"满负荷","超负荷"))))</f>
        <v>空闲</v>
      </c>
      <c r="I534" s="104" t="s">
        <v>638</v>
      </c>
      <c r="J534" s="104"/>
      <c r="K534" s="104"/>
      <c r="L534" s="105" t="s">
        <v>639</v>
      </c>
    </row>
    <row r="535" customFormat="false" ht="48" hidden="false" customHeight="true" outlineLevel="0" collapsed="false">
      <c r="A535" s="99"/>
      <c r="B535" s="100" t="n">
        <v>46538</v>
      </c>
      <c r="C535" s="100" t="n">
        <v>46544</v>
      </c>
      <c r="D535" s="99" t="s">
        <v>638</v>
      </c>
      <c r="E535" s="99" t="n">
        <v>0</v>
      </c>
      <c r="F535" s="101" t="n">
        <v>0</v>
      </c>
      <c r="G535" s="102" t="n">
        <f aca="false">IFERROR(F535/INDEX($G$5:$G$34,MATCH(LOOKUP(2,1/($A$39:A535&lt;&gt;""),$A$39:A535),$A$5:$A$34,0)),0)</f>
        <v>0</v>
      </c>
      <c r="H535" s="103" t="str">
        <f aca="false">IF(G535=0,"空闲",IF(G535&lt;=0.6,"低负荷",IF(G535&lt;=0.85,"正常",IF(G535&lt;=1,"满负荷","超负荷"))))</f>
        <v>空闲</v>
      </c>
      <c r="I535" s="104" t="s">
        <v>638</v>
      </c>
      <c r="J535" s="104"/>
      <c r="K535" s="104"/>
      <c r="L535" s="105" t="s">
        <v>639</v>
      </c>
    </row>
    <row r="536" customFormat="false" ht="48" hidden="false" customHeight="true" outlineLevel="0" collapsed="false">
      <c r="A536" s="99" t="s">
        <v>615</v>
      </c>
      <c r="B536" s="100" t="n">
        <v>46048</v>
      </c>
      <c r="C536" s="100" t="n">
        <v>46054</v>
      </c>
      <c r="D536" s="99" t="s">
        <v>638</v>
      </c>
      <c r="E536" s="99" t="n">
        <v>0</v>
      </c>
      <c r="F536" s="101" t="n">
        <v>0</v>
      </c>
      <c r="G536" s="102" t="n">
        <f aca="false">IFERROR(F536/INDEX($G$5:$G$34,MATCH(LOOKUP(2,1/($A$39:A536&lt;&gt;""),$A$39:A536),$A$5:$A$34,0)),0)</f>
        <v>0</v>
      </c>
      <c r="H536" s="103" t="str">
        <f aca="false">IF(G536=0,"空闲",IF(G536&lt;=0.6,"低负荷",IF(G536&lt;=0.85,"正常",IF(G536&lt;=1,"满负荷","超负荷"))))</f>
        <v>空闲</v>
      </c>
      <c r="I536" s="104" t="s">
        <v>638</v>
      </c>
      <c r="J536" s="104"/>
      <c r="K536" s="104"/>
      <c r="L536" s="105" t="s">
        <v>639</v>
      </c>
    </row>
    <row r="537" customFormat="false" ht="48" hidden="false" customHeight="true" outlineLevel="0" collapsed="false">
      <c r="A537" s="99"/>
      <c r="B537" s="100" t="n">
        <v>46055</v>
      </c>
      <c r="C537" s="100" t="n">
        <v>46061</v>
      </c>
      <c r="D537" s="99" t="s">
        <v>638</v>
      </c>
      <c r="E537" s="99" t="n">
        <v>0</v>
      </c>
      <c r="F537" s="101" t="n">
        <v>0</v>
      </c>
      <c r="G537" s="102" t="n">
        <f aca="false">IFERROR(F537/INDEX($G$5:$G$34,MATCH(LOOKUP(2,1/($A$39:A537&lt;&gt;""),$A$39:A537),$A$5:$A$34,0)),0)</f>
        <v>0</v>
      </c>
      <c r="H537" s="103" t="str">
        <f aca="false">IF(G537=0,"空闲",IF(G537&lt;=0.6,"低负荷",IF(G537&lt;=0.85,"正常",IF(G537&lt;=1,"满负荷","超负荷"))))</f>
        <v>空闲</v>
      </c>
      <c r="I537" s="104" t="s">
        <v>638</v>
      </c>
      <c r="J537" s="104"/>
      <c r="K537" s="104"/>
      <c r="L537" s="105" t="s">
        <v>639</v>
      </c>
    </row>
    <row r="538" customFormat="false" ht="48" hidden="false" customHeight="true" outlineLevel="0" collapsed="false">
      <c r="A538" s="99"/>
      <c r="B538" s="100" t="n">
        <v>46062</v>
      </c>
      <c r="C538" s="100" t="n">
        <v>46068</v>
      </c>
      <c r="D538" s="99" t="s">
        <v>638</v>
      </c>
      <c r="E538" s="99" t="n">
        <v>0</v>
      </c>
      <c r="F538" s="101" t="n">
        <v>0</v>
      </c>
      <c r="G538" s="102" t="n">
        <f aca="false">IFERROR(F538/INDEX($G$5:$G$34,MATCH(LOOKUP(2,1/($A$39:A538&lt;&gt;""),$A$39:A538),$A$5:$A$34,0)),0)</f>
        <v>0</v>
      </c>
      <c r="H538" s="103" t="str">
        <f aca="false">IF(G538=0,"空闲",IF(G538&lt;=0.6,"低负荷",IF(G538&lt;=0.85,"正常",IF(G538&lt;=1,"满负荷","超负荷"))))</f>
        <v>空闲</v>
      </c>
      <c r="I538" s="104" t="s">
        <v>638</v>
      </c>
      <c r="J538" s="104"/>
      <c r="K538" s="104"/>
      <c r="L538" s="105" t="s">
        <v>639</v>
      </c>
    </row>
    <row r="539" customFormat="false" ht="48" hidden="false" customHeight="true" outlineLevel="0" collapsed="false">
      <c r="A539" s="99"/>
      <c r="B539" s="100" t="n">
        <v>46069</v>
      </c>
      <c r="C539" s="100" t="n">
        <v>46075</v>
      </c>
      <c r="D539" s="99" t="s">
        <v>638</v>
      </c>
      <c r="E539" s="99" t="n">
        <v>0</v>
      </c>
      <c r="F539" s="101" t="n">
        <v>0</v>
      </c>
      <c r="G539" s="102" t="n">
        <f aca="false">IFERROR(F539/INDEX($G$5:$G$34,MATCH(LOOKUP(2,1/($A$39:A539&lt;&gt;""),$A$39:A539),$A$5:$A$34,0)),0)</f>
        <v>0</v>
      </c>
      <c r="H539" s="103" t="str">
        <f aca="false">IF(G539=0,"空闲",IF(G539&lt;=0.6,"低负荷",IF(G539&lt;=0.85,"正常",IF(G539&lt;=1,"满负荷","超负荷"))))</f>
        <v>空闲</v>
      </c>
      <c r="I539" s="104" t="s">
        <v>638</v>
      </c>
      <c r="J539" s="104"/>
      <c r="K539" s="104"/>
      <c r="L539" s="105" t="s">
        <v>639</v>
      </c>
    </row>
    <row r="540" customFormat="false" ht="48" hidden="false" customHeight="true" outlineLevel="0" collapsed="false">
      <c r="A540" s="99"/>
      <c r="B540" s="100" t="n">
        <v>46076</v>
      </c>
      <c r="C540" s="100" t="n">
        <v>46082</v>
      </c>
      <c r="D540" s="99" t="s">
        <v>638</v>
      </c>
      <c r="E540" s="99" t="n">
        <v>0</v>
      </c>
      <c r="F540" s="101" t="n">
        <v>0</v>
      </c>
      <c r="G540" s="102" t="n">
        <f aca="false">IFERROR(F540/INDEX($G$5:$G$34,MATCH(LOOKUP(2,1/($A$39:A540&lt;&gt;""),$A$39:A540),$A$5:$A$34,0)),0)</f>
        <v>0</v>
      </c>
      <c r="H540" s="103" t="str">
        <f aca="false">IF(G540=0,"空闲",IF(G540&lt;=0.6,"低负荷",IF(G540&lt;=0.85,"正常",IF(G540&lt;=1,"满负荷","超负荷"))))</f>
        <v>空闲</v>
      </c>
      <c r="I540" s="104" t="s">
        <v>638</v>
      </c>
      <c r="J540" s="104"/>
      <c r="K540" s="104"/>
      <c r="L540" s="105" t="s">
        <v>639</v>
      </c>
    </row>
    <row r="541" customFormat="false" ht="48" hidden="false" customHeight="true" outlineLevel="0" collapsed="false">
      <c r="A541" s="99"/>
      <c r="B541" s="100" t="n">
        <v>46083</v>
      </c>
      <c r="C541" s="100" t="n">
        <v>46089</v>
      </c>
      <c r="D541" s="99" t="s">
        <v>638</v>
      </c>
      <c r="E541" s="99" t="n">
        <v>0</v>
      </c>
      <c r="F541" s="101" t="n">
        <v>0</v>
      </c>
      <c r="G541" s="102" t="n">
        <f aca="false">IFERROR(F541/INDEX($G$5:$G$34,MATCH(LOOKUP(2,1/($A$39:A541&lt;&gt;""),$A$39:A541),$A$5:$A$34,0)),0)</f>
        <v>0</v>
      </c>
      <c r="H541" s="103" t="str">
        <f aca="false">IF(G541=0,"空闲",IF(G541&lt;=0.6,"低负荷",IF(G541&lt;=0.85,"正常",IF(G541&lt;=1,"满负荷","超负荷"))))</f>
        <v>空闲</v>
      </c>
      <c r="I541" s="104" t="s">
        <v>638</v>
      </c>
      <c r="J541" s="104"/>
      <c r="K541" s="104"/>
      <c r="L541" s="105" t="s">
        <v>639</v>
      </c>
    </row>
    <row r="542" customFormat="false" ht="48" hidden="false" customHeight="true" outlineLevel="0" collapsed="false">
      <c r="A542" s="99"/>
      <c r="B542" s="100" t="n">
        <v>46090</v>
      </c>
      <c r="C542" s="100" t="n">
        <v>46096</v>
      </c>
      <c r="D542" s="99" t="s">
        <v>638</v>
      </c>
      <c r="E542" s="99" t="n">
        <v>0</v>
      </c>
      <c r="F542" s="101" t="n">
        <v>0</v>
      </c>
      <c r="G542" s="102" t="n">
        <f aca="false">IFERROR(F542/INDEX($G$5:$G$34,MATCH(LOOKUP(2,1/($A$39:A542&lt;&gt;""),$A$39:A542),$A$5:$A$34,0)),0)</f>
        <v>0</v>
      </c>
      <c r="H542" s="103" t="str">
        <f aca="false">IF(G542=0,"空闲",IF(G542&lt;=0.6,"低负荷",IF(G542&lt;=0.85,"正常",IF(G542&lt;=1,"满负荷","超负荷"))))</f>
        <v>空闲</v>
      </c>
      <c r="I542" s="104" t="s">
        <v>638</v>
      </c>
      <c r="J542" s="104"/>
      <c r="K542" s="104"/>
      <c r="L542" s="105" t="s">
        <v>639</v>
      </c>
    </row>
    <row r="543" customFormat="false" ht="48" hidden="false" customHeight="true" outlineLevel="0" collapsed="false">
      <c r="A543" s="99"/>
      <c r="B543" s="100" t="n">
        <v>46097</v>
      </c>
      <c r="C543" s="100" t="n">
        <v>46103</v>
      </c>
      <c r="D543" s="99" t="s">
        <v>638</v>
      </c>
      <c r="E543" s="99" t="n">
        <v>0</v>
      </c>
      <c r="F543" s="101" t="n">
        <v>0</v>
      </c>
      <c r="G543" s="102" t="n">
        <f aca="false">IFERROR(F543/INDEX($G$5:$G$34,MATCH(LOOKUP(2,1/($A$39:A543&lt;&gt;""),$A$39:A543),$A$5:$A$34,0)),0)</f>
        <v>0</v>
      </c>
      <c r="H543" s="103" t="str">
        <f aca="false">IF(G543=0,"空闲",IF(G543&lt;=0.6,"低负荷",IF(G543&lt;=0.85,"正常",IF(G543&lt;=1,"满负荷","超负荷"))))</f>
        <v>空闲</v>
      </c>
      <c r="I543" s="104" t="s">
        <v>638</v>
      </c>
      <c r="J543" s="104"/>
      <c r="K543" s="104"/>
      <c r="L543" s="105" t="s">
        <v>639</v>
      </c>
    </row>
    <row r="544" customFormat="false" ht="48" hidden="false" customHeight="true" outlineLevel="0" collapsed="false">
      <c r="A544" s="99"/>
      <c r="B544" s="100" t="n">
        <v>46104</v>
      </c>
      <c r="C544" s="100" t="n">
        <v>46110</v>
      </c>
      <c r="D544" s="99" t="s">
        <v>638</v>
      </c>
      <c r="E544" s="99" t="n">
        <v>0</v>
      </c>
      <c r="F544" s="101" t="n">
        <v>0</v>
      </c>
      <c r="G544" s="102" t="n">
        <f aca="false">IFERROR(F544/INDEX($G$5:$G$34,MATCH(LOOKUP(2,1/($A$39:A544&lt;&gt;""),$A$39:A544),$A$5:$A$34,0)),0)</f>
        <v>0</v>
      </c>
      <c r="H544" s="103" t="str">
        <f aca="false">IF(G544=0,"空闲",IF(G544&lt;=0.6,"低负荷",IF(G544&lt;=0.85,"正常",IF(G544&lt;=1,"满负荷","超负荷"))))</f>
        <v>空闲</v>
      </c>
      <c r="I544" s="104" t="s">
        <v>638</v>
      </c>
      <c r="J544" s="104"/>
      <c r="K544" s="104"/>
      <c r="L544" s="105" t="s">
        <v>639</v>
      </c>
    </row>
    <row r="545" customFormat="false" ht="48" hidden="false" customHeight="true" outlineLevel="0" collapsed="false">
      <c r="A545" s="99"/>
      <c r="B545" s="100" t="n">
        <v>46111</v>
      </c>
      <c r="C545" s="100" t="n">
        <v>46117</v>
      </c>
      <c r="D545" s="99" t="s">
        <v>638</v>
      </c>
      <c r="E545" s="99" t="n">
        <v>0</v>
      </c>
      <c r="F545" s="101" t="n">
        <v>0</v>
      </c>
      <c r="G545" s="102" t="n">
        <f aca="false">IFERROR(F545/INDEX($G$5:$G$34,MATCH(LOOKUP(2,1/($A$39:A545&lt;&gt;""),$A$39:A545),$A$5:$A$34,0)),0)</f>
        <v>0</v>
      </c>
      <c r="H545" s="103" t="str">
        <f aca="false">IF(G545=0,"空闲",IF(G545&lt;=0.6,"低负荷",IF(G545&lt;=0.85,"正常",IF(G545&lt;=1,"满负荷","超负荷"))))</f>
        <v>空闲</v>
      </c>
      <c r="I545" s="104" t="s">
        <v>638</v>
      </c>
      <c r="J545" s="104"/>
      <c r="K545" s="104"/>
      <c r="L545" s="105" t="s">
        <v>639</v>
      </c>
    </row>
    <row r="546" customFormat="false" ht="48" hidden="false" customHeight="true" outlineLevel="0" collapsed="false">
      <c r="A546" s="99"/>
      <c r="B546" s="100" t="n">
        <v>46118</v>
      </c>
      <c r="C546" s="100" t="n">
        <v>46124</v>
      </c>
      <c r="D546" s="99" t="s">
        <v>638</v>
      </c>
      <c r="E546" s="99" t="n">
        <v>0</v>
      </c>
      <c r="F546" s="101" t="n">
        <v>0</v>
      </c>
      <c r="G546" s="102" t="n">
        <f aca="false">IFERROR(F546/INDEX($G$5:$G$34,MATCH(LOOKUP(2,1/($A$39:A546&lt;&gt;""),$A$39:A546),$A$5:$A$34,0)),0)</f>
        <v>0</v>
      </c>
      <c r="H546" s="103" t="str">
        <f aca="false">IF(G546=0,"空闲",IF(G546&lt;=0.6,"低负荷",IF(G546&lt;=0.85,"正常",IF(G546&lt;=1,"满负荷","超负荷"))))</f>
        <v>空闲</v>
      </c>
      <c r="I546" s="104" t="s">
        <v>638</v>
      </c>
      <c r="J546" s="104"/>
      <c r="K546" s="104"/>
      <c r="L546" s="105" t="s">
        <v>639</v>
      </c>
    </row>
    <row r="547" customFormat="false" ht="48" hidden="false" customHeight="true" outlineLevel="0" collapsed="false">
      <c r="A547" s="99"/>
      <c r="B547" s="100" t="n">
        <v>46125</v>
      </c>
      <c r="C547" s="100" t="n">
        <v>46131</v>
      </c>
      <c r="D547" s="99" t="s">
        <v>638</v>
      </c>
      <c r="E547" s="99" t="n">
        <v>0</v>
      </c>
      <c r="F547" s="101" t="n">
        <v>0</v>
      </c>
      <c r="G547" s="102" t="n">
        <f aca="false">IFERROR(F547/INDEX($G$5:$G$34,MATCH(LOOKUP(2,1/($A$39:A547&lt;&gt;""),$A$39:A547),$A$5:$A$34,0)),0)</f>
        <v>0</v>
      </c>
      <c r="H547" s="103" t="str">
        <f aca="false">IF(G547=0,"空闲",IF(G547&lt;=0.6,"低负荷",IF(G547&lt;=0.85,"正常",IF(G547&lt;=1,"满负荷","超负荷"))))</f>
        <v>空闲</v>
      </c>
      <c r="I547" s="104" t="s">
        <v>638</v>
      </c>
      <c r="J547" s="104"/>
      <c r="K547" s="104"/>
      <c r="L547" s="105" t="s">
        <v>639</v>
      </c>
    </row>
    <row r="548" customFormat="false" ht="48" hidden="false" customHeight="true" outlineLevel="0" collapsed="false">
      <c r="A548" s="99"/>
      <c r="B548" s="100" t="n">
        <v>46132</v>
      </c>
      <c r="C548" s="100" t="n">
        <v>46138</v>
      </c>
      <c r="D548" s="99" t="s">
        <v>638</v>
      </c>
      <c r="E548" s="99" t="n">
        <v>0</v>
      </c>
      <c r="F548" s="101" t="n">
        <v>0</v>
      </c>
      <c r="G548" s="102" t="n">
        <f aca="false">IFERROR(F548/INDEX($G$5:$G$34,MATCH(LOOKUP(2,1/($A$39:A548&lt;&gt;""),$A$39:A548),$A$5:$A$34,0)),0)</f>
        <v>0</v>
      </c>
      <c r="H548" s="103" t="str">
        <f aca="false">IF(G548=0,"空闲",IF(G548&lt;=0.6,"低负荷",IF(G548&lt;=0.85,"正常",IF(G548&lt;=1,"满负荷","超负荷"))))</f>
        <v>空闲</v>
      </c>
      <c r="I548" s="104" t="s">
        <v>638</v>
      </c>
      <c r="J548" s="104"/>
      <c r="K548" s="104"/>
      <c r="L548" s="105" t="s">
        <v>639</v>
      </c>
    </row>
    <row r="549" customFormat="false" ht="48" hidden="false" customHeight="true" outlineLevel="0" collapsed="false">
      <c r="A549" s="99"/>
      <c r="B549" s="100" t="n">
        <v>46139</v>
      </c>
      <c r="C549" s="100" t="n">
        <v>46145</v>
      </c>
      <c r="D549" s="99" t="s">
        <v>638</v>
      </c>
      <c r="E549" s="99" t="n">
        <v>0</v>
      </c>
      <c r="F549" s="101" t="n">
        <v>0</v>
      </c>
      <c r="G549" s="102" t="n">
        <f aca="false">IFERROR(F549/INDEX($G$5:$G$34,MATCH(LOOKUP(2,1/($A$39:A549&lt;&gt;""),$A$39:A549),$A$5:$A$34,0)),0)</f>
        <v>0</v>
      </c>
      <c r="H549" s="103" t="str">
        <f aca="false">IF(G549=0,"空闲",IF(G549&lt;=0.6,"低负荷",IF(G549&lt;=0.85,"正常",IF(G549&lt;=1,"满负荷","超负荷"))))</f>
        <v>空闲</v>
      </c>
      <c r="I549" s="104" t="s">
        <v>638</v>
      </c>
      <c r="J549" s="104"/>
      <c r="K549" s="104"/>
      <c r="L549" s="105" t="s">
        <v>639</v>
      </c>
    </row>
    <row r="550" customFormat="false" ht="48" hidden="false" customHeight="true" outlineLevel="0" collapsed="false">
      <c r="A550" s="99"/>
      <c r="B550" s="100" t="n">
        <v>46146</v>
      </c>
      <c r="C550" s="100" t="n">
        <v>46152</v>
      </c>
      <c r="D550" s="99" t="s">
        <v>638</v>
      </c>
      <c r="E550" s="99" t="n">
        <v>0</v>
      </c>
      <c r="F550" s="101" t="n">
        <v>0</v>
      </c>
      <c r="G550" s="102" t="n">
        <f aca="false">IFERROR(F550/INDEX($G$5:$G$34,MATCH(LOOKUP(2,1/($A$39:A550&lt;&gt;""),$A$39:A550),$A$5:$A$34,0)),0)</f>
        <v>0</v>
      </c>
      <c r="H550" s="103" t="str">
        <f aca="false">IF(G550=0,"空闲",IF(G550&lt;=0.6,"低负荷",IF(G550&lt;=0.85,"正常",IF(G550&lt;=1,"满负荷","超负荷"))))</f>
        <v>空闲</v>
      </c>
      <c r="I550" s="104" t="s">
        <v>638</v>
      </c>
      <c r="J550" s="104"/>
      <c r="K550" s="104"/>
      <c r="L550" s="105" t="s">
        <v>639</v>
      </c>
    </row>
    <row r="551" customFormat="false" ht="48" hidden="false" customHeight="true" outlineLevel="0" collapsed="false">
      <c r="A551" s="99"/>
      <c r="B551" s="100" t="n">
        <v>46153</v>
      </c>
      <c r="C551" s="100" t="n">
        <v>46159</v>
      </c>
      <c r="D551" s="99" t="s">
        <v>638</v>
      </c>
      <c r="E551" s="99" t="n">
        <v>0</v>
      </c>
      <c r="F551" s="101" t="n">
        <v>0</v>
      </c>
      <c r="G551" s="102" t="n">
        <f aca="false">IFERROR(F551/INDEX($G$5:$G$34,MATCH(LOOKUP(2,1/($A$39:A551&lt;&gt;""),$A$39:A551),$A$5:$A$34,0)),0)</f>
        <v>0</v>
      </c>
      <c r="H551" s="103" t="str">
        <f aca="false">IF(G551=0,"空闲",IF(G551&lt;=0.6,"低负荷",IF(G551&lt;=0.85,"正常",IF(G551&lt;=1,"满负荷","超负荷"))))</f>
        <v>空闲</v>
      </c>
      <c r="I551" s="104" t="s">
        <v>638</v>
      </c>
      <c r="J551" s="104"/>
      <c r="K551" s="104"/>
      <c r="L551" s="105" t="s">
        <v>639</v>
      </c>
    </row>
    <row r="552" customFormat="false" ht="48" hidden="false" customHeight="true" outlineLevel="0" collapsed="false">
      <c r="A552" s="99"/>
      <c r="B552" s="100" t="n">
        <v>46160</v>
      </c>
      <c r="C552" s="100" t="n">
        <v>46166</v>
      </c>
      <c r="D552" s="99" t="s">
        <v>638</v>
      </c>
      <c r="E552" s="99" t="n">
        <v>0</v>
      </c>
      <c r="F552" s="101" t="n">
        <v>0</v>
      </c>
      <c r="G552" s="102" t="n">
        <f aca="false">IFERROR(F552/INDEX($G$5:$G$34,MATCH(LOOKUP(2,1/($A$39:A552&lt;&gt;""),$A$39:A552),$A$5:$A$34,0)),0)</f>
        <v>0</v>
      </c>
      <c r="H552" s="103" t="str">
        <f aca="false">IF(G552=0,"空闲",IF(G552&lt;=0.6,"低负荷",IF(G552&lt;=0.85,"正常",IF(G552&lt;=1,"满负荷","超负荷"))))</f>
        <v>空闲</v>
      </c>
      <c r="I552" s="104" t="s">
        <v>638</v>
      </c>
      <c r="J552" s="104"/>
      <c r="K552" s="104"/>
      <c r="L552" s="105" t="s">
        <v>639</v>
      </c>
    </row>
    <row r="553" customFormat="false" ht="48" hidden="false" customHeight="true" outlineLevel="0" collapsed="false">
      <c r="A553" s="99"/>
      <c r="B553" s="100" t="n">
        <v>46167</v>
      </c>
      <c r="C553" s="100" t="n">
        <v>46173</v>
      </c>
      <c r="D553" s="99" t="s">
        <v>638</v>
      </c>
      <c r="E553" s="99" t="n">
        <v>0</v>
      </c>
      <c r="F553" s="101" t="n">
        <v>0</v>
      </c>
      <c r="G553" s="102" t="n">
        <f aca="false">IFERROR(F553/INDEX($G$5:$G$34,MATCH(LOOKUP(2,1/($A$39:A553&lt;&gt;""),$A$39:A553),$A$5:$A$34,0)),0)</f>
        <v>0</v>
      </c>
      <c r="H553" s="103" t="str">
        <f aca="false">IF(G553=0,"空闲",IF(G553&lt;=0.6,"低负荷",IF(G553&lt;=0.85,"正常",IF(G553&lt;=1,"满负荷","超负荷"))))</f>
        <v>空闲</v>
      </c>
      <c r="I553" s="104" t="s">
        <v>638</v>
      </c>
      <c r="J553" s="104"/>
      <c r="K553" s="104"/>
      <c r="L553" s="105" t="s">
        <v>639</v>
      </c>
    </row>
    <row r="554" customFormat="false" ht="48" hidden="false" customHeight="true" outlineLevel="0" collapsed="false">
      <c r="A554" s="99"/>
      <c r="B554" s="100" t="n">
        <v>46174</v>
      </c>
      <c r="C554" s="100" t="n">
        <v>46180</v>
      </c>
      <c r="D554" s="99" t="s">
        <v>638</v>
      </c>
      <c r="E554" s="99" t="n">
        <v>0</v>
      </c>
      <c r="F554" s="101" t="n">
        <v>0</v>
      </c>
      <c r="G554" s="102" t="n">
        <f aca="false">IFERROR(F554/INDEX($G$5:$G$34,MATCH(LOOKUP(2,1/($A$39:A554&lt;&gt;""),$A$39:A554),$A$5:$A$34,0)),0)</f>
        <v>0</v>
      </c>
      <c r="H554" s="103" t="str">
        <f aca="false">IF(G554=0,"空闲",IF(G554&lt;=0.6,"低负荷",IF(G554&lt;=0.85,"正常",IF(G554&lt;=1,"满负荷","超负荷"))))</f>
        <v>空闲</v>
      </c>
      <c r="I554" s="104" t="s">
        <v>638</v>
      </c>
      <c r="J554" s="104"/>
      <c r="K554" s="104"/>
      <c r="L554" s="105" t="s">
        <v>639</v>
      </c>
    </row>
    <row r="555" customFormat="false" ht="48" hidden="false" customHeight="true" outlineLevel="0" collapsed="false">
      <c r="A555" s="99"/>
      <c r="B555" s="100" t="n">
        <v>46181</v>
      </c>
      <c r="C555" s="100" t="n">
        <v>46187</v>
      </c>
      <c r="D555" s="99" t="s">
        <v>638</v>
      </c>
      <c r="E555" s="99" t="n">
        <v>0</v>
      </c>
      <c r="F555" s="101" t="n">
        <v>0</v>
      </c>
      <c r="G555" s="102" t="n">
        <f aca="false">IFERROR(F555/INDEX($G$5:$G$34,MATCH(LOOKUP(2,1/($A$39:A555&lt;&gt;""),$A$39:A555),$A$5:$A$34,0)),0)</f>
        <v>0</v>
      </c>
      <c r="H555" s="103" t="str">
        <f aca="false">IF(G555=0,"空闲",IF(G555&lt;=0.6,"低负荷",IF(G555&lt;=0.85,"正常",IF(G555&lt;=1,"满负荷","超负荷"))))</f>
        <v>空闲</v>
      </c>
      <c r="I555" s="104" t="s">
        <v>638</v>
      </c>
      <c r="J555" s="104"/>
      <c r="K555" s="104"/>
      <c r="L555" s="105" t="s">
        <v>639</v>
      </c>
    </row>
    <row r="556" customFormat="false" ht="48" hidden="false" customHeight="true" outlineLevel="0" collapsed="false">
      <c r="A556" s="99"/>
      <c r="B556" s="100" t="n">
        <v>46188</v>
      </c>
      <c r="C556" s="100" t="n">
        <v>46194</v>
      </c>
      <c r="D556" s="99" t="s">
        <v>638</v>
      </c>
      <c r="E556" s="99" t="n">
        <v>0</v>
      </c>
      <c r="F556" s="101" t="n">
        <v>0</v>
      </c>
      <c r="G556" s="102" t="n">
        <f aca="false">IFERROR(F556/INDEX($G$5:$G$34,MATCH(LOOKUP(2,1/($A$39:A556&lt;&gt;""),$A$39:A556),$A$5:$A$34,0)),0)</f>
        <v>0</v>
      </c>
      <c r="H556" s="103" t="str">
        <f aca="false">IF(G556=0,"空闲",IF(G556&lt;=0.6,"低负荷",IF(G556&lt;=0.85,"正常",IF(G556&lt;=1,"满负荷","超负荷"))))</f>
        <v>空闲</v>
      </c>
      <c r="I556" s="104" t="s">
        <v>638</v>
      </c>
      <c r="J556" s="104"/>
      <c r="K556" s="104"/>
      <c r="L556" s="105" t="s">
        <v>639</v>
      </c>
    </row>
    <row r="557" customFormat="false" ht="48" hidden="false" customHeight="true" outlineLevel="0" collapsed="false">
      <c r="A557" s="99"/>
      <c r="B557" s="100" t="n">
        <v>46195</v>
      </c>
      <c r="C557" s="100" t="n">
        <v>46201</v>
      </c>
      <c r="D557" s="99" t="s">
        <v>638</v>
      </c>
      <c r="E557" s="99" t="n">
        <v>0</v>
      </c>
      <c r="F557" s="101" t="n">
        <v>0</v>
      </c>
      <c r="G557" s="102" t="n">
        <f aca="false">IFERROR(F557/INDEX($G$5:$G$34,MATCH(LOOKUP(2,1/($A$39:A557&lt;&gt;""),$A$39:A557),$A$5:$A$34,0)),0)</f>
        <v>0</v>
      </c>
      <c r="H557" s="103" t="str">
        <f aca="false">IF(G557=0,"空闲",IF(G557&lt;=0.6,"低负荷",IF(G557&lt;=0.85,"正常",IF(G557&lt;=1,"满负荷","超负荷"))))</f>
        <v>空闲</v>
      </c>
      <c r="I557" s="104" t="s">
        <v>638</v>
      </c>
      <c r="J557" s="104"/>
      <c r="K557" s="104"/>
      <c r="L557" s="105" t="s">
        <v>639</v>
      </c>
    </row>
    <row r="558" customFormat="false" ht="48" hidden="false" customHeight="true" outlineLevel="0" collapsed="false">
      <c r="A558" s="99"/>
      <c r="B558" s="100" t="n">
        <v>46202</v>
      </c>
      <c r="C558" s="100" t="n">
        <v>46208</v>
      </c>
      <c r="D558" s="99" t="s">
        <v>638</v>
      </c>
      <c r="E558" s="99" t="n">
        <v>0</v>
      </c>
      <c r="F558" s="101" t="n">
        <v>0</v>
      </c>
      <c r="G558" s="102" t="n">
        <f aca="false">IFERROR(F558/INDEX($G$5:$G$34,MATCH(LOOKUP(2,1/($A$39:A558&lt;&gt;""),$A$39:A558),$A$5:$A$34,0)),0)</f>
        <v>0</v>
      </c>
      <c r="H558" s="103" t="str">
        <f aca="false">IF(G558=0,"空闲",IF(G558&lt;=0.6,"低负荷",IF(G558&lt;=0.85,"正常",IF(G558&lt;=1,"满负荷","超负荷"))))</f>
        <v>空闲</v>
      </c>
      <c r="I558" s="104" t="s">
        <v>638</v>
      </c>
      <c r="J558" s="104"/>
      <c r="K558" s="104"/>
      <c r="L558" s="105" t="s">
        <v>639</v>
      </c>
    </row>
    <row r="559" customFormat="false" ht="48" hidden="false" customHeight="true" outlineLevel="0" collapsed="false">
      <c r="A559" s="99"/>
      <c r="B559" s="100" t="n">
        <v>46209</v>
      </c>
      <c r="C559" s="100" t="n">
        <v>46215</v>
      </c>
      <c r="D559" s="99" t="s">
        <v>638</v>
      </c>
      <c r="E559" s="99" t="n">
        <v>0</v>
      </c>
      <c r="F559" s="101" t="n">
        <v>0</v>
      </c>
      <c r="G559" s="102" t="n">
        <f aca="false">IFERROR(F559/INDEX($G$5:$G$34,MATCH(LOOKUP(2,1/($A$39:A559&lt;&gt;""),$A$39:A559),$A$5:$A$34,0)),0)</f>
        <v>0</v>
      </c>
      <c r="H559" s="103" t="str">
        <f aca="false">IF(G559=0,"空闲",IF(G559&lt;=0.6,"低负荷",IF(G559&lt;=0.85,"正常",IF(G559&lt;=1,"满负荷","超负荷"))))</f>
        <v>空闲</v>
      </c>
      <c r="I559" s="104" t="s">
        <v>638</v>
      </c>
      <c r="J559" s="104"/>
      <c r="K559" s="104"/>
      <c r="L559" s="105" t="s">
        <v>639</v>
      </c>
    </row>
    <row r="560" customFormat="false" ht="48" hidden="false" customHeight="true" outlineLevel="0" collapsed="false">
      <c r="A560" s="99"/>
      <c r="B560" s="100" t="n">
        <v>46216</v>
      </c>
      <c r="C560" s="100" t="n">
        <v>46222</v>
      </c>
      <c r="D560" s="99" t="s">
        <v>638</v>
      </c>
      <c r="E560" s="99" t="n">
        <v>0</v>
      </c>
      <c r="F560" s="101" t="n">
        <v>0</v>
      </c>
      <c r="G560" s="102" t="n">
        <f aca="false">IFERROR(F560/INDEX($G$5:$G$34,MATCH(LOOKUP(2,1/($A$39:A560&lt;&gt;""),$A$39:A560),$A$5:$A$34,0)),0)</f>
        <v>0</v>
      </c>
      <c r="H560" s="103" t="str">
        <f aca="false">IF(G560=0,"空闲",IF(G560&lt;=0.6,"低负荷",IF(G560&lt;=0.85,"正常",IF(G560&lt;=1,"满负荷","超负荷"))))</f>
        <v>空闲</v>
      </c>
      <c r="I560" s="104" t="s">
        <v>638</v>
      </c>
      <c r="J560" s="104"/>
      <c r="K560" s="104"/>
      <c r="L560" s="105" t="s">
        <v>639</v>
      </c>
    </row>
    <row r="561" customFormat="false" ht="48" hidden="false" customHeight="true" outlineLevel="0" collapsed="false">
      <c r="A561" s="99"/>
      <c r="B561" s="100" t="n">
        <v>46223</v>
      </c>
      <c r="C561" s="100" t="n">
        <v>46229</v>
      </c>
      <c r="D561" s="99" t="s">
        <v>638</v>
      </c>
      <c r="E561" s="99" t="n">
        <v>0</v>
      </c>
      <c r="F561" s="101" t="n">
        <v>0</v>
      </c>
      <c r="G561" s="102" t="n">
        <f aca="false">IFERROR(F561/INDEX($G$5:$G$34,MATCH(LOOKUP(2,1/($A$39:A561&lt;&gt;""),$A$39:A561),$A$5:$A$34,0)),0)</f>
        <v>0</v>
      </c>
      <c r="H561" s="103" t="str">
        <f aca="false">IF(G561=0,"空闲",IF(G561&lt;=0.6,"低负荷",IF(G561&lt;=0.85,"正常",IF(G561&lt;=1,"满负荷","超负荷"))))</f>
        <v>空闲</v>
      </c>
      <c r="I561" s="104" t="s">
        <v>638</v>
      </c>
      <c r="J561" s="104"/>
      <c r="K561" s="104"/>
      <c r="L561" s="105" t="s">
        <v>639</v>
      </c>
    </row>
    <row r="562" customFormat="false" ht="48" hidden="false" customHeight="true" outlineLevel="0" collapsed="false">
      <c r="A562" s="99"/>
      <c r="B562" s="100" t="n">
        <v>46230</v>
      </c>
      <c r="C562" s="100" t="n">
        <v>46236</v>
      </c>
      <c r="D562" s="99" t="s">
        <v>638</v>
      </c>
      <c r="E562" s="99" t="n">
        <v>0</v>
      </c>
      <c r="F562" s="101" t="n">
        <v>0</v>
      </c>
      <c r="G562" s="102" t="n">
        <f aca="false">IFERROR(F562/INDEX($G$5:$G$34,MATCH(LOOKUP(2,1/($A$39:A562&lt;&gt;""),$A$39:A562),$A$5:$A$34,0)),0)</f>
        <v>0</v>
      </c>
      <c r="H562" s="103" t="str">
        <f aca="false">IF(G562=0,"空闲",IF(G562&lt;=0.6,"低负荷",IF(G562&lt;=0.85,"正常",IF(G562&lt;=1,"满负荷","超负荷"))))</f>
        <v>空闲</v>
      </c>
      <c r="I562" s="104" t="s">
        <v>638</v>
      </c>
      <c r="J562" s="104"/>
      <c r="K562" s="104"/>
      <c r="L562" s="105" t="s">
        <v>639</v>
      </c>
    </row>
    <row r="563" customFormat="false" ht="48" hidden="false" customHeight="true" outlineLevel="0" collapsed="false">
      <c r="A563" s="99"/>
      <c r="B563" s="100" t="n">
        <v>46237</v>
      </c>
      <c r="C563" s="100" t="n">
        <v>46243</v>
      </c>
      <c r="D563" s="99" t="s">
        <v>638</v>
      </c>
      <c r="E563" s="99" t="n">
        <v>0</v>
      </c>
      <c r="F563" s="101" t="n">
        <v>0</v>
      </c>
      <c r="G563" s="102" t="n">
        <f aca="false">IFERROR(F563/INDEX($G$5:$G$34,MATCH(LOOKUP(2,1/($A$39:A563&lt;&gt;""),$A$39:A563),$A$5:$A$34,0)),0)</f>
        <v>0</v>
      </c>
      <c r="H563" s="103" t="str">
        <f aca="false">IF(G563=0,"空闲",IF(G563&lt;=0.6,"低负荷",IF(G563&lt;=0.85,"正常",IF(G563&lt;=1,"满负荷","超负荷"))))</f>
        <v>空闲</v>
      </c>
      <c r="I563" s="104" t="s">
        <v>638</v>
      </c>
      <c r="J563" s="104"/>
      <c r="K563" s="104"/>
      <c r="L563" s="105" t="s">
        <v>639</v>
      </c>
    </row>
    <row r="564" customFormat="false" ht="48" hidden="false" customHeight="true" outlineLevel="0" collapsed="false">
      <c r="A564" s="99"/>
      <c r="B564" s="100" t="n">
        <v>46244</v>
      </c>
      <c r="C564" s="100" t="n">
        <v>46250</v>
      </c>
      <c r="D564" s="99" t="s">
        <v>638</v>
      </c>
      <c r="E564" s="99" t="n">
        <v>0</v>
      </c>
      <c r="F564" s="101" t="n">
        <v>0</v>
      </c>
      <c r="G564" s="102" t="n">
        <f aca="false">IFERROR(F564/INDEX($G$5:$G$34,MATCH(LOOKUP(2,1/($A$39:A564&lt;&gt;""),$A$39:A564),$A$5:$A$34,0)),0)</f>
        <v>0</v>
      </c>
      <c r="H564" s="103" t="str">
        <f aca="false">IF(G564=0,"空闲",IF(G564&lt;=0.6,"低负荷",IF(G564&lt;=0.85,"正常",IF(G564&lt;=1,"满负荷","超负荷"))))</f>
        <v>空闲</v>
      </c>
      <c r="I564" s="104" t="s">
        <v>638</v>
      </c>
      <c r="J564" s="104"/>
      <c r="K564" s="104"/>
      <c r="L564" s="105" t="s">
        <v>639</v>
      </c>
    </row>
    <row r="565" customFormat="false" ht="48" hidden="false" customHeight="true" outlineLevel="0" collapsed="false">
      <c r="A565" s="99"/>
      <c r="B565" s="100" t="n">
        <v>46251</v>
      </c>
      <c r="C565" s="100" t="n">
        <v>46257</v>
      </c>
      <c r="D565" s="99" t="s">
        <v>638</v>
      </c>
      <c r="E565" s="99" t="n">
        <v>0</v>
      </c>
      <c r="F565" s="101" t="n">
        <v>0</v>
      </c>
      <c r="G565" s="102" t="n">
        <f aca="false">IFERROR(F565/INDEX($G$5:$G$34,MATCH(LOOKUP(2,1/($A$39:A565&lt;&gt;""),$A$39:A565),$A$5:$A$34,0)),0)</f>
        <v>0</v>
      </c>
      <c r="H565" s="103" t="str">
        <f aca="false">IF(G565=0,"空闲",IF(G565&lt;=0.6,"低负荷",IF(G565&lt;=0.85,"正常",IF(G565&lt;=1,"满负荷","超负荷"))))</f>
        <v>空闲</v>
      </c>
      <c r="I565" s="104" t="s">
        <v>638</v>
      </c>
      <c r="J565" s="104"/>
      <c r="K565" s="104"/>
      <c r="L565" s="105" t="s">
        <v>639</v>
      </c>
    </row>
    <row r="566" customFormat="false" ht="48" hidden="false" customHeight="true" outlineLevel="0" collapsed="false">
      <c r="A566" s="99"/>
      <c r="B566" s="100" t="n">
        <v>46258</v>
      </c>
      <c r="C566" s="100" t="n">
        <v>46264</v>
      </c>
      <c r="D566" s="99" t="s">
        <v>638</v>
      </c>
      <c r="E566" s="99" t="n">
        <v>0</v>
      </c>
      <c r="F566" s="101" t="n">
        <v>0</v>
      </c>
      <c r="G566" s="102" t="n">
        <f aca="false">IFERROR(F566/INDEX($G$5:$G$34,MATCH(LOOKUP(2,1/($A$39:A566&lt;&gt;""),$A$39:A566),$A$5:$A$34,0)),0)</f>
        <v>0</v>
      </c>
      <c r="H566" s="103" t="str">
        <f aca="false">IF(G566=0,"空闲",IF(G566&lt;=0.6,"低负荷",IF(G566&lt;=0.85,"正常",IF(G566&lt;=1,"满负荷","超负荷"))))</f>
        <v>空闲</v>
      </c>
      <c r="I566" s="104" t="s">
        <v>638</v>
      </c>
      <c r="J566" s="104"/>
      <c r="K566" s="104"/>
      <c r="L566" s="105" t="s">
        <v>639</v>
      </c>
    </row>
    <row r="567" customFormat="false" ht="48" hidden="false" customHeight="true" outlineLevel="0" collapsed="false">
      <c r="A567" s="99"/>
      <c r="B567" s="100" t="n">
        <v>46265</v>
      </c>
      <c r="C567" s="100" t="n">
        <v>46271</v>
      </c>
      <c r="D567" s="99" t="s">
        <v>638</v>
      </c>
      <c r="E567" s="99" t="n">
        <v>0</v>
      </c>
      <c r="F567" s="101" t="n">
        <v>0</v>
      </c>
      <c r="G567" s="102" t="n">
        <f aca="false">IFERROR(F567/INDEX($G$5:$G$34,MATCH(LOOKUP(2,1/($A$39:A567&lt;&gt;""),$A$39:A567),$A$5:$A$34,0)),0)</f>
        <v>0</v>
      </c>
      <c r="H567" s="103" t="str">
        <f aca="false">IF(G567=0,"空闲",IF(G567&lt;=0.6,"低负荷",IF(G567&lt;=0.85,"正常",IF(G567&lt;=1,"满负荷","超负荷"))))</f>
        <v>空闲</v>
      </c>
      <c r="I567" s="104" t="s">
        <v>638</v>
      </c>
      <c r="J567" s="104"/>
      <c r="K567" s="104"/>
      <c r="L567" s="105" t="s">
        <v>639</v>
      </c>
    </row>
    <row r="568" customFormat="false" ht="48" hidden="false" customHeight="true" outlineLevel="0" collapsed="false">
      <c r="A568" s="99"/>
      <c r="B568" s="100" t="n">
        <v>46272</v>
      </c>
      <c r="C568" s="100" t="n">
        <v>46278</v>
      </c>
      <c r="D568" s="99" t="s">
        <v>638</v>
      </c>
      <c r="E568" s="99" t="n">
        <v>0</v>
      </c>
      <c r="F568" s="101" t="n">
        <v>0</v>
      </c>
      <c r="G568" s="102" t="n">
        <f aca="false">IFERROR(F568/INDEX($G$5:$G$34,MATCH(LOOKUP(2,1/($A$39:A568&lt;&gt;""),$A$39:A568),$A$5:$A$34,0)),0)</f>
        <v>0</v>
      </c>
      <c r="H568" s="103" t="str">
        <f aca="false">IF(G568=0,"空闲",IF(G568&lt;=0.6,"低负荷",IF(G568&lt;=0.85,"正常",IF(G568&lt;=1,"满负荷","超负荷"))))</f>
        <v>空闲</v>
      </c>
      <c r="I568" s="104" t="s">
        <v>638</v>
      </c>
      <c r="J568" s="104"/>
      <c r="K568" s="104"/>
      <c r="L568" s="105" t="s">
        <v>639</v>
      </c>
    </row>
    <row r="569" customFormat="false" ht="48" hidden="false" customHeight="true" outlineLevel="0" collapsed="false">
      <c r="A569" s="99"/>
      <c r="B569" s="100" t="n">
        <v>46279</v>
      </c>
      <c r="C569" s="100" t="n">
        <v>46285</v>
      </c>
      <c r="D569" s="99" t="s">
        <v>638</v>
      </c>
      <c r="E569" s="99" t="n">
        <v>0</v>
      </c>
      <c r="F569" s="101" t="n">
        <v>0</v>
      </c>
      <c r="G569" s="102" t="n">
        <f aca="false">IFERROR(F569/INDEX($G$5:$G$34,MATCH(LOOKUP(2,1/($A$39:A569&lt;&gt;""),$A$39:A569),$A$5:$A$34,0)),0)</f>
        <v>0</v>
      </c>
      <c r="H569" s="103" t="str">
        <f aca="false">IF(G569=0,"空闲",IF(G569&lt;=0.6,"低负荷",IF(G569&lt;=0.85,"正常",IF(G569&lt;=1,"满负荷","超负荷"))))</f>
        <v>空闲</v>
      </c>
      <c r="I569" s="104" t="s">
        <v>638</v>
      </c>
      <c r="J569" s="104"/>
      <c r="K569" s="104"/>
      <c r="L569" s="105" t="s">
        <v>639</v>
      </c>
    </row>
    <row r="570" customFormat="false" ht="48" hidden="false" customHeight="true" outlineLevel="0" collapsed="false">
      <c r="A570" s="99"/>
      <c r="B570" s="100" t="n">
        <v>46286</v>
      </c>
      <c r="C570" s="100" t="n">
        <v>46292</v>
      </c>
      <c r="D570" s="99" t="s">
        <v>638</v>
      </c>
      <c r="E570" s="99" t="n">
        <v>0</v>
      </c>
      <c r="F570" s="101" t="n">
        <v>0</v>
      </c>
      <c r="G570" s="102" t="n">
        <f aca="false">IFERROR(F570/INDEX($G$5:$G$34,MATCH(LOOKUP(2,1/($A$39:A570&lt;&gt;""),$A$39:A570),$A$5:$A$34,0)),0)</f>
        <v>0</v>
      </c>
      <c r="H570" s="103" t="str">
        <f aca="false">IF(G570=0,"空闲",IF(G570&lt;=0.6,"低负荷",IF(G570&lt;=0.85,"正常",IF(G570&lt;=1,"满负荷","超负荷"))))</f>
        <v>空闲</v>
      </c>
      <c r="I570" s="104" t="s">
        <v>638</v>
      </c>
      <c r="J570" s="104"/>
      <c r="K570" s="104"/>
      <c r="L570" s="105" t="s">
        <v>639</v>
      </c>
    </row>
    <row r="571" customFormat="false" ht="48" hidden="false" customHeight="true" outlineLevel="0" collapsed="false">
      <c r="A571" s="99"/>
      <c r="B571" s="100" t="n">
        <v>46293</v>
      </c>
      <c r="C571" s="100" t="n">
        <v>46299</v>
      </c>
      <c r="D571" s="99" t="s">
        <v>638</v>
      </c>
      <c r="E571" s="99" t="n">
        <v>0</v>
      </c>
      <c r="F571" s="101" t="n">
        <v>0</v>
      </c>
      <c r="G571" s="102" t="n">
        <f aca="false">IFERROR(F571/INDEX($G$5:$G$34,MATCH(LOOKUP(2,1/($A$39:A571&lt;&gt;""),$A$39:A571),$A$5:$A$34,0)),0)</f>
        <v>0</v>
      </c>
      <c r="H571" s="103" t="str">
        <f aca="false">IF(G571=0,"空闲",IF(G571&lt;=0.6,"低负荷",IF(G571&lt;=0.85,"正常",IF(G571&lt;=1,"满负荷","超负荷"))))</f>
        <v>空闲</v>
      </c>
      <c r="I571" s="104" t="s">
        <v>638</v>
      </c>
      <c r="J571" s="104"/>
      <c r="K571" s="104"/>
      <c r="L571" s="105" t="s">
        <v>639</v>
      </c>
    </row>
    <row r="572" customFormat="false" ht="48" hidden="false" customHeight="true" outlineLevel="0" collapsed="false">
      <c r="A572" s="99"/>
      <c r="B572" s="100" t="n">
        <v>46300</v>
      </c>
      <c r="C572" s="100" t="n">
        <v>46306</v>
      </c>
      <c r="D572" s="99" t="s">
        <v>638</v>
      </c>
      <c r="E572" s="99" t="n">
        <v>0</v>
      </c>
      <c r="F572" s="101" t="n">
        <v>0</v>
      </c>
      <c r="G572" s="102" t="n">
        <f aca="false">IFERROR(F572/INDEX($G$5:$G$34,MATCH(LOOKUP(2,1/($A$39:A572&lt;&gt;""),$A$39:A572),$A$5:$A$34,0)),0)</f>
        <v>0</v>
      </c>
      <c r="H572" s="103" t="str">
        <f aca="false">IF(G572=0,"空闲",IF(G572&lt;=0.6,"低负荷",IF(G572&lt;=0.85,"正常",IF(G572&lt;=1,"满负荷","超负荷"))))</f>
        <v>空闲</v>
      </c>
      <c r="I572" s="104" t="s">
        <v>638</v>
      </c>
      <c r="J572" s="104"/>
      <c r="K572" s="104"/>
      <c r="L572" s="105" t="s">
        <v>639</v>
      </c>
    </row>
    <row r="573" customFormat="false" ht="48" hidden="false" customHeight="true" outlineLevel="0" collapsed="false">
      <c r="A573" s="99"/>
      <c r="B573" s="100" t="n">
        <v>46307</v>
      </c>
      <c r="C573" s="100" t="n">
        <v>46313</v>
      </c>
      <c r="D573" s="99" t="s">
        <v>638</v>
      </c>
      <c r="E573" s="99" t="n">
        <v>0</v>
      </c>
      <c r="F573" s="101" t="n">
        <v>0</v>
      </c>
      <c r="G573" s="102" t="n">
        <f aca="false">IFERROR(F573/INDEX($G$5:$G$34,MATCH(LOOKUP(2,1/($A$39:A573&lt;&gt;""),$A$39:A573),$A$5:$A$34,0)),0)</f>
        <v>0</v>
      </c>
      <c r="H573" s="103" t="str">
        <f aca="false">IF(G573=0,"空闲",IF(G573&lt;=0.6,"低负荷",IF(G573&lt;=0.85,"正常",IF(G573&lt;=1,"满负荷","超负荷"))))</f>
        <v>空闲</v>
      </c>
      <c r="I573" s="104" t="s">
        <v>638</v>
      </c>
      <c r="J573" s="104"/>
      <c r="K573" s="104"/>
      <c r="L573" s="105" t="s">
        <v>639</v>
      </c>
    </row>
    <row r="574" customFormat="false" ht="48" hidden="false" customHeight="true" outlineLevel="0" collapsed="false">
      <c r="A574" s="99"/>
      <c r="B574" s="100" t="n">
        <v>46314</v>
      </c>
      <c r="C574" s="100" t="n">
        <v>46320</v>
      </c>
      <c r="D574" s="99" t="s">
        <v>638</v>
      </c>
      <c r="E574" s="99" t="n">
        <v>0</v>
      </c>
      <c r="F574" s="101" t="n">
        <v>0</v>
      </c>
      <c r="G574" s="102" t="n">
        <f aca="false">IFERROR(F574/INDEX($G$5:$G$34,MATCH(LOOKUP(2,1/($A$39:A574&lt;&gt;""),$A$39:A574),$A$5:$A$34,0)),0)</f>
        <v>0</v>
      </c>
      <c r="H574" s="103" t="str">
        <f aca="false">IF(G574=0,"空闲",IF(G574&lt;=0.6,"低负荷",IF(G574&lt;=0.85,"正常",IF(G574&lt;=1,"满负荷","超负荷"))))</f>
        <v>空闲</v>
      </c>
      <c r="I574" s="104" t="s">
        <v>638</v>
      </c>
      <c r="J574" s="104"/>
      <c r="K574" s="104"/>
      <c r="L574" s="105" t="s">
        <v>639</v>
      </c>
    </row>
    <row r="575" customFormat="false" ht="48" hidden="false" customHeight="true" outlineLevel="0" collapsed="false">
      <c r="A575" s="99"/>
      <c r="B575" s="100" t="n">
        <v>46321</v>
      </c>
      <c r="C575" s="100" t="n">
        <v>46327</v>
      </c>
      <c r="D575" s="99" t="s">
        <v>638</v>
      </c>
      <c r="E575" s="99" t="n">
        <v>0</v>
      </c>
      <c r="F575" s="101" t="n">
        <v>0</v>
      </c>
      <c r="G575" s="102" t="n">
        <f aca="false">IFERROR(F575/INDEX($G$5:$G$34,MATCH(LOOKUP(2,1/($A$39:A575&lt;&gt;""),$A$39:A575),$A$5:$A$34,0)),0)</f>
        <v>0</v>
      </c>
      <c r="H575" s="103" t="str">
        <f aca="false">IF(G575=0,"空闲",IF(G575&lt;=0.6,"低负荷",IF(G575&lt;=0.85,"正常",IF(G575&lt;=1,"满负荷","超负荷"))))</f>
        <v>空闲</v>
      </c>
      <c r="I575" s="104" t="s">
        <v>638</v>
      </c>
      <c r="J575" s="104"/>
      <c r="K575" s="104"/>
      <c r="L575" s="105" t="s">
        <v>639</v>
      </c>
    </row>
    <row r="576" customFormat="false" ht="48" hidden="false" customHeight="true" outlineLevel="0" collapsed="false">
      <c r="A576" s="99"/>
      <c r="B576" s="100" t="n">
        <v>46328</v>
      </c>
      <c r="C576" s="100" t="n">
        <v>46334</v>
      </c>
      <c r="D576" s="99" t="s">
        <v>638</v>
      </c>
      <c r="E576" s="99" t="n">
        <v>0</v>
      </c>
      <c r="F576" s="101" t="n">
        <v>0</v>
      </c>
      <c r="G576" s="102" t="n">
        <f aca="false">IFERROR(F576/INDEX($G$5:$G$34,MATCH(LOOKUP(2,1/($A$39:A576&lt;&gt;""),$A$39:A576),$A$5:$A$34,0)),0)</f>
        <v>0</v>
      </c>
      <c r="H576" s="103" t="str">
        <f aca="false">IF(G576=0,"空闲",IF(G576&lt;=0.6,"低负荷",IF(G576&lt;=0.85,"正常",IF(G576&lt;=1,"满负荷","超负荷"))))</f>
        <v>空闲</v>
      </c>
      <c r="I576" s="104" t="s">
        <v>638</v>
      </c>
      <c r="J576" s="104"/>
      <c r="K576" s="104"/>
      <c r="L576" s="105" t="s">
        <v>639</v>
      </c>
    </row>
    <row r="577" customFormat="false" ht="48" hidden="false" customHeight="true" outlineLevel="0" collapsed="false">
      <c r="A577" s="99"/>
      <c r="B577" s="100" t="n">
        <v>46335</v>
      </c>
      <c r="C577" s="100" t="n">
        <v>46341</v>
      </c>
      <c r="D577" s="99" t="s">
        <v>640</v>
      </c>
      <c r="E577" s="99" t="n">
        <v>1</v>
      </c>
      <c r="F577" s="101" t="n">
        <v>40</v>
      </c>
      <c r="G577" s="102" t="n">
        <f aca="false">IFERROR(F577/INDEX($G$5:$G$34,MATCH(LOOKUP(2,1/($A$39:A577&lt;&gt;""),$A$39:A577),$A$5:$A$34,0)),0)</f>
        <v>1</v>
      </c>
      <c r="H577" s="103" t="str">
        <f aca="false">IF(G577=0,"空闲",IF(G577&lt;=0.6,"低负荷",IF(G577&lt;=0.85,"正常",IF(G577&lt;=1,"满负荷","超负荷"))))</f>
        <v>满负荷</v>
      </c>
      <c r="I577" s="106" t="s">
        <v>707</v>
      </c>
      <c r="J577" s="106"/>
      <c r="K577" s="106"/>
      <c r="L577" s="105" t="s">
        <v>642</v>
      </c>
    </row>
    <row r="578" customFormat="false" ht="48" hidden="false" customHeight="true" outlineLevel="0" collapsed="false">
      <c r="A578" s="99"/>
      <c r="B578" s="100" t="n">
        <v>46342</v>
      </c>
      <c r="C578" s="100" t="n">
        <v>46348</v>
      </c>
      <c r="D578" s="99" t="s">
        <v>640</v>
      </c>
      <c r="E578" s="99" t="n">
        <v>1</v>
      </c>
      <c r="F578" s="101" t="n">
        <v>40</v>
      </c>
      <c r="G578" s="102" t="n">
        <f aca="false">IFERROR(F578/INDEX($G$5:$G$34,MATCH(LOOKUP(2,1/($A$39:A578&lt;&gt;""),$A$39:A578),$A$5:$A$34,0)),0)</f>
        <v>1</v>
      </c>
      <c r="H578" s="103" t="str">
        <f aca="false">IF(G578=0,"空闲",IF(G578&lt;=0.6,"低负荷",IF(G578&lt;=0.85,"正常",IF(G578&lt;=1,"满负荷","超负荷"))))</f>
        <v>满负荷</v>
      </c>
      <c r="I578" s="106" t="s">
        <v>707</v>
      </c>
      <c r="J578" s="106"/>
      <c r="K578" s="106"/>
      <c r="L578" s="105" t="s">
        <v>642</v>
      </c>
    </row>
    <row r="579" customFormat="false" ht="48" hidden="false" customHeight="true" outlineLevel="0" collapsed="false">
      <c r="A579" s="99"/>
      <c r="B579" s="100" t="n">
        <v>46349</v>
      </c>
      <c r="C579" s="100" t="n">
        <v>46355</v>
      </c>
      <c r="D579" s="99" t="s">
        <v>638</v>
      </c>
      <c r="E579" s="99" t="n">
        <v>0</v>
      </c>
      <c r="F579" s="101" t="n">
        <v>0</v>
      </c>
      <c r="G579" s="102" t="n">
        <f aca="false">IFERROR(F579/INDEX($G$5:$G$34,MATCH(LOOKUP(2,1/($A$39:A579&lt;&gt;""),$A$39:A579),$A$5:$A$34,0)),0)</f>
        <v>0</v>
      </c>
      <c r="H579" s="103" t="str">
        <f aca="false">IF(G579=0,"空闲",IF(G579&lt;=0.6,"低负荷",IF(G579&lt;=0.85,"正常",IF(G579&lt;=1,"满负荷","超负荷"))))</f>
        <v>空闲</v>
      </c>
      <c r="I579" s="104" t="s">
        <v>638</v>
      </c>
      <c r="J579" s="104"/>
      <c r="K579" s="104"/>
      <c r="L579" s="105" t="s">
        <v>639</v>
      </c>
    </row>
    <row r="580" customFormat="false" ht="48" hidden="false" customHeight="true" outlineLevel="0" collapsed="false">
      <c r="A580" s="99"/>
      <c r="B580" s="100" t="n">
        <v>46356</v>
      </c>
      <c r="C580" s="100" t="n">
        <v>46362</v>
      </c>
      <c r="D580" s="99" t="s">
        <v>638</v>
      </c>
      <c r="E580" s="99" t="n">
        <v>0</v>
      </c>
      <c r="F580" s="101" t="n">
        <v>0</v>
      </c>
      <c r="G580" s="102" t="n">
        <f aca="false">IFERROR(F580/INDEX($G$5:$G$34,MATCH(LOOKUP(2,1/($A$39:A580&lt;&gt;""),$A$39:A580),$A$5:$A$34,0)),0)</f>
        <v>0</v>
      </c>
      <c r="H580" s="103" t="str">
        <f aca="false">IF(G580=0,"空闲",IF(G580&lt;=0.6,"低负荷",IF(G580&lt;=0.85,"正常",IF(G580&lt;=1,"满负荷","超负荷"))))</f>
        <v>空闲</v>
      </c>
      <c r="I580" s="104" t="s">
        <v>638</v>
      </c>
      <c r="J580" s="104"/>
      <c r="K580" s="104"/>
      <c r="L580" s="105" t="s">
        <v>639</v>
      </c>
    </row>
    <row r="581" customFormat="false" ht="48" hidden="false" customHeight="true" outlineLevel="0" collapsed="false">
      <c r="A581" s="99"/>
      <c r="B581" s="100" t="n">
        <v>46363</v>
      </c>
      <c r="C581" s="100" t="n">
        <v>46369</v>
      </c>
      <c r="D581" s="99" t="s">
        <v>638</v>
      </c>
      <c r="E581" s="99" t="n">
        <v>0</v>
      </c>
      <c r="F581" s="101" t="n">
        <v>0</v>
      </c>
      <c r="G581" s="102" t="n">
        <f aca="false">IFERROR(F581/INDEX($G$5:$G$34,MATCH(LOOKUP(2,1/($A$39:A581&lt;&gt;""),$A$39:A581),$A$5:$A$34,0)),0)</f>
        <v>0</v>
      </c>
      <c r="H581" s="103" t="str">
        <f aca="false">IF(G581=0,"空闲",IF(G581&lt;=0.6,"低负荷",IF(G581&lt;=0.85,"正常",IF(G581&lt;=1,"满负荷","超负荷"))))</f>
        <v>空闲</v>
      </c>
      <c r="I581" s="104" t="s">
        <v>638</v>
      </c>
      <c r="J581" s="104"/>
      <c r="K581" s="104"/>
      <c r="L581" s="105" t="s">
        <v>639</v>
      </c>
    </row>
    <row r="582" customFormat="false" ht="48" hidden="false" customHeight="true" outlineLevel="0" collapsed="false">
      <c r="A582" s="99"/>
      <c r="B582" s="100" t="n">
        <v>46370</v>
      </c>
      <c r="C582" s="100" t="n">
        <v>46376</v>
      </c>
      <c r="D582" s="99" t="s">
        <v>640</v>
      </c>
      <c r="E582" s="99" t="n">
        <v>1</v>
      </c>
      <c r="F582" s="101" t="n">
        <v>40</v>
      </c>
      <c r="G582" s="102" t="n">
        <f aca="false">IFERROR(F582/INDEX($G$5:$G$34,MATCH(LOOKUP(2,1/($A$39:A582&lt;&gt;""),$A$39:A582),$A$5:$A$34,0)),0)</f>
        <v>1</v>
      </c>
      <c r="H582" s="103" t="str">
        <f aca="false">IF(G582=0,"空闲",IF(G582&lt;=0.6,"低负荷",IF(G582&lt;=0.85,"正常",IF(G582&lt;=1,"满负荷","超负荷"))))</f>
        <v>满负荷</v>
      </c>
      <c r="I582" s="106" t="s">
        <v>708</v>
      </c>
      <c r="J582" s="106"/>
      <c r="K582" s="106"/>
      <c r="L582" s="105" t="s">
        <v>642</v>
      </c>
    </row>
    <row r="583" customFormat="false" ht="48" hidden="false" customHeight="true" outlineLevel="0" collapsed="false">
      <c r="A583" s="99"/>
      <c r="B583" s="100" t="n">
        <v>46377</v>
      </c>
      <c r="C583" s="100" t="n">
        <v>46383</v>
      </c>
      <c r="D583" s="99" t="s">
        <v>640</v>
      </c>
      <c r="E583" s="99" t="n">
        <v>1</v>
      </c>
      <c r="F583" s="101" t="n">
        <v>40</v>
      </c>
      <c r="G583" s="102" t="n">
        <f aca="false">IFERROR(F583/INDEX($G$5:$G$34,MATCH(LOOKUP(2,1/($A$39:A583&lt;&gt;""),$A$39:A583),$A$5:$A$34,0)),0)</f>
        <v>1</v>
      </c>
      <c r="H583" s="103" t="str">
        <f aca="false">IF(G583=0,"空闲",IF(G583&lt;=0.6,"低负荷",IF(G583&lt;=0.85,"正常",IF(G583&lt;=1,"满负荷","超负荷"))))</f>
        <v>满负荷</v>
      </c>
      <c r="I583" s="106" t="s">
        <v>708</v>
      </c>
      <c r="J583" s="106"/>
      <c r="K583" s="106"/>
      <c r="L583" s="105" t="s">
        <v>642</v>
      </c>
    </row>
    <row r="584" customFormat="false" ht="48" hidden="false" customHeight="true" outlineLevel="0" collapsed="false">
      <c r="A584" s="99"/>
      <c r="B584" s="100" t="n">
        <v>46384</v>
      </c>
      <c r="C584" s="100" t="n">
        <v>46390</v>
      </c>
      <c r="D584" s="99" t="s">
        <v>638</v>
      </c>
      <c r="E584" s="99" t="n">
        <v>0</v>
      </c>
      <c r="F584" s="101" t="n">
        <v>0</v>
      </c>
      <c r="G584" s="102" t="n">
        <f aca="false">IFERROR(F584/INDEX($G$5:$G$34,MATCH(LOOKUP(2,1/($A$39:A584&lt;&gt;""),$A$39:A584),$A$5:$A$34,0)),0)</f>
        <v>0</v>
      </c>
      <c r="H584" s="103" t="str">
        <f aca="false">IF(G584=0,"空闲",IF(G584&lt;=0.6,"低负荷",IF(G584&lt;=0.85,"正常",IF(G584&lt;=1,"满负荷","超负荷"))))</f>
        <v>空闲</v>
      </c>
      <c r="I584" s="104" t="s">
        <v>638</v>
      </c>
      <c r="J584" s="104"/>
      <c r="K584" s="104"/>
      <c r="L584" s="105" t="s">
        <v>639</v>
      </c>
    </row>
    <row r="585" customFormat="false" ht="48" hidden="false" customHeight="true" outlineLevel="0" collapsed="false">
      <c r="A585" s="99"/>
      <c r="B585" s="100" t="n">
        <v>46391</v>
      </c>
      <c r="C585" s="100" t="n">
        <v>46397</v>
      </c>
      <c r="D585" s="99" t="s">
        <v>638</v>
      </c>
      <c r="E585" s="99" t="n">
        <v>0</v>
      </c>
      <c r="F585" s="101" t="n">
        <v>0</v>
      </c>
      <c r="G585" s="102" t="n">
        <f aca="false">IFERROR(F585/INDEX($G$5:$G$34,MATCH(LOOKUP(2,1/($A$39:A585&lt;&gt;""),$A$39:A585),$A$5:$A$34,0)),0)</f>
        <v>0</v>
      </c>
      <c r="H585" s="103" t="str">
        <f aca="false">IF(G585=0,"空闲",IF(G585&lt;=0.6,"低负荷",IF(G585&lt;=0.85,"正常",IF(G585&lt;=1,"满负荷","超负荷"))))</f>
        <v>空闲</v>
      </c>
      <c r="I585" s="104" t="s">
        <v>638</v>
      </c>
      <c r="J585" s="104"/>
      <c r="K585" s="104"/>
      <c r="L585" s="105" t="s">
        <v>639</v>
      </c>
    </row>
    <row r="586" customFormat="false" ht="48" hidden="false" customHeight="true" outlineLevel="0" collapsed="false">
      <c r="A586" s="99"/>
      <c r="B586" s="100" t="n">
        <v>46398</v>
      </c>
      <c r="C586" s="100" t="n">
        <v>46404</v>
      </c>
      <c r="D586" s="99" t="s">
        <v>638</v>
      </c>
      <c r="E586" s="99" t="n">
        <v>0</v>
      </c>
      <c r="F586" s="101" t="n">
        <v>0</v>
      </c>
      <c r="G586" s="102" t="n">
        <f aca="false">IFERROR(F586/INDEX($G$5:$G$34,MATCH(LOOKUP(2,1/($A$39:A586&lt;&gt;""),$A$39:A586),$A$5:$A$34,0)),0)</f>
        <v>0</v>
      </c>
      <c r="H586" s="103" t="str">
        <f aca="false">IF(G586=0,"空闲",IF(G586&lt;=0.6,"低负荷",IF(G586&lt;=0.85,"正常",IF(G586&lt;=1,"满负荷","超负荷"))))</f>
        <v>空闲</v>
      </c>
      <c r="I586" s="104" t="s">
        <v>638</v>
      </c>
      <c r="J586" s="104"/>
      <c r="K586" s="104"/>
      <c r="L586" s="105" t="s">
        <v>639</v>
      </c>
    </row>
    <row r="587" customFormat="false" ht="48" hidden="false" customHeight="true" outlineLevel="0" collapsed="false">
      <c r="A587" s="99"/>
      <c r="B587" s="100" t="n">
        <v>46405</v>
      </c>
      <c r="C587" s="100" t="n">
        <v>46411</v>
      </c>
      <c r="D587" s="99" t="s">
        <v>638</v>
      </c>
      <c r="E587" s="99" t="n">
        <v>0</v>
      </c>
      <c r="F587" s="101" t="n">
        <v>0</v>
      </c>
      <c r="G587" s="102" t="n">
        <f aca="false">IFERROR(F587/INDEX($G$5:$G$34,MATCH(LOOKUP(2,1/($A$39:A587&lt;&gt;""),$A$39:A587),$A$5:$A$34,0)),0)</f>
        <v>0</v>
      </c>
      <c r="H587" s="103" t="str">
        <f aca="false">IF(G587=0,"空闲",IF(G587&lt;=0.6,"低负荷",IF(G587&lt;=0.85,"正常",IF(G587&lt;=1,"满负荷","超负荷"))))</f>
        <v>空闲</v>
      </c>
      <c r="I587" s="104" t="s">
        <v>638</v>
      </c>
      <c r="J587" s="104"/>
      <c r="K587" s="104"/>
      <c r="L587" s="105" t="s">
        <v>639</v>
      </c>
    </row>
    <row r="588" customFormat="false" ht="48" hidden="false" customHeight="true" outlineLevel="0" collapsed="false">
      <c r="A588" s="99"/>
      <c r="B588" s="100" t="n">
        <v>46412</v>
      </c>
      <c r="C588" s="100" t="n">
        <v>46418</v>
      </c>
      <c r="D588" s="99" t="s">
        <v>638</v>
      </c>
      <c r="E588" s="99" t="n">
        <v>0</v>
      </c>
      <c r="F588" s="101" t="n">
        <v>0</v>
      </c>
      <c r="G588" s="102" t="n">
        <f aca="false">IFERROR(F588/INDEX($G$5:$G$34,MATCH(LOOKUP(2,1/($A$39:A588&lt;&gt;""),$A$39:A588),$A$5:$A$34,0)),0)</f>
        <v>0</v>
      </c>
      <c r="H588" s="103" t="str">
        <f aca="false">IF(G588=0,"空闲",IF(G588&lt;=0.6,"低负荷",IF(G588&lt;=0.85,"正常",IF(G588&lt;=1,"满负荷","超负荷"))))</f>
        <v>空闲</v>
      </c>
      <c r="I588" s="104" t="s">
        <v>638</v>
      </c>
      <c r="J588" s="104"/>
      <c r="K588" s="104"/>
      <c r="L588" s="105" t="s">
        <v>639</v>
      </c>
    </row>
    <row r="589" customFormat="false" ht="48" hidden="false" customHeight="true" outlineLevel="0" collapsed="false">
      <c r="A589" s="99"/>
      <c r="B589" s="100" t="n">
        <v>46419</v>
      </c>
      <c r="C589" s="100" t="n">
        <v>46425</v>
      </c>
      <c r="D589" s="99" t="s">
        <v>638</v>
      </c>
      <c r="E589" s="99" t="n">
        <v>0</v>
      </c>
      <c r="F589" s="101" t="n">
        <v>0</v>
      </c>
      <c r="G589" s="102" t="n">
        <f aca="false">IFERROR(F589/INDEX($G$5:$G$34,MATCH(LOOKUP(2,1/($A$39:A589&lt;&gt;""),$A$39:A589),$A$5:$A$34,0)),0)</f>
        <v>0</v>
      </c>
      <c r="H589" s="103" t="str">
        <f aca="false">IF(G589=0,"空闲",IF(G589&lt;=0.6,"低负荷",IF(G589&lt;=0.85,"正常",IF(G589&lt;=1,"满负荷","超负荷"))))</f>
        <v>空闲</v>
      </c>
      <c r="I589" s="104" t="s">
        <v>638</v>
      </c>
      <c r="J589" s="104"/>
      <c r="K589" s="104"/>
      <c r="L589" s="105" t="s">
        <v>639</v>
      </c>
    </row>
    <row r="590" customFormat="false" ht="48" hidden="false" customHeight="true" outlineLevel="0" collapsed="false">
      <c r="A590" s="99"/>
      <c r="B590" s="100" t="n">
        <v>46426</v>
      </c>
      <c r="C590" s="100" t="n">
        <v>46432</v>
      </c>
      <c r="D590" s="99" t="s">
        <v>638</v>
      </c>
      <c r="E590" s="99" t="n">
        <v>0</v>
      </c>
      <c r="F590" s="101" t="n">
        <v>0</v>
      </c>
      <c r="G590" s="102" t="n">
        <f aca="false">IFERROR(F590/INDEX($G$5:$G$34,MATCH(LOOKUP(2,1/($A$39:A590&lt;&gt;""),$A$39:A590),$A$5:$A$34,0)),0)</f>
        <v>0</v>
      </c>
      <c r="H590" s="103" t="str">
        <f aca="false">IF(G590=0,"空闲",IF(G590&lt;=0.6,"低负荷",IF(G590&lt;=0.85,"正常",IF(G590&lt;=1,"满负荷","超负荷"))))</f>
        <v>空闲</v>
      </c>
      <c r="I590" s="104" t="s">
        <v>638</v>
      </c>
      <c r="J590" s="104"/>
      <c r="K590" s="104"/>
      <c r="L590" s="105" t="s">
        <v>639</v>
      </c>
    </row>
    <row r="591" customFormat="false" ht="48" hidden="false" customHeight="true" outlineLevel="0" collapsed="false">
      <c r="A591" s="99"/>
      <c r="B591" s="100" t="n">
        <v>46433</v>
      </c>
      <c r="C591" s="100" t="n">
        <v>46439</v>
      </c>
      <c r="D591" s="99" t="s">
        <v>638</v>
      </c>
      <c r="E591" s="99" t="n">
        <v>0</v>
      </c>
      <c r="F591" s="101" t="n">
        <v>0</v>
      </c>
      <c r="G591" s="102" t="n">
        <f aca="false">IFERROR(F591/INDEX($G$5:$G$34,MATCH(LOOKUP(2,1/($A$39:A591&lt;&gt;""),$A$39:A591),$A$5:$A$34,0)),0)</f>
        <v>0</v>
      </c>
      <c r="H591" s="103" t="str">
        <f aca="false">IF(G591=0,"空闲",IF(G591&lt;=0.6,"低负荷",IF(G591&lt;=0.85,"正常",IF(G591&lt;=1,"满负荷","超负荷"))))</f>
        <v>空闲</v>
      </c>
      <c r="I591" s="104" t="s">
        <v>638</v>
      </c>
      <c r="J591" s="104"/>
      <c r="K591" s="104"/>
      <c r="L591" s="105" t="s">
        <v>639</v>
      </c>
    </row>
    <row r="592" customFormat="false" ht="48" hidden="false" customHeight="true" outlineLevel="0" collapsed="false">
      <c r="A592" s="99"/>
      <c r="B592" s="100" t="n">
        <v>46440</v>
      </c>
      <c r="C592" s="100" t="n">
        <v>46446</v>
      </c>
      <c r="D592" s="99" t="s">
        <v>638</v>
      </c>
      <c r="E592" s="99" t="n">
        <v>0</v>
      </c>
      <c r="F592" s="101" t="n">
        <v>0</v>
      </c>
      <c r="G592" s="102" t="n">
        <f aca="false">IFERROR(F592/INDEX($G$5:$G$34,MATCH(LOOKUP(2,1/($A$39:A592&lt;&gt;""),$A$39:A592),$A$5:$A$34,0)),0)</f>
        <v>0</v>
      </c>
      <c r="H592" s="103" t="str">
        <f aca="false">IF(G592=0,"空闲",IF(G592&lt;=0.6,"低负荷",IF(G592&lt;=0.85,"正常",IF(G592&lt;=1,"满负荷","超负荷"))))</f>
        <v>空闲</v>
      </c>
      <c r="I592" s="104" t="s">
        <v>638</v>
      </c>
      <c r="J592" s="104"/>
      <c r="K592" s="104"/>
      <c r="L592" s="105" t="s">
        <v>639</v>
      </c>
    </row>
    <row r="593" customFormat="false" ht="48" hidden="false" customHeight="true" outlineLevel="0" collapsed="false">
      <c r="A593" s="99"/>
      <c r="B593" s="100" t="n">
        <v>46447</v>
      </c>
      <c r="C593" s="100" t="n">
        <v>46453</v>
      </c>
      <c r="D593" s="99" t="s">
        <v>638</v>
      </c>
      <c r="E593" s="99" t="n">
        <v>0</v>
      </c>
      <c r="F593" s="101" t="n">
        <v>0</v>
      </c>
      <c r="G593" s="102" t="n">
        <f aca="false">IFERROR(F593/INDEX($G$5:$G$34,MATCH(LOOKUP(2,1/($A$39:A593&lt;&gt;""),$A$39:A593),$A$5:$A$34,0)),0)</f>
        <v>0</v>
      </c>
      <c r="H593" s="103" t="str">
        <f aca="false">IF(G593=0,"空闲",IF(G593&lt;=0.6,"低负荷",IF(G593&lt;=0.85,"正常",IF(G593&lt;=1,"满负荷","超负荷"))))</f>
        <v>空闲</v>
      </c>
      <c r="I593" s="104" t="s">
        <v>638</v>
      </c>
      <c r="J593" s="104"/>
      <c r="K593" s="104"/>
      <c r="L593" s="105" t="s">
        <v>639</v>
      </c>
    </row>
    <row r="594" customFormat="false" ht="48" hidden="false" customHeight="true" outlineLevel="0" collapsed="false">
      <c r="A594" s="99"/>
      <c r="B594" s="100" t="n">
        <v>46454</v>
      </c>
      <c r="C594" s="100" t="n">
        <v>46460</v>
      </c>
      <c r="D594" s="99" t="s">
        <v>638</v>
      </c>
      <c r="E594" s="99" t="n">
        <v>0</v>
      </c>
      <c r="F594" s="101" t="n">
        <v>0</v>
      </c>
      <c r="G594" s="102" t="n">
        <f aca="false">IFERROR(F594/INDEX($G$5:$G$34,MATCH(LOOKUP(2,1/($A$39:A594&lt;&gt;""),$A$39:A594),$A$5:$A$34,0)),0)</f>
        <v>0</v>
      </c>
      <c r="H594" s="103" t="str">
        <f aca="false">IF(G594=0,"空闲",IF(G594&lt;=0.6,"低负荷",IF(G594&lt;=0.85,"正常",IF(G594&lt;=1,"满负荷","超负荷"))))</f>
        <v>空闲</v>
      </c>
      <c r="I594" s="104" t="s">
        <v>638</v>
      </c>
      <c r="J594" s="104"/>
      <c r="K594" s="104"/>
      <c r="L594" s="105" t="s">
        <v>639</v>
      </c>
    </row>
    <row r="595" customFormat="false" ht="48" hidden="false" customHeight="true" outlineLevel="0" collapsed="false">
      <c r="A595" s="99"/>
      <c r="B595" s="100" t="n">
        <v>46461</v>
      </c>
      <c r="C595" s="100" t="n">
        <v>46467</v>
      </c>
      <c r="D595" s="99" t="s">
        <v>638</v>
      </c>
      <c r="E595" s="99" t="n">
        <v>0</v>
      </c>
      <c r="F595" s="101" t="n">
        <v>0</v>
      </c>
      <c r="G595" s="102" t="n">
        <f aca="false">IFERROR(F595/INDEX($G$5:$G$34,MATCH(LOOKUP(2,1/($A$39:A595&lt;&gt;""),$A$39:A595),$A$5:$A$34,0)),0)</f>
        <v>0</v>
      </c>
      <c r="H595" s="103" t="str">
        <f aca="false">IF(G595=0,"空闲",IF(G595&lt;=0.6,"低负荷",IF(G595&lt;=0.85,"正常",IF(G595&lt;=1,"满负荷","超负荷"))))</f>
        <v>空闲</v>
      </c>
      <c r="I595" s="104" t="s">
        <v>638</v>
      </c>
      <c r="J595" s="104"/>
      <c r="K595" s="104"/>
      <c r="L595" s="105" t="s">
        <v>639</v>
      </c>
    </row>
    <row r="596" customFormat="false" ht="48" hidden="false" customHeight="true" outlineLevel="0" collapsed="false">
      <c r="A596" s="99"/>
      <c r="B596" s="100" t="n">
        <v>46468</v>
      </c>
      <c r="C596" s="100" t="n">
        <v>46474</v>
      </c>
      <c r="D596" s="99" t="s">
        <v>638</v>
      </c>
      <c r="E596" s="99" t="n">
        <v>0</v>
      </c>
      <c r="F596" s="101" t="n">
        <v>0</v>
      </c>
      <c r="G596" s="102" t="n">
        <f aca="false">IFERROR(F596/INDEX($G$5:$G$34,MATCH(LOOKUP(2,1/($A$39:A596&lt;&gt;""),$A$39:A596),$A$5:$A$34,0)),0)</f>
        <v>0</v>
      </c>
      <c r="H596" s="103" t="str">
        <f aca="false">IF(G596=0,"空闲",IF(G596&lt;=0.6,"低负荷",IF(G596&lt;=0.85,"正常",IF(G596&lt;=1,"满负荷","超负荷"))))</f>
        <v>空闲</v>
      </c>
      <c r="I596" s="104" t="s">
        <v>638</v>
      </c>
      <c r="J596" s="104"/>
      <c r="K596" s="104"/>
      <c r="L596" s="105" t="s">
        <v>639</v>
      </c>
    </row>
    <row r="597" customFormat="false" ht="48" hidden="false" customHeight="true" outlineLevel="0" collapsed="false">
      <c r="A597" s="99"/>
      <c r="B597" s="100" t="n">
        <v>46475</v>
      </c>
      <c r="C597" s="100" t="n">
        <v>46481</v>
      </c>
      <c r="D597" s="99" t="s">
        <v>638</v>
      </c>
      <c r="E597" s="99" t="n">
        <v>0</v>
      </c>
      <c r="F597" s="101" t="n">
        <v>0</v>
      </c>
      <c r="G597" s="102" t="n">
        <f aca="false">IFERROR(F597/INDEX($G$5:$G$34,MATCH(LOOKUP(2,1/($A$39:A597&lt;&gt;""),$A$39:A597),$A$5:$A$34,0)),0)</f>
        <v>0</v>
      </c>
      <c r="H597" s="103" t="str">
        <f aca="false">IF(G597=0,"空闲",IF(G597&lt;=0.6,"低负荷",IF(G597&lt;=0.85,"正常",IF(G597&lt;=1,"满负荷","超负荷"))))</f>
        <v>空闲</v>
      </c>
      <c r="I597" s="104" t="s">
        <v>638</v>
      </c>
      <c r="J597" s="104"/>
      <c r="K597" s="104"/>
      <c r="L597" s="105" t="s">
        <v>639</v>
      </c>
    </row>
    <row r="598" customFormat="false" ht="48" hidden="false" customHeight="true" outlineLevel="0" collapsed="false">
      <c r="A598" s="99"/>
      <c r="B598" s="100" t="n">
        <v>46482</v>
      </c>
      <c r="C598" s="100" t="n">
        <v>46488</v>
      </c>
      <c r="D598" s="99" t="s">
        <v>638</v>
      </c>
      <c r="E598" s="99" t="n">
        <v>0</v>
      </c>
      <c r="F598" s="101" t="n">
        <v>0</v>
      </c>
      <c r="G598" s="102" t="n">
        <f aca="false">IFERROR(F598/INDEX($G$5:$G$34,MATCH(LOOKUP(2,1/($A$39:A598&lt;&gt;""),$A$39:A598),$A$5:$A$34,0)),0)</f>
        <v>0</v>
      </c>
      <c r="H598" s="103" t="str">
        <f aca="false">IF(G598=0,"空闲",IF(G598&lt;=0.6,"低负荷",IF(G598&lt;=0.85,"正常",IF(G598&lt;=1,"满负荷","超负荷"))))</f>
        <v>空闲</v>
      </c>
      <c r="I598" s="104" t="s">
        <v>638</v>
      </c>
      <c r="J598" s="104"/>
      <c r="K598" s="104"/>
      <c r="L598" s="105" t="s">
        <v>639</v>
      </c>
    </row>
    <row r="599" customFormat="false" ht="48" hidden="false" customHeight="true" outlineLevel="0" collapsed="false">
      <c r="A599" s="99"/>
      <c r="B599" s="100" t="n">
        <v>46489</v>
      </c>
      <c r="C599" s="100" t="n">
        <v>46495</v>
      </c>
      <c r="D599" s="99" t="s">
        <v>638</v>
      </c>
      <c r="E599" s="99" t="n">
        <v>0</v>
      </c>
      <c r="F599" s="101" t="n">
        <v>0</v>
      </c>
      <c r="G599" s="102" t="n">
        <f aca="false">IFERROR(F599/INDEX($G$5:$G$34,MATCH(LOOKUP(2,1/($A$39:A599&lt;&gt;""),$A$39:A599),$A$5:$A$34,0)),0)</f>
        <v>0</v>
      </c>
      <c r="H599" s="103" t="str">
        <f aca="false">IF(G599=0,"空闲",IF(G599&lt;=0.6,"低负荷",IF(G599&lt;=0.85,"正常",IF(G599&lt;=1,"满负荷","超负荷"))))</f>
        <v>空闲</v>
      </c>
      <c r="I599" s="104" t="s">
        <v>638</v>
      </c>
      <c r="J599" s="104"/>
      <c r="K599" s="104"/>
      <c r="L599" s="105" t="s">
        <v>639</v>
      </c>
    </row>
    <row r="600" customFormat="false" ht="48" hidden="false" customHeight="true" outlineLevel="0" collapsed="false">
      <c r="A600" s="99"/>
      <c r="B600" s="100" t="n">
        <v>46496</v>
      </c>
      <c r="C600" s="100" t="n">
        <v>46502</v>
      </c>
      <c r="D600" s="99" t="s">
        <v>638</v>
      </c>
      <c r="E600" s="99" t="n">
        <v>0</v>
      </c>
      <c r="F600" s="101" t="n">
        <v>0</v>
      </c>
      <c r="G600" s="102" t="n">
        <f aca="false">IFERROR(F600/INDEX($G$5:$G$34,MATCH(LOOKUP(2,1/($A$39:A600&lt;&gt;""),$A$39:A600),$A$5:$A$34,0)),0)</f>
        <v>0</v>
      </c>
      <c r="H600" s="103" t="str">
        <f aca="false">IF(G600=0,"空闲",IF(G600&lt;=0.6,"低负荷",IF(G600&lt;=0.85,"正常",IF(G600&lt;=1,"满负荷","超负荷"))))</f>
        <v>空闲</v>
      </c>
      <c r="I600" s="104" t="s">
        <v>638</v>
      </c>
      <c r="J600" s="104"/>
      <c r="K600" s="104"/>
      <c r="L600" s="105" t="s">
        <v>639</v>
      </c>
    </row>
    <row r="601" customFormat="false" ht="48" hidden="false" customHeight="true" outlineLevel="0" collapsed="false">
      <c r="A601" s="99"/>
      <c r="B601" s="100" t="n">
        <v>46503</v>
      </c>
      <c r="C601" s="100" t="n">
        <v>46509</v>
      </c>
      <c r="D601" s="99" t="s">
        <v>638</v>
      </c>
      <c r="E601" s="99" t="n">
        <v>0</v>
      </c>
      <c r="F601" s="101" t="n">
        <v>0</v>
      </c>
      <c r="G601" s="102" t="n">
        <f aca="false">IFERROR(F601/INDEX($G$5:$G$34,MATCH(LOOKUP(2,1/($A$39:A601&lt;&gt;""),$A$39:A601),$A$5:$A$34,0)),0)</f>
        <v>0</v>
      </c>
      <c r="H601" s="103" t="str">
        <f aca="false">IF(G601=0,"空闲",IF(G601&lt;=0.6,"低负荷",IF(G601&lt;=0.85,"正常",IF(G601&lt;=1,"满负荷","超负荷"))))</f>
        <v>空闲</v>
      </c>
      <c r="I601" s="104" t="s">
        <v>638</v>
      </c>
      <c r="J601" s="104"/>
      <c r="K601" s="104"/>
      <c r="L601" s="105" t="s">
        <v>639</v>
      </c>
    </row>
    <row r="602" customFormat="false" ht="48" hidden="false" customHeight="true" outlineLevel="0" collapsed="false">
      <c r="A602" s="99"/>
      <c r="B602" s="100" t="n">
        <v>46510</v>
      </c>
      <c r="C602" s="100" t="n">
        <v>46516</v>
      </c>
      <c r="D602" s="99" t="s">
        <v>638</v>
      </c>
      <c r="E602" s="99" t="n">
        <v>0</v>
      </c>
      <c r="F602" s="101" t="n">
        <v>0</v>
      </c>
      <c r="G602" s="102" t="n">
        <f aca="false">IFERROR(F602/INDEX($G$5:$G$34,MATCH(LOOKUP(2,1/($A$39:A602&lt;&gt;""),$A$39:A602),$A$5:$A$34,0)),0)</f>
        <v>0</v>
      </c>
      <c r="H602" s="103" t="str">
        <f aca="false">IF(G602=0,"空闲",IF(G602&lt;=0.6,"低负荷",IF(G602&lt;=0.85,"正常",IF(G602&lt;=1,"满负荷","超负荷"))))</f>
        <v>空闲</v>
      </c>
      <c r="I602" s="104" t="s">
        <v>638</v>
      </c>
      <c r="J602" s="104"/>
      <c r="K602" s="104"/>
      <c r="L602" s="105" t="s">
        <v>639</v>
      </c>
    </row>
    <row r="603" customFormat="false" ht="48" hidden="false" customHeight="true" outlineLevel="0" collapsed="false">
      <c r="A603" s="99"/>
      <c r="B603" s="100" t="n">
        <v>46517</v>
      </c>
      <c r="C603" s="100" t="n">
        <v>46523</v>
      </c>
      <c r="D603" s="99" t="s">
        <v>638</v>
      </c>
      <c r="E603" s="99" t="n">
        <v>0</v>
      </c>
      <c r="F603" s="101" t="n">
        <v>0</v>
      </c>
      <c r="G603" s="102" t="n">
        <f aca="false">IFERROR(F603/INDEX($G$5:$G$34,MATCH(LOOKUP(2,1/($A$39:A603&lt;&gt;""),$A$39:A603),$A$5:$A$34,0)),0)</f>
        <v>0</v>
      </c>
      <c r="H603" s="103" t="str">
        <f aca="false">IF(G603=0,"空闲",IF(G603&lt;=0.6,"低负荷",IF(G603&lt;=0.85,"正常",IF(G603&lt;=1,"满负荷","超负荷"))))</f>
        <v>空闲</v>
      </c>
      <c r="I603" s="104" t="s">
        <v>638</v>
      </c>
      <c r="J603" s="104"/>
      <c r="K603" s="104"/>
      <c r="L603" s="105" t="s">
        <v>639</v>
      </c>
    </row>
    <row r="604" customFormat="false" ht="48" hidden="false" customHeight="true" outlineLevel="0" collapsed="false">
      <c r="A604" s="99"/>
      <c r="B604" s="100" t="n">
        <v>46524</v>
      </c>
      <c r="C604" s="100" t="n">
        <v>46530</v>
      </c>
      <c r="D604" s="99" t="s">
        <v>638</v>
      </c>
      <c r="E604" s="99" t="n">
        <v>0</v>
      </c>
      <c r="F604" s="101" t="n">
        <v>0</v>
      </c>
      <c r="G604" s="102" t="n">
        <f aca="false">IFERROR(F604/INDEX($G$5:$G$34,MATCH(LOOKUP(2,1/($A$39:A604&lt;&gt;""),$A$39:A604),$A$5:$A$34,0)),0)</f>
        <v>0</v>
      </c>
      <c r="H604" s="103" t="str">
        <f aca="false">IF(G604=0,"空闲",IF(G604&lt;=0.6,"低负荷",IF(G604&lt;=0.85,"正常",IF(G604&lt;=1,"满负荷","超负荷"))))</f>
        <v>空闲</v>
      </c>
      <c r="I604" s="104" t="s">
        <v>638</v>
      </c>
      <c r="J604" s="104"/>
      <c r="K604" s="104"/>
      <c r="L604" s="105" t="s">
        <v>639</v>
      </c>
    </row>
    <row r="605" customFormat="false" ht="48" hidden="false" customHeight="true" outlineLevel="0" collapsed="false">
      <c r="A605" s="99"/>
      <c r="B605" s="100" t="n">
        <v>46531</v>
      </c>
      <c r="C605" s="100" t="n">
        <v>46537</v>
      </c>
      <c r="D605" s="99" t="s">
        <v>638</v>
      </c>
      <c r="E605" s="99" t="n">
        <v>0</v>
      </c>
      <c r="F605" s="101" t="n">
        <v>0</v>
      </c>
      <c r="G605" s="102" t="n">
        <f aca="false">IFERROR(F605/INDEX($G$5:$G$34,MATCH(LOOKUP(2,1/($A$39:A605&lt;&gt;""),$A$39:A605),$A$5:$A$34,0)),0)</f>
        <v>0</v>
      </c>
      <c r="H605" s="103" t="str">
        <f aca="false">IF(G605=0,"空闲",IF(G605&lt;=0.6,"低负荷",IF(G605&lt;=0.85,"正常",IF(G605&lt;=1,"满负荷","超负荷"))))</f>
        <v>空闲</v>
      </c>
      <c r="I605" s="104" t="s">
        <v>638</v>
      </c>
      <c r="J605" s="104"/>
      <c r="K605" s="104"/>
      <c r="L605" s="105" t="s">
        <v>639</v>
      </c>
    </row>
    <row r="606" customFormat="false" ht="48" hidden="false" customHeight="true" outlineLevel="0" collapsed="false">
      <c r="A606" s="99"/>
      <c r="B606" s="100" t="n">
        <v>46538</v>
      </c>
      <c r="C606" s="100" t="n">
        <v>46544</v>
      </c>
      <c r="D606" s="99" t="s">
        <v>638</v>
      </c>
      <c r="E606" s="99" t="n">
        <v>0</v>
      </c>
      <c r="F606" s="101" t="n">
        <v>0</v>
      </c>
      <c r="G606" s="102" t="n">
        <f aca="false">IFERROR(F606/INDEX($G$5:$G$34,MATCH(LOOKUP(2,1/($A$39:A606&lt;&gt;""),$A$39:A606),$A$5:$A$34,0)),0)</f>
        <v>0</v>
      </c>
      <c r="H606" s="103" t="str">
        <f aca="false">IF(G606=0,"空闲",IF(G606&lt;=0.6,"低负荷",IF(G606&lt;=0.85,"正常",IF(G606&lt;=1,"满负荷","超负荷"))))</f>
        <v>空闲</v>
      </c>
      <c r="I606" s="104" t="s">
        <v>638</v>
      </c>
      <c r="J606" s="104"/>
      <c r="K606" s="104"/>
      <c r="L606" s="105" t="s">
        <v>639</v>
      </c>
    </row>
    <row r="607" customFormat="false" ht="48" hidden="false" customHeight="true" outlineLevel="0" collapsed="false">
      <c r="A607" s="99" t="s">
        <v>487</v>
      </c>
      <c r="B607" s="100" t="n">
        <v>46048</v>
      </c>
      <c r="C607" s="100" t="n">
        <v>46054</v>
      </c>
      <c r="D607" s="99" t="s">
        <v>638</v>
      </c>
      <c r="E607" s="99" t="n">
        <v>0</v>
      </c>
      <c r="F607" s="101" t="n">
        <v>0</v>
      </c>
      <c r="G607" s="102" t="n">
        <f aca="false">IFERROR(F607/INDEX($G$5:$G$34,MATCH(LOOKUP(2,1/($A$39:A607&lt;&gt;""),$A$39:A607),$A$5:$A$34,0)),0)</f>
        <v>0</v>
      </c>
      <c r="H607" s="103" t="str">
        <f aca="false">IF(G607=0,"空闲",IF(G607&lt;=0.6,"低负荷",IF(G607&lt;=0.85,"正常",IF(G607&lt;=1,"满负荷","超负荷"))))</f>
        <v>空闲</v>
      </c>
      <c r="I607" s="104" t="s">
        <v>638</v>
      </c>
      <c r="J607" s="104"/>
      <c r="K607" s="104"/>
      <c r="L607" s="105" t="s">
        <v>639</v>
      </c>
    </row>
    <row r="608" customFormat="false" ht="48" hidden="false" customHeight="true" outlineLevel="0" collapsed="false">
      <c r="A608" s="99"/>
      <c r="B608" s="100" t="n">
        <v>46055</v>
      </c>
      <c r="C608" s="100" t="n">
        <v>46061</v>
      </c>
      <c r="D608" s="99" t="s">
        <v>638</v>
      </c>
      <c r="E608" s="99" t="n">
        <v>0</v>
      </c>
      <c r="F608" s="101" t="n">
        <v>0</v>
      </c>
      <c r="G608" s="102" t="n">
        <f aca="false">IFERROR(F608/INDEX($G$5:$G$34,MATCH(LOOKUP(2,1/($A$39:A608&lt;&gt;""),$A$39:A608),$A$5:$A$34,0)),0)</f>
        <v>0</v>
      </c>
      <c r="H608" s="103" t="str">
        <f aca="false">IF(G608=0,"空闲",IF(G608&lt;=0.6,"低负荷",IF(G608&lt;=0.85,"正常",IF(G608&lt;=1,"满负荷","超负荷"))))</f>
        <v>空闲</v>
      </c>
      <c r="I608" s="104" t="s">
        <v>638</v>
      </c>
      <c r="J608" s="104"/>
      <c r="K608" s="104"/>
      <c r="L608" s="105" t="s">
        <v>639</v>
      </c>
    </row>
    <row r="609" customFormat="false" ht="48" hidden="false" customHeight="true" outlineLevel="0" collapsed="false">
      <c r="A609" s="99"/>
      <c r="B609" s="100" t="n">
        <v>46062</v>
      </c>
      <c r="C609" s="100" t="n">
        <v>46068</v>
      </c>
      <c r="D609" s="99" t="s">
        <v>638</v>
      </c>
      <c r="E609" s="99" t="n">
        <v>0</v>
      </c>
      <c r="F609" s="101" t="n">
        <v>0</v>
      </c>
      <c r="G609" s="102" t="n">
        <f aca="false">IFERROR(F609/INDEX($G$5:$G$34,MATCH(LOOKUP(2,1/($A$39:A609&lt;&gt;""),$A$39:A609),$A$5:$A$34,0)),0)</f>
        <v>0</v>
      </c>
      <c r="H609" s="103" t="str">
        <f aca="false">IF(G609=0,"空闲",IF(G609&lt;=0.6,"低负荷",IF(G609&lt;=0.85,"正常",IF(G609&lt;=1,"满负荷","超负荷"))))</f>
        <v>空闲</v>
      </c>
      <c r="I609" s="104" t="s">
        <v>638</v>
      </c>
      <c r="J609" s="104"/>
      <c r="K609" s="104"/>
      <c r="L609" s="105" t="s">
        <v>639</v>
      </c>
    </row>
    <row r="610" customFormat="false" ht="48" hidden="false" customHeight="true" outlineLevel="0" collapsed="false">
      <c r="A610" s="99"/>
      <c r="B610" s="100" t="n">
        <v>46069</v>
      </c>
      <c r="C610" s="100" t="n">
        <v>46075</v>
      </c>
      <c r="D610" s="99" t="s">
        <v>638</v>
      </c>
      <c r="E610" s="99" t="n">
        <v>0</v>
      </c>
      <c r="F610" s="101" t="n">
        <v>0</v>
      </c>
      <c r="G610" s="102" t="n">
        <f aca="false">IFERROR(F610/INDEX($G$5:$G$34,MATCH(LOOKUP(2,1/($A$39:A610&lt;&gt;""),$A$39:A610),$A$5:$A$34,0)),0)</f>
        <v>0</v>
      </c>
      <c r="H610" s="103" t="str">
        <f aca="false">IF(G610=0,"空闲",IF(G610&lt;=0.6,"低负荷",IF(G610&lt;=0.85,"正常",IF(G610&lt;=1,"满负荷","超负荷"))))</f>
        <v>空闲</v>
      </c>
      <c r="I610" s="104" t="s">
        <v>638</v>
      </c>
      <c r="J610" s="104"/>
      <c r="K610" s="104"/>
      <c r="L610" s="105" t="s">
        <v>639</v>
      </c>
    </row>
    <row r="611" customFormat="false" ht="48" hidden="false" customHeight="true" outlineLevel="0" collapsed="false">
      <c r="A611" s="99"/>
      <c r="B611" s="100" t="n">
        <v>46076</v>
      </c>
      <c r="C611" s="100" t="n">
        <v>46082</v>
      </c>
      <c r="D611" s="99" t="s">
        <v>638</v>
      </c>
      <c r="E611" s="99" t="n">
        <v>0</v>
      </c>
      <c r="F611" s="101" t="n">
        <v>0</v>
      </c>
      <c r="G611" s="102" t="n">
        <f aca="false">IFERROR(F611/INDEX($G$5:$G$34,MATCH(LOOKUP(2,1/($A$39:A611&lt;&gt;""),$A$39:A611),$A$5:$A$34,0)),0)</f>
        <v>0</v>
      </c>
      <c r="H611" s="103" t="str">
        <f aca="false">IF(G611=0,"空闲",IF(G611&lt;=0.6,"低负荷",IF(G611&lt;=0.85,"正常",IF(G611&lt;=1,"满负荷","超负荷"))))</f>
        <v>空闲</v>
      </c>
      <c r="I611" s="104" t="s">
        <v>638</v>
      </c>
      <c r="J611" s="104"/>
      <c r="K611" s="104"/>
      <c r="L611" s="105" t="s">
        <v>639</v>
      </c>
    </row>
    <row r="612" customFormat="false" ht="48" hidden="false" customHeight="true" outlineLevel="0" collapsed="false">
      <c r="A612" s="99"/>
      <c r="B612" s="100" t="n">
        <v>46083</v>
      </c>
      <c r="C612" s="100" t="n">
        <v>46089</v>
      </c>
      <c r="D612" s="99" t="s">
        <v>638</v>
      </c>
      <c r="E612" s="99" t="n">
        <v>0</v>
      </c>
      <c r="F612" s="101" t="n">
        <v>0</v>
      </c>
      <c r="G612" s="102" t="n">
        <f aca="false">IFERROR(F612/INDEX($G$5:$G$34,MATCH(LOOKUP(2,1/($A$39:A612&lt;&gt;""),$A$39:A612),$A$5:$A$34,0)),0)</f>
        <v>0</v>
      </c>
      <c r="H612" s="103" t="str">
        <f aca="false">IF(G612=0,"空闲",IF(G612&lt;=0.6,"低负荷",IF(G612&lt;=0.85,"正常",IF(G612&lt;=1,"满负荷","超负荷"))))</f>
        <v>空闲</v>
      </c>
      <c r="I612" s="104" t="s">
        <v>638</v>
      </c>
      <c r="J612" s="104"/>
      <c r="K612" s="104"/>
      <c r="L612" s="105" t="s">
        <v>639</v>
      </c>
    </row>
    <row r="613" customFormat="false" ht="48" hidden="false" customHeight="true" outlineLevel="0" collapsed="false">
      <c r="A613" s="99"/>
      <c r="B613" s="100" t="n">
        <v>46090</v>
      </c>
      <c r="C613" s="100" t="n">
        <v>46096</v>
      </c>
      <c r="D613" s="99" t="s">
        <v>638</v>
      </c>
      <c r="E613" s="99" t="n">
        <v>0</v>
      </c>
      <c r="F613" s="101" t="n">
        <v>0</v>
      </c>
      <c r="G613" s="102" t="n">
        <f aca="false">IFERROR(F613/INDEX($G$5:$G$34,MATCH(LOOKUP(2,1/($A$39:A613&lt;&gt;""),$A$39:A613),$A$5:$A$34,0)),0)</f>
        <v>0</v>
      </c>
      <c r="H613" s="103" t="str">
        <f aca="false">IF(G613=0,"空闲",IF(G613&lt;=0.6,"低负荷",IF(G613&lt;=0.85,"正常",IF(G613&lt;=1,"满负荷","超负荷"))))</f>
        <v>空闲</v>
      </c>
      <c r="I613" s="104" t="s">
        <v>638</v>
      </c>
      <c r="J613" s="104"/>
      <c r="K613" s="104"/>
      <c r="L613" s="105" t="s">
        <v>639</v>
      </c>
    </row>
    <row r="614" customFormat="false" ht="48" hidden="false" customHeight="true" outlineLevel="0" collapsed="false">
      <c r="A614" s="99"/>
      <c r="B614" s="100" t="n">
        <v>46097</v>
      </c>
      <c r="C614" s="100" t="n">
        <v>46103</v>
      </c>
      <c r="D614" s="99" t="s">
        <v>638</v>
      </c>
      <c r="E614" s="99" t="n">
        <v>0</v>
      </c>
      <c r="F614" s="101" t="n">
        <v>0</v>
      </c>
      <c r="G614" s="102" t="n">
        <f aca="false">IFERROR(F614/INDEX($G$5:$G$34,MATCH(LOOKUP(2,1/($A$39:A614&lt;&gt;""),$A$39:A614),$A$5:$A$34,0)),0)</f>
        <v>0</v>
      </c>
      <c r="H614" s="103" t="str">
        <f aca="false">IF(G614=0,"空闲",IF(G614&lt;=0.6,"低负荷",IF(G614&lt;=0.85,"正常",IF(G614&lt;=1,"满负荷","超负荷"))))</f>
        <v>空闲</v>
      </c>
      <c r="I614" s="104" t="s">
        <v>638</v>
      </c>
      <c r="J614" s="104"/>
      <c r="K614" s="104"/>
      <c r="L614" s="105" t="s">
        <v>639</v>
      </c>
    </row>
    <row r="615" customFormat="false" ht="48" hidden="false" customHeight="true" outlineLevel="0" collapsed="false">
      <c r="A615" s="99"/>
      <c r="B615" s="100" t="n">
        <v>46104</v>
      </c>
      <c r="C615" s="100" t="n">
        <v>46110</v>
      </c>
      <c r="D615" s="99" t="s">
        <v>638</v>
      </c>
      <c r="E615" s="99" t="n">
        <v>0</v>
      </c>
      <c r="F615" s="101" t="n">
        <v>0</v>
      </c>
      <c r="G615" s="102" t="n">
        <f aca="false">IFERROR(F615/INDEX($G$5:$G$34,MATCH(LOOKUP(2,1/($A$39:A615&lt;&gt;""),$A$39:A615),$A$5:$A$34,0)),0)</f>
        <v>0</v>
      </c>
      <c r="H615" s="103" t="str">
        <f aca="false">IF(G615=0,"空闲",IF(G615&lt;=0.6,"低负荷",IF(G615&lt;=0.85,"正常",IF(G615&lt;=1,"满负荷","超负荷"))))</f>
        <v>空闲</v>
      </c>
      <c r="I615" s="104" t="s">
        <v>638</v>
      </c>
      <c r="J615" s="104"/>
      <c r="K615" s="104"/>
      <c r="L615" s="105" t="s">
        <v>639</v>
      </c>
    </row>
    <row r="616" customFormat="false" ht="48" hidden="false" customHeight="true" outlineLevel="0" collapsed="false">
      <c r="A616" s="99"/>
      <c r="B616" s="100" t="n">
        <v>46111</v>
      </c>
      <c r="C616" s="100" t="n">
        <v>46117</v>
      </c>
      <c r="D616" s="99" t="s">
        <v>638</v>
      </c>
      <c r="E616" s="99" t="n">
        <v>0</v>
      </c>
      <c r="F616" s="101" t="n">
        <v>0</v>
      </c>
      <c r="G616" s="102" t="n">
        <f aca="false">IFERROR(F616/INDEX($G$5:$G$34,MATCH(LOOKUP(2,1/($A$39:A616&lt;&gt;""),$A$39:A616),$A$5:$A$34,0)),0)</f>
        <v>0</v>
      </c>
      <c r="H616" s="103" t="str">
        <f aca="false">IF(G616=0,"空闲",IF(G616&lt;=0.6,"低负荷",IF(G616&lt;=0.85,"正常",IF(G616&lt;=1,"满负荷","超负荷"))))</f>
        <v>空闲</v>
      </c>
      <c r="I616" s="104" t="s">
        <v>638</v>
      </c>
      <c r="J616" s="104"/>
      <c r="K616" s="104"/>
      <c r="L616" s="105" t="s">
        <v>639</v>
      </c>
    </row>
    <row r="617" customFormat="false" ht="48" hidden="false" customHeight="true" outlineLevel="0" collapsed="false">
      <c r="A617" s="99"/>
      <c r="B617" s="100" t="n">
        <v>46118</v>
      </c>
      <c r="C617" s="100" t="n">
        <v>46124</v>
      </c>
      <c r="D617" s="99" t="s">
        <v>638</v>
      </c>
      <c r="E617" s="99" t="n">
        <v>0</v>
      </c>
      <c r="F617" s="101" t="n">
        <v>0</v>
      </c>
      <c r="G617" s="102" t="n">
        <f aca="false">IFERROR(F617/INDEX($G$5:$G$34,MATCH(LOOKUP(2,1/($A$39:A617&lt;&gt;""),$A$39:A617),$A$5:$A$34,0)),0)</f>
        <v>0</v>
      </c>
      <c r="H617" s="103" t="str">
        <f aca="false">IF(G617=0,"空闲",IF(G617&lt;=0.6,"低负荷",IF(G617&lt;=0.85,"正常",IF(G617&lt;=1,"满负荷","超负荷"))))</f>
        <v>空闲</v>
      </c>
      <c r="I617" s="104" t="s">
        <v>638</v>
      </c>
      <c r="J617" s="104"/>
      <c r="K617" s="104"/>
      <c r="L617" s="105" t="s">
        <v>639</v>
      </c>
    </row>
    <row r="618" customFormat="false" ht="48" hidden="false" customHeight="true" outlineLevel="0" collapsed="false">
      <c r="A618" s="99"/>
      <c r="B618" s="100" t="n">
        <v>46125</v>
      </c>
      <c r="C618" s="100" t="n">
        <v>46131</v>
      </c>
      <c r="D618" s="99" t="s">
        <v>638</v>
      </c>
      <c r="E618" s="99" t="n">
        <v>0</v>
      </c>
      <c r="F618" s="101" t="n">
        <v>0</v>
      </c>
      <c r="G618" s="102" t="n">
        <f aca="false">IFERROR(F618/INDEX($G$5:$G$34,MATCH(LOOKUP(2,1/($A$39:A618&lt;&gt;""),$A$39:A618),$A$5:$A$34,0)),0)</f>
        <v>0</v>
      </c>
      <c r="H618" s="103" t="str">
        <f aca="false">IF(G618=0,"空闲",IF(G618&lt;=0.6,"低负荷",IF(G618&lt;=0.85,"正常",IF(G618&lt;=1,"满负荷","超负荷"))))</f>
        <v>空闲</v>
      </c>
      <c r="I618" s="104" t="s">
        <v>638</v>
      </c>
      <c r="J618" s="104"/>
      <c r="K618" s="104"/>
      <c r="L618" s="105" t="s">
        <v>639</v>
      </c>
    </row>
    <row r="619" customFormat="false" ht="48" hidden="false" customHeight="true" outlineLevel="0" collapsed="false">
      <c r="A619" s="99"/>
      <c r="B619" s="100" t="n">
        <v>46132</v>
      </c>
      <c r="C619" s="100" t="n">
        <v>46138</v>
      </c>
      <c r="D619" s="99" t="s">
        <v>638</v>
      </c>
      <c r="E619" s="99" t="n">
        <v>0</v>
      </c>
      <c r="F619" s="101" t="n">
        <v>0</v>
      </c>
      <c r="G619" s="102" t="n">
        <f aca="false">IFERROR(F619/INDEX($G$5:$G$34,MATCH(LOOKUP(2,1/($A$39:A619&lt;&gt;""),$A$39:A619),$A$5:$A$34,0)),0)</f>
        <v>0</v>
      </c>
      <c r="H619" s="103" t="str">
        <f aca="false">IF(G619=0,"空闲",IF(G619&lt;=0.6,"低负荷",IF(G619&lt;=0.85,"正常",IF(G619&lt;=1,"满负荷","超负荷"))))</f>
        <v>空闲</v>
      </c>
      <c r="I619" s="104" t="s">
        <v>638</v>
      </c>
      <c r="J619" s="104"/>
      <c r="K619" s="104"/>
      <c r="L619" s="105" t="s">
        <v>639</v>
      </c>
    </row>
    <row r="620" customFormat="false" ht="48" hidden="false" customHeight="true" outlineLevel="0" collapsed="false">
      <c r="A620" s="99"/>
      <c r="B620" s="100" t="n">
        <v>46139</v>
      </c>
      <c r="C620" s="100" t="n">
        <v>46145</v>
      </c>
      <c r="D620" s="99" t="s">
        <v>638</v>
      </c>
      <c r="E620" s="99" t="n">
        <v>0</v>
      </c>
      <c r="F620" s="101" t="n">
        <v>0</v>
      </c>
      <c r="G620" s="102" t="n">
        <f aca="false">IFERROR(F620/INDEX($G$5:$G$34,MATCH(LOOKUP(2,1/($A$39:A620&lt;&gt;""),$A$39:A620),$A$5:$A$34,0)),0)</f>
        <v>0</v>
      </c>
      <c r="H620" s="103" t="str">
        <f aca="false">IF(G620=0,"空闲",IF(G620&lt;=0.6,"低负荷",IF(G620&lt;=0.85,"正常",IF(G620&lt;=1,"满负荷","超负荷"))))</f>
        <v>空闲</v>
      </c>
      <c r="I620" s="104" t="s">
        <v>638</v>
      </c>
      <c r="J620" s="104"/>
      <c r="K620" s="104"/>
      <c r="L620" s="105" t="s">
        <v>639</v>
      </c>
    </row>
    <row r="621" customFormat="false" ht="48" hidden="false" customHeight="true" outlineLevel="0" collapsed="false">
      <c r="A621" s="99"/>
      <c r="B621" s="100" t="n">
        <v>46146</v>
      </c>
      <c r="C621" s="100" t="n">
        <v>46152</v>
      </c>
      <c r="D621" s="99" t="s">
        <v>638</v>
      </c>
      <c r="E621" s="99" t="n">
        <v>0</v>
      </c>
      <c r="F621" s="101" t="n">
        <v>0</v>
      </c>
      <c r="G621" s="102" t="n">
        <f aca="false">IFERROR(F621/INDEX($G$5:$G$34,MATCH(LOOKUP(2,1/($A$39:A621&lt;&gt;""),$A$39:A621),$A$5:$A$34,0)),0)</f>
        <v>0</v>
      </c>
      <c r="H621" s="103" t="str">
        <f aca="false">IF(G621=0,"空闲",IF(G621&lt;=0.6,"低负荷",IF(G621&lt;=0.85,"正常",IF(G621&lt;=1,"满负荷","超负荷"))))</f>
        <v>空闲</v>
      </c>
      <c r="I621" s="104" t="s">
        <v>638</v>
      </c>
      <c r="J621" s="104"/>
      <c r="K621" s="104"/>
      <c r="L621" s="105" t="s">
        <v>639</v>
      </c>
    </row>
    <row r="622" customFormat="false" ht="48" hidden="false" customHeight="true" outlineLevel="0" collapsed="false">
      <c r="A622" s="99"/>
      <c r="B622" s="100" t="n">
        <v>46153</v>
      </c>
      <c r="C622" s="100" t="n">
        <v>46159</v>
      </c>
      <c r="D622" s="99" t="s">
        <v>638</v>
      </c>
      <c r="E622" s="99" t="n">
        <v>0</v>
      </c>
      <c r="F622" s="101" t="n">
        <v>0</v>
      </c>
      <c r="G622" s="102" t="n">
        <f aca="false">IFERROR(F622/INDEX($G$5:$G$34,MATCH(LOOKUP(2,1/($A$39:A622&lt;&gt;""),$A$39:A622),$A$5:$A$34,0)),0)</f>
        <v>0</v>
      </c>
      <c r="H622" s="103" t="str">
        <f aca="false">IF(G622=0,"空闲",IF(G622&lt;=0.6,"低负荷",IF(G622&lt;=0.85,"正常",IF(G622&lt;=1,"满负荷","超负荷"))))</f>
        <v>空闲</v>
      </c>
      <c r="I622" s="104" t="s">
        <v>638</v>
      </c>
      <c r="J622" s="104"/>
      <c r="K622" s="104"/>
      <c r="L622" s="105" t="s">
        <v>639</v>
      </c>
    </row>
    <row r="623" customFormat="false" ht="48" hidden="false" customHeight="true" outlineLevel="0" collapsed="false">
      <c r="A623" s="99"/>
      <c r="B623" s="100" t="n">
        <v>46160</v>
      </c>
      <c r="C623" s="100" t="n">
        <v>46166</v>
      </c>
      <c r="D623" s="99" t="s">
        <v>638</v>
      </c>
      <c r="E623" s="99" t="n">
        <v>0</v>
      </c>
      <c r="F623" s="101" t="n">
        <v>0</v>
      </c>
      <c r="G623" s="102" t="n">
        <f aca="false">IFERROR(F623/INDEX($G$5:$G$34,MATCH(LOOKUP(2,1/($A$39:A623&lt;&gt;""),$A$39:A623),$A$5:$A$34,0)),0)</f>
        <v>0</v>
      </c>
      <c r="H623" s="103" t="str">
        <f aca="false">IF(G623=0,"空闲",IF(G623&lt;=0.6,"低负荷",IF(G623&lt;=0.85,"正常",IF(G623&lt;=1,"满负荷","超负荷"))))</f>
        <v>空闲</v>
      </c>
      <c r="I623" s="104" t="s">
        <v>638</v>
      </c>
      <c r="J623" s="104"/>
      <c r="K623" s="104"/>
      <c r="L623" s="105" t="s">
        <v>639</v>
      </c>
    </row>
    <row r="624" customFormat="false" ht="48" hidden="false" customHeight="true" outlineLevel="0" collapsed="false">
      <c r="A624" s="99"/>
      <c r="B624" s="100" t="n">
        <v>46167</v>
      </c>
      <c r="C624" s="100" t="n">
        <v>46173</v>
      </c>
      <c r="D624" s="99" t="s">
        <v>638</v>
      </c>
      <c r="E624" s="99" t="n">
        <v>0</v>
      </c>
      <c r="F624" s="101" t="n">
        <v>0</v>
      </c>
      <c r="G624" s="102" t="n">
        <f aca="false">IFERROR(F624/INDEX($G$5:$G$34,MATCH(LOOKUP(2,1/($A$39:A624&lt;&gt;""),$A$39:A624),$A$5:$A$34,0)),0)</f>
        <v>0</v>
      </c>
      <c r="H624" s="103" t="str">
        <f aca="false">IF(G624=0,"空闲",IF(G624&lt;=0.6,"低负荷",IF(G624&lt;=0.85,"正常",IF(G624&lt;=1,"满负荷","超负荷"))))</f>
        <v>空闲</v>
      </c>
      <c r="I624" s="104" t="s">
        <v>638</v>
      </c>
      <c r="J624" s="104"/>
      <c r="K624" s="104"/>
      <c r="L624" s="105" t="s">
        <v>639</v>
      </c>
    </row>
    <row r="625" customFormat="false" ht="48" hidden="false" customHeight="true" outlineLevel="0" collapsed="false">
      <c r="A625" s="99"/>
      <c r="B625" s="100" t="n">
        <v>46174</v>
      </c>
      <c r="C625" s="100" t="n">
        <v>46180</v>
      </c>
      <c r="D625" s="99" t="s">
        <v>638</v>
      </c>
      <c r="E625" s="99" t="n">
        <v>0</v>
      </c>
      <c r="F625" s="101" t="n">
        <v>0</v>
      </c>
      <c r="G625" s="102" t="n">
        <f aca="false">IFERROR(F625/INDEX($G$5:$G$34,MATCH(LOOKUP(2,1/($A$39:A625&lt;&gt;""),$A$39:A625),$A$5:$A$34,0)),0)</f>
        <v>0</v>
      </c>
      <c r="H625" s="103" t="str">
        <f aca="false">IF(G625=0,"空闲",IF(G625&lt;=0.6,"低负荷",IF(G625&lt;=0.85,"正常",IF(G625&lt;=1,"满负荷","超负荷"))))</f>
        <v>空闲</v>
      </c>
      <c r="I625" s="104" t="s">
        <v>638</v>
      </c>
      <c r="J625" s="104"/>
      <c r="K625" s="104"/>
      <c r="L625" s="105" t="s">
        <v>639</v>
      </c>
    </row>
    <row r="626" customFormat="false" ht="48" hidden="false" customHeight="true" outlineLevel="0" collapsed="false">
      <c r="A626" s="99"/>
      <c r="B626" s="100" t="n">
        <v>46181</v>
      </c>
      <c r="C626" s="100" t="n">
        <v>46187</v>
      </c>
      <c r="D626" s="99" t="s">
        <v>638</v>
      </c>
      <c r="E626" s="99" t="n">
        <v>0</v>
      </c>
      <c r="F626" s="101" t="n">
        <v>0</v>
      </c>
      <c r="G626" s="102" t="n">
        <f aca="false">IFERROR(F626/INDEX($G$5:$G$34,MATCH(LOOKUP(2,1/($A$39:A626&lt;&gt;""),$A$39:A626),$A$5:$A$34,0)),0)</f>
        <v>0</v>
      </c>
      <c r="H626" s="103" t="str">
        <f aca="false">IF(G626=0,"空闲",IF(G626&lt;=0.6,"低负荷",IF(G626&lt;=0.85,"正常",IF(G626&lt;=1,"满负荷","超负荷"))))</f>
        <v>空闲</v>
      </c>
      <c r="I626" s="104" t="s">
        <v>638</v>
      </c>
      <c r="J626" s="104"/>
      <c r="K626" s="104"/>
      <c r="L626" s="105" t="s">
        <v>639</v>
      </c>
    </row>
    <row r="627" customFormat="false" ht="48" hidden="false" customHeight="true" outlineLevel="0" collapsed="false">
      <c r="A627" s="99"/>
      <c r="B627" s="100" t="n">
        <v>46188</v>
      </c>
      <c r="C627" s="100" t="n">
        <v>46194</v>
      </c>
      <c r="D627" s="99" t="s">
        <v>638</v>
      </c>
      <c r="E627" s="99" t="n">
        <v>0</v>
      </c>
      <c r="F627" s="101" t="n">
        <v>0</v>
      </c>
      <c r="G627" s="102" t="n">
        <f aca="false">IFERROR(F627/INDEX($G$5:$G$34,MATCH(LOOKUP(2,1/($A$39:A627&lt;&gt;""),$A$39:A627),$A$5:$A$34,0)),0)</f>
        <v>0</v>
      </c>
      <c r="H627" s="103" t="str">
        <f aca="false">IF(G627=0,"空闲",IF(G627&lt;=0.6,"低负荷",IF(G627&lt;=0.85,"正常",IF(G627&lt;=1,"满负荷","超负荷"))))</f>
        <v>空闲</v>
      </c>
      <c r="I627" s="104" t="s">
        <v>638</v>
      </c>
      <c r="J627" s="104"/>
      <c r="K627" s="104"/>
      <c r="L627" s="105" t="s">
        <v>639</v>
      </c>
    </row>
    <row r="628" customFormat="false" ht="48" hidden="false" customHeight="true" outlineLevel="0" collapsed="false">
      <c r="A628" s="99"/>
      <c r="B628" s="100" t="n">
        <v>46195</v>
      </c>
      <c r="C628" s="100" t="n">
        <v>46201</v>
      </c>
      <c r="D628" s="99" t="s">
        <v>638</v>
      </c>
      <c r="E628" s="99" t="n">
        <v>0</v>
      </c>
      <c r="F628" s="101" t="n">
        <v>0</v>
      </c>
      <c r="G628" s="102" t="n">
        <f aca="false">IFERROR(F628/INDEX($G$5:$G$34,MATCH(LOOKUP(2,1/($A$39:A628&lt;&gt;""),$A$39:A628),$A$5:$A$34,0)),0)</f>
        <v>0</v>
      </c>
      <c r="H628" s="103" t="str">
        <f aca="false">IF(G628=0,"空闲",IF(G628&lt;=0.6,"低负荷",IF(G628&lt;=0.85,"正常",IF(G628&lt;=1,"满负荷","超负荷"))))</f>
        <v>空闲</v>
      </c>
      <c r="I628" s="104" t="s">
        <v>638</v>
      </c>
      <c r="J628" s="104"/>
      <c r="K628" s="104"/>
      <c r="L628" s="105" t="s">
        <v>639</v>
      </c>
    </row>
    <row r="629" customFormat="false" ht="48" hidden="false" customHeight="true" outlineLevel="0" collapsed="false">
      <c r="A629" s="99"/>
      <c r="B629" s="100" t="n">
        <v>46202</v>
      </c>
      <c r="C629" s="100" t="n">
        <v>46208</v>
      </c>
      <c r="D629" s="99" t="s">
        <v>638</v>
      </c>
      <c r="E629" s="99" t="n">
        <v>0</v>
      </c>
      <c r="F629" s="101" t="n">
        <v>0</v>
      </c>
      <c r="G629" s="102" t="n">
        <f aca="false">IFERROR(F629/INDEX($G$5:$G$34,MATCH(LOOKUP(2,1/($A$39:A629&lt;&gt;""),$A$39:A629),$A$5:$A$34,0)),0)</f>
        <v>0</v>
      </c>
      <c r="H629" s="103" t="str">
        <f aca="false">IF(G629=0,"空闲",IF(G629&lt;=0.6,"低负荷",IF(G629&lt;=0.85,"正常",IF(G629&lt;=1,"满负荷","超负荷"))))</f>
        <v>空闲</v>
      </c>
      <c r="I629" s="104" t="s">
        <v>638</v>
      </c>
      <c r="J629" s="104"/>
      <c r="K629" s="104"/>
      <c r="L629" s="105" t="s">
        <v>639</v>
      </c>
    </row>
    <row r="630" customFormat="false" ht="48" hidden="false" customHeight="true" outlineLevel="0" collapsed="false">
      <c r="A630" s="99"/>
      <c r="B630" s="100" t="n">
        <v>46209</v>
      </c>
      <c r="C630" s="100" t="n">
        <v>46215</v>
      </c>
      <c r="D630" s="99" t="s">
        <v>638</v>
      </c>
      <c r="E630" s="99" t="n">
        <v>0</v>
      </c>
      <c r="F630" s="101" t="n">
        <v>0</v>
      </c>
      <c r="G630" s="102" t="n">
        <f aca="false">IFERROR(F630/INDEX($G$5:$G$34,MATCH(LOOKUP(2,1/($A$39:A630&lt;&gt;""),$A$39:A630),$A$5:$A$34,0)),0)</f>
        <v>0</v>
      </c>
      <c r="H630" s="103" t="str">
        <f aca="false">IF(G630=0,"空闲",IF(G630&lt;=0.6,"低负荷",IF(G630&lt;=0.85,"正常",IF(G630&lt;=1,"满负荷","超负荷"))))</f>
        <v>空闲</v>
      </c>
      <c r="I630" s="104" t="s">
        <v>638</v>
      </c>
      <c r="J630" s="104"/>
      <c r="K630" s="104"/>
      <c r="L630" s="105" t="s">
        <v>639</v>
      </c>
    </row>
    <row r="631" customFormat="false" ht="48" hidden="false" customHeight="true" outlineLevel="0" collapsed="false">
      <c r="A631" s="99"/>
      <c r="B631" s="100" t="n">
        <v>46216</v>
      </c>
      <c r="C631" s="100" t="n">
        <v>46222</v>
      </c>
      <c r="D631" s="99" t="s">
        <v>638</v>
      </c>
      <c r="E631" s="99" t="n">
        <v>0</v>
      </c>
      <c r="F631" s="101" t="n">
        <v>0</v>
      </c>
      <c r="G631" s="102" t="n">
        <f aca="false">IFERROR(F631/INDEX($G$5:$G$34,MATCH(LOOKUP(2,1/($A$39:A631&lt;&gt;""),$A$39:A631),$A$5:$A$34,0)),0)</f>
        <v>0</v>
      </c>
      <c r="H631" s="103" t="str">
        <f aca="false">IF(G631=0,"空闲",IF(G631&lt;=0.6,"低负荷",IF(G631&lt;=0.85,"正常",IF(G631&lt;=1,"满负荷","超负荷"))))</f>
        <v>空闲</v>
      </c>
      <c r="I631" s="104" t="s">
        <v>638</v>
      </c>
      <c r="J631" s="104"/>
      <c r="K631" s="104"/>
      <c r="L631" s="105" t="s">
        <v>639</v>
      </c>
    </row>
    <row r="632" customFormat="false" ht="48" hidden="false" customHeight="true" outlineLevel="0" collapsed="false">
      <c r="A632" s="99"/>
      <c r="B632" s="100" t="n">
        <v>46223</v>
      </c>
      <c r="C632" s="100" t="n">
        <v>46229</v>
      </c>
      <c r="D632" s="99" t="s">
        <v>638</v>
      </c>
      <c r="E632" s="99" t="n">
        <v>0</v>
      </c>
      <c r="F632" s="101" t="n">
        <v>0</v>
      </c>
      <c r="G632" s="102" t="n">
        <f aca="false">IFERROR(F632/INDEX($G$5:$G$34,MATCH(LOOKUP(2,1/($A$39:A632&lt;&gt;""),$A$39:A632),$A$5:$A$34,0)),0)</f>
        <v>0</v>
      </c>
      <c r="H632" s="103" t="str">
        <f aca="false">IF(G632=0,"空闲",IF(G632&lt;=0.6,"低负荷",IF(G632&lt;=0.85,"正常",IF(G632&lt;=1,"满负荷","超负荷"))))</f>
        <v>空闲</v>
      </c>
      <c r="I632" s="104" t="s">
        <v>638</v>
      </c>
      <c r="J632" s="104"/>
      <c r="K632" s="104"/>
      <c r="L632" s="105" t="s">
        <v>639</v>
      </c>
    </row>
    <row r="633" customFormat="false" ht="48" hidden="false" customHeight="true" outlineLevel="0" collapsed="false">
      <c r="A633" s="99"/>
      <c r="B633" s="100" t="n">
        <v>46230</v>
      </c>
      <c r="C633" s="100" t="n">
        <v>46236</v>
      </c>
      <c r="D633" s="99" t="s">
        <v>640</v>
      </c>
      <c r="E633" s="99" t="n">
        <v>1</v>
      </c>
      <c r="F633" s="101" t="n">
        <v>40</v>
      </c>
      <c r="G633" s="102" t="n">
        <f aca="false">IFERROR(F633/INDEX($G$5:$G$34,MATCH(LOOKUP(2,1/($A$39:A633&lt;&gt;""),$A$39:A633),$A$5:$A$34,0)),0)</f>
        <v>1</v>
      </c>
      <c r="H633" s="103" t="str">
        <f aca="false">IF(G633=0,"空闲",IF(G633&lt;=0.6,"低负荷",IF(G633&lt;=0.85,"正常",IF(G633&lt;=1,"满负荷","超负荷"))))</f>
        <v>满负荷</v>
      </c>
      <c r="I633" s="106" t="s">
        <v>709</v>
      </c>
      <c r="J633" s="106"/>
      <c r="K633" s="106"/>
      <c r="L633" s="105" t="s">
        <v>642</v>
      </c>
    </row>
    <row r="634" customFormat="false" ht="48" hidden="false" customHeight="true" outlineLevel="0" collapsed="false">
      <c r="A634" s="99"/>
      <c r="B634" s="100" t="n">
        <v>46237</v>
      </c>
      <c r="C634" s="100" t="n">
        <v>46243</v>
      </c>
      <c r="D634" s="99" t="s">
        <v>640</v>
      </c>
      <c r="E634" s="99" t="n">
        <v>1</v>
      </c>
      <c r="F634" s="101" t="n">
        <v>40</v>
      </c>
      <c r="G634" s="102" t="n">
        <f aca="false">IFERROR(F634/INDEX($G$5:$G$34,MATCH(LOOKUP(2,1/($A$39:A634&lt;&gt;""),$A$39:A634),$A$5:$A$34,0)),0)</f>
        <v>1</v>
      </c>
      <c r="H634" s="103" t="str">
        <f aca="false">IF(G634=0,"空闲",IF(G634&lt;=0.6,"低负荷",IF(G634&lt;=0.85,"正常",IF(G634&lt;=1,"满负荷","超负荷"))))</f>
        <v>满负荷</v>
      </c>
      <c r="I634" s="106" t="s">
        <v>709</v>
      </c>
      <c r="J634" s="106"/>
      <c r="K634" s="106"/>
      <c r="L634" s="105" t="s">
        <v>642</v>
      </c>
    </row>
    <row r="635" customFormat="false" ht="48" hidden="false" customHeight="true" outlineLevel="0" collapsed="false">
      <c r="A635" s="99"/>
      <c r="B635" s="100" t="n">
        <v>46244</v>
      </c>
      <c r="C635" s="100" t="n">
        <v>46250</v>
      </c>
      <c r="D635" s="99" t="s">
        <v>640</v>
      </c>
      <c r="E635" s="99" t="n">
        <v>1</v>
      </c>
      <c r="F635" s="101" t="n">
        <v>40</v>
      </c>
      <c r="G635" s="102" t="n">
        <f aca="false">IFERROR(F635/INDEX($G$5:$G$34,MATCH(LOOKUP(2,1/($A$39:A635&lt;&gt;""),$A$39:A635),$A$5:$A$34,0)),0)</f>
        <v>1</v>
      </c>
      <c r="H635" s="103" t="str">
        <f aca="false">IF(G635=0,"空闲",IF(G635&lt;=0.6,"低负荷",IF(G635&lt;=0.85,"正常",IF(G635&lt;=1,"满负荷","超负荷"))))</f>
        <v>满负荷</v>
      </c>
      <c r="I635" s="106" t="s">
        <v>709</v>
      </c>
      <c r="J635" s="106"/>
      <c r="K635" s="106"/>
      <c r="L635" s="105" t="s">
        <v>642</v>
      </c>
    </row>
    <row r="636" customFormat="false" ht="48" hidden="false" customHeight="true" outlineLevel="0" collapsed="false">
      <c r="A636" s="99"/>
      <c r="B636" s="100" t="n">
        <v>46251</v>
      </c>
      <c r="C636" s="100" t="n">
        <v>46257</v>
      </c>
      <c r="D636" s="99" t="s">
        <v>638</v>
      </c>
      <c r="E636" s="99" t="n">
        <v>0</v>
      </c>
      <c r="F636" s="101" t="n">
        <v>0</v>
      </c>
      <c r="G636" s="102" t="n">
        <f aca="false">IFERROR(F636/INDEX($G$5:$G$34,MATCH(LOOKUP(2,1/($A$39:A636&lt;&gt;""),$A$39:A636),$A$5:$A$34,0)),0)</f>
        <v>0</v>
      </c>
      <c r="H636" s="103" t="str">
        <f aca="false">IF(G636=0,"空闲",IF(G636&lt;=0.6,"低负荷",IF(G636&lt;=0.85,"正常",IF(G636&lt;=1,"满负荷","超负荷"))))</f>
        <v>空闲</v>
      </c>
      <c r="I636" s="104" t="s">
        <v>638</v>
      </c>
      <c r="J636" s="104"/>
      <c r="K636" s="104"/>
      <c r="L636" s="105" t="s">
        <v>639</v>
      </c>
    </row>
    <row r="637" customFormat="false" ht="48" hidden="false" customHeight="true" outlineLevel="0" collapsed="false">
      <c r="A637" s="99"/>
      <c r="B637" s="100" t="n">
        <v>46258</v>
      </c>
      <c r="C637" s="100" t="n">
        <v>46264</v>
      </c>
      <c r="D637" s="99" t="s">
        <v>638</v>
      </c>
      <c r="E637" s="99" t="n">
        <v>0</v>
      </c>
      <c r="F637" s="101" t="n">
        <v>0</v>
      </c>
      <c r="G637" s="102" t="n">
        <f aca="false">IFERROR(F637/INDEX($G$5:$G$34,MATCH(LOOKUP(2,1/($A$39:A637&lt;&gt;""),$A$39:A637),$A$5:$A$34,0)),0)</f>
        <v>0</v>
      </c>
      <c r="H637" s="103" t="str">
        <f aca="false">IF(G637=0,"空闲",IF(G637&lt;=0.6,"低负荷",IF(G637&lt;=0.85,"正常",IF(G637&lt;=1,"满负荷","超负荷"))))</f>
        <v>空闲</v>
      </c>
      <c r="I637" s="104" t="s">
        <v>638</v>
      </c>
      <c r="J637" s="104"/>
      <c r="K637" s="104"/>
      <c r="L637" s="105" t="s">
        <v>639</v>
      </c>
    </row>
    <row r="638" customFormat="false" ht="48" hidden="false" customHeight="true" outlineLevel="0" collapsed="false">
      <c r="A638" s="99"/>
      <c r="B638" s="100" t="n">
        <v>46265</v>
      </c>
      <c r="C638" s="100" t="n">
        <v>46271</v>
      </c>
      <c r="D638" s="99" t="s">
        <v>638</v>
      </c>
      <c r="E638" s="99" t="n">
        <v>0</v>
      </c>
      <c r="F638" s="101" t="n">
        <v>0</v>
      </c>
      <c r="G638" s="102" t="n">
        <f aca="false">IFERROR(F638/INDEX($G$5:$G$34,MATCH(LOOKUP(2,1/($A$39:A638&lt;&gt;""),$A$39:A638),$A$5:$A$34,0)),0)</f>
        <v>0</v>
      </c>
      <c r="H638" s="103" t="str">
        <f aca="false">IF(G638=0,"空闲",IF(G638&lt;=0.6,"低负荷",IF(G638&lt;=0.85,"正常",IF(G638&lt;=1,"满负荷","超负荷"))))</f>
        <v>空闲</v>
      </c>
      <c r="I638" s="104" t="s">
        <v>638</v>
      </c>
      <c r="J638" s="104"/>
      <c r="K638" s="104"/>
      <c r="L638" s="105" t="s">
        <v>639</v>
      </c>
    </row>
    <row r="639" customFormat="false" ht="48" hidden="false" customHeight="true" outlineLevel="0" collapsed="false">
      <c r="A639" s="99"/>
      <c r="B639" s="100" t="n">
        <v>46272</v>
      </c>
      <c r="C639" s="100" t="n">
        <v>46278</v>
      </c>
      <c r="D639" s="99" t="s">
        <v>638</v>
      </c>
      <c r="E639" s="99" t="n">
        <v>0</v>
      </c>
      <c r="F639" s="101" t="n">
        <v>0</v>
      </c>
      <c r="G639" s="102" t="n">
        <f aca="false">IFERROR(F639/INDEX($G$5:$G$34,MATCH(LOOKUP(2,1/($A$39:A639&lt;&gt;""),$A$39:A639),$A$5:$A$34,0)),0)</f>
        <v>0</v>
      </c>
      <c r="H639" s="103" t="str">
        <f aca="false">IF(G639=0,"空闲",IF(G639&lt;=0.6,"低负荷",IF(G639&lt;=0.85,"正常",IF(G639&lt;=1,"满负荷","超负荷"))))</f>
        <v>空闲</v>
      </c>
      <c r="I639" s="104" t="s">
        <v>638</v>
      </c>
      <c r="J639" s="104"/>
      <c r="K639" s="104"/>
      <c r="L639" s="105" t="s">
        <v>639</v>
      </c>
    </row>
    <row r="640" customFormat="false" ht="48" hidden="false" customHeight="true" outlineLevel="0" collapsed="false">
      <c r="A640" s="99"/>
      <c r="B640" s="100" t="n">
        <v>46279</v>
      </c>
      <c r="C640" s="100" t="n">
        <v>46285</v>
      </c>
      <c r="D640" s="99" t="s">
        <v>638</v>
      </c>
      <c r="E640" s="99" t="n">
        <v>0</v>
      </c>
      <c r="F640" s="101" t="n">
        <v>0</v>
      </c>
      <c r="G640" s="102" t="n">
        <f aca="false">IFERROR(F640/INDEX($G$5:$G$34,MATCH(LOOKUP(2,1/($A$39:A640&lt;&gt;""),$A$39:A640),$A$5:$A$34,0)),0)</f>
        <v>0</v>
      </c>
      <c r="H640" s="103" t="str">
        <f aca="false">IF(G640=0,"空闲",IF(G640&lt;=0.6,"低负荷",IF(G640&lt;=0.85,"正常",IF(G640&lt;=1,"满负荷","超负荷"))))</f>
        <v>空闲</v>
      </c>
      <c r="I640" s="104" t="s">
        <v>638</v>
      </c>
      <c r="J640" s="104"/>
      <c r="K640" s="104"/>
      <c r="L640" s="105" t="s">
        <v>639</v>
      </c>
    </row>
    <row r="641" customFormat="false" ht="48" hidden="false" customHeight="true" outlineLevel="0" collapsed="false">
      <c r="A641" s="99"/>
      <c r="B641" s="100" t="n">
        <v>46286</v>
      </c>
      <c r="C641" s="100" t="n">
        <v>46292</v>
      </c>
      <c r="D641" s="99" t="s">
        <v>638</v>
      </c>
      <c r="E641" s="99" t="n">
        <v>0</v>
      </c>
      <c r="F641" s="101" t="n">
        <v>0</v>
      </c>
      <c r="G641" s="102" t="n">
        <f aca="false">IFERROR(F641/INDEX($G$5:$G$34,MATCH(LOOKUP(2,1/($A$39:A641&lt;&gt;""),$A$39:A641),$A$5:$A$34,0)),0)</f>
        <v>0</v>
      </c>
      <c r="H641" s="103" t="str">
        <f aca="false">IF(G641=0,"空闲",IF(G641&lt;=0.6,"低负荷",IF(G641&lt;=0.85,"正常",IF(G641&lt;=1,"满负荷","超负荷"))))</f>
        <v>空闲</v>
      </c>
      <c r="I641" s="104" t="s">
        <v>638</v>
      </c>
      <c r="J641" s="104"/>
      <c r="K641" s="104"/>
      <c r="L641" s="105" t="s">
        <v>639</v>
      </c>
    </row>
    <row r="642" customFormat="false" ht="48" hidden="false" customHeight="true" outlineLevel="0" collapsed="false">
      <c r="A642" s="99"/>
      <c r="B642" s="100" t="n">
        <v>46293</v>
      </c>
      <c r="C642" s="100" t="n">
        <v>46299</v>
      </c>
      <c r="D642" s="99" t="s">
        <v>638</v>
      </c>
      <c r="E642" s="99" t="n">
        <v>0</v>
      </c>
      <c r="F642" s="101" t="n">
        <v>0</v>
      </c>
      <c r="G642" s="102" t="n">
        <f aca="false">IFERROR(F642/INDEX($G$5:$G$34,MATCH(LOOKUP(2,1/($A$39:A642&lt;&gt;""),$A$39:A642),$A$5:$A$34,0)),0)</f>
        <v>0</v>
      </c>
      <c r="H642" s="103" t="str">
        <f aca="false">IF(G642=0,"空闲",IF(G642&lt;=0.6,"低负荷",IF(G642&lt;=0.85,"正常",IF(G642&lt;=1,"满负荷","超负荷"))))</f>
        <v>空闲</v>
      </c>
      <c r="I642" s="104" t="s">
        <v>638</v>
      </c>
      <c r="J642" s="104"/>
      <c r="K642" s="104"/>
      <c r="L642" s="105" t="s">
        <v>639</v>
      </c>
    </row>
    <row r="643" customFormat="false" ht="48" hidden="false" customHeight="true" outlineLevel="0" collapsed="false">
      <c r="A643" s="99"/>
      <c r="B643" s="100" t="n">
        <v>46300</v>
      </c>
      <c r="C643" s="100" t="n">
        <v>46306</v>
      </c>
      <c r="D643" s="99" t="s">
        <v>638</v>
      </c>
      <c r="E643" s="99" t="n">
        <v>0</v>
      </c>
      <c r="F643" s="101" t="n">
        <v>0</v>
      </c>
      <c r="G643" s="102" t="n">
        <f aca="false">IFERROR(F643/INDEX($G$5:$G$34,MATCH(LOOKUP(2,1/($A$39:A643&lt;&gt;""),$A$39:A643),$A$5:$A$34,0)),0)</f>
        <v>0</v>
      </c>
      <c r="H643" s="103" t="str">
        <f aca="false">IF(G643=0,"空闲",IF(G643&lt;=0.6,"低负荷",IF(G643&lt;=0.85,"正常",IF(G643&lt;=1,"满负荷","超负荷"))))</f>
        <v>空闲</v>
      </c>
      <c r="I643" s="104" t="s">
        <v>638</v>
      </c>
      <c r="J643" s="104"/>
      <c r="K643" s="104"/>
      <c r="L643" s="105" t="s">
        <v>639</v>
      </c>
    </row>
    <row r="644" customFormat="false" ht="48" hidden="false" customHeight="true" outlineLevel="0" collapsed="false">
      <c r="A644" s="99"/>
      <c r="B644" s="100" t="n">
        <v>46307</v>
      </c>
      <c r="C644" s="100" t="n">
        <v>46313</v>
      </c>
      <c r="D644" s="99" t="s">
        <v>638</v>
      </c>
      <c r="E644" s="99" t="n">
        <v>0</v>
      </c>
      <c r="F644" s="101" t="n">
        <v>0</v>
      </c>
      <c r="G644" s="102" t="n">
        <f aca="false">IFERROR(F644/INDEX($G$5:$G$34,MATCH(LOOKUP(2,1/($A$39:A644&lt;&gt;""),$A$39:A644),$A$5:$A$34,0)),0)</f>
        <v>0</v>
      </c>
      <c r="H644" s="103" t="str">
        <f aca="false">IF(G644=0,"空闲",IF(G644&lt;=0.6,"低负荷",IF(G644&lt;=0.85,"正常",IF(G644&lt;=1,"满负荷","超负荷"))))</f>
        <v>空闲</v>
      </c>
      <c r="I644" s="104" t="s">
        <v>638</v>
      </c>
      <c r="J644" s="104"/>
      <c r="K644" s="104"/>
      <c r="L644" s="105" t="s">
        <v>639</v>
      </c>
    </row>
    <row r="645" customFormat="false" ht="48" hidden="false" customHeight="true" outlineLevel="0" collapsed="false">
      <c r="A645" s="99"/>
      <c r="B645" s="100" t="n">
        <v>46314</v>
      </c>
      <c r="C645" s="100" t="n">
        <v>46320</v>
      </c>
      <c r="D645" s="99" t="s">
        <v>638</v>
      </c>
      <c r="E645" s="99" t="n">
        <v>0</v>
      </c>
      <c r="F645" s="101" t="n">
        <v>0</v>
      </c>
      <c r="G645" s="102" t="n">
        <f aca="false">IFERROR(F645/INDEX($G$5:$G$34,MATCH(LOOKUP(2,1/($A$39:A645&lt;&gt;""),$A$39:A645),$A$5:$A$34,0)),0)</f>
        <v>0</v>
      </c>
      <c r="H645" s="103" t="str">
        <f aca="false">IF(G645=0,"空闲",IF(G645&lt;=0.6,"低负荷",IF(G645&lt;=0.85,"正常",IF(G645&lt;=1,"满负荷","超负荷"))))</f>
        <v>空闲</v>
      </c>
      <c r="I645" s="104" t="s">
        <v>638</v>
      </c>
      <c r="J645" s="104"/>
      <c r="K645" s="104"/>
      <c r="L645" s="105" t="s">
        <v>639</v>
      </c>
    </row>
    <row r="646" customFormat="false" ht="48" hidden="false" customHeight="true" outlineLevel="0" collapsed="false">
      <c r="A646" s="99"/>
      <c r="B646" s="100" t="n">
        <v>46321</v>
      </c>
      <c r="C646" s="100" t="n">
        <v>46327</v>
      </c>
      <c r="D646" s="99" t="s">
        <v>638</v>
      </c>
      <c r="E646" s="99" t="n">
        <v>0</v>
      </c>
      <c r="F646" s="101" t="n">
        <v>0</v>
      </c>
      <c r="G646" s="102" t="n">
        <f aca="false">IFERROR(F646/INDEX($G$5:$G$34,MATCH(LOOKUP(2,1/($A$39:A646&lt;&gt;""),$A$39:A646),$A$5:$A$34,0)),0)</f>
        <v>0</v>
      </c>
      <c r="H646" s="103" t="str">
        <f aca="false">IF(G646=0,"空闲",IF(G646&lt;=0.6,"低负荷",IF(G646&lt;=0.85,"正常",IF(G646&lt;=1,"满负荷","超负荷"))))</f>
        <v>空闲</v>
      </c>
      <c r="I646" s="104" t="s">
        <v>638</v>
      </c>
      <c r="J646" s="104"/>
      <c r="K646" s="104"/>
      <c r="L646" s="105" t="s">
        <v>639</v>
      </c>
    </row>
    <row r="647" customFormat="false" ht="48" hidden="false" customHeight="true" outlineLevel="0" collapsed="false">
      <c r="A647" s="99"/>
      <c r="B647" s="100" t="n">
        <v>46328</v>
      </c>
      <c r="C647" s="100" t="n">
        <v>46334</v>
      </c>
      <c r="D647" s="99" t="s">
        <v>638</v>
      </c>
      <c r="E647" s="99" t="n">
        <v>0</v>
      </c>
      <c r="F647" s="101" t="n">
        <v>0</v>
      </c>
      <c r="G647" s="102" t="n">
        <f aca="false">IFERROR(F647/INDEX($G$5:$G$34,MATCH(LOOKUP(2,1/($A$39:A647&lt;&gt;""),$A$39:A647),$A$5:$A$34,0)),0)</f>
        <v>0</v>
      </c>
      <c r="H647" s="103" t="str">
        <f aca="false">IF(G647=0,"空闲",IF(G647&lt;=0.6,"低负荷",IF(G647&lt;=0.85,"正常",IF(G647&lt;=1,"满负荷","超负荷"))))</f>
        <v>空闲</v>
      </c>
      <c r="I647" s="104" t="s">
        <v>638</v>
      </c>
      <c r="J647" s="104"/>
      <c r="K647" s="104"/>
      <c r="L647" s="105" t="s">
        <v>639</v>
      </c>
    </row>
    <row r="648" customFormat="false" ht="48" hidden="false" customHeight="true" outlineLevel="0" collapsed="false">
      <c r="A648" s="99"/>
      <c r="B648" s="100" t="n">
        <v>46335</v>
      </c>
      <c r="C648" s="100" t="n">
        <v>46341</v>
      </c>
      <c r="D648" s="99" t="s">
        <v>638</v>
      </c>
      <c r="E648" s="99" t="n">
        <v>0</v>
      </c>
      <c r="F648" s="101" t="n">
        <v>0</v>
      </c>
      <c r="G648" s="102" t="n">
        <f aca="false">IFERROR(F648/INDEX($G$5:$G$34,MATCH(LOOKUP(2,1/($A$39:A648&lt;&gt;""),$A$39:A648),$A$5:$A$34,0)),0)</f>
        <v>0</v>
      </c>
      <c r="H648" s="103" t="str">
        <f aca="false">IF(G648=0,"空闲",IF(G648&lt;=0.6,"低负荷",IF(G648&lt;=0.85,"正常",IF(G648&lt;=1,"满负荷","超负荷"))))</f>
        <v>空闲</v>
      </c>
      <c r="I648" s="104" t="s">
        <v>638</v>
      </c>
      <c r="J648" s="104"/>
      <c r="K648" s="104"/>
      <c r="L648" s="105" t="s">
        <v>639</v>
      </c>
    </row>
    <row r="649" customFormat="false" ht="48" hidden="false" customHeight="true" outlineLevel="0" collapsed="false">
      <c r="A649" s="99"/>
      <c r="B649" s="100" t="n">
        <v>46342</v>
      </c>
      <c r="C649" s="100" t="n">
        <v>46348</v>
      </c>
      <c r="D649" s="99" t="s">
        <v>640</v>
      </c>
      <c r="E649" s="99" t="n">
        <v>1</v>
      </c>
      <c r="F649" s="101" t="n">
        <v>40</v>
      </c>
      <c r="G649" s="102" t="n">
        <f aca="false">IFERROR(F649/INDEX($G$5:$G$34,MATCH(LOOKUP(2,1/($A$39:A649&lt;&gt;""),$A$39:A649),$A$5:$A$34,0)),0)</f>
        <v>1</v>
      </c>
      <c r="H649" s="103" t="str">
        <f aca="false">IF(G649=0,"空闲",IF(G649&lt;=0.6,"低负荷",IF(G649&lt;=0.85,"正常",IF(G649&lt;=1,"满负荷","超负荷"))))</f>
        <v>满负荷</v>
      </c>
      <c r="I649" s="106" t="s">
        <v>710</v>
      </c>
      <c r="J649" s="106"/>
      <c r="K649" s="106"/>
      <c r="L649" s="105" t="s">
        <v>642</v>
      </c>
    </row>
    <row r="650" customFormat="false" ht="48" hidden="false" customHeight="true" outlineLevel="0" collapsed="false">
      <c r="A650" s="99"/>
      <c r="B650" s="100" t="n">
        <v>46349</v>
      </c>
      <c r="C650" s="100" t="n">
        <v>46355</v>
      </c>
      <c r="D650" s="99" t="s">
        <v>640</v>
      </c>
      <c r="E650" s="99" t="n">
        <v>2</v>
      </c>
      <c r="F650" s="101" t="n">
        <v>40</v>
      </c>
      <c r="G650" s="102" t="n">
        <f aca="false">IFERROR(F650/INDEX($G$5:$G$34,MATCH(LOOKUP(2,1/($A$39:A650&lt;&gt;""),$A$39:A650),$A$5:$A$34,0)),0)</f>
        <v>1</v>
      </c>
      <c r="H650" s="103" t="str">
        <f aca="false">IF(G650=0,"空闲",IF(G650&lt;=0.6,"低负荷",IF(G650&lt;=0.85,"正常",IF(G650&lt;=1,"满负荷","超负荷"))))</f>
        <v>满负荷</v>
      </c>
      <c r="I650" s="106" t="s">
        <v>711</v>
      </c>
      <c r="J650" s="106"/>
      <c r="K650" s="106"/>
      <c r="L650" s="105" t="s">
        <v>652</v>
      </c>
    </row>
    <row r="651" customFormat="false" ht="48" hidden="false" customHeight="true" outlineLevel="0" collapsed="false">
      <c r="A651" s="99"/>
      <c r="B651" s="100" t="n">
        <v>46356</v>
      </c>
      <c r="C651" s="100" t="n">
        <v>46362</v>
      </c>
      <c r="D651" s="99" t="s">
        <v>640</v>
      </c>
      <c r="E651" s="99" t="n">
        <v>1</v>
      </c>
      <c r="F651" s="101" t="n">
        <v>40</v>
      </c>
      <c r="G651" s="102" t="n">
        <f aca="false">IFERROR(F651/INDEX($G$5:$G$34,MATCH(LOOKUP(2,1/($A$39:A651&lt;&gt;""),$A$39:A651),$A$5:$A$34,0)),0)</f>
        <v>1</v>
      </c>
      <c r="H651" s="103" t="str">
        <f aca="false">IF(G651=0,"空闲",IF(G651&lt;=0.6,"低负荷",IF(G651&lt;=0.85,"正常",IF(G651&lt;=1,"满负荷","超负荷"))))</f>
        <v>满负荷</v>
      </c>
      <c r="I651" s="106" t="s">
        <v>712</v>
      </c>
      <c r="J651" s="106"/>
      <c r="K651" s="106"/>
      <c r="L651" s="105" t="s">
        <v>642</v>
      </c>
    </row>
    <row r="652" customFormat="false" ht="48" hidden="false" customHeight="true" outlineLevel="0" collapsed="false">
      <c r="A652" s="99"/>
      <c r="B652" s="100" t="n">
        <v>46363</v>
      </c>
      <c r="C652" s="100" t="n">
        <v>46369</v>
      </c>
      <c r="D652" s="99" t="s">
        <v>640</v>
      </c>
      <c r="E652" s="99" t="n">
        <v>3</v>
      </c>
      <c r="F652" s="101" t="n">
        <v>40</v>
      </c>
      <c r="G652" s="102" t="n">
        <f aca="false">IFERROR(F652/INDEX($G$5:$G$34,MATCH(LOOKUP(2,1/($A$39:A652&lt;&gt;""),$A$39:A652),$A$5:$A$34,0)),0)</f>
        <v>1</v>
      </c>
      <c r="H652" s="103" t="str">
        <f aca="false">IF(G652=0,"空闲",IF(G652&lt;=0.6,"低负荷",IF(G652&lt;=0.85,"正常",IF(G652&lt;=1,"满负荷","超负荷"))))</f>
        <v>满负荷</v>
      </c>
      <c r="I652" s="106" t="s">
        <v>713</v>
      </c>
      <c r="J652" s="106"/>
      <c r="K652" s="106"/>
      <c r="L652" s="105" t="s">
        <v>679</v>
      </c>
    </row>
    <row r="653" customFormat="false" ht="48" hidden="false" customHeight="true" outlineLevel="0" collapsed="false">
      <c r="A653" s="99"/>
      <c r="B653" s="100" t="n">
        <v>46370</v>
      </c>
      <c r="C653" s="100" t="n">
        <v>46376</v>
      </c>
      <c r="D653" s="99" t="s">
        <v>640</v>
      </c>
      <c r="E653" s="99" t="n">
        <v>4</v>
      </c>
      <c r="F653" s="101" t="n">
        <v>40</v>
      </c>
      <c r="G653" s="102" t="n">
        <f aca="false">IFERROR(F653/INDEX($G$5:$G$34,MATCH(LOOKUP(2,1/($A$39:A653&lt;&gt;""),$A$39:A653),$A$5:$A$34,0)),0)</f>
        <v>1</v>
      </c>
      <c r="H653" s="103" t="str">
        <f aca="false">IF(G653=0,"空闲",IF(G653&lt;=0.6,"低负荷",IF(G653&lt;=0.85,"正常",IF(G653&lt;=1,"满负荷","超负荷"))))</f>
        <v>满负荷</v>
      </c>
      <c r="I653" s="106" t="s">
        <v>714</v>
      </c>
      <c r="J653" s="106"/>
      <c r="K653" s="106"/>
      <c r="L653" s="105" t="s">
        <v>715</v>
      </c>
    </row>
    <row r="654" customFormat="false" ht="48" hidden="false" customHeight="true" outlineLevel="0" collapsed="false">
      <c r="A654" s="99"/>
      <c r="B654" s="100" t="n">
        <v>46377</v>
      </c>
      <c r="C654" s="100" t="n">
        <v>46383</v>
      </c>
      <c r="D654" s="99" t="s">
        <v>640</v>
      </c>
      <c r="E654" s="99" t="n">
        <v>4</v>
      </c>
      <c r="F654" s="101" t="n">
        <v>40</v>
      </c>
      <c r="G654" s="102" t="n">
        <f aca="false">IFERROR(F654/INDEX($G$5:$G$34,MATCH(LOOKUP(2,1/($A$39:A654&lt;&gt;""),$A$39:A654),$A$5:$A$34,0)),0)</f>
        <v>1</v>
      </c>
      <c r="H654" s="103" t="str">
        <f aca="false">IF(G654=0,"空闲",IF(G654&lt;=0.6,"低负荷",IF(G654&lt;=0.85,"正常",IF(G654&lt;=1,"满负荷","超负荷"))))</f>
        <v>满负荷</v>
      </c>
      <c r="I654" s="106" t="s">
        <v>714</v>
      </c>
      <c r="J654" s="106"/>
      <c r="K654" s="106"/>
      <c r="L654" s="105" t="s">
        <v>715</v>
      </c>
    </row>
    <row r="655" customFormat="false" ht="48" hidden="false" customHeight="true" outlineLevel="0" collapsed="false">
      <c r="A655" s="99"/>
      <c r="B655" s="100" t="n">
        <v>46384</v>
      </c>
      <c r="C655" s="100" t="n">
        <v>46390</v>
      </c>
      <c r="D655" s="99" t="s">
        <v>640</v>
      </c>
      <c r="E655" s="99" t="n">
        <v>4</v>
      </c>
      <c r="F655" s="101" t="n">
        <v>40</v>
      </c>
      <c r="G655" s="102" t="n">
        <f aca="false">IFERROR(F655/INDEX($G$5:$G$34,MATCH(LOOKUP(2,1/($A$39:A655&lt;&gt;""),$A$39:A655),$A$5:$A$34,0)),0)</f>
        <v>1</v>
      </c>
      <c r="H655" s="103" t="str">
        <f aca="false">IF(G655=0,"空闲",IF(G655&lt;=0.6,"低负荷",IF(G655&lt;=0.85,"正常",IF(G655&lt;=1,"满负荷","超负荷"))))</f>
        <v>满负荷</v>
      </c>
      <c r="I655" s="106" t="s">
        <v>714</v>
      </c>
      <c r="J655" s="106"/>
      <c r="K655" s="106"/>
      <c r="L655" s="105" t="s">
        <v>715</v>
      </c>
    </row>
    <row r="656" customFormat="false" ht="48" hidden="false" customHeight="true" outlineLevel="0" collapsed="false">
      <c r="A656" s="99"/>
      <c r="B656" s="100" t="n">
        <v>46391</v>
      </c>
      <c r="C656" s="100" t="n">
        <v>46397</v>
      </c>
      <c r="D656" s="99" t="s">
        <v>640</v>
      </c>
      <c r="E656" s="99" t="n">
        <v>5</v>
      </c>
      <c r="F656" s="101" t="n">
        <v>40</v>
      </c>
      <c r="G656" s="102" t="n">
        <f aca="false">IFERROR(F656/INDEX($G$5:$G$34,MATCH(LOOKUP(2,1/($A$39:A656&lt;&gt;""),$A$39:A656),$A$5:$A$34,0)),0)</f>
        <v>1</v>
      </c>
      <c r="H656" s="103" t="str">
        <f aca="false">IF(G656=0,"空闲",IF(G656&lt;=0.6,"低负荷",IF(G656&lt;=0.85,"正常",IF(G656&lt;=1,"满负荷","超负荷"))))</f>
        <v>满负荷</v>
      </c>
      <c r="I656" s="106" t="s">
        <v>716</v>
      </c>
      <c r="J656" s="106"/>
      <c r="K656" s="106"/>
      <c r="L656" s="105" t="s">
        <v>717</v>
      </c>
    </row>
    <row r="657" customFormat="false" ht="48" hidden="false" customHeight="true" outlineLevel="0" collapsed="false">
      <c r="A657" s="99"/>
      <c r="B657" s="100" t="n">
        <v>46398</v>
      </c>
      <c r="C657" s="100" t="n">
        <v>46404</v>
      </c>
      <c r="D657" s="99" t="s">
        <v>640</v>
      </c>
      <c r="E657" s="99" t="n">
        <v>5</v>
      </c>
      <c r="F657" s="101" t="n">
        <v>40</v>
      </c>
      <c r="G657" s="102" t="n">
        <f aca="false">IFERROR(F657/INDEX($G$5:$G$34,MATCH(LOOKUP(2,1/($A$39:A657&lt;&gt;""),$A$39:A657),$A$5:$A$34,0)),0)</f>
        <v>1</v>
      </c>
      <c r="H657" s="103" t="str">
        <f aca="false">IF(G657=0,"空闲",IF(G657&lt;=0.6,"低负荷",IF(G657&lt;=0.85,"正常",IF(G657&lt;=1,"满负荷","超负荷"))))</f>
        <v>满负荷</v>
      </c>
      <c r="I657" s="106" t="s">
        <v>716</v>
      </c>
      <c r="J657" s="106"/>
      <c r="K657" s="106"/>
      <c r="L657" s="105" t="s">
        <v>717</v>
      </c>
    </row>
    <row r="658" customFormat="false" ht="48" hidden="false" customHeight="true" outlineLevel="0" collapsed="false">
      <c r="A658" s="99"/>
      <c r="B658" s="100" t="n">
        <v>46405</v>
      </c>
      <c r="C658" s="100" t="n">
        <v>46411</v>
      </c>
      <c r="D658" s="99" t="s">
        <v>640</v>
      </c>
      <c r="E658" s="99" t="n">
        <v>4</v>
      </c>
      <c r="F658" s="101" t="n">
        <v>40</v>
      </c>
      <c r="G658" s="102" t="n">
        <f aca="false">IFERROR(F658/INDEX($G$5:$G$34,MATCH(LOOKUP(2,1/($A$39:A658&lt;&gt;""),$A$39:A658),$A$5:$A$34,0)),0)</f>
        <v>1</v>
      </c>
      <c r="H658" s="103" t="str">
        <f aca="false">IF(G658=0,"空闲",IF(G658&lt;=0.6,"低负荷",IF(G658&lt;=0.85,"正常",IF(G658&lt;=1,"满负荷","超负荷"))))</f>
        <v>满负荷</v>
      </c>
      <c r="I658" s="106" t="s">
        <v>714</v>
      </c>
      <c r="J658" s="106"/>
      <c r="K658" s="106"/>
      <c r="L658" s="105" t="s">
        <v>715</v>
      </c>
    </row>
    <row r="659" customFormat="false" ht="48" hidden="false" customHeight="true" outlineLevel="0" collapsed="false">
      <c r="A659" s="99"/>
      <c r="B659" s="100" t="n">
        <v>46412</v>
      </c>
      <c r="C659" s="100" t="n">
        <v>46418</v>
      </c>
      <c r="D659" s="99" t="s">
        <v>640</v>
      </c>
      <c r="E659" s="99" t="n">
        <v>4</v>
      </c>
      <c r="F659" s="101" t="n">
        <v>40</v>
      </c>
      <c r="G659" s="102" t="n">
        <f aca="false">IFERROR(F659/INDEX($G$5:$G$34,MATCH(LOOKUP(2,1/($A$39:A659&lt;&gt;""),$A$39:A659),$A$5:$A$34,0)),0)</f>
        <v>1</v>
      </c>
      <c r="H659" s="103" t="str">
        <f aca="false">IF(G659=0,"空闲",IF(G659&lt;=0.6,"低负荷",IF(G659&lt;=0.85,"正常",IF(G659&lt;=1,"满负荷","超负荷"))))</f>
        <v>满负荷</v>
      </c>
      <c r="I659" s="106" t="s">
        <v>714</v>
      </c>
      <c r="J659" s="106"/>
      <c r="K659" s="106"/>
      <c r="L659" s="105" t="s">
        <v>715</v>
      </c>
    </row>
    <row r="660" customFormat="false" ht="48" hidden="false" customHeight="true" outlineLevel="0" collapsed="false">
      <c r="A660" s="99"/>
      <c r="B660" s="100" t="n">
        <v>46419</v>
      </c>
      <c r="C660" s="100" t="n">
        <v>46425</v>
      </c>
      <c r="D660" s="99" t="s">
        <v>640</v>
      </c>
      <c r="E660" s="99" t="n">
        <v>4</v>
      </c>
      <c r="F660" s="101" t="n">
        <v>40</v>
      </c>
      <c r="G660" s="102" t="n">
        <f aca="false">IFERROR(F660/INDEX($G$5:$G$34,MATCH(LOOKUP(2,1/($A$39:A660&lt;&gt;""),$A$39:A660),$A$5:$A$34,0)),0)</f>
        <v>1</v>
      </c>
      <c r="H660" s="103" t="str">
        <f aca="false">IF(G660=0,"空闲",IF(G660&lt;=0.6,"低负荷",IF(G660&lt;=0.85,"正常",IF(G660&lt;=1,"满负荷","超负荷"))))</f>
        <v>满负荷</v>
      </c>
      <c r="I660" s="106" t="s">
        <v>714</v>
      </c>
      <c r="J660" s="106"/>
      <c r="K660" s="106"/>
      <c r="L660" s="105" t="s">
        <v>715</v>
      </c>
    </row>
    <row r="661" customFormat="false" ht="48" hidden="false" customHeight="true" outlineLevel="0" collapsed="false">
      <c r="A661" s="99"/>
      <c r="B661" s="100" t="n">
        <v>46426</v>
      </c>
      <c r="C661" s="100" t="n">
        <v>46432</v>
      </c>
      <c r="D661" s="99" t="s">
        <v>640</v>
      </c>
      <c r="E661" s="99" t="n">
        <v>5</v>
      </c>
      <c r="F661" s="101" t="n">
        <v>40</v>
      </c>
      <c r="G661" s="102" t="n">
        <f aca="false">IFERROR(F661/INDEX($G$5:$G$34,MATCH(LOOKUP(2,1/($A$39:A661&lt;&gt;""),$A$39:A661),$A$5:$A$34,0)),0)</f>
        <v>1</v>
      </c>
      <c r="H661" s="103" t="str">
        <f aca="false">IF(G661=0,"空闲",IF(G661&lt;=0.6,"低负荷",IF(G661&lt;=0.85,"正常",IF(G661&lt;=1,"满负荷","超负荷"))))</f>
        <v>满负荷</v>
      </c>
      <c r="I661" s="106" t="s">
        <v>718</v>
      </c>
      <c r="J661" s="106"/>
      <c r="K661" s="106"/>
      <c r="L661" s="105" t="s">
        <v>717</v>
      </c>
    </row>
    <row r="662" customFormat="false" ht="48" hidden="false" customHeight="true" outlineLevel="0" collapsed="false">
      <c r="A662" s="99"/>
      <c r="B662" s="100" t="n">
        <v>46433</v>
      </c>
      <c r="C662" s="100" t="n">
        <v>46439</v>
      </c>
      <c r="D662" s="99" t="s">
        <v>640</v>
      </c>
      <c r="E662" s="99" t="n">
        <v>8</v>
      </c>
      <c r="F662" s="101" t="n">
        <v>40</v>
      </c>
      <c r="G662" s="102" t="n">
        <f aca="false">IFERROR(F662/INDEX($G$5:$G$34,MATCH(LOOKUP(2,1/($A$39:A662&lt;&gt;""),$A$39:A662),$A$5:$A$34,0)),0)</f>
        <v>1</v>
      </c>
      <c r="H662" s="103" t="str">
        <f aca="false">IF(G662=0,"空闲",IF(G662&lt;=0.6,"低负荷",IF(G662&lt;=0.85,"正常",IF(G662&lt;=1,"满负荷","超负荷"))))</f>
        <v>满负荷</v>
      </c>
      <c r="I662" s="106" t="s">
        <v>719</v>
      </c>
      <c r="J662" s="106"/>
      <c r="K662" s="106"/>
      <c r="L662" s="105" t="s">
        <v>674</v>
      </c>
    </row>
    <row r="663" customFormat="false" ht="48" hidden="false" customHeight="true" outlineLevel="0" collapsed="false">
      <c r="A663" s="99"/>
      <c r="B663" s="100" t="n">
        <v>46440</v>
      </c>
      <c r="C663" s="100" t="n">
        <v>46446</v>
      </c>
      <c r="D663" s="99" t="s">
        <v>640</v>
      </c>
      <c r="E663" s="99" t="n">
        <v>8</v>
      </c>
      <c r="F663" s="101" t="n">
        <v>40</v>
      </c>
      <c r="G663" s="102" t="n">
        <f aca="false">IFERROR(F663/INDEX($G$5:$G$34,MATCH(LOOKUP(2,1/($A$39:A663&lt;&gt;""),$A$39:A663),$A$5:$A$34,0)),0)</f>
        <v>1</v>
      </c>
      <c r="H663" s="103" t="str">
        <f aca="false">IF(G663=0,"空闲",IF(G663&lt;=0.6,"低负荷",IF(G663&lt;=0.85,"正常",IF(G663&lt;=1,"满负荷","超负荷"))))</f>
        <v>满负荷</v>
      </c>
      <c r="I663" s="106" t="s">
        <v>720</v>
      </c>
      <c r="J663" s="106"/>
      <c r="K663" s="106"/>
      <c r="L663" s="105" t="s">
        <v>674</v>
      </c>
    </row>
    <row r="664" customFormat="false" ht="48" hidden="false" customHeight="true" outlineLevel="0" collapsed="false">
      <c r="A664" s="99"/>
      <c r="B664" s="100" t="n">
        <v>46447</v>
      </c>
      <c r="C664" s="100" t="n">
        <v>46453</v>
      </c>
      <c r="D664" s="99" t="s">
        <v>640</v>
      </c>
      <c r="E664" s="99" t="n">
        <v>7</v>
      </c>
      <c r="F664" s="101" t="n">
        <v>40</v>
      </c>
      <c r="G664" s="102" t="n">
        <f aca="false">IFERROR(F664/INDEX($G$5:$G$34,MATCH(LOOKUP(2,1/($A$39:A664&lt;&gt;""),$A$39:A664),$A$5:$A$34,0)),0)</f>
        <v>1</v>
      </c>
      <c r="H664" s="103" t="str">
        <f aca="false">IF(G664=0,"空闲",IF(G664&lt;=0.6,"低负荷",IF(G664&lt;=0.85,"正常",IF(G664&lt;=1,"满负荷","超负荷"))))</f>
        <v>满负荷</v>
      </c>
      <c r="I664" s="106" t="s">
        <v>721</v>
      </c>
      <c r="J664" s="106"/>
      <c r="K664" s="106"/>
      <c r="L664" s="105" t="s">
        <v>672</v>
      </c>
    </row>
    <row r="665" customFormat="false" ht="48" hidden="false" customHeight="true" outlineLevel="0" collapsed="false">
      <c r="A665" s="99"/>
      <c r="B665" s="100" t="n">
        <v>46454</v>
      </c>
      <c r="C665" s="100" t="n">
        <v>46460</v>
      </c>
      <c r="D665" s="99" t="s">
        <v>638</v>
      </c>
      <c r="E665" s="99" t="n">
        <v>0</v>
      </c>
      <c r="F665" s="101" t="n">
        <v>0</v>
      </c>
      <c r="G665" s="102" t="n">
        <f aca="false">IFERROR(F665/INDEX($G$5:$G$34,MATCH(LOOKUP(2,1/($A$39:A665&lt;&gt;""),$A$39:A665),$A$5:$A$34,0)),0)</f>
        <v>0</v>
      </c>
      <c r="H665" s="103" t="str">
        <f aca="false">IF(G665=0,"空闲",IF(G665&lt;=0.6,"低负荷",IF(G665&lt;=0.85,"正常",IF(G665&lt;=1,"满负荷","超负荷"))))</f>
        <v>空闲</v>
      </c>
      <c r="I665" s="104" t="s">
        <v>638</v>
      </c>
      <c r="J665" s="104"/>
      <c r="K665" s="104"/>
      <c r="L665" s="105" t="s">
        <v>639</v>
      </c>
    </row>
    <row r="666" customFormat="false" ht="48" hidden="false" customHeight="true" outlineLevel="0" collapsed="false">
      <c r="A666" s="99"/>
      <c r="B666" s="100" t="n">
        <v>46461</v>
      </c>
      <c r="C666" s="100" t="n">
        <v>46467</v>
      </c>
      <c r="D666" s="99" t="s">
        <v>638</v>
      </c>
      <c r="E666" s="99" t="n">
        <v>0</v>
      </c>
      <c r="F666" s="101" t="n">
        <v>0</v>
      </c>
      <c r="G666" s="102" t="n">
        <f aca="false">IFERROR(F666/INDEX($G$5:$G$34,MATCH(LOOKUP(2,1/($A$39:A666&lt;&gt;""),$A$39:A666),$A$5:$A$34,0)),0)</f>
        <v>0</v>
      </c>
      <c r="H666" s="103" t="str">
        <f aca="false">IF(G666=0,"空闲",IF(G666&lt;=0.6,"低负荷",IF(G666&lt;=0.85,"正常",IF(G666&lt;=1,"满负荷","超负荷"))))</f>
        <v>空闲</v>
      </c>
      <c r="I666" s="104" t="s">
        <v>638</v>
      </c>
      <c r="J666" s="104"/>
      <c r="K666" s="104"/>
      <c r="L666" s="105" t="s">
        <v>639</v>
      </c>
    </row>
    <row r="667" customFormat="false" ht="48" hidden="false" customHeight="true" outlineLevel="0" collapsed="false">
      <c r="A667" s="99"/>
      <c r="B667" s="100" t="n">
        <v>46468</v>
      </c>
      <c r="C667" s="100" t="n">
        <v>46474</v>
      </c>
      <c r="D667" s="99" t="s">
        <v>638</v>
      </c>
      <c r="E667" s="99" t="n">
        <v>0</v>
      </c>
      <c r="F667" s="101" t="n">
        <v>0</v>
      </c>
      <c r="G667" s="102" t="n">
        <f aca="false">IFERROR(F667/INDEX($G$5:$G$34,MATCH(LOOKUP(2,1/($A$39:A667&lt;&gt;""),$A$39:A667),$A$5:$A$34,0)),0)</f>
        <v>0</v>
      </c>
      <c r="H667" s="103" t="str">
        <f aca="false">IF(G667=0,"空闲",IF(G667&lt;=0.6,"低负荷",IF(G667&lt;=0.85,"正常",IF(G667&lt;=1,"满负荷","超负荷"))))</f>
        <v>空闲</v>
      </c>
      <c r="I667" s="104" t="s">
        <v>638</v>
      </c>
      <c r="J667" s="104"/>
      <c r="K667" s="104"/>
      <c r="L667" s="105" t="s">
        <v>639</v>
      </c>
    </row>
    <row r="668" customFormat="false" ht="48" hidden="false" customHeight="true" outlineLevel="0" collapsed="false">
      <c r="A668" s="99"/>
      <c r="B668" s="100" t="n">
        <v>46475</v>
      </c>
      <c r="C668" s="100" t="n">
        <v>46481</v>
      </c>
      <c r="D668" s="99" t="s">
        <v>638</v>
      </c>
      <c r="E668" s="99" t="n">
        <v>0</v>
      </c>
      <c r="F668" s="101" t="n">
        <v>0</v>
      </c>
      <c r="G668" s="102" t="n">
        <f aca="false">IFERROR(F668/INDEX($G$5:$G$34,MATCH(LOOKUP(2,1/($A$39:A668&lt;&gt;""),$A$39:A668),$A$5:$A$34,0)),0)</f>
        <v>0</v>
      </c>
      <c r="H668" s="103" t="str">
        <f aca="false">IF(G668=0,"空闲",IF(G668&lt;=0.6,"低负荷",IF(G668&lt;=0.85,"正常",IF(G668&lt;=1,"满负荷","超负荷"))))</f>
        <v>空闲</v>
      </c>
      <c r="I668" s="104" t="s">
        <v>638</v>
      </c>
      <c r="J668" s="104"/>
      <c r="K668" s="104"/>
      <c r="L668" s="105" t="s">
        <v>639</v>
      </c>
    </row>
    <row r="669" customFormat="false" ht="48" hidden="false" customHeight="true" outlineLevel="0" collapsed="false">
      <c r="A669" s="99"/>
      <c r="B669" s="100" t="n">
        <v>46482</v>
      </c>
      <c r="C669" s="100" t="n">
        <v>46488</v>
      </c>
      <c r="D669" s="99" t="s">
        <v>638</v>
      </c>
      <c r="E669" s="99" t="n">
        <v>0</v>
      </c>
      <c r="F669" s="101" t="n">
        <v>0</v>
      </c>
      <c r="G669" s="102" t="n">
        <f aca="false">IFERROR(F669/INDEX($G$5:$G$34,MATCH(LOOKUP(2,1/($A$39:A669&lt;&gt;""),$A$39:A669),$A$5:$A$34,0)),0)</f>
        <v>0</v>
      </c>
      <c r="H669" s="103" t="str">
        <f aca="false">IF(G669=0,"空闲",IF(G669&lt;=0.6,"低负荷",IF(G669&lt;=0.85,"正常",IF(G669&lt;=1,"满负荷","超负荷"))))</f>
        <v>空闲</v>
      </c>
      <c r="I669" s="104" t="s">
        <v>638</v>
      </c>
      <c r="J669" s="104"/>
      <c r="K669" s="104"/>
      <c r="L669" s="105" t="s">
        <v>639</v>
      </c>
    </row>
    <row r="670" customFormat="false" ht="48" hidden="false" customHeight="true" outlineLevel="0" collapsed="false">
      <c r="A670" s="99"/>
      <c r="B670" s="100" t="n">
        <v>46489</v>
      </c>
      <c r="C670" s="100" t="n">
        <v>46495</v>
      </c>
      <c r="D670" s="99" t="s">
        <v>638</v>
      </c>
      <c r="E670" s="99" t="n">
        <v>0</v>
      </c>
      <c r="F670" s="101" t="n">
        <v>0</v>
      </c>
      <c r="G670" s="102" t="n">
        <f aca="false">IFERROR(F670/INDEX($G$5:$G$34,MATCH(LOOKUP(2,1/($A$39:A670&lt;&gt;""),$A$39:A670),$A$5:$A$34,0)),0)</f>
        <v>0</v>
      </c>
      <c r="H670" s="103" t="str">
        <f aca="false">IF(G670=0,"空闲",IF(G670&lt;=0.6,"低负荷",IF(G670&lt;=0.85,"正常",IF(G670&lt;=1,"满负荷","超负荷"))))</f>
        <v>空闲</v>
      </c>
      <c r="I670" s="104" t="s">
        <v>638</v>
      </c>
      <c r="J670" s="104"/>
      <c r="K670" s="104"/>
      <c r="L670" s="105" t="s">
        <v>639</v>
      </c>
    </row>
    <row r="671" customFormat="false" ht="48" hidden="false" customHeight="true" outlineLevel="0" collapsed="false">
      <c r="A671" s="99"/>
      <c r="B671" s="100" t="n">
        <v>46496</v>
      </c>
      <c r="C671" s="100" t="n">
        <v>46502</v>
      </c>
      <c r="D671" s="99" t="s">
        <v>638</v>
      </c>
      <c r="E671" s="99" t="n">
        <v>0</v>
      </c>
      <c r="F671" s="101" t="n">
        <v>0</v>
      </c>
      <c r="G671" s="102" t="n">
        <f aca="false">IFERROR(F671/INDEX($G$5:$G$34,MATCH(LOOKUP(2,1/($A$39:A671&lt;&gt;""),$A$39:A671),$A$5:$A$34,0)),0)</f>
        <v>0</v>
      </c>
      <c r="H671" s="103" t="str">
        <f aca="false">IF(G671=0,"空闲",IF(G671&lt;=0.6,"低负荷",IF(G671&lt;=0.85,"正常",IF(G671&lt;=1,"满负荷","超负荷"))))</f>
        <v>空闲</v>
      </c>
      <c r="I671" s="104" t="s">
        <v>638</v>
      </c>
      <c r="J671" s="104"/>
      <c r="K671" s="104"/>
      <c r="L671" s="105" t="s">
        <v>639</v>
      </c>
    </row>
    <row r="672" customFormat="false" ht="48" hidden="false" customHeight="true" outlineLevel="0" collapsed="false">
      <c r="A672" s="99"/>
      <c r="B672" s="100" t="n">
        <v>46503</v>
      </c>
      <c r="C672" s="100" t="n">
        <v>46509</v>
      </c>
      <c r="D672" s="99" t="s">
        <v>640</v>
      </c>
      <c r="E672" s="99" t="n">
        <v>1</v>
      </c>
      <c r="F672" s="101" t="n">
        <v>40</v>
      </c>
      <c r="G672" s="102" t="n">
        <f aca="false">IFERROR(F672/INDEX($G$5:$G$34,MATCH(LOOKUP(2,1/($A$39:A672&lt;&gt;""),$A$39:A672),$A$5:$A$34,0)),0)</f>
        <v>1</v>
      </c>
      <c r="H672" s="103" t="str">
        <f aca="false">IF(G672=0,"空闲",IF(G672&lt;=0.6,"低负荷",IF(G672&lt;=0.85,"正常",IF(G672&lt;=1,"满负荷","超负荷"))))</f>
        <v>满负荷</v>
      </c>
      <c r="I672" s="106" t="s">
        <v>722</v>
      </c>
      <c r="J672" s="106"/>
      <c r="K672" s="106"/>
      <c r="L672" s="105" t="s">
        <v>642</v>
      </c>
    </row>
    <row r="673" customFormat="false" ht="48" hidden="false" customHeight="true" outlineLevel="0" collapsed="false">
      <c r="A673" s="99"/>
      <c r="B673" s="100" t="n">
        <v>46510</v>
      </c>
      <c r="C673" s="100" t="n">
        <v>46516</v>
      </c>
      <c r="D673" s="99" t="s">
        <v>640</v>
      </c>
      <c r="E673" s="99" t="n">
        <v>1</v>
      </c>
      <c r="F673" s="101" t="n">
        <v>40</v>
      </c>
      <c r="G673" s="102" t="n">
        <f aca="false">IFERROR(F673/INDEX($G$5:$G$34,MATCH(LOOKUP(2,1/($A$39:A673&lt;&gt;""),$A$39:A673),$A$5:$A$34,0)),0)</f>
        <v>1</v>
      </c>
      <c r="H673" s="103" t="str">
        <f aca="false">IF(G673=0,"空闲",IF(G673&lt;=0.6,"低负荷",IF(G673&lt;=0.85,"正常",IF(G673&lt;=1,"满负荷","超负荷"))))</f>
        <v>满负荷</v>
      </c>
      <c r="I673" s="106" t="s">
        <v>722</v>
      </c>
      <c r="J673" s="106"/>
      <c r="K673" s="106"/>
      <c r="L673" s="105" t="s">
        <v>642</v>
      </c>
    </row>
    <row r="674" customFormat="false" ht="48" hidden="false" customHeight="true" outlineLevel="0" collapsed="false">
      <c r="A674" s="99"/>
      <c r="B674" s="100" t="n">
        <v>46517</v>
      </c>
      <c r="C674" s="100" t="n">
        <v>46523</v>
      </c>
      <c r="D674" s="99" t="s">
        <v>638</v>
      </c>
      <c r="E674" s="99" t="n">
        <v>0</v>
      </c>
      <c r="F674" s="101" t="n">
        <v>0</v>
      </c>
      <c r="G674" s="102" t="n">
        <f aca="false">IFERROR(F674/INDEX($G$5:$G$34,MATCH(LOOKUP(2,1/($A$39:A674&lt;&gt;""),$A$39:A674),$A$5:$A$34,0)),0)</f>
        <v>0</v>
      </c>
      <c r="H674" s="103" t="str">
        <f aca="false">IF(G674=0,"空闲",IF(G674&lt;=0.6,"低负荷",IF(G674&lt;=0.85,"正常",IF(G674&lt;=1,"满负荷","超负荷"))))</f>
        <v>空闲</v>
      </c>
      <c r="I674" s="104" t="s">
        <v>638</v>
      </c>
      <c r="J674" s="104"/>
      <c r="K674" s="104"/>
      <c r="L674" s="105" t="s">
        <v>639</v>
      </c>
    </row>
    <row r="675" customFormat="false" ht="48" hidden="false" customHeight="true" outlineLevel="0" collapsed="false">
      <c r="A675" s="99"/>
      <c r="B675" s="100" t="n">
        <v>46524</v>
      </c>
      <c r="C675" s="100" t="n">
        <v>46530</v>
      </c>
      <c r="D675" s="99" t="s">
        <v>638</v>
      </c>
      <c r="E675" s="99" t="n">
        <v>0</v>
      </c>
      <c r="F675" s="101" t="n">
        <v>0</v>
      </c>
      <c r="G675" s="102" t="n">
        <f aca="false">IFERROR(F675/INDEX($G$5:$G$34,MATCH(LOOKUP(2,1/($A$39:A675&lt;&gt;""),$A$39:A675),$A$5:$A$34,0)),0)</f>
        <v>0</v>
      </c>
      <c r="H675" s="103" t="str">
        <f aca="false">IF(G675=0,"空闲",IF(G675&lt;=0.6,"低负荷",IF(G675&lt;=0.85,"正常",IF(G675&lt;=1,"满负荷","超负荷"))))</f>
        <v>空闲</v>
      </c>
      <c r="I675" s="104" t="s">
        <v>638</v>
      </c>
      <c r="J675" s="104"/>
      <c r="K675" s="104"/>
      <c r="L675" s="105" t="s">
        <v>639</v>
      </c>
    </row>
    <row r="676" customFormat="false" ht="48" hidden="false" customHeight="true" outlineLevel="0" collapsed="false">
      <c r="A676" s="99"/>
      <c r="B676" s="100" t="n">
        <v>46531</v>
      </c>
      <c r="C676" s="100" t="n">
        <v>46537</v>
      </c>
      <c r="D676" s="99" t="s">
        <v>638</v>
      </c>
      <c r="E676" s="99" t="n">
        <v>0</v>
      </c>
      <c r="F676" s="101" t="n">
        <v>0</v>
      </c>
      <c r="G676" s="102" t="n">
        <f aca="false">IFERROR(F676/INDEX($G$5:$G$34,MATCH(LOOKUP(2,1/($A$39:A676&lt;&gt;""),$A$39:A676),$A$5:$A$34,0)),0)</f>
        <v>0</v>
      </c>
      <c r="H676" s="103" t="str">
        <f aca="false">IF(G676=0,"空闲",IF(G676&lt;=0.6,"低负荷",IF(G676&lt;=0.85,"正常",IF(G676&lt;=1,"满负荷","超负荷"))))</f>
        <v>空闲</v>
      </c>
      <c r="I676" s="104" t="s">
        <v>638</v>
      </c>
      <c r="J676" s="104"/>
      <c r="K676" s="104"/>
      <c r="L676" s="105" t="s">
        <v>639</v>
      </c>
    </row>
    <row r="677" customFormat="false" ht="48" hidden="false" customHeight="true" outlineLevel="0" collapsed="false">
      <c r="A677" s="99"/>
      <c r="B677" s="100" t="n">
        <v>46538</v>
      </c>
      <c r="C677" s="100" t="n">
        <v>46544</v>
      </c>
      <c r="D677" s="99" t="s">
        <v>638</v>
      </c>
      <c r="E677" s="99" t="n">
        <v>0</v>
      </c>
      <c r="F677" s="101" t="n">
        <v>0</v>
      </c>
      <c r="G677" s="102" t="n">
        <f aca="false">IFERROR(F677/INDEX($G$5:$G$34,MATCH(LOOKUP(2,1/($A$39:A677&lt;&gt;""),$A$39:A677),$A$5:$A$34,0)),0)</f>
        <v>0</v>
      </c>
      <c r="H677" s="103" t="str">
        <f aca="false">IF(G677=0,"空闲",IF(G677&lt;=0.6,"低负荷",IF(G677&lt;=0.85,"正常",IF(G677&lt;=1,"满负荷","超负荷"))))</f>
        <v>空闲</v>
      </c>
      <c r="I677" s="104" t="s">
        <v>638</v>
      </c>
      <c r="J677" s="104"/>
      <c r="K677" s="104"/>
      <c r="L677" s="105" t="s">
        <v>639</v>
      </c>
    </row>
    <row r="678" customFormat="false" ht="48" hidden="false" customHeight="true" outlineLevel="0" collapsed="false">
      <c r="A678" s="99" t="s">
        <v>503</v>
      </c>
      <c r="B678" s="100" t="n">
        <v>46048</v>
      </c>
      <c r="C678" s="100" t="n">
        <v>46054</v>
      </c>
      <c r="D678" s="99" t="s">
        <v>638</v>
      </c>
      <c r="E678" s="99" t="n">
        <v>0</v>
      </c>
      <c r="F678" s="101" t="n">
        <v>0</v>
      </c>
      <c r="G678" s="102" t="n">
        <f aca="false">IFERROR(F678/INDEX($G$5:$G$34,MATCH(LOOKUP(2,1/($A$39:A678&lt;&gt;""),$A$39:A678),$A$5:$A$34,0)),0)</f>
        <v>0</v>
      </c>
      <c r="H678" s="103" t="str">
        <f aca="false">IF(G678=0,"空闲",IF(G678&lt;=0.6,"低负荷",IF(G678&lt;=0.85,"正常",IF(G678&lt;=1,"满负荷","超负荷"))))</f>
        <v>空闲</v>
      </c>
      <c r="I678" s="104" t="s">
        <v>638</v>
      </c>
      <c r="J678" s="104"/>
      <c r="K678" s="104"/>
      <c r="L678" s="105" t="s">
        <v>639</v>
      </c>
    </row>
    <row r="679" customFormat="false" ht="48" hidden="false" customHeight="true" outlineLevel="0" collapsed="false">
      <c r="A679" s="99"/>
      <c r="B679" s="100" t="n">
        <v>46055</v>
      </c>
      <c r="C679" s="100" t="n">
        <v>46061</v>
      </c>
      <c r="D679" s="99" t="s">
        <v>638</v>
      </c>
      <c r="E679" s="99" t="n">
        <v>0</v>
      </c>
      <c r="F679" s="101" t="n">
        <v>0</v>
      </c>
      <c r="G679" s="102" t="n">
        <f aca="false">IFERROR(F679/INDEX($G$5:$G$34,MATCH(LOOKUP(2,1/($A$39:A679&lt;&gt;""),$A$39:A679),$A$5:$A$34,0)),0)</f>
        <v>0</v>
      </c>
      <c r="H679" s="103" t="str">
        <f aca="false">IF(G679=0,"空闲",IF(G679&lt;=0.6,"低负荷",IF(G679&lt;=0.85,"正常",IF(G679&lt;=1,"满负荷","超负荷"))))</f>
        <v>空闲</v>
      </c>
      <c r="I679" s="104" t="s">
        <v>638</v>
      </c>
      <c r="J679" s="104"/>
      <c r="K679" s="104"/>
      <c r="L679" s="105" t="s">
        <v>639</v>
      </c>
    </row>
    <row r="680" customFormat="false" ht="48" hidden="false" customHeight="true" outlineLevel="0" collapsed="false">
      <c r="A680" s="99"/>
      <c r="B680" s="100" t="n">
        <v>46062</v>
      </c>
      <c r="C680" s="100" t="n">
        <v>46068</v>
      </c>
      <c r="D680" s="99" t="s">
        <v>638</v>
      </c>
      <c r="E680" s="99" t="n">
        <v>0</v>
      </c>
      <c r="F680" s="101" t="n">
        <v>0</v>
      </c>
      <c r="G680" s="102" t="n">
        <f aca="false">IFERROR(F680/INDEX($G$5:$G$34,MATCH(LOOKUP(2,1/($A$39:A680&lt;&gt;""),$A$39:A680),$A$5:$A$34,0)),0)</f>
        <v>0</v>
      </c>
      <c r="H680" s="103" t="str">
        <f aca="false">IF(G680=0,"空闲",IF(G680&lt;=0.6,"低负荷",IF(G680&lt;=0.85,"正常",IF(G680&lt;=1,"满负荷","超负荷"))))</f>
        <v>空闲</v>
      </c>
      <c r="I680" s="104" t="s">
        <v>638</v>
      </c>
      <c r="J680" s="104"/>
      <c r="K680" s="104"/>
      <c r="L680" s="105" t="s">
        <v>639</v>
      </c>
    </row>
    <row r="681" customFormat="false" ht="48" hidden="false" customHeight="true" outlineLevel="0" collapsed="false">
      <c r="A681" s="99"/>
      <c r="B681" s="100" t="n">
        <v>46069</v>
      </c>
      <c r="C681" s="100" t="n">
        <v>46075</v>
      </c>
      <c r="D681" s="99" t="s">
        <v>638</v>
      </c>
      <c r="E681" s="99" t="n">
        <v>0</v>
      </c>
      <c r="F681" s="101" t="n">
        <v>0</v>
      </c>
      <c r="G681" s="102" t="n">
        <f aca="false">IFERROR(F681/INDEX($G$5:$G$34,MATCH(LOOKUP(2,1/($A$39:A681&lt;&gt;""),$A$39:A681),$A$5:$A$34,0)),0)</f>
        <v>0</v>
      </c>
      <c r="H681" s="103" t="str">
        <f aca="false">IF(G681=0,"空闲",IF(G681&lt;=0.6,"低负荷",IF(G681&lt;=0.85,"正常",IF(G681&lt;=1,"满负荷","超负荷"))))</f>
        <v>空闲</v>
      </c>
      <c r="I681" s="104" t="s">
        <v>638</v>
      </c>
      <c r="J681" s="104"/>
      <c r="K681" s="104"/>
      <c r="L681" s="105" t="s">
        <v>639</v>
      </c>
    </row>
    <row r="682" customFormat="false" ht="48" hidden="false" customHeight="true" outlineLevel="0" collapsed="false">
      <c r="A682" s="99"/>
      <c r="B682" s="100" t="n">
        <v>46076</v>
      </c>
      <c r="C682" s="100" t="n">
        <v>46082</v>
      </c>
      <c r="D682" s="99" t="s">
        <v>638</v>
      </c>
      <c r="E682" s="99" t="n">
        <v>0</v>
      </c>
      <c r="F682" s="101" t="n">
        <v>0</v>
      </c>
      <c r="G682" s="102" t="n">
        <f aca="false">IFERROR(F682/INDEX($G$5:$G$34,MATCH(LOOKUP(2,1/($A$39:A682&lt;&gt;""),$A$39:A682),$A$5:$A$34,0)),0)</f>
        <v>0</v>
      </c>
      <c r="H682" s="103" t="str">
        <f aca="false">IF(G682=0,"空闲",IF(G682&lt;=0.6,"低负荷",IF(G682&lt;=0.85,"正常",IF(G682&lt;=1,"满负荷","超负荷"))))</f>
        <v>空闲</v>
      </c>
      <c r="I682" s="104" t="s">
        <v>638</v>
      </c>
      <c r="J682" s="104"/>
      <c r="K682" s="104"/>
      <c r="L682" s="105" t="s">
        <v>639</v>
      </c>
    </row>
    <row r="683" customFormat="false" ht="48" hidden="false" customHeight="true" outlineLevel="0" collapsed="false">
      <c r="A683" s="99"/>
      <c r="B683" s="100" t="n">
        <v>46083</v>
      </c>
      <c r="C683" s="100" t="n">
        <v>46089</v>
      </c>
      <c r="D683" s="99" t="s">
        <v>638</v>
      </c>
      <c r="E683" s="99" t="n">
        <v>0</v>
      </c>
      <c r="F683" s="101" t="n">
        <v>0</v>
      </c>
      <c r="G683" s="102" t="n">
        <f aca="false">IFERROR(F683/INDEX($G$5:$G$34,MATCH(LOOKUP(2,1/($A$39:A683&lt;&gt;""),$A$39:A683),$A$5:$A$34,0)),0)</f>
        <v>0</v>
      </c>
      <c r="H683" s="103" t="str">
        <f aca="false">IF(G683=0,"空闲",IF(G683&lt;=0.6,"低负荷",IF(G683&lt;=0.85,"正常",IF(G683&lt;=1,"满负荷","超负荷"))))</f>
        <v>空闲</v>
      </c>
      <c r="I683" s="104" t="s">
        <v>638</v>
      </c>
      <c r="J683" s="104"/>
      <c r="K683" s="104"/>
      <c r="L683" s="105" t="s">
        <v>639</v>
      </c>
    </row>
    <row r="684" customFormat="false" ht="48" hidden="false" customHeight="true" outlineLevel="0" collapsed="false">
      <c r="A684" s="99"/>
      <c r="B684" s="100" t="n">
        <v>46090</v>
      </c>
      <c r="C684" s="100" t="n">
        <v>46096</v>
      </c>
      <c r="D684" s="99" t="s">
        <v>638</v>
      </c>
      <c r="E684" s="99" t="n">
        <v>0</v>
      </c>
      <c r="F684" s="101" t="n">
        <v>0</v>
      </c>
      <c r="G684" s="102" t="n">
        <f aca="false">IFERROR(F684/INDEX($G$5:$G$34,MATCH(LOOKUP(2,1/($A$39:A684&lt;&gt;""),$A$39:A684),$A$5:$A$34,0)),0)</f>
        <v>0</v>
      </c>
      <c r="H684" s="103" t="str">
        <f aca="false">IF(G684=0,"空闲",IF(G684&lt;=0.6,"低负荷",IF(G684&lt;=0.85,"正常",IF(G684&lt;=1,"满负荷","超负荷"))))</f>
        <v>空闲</v>
      </c>
      <c r="I684" s="104" t="s">
        <v>638</v>
      </c>
      <c r="J684" s="104"/>
      <c r="K684" s="104"/>
      <c r="L684" s="105" t="s">
        <v>639</v>
      </c>
    </row>
    <row r="685" customFormat="false" ht="48" hidden="false" customHeight="true" outlineLevel="0" collapsed="false">
      <c r="A685" s="99"/>
      <c r="B685" s="100" t="n">
        <v>46097</v>
      </c>
      <c r="C685" s="100" t="n">
        <v>46103</v>
      </c>
      <c r="D685" s="99" t="s">
        <v>638</v>
      </c>
      <c r="E685" s="99" t="n">
        <v>0</v>
      </c>
      <c r="F685" s="101" t="n">
        <v>0</v>
      </c>
      <c r="G685" s="102" t="n">
        <f aca="false">IFERROR(F685/INDEX($G$5:$G$34,MATCH(LOOKUP(2,1/($A$39:A685&lt;&gt;""),$A$39:A685),$A$5:$A$34,0)),0)</f>
        <v>0</v>
      </c>
      <c r="H685" s="103" t="str">
        <f aca="false">IF(G685=0,"空闲",IF(G685&lt;=0.6,"低负荷",IF(G685&lt;=0.85,"正常",IF(G685&lt;=1,"满负荷","超负荷"))))</f>
        <v>空闲</v>
      </c>
      <c r="I685" s="104" t="s">
        <v>638</v>
      </c>
      <c r="J685" s="104"/>
      <c r="K685" s="104"/>
      <c r="L685" s="105" t="s">
        <v>639</v>
      </c>
    </row>
    <row r="686" customFormat="false" ht="48" hidden="false" customHeight="true" outlineLevel="0" collapsed="false">
      <c r="A686" s="99"/>
      <c r="B686" s="100" t="n">
        <v>46104</v>
      </c>
      <c r="C686" s="100" t="n">
        <v>46110</v>
      </c>
      <c r="D686" s="99" t="s">
        <v>638</v>
      </c>
      <c r="E686" s="99" t="n">
        <v>0</v>
      </c>
      <c r="F686" s="101" t="n">
        <v>0</v>
      </c>
      <c r="G686" s="102" t="n">
        <f aca="false">IFERROR(F686/INDEX($G$5:$G$34,MATCH(LOOKUP(2,1/($A$39:A686&lt;&gt;""),$A$39:A686),$A$5:$A$34,0)),0)</f>
        <v>0</v>
      </c>
      <c r="H686" s="103" t="str">
        <f aca="false">IF(G686=0,"空闲",IF(G686&lt;=0.6,"低负荷",IF(G686&lt;=0.85,"正常",IF(G686&lt;=1,"满负荷","超负荷"))))</f>
        <v>空闲</v>
      </c>
      <c r="I686" s="104" t="s">
        <v>638</v>
      </c>
      <c r="J686" s="104"/>
      <c r="K686" s="104"/>
      <c r="L686" s="105" t="s">
        <v>639</v>
      </c>
    </row>
    <row r="687" customFormat="false" ht="48" hidden="false" customHeight="true" outlineLevel="0" collapsed="false">
      <c r="A687" s="99"/>
      <c r="B687" s="100" t="n">
        <v>46111</v>
      </c>
      <c r="C687" s="100" t="n">
        <v>46117</v>
      </c>
      <c r="D687" s="99" t="s">
        <v>638</v>
      </c>
      <c r="E687" s="99" t="n">
        <v>0</v>
      </c>
      <c r="F687" s="101" t="n">
        <v>0</v>
      </c>
      <c r="G687" s="102" t="n">
        <f aca="false">IFERROR(F687/INDEX($G$5:$G$34,MATCH(LOOKUP(2,1/($A$39:A687&lt;&gt;""),$A$39:A687),$A$5:$A$34,0)),0)</f>
        <v>0</v>
      </c>
      <c r="H687" s="103" t="str">
        <f aca="false">IF(G687=0,"空闲",IF(G687&lt;=0.6,"低负荷",IF(G687&lt;=0.85,"正常",IF(G687&lt;=1,"满负荷","超负荷"))))</f>
        <v>空闲</v>
      </c>
      <c r="I687" s="104" t="s">
        <v>638</v>
      </c>
      <c r="J687" s="104"/>
      <c r="K687" s="104"/>
      <c r="L687" s="105" t="s">
        <v>639</v>
      </c>
    </row>
    <row r="688" customFormat="false" ht="48" hidden="false" customHeight="true" outlineLevel="0" collapsed="false">
      <c r="A688" s="99"/>
      <c r="B688" s="100" t="n">
        <v>46118</v>
      </c>
      <c r="C688" s="100" t="n">
        <v>46124</v>
      </c>
      <c r="D688" s="99" t="s">
        <v>638</v>
      </c>
      <c r="E688" s="99" t="n">
        <v>0</v>
      </c>
      <c r="F688" s="101" t="n">
        <v>0</v>
      </c>
      <c r="G688" s="102" t="n">
        <f aca="false">IFERROR(F688/INDEX($G$5:$G$34,MATCH(LOOKUP(2,1/($A$39:A688&lt;&gt;""),$A$39:A688),$A$5:$A$34,0)),0)</f>
        <v>0</v>
      </c>
      <c r="H688" s="103" t="str">
        <f aca="false">IF(G688=0,"空闲",IF(G688&lt;=0.6,"低负荷",IF(G688&lt;=0.85,"正常",IF(G688&lt;=1,"满负荷","超负荷"))))</f>
        <v>空闲</v>
      </c>
      <c r="I688" s="104" t="s">
        <v>638</v>
      </c>
      <c r="J688" s="104"/>
      <c r="K688" s="104"/>
      <c r="L688" s="105" t="s">
        <v>639</v>
      </c>
    </row>
    <row r="689" customFormat="false" ht="48" hidden="false" customHeight="true" outlineLevel="0" collapsed="false">
      <c r="A689" s="99"/>
      <c r="B689" s="100" t="n">
        <v>46125</v>
      </c>
      <c r="C689" s="100" t="n">
        <v>46131</v>
      </c>
      <c r="D689" s="99" t="s">
        <v>638</v>
      </c>
      <c r="E689" s="99" t="n">
        <v>0</v>
      </c>
      <c r="F689" s="101" t="n">
        <v>0</v>
      </c>
      <c r="G689" s="102" t="n">
        <f aca="false">IFERROR(F689/INDEX($G$5:$G$34,MATCH(LOOKUP(2,1/($A$39:A689&lt;&gt;""),$A$39:A689),$A$5:$A$34,0)),0)</f>
        <v>0</v>
      </c>
      <c r="H689" s="103" t="str">
        <f aca="false">IF(G689=0,"空闲",IF(G689&lt;=0.6,"低负荷",IF(G689&lt;=0.85,"正常",IF(G689&lt;=1,"满负荷","超负荷"))))</f>
        <v>空闲</v>
      </c>
      <c r="I689" s="104" t="s">
        <v>638</v>
      </c>
      <c r="J689" s="104"/>
      <c r="K689" s="104"/>
      <c r="L689" s="105" t="s">
        <v>639</v>
      </c>
    </row>
    <row r="690" customFormat="false" ht="48" hidden="false" customHeight="true" outlineLevel="0" collapsed="false">
      <c r="A690" s="99"/>
      <c r="B690" s="100" t="n">
        <v>46132</v>
      </c>
      <c r="C690" s="100" t="n">
        <v>46138</v>
      </c>
      <c r="D690" s="99" t="s">
        <v>638</v>
      </c>
      <c r="E690" s="99" t="n">
        <v>0</v>
      </c>
      <c r="F690" s="101" t="n">
        <v>0</v>
      </c>
      <c r="G690" s="102" t="n">
        <f aca="false">IFERROR(F690/INDEX($G$5:$G$34,MATCH(LOOKUP(2,1/($A$39:A690&lt;&gt;""),$A$39:A690),$A$5:$A$34,0)),0)</f>
        <v>0</v>
      </c>
      <c r="H690" s="103" t="str">
        <f aca="false">IF(G690=0,"空闲",IF(G690&lt;=0.6,"低负荷",IF(G690&lt;=0.85,"正常",IF(G690&lt;=1,"满负荷","超负荷"))))</f>
        <v>空闲</v>
      </c>
      <c r="I690" s="104" t="s">
        <v>638</v>
      </c>
      <c r="J690" s="104"/>
      <c r="K690" s="104"/>
      <c r="L690" s="105" t="s">
        <v>639</v>
      </c>
    </row>
    <row r="691" customFormat="false" ht="48" hidden="false" customHeight="true" outlineLevel="0" collapsed="false">
      <c r="A691" s="99"/>
      <c r="B691" s="100" t="n">
        <v>46139</v>
      </c>
      <c r="C691" s="100" t="n">
        <v>46145</v>
      </c>
      <c r="D691" s="99" t="s">
        <v>638</v>
      </c>
      <c r="E691" s="99" t="n">
        <v>0</v>
      </c>
      <c r="F691" s="101" t="n">
        <v>0</v>
      </c>
      <c r="G691" s="102" t="n">
        <f aca="false">IFERROR(F691/INDEX($G$5:$G$34,MATCH(LOOKUP(2,1/($A$39:A691&lt;&gt;""),$A$39:A691),$A$5:$A$34,0)),0)</f>
        <v>0</v>
      </c>
      <c r="H691" s="103" t="str">
        <f aca="false">IF(G691=0,"空闲",IF(G691&lt;=0.6,"低负荷",IF(G691&lt;=0.85,"正常",IF(G691&lt;=1,"满负荷","超负荷"))))</f>
        <v>空闲</v>
      </c>
      <c r="I691" s="104" t="s">
        <v>638</v>
      </c>
      <c r="J691" s="104"/>
      <c r="K691" s="104"/>
      <c r="L691" s="105" t="s">
        <v>639</v>
      </c>
    </row>
    <row r="692" customFormat="false" ht="48" hidden="false" customHeight="true" outlineLevel="0" collapsed="false">
      <c r="A692" s="99"/>
      <c r="B692" s="100" t="n">
        <v>46146</v>
      </c>
      <c r="C692" s="100" t="n">
        <v>46152</v>
      </c>
      <c r="D692" s="99" t="s">
        <v>638</v>
      </c>
      <c r="E692" s="99" t="n">
        <v>0</v>
      </c>
      <c r="F692" s="101" t="n">
        <v>0</v>
      </c>
      <c r="G692" s="102" t="n">
        <f aca="false">IFERROR(F692/INDEX($G$5:$G$34,MATCH(LOOKUP(2,1/($A$39:A692&lt;&gt;""),$A$39:A692),$A$5:$A$34,0)),0)</f>
        <v>0</v>
      </c>
      <c r="H692" s="103" t="str">
        <f aca="false">IF(G692=0,"空闲",IF(G692&lt;=0.6,"低负荷",IF(G692&lt;=0.85,"正常",IF(G692&lt;=1,"满负荷","超负荷"))))</f>
        <v>空闲</v>
      </c>
      <c r="I692" s="104" t="s">
        <v>638</v>
      </c>
      <c r="J692" s="104"/>
      <c r="K692" s="104"/>
      <c r="L692" s="105" t="s">
        <v>639</v>
      </c>
    </row>
    <row r="693" customFormat="false" ht="48" hidden="false" customHeight="true" outlineLevel="0" collapsed="false">
      <c r="A693" s="99"/>
      <c r="B693" s="100" t="n">
        <v>46153</v>
      </c>
      <c r="C693" s="100" t="n">
        <v>46159</v>
      </c>
      <c r="D693" s="99" t="s">
        <v>638</v>
      </c>
      <c r="E693" s="99" t="n">
        <v>0</v>
      </c>
      <c r="F693" s="101" t="n">
        <v>0</v>
      </c>
      <c r="G693" s="102" t="n">
        <f aca="false">IFERROR(F693/INDEX($G$5:$G$34,MATCH(LOOKUP(2,1/($A$39:A693&lt;&gt;""),$A$39:A693),$A$5:$A$34,0)),0)</f>
        <v>0</v>
      </c>
      <c r="H693" s="103" t="str">
        <f aca="false">IF(G693=0,"空闲",IF(G693&lt;=0.6,"低负荷",IF(G693&lt;=0.85,"正常",IF(G693&lt;=1,"满负荷","超负荷"))))</f>
        <v>空闲</v>
      </c>
      <c r="I693" s="104" t="s">
        <v>638</v>
      </c>
      <c r="J693" s="104"/>
      <c r="K693" s="104"/>
      <c r="L693" s="105" t="s">
        <v>639</v>
      </c>
    </row>
    <row r="694" customFormat="false" ht="48" hidden="false" customHeight="true" outlineLevel="0" collapsed="false">
      <c r="A694" s="99"/>
      <c r="B694" s="100" t="n">
        <v>46160</v>
      </c>
      <c r="C694" s="100" t="n">
        <v>46166</v>
      </c>
      <c r="D694" s="99" t="s">
        <v>638</v>
      </c>
      <c r="E694" s="99" t="n">
        <v>0</v>
      </c>
      <c r="F694" s="101" t="n">
        <v>0</v>
      </c>
      <c r="G694" s="102" t="n">
        <f aca="false">IFERROR(F694/INDEX($G$5:$G$34,MATCH(LOOKUP(2,1/($A$39:A694&lt;&gt;""),$A$39:A694),$A$5:$A$34,0)),0)</f>
        <v>0</v>
      </c>
      <c r="H694" s="103" t="str">
        <f aca="false">IF(G694=0,"空闲",IF(G694&lt;=0.6,"低负荷",IF(G694&lt;=0.85,"正常",IF(G694&lt;=1,"满负荷","超负荷"))))</f>
        <v>空闲</v>
      </c>
      <c r="I694" s="104" t="s">
        <v>638</v>
      </c>
      <c r="J694" s="104"/>
      <c r="K694" s="104"/>
      <c r="L694" s="105" t="s">
        <v>639</v>
      </c>
    </row>
    <row r="695" customFormat="false" ht="48" hidden="false" customHeight="true" outlineLevel="0" collapsed="false">
      <c r="A695" s="99"/>
      <c r="B695" s="100" t="n">
        <v>46167</v>
      </c>
      <c r="C695" s="100" t="n">
        <v>46173</v>
      </c>
      <c r="D695" s="99" t="s">
        <v>638</v>
      </c>
      <c r="E695" s="99" t="n">
        <v>0</v>
      </c>
      <c r="F695" s="101" t="n">
        <v>0</v>
      </c>
      <c r="G695" s="102" t="n">
        <f aca="false">IFERROR(F695/INDEX($G$5:$G$34,MATCH(LOOKUP(2,1/($A$39:A695&lt;&gt;""),$A$39:A695),$A$5:$A$34,0)),0)</f>
        <v>0</v>
      </c>
      <c r="H695" s="103" t="str">
        <f aca="false">IF(G695=0,"空闲",IF(G695&lt;=0.6,"低负荷",IF(G695&lt;=0.85,"正常",IF(G695&lt;=1,"满负荷","超负荷"))))</f>
        <v>空闲</v>
      </c>
      <c r="I695" s="104" t="s">
        <v>638</v>
      </c>
      <c r="J695" s="104"/>
      <c r="K695" s="104"/>
      <c r="L695" s="105" t="s">
        <v>639</v>
      </c>
    </row>
    <row r="696" customFormat="false" ht="48" hidden="false" customHeight="true" outlineLevel="0" collapsed="false">
      <c r="A696" s="99"/>
      <c r="B696" s="100" t="n">
        <v>46174</v>
      </c>
      <c r="C696" s="100" t="n">
        <v>46180</v>
      </c>
      <c r="D696" s="99" t="s">
        <v>638</v>
      </c>
      <c r="E696" s="99" t="n">
        <v>0</v>
      </c>
      <c r="F696" s="101" t="n">
        <v>0</v>
      </c>
      <c r="G696" s="102" t="n">
        <f aca="false">IFERROR(F696/INDEX($G$5:$G$34,MATCH(LOOKUP(2,1/($A$39:A696&lt;&gt;""),$A$39:A696),$A$5:$A$34,0)),0)</f>
        <v>0</v>
      </c>
      <c r="H696" s="103" t="str">
        <f aca="false">IF(G696=0,"空闲",IF(G696&lt;=0.6,"低负荷",IF(G696&lt;=0.85,"正常",IF(G696&lt;=1,"满负荷","超负荷"))))</f>
        <v>空闲</v>
      </c>
      <c r="I696" s="104" t="s">
        <v>638</v>
      </c>
      <c r="J696" s="104"/>
      <c r="K696" s="104"/>
      <c r="L696" s="105" t="s">
        <v>639</v>
      </c>
    </row>
    <row r="697" customFormat="false" ht="48" hidden="false" customHeight="true" outlineLevel="0" collapsed="false">
      <c r="A697" s="99"/>
      <c r="B697" s="100" t="n">
        <v>46181</v>
      </c>
      <c r="C697" s="100" t="n">
        <v>46187</v>
      </c>
      <c r="D697" s="99" t="s">
        <v>638</v>
      </c>
      <c r="E697" s="99" t="n">
        <v>0</v>
      </c>
      <c r="F697" s="101" t="n">
        <v>0</v>
      </c>
      <c r="G697" s="102" t="n">
        <f aca="false">IFERROR(F697/INDEX($G$5:$G$34,MATCH(LOOKUP(2,1/($A$39:A697&lt;&gt;""),$A$39:A697),$A$5:$A$34,0)),0)</f>
        <v>0</v>
      </c>
      <c r="H697" s="103" t="str">
        <f aca="false">IF(G697=0,"空闲",IF(G697&lt;=0.6,"低负荷",IF(G697&lt;=0.85,"正常",IF(G697&lt;=1,"满负荷","超负荷"))))</f>
        <v>空闲</v>
      </c>
      <c r="I697" s="104" t="s">
        <v>638</v>
      </c>
      <c r="J697" s="104"/>
      <c r="K697" s="104"/>
      <c r="L697" s="105" t="s">
        <v>639</v>
      </c>
    </row>
    <row r="698" customFormat="false" ht="48" hidden="false" customHeight="true" outlineLevel="0" collapsed="false">
      <c r="A698" s="99"/>
      <c r="B698" s="100" t="n">
        <v>46188</v>
      </c>
      <c r="C698" s="100" t="n">
        <v>46194</v>
      </c>
      <c r="D698" s="99" t="s">
        <v>638</v>
      </c>
      <c r="E698" s="99" t="n">
        <v>0</v>
      </c>
      <c r="F698" s="101" t="n">
        <v>0</v>
      </c>
      <c r="G698" s="102" t="n">
        <f aca="false">IFERROR(F698/INDEX($G$5:$G$34,MATCH(LOOKUP(2,1/($A$39:A698&lt;&gt;""),$A$39:A698),$A$5:$A$34,0)),0)</f>
        <v>0</v>
      </c>
      <c r="H698" s="103" t="str">
        <f aca="false">IF(G698=0,"空闲",IF(G698&lt;=0.6,"低负荷",IF(G698&lt;=0.85,"正常",IF(G698&lt;=1,"满负荷","超负荷"))))</f>
        <v>空闲</v>
      </c>
      <c r="I698" s="104" t="s">
        <v>638</v>
      </c>
      <c r="J698" s="104"/>
      <c r="K698" s="104"/>
      <c r="L698" s="105" t="s">
        <v>639</v>
      </c>
    </row>
    <row r="699" customFormat="false" ht="48" hidden="false" customHeight="true" outlineLevel="0" collapsed="false">
      <c r="A699" s="99"/>
      <c r="B699" s="100" t="n">
        <v>46195</v>
      </c>
      <c r="C699" s="100" t="n">
        <v>46201</v>
      </c>
      <c r="D699" s="99" t="s">
        <v>638</v>
      </c>
      <c r="E699" s="99" t="n">
        <v>0</v>
      </c>
      <c r="F699" s="101" t="n">
        <v>0</v>
      </c>
      <c r="G699" s="102" t="n">
        <f aca="false">IFERROR(F699/INDEX($G$5:$G$34,MATCH(LOOKUP(2,1/($A$39:A699&lt;&gt;""),$A$39:A699),$A$5:$A$34,0)),0)</f>
        <v>0</v>
      </c>
      <c r="H699" s="103" t="str">
        <f aca="false">IF(G699=0,"空闲",IF(G699&lt;=0.6,"低负荷",IF(G699&lt;=0.85,"正常",IF(G699&lt;=1,"满负荷","超负荷"))))</f>
        <v>空闲</v>
      </c>
      <c r="I699" s="104" t="s">
        <v>638</v>
      </c>
      <c r="J699" s="104"/>
      <c r="K699" s="104"/>
      <c r="L699" s="105" t="s">
        <v>639</v>
      </c>
    </row>
    <row r="700" customFormat="false" ht="48" hidden="false" customHeight="true" outlineLevel="0" collapsed="false">
      <c r="A700" s="99"/>
      <c r="B700" s="100" t="n">
        <v>46202</v>
      </c>
      <c r="C700" s="100" t="n">
        <v>46208</v>
      </c>
      <c r="D700" s="99" t="s">
        <v>638</v>
      </c>
      <c r="E700" s="99" t="n">
        <v>0</v>
      </c>
      <c r="F700" s="101" t="n">
        <v>0</v>
      </c>
      <c r="G700" s="102" t="n">
        <f aca="false">IFERROR(F700/INDEX($G$5:$G$34,MATCH(LOOKUP(2,1/($A$39:A700&lt;&gt;""),$A$39:A700),$A$5:$A$34,0)),0)</f>
        <v>0</v>
      </c>
      <c r="H700" s="103" t="str">
        <f aca="false">IF(G700=0,"空闲",IF(G700&lt;=0.6,"低负荷",IF(G700&lt;=0.85,"正常",IF(G700&lt;=1,"满负荷","超负荷"))))</f>
        <v>空闲</v>
      </c>
      <c r="I700" s="104" t="s">
        <v>638</v>
      </c>
      <c r="J700" s="104"/>
      <c r="K700" s="104"/>
      <c r="L700" s="105" t="s">
        <v>639</v>
      </c>
    </row>
    <row r="701" customFormat="false" ht="48" hidden="false" customHeight="true" outlineLevel="0" collapsed="false">
      <c r="A701" s="99"/>
      <c r="B701" s="100" t="n">
        <v>46209</v>
      </c>
      <c r="C701" s="100" t="n">
        <v>46215</v>
      </c>
      <c r="D701" s="99" t="s">
        <v>638</v>
      </c>
      <c r="E701" s="99" t="n">
        <v>0</v>
      </c>
      <c r="F701" s="101" t="n">
        <v>0</v>
      </c>
      <c r="G701" s="102" t="n">
        <f aca="false">IFERROR(F701/INDEX($G$5:$G$34,MATCH(LOOKUP(2,1/($A$39:A701&lt;&gt;""),$A$39:A701),$A$5:$A$34,0)),0)</f>
        <v>0</v>
      </c>
      <c r="H701" s="103" t="str">
        <f aca="false">IF(G701=0,"空闲",IF(G701&lt;=0.6,"低负荷",IF(G701&lt;=0.85,"正常",IF(G701&lt;=1,"满负荷","超负荷"))))</f>
        <v>空闲</v>
      </c>
      <c r="I701" s="104" t="s">
        <v>638</v>
      </c>
      <c r="J701" s="104"/>
      <c r="K701" s="104"/>
      <c r="L701" s="105" t="s">
        <v>639</v>
      </c>
    </row>
    <row r="702" customFormat="false" ht="48" hidden="false" customHeight="true" outlineLevel="0" collapsed="false">
      <c r="A702" s="99"/>
      <c r="B702" s="100" t="n">
        <v>46216</v>
      </c>
      <c r="C702" s="100" t="n">
        <v>46222</v>
      </c>
      <c r="D702" s="99" t="s">
        <v>638</v>
      </c>
      <c r="E702" s="99" t="n">
        <v>0</v>
      </c>
      <c r="F702" s="101" t="n">
        <v>0</v>
      </c>
      <c r="G702" s="102" t="n">
        <f aca="false">IFERROR(F702/INDEX($G$5:$G$34,MATCH(LOOKUP(2,1/($A$39:A702&lt;&gt;""),$A$39:A702),$A$5:$A$34,0)),0)</f>
        <v>0</v>
      </c>
      <c r="H702" s="103" t="str">
        <f aca="false">IF(G702=0,"空闲",IF(G702&lt;=0.6,"低负荷",IF(G702&lt;=0.85,"正常",IF(G702&lt;=1,"满负荷","超负荷"))))</f>
        <v>空闲</v>
      </c>
      <c r="I702" s="104" t="s">
        <v>638</v>
      </c>
      <c r="J702" s="104"/>
      <c r="K702" s="104"/>
      <c r="L702" s="105" t="s">
        <v>639</v>
      </c>
    </row>
    <row r="703" customFormat="false" ht="48" hidden="false" customHeight="true" outlineLevel="0" collapsed="false">
      <c r="A703" s="99"/>
      <c r="B703" s="100" t="n">
        <v>46223</v>
      </c>
      <c r="C703" s="100" t="n">
        <v>46229</v>
      </c>
      <c r="D703" s="99" t="s">
        <v>638</v>
      </c>
      <c r="E703" s="99" t="n">
        <v>0</v>
      </c>
      <c r="F703" s="101" t="n">
        <v>0</v>
      </c>
      <c r="G703" s="102" t="n">
        <f aca="false">IFERROR(F703/INDEX($G$5:$G$34,MATCH(LOOKUP(2,1/($A$39:A703&lt;&gt;""),$A$39:A703),$A$5:$A$34,0)),0)</f>
        <v>0</v>
      </c>
      <c r="H703" s="103" t="str">
        <f aca="false">IF(G703=0,"空闲",IF(G703&lt;=0.6,"低负荷",IF(G703&lt;=0.85,"正常",IF(G703&lt;=1,"满负荷","超负荷"))))</f>
        <v>空闲</v>
      </c>
      <c r="I703" s="104" t="s">
        <v>638</v>
      </c>
      <c r="J703" s="104"/>
      <c r="K703" s="104"/>
      <c r="L703" s="105" t="s">
        <v>639</v>
      </c>
    </row>
    <row r="704" customFormat="false" ht="48" hidden="false" customHeight="true" outlineLevel="0" collapsed="false">
      <c r="A704" s="99"/>
      <c r="B704" s="100" t="n">
        <v>46230</v>
      </c>
      <c r="C704" s="100" t="n">
        <v>46236</v>
      </c>
      <c r="D704" s="99" t="s">
        <v>638</v>
      </c>
      <c r="E704" s="99" t="n">
        <v>0</v>
      </c>
      <c r="F704" s="101" t="n">
        <v>0</v>
      </c>
      <c r="G704" s="102" t="n">
        <f aca="false">IFERROR(F704/INDEX($G$5:$G$34,MATCH(LOOKUP(2,1/($A$39:A704&lt;&gt;""),$A$39:A704),$A$5:$A$34,0)),0)</f>
        <v>0</v>
      </c>
      <c r="H704" s="103" t="str">
        <f aca="false">IF(G704=0,"空闲",IF(G704&lt;=0.6,"低负荷",IF(G704&lt;=0.85,"正常",IF(G704&lt;=1,"满负荷","超负荷"))))</f>
        <v>空闲</v>
      </c>
      <c r="I704" s="104" t="s">
        <v>638</v>
      </c>
      <c r="J704" s="104"/>
      <c r="K704" s="104"/>
      <c r="L704" s="105" t="s">
        <v>639</v>
      </c>
    </row>
    <row r="705" customFormat="false" ht="48" hidden="false" customHeight="true" outlineLevel="0" collapsed="false">
      <c r="A705" s="99"/>
      <c r="B705" s="100" t="n">
        <v>46237</v>
      </c>
      <c r="C705" s="100" t="n">
        <v>46243</v>
      </c>
      <c r="D705" s="99" t="s">
        <v>638</v>
      </c>
      <c r="E705" s="99" t="n">
        <v>0</v>
      </c>
      <c r="F705" s="101" t="n">
        <v>0</v>
      </c>
      <c r="G705" s="102" t="n">
        <f aca="false">IFERROR(F705/INDEX($G$5:$G$34,MATCH(LOOKUP(2,1/($A$39:A705&lt;&gt;""),$A$39:A705),$A$5:$A$34,0)),0)</f>
        <v>0</v>
      </c>
      <c r="H705" s="103" t="str">
        <f aca="false">IF(G705=0,"空闲",IF(G705&lt;=0.6,"低负荷",IF(G705&lt;=0.85,"正常",IF(G705&lt;=1,"满负荷","超负荷"))))</f>
        <v>空闲</v>
      </c>
      <c r="I705" s="104" t="s">
        <v>638</v>
      </c>
      <c r="J705" s="104"/>
      <c r="K705" s="104"/>
      <c r="L705" s="105" t="s">
        <v>639</v>
      </c>
    </row>
    <row r="706" customFormat="false" ht="48" hidden="false" customHeight="true" outlineLevel="0" collapsed="false">
      <c r="A706" s="99"/>
      <c r="B706" s="100" t="n">
        <v>46244</v>
      </c>
      <c r="C706" s="100" t="n">
        <v>46250</v>
      </c>
      <c r="D706" s="99" t="s">
        <v>638</v>
      </c>
      <c r="E706" s="99" t="n">
        <v>0</v>
      </c>
      <c r="F706" s="101" t="n">
        <v>0</v>
      </c>
      <c r="G706" s="102" t="n">
        <f aca="false">IFERROR(F706/INDEX($G$5:$G$34,MATCH(LOOKUP(2,1/($A$39:A706&lt;&gt;""),$A$39:A706),$A$5:$A$34,0)),0)</f>
        <v>0</v>
      </c>
      <c r="H706" s="103" t="str">
        <f aca="false">IF(G706=0,"空闲",IF(G706&lt;=0.6,"低负荷",IF(G706&lt;=0.85,"正常",IF(G706&lt;=1,"满负荷","超负荷"))))</f>
        <v>空闲</v>
      </c>
      <c r="I706" s="104" t="s">
        <v>638</v>
      </c>
      <c r="J706" s="104"/>
      <c r="K706" s="104"/>
      <c r="L706" s="105" t="s">
        <v>639</v>
      </c>
    </row>
    <row r="707" customFormat="false" ht="48" hidden="false" customHeight="true" outlineLevel="0" collapsed="false">
      <c r="A707" s="99"/>
      <c r="B707" s="100" t="n">
        <v>46251</v>
      </c>
      <c r="C707" s="100" t="n">
        <v>46257</v>
      </c>
      <c r="D707" s="99" t="s">
        <v>640</v>
      </c>
      <c r="E707" s="99" t="n">
        <v>1</v>
      </c>
      <c r="F707" s="101" t="n">
        <v>40</v>
      </c>
      <c r="G707" s="102" t="n">
        <f aca="false">IFERROR(F707/INDEX($G$5:$G$34,MATCH(LOOKUP(2,1/($A$39:A707&lt;&gt;""),$A$39:A707),$A$5:$A$34,0)),0)</f>
        <v>1</v>
      </c>
      <c r="H707" s="103" t="str">
        <f aca="false">IF(G707=0,"空闲",IF(G707&lt;=0.6,"低负荷",IF(G707&lt;=0.85,"正常",IF(G707&lt;=1,"满负荷","超负荷"))))</f>
        <v>满负荷</v>
      </c>
      <c r="I707" s="106" t="s">
        <v>723</v>
      </c>
      <c r="J707" s="106"/>
      <c r="K707" s="106"/>
      <c r="L707" s="105" t="s">
        <v>642</v>
      </c>
    </row>
    <row r="708" customFormat="false" ht="48" hidden="false" customHeight="true" outlineLevel="0" collapsed="false">
      <c r="A708" s="99"/>
      <c r="B708" s="100" t="n">
        <v>46258</v>
      </c>
      <c r="C708" s="100" t="n">
        <v>46264</v>
      </c>
      <c r="D708" s="99" t="s">
        <v>640</v>
      </c>
      <c r="E708" s="99" t="n">
        <v>1</v>
      </c>
      <c r="F708" s="101" t="n">
        <v>40</v>
      </c>
      <c r="G708" s="102" t="n">
        <f aca="false">IFERROR(F708/INDEX($G$5:$G$34,MATCH(LOOKUP(2,1/($A$39:A708&lt;&gt;""),$A$39:A708),$A$5:$A$34,0)),0)</f>
        <v>1</v>
      </c>
      <c r="H708" s="103" t="str">
        <f aca="false">IF(G708=0,"空闲",IF(G708&lt;=0.6,"低负荷",IF(G708&lt;=0.85,"正常",IF(G708&lt;=1,"满负荷","超负荷"))))</f>
        <v>满负荷</v>
      </c>
      <c r="I708" s="106" t="s">
        <v>723</v>
      </c>
      <c r="J708" s="106"/>
      <c r="K708" s="106"/>
      <c r="L708" s="105" t="s">
        <v>642</v>
      </c>
    </row>
    <row r="709" customFormat="false" ht="48" hidden="false" customHeight="true" outlineLevel="0" collapsed="false">
      <c r="A709" s="99"/>
      <c r="B709" s="100" t="n">
        <v>46265</v>
      </c>
      <c r="C709" s="100" t="n">
        <v>46271</v>
      </c>
      <c r="D709" s="99" t="s">
        <v>638</v>
      </c>
      <c r="E709" s="99" t="n">
        <v>0</v>
      </c>
      <c r="F709" s="101" t="n">
        <v>0</v>
      </c>
      <c r="G709" s="102" t="n">
        <f aca="false">IFERROR(F709/INDEX($G$5:$G$34,MATCH(LOOKUP(2,1/($A$39:A709&lt;&gt;""),$A$39:A709),$A$5:$A$34,0)),0)</f>
        <v>0</v>
      </c>
      <c r="H709" s="103" t="str">
        <f aca="false">IF(G709=0,"空闲",IF(G709&lt;=0.6,"低负荷",IF(G709&lt;=0.85,"正常",IF(G709&lt;=1,"满负荷","超负荷"))))</f>
        <v>空闲</v>
      </c>
      <c r="I709" s="104" t="s">
        <v>638</v>
      </c>
      <c r="J709" s="104"/>
      <c r="K709" s="104"/>
      <c r="L709" s="105" t="s">
        <v>639</v>
      </c>
    </row>
    <row r="710" customFormat="false" ht="48" hidden="false" customHeight="true" outlineLevel="0" collapsed="false">
      <c r="A710" s="99"/>
      <c r="B710" s="100" t="n">
        <v>46272</v>
      </c>
      <c r="C710" s="100" t="n">
        <v>46278</v>
      </c>
      <c r="D710" s="99" t="s">
        <v>638</v>
      </c>
      <c r="E710" s="99" t="n">
        <v>0</v>
      </c>
      <c r="F710" s="101" t="n">
        <v>0</v>
      </c>
      <c r="G710" s="102" t="n">
        <f aca="false">IFERROR(F710/INDEX($G$5:$G$34,MATCH(LOOKUP(2,1/($A$39:A710&lt;&gt;""),$A$39:A710),$A$5:$A$34,0)),0)</f>
        <v>0</v>
      </c>
      <c r="H710" s="103" t="str">
        <f aca="false">IF(G710=0,"空闲",IF(G710&lt;=0.6,"低负荷",IF(G710&lt;=0.85,"正常",IF(G710&lt;=1,"满负荷","超负荷"))))</f>
        <v>空闲</v>
      </c>
      <c r="I710" s="104" t="s">
        <v>638</v>
      </c>
      <c r="J710" s="104"/>
      <c r="K710" s="104"/>
      <c r="L710" s="105" t="s">
        <v>639</v>
      </c>
    </row>
    <row r="711" customFormat="false" ht="48" hidden="false" customHeight="true" outlineLevel="0" collapsed="false">
      <c r="A711" s="99"/>
      <c r="B711" s="100" t="n">
        <v>46279</v>
      </c>
      <c r="C711" s="100" t="n">
        <v>46285</v>
      </c>
      <c r="D711" s="99" t="s">
        <v>638</v>
      </c>
      <c r="E711" s="99" t="n">
        <v>0</v>
      </c>
      <c r="F711" s="101" t="n">
        <v>0</v>
      </c>
      <c r="G711" s="102" t="n">
        <f aca="false">IFERROR(F711/INDEX($G$5:$G$34,MATCH(LOOKUP(2,1/($A$39:A711&lt;&gt;""),$A$39:A711),$A$5:$A$34,0)),0)</f>
        <v>0</v>
      </c>
      <c r="H711" s="103" t="str">
        <f aca="false">IF(G711=0,"空闲",IF(G711&lt;=0.6,"低负荷",IF(G711&lt;=0.85,"正常",IF(G711&lt;=1,"满负荷","超负荷"))))</f>
        <v>空闲</v>
      </c>
      <c r="I711" s="104" t="s">
        <v>638</v>
      </c>
      <c r="J711" s="104"/>
      <c r="K711" s="104"/>
      <c r="L711" s="105" t="s">
        <v>639</v>
      </c>
    </row>
    <row r="712" customFormat="false" ht="48" hidden="false" customHeight="true" outlineLevel="0" collapsed="false">
      <c r="A712" s="99"/>
      <c r="B712" s="100" t="n">
        <v>46286</v>
      </c>
      <c r="C712" s="100" t="n">
        <v>46292</v>
      </c>
      <c r="D712" s="99" t="s">
        <v>638</v>
      </c>
      <c r="E712" s="99" t="n">
        <v>0</v>
      </c>
      <c r="F712" s="101" t="n">
        <v>0</v>
      </c>
      <c r="G712" s="102" t="n">
        <f aca="false">IFERROR(F712/INDEX($G$5:$G$34,MATCH(LOOKUP(2,1/($A$39:A712&lt;&gt;""),$A$39:A712),$A$5:$A$34,0)),0)</f>
        <v>0</v>
      </c>
      <c r="H712" s="103" t="str">
        <f aca="false">IF(G712=0,"空闲",IF(G712&lt;=0.6,"低负荷",IF(G712&lt;=0.85,"正常",IF(G712&lt;=1,"满负荷","超负荷"))))</f>
        <v>空闲</v>
      </c>
      <c r="I712" s="104" t="s">
        <v>638</v>
      </c>
      <c r="J712" s="104"/>
      <c r="K712" s="104"/>
      <c r="L712" s="105" t="s">
        <v>639</v>
      </c>
    </row>
    <row r="713" customFormat="false" ht="48" hidden="false" customHeight="true" outlineLevel="0" collapsed="false">
      <c r="A713" s="99"/>
      <c r="B713" s="100" t="n">
        <v>46293</v>
      </c>
      <c r="C713" s="100" t="n">
        <v>46299</v>
      </c>
      <c r="D713" s="99" t="s">
        <v>638</v>
      </c>
      <c r="E713" s="99" t="n">
        <v>0</v>
      </c>
      <c r="F713" s="101" t="n">
        <v>0</v>
      </c>
      <c r="G713" s="102" t="n">
        <f aca="false">IFERROR(F713/INDEX($G$5:$G$34,MATCH(LOOKUP(2,1/($A$39:A713&lt;&gt;""),$A$39:A713),$A$5:$A$34,0)),0)</f>
        <v>0</v>
      </c>
      <c r="H713" s="103" t="str">
        <f aca="false">IF(G713=0,"空闲",IF(G713&lt;=0.6,"低负荷",IF(G713&lt;=0.85,"正常",IF(G713&lt;=1,"满负荷","超负荷"))))</f>
        <v>空闲</v>
      </c>
      <c r="I713" s="104" t="s">
        <v>638</v>
      </c>
      <c r="J713" s="104"/>
      <c r="K713" s="104"/>
      <c r="L713" s="105" t="s">
        <v>639</v>
      </c>
    </row>
    <row r="714" customFormat="false" ht="48" hidden="false" customHeight="true" outlineLevel="0" collapsed="false">
      <c r="A714" s="99"/>
      <c r="B714" s="100" t="n">
        <v>46300</v>
      </c>
      <c r="C714" s="100" t="n">
        <v>46306</v>
      </c>
      <c r="D714" s="99" t="s">
        <v>638</v>
      </c>
      <c r="E714" s="99" t="n">
        <v>0</v>
      </c>
      <c r="F714" s="101" t="n">
        <v>0</v>
      </c>
      <c r="G714" s="102" t="n">
        <f aca="false">IFERROR(F714/INDEX($G$5:$G$34,MATCH(LOOKUP(2,1/($A$39:A714&lt;&gt;""),$A$39:A714),$A$5:$A$34,0)),0)</f>
        <v>0</v>
      </c>
      <c r="H714" s="103" t="str">
        <f aca="false">IF(G714=0,"空闲",IF(G714&lt;=0.6,"低负荷",IF(G714&lt;=0.85,"正常",IF(G714&lt;=1,"满负荷","超负荷"))))</f>
        <v>空闲</v>
      </c>
      <c r="I714" s="104" t="s">
        <v>638</v>
      </c>
      <c r="J714" s="104"/>
      <c r="K714" s="104"/>
      <c r="L714" s="105" t="s">
        <v>639</v>
      </c>
    </row>
    <row r="715" customFormat="false" ht="48" hidden="false" customHeight="true" outlineLevel="0" collapsed="false">
      <c r="A715" s="99"/>
      <c r="B715" s="100" t="n">
        <v>46307</v>
      </c>
      <c r="C715" s="100" t="n">
        <v>46313</v>
      </c>
      <c r="D715" s="99" t="s">
        <v>638</v>
      </c>
      <c r="E715" s="99" t="n">
        <v>0</v>
      </c>
      <c r="F715" s="101" t="n">
        <v>0</v>
      </c>
      <c r="G715" s="102" t="n">
        <f aca="false">IFERROR(F715/INDEX($G$5:$G$34,MATCH(LOOKUP(2,1/($A$39:A715&lt;&gt;""),$A$39:A715),$A$5:$A$34,0)),0)</f>
        <v>0</v>
      </c>
      <c r="H715" s="103" t="str">
        <f aca="false">IF(G715=0,"空闲",IF(G715&lt;=0.6,"低负荷",IF(G715&lt;=0.85,"正常",IF(G715&lt;=1,"满负荷","超负荷"))))</f>
        <v>空闲</v>
      </c>
      <c r="I715" s="104" t="s">
        <v>638</v>
      </c>
      <c r="J715" s="104"/>
      <c r="K715" s="104"/>
      <c r="L715" s="105" t="s">
        <v>639</v>
      </c>
    </row>
    <row r="716" customFormat="false" ht="48" hidden="false" customHeight="true" outlineLevel="0" collapsed="false">
      <c r="A716" s="99"/>
      <c r="B716" s="100" t="n">
        <v>46314</v>
      </c>
      <c r="C716" s="100" t="n">
        <v>46320</v>
      </c>
      <c r="D716" s="99" t="s">
        <v>638</v>
      </c>
      <c r="E716" s="99" t="n">
        <v>0</v>
      </c>
      <c r="F716" s="101" t="n">
        <v>0</v>
      </c>
      <c r="G716" s="102" t="n">
        <f aca="false">IFERROR(F716/INDEX($G$5:$G$34,MATCH(LOOKUP(2,1/($A$39:A716&lt;&gt;""),$A$39:A716),$A$5:$A$34,0)),0)</f>
        <v>0</v>
      </c>
      <c r="H716" s="103" t="str">
        <f aca="false">IF(G716=0,"空闲",IF(G716&lt;=0.6,"低负荷",IF(G716&lt;=0.85,"正常",IF(G716&lt;=1,"满负荷","超负荷"))))</f>
        <v>空闲</v>
      </c>
      <c r="I716" s="104" t="s">
        <v>638</v>
      </c>
      <c r="J716" s="104"/>
      <c r="K716" s="104"/>
      <c r="L716" s="105" t="s">
        <v>639</v>
      </c>
    </row>
    <row r="717" customFormat="false" ht="48" hidden="false" customHeight="true" outlineLevel="0" collapsed="false">
      <c r="A717" s="99"/>
      <c r="B717" s="100" t="n">
        <v>46321</v>
      </c>
      <c r="C717" s="100" t="n">
        <v>46327</v>
      </c>
      <c r="D717" s="99" t="s">
        <v>638</v>
      </c>
      <c r="E717" s="99" t="n">
        <v>0</v>
      </c>
      <c r="F717" s="101" t="n">
        <v>0</v>
      </c>
      <c r="G717" s="102" t="n">
        <f aca="false">IFERROR(F717/INDEX($G$5:$G$34,MATCH(LOOKUP(2,1/($A$39:A717&lt;&gt;""),$A$39:A717),$A$5:$A$34,0)),0)</f>
        <v>0</v>
      </c>
      <c r="H717" s="103" t="str">
        <f aca="false">IF(G717=0,"空闲",IF(G717&lt;=0.6,"低负荷",IF(G717&lt;=0.85,"正常",IF(G717&lt;=1,"满负荷","超负荷"))))</f>
        <v>空闲</v>
      </c>
      <c r="I717" s="104" t="s">
        <v>638</v>
      </c>
      <c r="J717" s="104"/>
      <c r="K717" s="104"/>
      <c r="L717" s="105" t="s">
        <v>639</v>
      </c>
    </row>
    <row r="718" customFormat="false" ht="48" hidden="false" customHeight="true" outlineLevel="0" collapsed="false">
      <c r="A718" s="99"/>
      <c r="B718" s="100" t="n">
        <v>46328</v>
      </c>
      <c r="C718" s="100" t="n">
        <v>46334</v>
      </c>
      <c r="D718" s="99" t="s">
        <v>638</v>
      </c>
      <c r="E718" s="99" t="n">
        <v>0</v>
      </c>
      <c r="F718" s="101" t="n">
        <v>0</v>
      </c>
      <c r="G718" s="102" t="n">
        <f aca="false">IFERROR(F718/INDEX($G$5:$G$34,MATCH(LOOKUP(2,1/($A$39:A718&lt;&gt;""),$A$39:A718),$A$5:$A$34,0)),0)</f>
        <v>0</v>
      </c>
      <c r="H718" s="103" t="str">
        <f aca="false">IF(G718=0,"空闲",IF(G718&lt;=0.6,"低负荷",IF(G718&lt;=0.85,"正常",IF(G718&lt;=1,"满负荷","超负荷"))))</f>
        <v>空闲</v>
      </c>
      <c r="I718" s="104" t="s">
        <v>638</v>
      </c>
      <c r="J718" s="104"/>
      <c r="K718" s="104"/>
      <c r="L718" s="105" t="s">
        <v>639</v>
      </c>
    </row>
    <row r="719" customFormat="false" ht="48" hidden="false" customHeight="true" outlineLevel="0" collapsed="false">
      <c r="A719" s="99"/>
      <c r="B719" s="100" t="n">
        <v>46335</v>
      </c>
      <c r="C719" s="100" t="n">
        <v>46341</v>
      </c>
      <c r="D719" s="99" t="s">
        <v>638</v>
      </c>
      <c r="E719" s="99" t="n">
        <v>0</v>
      </c>
      <c r="F719" s="101" t="n">
        <v>0</v>
      </c>
      <c r="G719" s="102" t="n">
        <f aca="false">IFERROR(F719/INDEX($G$5:$G$34,MATCH(LOOKUP(2,1/($A$39:A719&lt;&gt;""),$A$39:A719),$A$5:$A$34,0)),0)</f>
        <v>0</v>
      </c>
      <c r="H719" s="103" t="str">
        <f aca="false">IF(G719=0,"空闲",IF(G719&lt;=0.6,"低负荷",IF(G719&lt;=0.85,"正常",IF(G719&lt;=1,"满负荷","超负荷"))))</f>
        <v>空闲</v>
      </c>
      <c r="I719" s="104" t="s">
        <v>638</v>
      </c>
      <c r="J719" s="104"/>
      <c r="K719" s="104"/>
      <c r="L719" s="105" t="s">
        <v>639</v>
      </c>
    </row>
    <row r="720" customFormat="false" ht="48" hidden="false" customHeight="true" outlineLevel="0" collapsed="false">
      <c r="A720" s="99"/>
      <c r="B720" s="100" t="n">
        <v>46342</v>
      </c>
      <c r="C720" s="100" t="n">
        <v>46348</v>
      </c>
      <c r="D720" s="99" t="s">
        <v>638</v>
      </c>
      <c r="E720" s="99" t="n">
        <v>0</v>
      </c>
      <c r="F720" s="101" t="n">
        <v>0</v>
      </c>
      <c r="G720" s="102" t="n">
        <f aca="false">IFERROR(F720/INDEX($G$5:$G$34,MATCH(LOOKUP(2,1/($A$39:A720&lt;&gt;""),$A$39:A720),$A$5:$A$34,0)),0)</f>
        <v>0</v>
      </c>
      <c r="H720" s="103" t="str">
        <f aca="false">IF(G720=0,"空闲",IF(G720&lt;=0.6,"低负荷",IF(G720&lt;=0.85,"正常",IF(G720&lt;=1,"满负荷","超负荷"))))</f>
        <v>空闲</v>
      </c>
      <c r="I720" s="104" t="s">
        <v>638</v>
      </c>
      <c r="J720" s="104"/>
      <c r="K720" s="104"/>
      <c r="L720" s="105" t="s">
        <v>639</v>
      </c>
    </row>
    <row r="721" customFormat="false" ht="48" hidden="false" customHeight="true" outlineLevel="0" collapsed="false">
      <c r="A721" s="99"/>
      <c r="B721" s="100" t="n">
        <v>46349</v>
      </c>
      <c r="C721" s="100" t="n">
        <v>46355</v>
      </c>
      <c r="D721" s="99" t="s">
        <v>640</v>
      </c>
      <c r="E721" s="99" t="n">
        <v>1</v>
      </c>
      <c r="F721" s="101" t="n">
        <v>40</v>
      </c>
      <c r="G721" s="102" t="n">
        <f aca="false">IFERROR(F721/INDEX($G$5:$G$34,MATCH(LOOKUP(2,1/($A$39:A721&lt;&gt;""),$A$39:A721),$A$5:$A$34,0)),0)</f>
        <v>1</v>
      </c>
      <c r="H721" s="103" t="str">
        <f aca="false">IF(G721=0,"空闲",IF(G721&lt;=0.6,"低负荷",IF(G721&lt;=0.85,"正常",IF(G721&lt;=1,"满负荷","超负荷"))))</f>
        <v>满负荷</v>
      </c>
      <c r="I721" s="106" t="s">
        <v>712</v>
      </c>
      <c r="J721" s="106"/>
      <c r="K721" s="106"/>
      <c r="L721" s="105" t="s">
        <v>642</v>
      </c>
    </row>
    <row r="722" customFormat="false" ht="48" hidden="false" customHeight="true" outlineLevel="0" collapsed="false">
      <c r="A722" s="99"/>
      <c r="B722" s="100" t="n">
        <v>46356</v>
      </c>
      <c r="C722" s="100" t="n">
        <v>46362</v>
      </c>
      <c r="D722" s="99" t="s">
        <v>640</v>
      </c>
      <c r="E722" s="99" t="n">
        <v>2</v>
      </c>
      <c r="F722" s="101" t="n">
        <v>40</v>
      </c>
      <c r="G722" s="102" t="n">
        <f aca="false">IFERROR(F722/INDEX($G$5:$G$34,MATCH(LOOKUP(2,1/($A$39:A722&lt;&gt;""),$A$39:A722),$A$5:$A$34,0)),0)</f>
        <v>1</v>
      </c>
      <c r="H722" s="103" t="str">
        <f aca="false">IF(G722=0,"空闲",IF(G722&lt;=0.6,"低负荷",IF(G722&lt;=0.85,"正常",IF(G722&lt;=1,"满负荷","超负荷"))))</f>
        <v>满负荷</v>
      </c>
      <c r="I722" s="106" t="s">
        <v>724</v>
      </c>
      <c r="J722" s="106"/>
      <c r="K722" s="106"/>
      <c r="L722" s="105" t="s">
        <v>652</v>
      </c>
    </row>
    <row r="723" customFormat="false" ht="48" hidden="false" customHeight="true" outlineLevel="0" collapsed="false">
      <c r="A723" s="99"/>
      <c r="B723" s="100" t="n">
        <v>46363</v>
      </c>
      <c r="C723" s="100" t="n">
        <v>46369</v>
      </c>
      <c r="D723" s="99" t="s">
        <v>640</v>
      </c>
      <c r="E723" s="99" t="n">
        <v>4</v>
      </c>
      <c r="F723" s="101" t="n">
        <v>40</v>
      </c>
      <c r="G723" s="102" t="n">
        <f aca="false">IFERROR(F723/INDEX($G$5:$G$34,MATCH(LOOKUP(2,1/($A$39:A723&lt;&gt;""),$A$39:A723),$A$5:$A$34,0)),0)</f>
        <v>1</v>
      </c>
      <c r="H723" s="103" t="str">
        <f aca="false">IF(G723=0,"空闲",IF(G723&lt;=0.6,"低负荷",IF(G723&lt;=0.85,"正常",IF(G723&lt;=1,"满负荷","超负荷"))))</f>
        <v>满负荷</v>
      </c>
      <c r="I723" s="106" t="s">
        <v>725</v>
      </c>
      <c r="J723" s="106"/>
      <c r="K723" s="106"/>
      <c r="L723" s="105" t="s">
        <v>715</v>
      </c>
    </row>
    <row r="724" customFormat="false" ht="48" hidden="false" customHeight="true" outlineLevel="0" collapsed="false">
      <c r="A724" s="99"/>
      <c r="B724" s="100" t="n">
        <v>46370</v>
      </c>
      <c r="C724" s="100" t="n">
        <v>46376</v>
      </c>
      <c r="D724" s="99" t="s">
        <v>640</v>
      </c>
      <c r="E724" s="99" t="n">
        <v>4</v>
      </c>
      <c r="F724" s="101" t="n">
        <v>40</v>
      </c>
      <c r="G724" s="102" t="n">
        <f aca="false">IFERROR(F724/INDEX($G$5:$G$34,MATCH(LOOKUP(2,1/($A$39:A724&lt;&gt;""),$A$39:A724),$A$5:$A$34,0)),0)</f>
        <v>1</v>
      </c>
      <c r="H724" s="103" t="str">
        <f aca="false">IF(G724=0,"空闲",IF(G724&lt;=0.6,"低负荷",IF(G724&lt;=0.85,"正常",IF(G724&lt;=1,"满负荷","超负荷"))))</f>
        <v>满负荷</v>
      </c>
      <c r="I724" s="106" t="s">
        <v>714</v>
      </c>
      <c r="J724" s="106"/>
      <c r="K724" s="106"/>
      <c r="L724" s="105" t="s">
        <v>715</v>
      </c>
    </row>
    <row r="725" customFormat="false" ht="48" hidden="false" customHeight="true" outlineLevel="0" collapsed="false">
      <c r="A725" s="99"/>
      <c r="B725" s="100" t="n">
        <v>46377</v>
      </c>
      <c r="C725" s="100" t="n">
        <v>46383</v>
      </c>
      <c r="D725" s="99" t="s">
        <v>640</v>
      </c>
      <c r="E725" s="99" t="n">
        <v>4</v>
      </c>
      <c r="F725" s="101" t="n">
        <v>40</v>
      </c>
      <c r="G725" s="102" t="n">
        <f aca="false">IFERROR(F725/INDEX($G$5:$G$34,MATCH(LOOKUP(2,1/($A$39:A725&lt;&gt;""),$A$39:A725),$A$5:$A$34,0)),0)</f>
        <v>1</v>
      </c>
      <c r="H725" s="103" t="str">
        <f aca="false">IF(G725=0,"空闲",IF(G725&lt;=0.6,"低负荷",IF(G725&lt;=0.85,"正常",IF(G725&lt;=1,"满负荷","超负荷"))))</f>
        <v>满负荷</v>
      </c>
      <c r="I725" s="106" t="s">
        <v>714</v>
      </c>
      <c r="J725" s="106"/>
      <c r="K725" s="106"/>
      <c r="L725" s="105" t="s">
        <v>715</v>
      </c>
    </row>
    <row r="726" customFormat="false" ht="48" hidden="false" customHeight="true" outlineLevel="0" collapsed="false">
      <c r="A726" s="99"/>
      <c r="B726" s="100" t="n">
        <v>46384</v>
      </c>
      <c r="C726" s="100" t="n">
        <v>46390</v>
      </c>
      <c r="D726" s="99" t="s">
        <v>640</v>
      </c>
      <c r="E726" s="99" t="n">
        <v>4</v>
      </c>
      <c r="F726" s="101" t="n">
        <v>40</v>
      </c>
      <c r="G726" s="102" t="n">
        <f aca="false">IFERROR(F726/INDEX($G$5:$G$34,MATCH(LOOKUP(2,1/($A$39:A726&lt;&gt;""),$A$39:A726),$A$5:$A$34,0)),0)</f>
        <v>1</v>
      </c>
      <c r="H726" s="103" t="str">
        <f aca="false">IF(G726=0,"空闲",IF(G726&lt;=0.6,"低负荷",IF(G726&lt;=0.85,"正常",IF(G726&lt;=1,"满负荷","超负荷"))))</f>
        <v>满负荷</v>
      </c>
      <c r="I726" s="106" t="s">
        <v>714</v>
      </c>
      <c r="J726" s="106"/>
      <c r="K726" s="106"/>
      <c r="L726" s="105" t="s">
        <v>715</v>
      </c>
    </row>
    <row r="727" customFormat="false" ht="48" hidden="false" customHeight="true" outlineLevel="0" collapsed="false">
      <c r="A727" s="99"/>
      <c r="B727" s="100" t="n">
        <v>46391</v>
      </c>
      <c r="C727" s="100" t="n">
        <v>46397</v>
      </c>
      <c r="D727" s="99" t="s">
        <v>640</v>
      </c>
      <c r="E727" s="99" t="n">
        <v>4</v>
      </c>
      <c r="F727" s="101" t="n">
        <v>40</v>
      </c>
      <c r="G727" s="102" t="n">
        <f aca="false">IFERROR(F727/INDEX($G$5:$G$34,MATCH(LOOKUP(2,1/($A$39:A727&lt;&gt;""),$A$39:A727),$A$5:$A$34,0)),0)</f>
        <v>1</v>
      </c>
      <c r="H727" s="103" t="str">
        <f aca="false">IF(G727=0,"空闲",IF(G727&lt;=0.6,"低负荷",IF(G727&lt;=0.85,"正常",IF(G727&lt;=1,"满负荷","超负荷"))))</f>
        <v>满负荷</v>
      </c>
      <c r="I727" s="106" t="s">
        <v>714</v>
      </c>
      <c r="J727" s="106"/>
      <c r="K727" s="106"/>
      <c r="L727" s="105" t="s">
        <v>715</v>
      </c>
    </row>
    <row r="728" customFormat="false" ht="48" hidden="false" customHeight="true" outlineLevel="0" collapsed="false">
      <c r="A728" s="99"/>
      <c r="B728" s="100" t="n">
        <v>46398</v>
      </c>
      <c r="C728" s="100" t="n">
        <v>46404</v>
      </c>
      <c r="D728" s="99" t="s">
        <v>640</v>
      </c>
      <c r="E728" s="99" t="n">
        <v>5</v>
      </c>
      <c r="F728" s="101" t="n">
        <v>40</v>
      </c>
      <c r="G728" s="102" t="n">
        <f aca="false">IFERROR(F728/INDEX($G$5:$G$34,MATCH(LOOKUP(2,1/($A$39:A728&lt;&gt;""),$A$39:A728),$A$5:$A$34,0)),0)</f>
        <v>1</v>
      </c>
      <c r="H728" s="103" t="str">
        <f aca="false">IF(G728=0,"空闲",IF(G728&lt;=0.6,"低负荷",IF(G728&lt;=0.85,"正常",IF(G728&lt;=1,"满负荷","超负荷"))))</f>
        <v>满负荷</v>
      </c>
      <c r="I728" s="106" t="s">
        <v>726</v>
      </c>
      <c r="J728" s="106"/>
      <c r="K728" s="106"/>
      <c r="L728" s="105" t="s">
        <v>717</v>
      </c>
    </row>
    <row r="729" customFormat="false" ht="48" hidden="false" customHeight="true" outlineLevel="0" collapsed="false">
      <c r="A729" s="99"/>
      <c r="B729" s="100" t="n">
        <v>46405</v>
      </c>
      <c r="C729" s="100" t="n">
        <v>46411</v>
      </c>
      <c r="D729" s="99" t="s">
        <v>640</v>
      </c>
      <c r="E729" s="99" t="n">
        <v>5</v>
      </c>
      <c r="F729" s="101" t="n">
        <v>40</v>
      </c>
      <c r="G729" s="102" t="n">
        <f aca="false">IFERROR(F729/INDEX($G$5:$G$34,MATCH(LOOKUP(2,1/($A$39:A729&lt;&gt;""),$A$39:A729),$A$5:$A$34,0)),0)</f>
        <v>1</v>
      </c>
      <c r="H729" s="103" t="str">
        <f aca="false">IF(G729=0,"空闲",IF(G729&lt;=0.6,"低负荷",IF(G729&lt;=0.85,"正常",IF(G729&lt;=1,"满负荷","超负荷"))))</f>
        <v>满负荷</v>
      </c>
      <c r="I729" s="106" t="s">
        <v>726</v>
      </c>
      <c r="J729" s="106"/>
      <c r="K729" s="106"/>
      <c r="L729" s="105" t="s">
        <v>717</v>
      </c>
    </row>
    <row r="730" customFormat="false" ht="48" hidden="false" customHeight="true" outlineLevel="0" collapsed="false">
      <c r="A730" s="99"/>
      <c r="B730" s="100" t="n">
        <v>46412</v>
      </c>
      <c r="C730" s="100" t="n">
        <v>46418</v>
      </c>
      <c r="D730" s="99" t="s">
        <v>640</v>
      </c>
      <c r="E730" s="99" t="n">
        <v>5</v>
      </c>
      <c r="F730" s="101" t="n">
        <v>40</v>
      </c>
      <c r="G730" s="102" t="n">
        <f aca="false">IFERROR(F730/INDEX($G$5:$G$34,MATCH(LOOKUP(2,1/($A$39:A730&lt;&gt;""),$A$39:A730),$A$5:$A$34,0)),0)</f>
        <v>1</v>
      </c>
      <c r="H730" s="103" t="str">
        <f aca="false">IF(G730=0,"空闲",IF(G730&lt;=0.6,"低负荷",IF(G730&lt;=0.85,"正常",IF(G730&lt;=1,"满负荷","超负荷"))))</f>
        <v>满负荷</v>
      </c>
      <c r="I730" s="106" t="s">
        <v>726</v>
      </c>
      <c r="J730" s="106"/>
      <c r="K730" s="106"/>
      <c r="L730" s="105" t="s">
        <v>717</v>
      </c>
    </row>
    <row r="731" customFormat="false" ht="48" hidden="false" customHeight="true" outlineLevel="0" collapsed="false">
      <c r="A731" s="99"/>
      <c r="B731" s="100" t="n">
        <v>46419</v>
      </c>
      <c r="C731" s="100" t="n">
        <v>46425</v>
      </c>
      <c r="D731" s="99" t="s">
        <v>640</v>
      </c>
      <c r="E731" s="99" t="n">
        <v>4</v>
      </c>
      <c r="F731" s="101" t="n">
        <v>40</v>
      </c>
      <c r="G731" s="102" t="n">
        <f aca="false">IFERROR(F731/INDEX($G$5:$G$34,MATCH(LOOKUP(2,1/($A$39:A731&lt;&gt;""),$A$39:A731),$A$5:$A$34,0)),0)</f>
        <v>1</v>
      </c>
      <c r="H731" s="103" t="str">
        <f aca="false">IF(G731=0,"空闲",IF(G731&lt;=0.6,"低负荷",IF(G731&lt;=0.85,"正常",IF(G731&lt;=1,"满负荷","超负荷"))))</f>
        <v>满负荷</v>
      </c>
      <c r="I731" s="106" t="s">
        <v>714</v>
      </c>
      <c r="J731" s="106"/>
      <c r="K731" s="106"/>
      <c r="L731" s="105" t="s">
        <v>715</v>
      </c>
    </row>
    <row r="732" customFormat="false" ht="48" hidden="false" customHeight="true" outlineLevel="0" collapsed="false">
      <c r="A732" s="99"/>
      <c r="B732" s="100" t="n">
        <v>46426</v>
      </c>
      <c r="C732" s="100" t="n">
        <v>46432</v>
      </c>
      <c r="D732" s="99" t="s">
        <v>640</v>
      </c>
      <c r="E732" s="99" t="n">
        <v>4</v>
      </c>
      <c r="F732" s="101" t="n">
        <v>40</v>
      </c>
      <c r="G732" s="102" t="n">
        <f aca="false">IFERROR(F732/INDEX($G$5:$G$34,MATCH(LOOKUP(2,1/($A$39:A732&lt;&gt;""),$A$39:A732),$A$5:$A$34,0)),0)</f>
        <v>1</v>
      </c>
      <c r="H732" s="103" t="str">
        <f aca="false">IF(G732=0,"空闲",IF(G732&lt;=0.6,"低负荷",IF(G732&lt;=0.85,"正常",IF(G732&lt;=1,"满负荷","超负荷"))))</f>
        <v>满负荷</v>
      </c>
      <c r="I732" s="106" t="s">
        <v>714</v>
      </c>
      <c r="J732" s="106"/>
      <c r="K732" s="106"/>
      <c r="L732" s="105" t="s">
        <v>715</v>
      </c>
    </row>
    <row r="733" customFormat="false" ht="48" hidden="false" customHeight="true" outlineLevel="0" collapsed="false">
      <c r="A733" s="99"/>
      <c r="B733" s="100" t="n">
        <v>46433</v>
      </c>
      <c r="C733" s="100" t="n">
        <v>46439</v>
      </c>
      <c r="D733" s="99" t="s">
        <v>640</v>
      </c>
      <c r="E733" s="99" t="n">
        <v>7</v>
      </c>
      <c r="F733" s="101" t="n">
        <v>40</v>
      </c>
      <c r="G733" s="102" t="n">
        <f aca="false">IFERROR(F733/INDEX($G$5:$G$34,MATCH(LOOKUP(2,1/($A$39:A733&lt;&gt;""),$A$39:A733),$A$5:$A$34,0)),0)</f>
        <v>1</v>
      </c>
      <c r="H733" s="103" t="str">
        <f aca="false">IF(G733=0,"空闲",IF(G733&lt;=0.6,"低负荷",IF(G733&lt;=0.85,"正常",IF(G733&lt;=1,"满负荷","超负荷"))))</f>
        <v>满负荷</v>
      </c>
      <c r="I733" s="106" t="s">
        <v>727</v>
      </c>
      <c r="J733" s="106"/>
      <c r="K733" s="106"/>
      <c r="L733" s="105" t="s">
        <v>672</v>
      </c>
    </row>
    <row r="734" customFormat="false" ht="48" hidden="false" customHeight="true" outlineLevel="0" collapsed="false">
      <c r="A734" s="99"/>
      <c r="B734" s="100" t="n">
        <v>46440</v>
      </c>
      <c r="C734" s="100" t="n">
        <v>46446</v>
      </c>
      <c r="D734" s="99" t="s">
        <v>640</v>
      </c>
      <c r="E734" s="99" t="n">
        <v>8</v>
      </c>
      <c r="F734" s="101" t="n">
        <v>40</v>
      </c>
      <c r="G734" s="102" t="n">
        <f aca="false">IFERROR(F734/INDEX($G$5:$G$34,MATCH(LOOKUP(2,1/($A$39:A734&lt;&gt;""),$A$39:A734),$A$5:$A$34,0)),0)</f>
        <v>1</v>
      </c>
      <c r="H734" s="103" t="str">
        <f aca="false">IF(G734=0,"空闲",IF(G734&lt;=0.6,"低负荷",IF(G734&lt;=0.85,"正常",IF(G734&lt;=1,"满负荷","超负荷"))))</f>
        <v>满负荷</v>
      </c>
      <c r="I734" s="106" t="s">
        <v>728</v>
      </c>
      <c r="J734" s="106"/>
      <c r="K734" s="106"/>
      <c r="L734" s="105" t="s">
        <v>674</v>
      </c>
    </row>
    <row r="735" customFormat="false" ht="48" hidden="false" customHeight="true" outlineLevel="0" collapsed="false">
      <c r="A735" s="99"/>
      <c r="B735" s="100" t="n">
        <v>46447</v>
      </c>
      <c r="C735" s="100" t="n">
        <v>46453</v>
      </c>
      <c r="D735" s="99" t="s">
        <v>640</v>
      </c>
      <c r="E735" s="99" t="n">
        <v>9</v>
      </c>
      <c r="F735" s="101" t="n">
        <v>40</v>
      </c>
      <c r="G735" s="102" t="n">
        <f aca="false">IFERROR(F735/INDEX($G$5:$G$34,MATCH(LOOKUP(2,1/($A$39:A735&lt;&gt;""),$A$39:A735),$A$5:$A$34,0)),0)</f>
        <v>1</v>
      </c>
      <c r="H735" s="103" t="str">
        <f aca="false">IF(G735=0,"空闲",IF(G735&lt;=0.6,"低负荷",IF(G735&lt;=0.85,"正常",IF(G735&lt;=1,"满负荷","超负荷"))))</f>
        <v>满负荷</v>
      </c>
      <c r="I735" s="106" t="s">
        <v>729</v>
      </c>
      <c r="J735" s="106"/>
      <c r="K735" s="106"/>
      <c r="L735" s="105" t="s">
        <v>688</v>
      </c>
    </row>
    <row r="736" customFormat="false" ht="48" hidden="false" customHeight="true" outlineLevel="0" collapsed="false">
      <c r="A736" s="99"/>
      <c r="B736" s="100" t="n">
        <v>46454</v>
      </c>
      <c r="C736" s="100" t="n">
        <v>46460</v>
      </c>
      <c r="D736" s="99" t="s">
        <v>640</v>
      </c>
      <c r="E736" s="99" t="n">
        <v>1</v>
      </c>
      <c r="F736" s="101" t="n">
        <v>40</v>
      </c>
      <c r="G736" s="102" t="n">
        <f aca="false">IFERROR(F736/INDEX($G$5:$G$34,MATCH(LOOKUP(2,1/($A$39:A736&lt;&gt;""),$A$39:A736),$A$5:$A$34,0)),0)</f>
        <v>1</v>
      </c>
      <c r="H736" s="103" t="str">
        <f aca="false">IF(G736=0,"空闲",IF(G736&lt;=0.6,"低负荷",IF(G736&lt;=0.85,"正常",IF(G736&lt;=1,"满负荷","超负荷"))))</f>
        <v>满负荷</v>
      </c>
      <c r="I736" s="106" t="s">
        <v>730</v>
      </c>
      <c r="J736" s="106"/>
      <c r="K736" s="106"/>
      <c r="L736" s="105" t="s">
        <v>642</v>
      </c>
    </row>
    <row r="737" customFormat="false" ht="48" hidden="false" customHeight="true" outlineLevel="0" collapsed="false">
      <c r="A737" s="99"/>
      <c r="B737" s="100" t="n">
        <v>46461</v>
      </c>
      <c r="C737" s="100" t="n">
        <v>46467</v>
      </c>
      <c r="D737" s="99" t="s">
        <v>638</v>
      </c>
      <c r="E737" s="99" t="n">
        <v>0</v>
      </c>
      <c r="F737" s="101" t="n">
        <v>0</v>
      </c>
      <c r="G737" s="102" t="n">
        <f aca="false">IFERROR(F737/INDEX($G$5:$G$34,MATCH(LOOKUP(2,1/($A$39:A737&lt;&gt;""),$A$39:A737),$A$5:$A$34,0)),0)</f>
        <v>0</v>
      </c>
      <c r="H737" s="103" t="str">
        <f aca="false">IF(G737=0,"空闲",IF(G737&lt;=0.6,"低负荷",IF(G737&lt;=0.85,"正常",IF(G737&lt;=1,"满负荷","超负荷"))))</f>
        <v>空闲</v>
      </c>
      <c r="I737" s="104" t="s">
        <v>638</v>
      </c>
      <c r="J737" s="104"/>
      <c r="K737" s="104"/>
      <c r="L737" s="105" t="s">
        <v>639</v>
      </c>
    </row>
    <row r="738" customFormat="false" ht="48" hidden="false" customHeight="true" outlineLevel="0" collapsed="false">
      <c r="A738" s="99"/>
      <c r="B738" s="100" t="n">
        <v>46468</v>
      </c>
      <c r="C738" s="100" t="n">
        <v>46474</v>
      </c>
      <c r="D738" s="99" t="s">
        <v>638</v>
      </c>
      <c r="E738" s="99" t="n">
        <v>0</v>
      </c>
      <c r="F738" s="101" t="n">
        <v>0</v>
      </c>
      <c r="G738" s="102" t="n">
        <f aca="false">IFERROR(F738/INDEX($G$5:$G$34,MATCH(LOOKUP(2,1/($A$39:A738&lt;&gt;""),$A$39:A738),$A$5:$A$34,0)),0)</f>
        <v>0</v>
      </c>
      <c r="H738" s="103" t="str">
        <f aca="false">IF(G738=0,"空闲",IF(G738&lt;=0.6,"低负荷",IF(G738&lt;=0.85,"正常",IF(G738&lt;=1,"满负荷","超负荷"))))</f>
        <v>空闲</v>
      </c>
      <c r="I738" s="104" t="s">
        <v>638</v>
      </c>
      <c r="J738" s="104"/>
      <c r="K738" s="104"/>
      <c r="L738" s="105" t="s">
        <v>639</v>
      </c>
    </row>
    <row r="739" customFormat="false" ht="48" hidden="false" customHeight="true" outlineLevel="0" collapsed="false">
      <c r="A739" s="99"/>
      <c r="B739" s="100" t="n">
        <v>46475</v>
      </c>
      <c r="C739" s="100" t="n">
        <v>46481</v>
      </c>
      <c r="D739" s="99" t="s">
        <v>638</v>
      </c>
      <c r="E739" s="99" t="n">
        <v>0</v>
      </c>
      <c r="F739" s="101" t="n">
        <v>0</v>
      </c>
      <c r="G739" s="102" t="n">
        <f aca="false">IFERROR(F739/INDEX($G$5:$G$34,MATCH(LOOKUP(2,1/($A$39:A739&lt;&gt;""),$A$39:A739),$A$5:$A$34,0)),0)</f>
        <v>0</v>
      </c>
      <c r="H739" s="103" t="str">
        <f aca="false">IF(G739=0,"空闲",IF(G739&lt;=0.6,"低负荷",IF(G739&lt;=0.85,"正常",IF(G739&lt;=1,"满负荷","超负荷"))))</f>
        <v>空闲</v>
      </c>
      <c r="I739" s="104" t="s">
        <v>638</v>
      </c>
      <c r="J739" s="104"/>
      <c r="K739" s="104"/>
      <c r="L739" s="105" t="s">
        <v>639</v>
      </c>
    </row>
    <row r="740" customFormat="false" ht="48" hidden="false" customHeight="true" outlineLevel="0" collapsed="false">
      <c r="A740" s="99"/>
      <c r="B740" s="100" t="n">
        <v>46482</v>
      </c>
      <c r="C740" s="100" t="n">
        <v>46488</v>
      </c>
      <c r="D740" s="99" t="s">
        <v>638</v>
      </c>
      <c r="E740" s="99" t="n">
        <v>0</v>
      </c>
      <c r="F740" s="101" t="n">
        <v>0</v>
      </c>
      <c r="G740" s="102" t="n">
        <f aca="false">IFERROR(F740/INDEX($G$5:$G$34,MATCH(LOOKUP(2,1/($A$39:A740&lt;&gt;""),$A$39:A740),$A$5:$A$34,0)),0)</f>
        <v>0</v>
      </c>
      <c r="H740" s="103" t="str">
        <f aca="false">IF(G740=0,"空闲",IF(G740&lt;=0.6,"低负荷",IF(G740&lt;=0.85,"正常",IF(G740&lt;=1,"满负荷","超负荷"))))</f>
        <v>空闲</v>
      </c>
      <c r="I740" s="104" t="s">
        <v>638</v>
      </c>
      <c r="J740" s="104"/>
      <c r="K740" s="104"/>
      <c r="L740" s="105" t="s">
        <v>639</v>
      </c>
    </row>
    <row r="741" customFormat="false" ht="48" hidden="false" customHeight="true" outlineLevel="0" collapsed="false">
      <c r="A741" s="99"/>
      <c r="B741" s="100" t="n">
        <v>46489</v>
      </c>
      <c r="C741" s="100" t="n">
        <v>46495</v>
      </c>
      <c r="D741" s="99" t="s">
        <v>638</v>
      </c>
      <c r="E741" s="99" t="n">
        <v>0</v>
      </c>
      <c r="F741" s="101" t="n">
        <v>0</v>
      </c>
      <c r="G741" s="102" t="n">
        <f aca="false">IFERROR(F741/INDEX($G$5:$G$34,MATCH(LOOKUP(2,1/($A$39:A741&lt;&gt;""),$A$39:A741),$A$5:$A$34,0)),0)</f>
        <v>0</v>
      </c>
      <c r="H741" s="103" t="str">
        <f aca="false">IF(G741=0,"空闲",IF(G741&lt;=0.6,"低负荷",IF(G741&lt;=0.85,"正常",IF(G741&lt;=1,"满负荷","超负荷"))))</f>
        <v>空闲</v>
      </c>
      <c r="I741" s="104" t="s">
        <v>638</v>
      </c>
      <c r="J741" s="104"/>
      <c r="K741" s="104"/>
      <c r="L741" s="105" t="s">
        <v>639</v>
      </c>
    </row>
    <row r="742" customFormat="false" ht="48" hidden="false" customHeight="true" outlineLevel="0" collapsed="false">
      <c r="A742" s="99"/>
      <c r="B742" s="100" t="n">
        <v>46496</v>
      </c>
      <c r="C742" s="100" t="n">
        <v>46502</v>
      </c>
      <c r="D742" s="99" t="s">
        <v>638</v>
      </c>
      <c r="E742" s="99" t="n">
        <v>0</v>
      </c>
      <c r="F742" s="101" t="n">
        <v>0</v>
      </c>
      <c r="G742" s="102" t="n">
        <f aca="false">IFERROR(F742/INDEX($G$5:$G$34,MATCH(LOOKUP(2,1/($A$39:A742&lt;&gt;""),$A$39:A742),$A$5:$A$34,0)),0)</f>
        <v>0</v>
      </c>
      <c r="H742" s="103" t="str">
        <f aca="false">IF(G742=0,"空闲",IF(G742&lt;=0.6,"低负荷",IF(G742&lt;=0.85,"正常",IF(G742&lt;=1,"满负荷","超负荷"))))</f>
        <v>空闲</v>
      </c>
      <c r="I742" s="104" t="s">
        <v>638</v>
      </c>
      <c r="J742" s="104"/>
      <c r="K742" s="104"/>
      <c r="L742" s="105" t="s">
        <v>639</v>
      </c>
    </row>
    <row r="743" customFormat="false" ht="48" hidden="false" customHeight="true" outlineLevel="0" collapsed="false">
      <c r="A743" s="99"/>
      <c r="B743" s="100" t="n">
        <v>46503</v>
      </c>
      <c r="C743" s="100" t="n">
        <v>46509</v>
      </c>
      <c r="D743" s="99" t="s">
        <v>638</v>
      </c>
      <c r="E743" s="99" t="n">
        <v>0</v>
      </c>
      <c r="F743" s="101" t="n">
        <v>0</v>
      </c>
      <c r="G743" s="102" t="n">
        <f aca="false">IFERROR(F743/INDEX($G$5:$G$34,MATCH(LOOKUP(2,1/($A$39:A743&lt;&gt;""),$A$39:A743),$A$5:$A$34,0)),0)</f>
        <v>0</v>
      </c>
      <c r="H743" s="103" t="str">
        <f aca="false">IF(G743=0,"空闲",IF(G743&lt;=0.6,"低负荷",IF(G743&lt;=0.85,"正常",IF(G743&lt;=1,"满负荷","超负荷"))))</f>
        <v>空闲</v>
      </c>
      <c r="I743" s="104" t="s">
        <v>638</v>
      </c>
      <c r="J743" s="104"/>
      <c r="K743" s="104"/>
      <c r="L743" s="105" t="s">
        <v>639</v>
      </c>
    </row>
    <row r="744" customFormat="false" ht="48" hidden="false" customHeight="true" outlineLevel="0" collapsed="false">
      <c r="A744" s="99"/>
      <c r="B744" s="100" t="n">
        <v>46510</v>
      </c>
      <c r="C744" s="100" t="n">
        <v>46516</v>
      </c>
      <c r="D744" s="99" t="s">
        <v>638</v>
      </c>
      <c r="E744" s="99" t="n">
        <v>0</v>
      </c>
      <c r="F744" s="101" t="n">
        <v>0</v>
      </c>
      <c r="G744" s="102" t="n">
        <f aca="false">IFERROR(F744/INDEX($G$5:$G$34,MATCH(LOOKUP(2,1/($A$39:A744&lt;&gt;""),$A$39:A744),$A$5:$A$34,0)),0)</f>
        <v>0</v>
      </c>
      <c r="H744" s="103" t="str">
        <f aca="false">IF(G744=0,"空闲",IF(G744&lt;=0.6,"低负荷",IF(G744&lt;=0.85,"正常",IF(G744&lt;=1,"满负荷","超负荷"))))</f>
        <v>空闲</v>
      </c>
      <c r="I744" s="104" t="s">
        <v>638</v>
      </c>
      <c r="J744" s="104"/>
      <c r="K744" s="104"/>
      <c r="L744" s="105" t="s">
        <v>639</v>
      </c>
    </row>
    <row r="745" customFormat="false" ht="48" hidden="false" customHeight="true" outlineLevel="0" collapsed="false">
      <c r="A745" s="99"/>
      <c r="B745" s="100" t="n">
        <v>46517</v>
      </c>
      <c r="C745" s="100" t="n">
        <v>46523</v>
      </c>
      <c r="D745" s="99" t="s">
        <v>640</v>
      </c>
      <c r="E745" s="99" t="n">
        <v>1</v>
      </c>
      <c r="F745" s="101" t="n">
        <v>40</v>
      </c>
      <c r="G745" s="102" t="n">
        <f aca="false">IFERROR(F745/INDEX($G$5:$G$34,MATCH(LOOKUP(2,1/($A$39:A745&lt;&gt;""),$A$39:A745),$A$5:$A$34,0)),0)</f>
        <v>1</v>
      </c>
      <c r="H745" s="103" t="str">
        <f aca="false">IF(G745=0,"空闲",IF(G745&lt;=0.6,"低负荷",IF(G745&lt;=0.85,"正常",IF(G745&lt;=1,"满负荷","超负荷"))))</f>
        <v>满负荷</v>
      </c>
      <c r="I745" s="106" t="s">
        <v>731</v>
      </c>
      <c r="J745" s="106"/>
      <c r="K745" s="106"/>
      <c r="L745" s="105" t="s">
        <v>642</v>
      </c>
    </row>
    <row r="746" customFormat="false" ht="48" hidden="false" customHeight="true" outlineLevel="0" collapsed="false">
      <c r="A746" s="99"/>
      <c r="B746" s="100" t="n">
        <v>46524</v>
      </c>
      <c r="C746" s="100" t="n">
        <v>46530</v>
      </c>
      <c r="D746" s="99" t="s">
        <v>638</v>
      </c>
      <c r="E746" s="99" t="n">
        <v>0</v>
      </c>
      <c r="F746" s="101" t="n">
        <v>0</v>
      </c>
      <c r="G746" s="102" t="n">
        <f aca="false">IFERROR(F746/INDEX($G$5:$G$34,MATCH(LOOKUP(2,1/($A$39:A746&lt;&gt;""),$A$39:A746),$A$5:$A$34,0)),0)</f>
        <v>0</v>
      </c>
      <c r="H746" s="103" t="str">
        <f aca="false">IF(G746=0,"空闲",IF(G746&lt;=0.6,"低负荷",IF(G746&lt;=0.85,"正常",IF(G746&lt;=1,"满负荷","超负荷"))))</f>
        <v>空闲</v>
      </c>
      <c r="I746" s="104" t="s">
        <v>638</v>
      </c>
      <c r="J746" s="104"/>
      <c r="K746" s="104"/>
      <c r="L746" s="105" t="s">
        <v>639</v>
      </c>
    </row>
    <row r="747" customFormat="false" ht="48" hidden="false" customHeight="true" outlineLevel="0" collapsed="false">
      <c r="A747" s="99"/>
      <c r="B747" s="100" t="n">
        <v>46531</v>
      </c>
      <c r="C747" s="100" t="n">
        <v>46537</v>
      </c>
      <c r="D747" s="99" t="s">
        <v>638</v>
      </c>
      <c r="E747" s="99" t="n">
        <v>0</v>
      </c>
      <c r="F747" s="101" t="n">
        <v>0</v>
      </c>
      <c r="G747" s="102" t="n">
        <f aca="false">IFERROR(F747/INDEX($G$5:$G$34,MATCH(LOOKUP(2,1/($A$39:A747&lt;&gt;""),$A$39:A747),$A$5:$A$34,0)),0)</f>
        <v>0</v>
      </c>
      <c r="H747" s="103" t="str">
        <f aca="false">IF(G747=0,"空闲",IF(G747&lt;=0.6,"低负荷",IF(G747&lt;=0.85,"正常",IF(G747&lt;=1,"满负荷","超负荷"))))</f>
        <v>空闲</v>
      </c>
      <c r="I747" s="104" t="s">
        <v>638</v>
      </c>
      <c r="J747" s="104"/>
      <c r="K747" s="104"/>
      <c r="L747" s="105" t="s">
        <v>639</v>
      </c>
    </row>
    <row r="748" customFormat="false" ht="48" hidden="false" customHeight="true" outlineLevel="0" collapsed="false">
      <c r="A748" s="99"/>
      <c r="B748" s="100" t="n">
        <v>46538</v>
      </c>
      <c r="C748" s="100" t="n">
        <v>46544</v>
      </c>
      <c r="D748" s="99" t="s">
        <v>638</v>
      </c>
      <c r="E748" s="99" t="n">
        <v>0</v>
      </c>
      <c r="F748" s="101" t="n">
        <v>0</v>
      </c>
      <c r="G748" s="102" t="n">
        <f aca="false">IFERROR(F748/INDEX($G$5:$G$34,MATCH(LOOKUP(2,1/($A$39:A748&lt;&gt;""),$A$39:A748),$A$5:$A$34,0)),0)</f>
        <v>0</v>
      </c>
      <c r="H748" s="103" t="str">
        <f aca="false">IF(G748=0,"空闲",IF(G748&lt;=0.6,"低负荷",IF(G748&lt;=0.85,"正常",IF(G748&lt;=1,"满负荷","超负荷"))))</f>
        <v>空闲</v>
      </c>
      <c r="I748" s="104" t="s">
        <v>638</v>
      </c>
      <c r="J748" s="104"/>
      <c r="K748" s="104"/>
      <c r="L748" s="105" t="s">
        <v>639</v>
      </c>
    </row>
    <row r="749" customFormat="false" ht="48" hidden="false" customHeight="true" outlineLevel="0" collapsed="false">
      <c r="A749" s="99" t="s">
        <v>517</v>
      </c>
      <c r="B749" s="100" t="n">
        <v>46048</v>
      </c>
      <c r="C749" s="100" t="n">
        <v>46054</v>
      </c>
      <c r="D749" s="99" t="s">
        <v>638</v>
      </c>
      <c r="E749" s="99" t="n">
        <v>0</v>
      </c>
      <c r="F749" s="101" t="n">
        <v>0</v>
      </c>
      <c r="G749" s="102" t="n">
        <f aca="false">IFERROR(F749/INDEX($G$5:$G$34,MATCH(LOOKUP(2,1/($A$39:A749&lt;&gt;""),$A$39:A749),$A$5:$A$34,0)),0)</f>
        <v>0</v>
      </c>
      <c r="H749" s="103" t="str">
        <f aca="false">IF(G749=0,"空闲",IF(G749&lt;=0.6,"低负荷",IF(G749&lt;=0.85,"正常",IF(G749&lt;=1,"满负荷","超负荷"))))</f>
        <v>空闲</v>
      </c>
      <c r="I749" s="104" t="s">
        <v>638</v>
      </c>
      <c r="J749" s="104"/>
      <c r="K749" s="104"/>
      <c r="L749" s="105" t="s">
        <v>639</v>
      </c>
    </row>
    <row r="750" customFormat="false" ht="48" hidden="false" customHeight="true" outlineLevel="0" collapsed="false">
      <c r="A750" s="99"/>
      <c r="B750" s="100" t="n">
        <v>46055</v>
      </c>
      <c r="C750" s="100" t="n">
        <v>46061</v>
      </c>
      <c r="D750" s="99" t="s">
        <v>638</v>
      </c>
      <c r="E750" s="99" t="n">
        <v>0</v>
      </c>
      <c r="F750" s="101" t="n">
        <v>0</v>
      </c>
      <c r="G750" s="102" t="n">
        <f aca="false">IFERROR(F750/INDEX($G$5:$G$34,MATCH(LOOKUP(2,1/($A$39:A750&lt;&gt;""),$A$39:A750),$A$5:$A$34,0)),0)</f>
        <v>0</v>
      </c>
      <c r="H750" s="103" t="str">
        <f aca="false">IF(G750=0,"空闲",IF(G750&lt;=0.6,"低负荷",IF(G750&lt;=0.85,"正常",IF(G750&lt;=1,"满负荷","超负荷"))))</f>
        <v>空闲</v>
      </c>
      <c r="I750" s="104" t="s">
        <v>638</v>
      </c>
      <c r="J750" s="104"/>
      <c r="K750" s="104"/>
      <c r="L750" s="105" t="s">
        <v>639</v>
      </c>
    </row>
    <row r="751" customFormat="false" ht="48" hidden="false" customHeight="true" outlineLevel="0" collapsed="false">
      <c r="A751" s="99"/>
      <c r="B751" s="100" t="n">
        <v>46062</v>
      </c>
      <c r="C751" s="100" t="n">
        <v>46068</v>
      </c>
      <c r="D751" s="99" t="s">
        <v>638</v>
      </c>
      <c r="E751" s="99" t="n">
        <v>0</v>
      </c>
      <c r="F751" s="101" t="n">
        <v>0</v>
      </c>
      <c r="G751" s="102" t="n">
        <f aca="false">IFERROR(F751/INDEX($G$5:$G$34,MATCH(LOOKUP(2,1/($A$39:A751&lt;&gt;""),$A$39:A751),$A$5:$A$34,0)),0)</f>
        <v>0</v>
      </c>
      <c r="H751" s="103" t="str">
        <f aca="false">IF(G751=0,"空闲",IF(G751&lt;=0.6,"低负荷",IF(G751&lt;=0.85,"正常",IF(G751&lt;=1,"满负荷","超负荷"))))</f>
        <v>空闲</v>
      </c>
      <c r="I751" s="104" t="s">
        <v>638</v>
      </c>
      <c r="J751" s="104"/>
      <c r="K751" s="104"/>
      <c r="L751" s="105" t="s">
        <v>639</v>
      </c>
    </row>
    <row r="752" customFormat="false" ht="48" hidden="false" customHeight="true" outlineLevel="0" collapsed="false">
      <c r="A752" s="99"/>
      <c r="B752" s="100" t="n">
        <v>46069</v>
      </c>
      <c r="C752" s="100" t="n">
        <v>46075</v>
      </c>
      <c r="D752" s="99" t="s">
        <v>638</v>
      </c>
      <c r="E752" s="99" t="n">
        <v>0</v>
      </c>
      <c r="F752" s="101" t="n">
        <v>0</v>
      </c>
      <c r="G752" s="102" t="n">
        <f aca="false">IFERROR(F752/INDEX($G$5:$G$34,MATCH(LOOKUP(2,1/($A$39:A752&lt;&gt;""),$A$39:A752),$A$5:$A$34,0)),0)</f>
        <v>0</v>
      </c>
      <c r="H752" s="103" t="str">
        <f aca="false">IF(G752=0,"空闲",IF(G752&lt;=0.6,"低负荷",IF(G752&lt;=0.85,"正常",IF(G752&lt;=1,"满负荷","超负荷"))))</f>
        <v>空闲</v>
      </c>
      <c r="I752" s="104" t="s">
        <v>638</v>
      </c>
      <c r="J752" s="104"/>
      <c r="K752" s="104"/>
      <c r="L752" s="105" t="s">
        <v>639</v>
      </c>
    </row>
    <row r="753" customFormat="false" ht="48" hidden="false" customHeight="true" outlineLevel="0" collapsed="false">
      <c r="A753" s="99"/>
      <c r="B753" s="100" t="n">
        <v>46076</v>
      </c>
      <c r="C753" s="100" t="n">
        <v>46082</v>
      </c>
      <c r="D753" s="99" t="s">
        <v>638</v>
      </c>
      <c r="E753" s="99" t="n">
        <v>0</v>
      </c>
      <c r="F753" s="101" t="n">
        <v>0</v>
      </c>
      <c r="G753" s="102" t="n">
        <f aca="false">IFERROR(F753/INDEX($G$5:$G$34,MATCH(LOOKUP(2,1/($A$39:A753&lt;&gt;""),$A$39:A753),$A$5:$A$34,0)),0)</f>
        <v>0</v>
      </c>
      <c r="H753" s="103" t="str">
        <f aca="false">IF(G753=0,"空闲",IF(G753&lt;=0.6,"低负荷",IF(G753&lt;=0.85,"正常",IF(G753&lt;=1,"满负荷","超负荷"))))</f>
        <v>空闲</v>
      </c>
      <c r="I753" s="104" t="s">
        <v>638</v>
      </c>
      <c r="J753" s="104"/>
      <c r="K753" s="104"/>
      <c r="L753" s="105" t="s">
        <v>639</v>
      </c>
    </row>
    <row r="754" customFormat="false" ht="48" hidden="false" customHeight="true" outlineLevel="0" collapsed="false">
      <c r="A754" s="99"/>
      <c r="B754" s="100" t="n">
        <v>46083</v>
      </c>
      <c r="C754" s="100" t="n">
        <v>46089</v>
      </c>
      <c r="D754" s="99" t="s">
        <v>638</v>
      </c>
      <c r="E754" s="99" t="n">
        <v>0</v>
      </c>
      <c r="F754" s="101" t="n">
        <v>0</v>
      </c>
      <c r="G754" s="102" t="n">
        <f aca="false">IFERROR(F754/INDEX($G$5:$G$34,MATCH(LOOKUP(2,1/($A$39:A754&lt;&gt;""),$A$39:A754),$A$5:$A$34,0)),0)</f>
        <v>0</v>
      </c>
      <c r="H754" s="103" t="str">
        <f aca="false">IF(G754=0,"空闲",IF(G754&lt;=0.6,"低负荷",IF(G754&lt;=0.85,"正常",IF(G754&lt;=1,"满负荷","超负荷"))))</f>
        <v>空闲</v>
      </c>
      <c r="I754" s="104" t="s">
        <v>638</v>
      </c>
      <c r="J754" s="104"/>
      <c r="K754" s="104"/>
      <c r="L754" s="105" t="s">
        <v>639</v>
      </c>
    </row>
    <row r="755" customFormat="false" ht="48" hidden="false" customHeight="true" outlineLevel="0" collapsed="false">
      <c r="A755" s="99"/>
      <c r="B755" s="100" t="n">
        <v>46090</v>
      </c>
      <c r="C755" s="100" t="n">
        <v>46096</v>
      </c>
      <c r="D755" s="99" t="s">
        <v>638</v>
      </c>
      <c r="E755" s="99" t="n">
        <v>0</v>
      </c>
      <c r="F755" s="101" t="n">
        <v>0</v>
      </c>
      <c r="G755" s="102" t="n">
        <f aca="false">IFERROR(F755/INDEX($G$5:$G$34,MATCH(LOOKUP(2,1/($A$39:A755&lt;&gt;""),$A$39:A755),$A$5:$A$34,0)),0)</f>
        <v>0</v>
      </c>
      <c r="H755" s="103" t="str">
        <f aca="false">IF(G755=0,"空闲",IF(G755&lt;=0.6,"低负荷",IF(G755&lt;=0.85,"正常",IF(G755&lt;=1,"满负荷","超负荷"))))</f>
        <v>空闲</v>
      </c>
      <c r="I755" s="104" t="s">
        <v>638</v>
      </c>
      <c r="J755" s="104"/>
      <c r="K755" s="104"/>
      <c r="L755" s="105" t="s">
        <v>639</v>
      </c>
    </row>
    <row r="756" customFormat="false" ht="48" hidden="false" customHeight="true" outlineLevel="0" collapsed="false">
      <c r="A756" s="99"/>
      <c r="B756" s="100" t="n">
        <v>46097</v>
      </c>
      <c r="C756" s="100" t="n">
        <v>46103</v>
      </c>
      <c r="D756" s="99" t="s">
        <v>638</v>
      </c>
      <c r="E756" s="99" t="n">
        <v>0</v>
      </c>
      <c r="F756" s="101" t="n">
        <v>0</v>
      </c>
      <c r="G756" s="102" t="n">
        <f aca="false">IFERROR(F756/INDEX($G$5:$G$34,MATCH(LOOKUP(2,1/($A$39:A756&lt;&gt;""),$A$39:A756),$A$5:$A$34,0)),0)</f>
        <v>0</v>
      </c>
      <c r="H756" s="103" t="str">
        <f aca="false">IF(G756=0,"空闲",IF(G756&lt;=0.6,"低负荷",IF(G756&lt;=0.85,"正常",IF(G756&lt;=1,"满负荷","超负荷"))))</f>
        <v>空闲</v>
      </c>
      <c r="I756" s="104" t="s">
        <v>638</v>
      </c>
      <c r="J756" s="104"/>
      <c r="K756" s="104"/>
      <c r="L756" s="105" t="s">
        <v>639</v>
      </c>
    </row>
    <row r="757" customFormat="false" ht="48" hidden="false" customHeight="true" outlineLevel="0" collapsed="false">
      <c r="A757" s="99"/>
      <c r="B757" s="100" t="n">
        <v>46104</v>
      </c>
      <c r="C757" s="100" t="n">
        <v>46110</v>
      </c>
      <c r="D757" s="99" t="s">
        <v>638</v>
      </c>
      <c r="E757" s="99" t="n">
        <v>0</v>
      </c>
      <c r="F757" s="101" t="n">
        <v>0</v>
      </c>
      <c r="G757" s="102" t="n">
        <f aca="false">IFERROR(F757/INDEX($G$5:$G$34,MATCH(LOOKUP(2,1/($A$39:A757&lt;&gt;""),$A$39:A757),$A$5:$A$34,0)),0)</f>
        <v>0</v>
      </c>
      <c r="H757" s="103" t="str">
        <f aca="false">IF(G757=0,"空闲",IF(G757&lt;=0.6,"低负荷",IF(G757&lt;=0.85,"正常",IF(G757&lt;=1,"满负荷","超负荷"))))</f>
        <v>空闲</v>
      </c>
      <c r="I757" s="104" t="s">
        <v>638</v>
      </c>
      <c r="J757" s="104"/>
      <c r="K757" s="104"/>
      <c r="L757" s="105" t="s">
        <v>639</v>
      </c>
    </row>
    <row r="758" customFormat="false" ht="48" hidden="false" customHeight="true" outlineLevel="0" collapsed="false">
      <c r="A758" s="99"/>
      <c r="B758" s="100" t="n">
        <v>46111</v>
      </c>
      <c r="C758" s="100" t="n">
        <v>46117</v>
      </c>
      <c r="D758" s="99" t="s">
        <v>638</v>
      </c>
      <c r="E758" s="99" t="n">
        <v>0</v>
      </c>
      <c r="F758" s="101" t="n">
        <v>0</v>
      </c>
      <c r="G758" s="102" t="n">
        <f aca="false">IFERROR(F758/INDEX($G$5:$G$34,MATCH(LOOKUP(2,1/($A$39:A758&lt;&gt;""),$A$39:A758),$A$5:$A$34,0)),0)</f>
        <v>0</v>
      </c>
      <c r="H758" s="103" t="str">
        <f aca="false">IF(G758=0,"空闲",IF(G758&lt;=0.6,"低负荷",IF(G758&lt;=0.85,"正常",IF(G758&lt;=1,"满负荷","超负荷"))))</f>
        <v>空闲</v>
      </c>
      <c r="I758" s="104" t="s">
        <v>638</v>
      </c>
      <c r="J758" s="104"/>
      <c r="K758" s="104"/>
      <c r="L758" s="105" t="s">
        <v>639</v>
      </c>
    </row>
    <row r="759" customFormat="false" ht="48" hidden="false" customHeight="true" outlineLevel="0" collapsed="false">
      <c r="A759" s="99"/>
      <c r="B759" s="100" t="n">
        <v>46118</v>
      </c>
      <c r="C759" s="100" t="n">
        <v>46124</v>
      </c>
      <c r="D759" s="99" t="s">
        <v>638</v>
      </c>
      <c r="E759" s="99" t="n">
        <v>0</v>
      </c>
      <c r="F759" s="101" t="n">
        <v>0</v>
      </c>
      <c r="G759" s="102" t="n">
        <f aca="false">IFERROR(F759/INDEX($G$5:$G$34,MATCH(LOOKUP(2,1/($A$39:A759&lt;&gt;""),$A$39:A759),$A$5:$A$34,0)),0)</f>
        <v>0</v>
      </c>
      <c r="H759" s="103" t="str">
        <f aca="false">IF(G759=0,"空闲",IF(G759&lt;=0.6,"低负荷",IF(G759&lt;=0.85,"正常",IF(G759&lt;=1,"满负荷","超负荷"))))</f>
        <v>空闲</v>
      </c>
      <c r="I759" s="104" t="s">
        <v>638</v>
      </c>
      <c r="J759" s="104"/>
      <c r="K759" s="104"/>
      <c r="L759" s="105" t="s">
        <v>639</v>
      </c>
    </row>
    <row r="760" customFormat="false" ht="48" hidden="false" customHeight="true" outlineLevel="0" collapsed="false">
      <c r="A760" s="99"/>
      <c r="B760" s="100" t="n">
        <v>46125</v>
      </c>
      <c r="C760" s="100" t="n">
        <v>46131</v>
      </c>
      <c r="D760" s="99" t="s">
        <v>638</v>
      </c>
      <c r="E760" s="99" t="n">
        <v>0</v>
      </c>
      <c r="F760" s="101" t="n">
        <v>0</v>
      </c>
      <c r="G760" s="102" t="n">
        <f aca="false">IFERROR(F760/INDEX($G$5:$G$34,MATCH(LOOKUP(2,1/($A$39:A760&lt;&gt;""),$A$39:A760),$A$5:$A$34,0)),0)</f>
        <v>0</v>
      </c>
      <c r="H760" s="103" t="str">
        <f aca="false">IF(G760=0,"空闲",IF(G760&lt;=0.6,"低负荷",IF(G760&lt;=0.85,"正常",IF(G760&lt;=1,"满负荷","超负荷"))))</f>
        <v>空闲</v>
      </c>
      <c r="I760" s="104" t="s">
        <v>638</v>
      </c>
      <c r="J760" s="104"/>
      <c r="K760" s="104"/>
      <c r="L760" s="105" t="s">
        <v>639</v>
      </c>
    </row>
    <row r="761" customFormat="false" ht="48" hidden="false" customHeight="true" outlineLevel="0" collapsed="false">
      <c r="A761" s="99"/>
      <c r="B761" s="100" t="n">
        <v>46132</v>
      </c>
      <c r="C761" s="100" t="n">
        <v>46138</v>
      </c>
      <c r="D761" s="99" t="s">
        <v>638</v>
      </c>
      <c r="E761" s="99" t="n">
        <v>0</v>
      </c>
      <c r="F761" s="101" t="n">
        <v>0</v>
      </c>
      <c r="G761" s="102" t="n">
        <f aca="false">IFERROR(F761/INDEX($G$5:$G$34,MATCH(LOOKUP(2,1/($A$39:A761&lt;&gt;""),$A$39:A761),$A$5:$A$34,0)),0)</f>
        <v>0</v>
      </c>
      <c r="H761" s="103" t="str">
        <f aca="false">IF(G761=0,"空闲",IF(G761&lt;=0.6,"低负荷",IF(G761&lt;=0.85,"正常",IF(G761&lt;=1,"满负荷","超负荷"))))</f>
        <v>空闲</v>
      </c>
      <c r="I761" s="104" t="s">
        <v>638</v>
      </c>
      <c r="J761" s="104"/>
      <c r="K761" s="104"/>
      <c r="L761" s="105" t="s">
        <v>639</v>
      </c>
    </row>
    <row r="762" customFormat="false" ht="48" hidden="false" customHeight="true" outlineLevel="0" collapsed="false">
      <c r="A762" s="99"/>
      <c r="B762" s="100" t="n">
        <v>46139</v>
      </c>
      <c r="C762" s="100" t="n">
        <v>46145</v>
      </c>
      <c r="D762" s="99" t="s">
        <v>638</v>
      </c>
      <c r="E762" s="99" t="n">
        <v>0</v>
      </c>
      <c r="F762" s="101" t="n">
        <v>0</v>
      </c>
      <c r="G762" s="102" t="n">
        <f aca="false">IFERROR(F762/INDEX($G$5:$G$34,MATCH(LOOKUP(2,1/($A$39:A762&lt;&gt;""),$A$39:A762),$A$5:$A$34,0)),0)</f>
        <v>0</v>
      </c>
      <c r="H762" s="103" t="str">
        <f aca="false">IF(G762=0,"空闲",IF(G762&lt;=0.6,"低负荷",IF(G762&lt;=0.85,"正常",IF(G762&lt;=1,"满负荷","超负荷"))))</f>
        <v>空闲</v>
      </c>
      <c r="I762" s="104" t="s">
        <v>638</v>
      </c>
      <c r="J762" s="104"/>
      <c r="K762" s="104"/>
      <c r="L762" s="105" t="s">
        <v>639</v>
      </c>
    </row>
    <row r="763" customFormat="false" ht="48" hidden="false" customHeight="true" outlineLevel="0" collapsed="false">
      <c r="A763" s="99"/>
      <c r="B763" s="100" t="n">
        <v>46146</v>
      </c>
      <c r="C763" s="100" t="n">
        <v>46152</v>
      </c>
      <c r="D763" s="99" t="s">
        <v>638</v>
      </c>
      <c r="E763" s="99" t="n">
        <v>0</v>
      </c>
      <c r="F763" s="101" t="n">
        <v>0</v>
      </c>
      <c r="G763" s="102" t="n">
        <f aca="false">IFERROR(F763/INDEX($G$5:$G$34,MATCH(LOOKUP(2,1/($A$39:A763&lt;&gt;""),$A$39:A763),$A$5:$A$34,0)),0)</f>
        <v>0</v>
      </c>
      <c r="H763" s="103" t="str">
        <f aca="false">IF(G763=0,"空闲",IF(G763&lt;=0.6,"低负荷",IF(G763&lt;=0.85,"正常",IF(G763&lt;=1,"满负荷","超负荷"))))</f>
        <v>空闲</v>
      </c>
      <c r="I763" s="104" t="s">
        <v>638</v>
      </c>
      <c r="J763" s="104"/>
      <c r="K763" s="104"/>
      <c r="L763" s="105" t="s">
        <v>639</v>
      </c>
    </row>
    <row r="764" customFormat="false" ht="48" hidden="false" customHeight="true" outlineLevel="0" collapsed="false">
      <c r="A764" s="99"/>
      <c r="B764" s="100" t="n">
        <v>46153</v>
      </c>
      <c r="C764" s="100" t="n">
        <v>46159</v>
      </c>
      <c r="D764" s="99" t="s">
        <v>638</v>
      </c>
      <c r="E764" s="99" t="n">
        <v>0</v>
      </c>
      <c r="F764" s="101" t="n">
        <v>0</v>
      </c>
      <c r="G764" s="102" t="n">
        <f aca="false">IFERROR(F764/INDEX($G$5:$G$34,MATCH(LOOKUP(2,1/($A$39:A764&lt;&gt;""),$A$39:A764),$A$5:$A$34,0)),0)</f>
        <v>0</v>
      </c>
      <c r="H764" s="103" t="str">
        <f aca="false">IF(G764=0,"空闲",IF(G764&lt;=0.6,"低负荷",IF(G764&lt;=0.85,"正常",IF(G764&lt;=1,"满负荷","超负荷"))))</f>
        <v>空闲</v>
      </c>
      <c r="I764" s="104" t="s">
        <v>638</v>
      </c>
      <c r="J764" s="104"/>
      <c r="K764" s="104"/>
      <c r="L764" s="105" t="s">
        <v>639</v>
      </c>
    </row>
    <row r="765" customFormat="false" ht="48" hidden="false" customHeight="true" outlineLevel="0" collapsed="false">
      <c r="A765" s="99"/>
      <c r="B765" s="100" t="n">
        <v>46160</v>
      </c>
      <c r="C765" s="100" t="n">
        <v>46166</v>
      </c>
      <c r="D765" s="99" t="s">
        <v>638</v>
      </c>
      <c r="E765" s="99" t="n">
        <v>0</v>
      </c>
      <c r="F765" s="101" t="n">
        <v>0</v>
      </c>
      <c r="G765" s="102" t="n">
        <f aca="false">IFERROR(F765/INDEX($G$5:$G$34,MATCH(LOOKUP(2,1/($A$39:A765&lt;&gt;""),$A$39:A765),$A$5:$A$34,0)),0)</f>
        <v>0</v>
      </c>
      <c r="H765" s="103" t="str">
        <f aca="false">IF(G765=0,"空闲",IF(G765&lt;=0.6,"低负荷",IF(G765&lt;=0.85,"正常",IF(G765&lt;=1,"满负荷","超负荷"))))</f>
        <v>空闲</v>
      </c>
      <c r="I765" s="104" t="s">
        <v>638</v>
      </c>
      <c r="J765" s="104"/>
      <c r="K765" s="104"/>
      <c r="L765" s="105" t="s">
        <v>639</v>
      </c>
    </row>
    <row r="766" customFormat="false" ht="48" hidden="false" customHeight="true" outlineLevel="0" collapsed="false">
      <c r="A766" s="99"/>
      <c r="B766" s="100" t="n">
        <v>46167</v>
      </c>
      <c r="C766" s="100" t="n">
        <v>46173</v>
      </c>
      <c r="D766" s="99" t="s">
        <v>638</v>
      </c>
      <c r="E766" s="99" t="n">
        <v>0</v>
      </c>
      <c r="F766" s="101" t="n">
        <v>0</v>
      </c>
      <c r="G766" s="102" t="n">
        <f aca="false">IFERROR(F766/INDEX($G$5:$G$34,MATCH(LOOKUP(2,1/($A$39:A766&lt;&gt;""),$A$39:A766),$A$5:$A$34,0)),0)</f>
        <v>0</v>
      </c>
      <c r="H766" s="103" t="str">
        <f aca="false">IF(G766=0,"空闲",IF(G766&lt;=0.6,"低负荷",IF(G766&lt;=0.85,"正常",IF(G766&lt;=1,"满负荷","超负荷"))))</f>
        <v>空闲</v>
      </c>
      <c r="I766" s="104" t="s">
        <v>638</v>
      </c>
      <c r="J766" s="104"/>
      <c r="K766" s="104"/>
      <c r="L766" s="105" t="s">
        <v>639</v>
      </c>
    </row>
    <row r="767" customFormat="false" ht="48" hidden="false" customHeight="true" outlineLevel="0" collapsed="false">
      <c r="A767" s="99"/>
      <c r="B767" s="100" t="n">
        <v>46174</v>
      </c>
      <c r="C767" s="100" t="n">
        <v>46180</v>
      </c>
      <c r="D767" s="99" t="s">
        <v>638</v>
      </c>
      <c r="E767" s="99" t="n">
        <v>0</v>
      </c>
      <c r="F767" s="101" t="n">
        <v>0</v>
      </c>
      <c r="G767" s="102" t="n">
        <f aca="false">IFERROR(F767/INDEX($G$5:$G$34,MATCH(LOOKUP(2,1/($A$39:A767&lt;&gt;""),$A$39:A767),$A$5:$A$34,0)),0)</f>
        <v>0</v>
      </c>
      <c r="H767" s="103" t="str">
        <f aca="false">IF(G767=0,"空闲",IF(G767&lt;=0.6,"低负荷",IF(G767&lt;=0.85,"正常",IF(G767&lt;=1,"满负荷","超负荷"))))</f>
        <v>空闲</v>
      </c>
      <c r="I767" s="104" t="s">
        <v>638</v>
      </c>
      <c r="J767" s="104"/>
      <c r="K767" s="104"/>
      <c r="L767" s="105" t="s">
        <v>639</v>
      </c>
    </row>
    <row r="768" customFormat="false" ht="48" hidden="false" customHeight="true" outlineLevel="0" collapsed="false">
      <c r="A768" s="99"/>
      <c r="B768" s="100" t="n">
        <v>46181</v>
      </c>
      <c r="C768" s="100" t="n">
        <v>46187</v>
      </c>
      <c r="D768" s="99" t="s">
        <v>638</v>
      </c>
      <c r="E768" s="99" t="n">
        <v>0</v>
      </c>
      <c r="F768" s="101" t="n">
        <v>0</v>
      </c>
      <c r="G768" s="102" t="n">
        <f aca="false">IFERROR(F768/INDEX($G$5:$G$34,MATCH(LOOKUP(2,1/($A$39:A768&lt;&gt;""),$A$39:A768),$A$5:$A$34,0)),0)</f>
        <v>0</v>
      </c>
      <c r="H768" s="103" t="str">
        <f aca="false">IF(G768=0,"空闲",IF(G768&lt;=0.6,"低负荷",IF(G768&lt;=0.85,"正常",IF(G768&lt;=1,"满负荷","超负荷"))))</f>
        <v>空闲</v>
      </c>
      <c r="I768" s="104" t="s">
        <v>638</v>
      </c>
      <c r="J768" s="104"/>
      <c r="K768" s="104"/>
      <c r="L768" s="105" t="s">
        <v>639</v>
      </c>
    </row>
    <row r="769" customFormat="false" ht="48" hidden="false" customHeight="true" outlineLevel="0" collapsed="false">
      <c r="A769" s="99"/>
      <c r="B769" s="100" t="n">
        <v>46188</v>
      </c>
      <c r="C769" s="100" t="n">
        <v>46194</v>
      </c>
      <c r="D769" s="99" t="s">
        <v>638</v>
      </c>
      <c r="E769" s="99" t="n">
        <v>0</v>
      </c>
      <c r="F769" s="101" t="n">
        <v>0</v>
      </c>
      <c r="G769" s="102" t="n">
        <f aca="false">IFERROR(F769/INDEX($G$5:$G$34,MATCH(LOOKUP(2,1/($A$39:A769&lt;&gt;""),$A$39:A769),$A$5:$A$34,0)),0)</f>
        <v>0</v>
      </c>
      <c r="H769" s="103" t="str">
        <f aca="false">IF(G769=0,"空闲",IF(G769&lt;=0.6,"低负荷",IF(G769&lt;=0.85,"正常",IF(G769&lt;=1,"满负荷","超负荷"))))</f>
        <v>空闲</v>
      </c>
      <c r="I769" s="104" t="s">
        <v>638</v>
      </c>
      <c r="J769" s="104"/>
      <c r="K769" s="104"/>
      <c r="L769" s="105" t="s">
        <v>639</v>
      </c>
    </row>
    <row r="770" customFormat="false" ht="48" hidden="false" customHeight="true" outlineLevel="0" collapsed="false">
      <c r="A770" s="99"/>
      <c r="B770" s="100" t="n">
        <v>46195</v>
      </c>
      <c r="C770" s="100" t="n">
        <v>46201</v>
      </c>
      <c r="D770" s="99" t="s">
        <v>638</v>
      </c>
      <c r="E770" s="99" t="n">
        <v>0</v>
      </c>
      <c r="F770" s="101" t="n">
        <v>0</v>
      </c>
      <c r="G770" s="102" t="n">
        <f aca="false">IFERROR(F770/INDEX($G$5:$G$34,MATCH(LOOKUP(2,1/($A$39:A770&lt;&gt;""),$A$39:A770),$A$5:$A$34,0)),0)</f>
        <v>0</v>
      </c>
      <c r="H770" s="103" t="str">
        <f aca="false">IF(G770=0,"空闲",IF(G770&lt;=0.6,"低负荷",IF(G770&lt;=0.85,"正常",IF(G770&lt;=1,"满负荷","超负荷"))))</f>
        <v>空闲</v>
      </c>
      <c r="I770" s="104" t="s">
        <v>638</v>
      </c>
      <c r="J770" s="104"/>
      <c r="K770" s="104"/>
      <c r="L770" s="105" t="s">
        <v>639</v>
      </c>
    </row>
    <row r="771" customFormat="false" ht="48" hidden="false" customHeight="true" outlineLevel="0" collapsed="false">
      <c r="A771" s="99"/>
      <c r="B771" s="100" t="n">
        <v>46202</v>
      </c>
      <c r="C771" s="100" t="n">
        <v>46208</v>
      </c>
      <c r="D771" s="99" t="s">
        <v>638</v>
      </c>
      <c r="E771" s="99" t="n">
        <v>0</v>
      </c>
      <c r="F771" s="101" t="n">
        <v>0</v>
      </c>
      <c r="G771" s="102" t="n">
        <f aca="false">IFERROR(F771/INDEX($G$5:$G$34,MATCH(LOOKUP(2,1/($A$39:A771&lt;&gt;""),$A$39:A771),$A$5:$A$34,0)),0)</f>
        <v>0</v>
      </c>
      <c r="H771" s="103" t="str">
        <f aca="false">IF(G771=0,"空闲",IF(G771&lt;=0.6,"低负荷",IF(G771&lt;=0.85,"正常",IF(G771&lt;=1,"满负荷","超负荷"))))</f>
        <v>空闲</v>
      </c>
      <c r="I771" s="104" t="s">
        <v>638</v>
      </c>
      <c r="J771" s="104"/>
      <c r="K771" s="104"/>
      <c r="L771" s="105" t="s">
        <v>639</v>
      </c>
    </row>
    <row r="772" customFormat="false" ht="48" hidden="false" customHeight="true" outlineLevel="0" collapsed="false">
      <c r="A772" s="99"/>
      <c r="B772" s="100" t="n">
        <v>46209</v>
      </c>
      <c r="C772" s="100" t="n">
        <v>46215</v>
      </c>
      <c r="D772" s="99" t="s">
        <v>638</v>
      </c>
      <c r="E772" s="99" t="n">
        <v>0</v>
      </c>
      <c r="F772" s="101" t="n">
        <v>0</v>
      </c>
      <c r="G772" s="102" t="n">
        <f aca="false">IFERROR(F772/INDEX($G$5:$G$34,MATCH(LOOKUP(2,1/($A$39:A772&lt;&gt;""),$A$39:A772),$A$5:$A$34,0)),0)</f>
        <v>0</v>
      </c>
      <c r="H772" s="103" t="str">
        <f aca="false">IF(G772=0,"空闲",IF(G772&lt;=0.6,"低负荷",IF(G772&lt;=0.85,"正常",IF(G772&lt;=1,"满负荷","超负荷"))))</f>
        <v>空闲</v>
      </c>
      <c r="I772" s="104" t="s">
        <v>638</v>
      </c>
      <c r="J772" s="104"/>
      <c r="K772" s="104"/>
      <c r="L772" s="105" t="s">
        <v>639</v>
      </c>
    </row>
    <row r="773" customFormat="false" ht="48" hidden="false" customHeight="true" outlineLevel="0" collapsed="false">
      <c r="A773" s="99"/>
      <c r="B773" s="100" t="n">
        <v>46216</v>
      </c>
      <c r="C773" s="100" t="n">
        <v>46222</v>
      </c>
      <c r="D773" s="99" t="s">
        <v>638</v>
      </c>
      <c r="E773" s="99" t="n">
        <v>0</v>
      </c>
      <c r="F773" s="101" t="n">
        <v>0</v>
      </c>
      <c r="G773" s="102" t="n">
        <f aca="false">IFERROR(F773/INDEX($G$5:$G$34,MATCH(LOOKUP(2,1/($A$39:A773&lt;&gt;""),$A$39:A773),$A$5:$A$34,0)),0)</f>
        <v>0</v>
      </c>
      <c r="H773" s="103" t="str">
        <f aca="false">IF(G773=0,"空闲",IF(G773&lt;=0.6,"低负荷",IF(G773&lt;=0.85,"正常",IF(G773&lt;=1,"满负荷","超负荷"))))</f>
        <v>空闲</v>
      </c>
      <c r="I773" s="104" t="s">
        <v>638</v>
      </c>
      <c r="J773" s="104"/>
      <c r="K773" s="104"/>
      <c r="L773" s="105" t="s">
        <v>639</v>
      </c>
    </row>
    <row r="774" customFormat="false" ht="48" hidden="false" customHeight="true" outlineLevel="0" collapsed="false">
      <c r="A774" s="99"/>
      <c r="B774" s="100" t="n">
        <v>46223</v>
      </c>
      <c r="C774" s="100" t="n">
        <v>46229</v>
      </c>
      <c r="D774" s="99" t="s">
        <v>638</v>
      </c>
      <c r="E774" s="99" t="n">
        <v>0</v>
      </c>
      <c r="F774" s="101" t="n">
        <v>0</v>
      </c>
      <c r="G774" s="102" t="n">
        <f aca="false">IFERROR(F774/INDEX($G$5:$G$34,MATCH(LOOKUP(2,1/($A$39:A774&lt;&gt;""),$A$39:A774),$A$5:$A$34,0)),0)</f>
        <v>0</v>
      </c>
      <c r="H774" s="103" t="str">
        <f aca="false">IF(G774=0,"空闲",IF(G774&lt;=0.6,"低负荷",IF(G774&lt;=0.85,"正常",IF(G774&lt;=1,"满负荷","超负荷"))))</f>
        <v>空闲</v>
      </c>
      <c r="I774" s="104" t="s">
        <v>638</v>
      </c>
      <c r="J774" s="104"/>
      <c r="K774" s="104"/>
      <c r="L774" s="105" t="s">
        <v>639</v>
      </c>
    </row>
    <row r="775" customFormat="false" ht="48" hidden="false" customHeight="true" outlineLevel="0" collapsed="false">
      <c r="A775" s="99"/>
      <c r="B775" s="100" t="n">
        <v>46230</v>
      </c>
      <c r="C775" s="100" t="n">
        <v>46236</v>
      </c>
      <c r="D775" s="99" t="s">
        <v>638</v>
      </c>
      <c r="E775" s="99" t="n">
        <v>0</v>
      </c>
      <c r="F775" s="101" t="n">
        <v>0</v>
      </c>
      <c r="G775" s="102" t="n">
        <f aca="false">IFERROR(F775/INDEX($G$5:$G$34,MATCH(LOOKUP(2,1/($A$39:A775&lt;&gt;""),$A$39:A775),$A$5:$A$34,0)),0)</f>
        <v>0</v>
      </c>
      <c r="H775" s="103" t="str">
        <f aca="false">IF(G775=0,"空闲",IF(G775&lt;=0.6,"低负荷",IF(G775&lt;=0.85,"正常",IF(G775&lt;=1,"满负荷","超负荷"))))</f>
        <v>空闲</v>
      </c>
      <c r="I775" s="104" t="s">
        <v>638</v>
      </c>
      <c r="J775" s="104"/>
      <c r="K775" s="104"/>
      <c r="L775" s="105" t="s">
        <v>639</v>
      </c>
    </row>
    <row r="776" customFormat="false" ht="48" hidden="false" customHeight="true" outlineLevel="0" collapsed="false">
      <c r="A776" s="99"/>
      <c r="B776" s="100" t="n">
        <v>46237</v>
      </c>
      <c r="C776" s="100" t="n">
        <v>46243</v>
      </c>
      <c r="D776" s="99" t="s">
        <v>638</v>
      </c>
      <c r="E776" s="99" t="n">
        <v>0</v>
      </c>
      <c r="F776" s="101" t="n">
        <v>0</v>
      </c>
      <c r="G776" s="102" t="n">
        <f aca="false">IFERROR(F776/INDEX($G$5:$G$34,MATCH(LOOKUP(2,1/($A$39:A776&lt;&gt;""),$A$39:A776),$A$5:$A$34,0)),0)</f>
        <v>0</v>
      </c>
      <c r="H776" s="103" t="str">
        <f aca="false">IF(G776=0,"空闲",IF(G776&lt;=0.6,"低负荷",IF(G776&lt;=0.85,"正常",IF(G776&lt;=1,"满负荷","超负荷"))))</f>
        <v>空闲</v>
      </c>
      <c r="I776" s="104" t="s">
        <v>638</v>
      </c>
      <c r="J776" s="104"/>
      <c r="K776" s="104"/>
      <c r="L776" s="105" t="s">
        <v>639</v>
      </c>
    </row>
    <row r="777" customFormat="false" ht="48" hidden="false" customHeight="true" outlineLevel="0" collapsed="false">
      <c r="A777" s="99"/>
      <c r="B777" s="100" t="n">
        <v>46244</v>
      </c>
      <c r="C777" s="100" t="n">
        <v>46250</v>
      </c>
      <c r="D777" s="99" t="s">
        <v>638</v>
      </c>
      <c r="E777" s="99" t="n">
        <v>0</v>
      </c>
      <c r="F777" s="101" t="n">
        <v>0</v>
      </c>
      <c r="G777" s="102" t="n">
        <f aca="false">IFERROR(F777/INDEX($G$5:$G$34,MATCH(LOOKUP(2,1/($A$39:A777&lt;&gt;""),$A$39:A777),$A$5:$A$34,0)),0)</f>
        <v>0</v>
      </c>
      <c r="H777" s="103" t="str">
        <f aca="false">IF(G777=0,"空闲",IF(G777&lt;=0.6,"低负荷",IF(G777&lt;=0.85,"正常",IF(G777&lt;=1,"满负荷","超负荷"))))</f>
        <v>空闲</v>
      </c>
      <c r="I777" s="104" t="s">
        <v>638</v>
      </c>
      <c r="J777" s="104"/>
      <c r="K777" s="104"/>
      <c r="L777" s="105" t="s">
        <v>639</v>
      </c>
    </row>
    <row r="778" customFormat="false" ht="48" hidden="false" customHeight="true" outlineLevel="0" collapsed="false">
      <c r="A778" s="99"/>
      <c r="B778" s="100" t="n">
        <v>46251</v>
      </c>
      <c r="C778" s="100" t="n">
        <v>46257</v>
      </c>
      <c r="D778" s="99" t="s">
        <v>638</v>
      </c>
      <c r="E778" s="99" t="n">
        <v>0</v>
      </c>
      <c r="F778" s="101" t="n">
        <v>0</v>
      </c>
      <c r="G778" s="102" t="n">
        <f aca="false">IFERROR(F778/INDEX($G$5:$G$34,MATCH(LOOKUP(2,1/($A$39:A778&lt;&gt;""),$A$39:A778),$A$5:$A$34,0)),0)</f>
        <v>0</v>
      </c>
      <c r="H778" s="103" t="str">
        <f aca="false">IF(G778=0,"空闲",IF(G778&lt;=0.6,"低负荷",IF(G778&lt;=0.85,"正常",IF(G778&lt;=1,"满负荷","超负荷"))))</f>
        <v>空闲</v>
      </c>
      <c r="I778" s="104" t="s">
        <v>638</v>
      </c>
      <c r="J778" s="104"/>
      <c r="K778" s="104"/>
      <c r="L778" s="105" t="s">
        <v>639</v>
      </c>
    </row>
    <row r="779" customFormat="false" ht="48" hidden="false" customHeight="true" outlineLevel="0" collapsed="false">
      <c r="A779" s="99"/>
      <c r="B779" s="100" t="n">
        <v>46258</v>
      </c>
      <c r="C779" s="100" t="n">
        <v>46264</v>
      </c>
      <c r="D779" s="99" t="s">
        <v>638</v>
      </c>
      <c r="E779" s="99" t="n">
        <v>0</v>
      </c>
      <c r="F779" s="101" t="n">
        <v>0</v>
      </c>
      <c r="G779" s="102" t="n">
        <f aca="false">IFERROR(F779/INDEX($G$5:$G$34,MATCH(LOOKUP(2,1/($A$39:A779&lt;&gt;""),$A$39:A779),$A$5:$A$34,0)),0)</f>
        <v>0</v>
      </c>
      <c r="H779" s="103" t="str">
        <f aca="false">IF(G779=0,"空闲",IF(G779&lt;=0.6,"低负荷",IF(G779&lt;=0.85,"正常",IF(G779&lt;=1,"满负荷","超负荷"))))</f>
        <v>空闲</v>
      </c>
      <c r="I779" s="104" t="s">
        <v>638</v>
      </c>
      <c r="J779" s="104"/>
      <c r="K779" s="104"/>
      <c r="L779" s="105" t="s">
        <v>639</v>
      </c>
    </row>
    <row r="780" customFormat="false" ht="48" hidden="false" customHeight="true" outlineLevel="0" collapsed="false">
      <c r="A780" s="99"/>
      <c r="B780" s="100" t="n">
        <v>46265</v>
      </c>
      <c r="C780" s="100" t="n">
        <v>46271</v>
      </c>
      <c r="D780" s="99" t="s">
        <v>638</v>
      </c>
      <c r="E780" s="99" t="n">
        <v>0</v>
      </c>
      <c r="F780" s="101" t="n">
        <v>0</v>
      </c>
      <c r="G780" s="102" t="n">
        <f aca="false">IFERROR(F780/INDEX($G$5:$G$34,MATCH(LOOKUP(2,1/($A$39:A780&lt;&gt;""),$A$39:A780),$A$5:$A$34,0)),0)</f>
        <v>0</v>
      </c>
      <c r="H780" s="103" t="str">
        <f aca="false">IF(G780=0,"空闲",IF(G780&lt;=0.6,"低负荷",IF(G780&lt;=0.85,"正常",IF(G780&lt;=1,"满负荷","超负荷"))))</f>
        <v>空闲</v>
      </c>
      <c r="I780" s="104" t="s">
        <v>638</v>
      </c>
      <c r="J780" s="104"/>
      <c r="K780" s="104"/>
      <c r="L780" s="105" t="s">
        <v>639</v>
      </c>
    </row>
    <row r="781" customFormat="false" ht="48" hidden="false" customHeight="true" outlineLevel="0" collapsed="false">
      <c r="A781" s="99"/>
      <c r="B781" s="100" t="n">
        <v>46272</v>
      </c>
      <c r="C781" s="100" t="n">
        <v>46278</v>
      </c>
      <c r="D781" s="99" t="s">
        <v>640</v>
      </c>
      <c r="E781" s="99" t="n">
        <v>1</v>
      </c>
      <c r="F781" s="101" t="n">
        <v>40</v>
      </c>
      <c r="G781" s="102" t="n">
        <f aca="false">IFERROR(F781/INDEX($G$5:$G$34,MATCH(LOOKUP(2,1/($A$39:A781&lt;&gt;""),$A$39:A781),$A$5:$A$34,0)),0)</f>
        <v>1</v>
      </c>
      <c r="H781" s="103" t="str">
        <f aca="false">IF(G781=0,"空闲",IF(G781&lt;=0.6,"低负荷",IF(G781&lt;=0.85,"正常",IF(G781&lt;=1,"满负荷","超负荷"))))</f>
        <v>满负荷</v>
      </c>
      <c r="I781" s="106" t="s">
        <v>732</v>
      </c>
      <c r="J781" s="106"/>
      <c r="K781" s="106"/>
      <c r="L781" s="105" t="s">
        <v>642</v>
      </c>
    </row>
    <row r="782" customFormat="false" ht="48" hidden="false" customHeight="true" outlineLevel="0" collapsed="false">
      <c r="A782" s="99"/>
      <c r="B782" s="100" t="n">
        <v>46279</v>
      </c>
      <c r="C782" s="100" t="n">
        <v>46285</v>
      </c>
      <c r="D782" s="99" t="s">
        <v>640</v>
      </c>
      <c r="E782" s="99" t="n">
        <v>1</v>
      </c>
      <c r="F782" s="101" t="n">
        <v>40</v>
      </c>
      <c r="G782" s="102" t="n">
        <f aca="false">IFERROR(F782/INDEX($G$5:$G$34,MATCH(LOOKUP(2,1/($A$39:A782&lt;&gt;""),$A$39:A782),$A$5:$A$34,0)),0)</f>
        <v>1</v>
      </c>
      <c r="H782" s="103" t="str">
        <f aca="false">IF(G782=0,"空闲",IF(G782&lt;=0.6,"低负荷",IF(G782&lt;=0.85,"正常",IF(G782&lt;=1,"满负荷","超负荷"))))</f>
        <v>满负荷</v>
      </c>
      <c r="I782" s="106" t="s">
        <v>732</v>
      </c>
      <c r="J782" s="106"/>
      <c r="K782" s="106"/>
      <c r="L782" s="105" t="s">
        <v>642</v>
      </c>
    </row>
    <row r="783" customFormat="false" ht="48" hidden="false" customHeight="true" outlineLevel="0" collapsed="false">
      <c r="A783" s="99"/>
      <c r="B783" s="100" t="n">
        <v>46286</v>
      </c>
      <c r="C783" s="100" t="n">
        <v>46292</v>
      </c>
      <c r="D783" s="99" t="s">
        <v>638</v>
      </c>
      <c r="E783" s="99" t="n">
        <v>0</v>
      </c>
      <c r="F783" s="101" t="n">
        <v>0</v>
      </c>
      <c r="G783" s="102" t="n">
        <f aca="false">IFERROR(F783/INDEX($G$5:$G$34,MATCH(LOOKUP(2,1/($A$39:A783&lt;&gt;""),$A$39:A783),$A$5:$A$34,0)),0)</f>
        <v>0</v>
      </c>
      <c r="H783" s="103" t="str">
        <f aca="false">IF(G783=0,"空闲",IF(G783&lt;=0.6,"低负荷",IF(G783&lt;=0.85,"正常",IF(G783&lt;=1,"满负荷","超负荷"))))</f>
        <v>空闲</v>
      </c>
      <c r="I783" s="104" t="s">
        <v>638</v>
      </c>
      <c r="J783" s="104"/>
      <c r="K783" s="104"/>
      <c r="L783" s="105" t="s">
        <v>639</v>
      </c>
    </row>
    <row r="784" customFormat="false" ht="48" hidden="false" customHeight="true" outlineLevel="0" collapsed="false">
      <c r="A784" s="99"/>
      <c r="B784" s="100" t="n">
        <v>46293</v>
      </c>
      <c r="C784" s="100" t="n">
        <v>46299</v>
      </c>
      <c r="D784" s="99" t="s">
        <v>638</v>
      </c>
      <c r="E784" s="99" t="n">
        <v>0</v>
      </c>
      <c r="F784" s="101" t="n">
        <v>0</v>
      </c>
      <c r="G784" s="102" t="n">
        <f aca="false">IFERROR(F784/INDEX($G$5:$G$34,MATCH(LOOKUP(2,1/($A$39:A784&lt;&gt;""),$A$39:A784),$A$5:$A$34,0)),0)</f>
        <v>0</v>
      </c>
      <c r="H784" s="103" t="str">
        <f aca="false">IF(G784=0,"空闲",IF(G784&lt;=0.6,"低负荷",IF(G784&lt;=0.85,"正常",IF(G784&lt;=1,"满负荷","超负荷"))))</f>
        <v>空闲</v>
      </c>
      <c r="I784" s="104" t="s">
        <v>638</v>
      </c>
      <c r="J784" s="104"/>
      <c r="K784" s="104"/>
      <c r="L784" s="105" t="s">
        <v>639</v>
      </c>
    </row>
    <row r="785" customFormat="false" ht="48" hidden="false" customHeight="true" outlineLevel="0" collapsed="false">
      <c r="A785" s="99"/>
      <c r="B785" s="100" t="n">
        <v>46300</v>
      </c>
      <c r="C785" s="100" t="n">
        <v>46306</v>
      </c>
      <c r="D785" s="99" t="s">
        <v>638</v>
      </c>
      <c r="E785" s="99" t="n">
        <v>0</v>
      </c>
      <c r="F785" s="101" t="n">
        <v>0</v>
      </c>
      <c r="G785" s="102" t="n">
        <f aca="false">IFERROR(F785/INDEX($G$5:$G$34,MATCH(LOOKUP(2,1/($A$39:A785&lt;&gt;""),$A$39:A785),$A$5:$A$34,0)),0)</f>
        <v>0</v>
      </c>
      <c r="H785" s="103" t="str">
        <f aca="false">IF(G785=0,"空闲",IF(G785&lt;=0.6,"低负荷",IF(G785&lt;=0.85,"正常",IF(G785&lt;=1,"满负荷","超负荷"))))</f>
        <v>空闲</v>
      </c>
      <c r="I785" s="104" t="s">
        <v>638</v>
      </c>
      <c r="J785" s="104"/>
      <c r="K785" s="104"/>
      <c r="L785" s="105" t="s">
        <v>639</v>
      </c>
    </row>
    <row r="786" customFormat="false" ht="48" hidden="false" customHeight="true" outlineLevel="0" collapsed="false">
      <c r="A786" s="99"/>
      <c r="B786" s="100" t="n">
        <v>46307</v>
      </c>
      <c r="C786" s="100" t="n">
        <v>46313</v>
      </c>
      <c r="D786" s="99" t="s">
        <v>638</v>
      </c>
      <c r="E786" s="99" t="n">
        <v>0</v>
      </c>
      <c r="F786" s="101" t="n">
        <v>0</v>
      </c>
      <c r="G786" s="102" t="n">
        <f aca="false">IFERROR(F786/INDEX($G$5:$G$34,MATCH(LOOKUP(2,1/($A$39:A786&lt;&gt;""),$A$39:A786),$A$5:$A$34,0)),0)</f>
        <v>0</v>
      </c>
      <c r="H786" s="103" t="str">
        <f aca="false">IF(G786=0,"空闲",IF(G786&lt;=0.6,"低负荷",IF(G786&lt;=0.85,"正常",IF(G786&lt;=1,"满负荷","超负荷"))))</f>
        <v>空闲</v>
      </c>
      <c r="I786" s="104" t="s">
        <v>638</v>
      </c>
      <c r="J786" s="104"/>
      <c r="K786" s="104"/>
      <c r="L786" s="105" t="s">
        <v>639</v>
      </c>
    </row>
    <row r="787" customFormat="false" ht="48" hidden="false" customHeight="true" outlineLevel="0" collapsed="false">
      <c r="A787" s="99"/>
      <c r="B787" s="100" t="n">
        <v>46314</v>
      </c>
      <c r="C787" s="100" t="n">
        <v>46320</v>
      </c>
      <c r="D787" s="99" t="s">
        <v>638</v>
      </c>
      <c r="E787" s="99" t="n">
        <v>0</v>
      </c>
      <c r="F787" s="101" t="n">
        <v>0</v>
      </c>
      <c r="G787" s="102" t="n">
        <f aca="false">IFERROR(F787/INDEX($G$5:$G$34,MATCH(LOOKUP(2,1/($A$39:A787&lt;&gt;""),$A$39:A787),$A$5:$A$34,0)),0)</f>
        <v>0</v>
      </c>
      <c r="H787" s="103" t="str">
        <f aca="false">IF(G787=0,"空闲",IF(G787&lt;=0.6,"低负荷",IF(G787&lt;=0.85,"正常",IF(G787&lt;=1,"满负荷","超负荷"))))</f>
        <v>空闲</v>
      </c>
      <c r="I787" s="104" t="s">
        <v>638</v>
      </c>
      <c r="J787" s="104"/>
      <c r="K787" s="104"/>
      <c r="L787" s="105" t="s">
        <v>639</v>
      </c>
    </row>
    <row r="788" customFormat="false" ht="48" hidden="false" customHeight="true" outlineLevel="0" collapsed="false">
      <c r="A788" s="99"/>
      <c r="B788" s="100" t="n">
        <v>46321</v>
      </c>
      <c r="C788" s="100" t="n">
        <v>46327</v>
      </c>
      <c r="D788" s="99" t="s">
        <v>638</v>
      </c>
      <c r="E788" s="99" t="n">
        <v>0</v>
      </c>
      <c r="F788" s="101" t="n">
        <v>0</v>
      </c>
      <c r="G788" s="102" t="n">
        <f aca="false">IFERROR(F788/INDEX($G$5:$G$34,MATCH(LOOKUP(2,1/($A$39:A788&lt;&gt;""),$A$39:A788),$A$5:$A$34,0)),0)</f>
        <v>0</v>
      </c>
      <c r="H788" s="103" t="str">
        <f aca="false">IF(G788=0,"空闲",IF(G788&lt;=0.6,"低负荷",IF(G788&lt;=0.85,"正常",IF(G788&lt;=1,"满负荷","超负荷"))))</f>
        <v>空闲</v>
      </c>
      <c r="I788" s="104" t="s">
        <v>638</v>
      </c>
      <c r="J788" s="104"/>
      <c r="K788" s="104"/>
      <c r="L788" s="105" t="s">
        <v>639</v>
      </c>
    </row>
    <row r="789" customFormat="false" ht="48" hidden="false" customHeight="true" outlineLevel="0" collapsed="false">
      <c r="A789" s="99"/>
      <c r="B789" s="100" t="n">
        <v>46328</v>
      </c>
      <c r="C789" s="100" t="n">
        <v>46334</v>
      </c>
      <c r="D789" s="99" t="s">
        <v>638</v>
      </c>
      <c r="E789" s="99" t="n">
        <v>0</v>
      </c>
      <c r="F789" s="101" t="n">
        <v>0</v>
      </c>
      <c r="G789" s="102" t="n">
        <f aca="false">IFERROR(F789/INDEX($G$5:$G$34,MATCH(LOOKUP(2,1/($A$39:A789&lt;&gt;""),$A$39:A789),$A$5:$A$34,0)),0)</f>
        <v>0</v>
      </c>
      <c r="H789" s="103" t="str">
        <f aca="false">IF(G789=0,"空闲",IF(G789&lt;=0.6,"低负荷",IF(G789&lt;=0.85,"正常",IF(G789&lt;=1,"满负荷","超负荷"))))</f>
        <v>空闲</v>
      </c>
      <c r="I789" s="104" t="s">
        <v>638</v>
      </c>
      <c r="J789" s="104"/>
      <c r="K789" s="104"/>
      <c r="L789" s="105" t="s">
        <v>639</v>
      </c>
    </row>
    <row r="790" customFormat="false" ht="48" hidden="false" customHeight="true" outlineLevel="0" collapsed="false">
      <c r="A790" s="99"/>
      <c r="B790" s="100" t="n">
        <v>46335</v>
      </c>
      <c r="C790" s="100" t="n">
        <v>46341</v>
      </c>
      <c r="D790" s="99" t="s">
        <v>638</v>
      </c>
      <c r="E790" s="99" t="n">
        <v>0</v>
      </c>
      <c r="F790" s="101" t="n">
        <v>0</v>
      </c>
      <c r="G790" s="102" t="n">
        <f aca="false">IFERROR(F790/INDEX($G$5:$G$34,MATCH(LOOKUP(2,1/($A$39:A790&lt;&gt;""),$A$39:A790),$A$5:$A$34,0)),0)</f>
        <v>0</v>
      </c>
      <c r="H790" s="103" t="str">
        <f aca="false">IF(G790=0,"空闲",IF(G790&lt;=0.6,"低负荷",IF(G790&lt;=0.85,"正常",IF(G790&lt;=1,"满负荷","超负荷"))))</f>
        <v>空闲</v>
      </c>
      <c r="I790" s="104" t="s">
        <v>638</v>
      </c>
      <c r="J790" s="104"/>
      <c r="K790" s="104"/>
      <c r="L790" s="105" t="s">
        <v>639</v>
      </c>
    </row>
    <row r="791" customFormat="false" ht="48" hidden="false" customHeight="true" outlineLevel="0" collapsed="false">
      <c r="A791" s="99"/>
      <c r="B791" s="100" t="n">
        <v>46342</v>
      </c>
      <c r="C791" s="100" t="n">
        <v>46348</v>
      </c>
      <c r="D791" s="99" t="s">
        <v>638</v>
      </c>
      <c r="E791" s="99" t="n">
        <v>0</v>
      </c>
      <c r="F791" s="101" t="n">
        <v>0</v>
      </c>
      <c r="G791" s="102" t="n">
        <f aca="false">IFERROR(F791/INDEX($G$5:$G$34,MATCH(LOOKUP(2,1/($A$39:A791&lt;&gt;""),$A$39:A791),$A$5:$A$34,0)),0)</f>
        <v>0</v>
      </c>
      <c r="H791" s="103" t="str">
        <f aca="false">IF(G791=0,"空闲",IF(G791&lt;=0.6,"低负荷",IF(G791&lt;=0.85,"正常",IF(G791&lt;=1,"满负荷","超负荷"))))</f>
        <v>空闲</v>
      </c>
      <c r="I791" s="104" t="s">
        <v>638</v>
      </c>
      <c r="J791" s="104"/>
      <c r="K791" s="104"/>
      <c r="L791" s="105" t="s">
        <v>639</v>
      </c>
    </row>
    <row r="792" customFormat="false" ht="48" hidden="false" customHeight="true" outlineLevel="0" collapsed="false">
      <c r="A792" s="99"/>
      <c r="B792" s="100" t="n">
        <v>46349</v>
      </c>
      <c r="C792" s="100" t="n">
        <v>46355</v>
      </c>
      <c r="D792" s="99" t="s">
        <v>640</v>
      </c>
      <c r="E792" s="99" t="n">
        <v>1</v>
      </c>
      <c r="F792" s="101" t="n">
        <v>40</v>
      </c>
      <c r="G792" s="102" t="n">
        <f aca="false">IFERROR(F792/INDEX($G$5:$G$34,MATCH(LOOKUP(2,1/($A$39:A792&lt;&gt;""),$A$39:A792),$A$5:$A$34,0)),0)</f>
        <v>1</v>
      </c>
      <c r="H792" s="103" t="str">
        <f aca="false">IF(G792=0,"空闲",IF(G792&lt;=0.6,"低负荷",IF(G792&lt;=0.85,"正常",IF(G792&lt;=1,"满负荷","超负荷"))))</f>
        <v>满负荷</v>
      </c>
      <c r="I792" s="106" t="s">
        <v>712</v>
      </c>
      <c r="J792" s="106"/>
      <c r="K792" s="106"/>
      <c r="L792" s="105" t="s">
        <v>642</v>
      </c>
    </row>
    <row r="793" customFormat="false" ht="48" hidden="false" customHeight="true" outlineLevel="0" collapsed="false">
      <c r="A793" s="99"/>
      <c r="B793" s="100" t="n">
        <v>46356</v>
      </c>
      <c r="C793" s="100" t="n">
        <v>46362</v>
      </c>
      <c r="D793" s="99" t="s">
        <v>640</v>
      </c>
      <c r="E793" s="99" t="n">
        <v>2</v>
      </c>
      <c r="F793" s="101" t="n">
        <v>40</v>
      </c>
      <c r="G793" s="102" t="n">
        <f aca="false">IFERROR(F793/INDEX($G$5:$G$34,MATCH(LOOKUP(2,1/($A$39:A793&lt;&gt;""),$A$39:A793),$A$5:$A$34,0)),0)</f>
        <v>1</v>
      </c>
      <c r="H793" s="103" t="str">
        <f aca="false">IF(G793=0,"空闲",IF(G793&lt;=0.6,"低负荷",IF(G793&lt;=0.85,"正常",IF(G793&lt;=1,"满负荷","超负荷"))))</f>
        <v>满负荷</v>
      </c>
      <c r="I793" s="106" t="s">
        <v>733</v>
      </c>
      <c r="J793" s="106"/>
      <c r="K793" s="106"/>
      <c r="L793" s="105" t="s">
        <v>652</v>
      </c>
    </row>
    <row r="794" customFormat="false" ht="48" hidden="false" customHeight="true" outlineLevel="0" collapsed="false">
      <c r="A794" s="99"/>
      <c r="B794" s="100" t="n">
        <v>46363</v>
      </c>
      <c r="C794" s="100" t="n">
        <v>46369</v>
      </c>
      <c r="D794" s="99" t="s">
        <v>640</v>
      </c>
      <c r="E794" s="99" t="n">
        <v>4</v>
      </c>
      <c r="F794" s="101" t="n">
        <v>40</v>
      </c>
      <c r="G794" s="102" t="n">
        <f aca="false">IFERROR(F794/INDEX($G$5:$G$34,MATCH(LOOKUP(2,1/($A$39:A794&lt;&gt;""),$A$39:A794),$A$5:$A$34,0)),0)</f>
        <v>1</v>
      </c>
      <c r="H794" s="103" t="str">
        <f aca="false">IF(G794=0,"空闲",IF(G794&lt;=0.6,"低负荷",IF(G794&lt;=0.85,"正常",IF(G794&lt;=1,"满负荷","超负荷"))))</f>
        <v>满负荷</v>
      </c>
      <c r="I794" s="106" t="s">
        <v>734</v>
      </c>
      <c r="J794" s="106"/>
      <c r="K794" s="106"/>
      <c r="L794" s="105" t="s">
        <v>715</v>
      </c>
    </row>
    <row r="795" customFormat="false" ht="48" hidden="false" customHeight="true" outlineLevel="0" collapsed="false">
      <c r="A795" s="99"/>
      <c r="B795" s="100" t="n">
        <v>46370</v>
      </c>
      <c r="C795" s="100" t="n">
        <v>46376</v>
      </c>
      <c r="D795" s="99" t="s">
        <v>640</v>
      </c>
      <c r="E795" s="99" t="n">
        <v>4</v>
      </c>
      <c r="F795" s="101" t="n">
        <v>40</v>
      </c>
      <c r="G795" s="102" t="n">
        <f aca="false">IFERROR(F795/INDEX($G$5:$G$34,MATCH(LOOKUP(2,1/($A$39:A795&lt;&gt;""),$A$39:A795),$A$5:$A$34,0)),0)</f>
        <v>1</v>
      </c>
      <c r="H795" s="103" t="str">
        <f aca="false">IF(G795=0,"空闲",IF(G795&lt;=0.6,"低负荷",IF(G795&lt;=0.85,"正常",IF(G795&lt;=1,"满负荷","超负荷"))))</f>
        <v>满负荷</v>
      </c>
      <c r="I795" s="106" t="s">
        <v>714</v>
      </c>
      <c r="J795" s="106"/>
      <c r="K795" s="106"/>
      <c r="L795" s="105" t="s">
        <v>715</v>
      </c>
    </row>
    <row r="796" customFormat="false" ht="48" hidden="false" customHeight="true" outlineLevel="0" collapsed="false">
      <c r="A796" s="99"/>
      <c r="B796" s="100" t="n">
        <v>46377</v>
      </c>
      <c r="C796" s="100" t="n">
        <v>46383</v>
      </c>
      <c r="D796" s="99" t="s">
        <v>640</v>
      </c>
      <c r="E796" s="99" t="n">
        <v>4</v>
      </c>
      <c r="F796" s="101" t="n">
        <v>40</v>
      </c>
      <c r="G796" s="102" t="n">
        <f aca="false">IFERROR(F796/INDEX($G$5:$G$34,MATCH(LOOKUP(2,1/($A$39:A796&lt;&gt;""),$A$39:A796),$A$5:$A$34,0)),0)</f>
        <v>1</v>
      </c>
      <c r="H796" s="103" t="str">
        <f aca="false">IF(G796=0,"空闲",IF(G796&lt;=0.6,"低负荷",IF(G796&lt;=0.85,"正常",IF(G796&lt;=1,"满负荷","超负荷"))))</f>
        <v>满负荷</v>
      </c>
      <c r="I796" s="106" t="s">
        <v>714</v>
      </c>
      <c r="J796" s="106"/>
      <c r="K796" s="106"/>
      <c r="L796" s="105" t="s">
        <v>715</v>
      </c>
    </row>
    <row r="797" customFormat="false" ht="48" hidden="false" customHeight="true" outlineLevel="0" collapsed="false">
      <c r="A797" s="99"/>
      <c r="B797" s="100" t="n">
        <v>46384</v>
      </c>
      <c r="C797" s="100" t="n">
        <v>46390</v>
      </c>
      <c r="D797" s="99" t="s">
        <v>640</v>
      </c>
      <c r="E797" s="99" t="n">
        <v>4</v>
      </c>
      <c r="F797" s="101" t="n">
        <v>40</v>
      </c>
      <c r="G797" s="102" t="n">
        <f aca="false">IFERROR(F797/INDEX($G$5:$G$34,MATCH(LOOKUP(2,1/($A$39:A797&lt;&gt;""),$A$39:A797),$A$5:$A$34,0)),0)</f>
        <v>1</v>
      </c>
      <c r="H797" s="103" t="str">
        <f aca="false">IF(G797=0,"空闲",IF(G797&lt;=0.6,"低负荷",IF(G797&lt;=0.85,"正常",IF(G797&lt;=1,"满负荷","超负荷"))))</f>
        <v>满负荷</v>
      </c>
      <c r="I797" s="106" t="s">
        <v>714</v>
      </c>
      <c r="J797" s="106"/>
      <c r="K797" s="106"/>
      <c r="L797" s="105" t="s">
        <v>715</v>
      </c>
    </row>
    <row r="798" customFormat="false" ht="48" hidden="false" customHeight="true" outlineLevel="0" collapsed="false">
      <c r="A798" s="99"/>
      <c r="B798" s="100" t="n">
        <v>46391</v>
      </c>
      <c r="C798" s="100" t="n">
        <v>46397</v>
      </c>
      <c r="D798" s="99" t="s">
        <v>640</v>
      </c>
      <c r="E798" s="99" t="n">
        <v>4</v>
      </c>
      <c r="F798" s="101" t="n">
        <v>40</v>
      </c>
      <c r="G798" s="102" t="n">
        <f aca="false">IFERROR(F798/INDEX($G$5:$G$34,MATCH(LOOKUP(2,1/($A$39:A798&lt;&gt;""),$A$39:A798),$A$5:$A$34,0)),0)</f>
        <v>1</v>
      </c>
      <c r="H798" s="103" t="str">
        <f aca="false">IF(G798=0,"空闲",IF(G798&lt;=0.6,"低负荷",IF(G798&lt;=0.85,"正常",IF(G798&lt;=1,"满负荷","超负荷"))))</f>
        <v>满负荷</v>
      </c>
      <c r="I798" s="106" t="s">
        <v>714</v>
      </c>
      <c r="J798" s="106"/>
      <c r="K798" s="106"/>
      <c r="L798" s="105" t="s">
        <v>715</v>
      </c>
    </row>
    <row r="799" customFormat="false" ht="48" hidden="false" customHeight="true" outlineLevel="0" collapsed="false">
      <c r="A799" s="99"/>
      <c r="B799" s="100" t="n">
        <v>46398</v>
      </c>
      <c r="C799" s="100" t="n">
        <v>46404</v>
      </c>
      <c r="D799" s="99" t="s">
        <v>640</v>
      </c>
      <c r="E799" s="99" t="n">
        <v>4</v>
      </c>
      <c r="F799" s="101" t="n">
        <v>40</v>
      </c>
      <c r="G799" s="102" t="n">
        <f aca="false">IFERROR(F799/INDEX($G$5:$G$34,MATCH(LOOKUP(2,1/($A$39:A799&lt;&gt;""),$A$39:A799),$A$5:$A$34,0)),0)</f>
        <v>1</v>
      </c>
      <c r="H799" s="103" t="str">
        <f aca="false">IF(G799=0,"空闲",IF(G799&lt;=0.6,"低负荷",IF(G799&lt;=0.85,"正常",IF(G799&lt;=1,"满负荷","超负荷"))))</f>
        <v>满负荷</v>
      </c>
      <c r="I799" s="106" t="s">
        <v>714</v>
      </c>
      <c r="J799" s="106"/>
      <c r="K799" s="106"/>
      <c r="L799" s="105" t="s">
        <v>715</v>
      </c>
    </row>
    <row r="800" customFormat="false" ht="48" hidden="false" customHeight="true" outlineLevel="0" collapsed="false">
      <c r="A800" s="99"/>
      <c r="B800" s="100" t="n">
        <v>46405</v>
      </c>
      <c r="C800" s="100" t="n">
        <v>46411</v>
      </c>
      <c r="D800" s="99" t="s">
        <v>640</v>
      </c>
      <c r="E800" s="99" t="n">
        <v>4</v>
      </c>
      <c r="F800" s="101" t="n">
        <v>40</v>
      </c>
      <c r="G800" s="102" t="n">
        <f aca="false">IFERROR(F800/INDEX($G$5:$G$34,MATCH(LOOKUP(2,1/($A$39:A800&lt;&gt;""),$A$39:A800),$A$5:$A$34,0)),0)</f>
        <v>1</v>
      </c>
      <c r="H800" s="103" t="str">
        <f aca="false">IF(G800=0,"空闲",IF(G800&lt;=0.6,"低负荷",IF(G800&lt;=0.85,"正常",IF(G800&lt;=1,"满负荷","超负荷"))))</f>
        <v>满负荷</v>
      </c>
      <c r="I800" s="106" t="s">
        <v>714</v>
      </c>
      <c r="J800" s="106"/>
      <c r="K800" s="106"/>
      <c r="L800" s="105" t="s">
        <v>715</v>
      </c>
    </row>
    <row r="801" customFormat="false" ht="48" hidden="false" customHeight="true" outlineLevel="0" collapsed="false">
      <c r="A801" s="99"/>
      <c r="B801" s="100" t="n">
        <v>46412</v>
      </c>
      <c r="C801" s="100" t="n">
        <v>46418</v>
      </c>
      <c r="D801" s="99" t="s">
        <v>640</v>
      </c>
      <c r="E801" s="99" t="n">
        <v>4</v>
      </c>
      <c r="F801" s="101" t="n">
        <v>40</v>
      </c>
      <c r="G801" s="102" t="n">
        <f aca="false">IFERROR(F801/INDEX($G$5:$G$34,MATCH(LOOKUP(2,1/($A$39:A801&lt;&gt;""),$A$39:A801),$A$5:$A$34,0)),0)</f>
        <v>1</v>
      </c>
      <c r="H801" s="103" t="str">
        <f aca="false">IF(G801=0,"空闲",IF(G801&lt;=0.6,"低负荷",IF(G801&lt;=0.85,"正常",IF(G801&lt;=1,"满负荷","超负荷"))))</f>
        <v>满负荷</v>
      </c>
      <c r="I801" s="106" t="s">
        <v>714</v>
      </c>
      <c r="J801" s="106"/>
      <c r="K801" s="106"/>
      <c r="L801" s="105" t="s">
        <v>715</v>
      </c>
    </row>
    <row r="802" customFormat="false" ht="48" hidden="false" customHeight="true" outlineLevel="0" collapsed="false">
      <c r="A802" s="99"/>
      <c r="B802" s="100" t="n">
        <v>46419</v>
      </c>
      <c r="C802" s="100" t="n">
        <v>46425</v>
      </c>
      <c r="D802" s="99" t="s">
        <v>640</v>
      </c>
      <c r="E802" s="99" t="n">
        <v>5</v>
      </c>
      <c r="F802" s="101" t="n">
        <v>40</v>
      </c>
      <c r="G802" s="102" t="n">
        <f aca="false">IFERROR(F802/INDEX($G$5:$G$34,MATCH(LOOKUP(2,1/($A$39:A802&lt;&gt;""),$A$39:A802),$A$5:$A$34,0)),0)</f>
        <v>1</v>
      </c>
      <c r="H802" s="103" t="str">
        <f aca="false">IF(G802=0,"空闲",IF(G802&lt;=0.6,"低负荷",IF(G802&lt;=0.85,"正常",IF(G802&lt;=1,"满负荷","超负荷"))))</f>
        <v>满负荷</v>
      </c>
      <c r="I802" s="106" t="s">
        <v>735</v>
      </c>
      <c r="J802" s="106"/>
      <c r="K802" s="106"/>
      <c r="L802" s="105" t="s">
        <v>717</v>
      </c>
    </row>
    <row r="803" customFormat="false" ht="48" hidden="false" customHeight="true" outlineLevel="0" collapsed="false">
      <c r="A803" s="99"/>
      <c r="B803" s="100" t="n">
        <v>46426</v>
      </c>
      <c r="C803" s="100" t="n">
        <v>46432</v>
      </c>
      <c r="D803" s="99" t="s">
        <v>640</v>
      </c>
      <c r="E803" s="99" t="n">
        <v>5</v>
      </c>
      <c r="F803" s="101" t="n">
        <v>40</v>
      </c>
      <c r="G803" s="102" t="n">
        <f aca="false">IFERROR(F803/INDEX($G$5:$G$34,MATCH(LOOKUP(2,1/($A$39:A803&lt;&gt;""),$A$39:A803),$A$5:$A$34,0)),0)</f>
        <v>1</v>
      </c>
      <c r="H803" s="103" t="str">
        <f aca="false">IF(G803=0,"空闲",IF(G803&lt;=0.6,"低负荷",IF(G803&lt;=0.85,"正常",IF(G803&lt;=1,"满负荷","超负荷"))))</f>
        <v>满负荷</v>
      </c>
      <c r="I803" s="106" t="s">
        <v>735</v>
      </c>
      <c r="J803" s="106"/>
      <c r="K803" s="106"/>
      <c r="L803" s="105" t="s">
        <v>717</v>
      </c>
    </row>
    <row r="804" customFormat="false" ht="48" hidden="false" customHeight="true" outlineLevel="0" collapsed="false">
      <c r="A804" s="99"/>
      <c r="B804" s="100" t="n">
        <v>46433</v>
      </c>
      <c r="C804" s="100" t="n">
        <v>46439</v>
      </c>
      <c r="D804" s="99" t="s">
        <v>640</v>
      </c>
      <c r="E804" s="99" t="n">
        <v>8</v>
      </c>
      <c r="F804" s="101" t="n">
        <v>40</v>
      </c>
      <c r="G804" s="102" t="n">
        <f aca="false">IFERROR(F804/INDEX($G$5:$G$34,MATCH(LOOKUP(2,1/($A$39:A804&lt;&gt;""),$A$39:A804),$A$5:$A$34,0)),0)</f>
        <v>1</v>
      </c>
      <c r="H804" s="103" t="str">
        <f aca="false">IF(G804=0,"空闲",IF(G804&lt;=0.6,"低负荷",IF(G804&lt;=0.85,"正常",IF(G804&lt;=1,"满负荷","超负荷"))))</f>
        <v>满负荷</v>
      </c>
      <c r="I804" s="106" t="s">
        <v>736</v>
      </c>
      <c r="J804" s="106"/>
      <c r="K804" s="106"/>
      <c r="L804" s="105" t="s">
        <v>674</v>
      </c>
    </row>
    <row r="805" customFormat="false" ht="48" hidden="false" customHeight="true" outlineLevel="0" collapsed="false">
      <c r="A805" s="99"/>
      <c r="B805" s="100" t="n">
        <v>46440</v>
      </c>
      <c r="C805" s="100" t="n">
        <v>46446</v>
      </c>
      <c r="D805" s="99" t="s">
        <v>640</v>
      </c>
      <c r="E805" s="99" t="n">
        <v>8</v>
      </c>
      <c r="F805" s="101" t="n">
        <v>40</v>
      </c>
      <c r="G805" s="102" t="n">
        <f aca="false">IFERROR(F805/INDEX($G$5:$G$34,MATCH(LOOKUP(2,1/($A$39:A805&lt;&gt;""),$A$39:A805),$A$5:$A$34,0)),0)</f>
        <v>1</v>
      </c>
      <c r="H805" s="103" t="str">
        <f aca="false">IF(G805=0,"空闲",IF(G805&lt;=0.6,"低负荷",IF(G805&lt;=0.85,"正常",IF(G805&lt;=1,"满负荷","超负荷"))))</f>
        <v>满负荷</v>
      </c>
      <c r="I805" s="106" t="s">
        <v>736</v>
      </c>
      <c r="J805" s="106"/>
      <c r="K805" s="106"/>
      <c r="L805" s="105" t="s">
        <v>674</v>
      </c>
    </row>
    <row r="806" customFormat="false" ht="48" hidden="false" customHeight="true" outlineLevel="0" collapsed="false">
      <c r="A806" s="99"/>
      <c r="B806" s="100" t="n">
        <v>46447</v>
      </c>
      <c r="C806" s="100" t="n">
        <v>46453</v>
      </c>
      <c r="D806" s="99" t="s">
        <v>640</v>
      </c>
      <c r="E806" s="99" t="n">
        <v>7</v>
      </c>
      <c r="F806" s="101" t="n">
        <v>40</v>
      </c>
      <c r="G806" s="102" t="n">
        <f aca="false">IFERROR(F806/INDEX($G$5:$G$34,MATCH(LOOKUP(2,1/($A$39:A806&lt;&gt;""),$A$39:A806),$A$5:$A$34,0)),0)</f>
        <v>1</v>
      </c>
      <c r="H806" s="103" t="str">
        <f aca="false">IF(G806=0,"空闲",IF(G806&lt;=0.6,"低负荷",IF(G806&lt;=0.85,"正常",IF(G806&lt;=1,"满负荷","超负荷"))))</f>
        <v>满负荷</v>
      </c>
      <c r="I806" s="106" t="s">
        <v>727</v>
      </c>
      <c r="J806" s="106"/>
      <c r="K806" s="106"/>
      <c r="L806" s="105" t="s">
        <v>672</v>
      </c>
    </row>
    <row r="807" customFormat="false" ht="48" hidden="false" customHeight="true" outlineLevel="0" collapsed="false">
      <c r="A807" s="99"/>
      <c r="B807" s="100" t="n">
        <v>46454</v>
      </c>
      <c r="C807" s="100" t="n">
        <v>46460</v>
      </c>
      <c r="D807" s="99" t="s">
        <v>638</v>
      </c>
      <c r="E807" s="99" t="n">
        <v>0</v>
      </c>
      <c r="F807" s="101" t="n">
        <v>0</v>
      </c>
      <c r="G807" s="102" t="n">
        <f aca="false">IFERROR(F807/INDEX($G$5:$G$34,MATCH(LOOKUP(2,1/($A$39:A807&lt;&gt;""),$A$39:A807),$A$5:$A$34,0)),0)</f>
        <v>0</v>
      </c>
      <c r="H807" s="103" t="str">
        <f aca="false">IF(G807=0,"空闲",IF(G807&lt;=0.6,"低负荷",IF(G807&lt;=0.85,"正常",IF(G807&lt;=1,"满负荷","超负荷"))))</f>
        <v>空闲</v>
      </c>
      <c r="I807" s="104" t="s">
        <v>638</v>
      </c>
      <c r="J807" s="104"/>
      <c r="K807" s="104"/>
      <c r="L807" s="105" t="s">
        <v>639</v>
      </c>
    </row>
    <row r="808" customFormat="false" ht="48" hidden="false" customHeight="true" outlineLevel="0" collapsed="false">
      <c r="A808" s="99"/>
      <c r="B808" s="100" t="n">
        <v>46461</v>
      </c>
      <c r="C808" s="100" t="n">
        <v>46467</v>
      </c>
      <c r="D808" s="99" t="s">
        <v>638</v>
      </c>
      <c r="E808" s="99" t="n">
        <v>0</v>
      </c>
      <c r="F808" s="101" t="n">
        <v>0</v>
      </c>
      <c r="G808" s="102" t="n">
        <f aca="false">IFERROR(F808/INDEX($G$5:$G$34,MATCH(LOOKUP(2,1/($A$39:A808&lt;&gt;""),$A$39:A808),$A$5:$A$34,0)),0)</f>
        <v>0</v>
      </c>
      <c r="H808" s="103" t="str">
        <f aca="false">IF(G808=0,"空闲",IF(G808&lt;=0.6,"低负荷",IF(G808&lt;=0.85,"正常",IF(G808&lt;=1,"满负荷","超负荷"))))</f>
        <v>空闲</v>
      </c>
      <c r="I808" s="104" t="s">
        <v>638</v>
      </c>
      <c r="J808" s="104"/>
      <c r="K808" s="104"/>
      <c r="L808" s="105" t="s">
        <v>639</v>
      </c>
    </row>
    <row r="809" customFormat="false" ht="48" hidden="false" customHeight="true" outlineLevel="0" collapsed="false">
      <c r="A809" s="99"/>
      <c r="B809" s="100" t="n">
        <v>46468</v>
      </c>
      <c r="C809" s="100" t="n">
        <v>46474</v>
      </c>
      <c r="D809" s="99" t="s">
        <v>638</v>
      </c>
      <c r="E809" s="99" t="n">
        <v>0</v>
      </c>
      <c r="F809" s="101" t="n">
        <v>0</v>
      </c>
      <c r="G809" s="102" t="n">
        <f aca="false">IFERROR(F809/INDEX($G$5:$G$34,MATCH(LOOKUP(2,1/($A$39:A809&lt;&gt;""),$A$39:A809),$A$5:$A$34,0)),0)</f>
        <v>0</v>
      </c>
      <c r="H809" s="103" t="str">
        <f aca="false">IF(G809=0,"空闲",IF(G809&lt;=0.6,"低负荷",IF(G809&lt;=0.85,"正常",IF(G809&lt;=1,"满负荷","超负荷"))))</f>
        <v>空闲</v>
      </c>
      <c r="I809" s="104" t="s">
        <v>638</v>
      </c>
      <c r="J809" s="104"/>
      <c r="K809" s="104"/>
      <c r="L809" s="105" t="s">
        <v>639</v>
      </c>
    </row>
    <row r="810" customFormat="false" ht="48" hidden="false" customHeight="true" outlineLevel="0" collapsed="false">
      <c r="A810" s="99"/>
      <c r="B810" s="100" t="n">
        <v>46475</v>
      </c>
      <c r="C810" s="100" t="n">
        <v>46481</v>
      </c>
      <c r="D810" s="99" t="s">
        <v>640</v>
      </c>
      <c r="E810" s="99" t="n">
        <v>1</v>
      </c>
      <c r="F810" s="101" t="n">
        <v>40</v>
      </c>
      <c r="G810" s="102" t="n">
        <f aca="false">IFERROR(F810/INDEX($G$5:$G$34,MATCH(LOOKUP(2,1/($A$39:A810&lt;&gt;""),$A$39:A810),$A$5:$A$34,0)),0)</f>
        <v>1</v>
      </c>
      <c r="H810" s="103" t="str">
        <f aca="false">IF(G810=0,"空闲",IF(G810&lt;=0.6,"低负荷",IF(G810&lt;=0.85,"正常",IF(G810&lt;=1,"满负荷","超负荷"))))</f>
        <v>满负荷</v>
      </c>
      <c r="I810" s="106" t="s">
        <v>737</v>
      </c>
      <c r="J810" s="106"/>
      <c r="K810" s="106"/>
      <c r="L810" s="105" t="s">
        <v>642</v>
      </c>
    </row>
    <row r="811" customFormat="false" ht="48" hidden="false" customHeight="true" outlineLevel="0" collapsed="false">
      <c r="A811" s="99"/>
      <c r="B811" s="100" t="n">
        <v>46482</v>
      </c>
      <c r="C811" s="100" t="n">
        <v>46488</v>
      </c>
      <c r="D811" s="99" t="s">
        <v>640</v>
      </c>
      <c r="E811" s="99" t="n">
        <v>1</v>
      </c>
      <c r="F811" s="101" t="n">
        <v>40</v>
      </c>
      <c r="G811" s="102" t="n">
        <f aca="false">IFERROR(F811/INDEX($G$5:$G$34,MATCH(LOOKUP(2,1/($A$39:A811&lt;&gt;""),$A$39:A811),$A$5:$A$34,0)),0)</f>
        <v>1</v>
      </c>
      <c r="H811" s="103" t="str">
        <f aca="false">IF(G811=0,"空闲",IF(G811&lt;=0.6,"低负荷",IF(G811&lt;=0.85,"正常",IF(G811&lt;=1,"满负荷","超负荷"))))</f>
        <v>满负荷</v>
      </c>
      <c r="I811" s="106" t="s">
        <v>737</v>
      </c>
      <c r="J811" s="106"/>
      <c r="K811" s="106"/>
      <c r="L811" s="105" t="s">
        <v>642</v>
      </c>
    </row>
    <row r="812" customFormat="false" ht="48" hidden="false" customHeight="true" outlineLevel="0" collapsed="false">
      <c r="A812" s="99"/>
      <c r="B812" s="100" t="n">
        <v>46489</v>
      </c>
      <c r="C812" s="100" t="n">
        <v>46495</v>
      </c>
      <c r="D812" s="99" t="s">
        <v>638</v>
      </c>
      <c r="E812" s="99" t="n">
        <v>0</v>
      </c>
      <c r="F812" s="101" t="n">
        <v>0</v>
      </c>
      <c r="G812" s="102" t="n">
        <f aca="false">IFERROR(F812/INDEX($G$5:$G$34,MATCH(LOOKUP(2,1/($A$39:A812&lt;&gt;""),$A$39:A812),$A$5:$A$34,0)),0)</f>
        <v>0</v>
      </c>
      <c r="H812" s="103" t="str">
        <f aca="false">IF(G812=0,"空闲",IF(G812&lt;=0.6,"低负荷",IF(G812&lt;=0.85,"正常",IF(G812&lt;=1,"满负荷","超负荷"))))</f>
        <v>空闲</v>
      </c>
      <c r="I812" s="104" t="s">
        <v>638</v>
      </c>
      <c r="J812" s="104"/>
      <c r="K812" s="104"/>
      <c r="L812" s="105" t="s">
        <v>639</v>
      </c>
    </row>
    <row r="813" customFormat="false" ht="48" hidden="false" customHeight="true" outlineLevel="0" collapsed="false">
      <c r="A813" s="99"/>
      <c r="B813" s="100" t="n">
        <v>46496</v>
      </c>
      <c r="C813" s="100" t="n">
        <v>46502</v>
      </c>
      <c r="D813" s="99" t="s">
        <v>638</v>
      </c>
      <c r="E813" s="99" t="n">
        <v>0</v>
      </c>
      <c r="F813" s="101" t="n">
        <v>0</v>
      </c>
      <c r="G813" s="102" t="n">
        <f aca="false">IFERROR(F813/INDEX($G$5:$G$34,MATCH(LOOKUP(2,1/($A$39:A813&lt;&gt;""),$A$39:A813),$A$5:$A$34,0)),0)</f>
        <v>0</v>
      </c>
      <c r="H813" s="103" t="str">
        <f aca="false">IF(G813=0,"空闲",IF(G813&lt;=0.6,"低负荷",IF(G813&lt;=0.85,"正常",IF(G813&lt;=1,"满负荷","超负荷"))))</f>
        <v>空闲</v>
      </c>
      <c r="I813" s="104" t="s">
        <v>638</v>
      </c>
      <c r="J813" s="104"/>
      <c r="K813" s="104"/>
      <c r="L813" s="105" t="s">
        <v>639</v>
      </c>
    </row>
    <row r="814" customFormat="false" ht="48" hidden="false" customHeight="true" outlineLevel="0" collapsed="false">
      <c r="A814" s="99"/>
      <c r="B814" s="100" t="n">
        <v>46503</v>
      </c>
      <c r="C814" s="100" t="n">
        <v>46509</v>
      </c>
      <c r="D814" s="99" t="s">
        <v>638</v>
      </c>
      <c r="E814" s="99" t="n">
        <v>0</v>
      </c>
      <c r="F814" s="101" t="n">
        <v>0</v>
      </c>
      <c r="G814" s="102" t="n">
        <f aca="false">IFERROR(F814/INDEX($G$5:$G$34,MATCH(LOOKUP(2,1/($A$39:A814&lt;&gt;""),$A$39:A814),$A$5:$A$34,0)),0)</f>
        <v>0</v>
      </c>
      <c r="H814" s="103" t="str">
        <f aca="false">IF(G814=0,"空闲",IF(G814&lt;=0.6,"低负荷",IF(G814&lt;=0.85,"正常",IF(G814&lt;=1,"满负荷","超负荷"))))</f>
        <v>空闲</v>
      </c>
      <c r="I814" s="104" t="s">
        <v>638</v>
      </c>
      <c r="J814" s="104"/>
      <c r="K814" s="104"/>
      <c r="L814" s="105" t="s">
        <v>639</v>
      </c>
    </row>
    <row r="815" customFormat="false" ht="48" hidden="false" customHeight="true" outlineLevel="0" collapsed="false">
      <c r="A815" s="99"/>
      <c r="B815" s="100" t="n">
        <v>46510</v>
      </c>
      <c r="C815" s="100" t="n">
        <v>46516</v>
      </c>
      <c r="D815" s="99" t="s">
        <v>638</v>
      </c>
      <c r="E815" s="99" t="n">
        <v>0</v>
      </c>
      <c r="F815" s="101" t="n">
        <v>0</v>
      </c>
      <c r="G815" s="102" t="n">
        <f aca="false">IFERROR(F815/INDEX($G$5:$G$34,MATCH(LOOKUP(2,1/($A$39:A815&lt;&gt;""),$A$39:A815),$A$5:$A$34,0)),0)</f>
        <v>0</v>
      </c>
      <c r="H815" s="103" t="str">
        <f aca="false">IF(G815=0,"空闲",IF(G815&lt;=0.6,"低负荷",IF(G815&lt;=0.85,"正常",IF(G815&lt;=1,"满负荷","超负荷"))))</f>
        <v>空闲</v>
      </c>
      <c r="I815" s="104" t="s">
        <v>638</v>
      </c>
      <c r="J815" s="104"/>
      <c r="K815" s="104"/>
      <c r="L815" s="105" t="s">
        <v>639</v>
      </c>
    </row>
    <row r="816" customFormat="false" ht="48" hidden="false" customHeight="true" outlineLevel="0" collapsed="false">
      <c r="A816" s="99"/>
      <c r="B816" s="100" t="n">
        <v>46517</v>
      </c>
      <c r="C816" s="100" t="n">
        <v>46523</v>
      </c>
      <c r="D816" s="99" t="s">
        <v>638</v>
      </c>
      <c r="E816" s="99" t="n">
        <v>0</v>
      </c>
      <c r="F816" s="101" t="n">
        <v>0</v>
      </c>
      <c r="G816" s="102" t="n">
        <f aca="false">IFERROR(F816/INDEX($G$5:$G$34,MATCH(LOOKUP(2,1/($A$39:A816&lt;&gt;""),$A$39:A816),$A$5:$A$34,0)),0)</f>
        <v>0</v>
      </c>
      <c r="H816" s="103" t="str">
        <f aca="false">IF(G816=0,"空闲",IF(G816&lt;=0.6,"低负荷",IF(G816&lt;=0.85,"正常",IF(G816&lt;=1,"满负荷","超负荷"))))</f>
        <v>空闲</v>
      </c>
      <c r="I816" s="104" t="s">
        <v>638</v>
      </c>
      <c r="J816" s="104"/>
      <c r="K816" s="104"/>
      <c r="L816" s="105" t="s">
        <v>639</v>
      </c>
    </row>
    <row r="817" customFormat="false" ht="48" hidden="false" customHeight="true" outlineLevel="0" collapsed="false">
      <c r="A817" s="99"/>
      <c r="B817" s="100" t="n">
        <v>46524</v>
      </c>
      <c r="C817" s="100" t="n">
        <v>46530</v>
      </c>
      <c r="D817" s="99" t="s">
        <v>638</v>
      </c>
      <c r="E817" s="99" t="n">
        <v>0</v>
      </c>
      <c r="F817" s="101" t="n">
        <v>0</v>
      </c>
      <c r="G817" s="102" t="n">
        <f aca="false">IFERROR(F817/INDEX($G$5:$G$34,MATCH(LOOKUP(2,1/($A$39:A817&lt;&gt;""),$A$39:A817),$A$5:$A$34,0)),0)</f>
        <v>0</v>
      </c>
      <c r="H817" s="103" t="str">
        <f aca="false">IF(G817=0,"空闲",IF(G817&lt;=0.6,"低负荷",IF(G817&lt;=0.85,"正常",IF(G817&lt;=1,"满负荷","超负荷"))))</f>
        <v>空闲</v>
      </c>
      <c r="I817" s="104" t="s">
        <v>638</v>
      </c>
      <c r="J817" s="104"/>
      <c r="K817" s="104"/>
      <c r="L817" s="105" t="s">
        <v>639</v>
      </c>
    </row>
    <row r="818" customFormat="false" ht="48" hidden="false" customHeight="true" outlineLevel="0" collapsed="false">
      <c r="A818" s="99"/>
      <c r="B818" s="100" t="n">
        <v>46531</v>
      </c>
      <c r="C818" s="100" t="n">
        <v>46537</v>
      </c>
      <c r="D818" s="99" t="s">
        <v>638</v>
      </c>
      <c r="E818" s="99" t="n">
        <v>0</v>
      </c>
      <c r="F818" s="101" t="n">
        <v>0</v>
      </c>
      <c r="G818" s="102" t="n">
        <f aca="false">IFERROR(F818/INDEX($G$5:$G$34,MATCH(LOOKUP(2,1/($A$39:A818&lt;&gt;""),$A$39:A818),$A$5:$A$34,0)),0)</f>
        <v>0</v>
      </c>
      <c r="H818" s="103" t="str">
        <f aca="false">IF(G818=0,"空闲",IF(G818&lt;=0.6,"低负荷",IF(G818&lt;=0.85,"正常",IF(G818&lt;=1,"满负荷","超负荷"))))</f>
        <v>空闲</v>
      </c>
      <c r="I818" s="104" t="s">
        <v>638</v>
      </c>
      <c r="J818" s="104"/>
      <c r="K818" s="104"/>
      <c r="L818" s="105" t="s">
        <v>639</v>
      </c>
    </row>
    <row r="819" customFormat="false" ht="48" hidden="false" customHeight="true" outlineLevel="0" collapsed="false">
      <c r="A819" s="99"/>
      <c r="B819" s="100" t="n">
        <v>46538</v>
      </c>
      <c r="C819" s="100" t="n">
        <v>46544</v>
      </c>
      <c r="D819" s="99" t="s">
        <v>638</v>
      </c>
      <c r="E819" s="99" t="n">
        <v>0</v>
      </c>
      <c r="F819" s="101" t="n">
        <v>0</v>
      </c>
      <c r="G819" s="102" t="n">
        <f aca="false">IFERROR(F819/INDEX($G$5:$G$34,MATCH(LOOKUP(2,1/($A$39:A819&lt;&gt;""),$A$39:A819),$A$5:$A$34,0)),0)</f>
        <v>0</v>
      </c>
      <c r="H819" s="103" t="str">
        <f aca="false">IF(G819=0,"空闲",IF(G819&lt;=0.6,"低负荷",IF(G819&lt;=0.85,"正常",IF(G819&lt;=1,"满负荷","超负荷"))))</f>
        <v>空闲</v>
      </c>
      <c r="I819" s="104" t="s">
        <v>638</v>
      </c>
      <c r="J819" s="104"/>
      <c r="K819" s="104"/>
      <c r="L819" s="105" t="s">
        <v>639</v>
      </c>
    </row>
    <row r="820" customFormat="false" ht="48" hidden="false" customHeight="true" outlineLevel="0" collapsed="false">
      <c r="A820" s="99" t="s">
        <v>531</v>
      </c>
      <c r="B820" s="100" t="n">
        <v>46048</v>
      </c>
      <c r="C820" s="100" t="n">
        <v>46054</v>
      </c>
      <c r="D820" s="99" t="s">
        <v>638</v>
      </c>
      <c r="E820" s="99" t="n">
        <v>0</v>
      </c>
      <c r="F820" s="101" t="n">
        <v>0</v>
      </c>
      <c r="G820" s="102" t="n">
        <f aca="false">IFERROR(F820/INDEX($G$5:$G$34,MATCH(LOOKUP(2,1/($A$39:A820&lt;&gt;""),$A$39:A820),$A$5:$A$34,0)),0)</f>
        <v>0</v>
      </c>
      <c r="H820" s="103" t="str">
        <f aca="false">IF(G820=0,"空闲",IF(G820&lt;=0.6,"低负荷",IF(G820&lt;=0.85,"正常",IF(G820&lt;=1,"满负荷","超负荷"))))</f>
        <v>空闲</v>
      </c>
      <c r="I820" s="104" t="s">
        <v>638</v>
      </c>
      <c r="J820" s="104"/>
      <c r="K820" s="104"/>
      <c r="L820" s="105" t="s">
        <v>639</v>
      </c>
    </row>
    <row r="821" customFormat="false" ht="48" hidden="false" customHeight="true" outlineLevel="0" collapsed="false">
      <c r="A821" s="99"/>
      <c r="B821" s="100" t="n">
        <v>46055</v>
      </c>
      <c r="C821" s="100" t="n">
        <v>46061</v>
      </c>
      <c r="D821" s="99" t="s">
        <v>638</v>
      </c>
      <c r="E821" s="99" t="n">
        <v>0</v>
      </c>
      <c r="F821" s="101" t="n">
        <v>0</v>
      </c>
      <c r="G821" s="102" t="n">
        <f aca="false">IFERROR(F821/INDEX($G$5:$G$34,MATCH(LOOKUP(2,1/($A$39:A821&lt;&gt;""),$A$39:A821),$A$5:$A$34,0)),0)</f>
        <v>0</v>
      </c>
      <c r="H821" s="103" t="str">
        <f aca="false">IF(G821=0,"空闲",IF(G821&lt;=0.6,"低负荷",IF(G821&lt;=0.85,"正常",IF(G821&lt;=1,"满负荷","超负荷"))))</f>
        <v>空闲</v>
      </c>
      <c r="I821" s="104" t="s">
        <v>638</v>
      </c>
      <c r="J821" s="104"/>
      <c r="K821" s="104"/>
      <c r="L821" s="105" t="s">
        <v>639</v>
      </c>
    </row>
    <row r="822" customFormat="false" ht="48" hidden="false" customHeight="true" outlineLevel="0" collapsed="false">
      <c r="A822" s="99"/>
      <c r="B822" s="100" t="n">
        <v>46062</v>
      </c>
      <c r="C822" s="100" t="n">
        <v>46068</v>
      </c>
      <c r="D822" s="99" t="s">
        <v>638</v>
      </c>
      <c r="E822" s="99" t="n">
        <v>0</v>
      </c>
      <c r="F822" s="101" t="n">
        <v>0</v>
      </c>
      <c r="G822" s="102" t="n">
        <f aca="false">IFERROR(F822/INDEX($G$5:$G$34,MATCH(LOOKUP(2,1/($A$39:A822&lt;&gt;""),$A$39:A822),$A$5:$A$34,0)),0)</f>
        <v>0</v>
      </c>
      <c r="H822" s="103" t="str">
        <f aca="false">IF(G822=0,"空闲",IF(G822&lt;=0.6,"低负荷",IF(G822&lt;=0.85,"正常",IF(G822&lt;=1,"满负荷","超负荷"))))</f>
        <v>空闲</v>
      </c>
      <c r="I822" s="104" t="s">
        <v>638</v>
      </c>
      <c r="J822" s="104"/>
      <c r="K822" s="104"/>
      <c r="L822" s="105" t="s">
        <v>639</v>
      </c>
    </row>
    <row r="823" customFormat="false" ht="48" hidden="false" customHeight="true" outlineLevel="0" collapsed="false">
      <c r="A823" s="99"/>
      <c r="B823" s="100" t="n">
        <v>46069</v>
      </c>
      <c r="C823" s="100" t="n">
        <v>46075</v>
      </c>
      <c r="D823" s="99" t="s">
        <v>638</v>
      </c>
      <c r="E823" s="99" t="n">
        <v>0</v>
      </c>
      <c r="F823" s="101" t="n">
        <v>0</v>
      </c>
      <c r="G823" s="102" t="n">
        <f aca="false">IFERROR(F823/INDEX($G$5:$G$34,MATCH(LOOKUP(2,1/($A$39:A823&lt;&gt;""),$A$39:A823),$A$5:$A$34,0)),0)</f>
        <v>0</v>
      </c>
      <c r="H823" s="103" t="str">
        <f aca="false">IF(G823=0,"空闲",IF(G823&lt;=0.6,"低负荷",IF(G823&lt;=0.85,"正常",IF(G823&lt;=1,"满负荷","超负荷"))))</f>
        <v>空闲</v>
      </c>
      <c r="I823" s="104" t="s">
        <v>638</v>
      </c>
      <c r="J823" s="104"/>
      <c r="K823" s="104"/>
      <c r="L823" s="105" t="s">
        <v>639</v>
      </c>
    </row>
    <row r="824" customFormat="false" ht="48" hidden="false" customHeight="true" outlineLevel="0" collapsed="false">
      <c r="A824" s="99"/>
      <c r="B824" s="100" t="n">
        <v>46076</v>
      </c>
      <c r="C824" s="100" t="n">
        <v>46082</v>
      </c>
      <c r="D824" s="99" t="s">
        <v>638</v>
      </c>
      <c r="E824" s="99" t="n">
        <v>0</v>
      </c>
      <c r="F824" s="101" t="n">
        <v>0</v>
      </c>
      <c r="G824" s="102" t="n">
        <f aca="false">IFERROR(F824/INDEX($G$5:$G$34,MATCH(LOOKUP(2,1/($A$39:A824&lt;&gt;""),$A$39:A824),$A$5:$A$34,0)),0)</f>
        <v>0</v>
      </c>
      <c r="H824" s="103" t="str">
        <f aca="false">IF(G824=0,"空闲",IF(G824&lt;=0.6,"低负荷",IF(G824&lt;=0.85,"正常",IF(G824&lt;=1,"满负荷","超负荷"))))</f>
        <v>空闲</v>
      </c>
      <c r="I824" s="104" t="s">
        <v>638</v>
      </c>
      <c r="J824" s="104"/>
      <c r="K824" s="104"/>
      <c r="L824" s="105" t="s">
        <v>639</v>
      </c>
    </row>
    <row r="825" customFormat="false" ht="48" hidden="false" customHeight="true" outlineLevel="0" collapsed="false">
      <c r="A825" s="99"/>
      <c r="B825" s="100" t="n">
        <v>46083</v>
      </c>
      <c r="C825" s="100" t="n">
        <v>46089</v>
      </c>
      <c r="D825" s="99" t="s">
        <v>638</v>
      </c>
      <c r="E825" s="99" t="n">
        <v>0</v>
      </c>
      <c r="F825" s="101" t="n">
        <v>0</v>
      </c>
      <c r="G825" s="102" t="n">
        <f aca="false">IFERROR(F825/INDEX($G$5:$G$34,MATCH(LOOKUP(2,1/($A$39:A825&lt;&gt;""),$A$39:A825),$A$5:$A$34,0)),0)</f>
        <v>0</v>
      </c>
      <c r="H825" s="103" t="str">
        <f aca="false">IF(G825=0,"空闲",IF(G825&lt;=0.6,"低负荷",IF(G825&lt;=0.85,"正常",IF(G825&lt;=1,"满负荷","超负荷"))))</f>
        <v>空闲</v>
      </c>
      <c r="I825" s="104" t="s">
        <v>638</v>
      </c>
      <c r="J825" s="104"/>
      <c r="K825" s="104"/>
      <c r="L825" s="105" t="s">
        <v>639</v>
      </c>
    </row>
    <row r="826" customFormat="false" ht="48" hidden="false" customHeight="true" outlineLevel="0" collapsed="false">
      <c r="A826" s="99"/>
      <c r="B826" s="100" t="n">
        <v>46090</v>
      </c>
      <c r="C826" s="100" t="n">
        <v>46096</v>
      </c>
      <c r="D826" s="99" t="s">
        <v>638</v>
      </c>
      <c r="E826" s="99" t="n">
        <v>0</v>
      </c>
      <c r="F826" s="101" t="n">
        <v>0</v>
      </c>
      <c r="G826" s="102" t="n">
        <f aca="false">IFERROR(F826/INDEX($G$5:$G$34,MATCH(LOOKUP(2,1/($A$39:A826&lt;&gt;""),$A$39:A826),$A$5:$A$34,0)),0)</f>
        <v>0</v>
      </c>
      <c r="H826" s="103" t="str">
        <f aca="false">IF(G826=0,"空闲",IF(G826&lt;=0.6,"低负荷",IF(G826&lt;=0.85,"正常",IF(G826&lt;=1,"满负荷","超负荷"))))</f>
        <v>空闲</v>
      </c>
      <c r="I826" s="104" t="s">
        <v>638</v>
      </c>
      <c r="J826" s="104"/>
      <c r="K826" s="104"/>
      <c r="L826" s="105" t="s">
        <v>639</v>
      </c>
    </row>
    <row r="827" customFormat="false" ht="48" hidden="false" customHeight="true" outlineLevel="0" collapsed="false">
      <c r="A827" s="99"/>
      <c r="B827" s="100" t="n">
        <v>46097</v>
      </c>
      <c r="C827" s="100" t="n">
        <v>46103</v>
      </c>
      <c r="D827" s="99" t="s">
        <v>638</v>
      </c>
      <c r="E827" s="99" t="n">
        <v>0</v>
      </c>
      <c r="F827" s="101" t="n">
        <v>0</v>
      </c>
      <c r="G827" s="102" t="n">
        <f aca="false">IFERROR(F827/INDEX($G$5:$G$34,MATCH(LOOKUP(2,1/($A$39:A827&lt;&gt;""),$A$39:A827),$A$5:$A$34,0)),0)</f>
        <v>0</v>
      </c>
      <c r="H827" s="103" t="str">
        <f aca="false">IF(G827=0,"空闲",IF(G827&lt;=0.6,"低负荷",IF(G827&lt;=0.85,"正常",IF(G827&lt;=1,"满负荷","超负荷"))))</f>
        <v>空闲</v>
      </c>
      <c r="I827" s="104" t="s">
        <v>638</v>
      </c>
      <c r="J827" s="104"/>
      <c r="K827" s="104"/>
      <c r="L827" s="105" t="s">
        <v>639</v>
      </c>
    </row>
    <row r="828" customFormat="false" ht="48" hidden="false" customHeight="true" outlineLevel="0" collapsed="false">
      <c r="A828" s="99"/>
      <c r="B828" s="100" t="n">
        <v>46104</v>
      </c>
      <c r="C828" s="100" t="n">
        <v>46110</v>
      </c>
      <c r="D828" s="99" t="s">
        <v>638</v>
      </c>
      <c r="E828" s="99" t="n">
        <v>0</v>
      </c>
      <c r="F828" s="101" t="n">
        <v>0</v>
      </c>
      <c r="G828" s="102" t="n">
        <f aca="false">IFERROR(F828/INDEX($G$5:$G$34,MATCH(LOOKUP(2,1/($A$39:A828&lt;&gt;""),$A$39:A828),$A$5:$A$34,0)),0)</f>
        <v>0</v>
      </c>
      <c r="H828" s="103" t="str">
        <f aca="false">IF(G828=0,"空闲",IF(G828&lt;=0.6,"低负荷",IF(G828&lt;=0.85,"正常",IF(G828&lt;=1,"满负荷","超负荷"))))</f>
        <v>空闲</v>
      </c>
      <c r="I828" s="104" t="s">
        <v>638</v>
      </c>
      <c r="J828" s="104"/>
      <c r="K828" s="104"/>
      <c r="L828" s="105" t="s">
        <v>639</v>
      </c>
    </row>
    <row r="829" customFormat="false" ht="48" hidden="false" customHeight="true" outlineLevel="0" collapsed="false">
      <c r="A829" s="99"/>
      <c r="B829" s="100" t="n">
        <v>46111</v>
      </c>
      <c r="C829" s="100" t="n">
        <v>46117</v>
      </c>
      <c r="D829" s="99" t="s">
        <v>638</v>
      </c>
      <c r="E829" s="99" t="n">
        <v>0</v>
      </c>
      <c r="F829" s="101" t="n">
        <v>0</v>
      </c>
      <c r="G829" s="102" t="n">
        <f aca="false">IFERROR(F829/INDEX($G$5:$G$34,MATCH(LOOKUP(2,1/($A$39:A829&lt;&gt;""),$A$39:A829),$A$5:$A$34,0)),0)</f>
        <v>0</v>
      </c>
      <c r="H829" s="103" t="str">
        <f aca="false">IF(G829=0,"空闲",IF(G829&lt;=0.6,"低负荷",IF(G829&lt;=0.85,"正常",IF(G829&lt;=1,"满负荷","超负荷"))))</f>
        <v>空闲</v>
      </c>
      <c r="I829" s="104" t="s">
        <v>638</v>
      </c>
      <c r="J829" s="104"/>
      <c r="K829" s="104"/>
      <c r="L829" s="105" t="s">
        <v>639</v>
      </c>
    </row>
    <row r="830" customFormat="false" ht="48" hidden="false" customHeight="true" outlineLevel="0" collapsed="false">
      <c r="A830" s="99"/>
      <c r="B830" s="100" t="n">
        <v>46118</v>
      </c>
      <c r="C830" s="100" t="n">
        <v>46124</v>
      </c>
      <c r="D830" s="99" t="s">
        <v>638</v>
      </c>
      <c r="E830" s="99" t="n">
        <v>0</v>
      </c>
      <c r="F830" s="101" t="n">
        <v>0</v>
      </c>
      <c r="G830" s="102" t="n">
        <f aca="false">IFERROR(F830/INDEX($G$5:$G$34,MATCH(LOOKUP(2,1/($A$39:A830&lt;&gt;""),$A$39:A830),$A$5:$A$34,0)),0)</f>
        <v>0</v>
      </c>
      <c r="H830" s="103" t="str">
        <f aca="false">IF(G830=0,"空闲",IF(G830&lt;=0.6,"低负荷",IF(G830&lt;=0.85,"正常",IF(G830&lt;=1,"满负荷","超负荷"))))</f>
        <v>空闲</v>
      </c>
      <c r="I830" s="104" t="s">
        <v>638</v>
      </c>
      <c r="J830" s="104"/>
      <c r="K830" s="104"/>
      <c r="L830" s="105" t="s">
        <v>639</v>
      </c>
    </row>
    <row r="831" customFormat="false" ht="48" hidden="false" customHeight="true" outlineLevel="0" collapsed="false">
      <c r="A831" s="99"/>
      <c r="B831" s="100" t="n">
        <v>46125</v>
      </c>
      <c r="C831" s="100" t="n">
        <v>46131</v>
      </c>
      <c r="D831" s="99" t="s">
        <v>638</v>
      </c>
      <c r="E831" s="99" t="n">
        <v>0</v>
      </c>
      <c r="F831" s="101" t="n">
        <v>0</v>
      </c>
      <c r="G831" s="102" t="n">
        <f aca="false">IFERROR(F831/INDEX($G$5:$G$34,MATCH(LOOKUP(2,1/($A$39:A831&lt;&gt;""),$A$39:A831),$A$5:$A$34,0)),0)</f>
        <v>0</v>
      </c>
      <c r="H831" s="103" t="str">
        <f aca="false">IF(G831=0,"空闲",IF(G831&lt;=0.6,"低负荷",IF(G831&lt;=0.85,"正常",IF(G831&lt;=1,"满负荷","超负荷"))))</f>
        <v>空闲</v>
      </c>
      <c r="I831" s="104" t="s">
        <v>638</v>
      </c>
      <c r="J831" s="104"/>
      <c r="K831" s="104"/>
      <c r="L831" s="105" t="s">
        <v>639</v>
      </c>
    </row>
    <row r="832" customFormat="false" ht="48" hidden="false" customHeight="true" outlineLevel="0" collapsed="false">
      <c r="A832" s="99"/>
      <c r="B832" s="100" t="n">
        <v>46132</v>
      </c>
      <c r="C832" s="100" t="n">
        <v>46138</v>
      </c>
      <c r="D832" s="99" t="s">
        <v>638</v>
      </c>
      <c r="E832" s="99" t="n">
        <v>0</v>
      </c>
      <c r="F832" s="101" t="n">
        <v>0</v>
      </c>
      <c r="G832" s="102" t="n">
        <f aca="false">IFERROR(F832/INDEX($G$5:$G$34,MATCH(LOOKUP(2,1/($A$39:A832&lt;&gt;""),$A$39:A832),$A$5:$A$34,0)),0)</f>
        <v>0</v>
      </c>
      <c r="H832" s="103" t="str">
        <f aca="false">IF(G832=0,"空闲",IF(G832&lt;=0.6,"低负荷",IF(G832&lt;=0.85,"正常",IF(G832&lt;=1,"满负荷","超负荷"))))</f>
        <v>空闲</v>
      </c>
      <c r="I832" s="104" t="s">
        <v>638</v>
      </c>
      <c r="J832" s="104"/>
      <c r="K832" s="104"/>
      <c r="L832" s="105" t="s">
        <v>639</v>
      </c>
    </row>
    <row r="833" customFormat="false" ht="48" hidden="false" customHeight="true" outlineLevel="0" collapsed="false">
      <c r="A833" s="99"/>
      <c r="B833" s="100" t="n">
        <v>46139</v>
      </c>
      <c r="C833" s="100" t="n">
        <v>46145</v>
      </c>
      <c r="D833" s="99" t="s">
        <v>638</v>
      </c>
      <c r="E833" s="99" t="n">
        <v>0</v>
      </c>
      <c r="F833" s="101" t="n">
        <v>0</v>
      </c>
      <c r="G833" s="102" t="n">
        <f aca="false">IFERROR(F833/INDEX($G$5:$G$34,MATCH(LOOKUP(2,1/($A$39:A833&lt;&gt;""),$A$39:A833),$A$5:$A$34,0)),0)</f>
        <v>0</v>
      </c>
      <c r="H833" s="103" t="str">
        <f aca="false">IF(G833=0,"空闲",IF(G833&lt;=0.6,"低负荷",IF(G833&lt;=0.85,"正常",IF(G833&lt;=1,"满负荷","超负荷"))))</f>
        <v>空闲</v>
      </c>
      <c r="I833" s="104" t="s">
        <v>638</v>
      </c>
      <c r="J833" s="104"/>
      <c r="K833" s="104"/>
      <c r="L833" s="105" t="s">
        <v>639</v>
      </c>
    </row>
    <row r="834" customFormat="false" ht="48" hidden="false" customHeight="true" outlineLevel="0" collapsed="false">
      <c r="A834" s="99"/>
      <c r="B834" s="100" t="n">
        <v>46146</v>
      </c>
      <c r="C834" s="100" t="n">
        <v>46152</v>
      </c>
      <c r="D834" s="99" t="s">
        <v>638</v>
      </c>
      <c r="E834" s="99" t="n">
        <v>0</v>
      </c>
      <c r="F834" s="101" t="n">
        <v>0</v>
      </c>
      <c r="G834" s="102" t="n">
        <f aca="false">IFERROR(F834/INDEX($G$5:$G$34,MATCH(LOOKUP(2,1/($A$39:A834&lt;&gt;""),$A$39:A834),$A$5:$A$34,0)),0)</f>
        <v>0</v>
      </c>
      <c r="H834" s="103" t="str">
        <f aca="false">IF(G834=0,"空闲",IF(G834&lt;=0.6,"低负荷",IF(G834&lt;=0.85,"正常",IF(G834&lt;=1,"满负荷","超负荷"))))</f>
        <v>空闲</v>
      </c>
      <c r="I834" s="104" t="s">
        <v>638</v>
      </c>
      <c r="J834" s="104"/>
      <c r="K834" s="104"/>
      <c r="L834" s="105" t="s">
        <v>639</v>
      </c>
    </row>
    <row r="835" customFormat="false" ht="48" hidden="false" customHeight="true" outlineLevel="0" collapsed="false">
      <c r="A835" s="99"/>
      <c r="B835" s="100" t="n">
        <v>46153</v>
      </c>
      <c r="C835" s="100" t="n">
        <v>46159</v>
      </c>
      <c r="D835" s="99" t="s">
        <v>638</v>
      </c>
      <c r="E835" s="99" t="n">
        <v>0</v>
      </c>
      <c r="F835" s="101" t="n">
        <v>0</v>
      </c>
      <c r="G835" s="102" t="n">
        <f aca="false">IFERROR(F835/INDEX($G$5:$G$34,MATCH(LOOKUP(2,1/($A$39:A835&lt;&gt;""),$A$39:A835),$A$5:$A$34,0)),0)</f>
        <v>0</v>
      </c>
      <c r="H835" s="103" t="str">
        <f aca="false">IF(G835=0,"空闲",IF(G835&lt;=0.6,"低负荷",IF(G835&lt;=0.85,"正常",IF(G835&lt;=1,"满负荷","超负荷"))))</f>
        <v>空闲</v>
      </c>
      <c r="I835" s="104" t="s">
        <v>638</v>
      </c>
      <c r="J835" s="104"/>
      <c r="K835" s="104"/>
      <c r="L835" s="105" t="s">
        <v>639</v>
      </c>
    </row>
    <row r="836" customFormat="false" ht="48" hidden="false" customHeight="true" outlineLevel="0" collapsed="false">
      <c r="A836" s="99"/>
      <c r="B836" s="100" t="n">
        <v>46160</v>
      </c>
      <c r="C836" s="100" t="n">
        <v>46166</v>
      </c>
      <c r="D836" s="99" t="s">
        <v>638</v>
      </c>
      <c r="E836" s="99" t="n">
        <v>0</v>
      </c>
      <c r="F836" s="101" t="n">
        <v>0</v>
      </c>
      <c r="G836" s="102" t="n">
        <f aca="false">IFERROR(F836/INDEX($G$5:$G$34,MATCH(LOOKUP(2,1/($A$39:A836&lt;&gt;""),$A$39:A836),$A$5:$A$34,0)),0)</f>
        <v>0</v>
      </c>
      <c r="H836" s="103" t="str">
        <f aca="false">IF(G836=0,"空闲",IF(G836&lt;=0.6,"低负荷",IF(G836&lt;=0.85,"正常",IF(G836&lt;=1,"满负荷","超负荷"))))</f>
        <v>空闲</v>
      </c>
      <c r="I836" s="104" t="s">
        <v>638</v>
      </c>
      <c r="J836" s="104"/>
      <c r="K836" s="104"/>
      <c r="L836" s="105" t="s">
        <v>639</v>
      </c>
    </row>
    <row r="837" customFormat="false" ht="48" hidden="false" customHeight="true" outlineLevel="0" collapsed="false">
      <c r="A837" s="99"/>
      <c r="B837" s="100" t="n">
        <v>46167</v>
      </c>
      <c r="C837" s="100" t="n">
        <v>46173</v>
      </c>
      <c r="D837" s="99" t="s">
        <v>638</v>
      </c>
      <c r="E837" s="99" t="n">
        <v>0</v>
      </c>
      <c r="F837" s="101" t="n">
        <v>0</v>
      </c>
      <c r="G837" s="102" t="n">
        <f aca="false">IFERROR(F837/INDEX($G$5:$G$34,MATCH(LOOKUP(2,1/($A$39:A837&lt;&gt;""),$A$39:A837),$A$5:$A$34,0)),0)</f>
        <v>0</v>
      </c>
      <c r="H837" s="103" t="str">
        <f aca="false">IF(G837=0,"空闲",IF(G837&lt;=0.6,"低负荷",IF(G837&lt;=0.85,"正常",IF(G837&lt;=1,"满负荷","超负荷"))))</f>
        <v>空闲</v>
      </c>
      <c r="I837" s="104" t="s">
        <v>638</v>
      </c>
      <c r="J837" s="104"/>
      <c r="K837" s="104"/>
      <c r="L837" s="105" t="s">
        <v>639</v>
      </c>
    </row>
    <row r="838" customFormat="false" ht="48" hidden="false" customHeight="true" outlineLevel="0" collapsed="false">
      <c r="A838" s="99"/>
      <c r="B838" s="100" t="n">
        <v>46174</v>
      </c>
      <c r="C838" s="100" t="n">
        <v>46180</v>
      </c>
      <c r="D838" s="99" t="s">
        <v>638</v>
      </c>
      <c r="E838" s="99" t="n">
        <v>0</v>
      </c>
      <c r="F838" s="101" t="n">
        <v>0</v>
      </c>
      <c r="G838" s="102" t="n">
        <f aca="false">IFERROR(F838/INDEX($G$5:$G$34,MATCH(LOOKUP(2,1/($A$39:A838&lt;&gt;""),$A$39:A838),$A$5:$A$34,0)),0)</f>
        <v>0</v>
      </c>
      <c r="H838" s="103" t="str">
        <f aca="false">IF(G838=0,"空闲",IF(G838&lt;=0.6,"低负荷",IF(G838&lt;=0.85,"正常",IF(G838&lt;=1,"满负荷","超负荷"))))</f>
        <v>空闲</v>
      </c>
      <c r="I838" s="104" t="s">
        <v>638</v>
      </c>
      <c r="J838" s="104"/>
      <c r="K838" s="104"/>
      <c r="L838" s="105" t="s">
        <v>639</v>
      </c>
    </row>
    <row r="839" customFormat="false" ht="48" hidden="false" customHeight="true" outlineLevel="0" collapsed="false">
      <c r="A839" s="99"/>
      <c r="B839" s="100" t="n">
        <v>46181</v>
      </c>
      <c r="C839" s="100" t="n">
        <v>46187</v>
      </c>
      <c r="D839" s="99" t="s">
        <v>638</v>
      </c>
      <c r="E839" s="99" t="n">
        <v>0</v>
      </c>
      <c r="F839" s="101" t="n">
        <v>0</v>
      </c>
      <c r="G839" s="102" t="n">
        <f aca="false">IFERROR(F839/INDEX($G$5:$G$34,MATCH(LOOKUP(2,1/($A$39:A839&lt;&gt;""),$A$39:A839),$A$5:$A$34,0)),0)</f>
        <v>0</v>
      </c>
      <c r="H839" s="103" t="str">
        <f aca="false">IF(G839=0,"空闲",IF(G839&lt;=0.6,"低负荷",IF(G839&lt;=0.85,"正常",IF(G839&lt;=1,"满负荷","超负荷"))))</f>
        <v>空闲</v>
      </c>
      <c r="I839" s="104" t="s">
        <v>638</v>
      </c>
      <c r="J839" s="104"/>
      <c r="K839" s="104"/>
      <c r="L839" s="105" t="s">
        <v>639</v>
      </c>
    </row>
    <row r="840" customFormat="false" ht="48" hidden="false" customHeight="true" outlineLevel="0" collapsed="false">
      <c r="A840" s="99"/>
      <c r="B840" s="100" t="n">
        <v>46188</v>
      </c>
      <c r="C840" s="100" t="n">
        <v>46194</v>
      </c>
      <c r="D840" s="99" t="s">
        <v>638</v>
      </c>
      <c r="E840" s="99" t="n">
        <v>0</v>
      </c>
      <c r="F840" s="101" t="n">
        <v>0</v>
      </c>
      <c r="G840" s="102" t="n">
        <f aca="false">IFERROR(F840/INDEX($G$5:$G$34,MATCH(LOOKUP(2,1/($A$39:A840&lt;&gt;""),$A$39:A840),$A$5:$A$34,0)),0)</f>
        <v>0</v>
      </c>
      <c r="H840" s="103" t="str">
        <f aca="false">IF(G840=0,"空闲",IF(G840&lt;=0.6,"低负荷",IF(G840&lt;=0.85,"正常",IF(G840&lt;=1,"满负荷","超负荷"))))</f>
        <v>空闲</v>
      </c>
      <c r="I840" s="104" t="s">
        <v>638</v>
      </c>
      <c r="J840" s="104"/>
      <c r="K840" s="104"/>
      <c r="L840" s="105" t="s">
        <v>639</v>
      </c>
    </row>
    <row r="841" customFormat="false" ht="48" hidden="false" customHeight="true" outlineLevel="0" collapsed="false">
      <c r="A841" s="99"/>
      <c r="B841" s="100" t="n">
        <v>46195</v>
      </c>
      <c r="C841" s="100" t="n">
        <v>46201</v>
      </c>
      <c r="D841" s="99" t="s">
        <v>638</v>
      </c>
      <c r="E841" s="99" t="n">
        <v>0</v>
      </c>
      <c r="F841" s="101" t="n">
        <v>0</v>
      </c>
      <c r="G841" s="102" t="n">
        <f aca="false">IFERROR(F841/INDEX($G$5:$G$34,MATCH(LOOKUP(2,1/($A$39:A841&lt;&gt;""),$A$39:A841),$A$5:$A$34,0)),0)</f>
        <v>0</v>
      </c>
      <c r="H841" s="103" t="str">
        <f aca="false">IF(G841=0,"空闲",IF(G841&lt;=0.6,"低负荷",IF(G841&lt;=0.85,"正常",IF(G841&lt;=1,"满负荷","超负荷"))))</f>
        <v>空闲</v>
      </c>
      <c r="I841" s="104" t="s">
        <v>638</v>
      </c>
      <c r="J841" s="104"/>
      <c r="K841" s="104"/>
      <c r="L841" s="105" t="s">
        <v>639</v>
      </c>
    </row>
    <row r="842" customFormat="false" ht="48" hidden="false" customHeight="true" outlineLevel="0" collapsed="false">
      <c r="A842" s="99"/>
      <c r="B842" s="100" t="n">
        <v>46202</v>
      </c>
      <c r="C842" s="100" t="n">
        <v>46208</v>
      </c>
      <c r="D842" s="99" t="s">
        <v>638</v>
      </c>
      <c r="E842" s="99" t="n">
        <v>0</v>
      </c>
      <c r="F842" s="101" t="n">
        <v>0</v>
      </c>
      <c r="G842" s="102" t="n">
        <f aca="false">IFERROR(F842/INDEX($G$5:$G$34,MATCH(LOOKUP(2,1/($A$39:A842&lt;&gt;""),$A$39:A842),$A$5:$A$34,0)),0)</f>
        <v>0</v>
      </c>
      <c r="H842" s="103" t="str">
        <f aca="false">IF(G842=0,"空闲",IF(G842&lt;=0.6,"低负荷",IF(G842&lt;=0.85,"正常",IF(G842&lt;=1,"满负荷","超负荷"))))</f>
        <v>空闲</v>
      </c>
      <c r="I842" s="104" t="s">
        <v>638</v>
      </c>
      <c r="J842" s="104"/>
      <c r="K842" s="104"/>
      <c r="L842" s="105" t="s">
        <v>639</v>
      </c>
    </row>
    <row r="843" customFormat="false" ht="48" hidden="false" customHeight="true" outlineLevel="0" collapsed="false">
      <c r="A843" s="99"/>
      <c r="B843" s="100" t="n">
        <v>46209</v>
      </c>
      <c r="C843" s="100" t="n">
        <v>46215</v>
      </c>
      <c r="D843" s="99" t="s">
        <v>638</v>
      </c>
      <c r="E843" s="99" t="n">
        <v>0</v>
      </c>
      <c r="F843" s="101" t="n">
        <v>0</v>
      </c>
      <c r="G843" s="102" t="n">
        <f aca="false">IFERROR(F843/INDEX($G$5:$G$34,MATCH(LOOKUP(2,1/($A$39:A843&lt;&gt;""),$A$39:A843),$A$5:$A$34,0)),0)</f>
        <v>0</v>
      </c>
      <c r="H843" s="103" t="str">
        <f aca="false">IF(G843=0,"空闲",IF(G843&lt;=0.6,"低负荷",IF(G843&lt;=0.85,"正常",IF(G843&lt;=1,"满负荷","超负荷"))))</f>
        <v>空闲</v>
      </c>
      <c r="I843" s="104" t="s">
        <v>638</v>
      </c>
      <c r="J843" s="104"/>
      <c r="K843" s="104"/>
      <c r="L843" s="105" t="s">
        <v>639</v>
      </c>
    </row>
    <row r="844" customFormat="false" ht="48" hidden="false" customHeight="true" outlineLevel="0" collapsed="false">
      <c r="A844" s="99"/>
      <c r="B844" s="100" t="n">
        <v>46216</v>
      </c>
      <c r="C844" s="100" t="n">
        <v>46222</v>
      </c>
      <c r="D844" s="99" t="s">
        <v>638</v>
      </c>
      <c r="E844" s="99" t="n">
        <v>0</v>
      </c>
      <c r="F844" s="101" t="n">
        <v>0</v>
      </c>
      <c r="G844" s="102" t="n">
        <f aca="false">IFERROR(F844/INDEX($G$5:$G$34,MATCH(LOOKUP(2,1/($A$39:A844&lt;&gt;""),$A$39:A844),$A$5:$A$34,0)),0)</f>
        <v>0</v>
      </c>
      <c r="H844" s="103" t="str">
        <f aca="false">IF(G844=0,"空闲",IF(G844&lt;=0.6,"低负荷",IF(G844&lt;=0.85,"正常",IF(G844&lt;=1,"满负荷","超负荷"))))</f>
        <v>空闲</v>
      </c>
      <c r="I844" s="104" t="s">
        <v>638</v>
      </c>
      <c r="J844" s="104"/>
      <c r="K844" s="104"/>
      <c r="L844" s="105" t="s">
        <v>639</v>
      </c>
    </row>
    <row r="845" customFormat="false" ht="48" hidden="false" customHeight="true" outlineLevel="0" collapsed="false">
      <c r="A845" s="99"/>
      <c r="B845" s="100" t="n">
        <v>46223</v>
      </c>
      <c r="C845" s="100" t="n">
        <v>46229</v>
      </c>
      <c r="D845" s="99" t="s">
        <v>638</v>
      </c>
      <c r="E845" s="99" t="n">
        <v>0</v>
      </c>
      <c r="F845" s="101" t="n">
        <v>0</v>
      </c>
      <c r="G845" s="102" t="n">
        <f aca="false">IFERROR(F845/INDEX($G$5:$G$34,MATCH(LOOKUP(2,1/($A$39:A845&lt;&gt;""),$A$39:A845),$A$5:$A$34,0)),0)</f>
        <v>0</v>
      </c>
      <c r="H845" s="103" t="str">
        <f aca="false">IF(G845=0,"空闲",IF(G845&lt;=0.6,"低负荷",IF(G845&lt;=0.85,"正常",IF(G845&lt;=1,"满负荷","超负荷"))))</f>
        <v>空闲</v>
      </c>
      <c r="I845" s="104" t="s">
        <v>638</v>
      </c>
      <c r="J845" s="104"/>
      <c r="K845" s="104"/>
      <c r="L845" s="105" t="s">
        <v>639</v>
      </c>
    </row>
    <row r="846" customFormat="false" ht="48" hidden="false" customHeight="true" outlineLevel="0" collapsed="false">
      <c r="A846" s="99"/>
      <c r="B846" s="100" t="n">
        <v>46230</v>
      </c>
      <c r="C846" s="100" t="n">
        <v>46236</v>
      </c>
      <c r="D846" s="99" t="s">
        <v>638</v>
      </c>
      <c r="E846" s="99" t="n">
        <v>0</v>
      </c>
      <c r="F846" s="101" t="n">
        <v>0</v>
      </c>
      <c r="G846" s="102" t="n">
        <f aca="false">IFERROR(F846/INDEX($G$5:$G$34,MATCH(LOOKUP(2,1/($A$39:A846&lt;&gt;""),$A$39:A846),$A$5:$A$34,0)),0)</f>
        <v>0</v>
      </c>
      <c r="H846" s="103" t="str">
        <f aca="false">IF(G846=0,"空闲",IF(G846&lt;=0.6,"低负荷",IF(G846&lt;=0.85,"正常",IF(G846&lt;=1,"满负荷","超负荷"))))</f>
        <v>空闲</v>
      </c>
      <c r="I846" s="104" t="s">
        <v>638</v>
      </c>
      <c r="J846" s="104"/>
      <c r="K846" s="104"/>
      <c r="L846" s="105" t="s">
        <v>639</v>
      </c>
    </row>
    <row r="847" customFormat="false" ht="48" hidden="false" customHeight="true" outlineLevel="0" collapsed="false">
      <c r="A847" s="99"/>
      <c r="B847" s="100" t="n">
        <v>46237</v>
      </c>
      <c r="C847" s="100" t="n">
        <v>46243</v>
      </c>
      <c r="D847" s="99" t="s">
        <v>638</v>
      </c>
      <c r="E847" s="99" t="n">
        <v>0</v>
      </c>
      <c r="F847" s="101" t="n">
        <v>0</v>
      </c>
      <c r="G847" s="102" t="n">
        <f aca="false">IFERROR(F847/INDEX($G$5:$G$34,MATCH(LOOKUP(2,1/($A$39:A847&lt;&gt;""),$A$39:A847),$A$5:$A$34,0)),0)</f>
        <v>0</v>
      </c>
      <c r="H847" s="103" t="str">
        <f aca="false">IF(G847=0,"空闲",IF(G847&lt;=0.6,"低负荷",IF(G847&lt;=0.85,"正常",IF(G847&lt;=1,"满负荷","超负荷"))))</f>
        <v>空闲</v>
      </c>
      <c r="I847" s="104" t="s">
        <v>638</v>
      </c>
      <c r="J847" s="104"/>
      <c r="K847" s="104"/>
      <c r="L847" s="105" t="s">
        <v>639</v>
      </c>
    </row>
    <row r="848" customFormat="false" ht="48" hidden="false" customHeight="true" outlineLevel="0" collapsed="false">
      <c r="A848" s="99"/>
      <c r="B848" s="100" t="n">
        <v>46244</v>
      </c>
      <c r="C848" s="100" t="n">
        <v>46250</v>
      </c>
      <c r="D848" s="99" t="s">
        <v>638</v>
      </c>
      <c r="E848" s="99" t="n">
        <v>0</v>
      </c>
      <c r="F848" s="101" t="n">
        <v>0</v>
      </c>
      <c r="G848" s="102" t="n">
        <f aca="false">IFERROR(F848/INDEX($G$5:$G$34,MATCH(LOOKUP(2,1/($A$39:A848&lt;&gt;""),$A$39:A848),$A$5:$A$34,0)),0)</f>
        <v>0</v>
      </c>
      <c r="H848" s="103" t="str">
        <f aca="false">IF(G848=0,"空闲",IF(G848&lt;=0.6,"低负荷",IF(G848&lt;=0.85,"正常",IF(G848&lt;=1,"满负荷","超负荷"))))</f>
        <v>空闲</v>
      </c>
      <c r="I848" s="104" t="s">
        <v>638</v>
      </c>
      <c r="J848" s="104"/>
      <c r="K848" s="104"/>
      <c r="L848" s="105" t="s">
        <v>639</v>
      </c>
    </row>
    <row r="849" customFormat="false" ht="48" hidden="false" customHeight="true" outlineLevel="0" collapsed="false">
      <c r="A849" s="99"/>
      <c r="B849" s="100" t="n">
        <v>46251</v>
      </c>
      <c r="C849" s="100" t="n">
        <v>46257</v>
      </c>
      <c r="D849" s="99" t="s">
        <v>638</v>
      </c>
      <c r="E849" s="99" t="n">
        <v>0</v>
      </c>
      <c r="F849" s="101" t="n">
        <v>0</v>
      </c>
      <c r="G849" s="102" t="n">
        <f aca="false">IFERROR(F849/INDEX($G$5:$G$34,MATCH(LOOKUP(2,1/($A$39:A849&lt;&gt;""),$A$39:A849),$A$5:$A$34,0)),0)</f>
        <v>0</v>
      </c>
      <c r="H849" s="103" t="str">
        <f aca="false">IF(G849=0,"空闲",IF(G849&lt;=0.6,"低负荷",IF(G849&lt;=0.85,"正常",IF(G849&lt;=1,"满负荷","超负荷"))))</f>
        <v>空闲</v>
      </c>
      <c r="I849" s="104" t="s">
        <v>638</v>
      </c>
      <c r="J849" s="104"/>
      <c r="K849" s="104"/>
      <c r="L849" s="105" t="s">
        <v>639</v>
      </c>
    </row>
    <row r="850" customFormat="false" ht="48" hidden="false" customHeight="true" outlineLevel="0" collapsed="false">
      <c r="A850" s="99"/>
      <c r="B850" s="100" t="n">
        <v>46258</v>
      </c>
      <c r="C850" s="100" t="n">
        <v>46264</v>
      </c>
      <c r="D850" s="99" t="s">
        <v>640</v>
      </c>
      <c r="E850" s="99" t="n">
        <v>1</v>
      </c>
      <c r="F850" s="101" t="n">
        <v>40</v>
      </c>
      <c r="G850" s="102" t="n">
        <f aca="false">IFERROR(F850/INDEX($G$5:$G$34,MATCH(LOOKUP(2,1/($A$39:A850&lt;&gt;""),$A$39:A850),$A$5:$A$34,0)),0)</f>
        <v>1</v>
      </c>
      <c r="H850" s="103" t="str">
        <f aca="false">IF(G850=0,"空闲",IF(G850&lt;=0.6,"低负荷",IF(G850&lt;=0.85,"正常",IF(G850&lt;=1,"满负荷","超负荷"))))</f>
        <v>满负荷</v>
      </c>
      <c r="I850" s="106" t="s">
        <v>738</v>
      </c>
      <c r="J850" s="106"/>
      <c r="K850" s="106"/>
      <c r="L850" s="105" t="s">
        <v>642</v>
      </c>
    </row>
    <row r="851" customFormat="false" ht="48" hidden="false" customHeight="true" outlineLevel="0" collapsed="false">
      <c r="A851" s="99"/>
      <c r="B851" s="100" t="n">
        <v>46265</v>
      </c>
      <c r="C851" s="100" t="n">
        <v>46271</v>
      </c>
      <c r="D851" s="99" t="s">
        <v>640</v>
      </c>
      <c r="E851" s="99" t="n">
        <v>1</v>
      </c>
      <c r="F851" s="101" t="n">
        <v>40</v>
      </c>
      <c r="G851" s="102" t="n">
        <f aca="false">IFERROR(F851/INDEX($G$5:$G$34,MATCH(LOOKUP(2,1/($A$39:A851&lt;&gt;""),$A$39:A851),$A$5:$A$34,0)),0)</f>
        <v>1</v>
      </c>
      <c r="H851" s="103" t="str">
        <f aca="false">IF(G851=0,"空闲",IF(G851&lt;=0.6,"低负荷",IF(G851&lt;=0.85,"正常",IF(G851&lt;=1,"满负荷","超负荷"))))</f>
        <v>满负荷</v>
      </c>
      <c r="I851" s="106" t="s">
        <v>738</v>
      </c>
      <c r="J851" s="106"/>
      <c r="K851" s="106"/>
      <c r="L851" s="105" t="s">
        <v>642</v>
      </c>
    </row>
    <row r="852" customFormat="false" ht="48" hidden="false" customHeight="true" outlineLevel="0" collapsed="false">
      <c r="A852" s="99"/>
      <c r="B852" s="100" t="n">
        <v>46272</v>
      </c>
      <c r="C852" s="100" t="n">
        <v>46278</v>
      </c>
      <c r="D852" s="99" t="s">
        <v>638</v>
      </c>
      <c r="E852" s="99" t="n">
        <v>0</v>
      </c>
      <c r="F852" s="101" t="n">
        <v>0</v>
      </c>
      <c r="G852" s="102" t="n">
        <f aca="false">IFERROR(F852/INDEX($G$5:$G$34,MATCH(LOOKUP(2,1/($A$39:A852&lt;&gt;""),$A$39:A852),$A$5:$A$34,0)),0)</f>
        <v>0</v>
      </c>
      <c r="H852" s="103" t="str">
        <f aca="false">IF(G852=0,"空闲",IF(G852&lt;=0.6,"低负荷",IF(G852&lt;=0.85,"正常",IF(G852&lt;=1,"满负荷","超负荷"))))</f>
        <v>空闲</v>
      </c>
      <c r="I852" s="104" t="s">
        <v>638</v>
      </c>
      <c r="J852" s="104"/>
      <c r="K852" s="104"/>
      <c r="L852" s="105" t="s">
        <v>639</v>
      </c>
    </row>
    <row r="853" customFormat="false" ht="48" hidden="false" customHeight="true" outlineLevel="0" collapsed="false">
      <c r="A853" s="99"/>
      <c r="B853" s="100" t="n">
        <v>46279</v>
      </c>
      <c r="C853" s="100" t="n">
        <v>46285</v>
      </c>
      <c r="D853" s="99" t="s">
        <v>638</v>
      </c>
      <c r="E853" s="99" t="n">
        <v>0</v>
      </c>
      <c r="F853" s="101" t="n">
        <v>0</v>
      </c>
      <c r="G853" s="102" t="n">
        <f aca="false">IFERROR(F853/INDEX($G$5:$G$34,MATCH(LOOKUP(2,1/($A$39:A853&lt;&gt;""),$A$39:A853),$A$5:$A$34,0)),0)</f>
        <v>0</v>
      </c>
      <c r="H853" s="103" t="str">
        <f aca="false">IF(G853=0,"空闲",IF(G853&lt;=0.6,"低负荷",IF(G853&lt;=0.85,"正常",IF(G853&lt;=1,"满负荷","超负荷"))))</f>
        <v>空闲</v>
      </c>
      <c r="I853" s="104" t="s">
        <v>638</v>
      </c>
      <c r="J853" s="104"/>
      <c r="K853" s="104"/>
      <c r="L853" s="105" t="s">
        <v>639</v>
      </c>
    </row>
    <row r="854" customFormat="false" ht="48" hidden="false" customHeight="true" outlineLevel="0" collapsed="false">
      <c r="A854" s="99"/>
      <c r="B854" s="100" t="n">
        <v>46286</v>
      </c>
      <c r="C854" s="100" t="n">
        <v>46292</v>
      </c>
      <c r="D854" s="99" t="s">
        <v>638</v>
      </c>
      <c r="E854" s="99" t="n">
        <v>0</v>
      </c>
      <c r="F854" s="101" t="n">
        <v>0</v>
      </c>
      <c r="G854" s="102" t="n">
        <f aca="false">IFERROR(F854/INDEX($G$5:$G$34,MATCH(LOOKUP(2,1/($A$39:A854&lt;&gt;""),$A$39:A854),$A$5:$A$34,0)),0)</f>
        <v>0</v>
      </c>
      <c r="H854" s="103" t="str">
        <f aca="false">IF(G854=0,"空闲",IF(G854&lt;=0.6,"低负荷",IF(G854&lt;=0.85,"正常",IF(G854&lt;=1,"满负荷","超负荷"))))</f>
        <v>空闲</v>
      </c>
      <c r="I854" s="104" t="s">
        <v>638</v>
      </c>
      <c r="J854" s="104"/>
      <c r="K854" s="104"/>
      <c r="L854" s="105" t="s">
        <v>639</v>
      </c>
    </row>
    <row r="855" customFormat="false" ht="48" hidden="false" customHeight="true" outlineLevel="0" collapsed="false">
      <c r="A855" s="99"/>
      <c r="B855" s="100" t="n">
        <v>46293</v>
      </c>
      <c r="C855" s="100" t="n">
        <v>46299</v>
      </c>
      <c r="D855" s="99" t="s">
        <v>638</v>
      </c>
      <c r="E855" s="99" t="n">
        <v>0</v>
      </c>
      <c r="F855" s="101" t="n">
        <v>0</v>
      </c>
      <c r="G855" s="102" t="n">
        <f aca="false">IFERROR(F855/INDEX($G$5:$G$34,MATCH(LOOKUP(2,1/($A$39:A855&lt;&gt;""),$A$39:A855),$A$5:$A$34,0)),0)</f>
        <v>0</v>
      </c>
      <c r="H855" s="103" t="str">
        <f aca="false">IF(G855=0,"空闲",IF(G855&lt;=0.6,"低负荷",IF(G855&lt;=0.85,"正常",IF(G855&lt;=1,"满负荷","超负荷"))))</f>
        <v>空闲</v>
      </c>
      <c r="I855" s="104" t="s">
        <v>638</v>
      </c>
      <c r="J855" s="104"/>
      <c r="K855" s="104"/>
      <c r="L855" s="105" t="s">
        <v>639</v>
      </c>
    </row>
    <row r="856" customFormat="false" ht="48" hidden="false" customHeight="true" outlineLevel="0" collapsed="false">
      <c r="A856" s="99"/>
      <c r="B856" s="100" t="n">
        <v>46300</v>
      </c>
      <c r="C856" s="100" t="n">
        <v>46306</v>
      </c>
      <c r="D856" s="99" t="s">
        <v>638</v>
      </c>
      <c r="E856" s="99" t="n">
        <v>0</v>
      </c>
      <c r="F856" s="101" t="n">
        <v>0</v>
      </c>
      <c r="G856" s="102" t="n">
        <f aca="false">IFERROR(F856/INDEX($G$5:$G$34,MATCH(LOOKUP(2,1/($A$39:A856&lt;&gt;""),$A$39:A856),$A$5:$A$34,0)),0)</f>
        <v>0</v>
      </c>
      <c r="H856" s="103" t="str">
        <f aca="false">IF(G856=0,"空闲",IF(G856&lt;=0.6,"低负荷",IF(G856&lt;=0.85,"正常",IF(G856&lt;=1,"满负荷","超负荷"))))</f>
        <v>空闲</v>
      </c>
      <c r="I856" s="104" t="s">
        <v>638</v>
      </c>
      <c r="J856" s="104"/>
      <c r="K856" s="104"/>
      <c r="L856" s="105" t="s">
        <v>639</v>
      </c>
    </row>
    <row r="857" customFormat="false" ht="48" hidden="false" customHeight="true" outlineLevel="0" collapsed="false">
      <c r="A857" s="99"/>
      <c r="B857" s="100" t="n">
        <v>46307</v>
      </c>
      <c r="C857" s="100" t="n">
        <v>46313</v>
      </c>
      <c r="D857" s="99" t="s">
        <v>638</v>
      </c>
      <c r="E857" s="99" t="n">
        <v>0</v>
      </c>
      <c r="F857" s="101" t="n">
        <v>0</v>
      </c>
      <c r="G857" s="102" t="n">
        <f aca="false">IFERROR(F857/INDEX($G$5:$G$34,MATCH(LOOKUP(2,1/($A$39:A857&lt;&gt;""),$A$39:A857),$A$5:$A$34,0)),0)</f>
        <v>0</v>
      </c>
      <c r="H857" s="103" t="str">
        <f aca="false">IF(G857=0,"空闲",IF(G857&lt;=0.6,"低负荷",IF(G857&lt;=0.85,"正常",IF(G857&lt;=1,"满负荷","超负荷"))))</f>
        <v>空闲</v>
      </c>
      <c r="I857" s="104" t="s">
        <v>638</v>
      </c>
      <c r="J857" s="104"/>
      <c r="K857" s="104"/>
      <c r="L857" s="105" t="s">
        <v>639</v>
      </c>
    </row>
    <row r="858" customFormat="false" ht="48" hidden="false" customHeight="true" outlineLevel="0" collapsed="false">
      <c r="A858" s="99"/>
      <c r="B858" s="100" t="n">
        <v>46314</v>
      </c>
      <c r="C858" s="100" t="n">
        <v>46320</v>
      </c>
      <c r="D858" s="99" t="s">
        <v>638</v>
      </c>
      <c r="E858" s="99" t="n">
        <v>0</v>
      </c>
      <c r="F858" s="101" t="n">
        <v>0</v>
      </c>
      <c r="G858" s="102" t="n">
        <f aca="false">IFERROR(F858/INDEX($G$5:$G$34,MATCH(LOOKUP(2,1/($A$39:A858&lt;&gt;""),$A$39:A858),$A$5:$A$34,0)),0)</f>
        <v>0</v>
      </c>
      <c r="H858" s="103" t="str">
        <f aca="false">IF(G858=0,"空闲",IF(G858&lt;=0.6,"低负荷",IF(G858&lt;=0.85,"正常",IF(G858&lt;=1,"满负荷","超负荷"))))</f>
        <v>空闲</v>
      </c>
      <c r="I858" s="104" t="s">
        <v>638</v>
      </c>
      <c r="J858" s="104"/>
      <c r="K858" s="104"/>
      <c r="L858" s="105" t="s">
        <v>639</v>
      </c>
    </row>
    <row r="859" customFormat="false" ht="48" hidden="false" customHeight="true" outlineLevel="0" collapsed="false">
      <c r="A859" s="99"/>
      <c r="B859" s="100" t="n">
        <v>46321</v>
      </c>
      <c r="C859" s="100" t="n">
        <v>46327</v>
      </c>
      <c r="D859" s="99" t="s">
        <v>638</v>
      </c>
      <c r="E859" s="99" t="n">
        <v>0</v>
      </c>
      <c r="F859" s="101" t="n">
        <v>0</v>
      </c>
      <c r="G859" s="102" t="n">
        <f aca="false">IFERROR(F859/INDEX($G$5:$G$34,MATCH(LOOKUP(2,1/($A$39:A859&lt;&gt;""),$A$39:A859),$A$5:$A$34,0)),0)</f>
        <v>0</v>
      </c>
      <c r="H859" s="103" t="str">
        <f aca="false">IF(G859=0,"空闲",IF(G859&lt;=0.6,"低负荷",IF(G859&lt;=0.85,"正常",IF(G859&lt;=1,"满负荷","超负荷"))))</f>
        <v>空闲</v>
      </c>
      <c r="I859" s="104" t="s">
        <v>638</v>
      </c>
      <c r="J859" s="104"/>
      <c r="K859" s="104"/>
      <c r="L859" s="105" t="s">
        <v>639</v>
      </c>
    </row>
    <row r="860" customFormat="false" ht="48" hidden="false" customHeight="true" outlineLevel="0" collapsed="false">
      <c r="A860" s="99"/>
      <c r="B860" s="100" t="n">
        <v>46328</v>
      </c>
      <c r="C860" s="100" t="n">
        <v>46334</v>
      </c>
      <c r="D860" s="99" t="s">
        <v>638</v>
      </c>
      <c r="E860" s="99" t="n">
        <v>0</v>
      </c>
      <c r="F860" s="101" t="n">
        <v>0</v>
      </c>
      <c r="G860" s="102" t="n">
        <f aca="false">IFERROR(F860/INDEX($G$5:$G$34,MATCH(LOOKUP(2,1/($A$39:A860&lt;&gt;""),$A$39:A860),$A$5:$A$34,0)),0)</f>
        <v>0</v>
      </c>
      <c r="H860" s="103" t="str">
        <f aca="false">IF(G860=0,"空闲",IF(G860&lt;=0.6,"低负荷",IF(G860&lt;=0.85,"正常",IF(G860&lt;=1,"满负荷","超负荷"))))</f>
        <v>空闲</v>
      </c>
      <c r="I860" s="104" t="s">
        <v>638</v>
      </c>
      <c r="J860" s="104"/>
      <c r="K860" s="104"/>
      <c r="L860" s="105" t="s">
        <v>639</v>
      </c>
    </row>
    <row r="861" customFormat="false" ht="48" hidden="false" customHeight="true" outlineLevel="0" collapsed="false">
      <c r="A861" s="99"/>
      <c r="B861" s="100" t="n">
        <v>46335</v>
      </c>
      <c r="C861" s="100" t="n">
        <v>46341</v>
      </c>
      <c r="D861" s="99" t="s">
        <v>638</v>
      </c>
      <c r="E861" s="99" t="n">
        <v>0</v>
      </c>
      <c r="F861" s="101" t="n">
        <v>0</v>
      </c>
      <c r="G861" s="102" t="n">
        <f aca="false">IFERROR(F861/INDEX($G$5:$G$34,MATCH(LOOKUP(2,1/($A$39:A861&lt;&gt;""),$A$39:A861),$A$5:$A$34,0)),0)</f>
        <v>0</v>
      </c>
      <c r="H861" s="103" t="str">
        <f aca="false">IF(G861=0,"空闲",IF(G861&lt;=0.6,"低负荷",IF(G861&lt;=0.85,"正常",IF(G861&lt;=1,"满负荷","超负荷"))))</f>
        <v>空闲</v>
      </c>
      <c r="I861" s="104" t="s">
        <v>638</v>
      </c>
      <c r="J861" s="104"/>
      <c r="K861" s="104"/>
      <c r="L861" s="105" t="s">
        <v>639</v>
      </c>
    </row>
    <row r="862" customFormat="false" ht="48" hidden="false" customHeight="true" outlineLevel="0" collapsed="false">
      <c r="A862" s="99"/>
      <c r="B862" s="100" t="n">
        <v>46342</v>
      </c>
      <c r="C862" s="100" t="n">
        <v>46348</v>
      </c>
      <c r="D862" s="99" t="s">
        <v>638</v>
      </c>
      <c r="E862" s="99" t="n">
        <v>0</v>
      </c>
      <c r="F862" s="101" t="n">
        <v>0</v>
      </c>
      <c r="G862" s="102" t="n">
        <f aca="false">IFERROR(F862/INDEX($G$5:$G$34,MATCH(LOOKUP(2,1/($A$39:A862&lt;&gt;""),$A$39:A862),$A$5:$A$34,0)),0)</f>
        <v>0</v>
      </c>
      <c r="H862" s="103" t="str">
        <f aca="false">IF(G862=0,"空闲",IF(G862&lt;=0.6,"低负荷",IF(G862&lt;=0.85,"正常",IF(G862&lt;=1,"满负荷","超负荷"))))</f>
        <v>空闲</v>
      </c>
      <c r="I862" s="104" t="s">
        <v>638</v>
      </c>
      <c r="J862" s="104"/>
      <c r="K862" s="104"/>
      <c r="L862" s="105" t="s">
        <v>639</v>
      </c>
    </row>
    <row r="863" customFormat="false" ht="48" hidden="false" customHeight="true" outlineLevel="0" collapsed="false">
      <c r="A863" s="99"/>
      <c r="B863" s="100" t="n">
        <v>46349</v>
      </c>
      <c r="C863" s="100" t="n">
        <v>46355</v>
      </c>
      <c r="D863" s="99" t="s">
        <v>640</v>
      </c>
      <c r="E863" s="99" t="n">
        <v>2</v>
      </c>
      <c r="F863" s="101" t="n">
        <v>40</v>
      </c>
      <c r="G863" s="102" t="n">
        <f aca="false">IFERROR(F863/INDEX($G$5:$G$34,MATCH(LOOKUP(2,1/($A$39:A863&lt;&gt;""),$A$39:A863),$A$5:$A$34,0)),0)</f>
        <v>1</v>
      </c>
      <c r="H863" s="103" t="str">
        <f aca="false">IF(G863=0,"空闲",IF(G863&lt;=0.6,"低负荷",IF(G863&lt;=0.85,"正常",IF(G863&lt;=1,"满负荷","超负荷"))))</f>
        <v>满负荷</v>
      </c>
      <c r="I863" s="106" t="s">
        <v>739</v>
      </c>
      <c r="J863" s="106"/>
      <c r="K863" s="106"/>
      <c r="L863" s="105" t="s">
        <v>652</v>
      </c>
    </row>
    <row r="864" customFormat="false" ht="48" hidden="false" customHeight="true" outlineLevel="0" collapsed="false">
      <c r="A864" s="99"/>
      <c r="B864" s="100" t="n">
        <v>46356</v>
      </c>
      <c r="C864" s="100" t="n">
        <v>46362</v>
      </c>
      <c r="D864" s="99" t="s">
        <v>640</v>
      </c>
      <c r="E864" s="99" t="n">
        <v>2</v>
      </c>
      <c r="F864" s="101" t="n">
        <v>40</v>
      </c>
      <c r="G864" s="102" t="n">
        <f aca="false">IFERROR(F864/INDEX($G$5:$G$34,MATCH(LOOKUP(2,1/($A$39:A864&lt;&gt;""),$A$39:A864),$A$5:$A$34,0)),0)</f>
        <v>1</v>
      </c>
      <c r="H864" s="103" t="str">
        <f aca="false">IF(G864=0,"空闲",IF(G864&lt;=0.6,"低负荷",IF(G864&lt;=0.85,"正常",IF(G864&lt;=1,"满负荷","超负荷"))))</f>
        <v>满负荷</v>
      </c>
      <c r="I864" s="106" t="s">
        <v>739</v>
      </c>
      <c r="J864" s="106"/>
      <c r="K864" s="106"/>
      <c r="L864" s="105" t="s">
        <v>652</v>
      </c>
    </row>
    <row r="865" customFormat="false" ht="48" hidden="false" customHeight="true" outlineLevel="0" collapsed="false">
      <c r="A865" s="99"/>
      <c r="B865" s="100" t="n">
        <v>46363</v>
      </c>
      <c r="C865" s="100" t="n">
        <v>46369</v>
      </c>
      <c r="D865" s="99" t="s">
        <v>640</v>
      </c>
      <c r="E865" s="99" t="n">
        <v>4</v>
      </c>
      <c r="F865" s="101" t="n">
        <v>40</v>
      </c>
      <c r="G865" s="102" t="n">
        <f aca="false">IFERROR(F865/INDEX($G$5:$G$34,MATCH(LOOKUP(2,1/($A$39:A865&lt;&gt;""),$A$39:A865),$A$5:$A$34,0)),0)</f>
        <v>1</v>
      </c>
      <c r="H865" s="103" t="str">
        <f aca="false">IF(G865=0,"空闲",IF(G865&lt;=0.6,"低负荷",IF(G865&lt;=0.85,"正常",IF(G865&lt;=1,"满负荷","超负荷"))))</f>
        <v>满负荷</v>
      </c>
      <c r="I865" s="106" t="s">
        <v>740</v>
      </c>
      <c r="J865" s="106"/>
      <c r="K865" s="106"/>
      <c r="L865" s="105" t="s">
        <v>715</v>
      </c>
    </row>
    <row r="866" customFormat="false" ht="48" hidden="false" customHeight="true" outlineLevel="0" collapsed="false">
      <c r="A866" s="99"/>
      <c r="B866" s="100" t="n">
        <v>46370</v>
      </c>
      <c r="C866" s="100" t="n">
        <v>46376</v>
      </c>
      <c r="D866" s="99" t="s">
        <v>640</v>
      </c>
      <c r="E866" s="99" t="n">
        <v>4</v>
      </c>
      <c r="F866" s="101" t="n">
        <v>40</v>
      </c>
      <c r="G866" s="102" t="n">
        <f aca="false">IFERROR(F866/INDEX($G$5:$G$34,MATCH(LOOKUP(2,1/($A$39:A866&lt;&gt;""),$A$39:A866),$A$5:$A$34,0)),0)</f>
        <v>1</v>
      </c>
      <c r="H866" s="103" t="str">
        <f aca="false">IF(G866=0,"空闲",IF(G866&lt;=0.6,"低负荷",IF(G866&lt;=0.85,"正常",IF(G866&lt;=1,"满负荷","超负荷"))))</f>
        <v>满负荷</v>
      </c>
      <c r="I866" s="106" t="s">
        <v>740</v>
      </c>
      <c r="J866" s="106"/>
      <c r="K866" s="106"/>
      <c r="L866" s="105" t="s">
        <v>715</v>
      </c>
    </row>
    <row r="867" customFormat="false" ht="48" hidden="false" customHeight="true" outlineLevel="0" collapsed="false">
      <c r="A867" s="99"/>
      <c r="B867" s="100" t="n">
        <v>46377</v>
      </c>
      <c r="C867" s="100" t="n">
        <v>46383</v>
      </c>
      <c r="D867" s="99" t="s">
        <v>640</v>
      </c>
      <c r="E867" s="99" t="n">
        <v>4</v>
      </c>
      <c r="F867" s="101" t="n">
        <v>40</v>
      </c>
      <c r="G867" s="102" t="n">
        <f aca="false">IFERROR(F867/INDEX($G$5:$G$34,MATCH(LOOKUP(2,1/($A$39:A867&lt;&gt;""),$A$39:A867),$A$5:$A$34,0)),0)</f>
        <v>1</v>
      </c>
      <c r="H867" s="103" t="str">
        <f aca="false">IF(G867=0,"空闲",IF(G867&lt;=0.6,"低负荷",IF(G867&lt;=0.85,"正常",IF(G867&lt;=1,"满负荷","超负荷"))))</f>
        <v>满负荷</v>
      </c>
      <c r="I867" s="106" t="s">
        <v>740</v>
      </c>
      <c r="J867" s="106"/>
      <c r="K867" s="106"/>
      <c r="L867" s="105" t="s">
        <v>715</v>
      </c>
    </row>
    <row r="868" customFormat="false" ht="48" hidden="false" customHeight="true" outlineLevel="0" collapsed="false">
      <c r="A868" s="99"/>
      <c r="B868" s="100" t="n">
        <v>46384</v>
      </c>
      <c r="C868" s="100" t="n">
        <v>46390</v>
      </c>
      <c r="D868" s="99" t="s">
        <v>640</v>
      </c>
      <c r="E868" s="99" t="n">
        <v>4</v>
      </c>
      <c r="F868" s="101" t="n">
        <v>40</v>
      </c>
      <c r="G868" s="102" t="n">
        <f aca="false">IFERROR(F868/INDEX($G$5:$G$34,MATCH(LOOKUP(2,1/($A$39:A868&lt;&gt;""),$A$39:A868),$A$5:$A$34,0)),0)</f>
        <v>1</v>
      </c>
      <c r="H868" s="103" t="str">
        <f aca="false">IF(G868=0,"空闲",IF(G868&lt;=0.6,"低负荷",IF(G868&lt;=0.85,"正常",IF(G868&lt;=1,"满负荷","超负荷"))))</f>
        <v>满负荷</v>
      </c>
      <c r="I868" s="106" t="s">
        <v>740</v>
      </c>
      <c r="J868" s="106"/>
      <c r="K868" s="106"/>
      <c r="L868" s="105" t="s">
        <v>715</v>
      </c>
    </row>
    <row r="869" customFormat="false" ht="48" hidden="false" customHeight="true" outlineLevel="0" collapsed="false">
      <c r="A869" s="99"/>
      <c r="B869" s="100" t="n">
        <v>46391</v>
      </c>
      <c r="C869" s="100" t="n">
        <v>46397</v>
      </c>
      <c r="D869" s="99" t="s">
        <v>640</v>
      </c>
      <c r="E869" s="99" t="n">
        <v>4</v>
      </c>
      <c r="F869" s="101" t="n">
        <v>40</v>
      </c>
      <c r="G869" s="102" t="n">
        <f aca="false">IFERROR(F869/INDEX($G$5:$G$34,MATCH(LOOKUP(2,1/($A$39:A869&lt;&gt;""),$A$39:A869),$A$5:$A$34,0)),0)</f>
        <v>1</v>
      </c>
      <c r="H869" s="103" t="str">
        <f aca="false">IF(G869=0,"空闲",IF(G869&lt;=0.6,"低负荷",IF(G869&lt;=0.85,"正常",IF(G869&lt;=1,"满负荷","超负荷"))))</f>
        <v>满负荷</v>
      </c>
      <c r="I869" s="106" t="s">
        <v>740</v>
      </c>
      <c r="J869" s="106"/>
      <c r="K869" s="106"/>
      <c r="L869" s="105" t="s">
        <v>715</v>
      </c>
    </row>
    <row r="870" customFormat="false" ht="48" hidden="false" customHeight="true" outlineLevel="0" collapsed="false">
      <c r="A870" s="99"/>
      <c r="B870" s="100" t="n">
        <v>46398</v>
      </c>
      <c r="C870" s="100" t="n">
        <v>46404</v>
      </c>
      <c r="D870" s="99" t="s">
        <v>640</v>
      </c>
      <c r="E870" s="99" t="n">
        <v>4</v>
      </c>
      <c r="F870" s="101" t="n">
        <v>40</v>
      </c>
      <c r="G870" s="102" t="n">
        <f aca="false">IFERROR(F870/INDEX($G$5:$G$34,MATCH(LOOKUP(2,1/($A$39:A870&lt;&gt;""),$A$39:A870),$A$5:$A$34,0)),0)</f>
        <v>1</v>
      </c>
      <c r="H870" s="103" t="str">
        <f aca="false">IF(G870=0,"空闲",IF(G870&lt;=0.6,"低负荷",IF(G870&lt;=0.85,"正常",IF(G870&lt;=1,"满负荷","超负荷"))))</f>
        <v>满负荷</v>
      </c>
      <c r="I870" s="106" t="s">
        <v>740</v>
      </c>
      <c r="J870" s="106"/>
      <c r="K870" s="106"/>
      <c r="L870" s="105" t="s">
        <v>715</v>
      </c>
    </row>
    <row r="871" customFormat="false" ht="48" hidden="false" customHeight="true" outlineLevel="0" collapsed="false">
      <c r="A871" s="99"/>
      <c r="B871" s="100" t="n">
        <v>46405</v>
      </c>
      <c r="C871" s="100" t="n">
        <v>46411</v>
      </c>
      <c r="D871" s="99" t="s">
        <v>640</v>
      </c>
      <c r="E871" s="99" t="n">
        <v>4</v>
      </c>
      <c r="F871" s="101" t="n">
        <v>40</v>
      </c>
      <c r="G871" s="102" t="n">
        <f aca="false">IFERROR(F871/INDEX($G$5:$G$34,MATCH(LOOKUP(2,1/($A$39:A871&lt;&gt;""),$A$39:A871),$A$5:$A$34,0)),0)</f>
        <v>1</v>
      </c>
      <c r="H871" s="103" t="str">
        <f aca="false">IF(G871=0,"空闲",IF(G871&lt;=0.6,"低负荷",IF(G871&lt;=0.85,"正常",IF(G871&lt;=1,"满负荷","超负荷"))))</f>
        <v>满负荷</v>
      </c>
      <c r="I871" s="106" t="s">
        <v>740</v>
      </c>
      <c r="J871" s="106"/>
      <c r="K871" s="106"/>
      <c r="L871" s="105" t="s">
        <v>715</v>
      </c>
    </row>
    <row r="872" customFormat="false" ht="48" hidden="false" customHeight="true" outlineLevel="0" collapsed="false">
      <c r="A872" s="99"/>
      <c r="B872" s="100" t="n">
        <v>46412</v>
      </c>
      <c r="C872" s="100" t="n">
        <v>46418</v>
      </c>
      <c r="D872" s="99" t="s">
        <v>640</v>
      </c>
      <c r="E872" s="99" t="n">
        <v>4</v>
      </c>
      <c r="F872" s="101" t="n">
        <v>40</v>
      </c>
      <c r="G872" s="102" t="n">
        <f aca="false">IFERROR(F872/INDEX($G$5:$G$34,MATCH(LOOKUP(2,1/($A$39:A872&lt;&gt;""),$A$39:A872),$A$5:$A$34,0)),0)</f>
        <v>1</v>
      </c>
      <c r="H872" s="103" t="str">
        <f aca="false">IF(G872=0,"空闲",IF(G872&lt;=0.6,"低负荷",IF(G872&lt;=0.85,"正常",IF(G872&lt;=1,"满负荷","超负荷"))))</f>
        <v>满负荷</v>
      </c>
      <c r="I872" s="106" t="s">
        <v>740</v>
      </c>
      <c r="J872" s="106"/>
      <c r="K872" s="106"/>
      <c r="L872" s="105" t="s">
        <v>715</v>
      </c>
    </row>
    <row r="873" customFormat="false" ht="48" hidden="false" customHeight="true" outlineLevel="0" collapsed="false">
      <c r="A873" s="99"/>
      <c r="B873" s="100" t="n">
        <v>46419</v>
      </c>
      <c r="C873" s="100" t="n">
        <v>46425</v>
      </c>
      <c r="D873" s="99" t="s">
        <v>640</v>
      </c>
      <c r="E873" s="99" t="n">
        <v>4</v>
      </c>
      <c r="F873" s="101" t="n">
        <v>40</v>
      </c>
      <c r="G873" s="102" t="n">
        <f aca="false">IFERROR(F873/INDEX($G$5:$G$34,MATCH(LOOKUP(2,1/($A$39:A873&lt;&gt;""),$A$39:A873),$A$5:$A$34,0)),0)</f>
        <v>1</v>
      </c>
      <c r="H873" s="103" t="str">
        <f aca="false">IF(G873=0,"空闲",IF(G873&lt;=0.6,"低负荷",IF(G873&lt;=0.85,"正常",IF(G873&lt;=1,"满负荷","超负荷"))))</f>
        <v>满负荷</v>
      </c>
      <c r="I873" s="106" t="s">
        <v>740</v>
      </c>
      <c r="J873" s="106"/>
      <c r="K873" s="106"/>
      <c r="L873" s="105" t="s">
        <v>715</v>
      </c>
    </row>
    <row r="874" customFormat="false" ht="48" hidden="false" customHeight="true" outlineLevel="0" collapsed="false">
      <c r="A874" s="99"/>
      <c r="B874" s="100" t="n">
        <v>46426</v>
      </c>
      <c r="C874" s="100" t="n">
        <v>46432</v>
      </c>
      <c r="D874" s="99" t="s">
        <v>640</v>
      </c>
      <c r="E874" s="99" t="n">
        <v>4</v>
      </c>
      <c r="F874" s="101" t="n">
        <v>40</v>
      </c>
      <c r="G874" s="102" t="n">
        <f aca="false">IFERROR(F874/INDEX($G$5:$G$34,MATCH(LOOKUP(2,1/($A$39:A874&lt;&gt;""),$A$39:A874),$A$5:$A$34,0)),0)</f>
        <v>1</v>
      </c>
      <c r="H874" s="103" t="str">
        <f aca="false">IF(G874=0,"空闲",IF(G874&lt;=0.6,"低负荷",IF(G874&lt;=0.85,"正常",IF(G874&lt;=1,"满负荷","超负荷"))))</f>
        <v>满负荷</v>
      </c>
      <c r="I874" s="106" t="s">
        <v>740</v>
      </c>
      <c r="J874" s="106"/>
      <c r="K874" s="106"/>
      <c r="L874" s="105" t="s">
        <v>715</v>
      </c>
    </row>
    <row r="875" customFormat="false" ht="48" hidden="false" customHeight="true" outlineLevel="0" collapsed="false">
      <c r="A875" s="99"/>
      <c r="B875" s="100" t="n">
        <v>46433</v>
      </c>
      <c r="C875" s="100" t="n">
        <v>46439</v>
      </c>
      <c r="D875" s="99" t="s">
        <v>638</v>
      </c>
      <c r="E875" s="99" t="n">
        <v>0</v>
      </c>
      <c r="F875" s="101" t="n">
        <v>0</v>
      </c>
      <c r="G875" s="102" t="n">
        <f aca="false">IFERROR(F875/INDEX($G$5:$G$34,MATCH(LOOKUP(2,1/($A$39:A875&lt;&gt;""),$A$39:A875),$A$5:$A$34,0)),0)</f>
        <v>0</v>
      </c>
      <c r="H875" s="103" t="str">
        <f aca="false">IF(G875=0,"空闲",IF(G875&lt;=0.6,"低负荷",IF(G875&lt;=0.85,"正常",IF(G875&lt;=1,"满负荷","超负荷"))))</f>
        <v>空闲</v>
      </c>
      <c r="I875" s="104" t="s">
        <v>638</v>
      </c>
      <c r="J875" s="104"/>
      <c r="K875" s="104"/>
      <c r="L875" s="105" t="s">
        <v>639</v>
      </c>
    </row>
    <row r="876" customFormat="false" ht="48" hidden="false" customHeight="true" outlineLevel="0" collapsed="false">
      <c r="A876" s="99"/>
      <c r="B876" s="100" t="n">
        <v>46440</v>
      </c>
      <c r="C876" s="100" t="n">
        <v>46446</v>
      </c>
      <c r="D876" s="99" t="s">
        <v>638</v>
      </c>
      <c r="E876" s="99" t="n">
        <v>0</v>
      </c>
      <c r="F876" s="101" t="n">
        <v>0</v>
      </c>
      <c r="G876" s="102" t="n">
        <f aca="false">IFERROR(F876/INDEX($G$5:$G$34,MATCH(LOOKUP(2,1/($A$39:A876&lt;&gt;""),$A$39:A876),$A$5:$A$34,0)),0)</f>
        <v>0</v>
      </c>
      <c r="H876" s="103" t="str">
        <f aca="false">IF(G876=0,"空闲",IF(G876&lt;=0.6,"低负荷",IF(G876&lt;=0.85,"正常",IF(G876&lt;=1,"满负荷","超负荷"))))</f>
        <v>空闲</v>
      </c>
      <c r="I876" s="104" t="s">
        <v>638</v>
      </c>
      <c r="J876" s="104"/>
      <c r="K876" s="104"/>
      <c r="L876" s="105" t="s">
        <v>639</v>
      </c>
    </row>
    <row r="877" customFormat="false" ht="48" hidden="false" customHeight="true" outlineLevel="0" collapsed="false">
      <c r="A877" s="99"/>
      <c r="B877" s="100" t="n">
        <v>46447</v>
      </c>
      <c r="C877" s="100" t="n">
        <v>46453</v>
      </c>
      <c r="D877" s="99" t="s">
        <v>640</v>
      </c>
      <c r="E877" s="99" t="n">
        <v>1</v>
      </c>
      <c r="F877" s="101" t="n">
        <v>40</v>
      </c>
      <c r="G877" s="102" t="n">
        <f aca="false">IFERROR(F877/INDEX($G$5:$G$34,MATCH(LOOKUP(2,1/($A$39:A877&lt;&gt;""),$A$39:A877),$A$5:$A$34,0)),0)</f>
        <v>1</v>
      </c>
      <c r="H877" s="103" t="str">
        <f aca="false">IF(G877=0,"空闲",IF(G877&lt;=0.6,"低负荷",IF(G877&lt;=0.85,"正常",IF(G877&lt;=1,"满负荷","超负荷"))))</f>
        <v>满负荷</v>
      </c>
      <c r="I877" s="106" t="s">
        <v>741</v>
      </c>
      <c r="J877" s="106"/>
      <c r="K877" s="106"/>
      <c r="L877" s="105" t="s">
        <v>642</v>
      </c>
    </row>
    <row r="878" customFormat="false" ht="48" hidden="false" customHeight="true" outlineLevel="0" collapsed="false">
      <c r="A878" s="99"/>
      <c r="B878" s="100" t="n">
        <v>46454</v>
      </c>
      <c r="C878" s="100" t="n">
        <v>46460</v>
      </c>
      <c r="D878" s="99" t="s">
        <v>638</v>
      </c>
      <c r="E878" s="99" t="n">
        <v>0</v>
      </c>
      <c r="F878" s="101" t="n">
        <v>0</v>
      </c>
      <c r="G878" s="102" t="n">
        <f aca="false">IFERROR(F878/INDEX($G$5:$G$34,MATCH(LOOKUP(2,1/($A$39:A878&lt;&gt;""),$A$39:A878),$A$5:$A$34,0)),0)</f>
        <v>0</v>
      </c>
      <c r="H878" s="103" t="str">
        <f aca="false">IF(G878=0,"空闲",IF(G878&lt;=0.6,"低负荷",IF(G878&lt;=0.85,"正常",IF(G878&lt;=1,"满负荷","超负荷"))))</f>
        <v>空闲</v>
      </c>
      <c r="I878" s="104" t="s">
        <v>638</v>
      </c>
      <c r="J878" s="104"/>
      <c r="K878" s="104"/>
      <c r="L878" s="105" t="s">
        <v>639</v>
      </c>
    </row>
    <row r="879" customFormat="false" ht="48" hidden="false" customHeight="true" outlineLevel="0" collapsed="false">
      <c r="A879" s="99"/>
      <c r="B879" s="100" t="n">
        <v>46461</v>
      </c>
      <c r="C879" s="100" t="n">
        <v>46467</v>
      </c>
      <c r="D879" s="99" t="s">
        <v>638</v>
      </c>
      <c r="E879" s="99" t="n">
        <v>0</v>
      </c>
      <c r="F879" s="101" t="n">
        <v>0</v>
      </c>
      <c r="G879" s="102" t="n">
        <f aca="false">IFERROR(F879/INDEX($G$5:$G$34,MATCH(LOOKUP(2,1/($A$39:A879&lt;&gt;""),$A$39:A879),$A$5:$A$34,0)),0)</f>
        <v>0</v>
      </c>
      <c r="H879" s="103" t="str">
        <f aca="false">IF(G879=0,"空闲",IF(G879&lt;=0.6,"低负荷",IF(G879&lt;=0.85,"正常",IF(G879&lt;=1,"满负荷","超负荷"))))</f>
        <v>空闲</v>
      </c>
      <c r="I879" s="104" t="s">
        <v>638</v>
      </c>
      <c r="J879" s="104"/>
      <c r="K879" s="104"/>
      <c r="L879" s="105" t="s">
        <v>639</v>
      </c>
    </row>
    <row r="880" customFormat="false" ht="48" hidden="false" customHeight="true" outlineLevel="0" collapsed="false">
      <c r="A880" s="99"/>
      <c r="B880" s="100" t="n">
        <v>46468</v>
      </c>
      <c r="C880" s="100" t="n">
        <v>46474</v>
      </c>
      <c r="D880" s="99" t="s">
        <v>638</v>
      </c>
      <c r="E880" s="99" t="n">
        <v>0</v>
      </c>
      <c r="F880" s="101" t="n">
        <v>0</v>
      </c>
      <c r="G880" s="102" t="n">
        <f aca="false">IFERROR(F880/INDEX($G$5:$G$34,MATCH(LOOKUP(2,1/($A$39:A880&lt;&gt;""),$A$39:A880),$A$5:$A$34,0)),0)</f>
        <v>0</v>
      </c>
      <c r="H880" s="103" t="str">
        <f aca="false">IF(G880=0,"空闲",IF(G880&lt;=0.6,"低负荷",IF(G880&lt;=0.85,"正常",IF(G880&lt;=1,"满负荷","超负荷"))))</f>
        <v>空闲</v>
      </c>
      <c r="I880" s="104" t="s">
        <v>638</v>
      </c>
      <c r="J880" s="104"/>
      <c r="K880" s="104"/>
      <c r="L880" s="105" t="s">
        <v>639</v>
      </c>
    </row>
    <row r="881" customFormat="false" ht="48" hidden="false" customHeight="true" outlineLevel="0" collapsed="false">
      <c r="A881" s="99"/>
      <c r="B881" s="100" t="n">
        <v>46475</v>
      </c>
      <c r="C881" s="100" t="n">
        <v>46481</v>
      </c>
      <c r="D881" s="99" t="s">
        <v>638</v>
      </c>
      <c r="E881" s="99" t="n">
        <v>0</v>
      </c>
      <c r="F881" s="101" t="n">
        <v>0</v>
      </c>
      <c r="G881" s="102" t="n">
        <f aca="false">IFERROR(F881/INDEX($G$5:$G$34,MATCH(LOOKUP(2,1/($A$39:A881&lt;&gt;""),$A$39:A881),$A$5:$A$34,0)),0)</f>
        <v>0</v>
      </c>
      <c r="H881" s="103" t="str">
        <f aca="false">IF(G881=0,"空闲",IF(G881&lt;=0.6,"低负荷",IF(G881&lt;=0.85,"正常",IF(G881&lt;=1,"满负荷","超负荷"))))</f>
        <v>空闲</v>
      </c>
      <c r="I881" s="104" t="s">
        <v>638</v>
      </c>
      <c r="J881" s="104"/>
      <c r="K881" s="104"/>
      <c r="L881" s="105" t="s">
        <v>639</v>
      </c>
    </row>
    <row r="882" customFormat="false" ht="48" hidden="false" customHeight="true" outlineLevel="0" collapsed="false">
      <c r="A882" s="99"/>
      <c r="B882" s="100" t="n">
        <v>46482</v>
      </c>
      <c r="C882" s="100" t="n">
        <v>46488</v>
      </c>
      <c r="D882" s="99" t="s">
        <v>638</v>
      </c>
      <c r="E882" s="99" t="n">
        <v>0</v>
      </c>
      <c r="F882" s="101" t="n">
        <v>0</v>
      </c>
      <c r="G882" s="102" t="n">
        <f aca="false">IFERROR(F882/INDEX($G$5:$G$34,MATCH(LOOKUP(2,1/($A$39:A882&lt;&gt;""),$A$39:A882),$A$5:$A$34,0)),0)</f>
        <v>0</v>
      </c>
      <c r="H882" s="103" t="str">
        <f aca="false">IF(G882=0,"空闲",IF(G882&lt;=0.6,"低负荷",IF(G882&lt;=0.85,"正常",IF(G882&lt;=1,"满负荷","超负荷"))))</f>
        <v>空闲</v>
      </c>
      <c r="I882" s="104" t="s">
        <v>638</v>
      </c>
      <c r="J882" s="104"/>
      <c r="K882" s="104"/>
      <c r="L882" s="105" t="s">
        <v>639</v>
      </c>
    </row>
    <row r="883" customFormat="false" ht="48" hidden="false" customHeight="true" outlineLevel="0" collapsed="false">
      <c r="A883" s="99"/>
      <c r="B883" s="100" t="n">
        <v>46489</v>
      </c>
      <c r="C883" s="100" t="n">
        <v>46495</v>
      </c>
      <c r="D883" s="99" t="s">
        <v>638</v>
      </c>
      <c r="E883" s="99" t="n">
        <v>0</v>
      </c>
      <c r="F883" s="101" t="n">
        <v>0</v>
      </c>
      <c r="G883" s="102" t="n">
        <f aca="false">IFERROR(F883/INDEX($G$5:$G$34,MATCH(LOOKUP(2,1/($A$39:A883&lt;&gt;""),$A$39:A883),$A$5:$A$34,0)),0)</f>
        <v>0</v>
      </c>
      <c r="H883" s="103" t="str">
        <f aca="false">IF(G883=0,"空闲",IF(G883&lt;=0.6,"低负荷",IF(G883&lt;=0.85,"正常",IF(G883&lt;=1,"满负荷","超负荷"))))</f>
        <v>空闲</v>
      </c>
      <c r="I883" s="104" t="s">
        <v>638</v>
      </c>
      <c r="J883" s="104"/>
      <c r="K883" s="104"/>
      <c r="L883" s="105" t="s">
        <v>639</v>
      </c>
    </row>
    <row r="884" customFormat="false" ht="48" hidden="false" customHeight="true" outlineLevel="0" collapsed="false">
      <c r="A884" s="99"/>
      <c r="B884" s="100" t="n">
        <v>46496</v>
      </c>
      <c r="C884" s="100" t="n">
        <v>46502</v>
      </c>
      <c r="D884" s="99" t="s">
        <v>638</v>
      </c>
      <c r="E884" s="99" t="n">
        <v>0</v>
      </c>
      <c r="F884" s="101" t="n">
        <v>0</v>
      </c>
      <c r="G884" s="102" t="n">
        <f aca="false">IFERROR(F884/INDEX($G$5:$G$34,MATCH(LOOKUP(2,1/($A$39:A884&lt;&gt;""),$A$39:A884),$A$5:$A$34,0)),0)</f>
        <v>0</v>
      </c>
      <c r="H884" s="103" t="str">
        <f aca="false">IF(G884=0,"空闲",IF(G884&lt;=0.6,"低负荷",IF(G884&lt;=0.85,"正常",IF(G884&lt;=1,"满负荷","超负荷"))))</f>
        <v>空闲</v>
      </c>
      <c r="I884" s="104" t="s">
        <v>638</v>
      </c>
      <c r="J884" s="104"/>
      <c r="K884" s="104"/>
      <c r="L884" s="105" t="s">
        <v>639</v>
      </c>
    </row>
    <row r="885" customFormat="false" ht="48" hidden="false" customHeight="true" outlineLevel="0" collapsed="false">
      <c r="A885" s="99"/>
      <c r="B885" s="100" t="n">
        <v>46503</v>
      </c>
      <c r="C885" s="100" t="n">
        <v>46509</v>
      </c>
      <c r="D885" s="99" t="s">
        <v>638</v>
      </c>
      <c r="E885" s="99" t="n">
        <v>0</v>
      </c>
      <c r="F885" s="101" t="n">
        <v>0</v>
      </c>
      <c r="G885" s="102" t="n">
        <f aca="false">IFERROR(F885/INDEX($G$5:$G$34,MATCH(LOOKUP(2,1/($A$39:A885&lt;&gt;""),$A$39:A885),$A$5:$A$34,0)),0)</f>
        <v>0</v>
      </c>
      <c r="H885" s="103" t="str">
        <f aca="false">IF(G885=0,"空闲",IF(G885&lt;=0.6,"低负荷",IF(G885&lt;=0.85,"正常",IF(G885&lt;=1,"满负荷","超负荷"))))</f>
        <v>空闲</v>
      </c>
      <c r="I885" s="104" t="s">
        <v>638</v>
      </c>
      <c r="J885" s="104"/>
      <c r="K885" s="104"/>
      <c r="L885" s="105" t="s">
        <v>639</v>
      </c>
    </row>
    <row r="886" customFormat="false" ht="48" hidden="false" customHeight="true" outlineLevel="0" collapsed="false">
      <c r="A886" s="99"/>
      <c r="B886" s="100" t="n">
        <v>46510</v>
      </c>
      <c r="C886" s="100" t="n">
        <v>46516</v>
      </c>
      <c r="D886" s="99" t="s">
        <v>638</v>
      </c>
      <c r="E886" s="99" t="n">
        <v>0</v>
      </c>
      <c r="F886" s="101" t="n">
        <v>0</v>
      </c>
      <c r="G886" s="102" t="n">
        <f aca="false">IFERROR(F886/INDEX($G$5:$G$34,MATCH(LOOKUP(2,1/($A$39:A886&lt;&gt;""),$A$39:A886),$A$5:$A$34,0)),0)</f>
        <v>0</v>
      </c>
      <c r="H886" s="103" t="str">
        <f aca="false">IF(G886=0,"空闲",IF(G886&lt;=0.6,"低负荷",IF(G886&lt;=0.85,"正常",IF(G886&lt;=1,"满负荷","超负荷"))))</f>
        <v>空闲</v>
      </c>
      <c r="I886" s="104" t="s">
        <v>638</v>
      </c>
      <c r="J886" s="104"/>
      <c r="K886" s="104"/>
      <c r="L886" s="105" t="s">
        <v>639</v>
      </c>
    </row>
    <row r="887" customFormat="false" ht="48" hidden="false" customHeight="true" outlineLevel="0" collapsed="false">
      <c r="A887" s="99"/>
      <c r="B887" s="100" t="n">
        <v>46517</v>
      </c>
      <c r="C887" s="100" t="n">
        <v>46523</v>
      </c>
      <c r="D887" s="99" t="s">
        <v>638</v>
      </c>
      <c r="E887" s="99" t="n">
        <v>0</v>
      </c>
      <c r="F887" s="101" t="n">
        <v>0</v>
      </c>
      <c r="G887" s="102" t="n">
        <f aca="false">IFERROR(F887/INDEX($G$5:$G$34,MATCH(LOOKUP(2,1/($A$39:A887&lt;&gt;""),$A$39:A887),$A$5:$A$34,0)),0)</f>
        <v>0</v>
      </c>
      <c r="H887" s="103" t="str">
        <f aca="false">IF(G887=0,"空闲",IF(G887&lt;=0.6,"低负荷",IF(G887&lt;=0.85,"正常",IF(G887&lt;=1,"满负荷","超负荷"))))</f>
        <v>空闲</v>
      </c>
      <c r="I887" s="104" t="s">
        <v>638</v>
      </c>
      <c r="J887" s="104"/>
      <c r="K887" s="104"/>
      <c r="L887" s="105" t="s">
        <v>639</v>
      </c>
    </row>
    <row r="888" customFormat="false" ht="48" hidden="false" customHeight="true" outlineLevel="0" collapsed="false">
      <c r="A888" s="99"/>
      <c r="B888" s="100" t="n">
        <v>46524</v>
      </c>
      <c r="C888" s="100" t="n">
        <v>46530</v>
      </c>
      <c r="D888" s="99" t="s">
        <v>638</v>
      </c>
      <c r="E888" s="99" t="n">
        <v>0</v>
      </c>
      <c r="F888" s="101" t="n">
        <v>0</v>
      </c>
      <c r="G888" s="102" t="n">
        <f aca="false">IFERROR(F888/INDEX($G$5:$G$34,MATCH(LOOKUP(2,1/($A$39:A888&lt;&gt;""),$A$39:A888),$A$5:$A$34,0)),0)</f>
        <v>0</v>
      </c>
      <c r="H888" s="103" t="str">
        <f aca="false">IF(G888=0,"空闲",IF(G888&lt;=0.6,"低负荷",IF(G888&lt;=0.85,"正常",IF(G888&lt;=1,"满负荷","超负荷"))))</f>
        <v>空闲</v>
      </c>
      <c r="I888" s="104" t="s">
        <v>638</v>
      </c>
      <c r="J888" s="104"/>
      <c r="K888" s="104"/>
      <c r="L888" s="105" t="s">
        <v>639</v>
      </c>
    </row>
    <row r="889" customFormat="false" ht="48" hidden="false" customHeight="true" outlineLevel="0" collapsed="false">
      <c r="A889" s="99"/>
      <c r="B889" s="100" t="n">
        <v>46531</v>
      </c>
      <c r="C889" s="100" t="n">
        <v>46537</v>
      </c>
      <c r="D889" s="99" t="s">
        <v>638</v>
      </c>
      <c r="E889" s="99" t="n">
        <v>0</v>
      </c>
      <c r="F889" s="101" t="n">
        <v>0</v>
      </c>
      <c r="G889" s="102" t="n">
        <f aca="false">IFERROR(F889/INDEX($G$5:$G$34,MATCH(LOOKUP(2,1/($A$39:A889&lt;&gt;""),$A$39:A889),$A$5:$A$34,0)),0)</f>
        <v>0</v>
      </c>
      <c r="H889" s="103" t="str">
        <f aca="false">IF(G889=0,"空闲",IF(G889&lt;=0.6,"低负荷",IF(G889&lt;=0.85,"正常",IF(G889&lt;=1,"满负荷","超负荷"))))</f>
        <v>空闲</v>
      </c>
      <c r="I889" s="104" t="s">
        <v>638</v>
      </c>
      <c r="J889" s="104"/>
      <c r="K889" s="104"/>
      <c r="L889" s="105" t="s">
        <v>639</v>
      </c>
    </row>
    <row r="890" customFormat="false" ht="48" hidden="false" customHeight="true" outlineLevel="0" collapsed="false">
      <c r="A890" s="99"/>
      <c r="B890" s="100" t="n">
        <v>46538</v>
      </c>
      <c r="C890" s="100" t="n">
        <v>46544</v>
      </c>
      <c r="D890" s="99" t="s">
        <v>638</v>
      </c>
      <c r="E890" s="99" t="n">
        <v>0</v>
      </c>
      <c r="F890" s="101" t="n">
        <v>0</v>
      </c>
      <c r="G890" s="102" t="n">
        <f aca="false">IFERROR(F890/INDEX($G$5:$G$34,MATCH(LOOKUP(2,1/($A$39:A890&lt;&gt;""),$A$39:A890),$A$5:$A$34,0)),0)</f>
        <v>0</v>
      </c>
      <c r="H890" s="103" t="str">
        <f aca="false">IF(G890=0,"空闲",IF(G890&lt;=0.6,"低负荷",IF(G890&lt;=0.85,"正常",IF(G890&lt;=1,"满负荷","超负荷"))))</f>
        <v>空闲</v>
      </c>
      <c r="I890" s="104" t="s">
        <v>638</v>
      </c>
      <c r="J890" s="104"/>
      <c r="K890" s="104"/>
      <c r="L890" s="105" t="s">
        <v>639</v>
      </c>
    </row>
    <row r="891" customFormat="false" ht="48" hidden="false" customHeight="true" outlineLevel="0" collapsed="false">
      <c r="A891" s="99" t="s">
        <v>546</v>
      </c>
      <c r="B891" s="100" t="n">
        <v>46048</v>
      </c>
      <c r="C891" s="100" t="n">
        <v>46054</v>
      </c>
      <c r="D891" s="99" t="s">
        <v>638</v>
      </c>
      <c r="E891" s="99" t="n">
        <v>0</v>
      </c>
      <c r="F891" s="101" t="n">
        <v>0</v>
      </c>
      <c r="G891" s="102" t="n">
        <f aca="false">IFERROR(F891/INDEX($G$5:$G$34,MATCH(LOOKUP(2,1/($A$39:A891&lt;&gt;""),$A$39:A891),$A$5:$A$34,0)),0)</f>
        <v>0</v>
      </c>
      <c r="H891" s="103" t="str">
        <f aca="false">IF(G891=0,"空闲",IF(G891&lt;=0.6,"低负荷",IF(G891&lt;=0.85,"正常",IF(G891&lt;=1,"满负荷","超负荷"))))</f>
        <v>空闲</v>
      </c>
      <c r="I891" s="104" t="s">
        <v>638</v>
      </c>
      <c r="J891" s="104"/>
      <c r="K891" s="104"/>
      <c r="L891" s="105" t="s">
        <v>639</v>
      </c>
    </row>
    <row r="892" customFormat="false" ht="48" hidden="false" customHeight="true" outlineLevel="0" collapsed="false">
      <c r="A892" s="99"/>
      <c r="B892" s="100" t="n">
        <v>46055</v>
      </c>
      <c r="C892" s="100" t="n">
        <v>46061</v>
      </c>
      <c r="D892" s="99" t="s">
        <v>638</v>
      </c>
      <c r="E892" s="99" t="n">
        <v>0</v>
      </c>
      <c r="F892" s="101" t="n">
        <v>0</v>
      </c>
      <c r="G892" s="102" t="n">
        <f aca="false">IFERROR(F892/INDEX($G$5:$G$34,MATCH(LOOKUP(2,1/($A$39:A892&lt;&gt;""),$A$39:A892),$A$5:$A$34,0)),0)</f>
        <v>0</v>
      </c>
      <c r="H892" s="103" t="str">
        <f aca="false">IF(G892=0,"空闲",IF(G892&lt;=0.6,"低负荷",IF(G892&lt;=0.85,"正常",IF(G892&lt;=1,"满负荷","超负荷"))))</f>
        <v>空闲</v>
      </c>
      <c r="I892" s="104" t="s">
        <v>638</v>
      </c>
      <c r="J892" s="104"/>
      <c r="K892" s="104"/>
      <c r="L892" s="105" t="s">
        <v>639</v>
      </c>
    </row>
    <row r="893" customFormat="false" ht="48" hidden="false" customHeight="true" outlineLevel="0" collapsed="false">
      <c r="A893" s="99"/>
      <c r="B893" s="100" t="n">
        <v>46062</v>
      </c>
      <c r="C893" s="100" t="n">
        <v>46068</v>
      </c>
      <c r="D893" s="99" t="s">
        <v>638</v>
      </c>
      <c r="E893" s="99" t="n">
        <v>0</v>
      </c>
      <c r="F893" s="101" t="n">
        <v>0</v>
      </c>
      <c r="G893" s="102" t="n">
        <f aca="false">IFERROR(F893/INDEX($G$5:$G$34,MATCH(LOOKUP(2,1/($A$39:A893&lt;&gt;""),$A$39:A893),$A$5:$A$34,0)),0)</f>
        <v>0</v>
      </c>
      <c r="H893" s="103" t="str">
        <f aca="false">IF(G893=0,"空闲",IF(G893&lt;=0.6,"低负荷",IF(G893&lt;=0.85,"正常",IF(G893&lt;=1,"满负荷","超负荷"))))</f>
        <v>空闲</v>
      </c>
      <c r="I893" s="104" t="s">
        <v>638</v>
      </c>
      <c r="J893" s="104"/>
      <c r="K893" s="104"/>
      <c r="L893" s="105" t="s">
        <v>639</v>
      </c>
    </row>
    <row r="894" customFormat="false" ht="48" hidden="false" customHeight="true" outlineLevel="0" collapsed="false">
      <c r="A894" s="99"/>
      <c r="B894" s="100" t="n">
        <v>46069</v>
      </c>
      <c r="C894" s="100" t="n">
        <v>46075</v>
      </c>
      <c r="D894" s="99" t="s">
        <v>638</v>
      </c>
      <c r="E894" s="99" t="n">
        <v>0</v>
      </c>
      <c r="F894" s="101" t="n">
        <v>0</v>
      </c>
      <c r="G894" s="102" t="n">
        <f aca="false">IFERROR(F894/INDEX($G$5:$G$34,MATCH(LOOKUP(2,1/($A$39:A894&lt;&gt;""),$A$39:A894),$A$5:$A$34,0)),0)</f>
        <v>0</v>
      </c>
      <c r="H894" s="103" t="str">
        <f aca="false">IF(G894=0,"空闲",IF(G894&lt;=0.6,"低负荷",IF(G894&lt;=0.85,"正常",IF(G894&lt;=1,"满负荷","超负荷"))))</f>
        <v>空闲</v>
      </c>
      <c r="I894" s="104" t="s">
        <v>638</v>
      </c>
      <c r="J894" s="104"/>
      <c r="K894" s="104"/>
      <c r="L894" s="105" t="s">
        <v>639</v>
      </c>
    </row>
    <row r="895" customFormat="false" ht="48" hidden="false" customHeight="true" outlineLevel="0" collapsed="false">
      <c r="A895" s="99"/>
      <c r="B895" s="100" t="n">
        <v>46076</v>
      </c>
      <c r="C895" s="100" t="n">
        <v>46082</v>
      </c>
      <c r="D895" s="99" t="s">
        <v>638</v>
      </c>
      <c r="E895" s="99" t="n">
        <v>0</v>
      </c>
      <c r="F895" s="101" t="n">
        <v>0</v>
      </c>
      <c r="G895" s="102" t="n">
        <f aca="false">IFERROR(F895/INDEX($G$5:$G$34,MATCH(LOOKUP(2,1/($A$39:A895&lt;&gt;""),$A$39:A895),$A$5:$A$34,0)),0)</f>
        <v>0</v>
      </c>
      <c r="H895" s="103" t="str">
        <f aca="false">IF(G895=0,"空闲",IF(G895&lt;=0.6,"低负荷",IF(G895&lt;=0.85,"正常",IF(G895&lt;=1,"满负荷","超负荷"))))</f>
        <v>空闲</v>
      </c>
      <c r="I895" s="104" t="s">
        <v>638</v>
      </c>
      <c r="J895" s="104"/>
      <c r="K895" s="104"/>
      <c r="L895" s="105" t="s">
        <v>639</v>
      </c>
    </row>
    <row r="896" customFormat="false" ht="48" hidden="false" customHeight="true" outlineLevel="0" collapsed="false">
      <c r="A896" s="99"/>
      <c r="B896" s="100" t="n">
        <v>46083</v>
      </c>
      <c r="C896" s="100" t="n">
        <v>46089</v>
      </c>
      <c r="D896" s="99" t="s">
        <v>638</v>
      </c>
      <c r="E896" s="99" t="n">
        <v>0</v>
      </c>
      <c r="F896" s="101" t="n">
        <v>0</v>
      </c>
      <c r="G896" s="102" t="n">
        <f aca="false">IFERROR(F896/INDEX($G$5:$G$34,MATCH(LOOKUP(2,1/($A$39:A896&lt;&gt;""),$A$39:A896),$A$5:$A$34,0)),0)</f>
        <v>0</v>
      </c>
      <c r="H896" s="103" t="str">
        <f aca="false">IF(G896=0,"空闲",IF(G896&lt;=0.6,"低负荷",IF(G896&lt;=0.85,"正常",IF(G896&lt;=1,"满负荷","超负荷"))))</f>
        <v>空闲</v>
      </c>
      <c r="I896" s="104" t="s">
        <v>638</v>
      </c>
      <c r="J896" s="104"/>
      <c r="K896" s="104"/>
      <c r="L896" s="105" t="s">
        <v>639</v>
      </c>
    </row>
    <row r="897" customFormat="false" ht="48" hidden="false" customHeight="true" outlineLevel="0" collapsed="false">
      <c r="A897" s="99"/>
      <c r="B897" s="100" t="n">
        <v>46090</v>
      </c>
      <c r="C897" s="100" t="n">
        <v>46096</v>
      </c>
      <c r="D897" s="99" t="s">
        <v>638</v>
      </c>
      <c r="E897" s="99" t="n">
        <v>0</v>
      </c>
      <c r="F897" s="101" t="n">
        <v>0</v>
      </c>
      <c r="G897" s="102" t="n">
        <f aca="false">IFERROR(F897/INDEX($G$5:$G$34,MATCH(LOOKUP(2,1/($A$39:A897&lt;&gt;""),$A$39:A897),$A$5:$A$34,0)),0)</f>
        <v>0</v>
      </c>
      <c r="H897" s="103" t="str">
        <f aca="false">IF(G897=0,"空闲",IF(G897&lt;=0.6,"低负荷",IF(G897&lt;=0.85,"正常",IF(G897&lt;=1,"满负荷","超负荷"))))</f>
        <v>空闲</v>
      </c>
      <c r="I897" s="104" t="s">
        <v>638</v>
      </c>
      <c r="J897" s="104"/>
      <c r="K897" s="104"/>
      <c r="L897" s="105" t="s">
        <v>639</v>
      </c>
    </row>
    <row r="898" customFormat="false" ht="48" hidden="false" customHeight="true" outlineLevel="0" collapsed="false">
      <c r="A898" s="99"/>
      <c r="B898" s="100" t="n">
        <v>46097</v>
      </c>
      <c r="C898" s="100" t="n">
        <v>46103</v>
      </c>
      <c r="D898" s="99" t="s">
        <v>638</v>
      </c>
      <c r="E898" s="99" t="n">
        <v>0</v>
      </c>
      <c r="F898" s="101" t="n">
        <v>0</v>
      </c>
      <c r="G898" s="102" t="n">
        <f aca="false">IFERROR(F898/INDEX($G$5:$G$34,MATCH(LOOKUP(2,1/($A$39:A898&lt;&gt;""),$A$39:A898),$A$5:$A$34,0)),0)</f>
        <v>0</v>
      </c>
      <c r="H898" s="103" t="str">
        <f aca="false">IF(G898=0,"空闲",IF(G898&lt;=0.6,"低负荷",IF(G898&lt;=0.85,"正常",IF(G898&lt;=1,"满负荷","超负荷"))))</f>
        <v>空闲</v>
      </c>
      <c r="I898" s="104" t="s">
        <v>638</v>
      </c>
      <c r="J898" s="104"/>
      <c r="K898" s="104"/>
      <c r="L898" s="105" t="s">
        <v>639</v>
      </c>
    </row>
    <row r="899" customFormat="false" ht="48" hidden="false" customHeight="true" outlineLevel="0" collapsed="false">
      <c r="A899" s="99"/>
      <c r="B899" s="100" t="n">
        <v>46104</v>
      </c>
      <c r="C899" s="100" t="n">
        <v>46110</v>
      </c>
      <c r="D899" s="99" t="s">
        <v>638</v>
      </c>
      <c r="E899" s="99" t="n">
        <v>0</v>
      </c>
      <c r="F899" s="101" t="n">
        <v>0</v>
      </c>
      <c r="G899" s="102" t="n">
        <f aca="false">IFERROR(F899/INDEX($G$5:$G$34,MATCH(LOOKUP(2,1/($A$39:A899&lt;&gt;""),$A$39:A899),$A$5:$A$34,0)),0)</f>
        <v>0</v>
      </c>
      <c r="H899" s="103" t="str">
        <f aca="false">IF(G899=0,"空闲",IF(G899&lt;=0.6,"低负荷",IF(G899&lt;=0.85,"正常",IF(G899&lt;=1,"满负荷","超负荷"))))</f>
        <v>空闲</v>
      </c>
      <c r="I899" s="104" t="s">
        <v>638</v>
      </c>
      <c r="J899" s="104"/>
      <c r="K899" s="104"/>
      <c r="L899" s="105" t="s">
        <v>639</v>
      </c>
    </row>
    <row r="900" customFormat="false" ht="48" hidden="false" customHeight="true" outlineLevel="0" collapsed="false">
      <c r="A900" s="99"/>
      <c r="B900" s="100" t="n">
        <v>46111</v>
      </c>
      <c r="C900" s="100" t="n">
        <v>46117</v>
      </c>
      <c r="D900" s="99" t="s">
        <v>638</v>
      </c>
      <c r="E900" s="99" t="n">
        <v>0</v>
      </c>
      <c r="F900" s="101" t="n">
        <v>0</v>
      </c>
      <c r="G900" s="102" t="n">
        <f aca="false">IFERROR(F900/INDEX($G$5:$G$34,MATCH(LOOKUP(2,1/($A$39:A900&lt;&gt;""),$A$39:A900),$A$5:$A$34,0)),0)</f>
        <v>0</v>
      </c>
      <c r="H900" s="103" t="str">
        <f aca="false">IF(G900=0,"空闲",IF(G900&lt;=0.6,"低负荷",IF(G900&lt;=0.85,"正常",IF(G900&lt;=1,"满负荷","超负荷"))))</f>
        <v>空闲</v>
      </c>
      <c r="I900" s="104" t="s">
        <v>638</v>
      </c>
      <c r="J900" s="104"/>
      <c r="K900" s="104"/>
      <c r="L900" s="105" t="s">
        <v>639</v>
      </c>
    </row>
    <row r="901" customFormat="false" ht="48" hidden="false" customHeight="true" outlineLevel="0" collapsed="false">
      <c r="A901" s="99"/>
      <c r="B901" s="100" t="n">
        <v>46118</v>
      </c>
      <c r="C901" s="100" t="n">
        <v>46124</v>
      </c>
      <c r="D901" s="99" t="s">
        <v>638</v>
      </c>
      <c r="E901" s="99" t="n">
        <v>0</v>
      </c>
      <c r="F901" s="101" t="n">
        <v>0</v>
      </c>
      <c r="G901" s="102" t="n">
        <f aca="false">IFERROR(F901/INDEX($G$5:$G$34,MATCH(LOOKUP(2,1/($A$39:A901&lt;&gt;""),$A$39:A901),$A$5:$A$34,0)),0)</f>
        <v>0</v>
      </c>
      <c r="H901" s="103" t="str">
        <f aca="false">IF(G901=0,"空闲",IF(G901&lt;=0.6,"低负荷",IF(G901&lt;=0.85,"正常",IF(G901&lt;=1,"满负荷","超负荷"))))</f>
        <v>空闲</v>
      </c>
      <c r="I901" s="104" t="s">
        <v>638</v>
      </c>
      <c r="J901" s="104"/>
      <c r="K901" s="104"/>
      <c r="L901" s="105" t="s">
        <v>639</v>
      </c>
    </row>
    <row r="902" customFormat="false" ht="48" hidden="false" customHeight="true" outlineLevel="0" collapsed="false">
      <c r="A902" s="99"/>
      <c r="B902" s="100" t="n">
        <v>46125</v>
      </c>
      <c r="C902" s="100" t="n">
        <v>46131</v>
      </c>
      <c r="D902" s="99" t="s">
        <v>638</v>
      </c>
      <c r="E902" s="99" t="n">
        <v>0</v>
      </c>
      <c r="F902" s="101" t="n">
        <v>0</v>
      </c>
      <c r="G902" s="102" t="n">
        <f aca="false">IFERROR(F902/INDEX($G$5:$G$34,MATCH(LOOKUP(2,1/($A$39:A902&lt;&gt;""),$A$39:A902),$A$5:$A$34,0)),0)</f>
        <v>0</v>
      </c>
      <c r="H902" s="103" t="str">
        <f aca="false">IF(G902=0,"空闲",IF(G902&lt;=0.6,"低负荷",IF(G902&lt;=0.85,"正常",IF(G902&lt;=1,"满负荷","超负荷"))))</f>
        <v>空闲</v>
      </c>
      <c r="I902" s="104" t="s">
        <v>638</v>
      </c>
      <c r="J902" s="104"/>
      <c r="K902" s="104"/>
      <c r="L902" s="105" t="s">
        <v>639</v>
      </c>
    </row>
    <row r="903" customFormat="false" ht="48" hidden="false" customHeight="true" outlineLevel="0" collapsed="false">
      <c r="A903" s="99"/>
      <c r="B903" s="100" t="n">
        <v>46132</v>
      </c>
      <c r="C903" s="100" t="n">
        <v>46138</v>
      </c>
      <c r="D903" s="99" t="s">
        <v>638</v>
      </c>
      <c r="E903" s="99" t="n">
        <v>0</v>
      </c>
      <c r="F903" s="101" t="n">
        <v>0</v>
      </c>
      <c r="G903" s="102" t="n">
        <f aca="false">IFERROR(F903/INDEX($G$5:$G$34,MATCH(LOOKUP(2,1/($A$39:A903&lt;&gt;""),$A$39:A903),$A$5:$A$34,0)),0)</f>
        <v>0</v>
      </c>
      <c r="H903" s="103" t="str">
        <f aca="false">IF(G903=0,"空闲",IF(G903&lt;=0.6,"低负荷",IF(G903&lt;=0.85,"正常",IF(G903&lt;=1,"满负荷","超负荷"))))</f>
        <v>空闲</v>
      </c>
      <c r="I903" s="104" t="s">
        <v>638</v>
      </c>
      <c r="J903" s="104"/>
      <c r="K903" s="104"/>
      <c r="L903" s="105" t="s">
        <v>639</v>
      </c>
    </row>
    <row r="904" customFormat="false" ht="48" hidden="false" customHeight="true" outlineLevel="0" collapsed="false">
      <c r="A904" s="99"/>
      <c r="B904" s="100" t="n">
        <v>46139</v>
      </c>
      <c r="C904" s="100" t="n">
        <v>46145</v>
      </c>
      <c r="D904" s="99" t="s">
        <v>638</v>
      </c>
      <c r="E904" s="99" t="n">
        <v>0</v>
      </c>
      <c r="F904" s="101" t="n">
        <v>0</v>
      </c>
      <c r="G904" s="102" t="n">
        <f aca="false">IFERROR(F904/INDEX($G$5:$G$34,MATCH(LOOKUP(2,1/($A$39:A904&lt;&gt;""),$A$39:A904),$A$5:$A$34,0)),0)</f>
        <v>0</v>
      </c>
      <c r="H904" s="103" t="str">
        <f aca="false">IF(G904=0,"空闲",IF(G904&lt;=0.6,"低负荷",IF(G904&lt;=0.85,"正常",IF(G904&lt;=1,"满负荷","超负荷"))))</f>
        <v>空闲</v>
      </c>
      <c r="I904" s="104" t="s">
        <v>638</v>
      </c>
      <c r="J904" s="104"/>
      <c r="K904" s="104"/>
      <c r="L904" s="105" t="s">
        <v>639</v>
      </c>
    </row>
    <row r="905" customFormat="false" ht="48" hidden="false" customHeight="true" outlineLevel="0" collapsed="false">
      <c r="A905" s="99"/>
      <c r="B905" s="100" t="n">
        <v>46146</v>
      </c>
      <c r="C905" s="100" t="n">
        <v>46152</v>
      </c>
      <c r="D905" s="99" t="s">
        <v>638</v>
      </c>
      <c r="E905" s="99" t="n">
        <v>0</v>
      </c>
      <c r="F905" s="101" t="n">
        <v>0</v>
      </c>
      <c r="G905" s="102" t="n">
        <f aca="false">IFERROR(F905/INDEX($G$5:$G$34,MATCH(LOOKUP(2,1/($A$39:A905&lt;&gt;""),$A$39:A905),$A$5:$A$34,0)),0)</f>
        <v>0</v>
      </c>
      <c r="H905" s="103" t="str">
        <f aca="false">IF(G905=0,"空闲",IF(G905&lt;=0.6,"低负荷",IF(G905&lt;=0.85,"正常",IF(G905&lt;=1,"满负荷","超负荷"))))</f>
        <v>空闲</v>
      </c>
      <c r="I905" s="104" t="s">
        <v>638</v>
      </c>
      <c r="J905" s="104"/>
      <c r="K905" s="104"/>
      <c r="L905" s="105" t="s">
        <v>639</v>
      </c>
    </row>
    <row r="906" customFormat="false" ht="48" hidden="false" customHeight="true" outlineLevel="0" collapsed="false">
      <c r="A906" s="99"/>
      <c r="B906" s="100" t="n">
        <v>46153</v>
      </c>
      <c r="C906" s="100" t="n">
        <v>46159</v>
      </c>
      <c r="D906" s="99" t="s">
        <v>638</v>
      </c>
      <c r="E906" s="99" t="n">
        <v>0</v>
      </c>
      <c r="F906" s="101" t="n">
        <v>0</v>
      </c>
      <c r="G906" s="102" t="n">
        <f aca="false">IFERROR(F906/INDEX($G$5:$G$34,MATCH(LOOKUP(2,1/($A$39:A906&lt;&gt;""),$A$39:A906),$A$5:$A$34,0)),0)</f>
        <v>0</v>
      </c>
      <c r="H906" s="103" t="str">
        <f aca="false">IF(G906=0,"空闲",IF(G906&lt;=0.6,"低负荷",IF(G906&lt;=0.85,"正常",IF(G906&lt;=1,"满负荷","超负荷"))))</f>
        <v>空闲</v>
      </c>
      <c r="I906" s="104" t="s">
        <v>638</v>
      </c>
      <c r="J906" s="104"/>
      <c r="K906" s="104"/>
      <c r="L906" s="105" t="s">
        <v>639</v>
      </c>
    </row>
    <row r="907" customFormat="false" ht="48" hidden="false" customHeight="true" outlineLevel="0" collapsed="false">
      <c r="A907" s="99"/>
      <c r="B907" s="100" t="n">
        <v>46160</v>
      </c>
      <c r="C907" s="100" t="n">
        <v>46166</v>
      </c>
      <c r="D907" s="99" t="s">
        <v>638</v>
      </c>
      <c r="E907" s="99" t="n">
        <v>0</v>
      </c>
      <c r="F907" s="101" t="n">
        <v>0</v>
      </c>
      <c r="G907" s="102" t="n">
        <f aca="false">IFERROR(F907/INDEX($G$5:$G$34,MATCH(LOOKUP(2,1/($A$39:A907&lt;&gt;""),$A$39:A907),$A$5:$A$34,0)),0)</f>
        <v>0</v>
      </c>
      <c r="H907" s="103" t="str">
        <f aca="false">IF(G907=0,"空闲",IF(G907&lt;=0.6,"低负荷",IF(G907&lt;=0.85,"正常",IF(G907&lt;=1,"满负荷","超负荷"))))</f>
        <v>空闲</v>
      </c>
      <c r="I907" s="104" t="s">
        <v>638</v>
      </c>
      <c r="J907" s="104"/>
      <c r="K907" s="104"/>
      <c r="L907" s="105" t="s">
        <v>639</v>
      </c>
    </row>
    <row r="908" customFormat="false" ht="48" hidden="false" customHeight="true" outlineLevel="0" collapsed="false">
      <c r="A908" s="99"/>
      <c r="B908" s="100" t="n">
        <v>46167</v>
      </c>
      <c r="C908" s="100" t="n">
        <v>46173</v>
      </c>
      <c r="D908" s="99" t="s">
        <v>638</v>
      </c>
      <c r="E908" s="99" t="n">
        <v>0</v>
      </c>
      <c r="F908" s="101" t="n">
        <v>0</v>
      </c>
      <c r="G908" s="102" t="n">
        <f aca="false">IFERROR(F908/INDEX($G$5:$G$34,MATCH(LOOKUP(2,1/($A$39:A908&lt;&gt;""),$A$39:A908),$A$5:$A$34,0)),0)</f>
        <v>0</v>
      </c>
      <c r="H908" s="103" t="str">
        <f aca="false">IF(G908=0,"空闲",IF(G908&lt;=0.6,"低负荷",IF(G908&lt;=0.85,"正常",IF(G908&lt;=1,"满负荷","超负荷"))))</f>
        <v>空闲</v>
      </c>
      <c r="I908" s="104" t="s">
        <v>638</v>
      </c>
      <c r="J908" s="104"/>
      <c r="K908" s="104"/>
      <c r="L908" s="105" t="s">
        <v>639</v>
      </c>
    </row>
    <row r="909" customFormat="false" ht="48" hidden="false" customHeight="true" outlineLevel="0" collapsed="false">
      <c r="A909" s="99"/>
      <c r="B909" s="100" t="n">
        <v>46174</v>
      </c>
      <c r="C909" s="100" t="n">
        <v>46180</v>
      </c>
      <c r="D909" s="99" t="s">
        <v>638</v>
      </c>
      <c r="E909" s="99" t="n">
        <v>0</v>
      </c>
      <c r="F909" s="101" t="n">
        <v>0</v>
      </c>
      <c r="G909" s="102" t="n">
        <f aca="false">IFERROR(F909/INDEX($G$5:$G$34,MATCH(LOOKUP(2,1/($A$39:A909&lt;&gt;""),$A$39:A909),$A$5:$A$34,0)),0)</f>
        <v>0</v>
      </c>
      <c r="H909" s="103" t="str">
        <f aca="false">IF(G909=0,"空闲",IF(G909&lt;=0.6,"低负荷",IF(G909&lt;=0.85,"正常",IF(G909&lt;=1,"满负荷","超负荷"))))</f>
        <v>空闲</v>
      </c>
      <c r="I909" s="104" t="s">
        <v>638</v>
      </c>
      <c r="J909" s="104"/>
      <c r="K909" s="104"/>
      <c r="L909" s="105" t="s">
        <v>639</v>
      </c>
    </row>
    <row r="910" customFormat="false" ht="48" hidden="false" customHeight="true" outlineLevel="0" collapsed="false">
      <c r="A910" s="99"/>
      <c r="B910" s="100" t="n">
        <v>46181</v>
      </c>
      <c r="C910" s="100" t="n">
        <v>46187</v>
      </c>
      <c r="D910" s="99" t="s">
        <v>638</v>
      </c>
      <c r="E910" s="99" t="n">
        <v>0</v>
      </c>
      <c r="F910" s="101" t="n">
        <v>0</v>
      </c>
      <c r="G910" s="102" t="n">
        <f aca="false">IFERROR(F910/INDEX($G$5:$G$34,MATCH(LOOKUP(2,1/($A$39:A910&lt;&gt;""),$A$39:A910),$A$5:$A$34,0)),0)</f>
        <v>0</v>
      </c>
      <c r="H910" s="103" t="str">
        <f aca="false">IF(G910=0,"空闲",IF(G910&lt;=0.6,"低负荷",IF(G910&lt;=0.85,"正常",IF(G910&lt;=1,"满负荷","超负荷"))))</f>
        <v>空闲</v>
      </c>
      <c r="I910" s="104" t="s">
        <v>638</v>
      </c>
      <c r="J910" s="104"/>
      <c r="K910" s="104"/>
      <c r="L910" s="105" t="s">
        <v>639</v>
      </c>
    </row>
    <row r="911" customFormat="false" ht="48" hidden="false" customHeight="true" outlineLevel="0" collapsed="false">
      <c r="A911" s="99"/>
      <c r="B911" s="100" t="n">
        <v>46188</v>
      </c>
      <c r="C911" s="100" t="n">
        <v>46194</v>
      </c>
      <c r="D911" s="99" t="s">
        <v>638</v>
      </c>
      <c r="E911" s="99" t="n">
        <v>0</v>
      </c>
      <c r="F911" s="101" t="n">
        <v>0</v>
      </c>
      <c r="G911" s="102" t="n">
        <f aca="false">IFERROR(F911/INDEX($G$5:$G$34,MATCH(LOOKUP(2,1/($A$39:A911&lt;&gt;""),$A$39:A911),$A$5:$A$34,0)),0)</f>
        <v>0</v>
      </c>
      <c r="H911" s="103" t="str">
        <f aca="false">IF(G911=0,"空闲",IF(G911&lt;=0.6,"低负荷",IF(G911&lt;=0.85,"正常",IF(G911&lt;=1,"满负荷","超负荷"))))</f>
        <v>空闲</v>
      </c>
      <c r="I911" s="104" t="s">
        <v>638</v>
      </c>
      <c r="J911" s="104"/>
      <c r="K911" s="104"/>
      <c r="L911" s="105" t="s">
        <v>639</v>
      </c>
    </row>
    <row r="912" customFormat="false" ht="48" hidden="false" customHeight="true" outlineLevel="0" collapsed="false">
      <c r="A912" s="99"/>
      <c r="B912" s="100" t="n">
        <v>46195</v>
      </c>
      <c r="C912" s="100" t="n">
        <v>46201</v>
      </c>
      <c r="D912" s="99" t="s">
        <v>638</v>
      </c>
      <c r="E912" s="99" t="n">
        <v>0</v>
      </c>
      <c r="F912" s="101" t="n">
        <v>0</v>
      </c>
      <c r="G912" s="102" t="n">
        <f aca="false">IFERROR(F912/INDEX($G$5:$G$34,MATCH(LOOKUP(2,1/($A$39:A912&lt;&gt;""),$A$39:A912),$A$5:$A$34,0)),0)</f>
        <v>0</v>
      </c>
      <c r="H912" s="103" t="str">
        <f aca="false">IF(G912=0,"空闲",IF(G912&lt;=0.6,"低负荷",IF(G912&lt;=0.85,"正常",IF(G912&lt;=1,"满负荷","超负荷"))))</f>
        <v>空闲</v>
      </c>
      <c r="I912" s="104" t="s">
        <v>638</v>
      </c>
      <c r="J912" s="104"/>
      <c r="K912" s="104"/>
      <c r="L912" s="105" t="s">
        <v>639</v>
      </c>
    </row>
    <row r="913" customFormat="false" ht="48" hidden="false" customHeight="true" outlineLevel="0" collapsed="false">
      <c r="A913" s="99"/>
      <c r="B913" s="100" t="n">
        <v>46202</v>
      </c>
      <c r="C913" s="100" t="n">
        <v>46208</v>
      </c>
      <c r="D913" s="99" t="s">
        <v>638</v>
      </c>
      <c r="E913" s="99" t="n">
        <v>0</v>
      </c>
      <c r="F913" s="101" t="n">
        <v>0</v>
      </c>
      <c r="G913" s="102" t="n">
        <f aca="false">IFERROR(F913/INDEX($G$5:$G$34,MATCH(LOOKUP(2,1/($A$39:A913&lt;&gt;""),$A$39:A913),$A$5:$A$34,0)),0)</f>
        <v>0</v>
      </c>
      <c r="H913" s="103" t="str">
        <f aca="false">IF(G913=0,"空闲",IF(G913&lt;=0.6,"低负荷",IF(G913&lt;=0.85,"正常",IF(G913&lt;=1,"满负荷","超负荷"))))</f>
        <v>空闲</v>
      </c>
      <c r="I913" s="104" t="s">
        <v>638</v>
      </c>
      <c r="J913" s="104"/>
      <c r="K913" s="104"/>
      <c r="L913" s="105" t="s">
        <v>639</v>
      </c>
    </row>
    <row r="914" customFormat="false" ht="48" hidden="false" customHeight="true" outlineLevel="0" collapsed="false">
      <c r="A914" s="99"/>
      <c r="B914" s="100" t="n">
        <v>46209</v>
      </c>
      <c r="C914" s="100" t="n">
        <v>46215</v>
      </c>
      <c r="D914" s="99" t="s">
        <v>638</v>
      </c>
      <c r="E914" s="99" t="n">
        <v>0</v>
      </c>
      <c r="F914" s="101" t="n">
        <v>0</v>
      </c>
      <c r="G914" s="102" t="n">
        <f aca="false">IFERROR(F914/INDEX($G$5:$G$34,MATCH(LOOKUP(2,1/($A$39:A914&lt;&gt;""),$A$39:A914),$A$5:$A$34,0)),0)</f>
        <v>0</v>
      </c>
      <c r="H914" s="103" t="str">
        <f aca="false">IF(G914=0,"空闲",IF(G914&lt;=0.6,"低负荷",IF(G914&lt;=0.85,"正常",IF(G914&lt;=1,"满负荷","超负荷"))))</f>
        <v>空闲</v>
      </c>
      <c r="I914" s="104" t="s">
        <v>638</v>
      </c>
      <c r="J914" s="104"/>
      <c r="K914" s="104"/>
      <c r="L914" s="105" t="s">
        <v>639</v>
      </c>
    </row>
    <row r="915" customFormat="false" ht="48" hidden="false" customHeight="true" outlineLevel="0" collapsed="false">
      <c r="A915" s="99"/>
      <c r="B915" s="100" t="n">
        <v>46216</v>
      </c>
      <c r="C915" s="100" t="n">
        <v>46222</v>
      </c>
      <c r="D915" s="99" t="s">
        <v>638</v>
      </c>
      <c r="E915" s="99" t="n">
        <v>0</v>
      </c>
      <c r="F915" s="101" t="n">
        <v>0</v>
      </c>
      <c r="G915" s="102" t="n">
        <f aca="false">IFERROR(F915/INDEX($G$5:$G$34,MATCH(LOOKUP(2,1/($A$39:A915&lt;&gt;""),$A$39:A915),$A$5:$A$34,0)),0)</f>
        <v>0</v>
      </c>
      <c r="H915" s="103" t="str">
        <f aca="false">IF(G915=0,"空闲",IF(G915&lt;=0.6,"低负荷",IF(G915&lt;=0.85,"正常",IF(G915&lt;=1,"满负荷","超负荷"))))</f>
        <v>空闲</v>
      </c>
      <c r="I915" s="104" t="s">
        <v>638</v>
      </c>
      <c r="J915" s="104"/>
      <c r="K915" s="104"/>
      <c r="L915" s="105" t="s">
        <v>639</v>
      </c>
    </row>
    <row r="916" customFormat="false" ht="48" hidden="false" customHeight="true" outlineLevel="0" collapsed="false">
      <c r="A916" s="99"/>
      <c r="B916" s="100" t="n">
        <v>46223</v>
      </c>
      <c r="C916" s="100" t="n">
        <v>46229</v>
      </c>
      <c r="D916" s="99" t="s">
        <v>638</v>
      </c>
      <c r="E916" s="99" t="n">
        <v>0</v>
      </c>
      <c r="F916" s="101" t="n">
        <v>0</v>
      </c>
      <c r="G916" s="102" t="n">
        <f aca="false">IFERROR(F916/INDEX($G$5:$G$34,MATCH(LOOKUP(2,1/($A$39:A916&lt;&gt;""),$A$39:A916),$A$5:$A$34,0)),0)</f>
        <v>0</v>
      </c>
      <c r="H916" s="103" t="str">
        <f aca="false">IF(G916=0,"空闲",IF(G916&lt;=0.6,"低负荷",IF(G916&lt;=0.85,"正常",IF(G916&lt;=1,"满负荷","超负荷"))))</f>
        <v>空闲</v>
      </c>
      <c r="I916" s="104" t="s">
        <v>638</v>
      </c>
      <c r="J916" s="104"/>
      <c r="K916" s="104"/>
      <c r="L916" s="105" t="s">
        <v>639</v>
      </c>
    </row>
    <row r="917" customFormat="false" ht="48" hidden="false" customHeight="true" outlineLevel="0" collapsed="false">
      <c r="A917" s="99"/>
      <c r="B917" s="100" t="n">
        <v>46230</v>
      </c>
      <c r="C917" s="100" t="n">
        <v>46236</v>
      </c>
      <c r="D917" s="99" t="s">
        <v>638</v>
      </c>
      <c r="E917" s="99" t="n">
        <v>0</v>
      </c>
      <c r="F917" s="101" t="n">
        <v>0</v>
      </c>
      <c r="G917" s="102" t="n">
        <f aca="false">IFERROR(F917/INDEX($G$5:$G$34,MATCH(LOOKUP(2,1/($A$39:A917&lt;&gt;""),$A$39:A917),$A$5:$A$34,0)),0)</f>
        <v>0</v>
      </c>
      <c r="H917" s="103" t="str">
        <f aca="false">IF(G917=0,"空闲",IF(G917&lt;=0.6,"低负荷",IF(G917&lt;=0.85,"正常",IF(G917&lt;=1,"满负荷","超负荷"))))</f>
        <v>空闲</v>
      </c>
      <c r="I917" s="104" t="s">
        <v>638</v>
      </c>
      <c r="J917" s="104"/>
      <c r="K917" s="104"/>
      <c r="L917" s="105" t="s">
        <v>639</v>
      </c>
    </row>
    <row r="918" customFormat="false" ht="48" hidden="false" customHeight="true" outlineLevel="0" collapsed="false">
      <c r="A918" s="99"/>
      <c r="B918" s="100" t="n">
        <v>46237</v>
      </c>
      <c r="C918" s="100" t="n">
        <v>46243</v>
      </c>
      <c r="D918" s="99" t="s">
        <v>638</v>
      </c>
      <c r="E918" s="99" t="n">
        <v>0</v>
      </c>
      <c r="F918" s="101" t="n">
        <v>0</v>
      </c>
      <c r="G918" s="102" t="n">
        <f aca="false">IFERROR(F918/INDEX($G$5:$G$34,MATCH(LOOKUP(2,1/($A$39:A918&lt;&gt;""),$A$39:A918),$A$5:$A$34,0)),0)</f>
        <v>0</v>
      </c>
      <c r="H918" s="103" t="str">
        <f aca="false">IF(G918=0,"空闲",IF(G918&lt;=0.6,"低负荷",IF(G918&lt;=0.85,"正常",IF(G918&lt;=1,"满负荷","超负荷"))))</f>
        <v>空闲</v>
      </c>
      <c r="I918" s="104" t="s">
        <v>638</v>
      </c>
      <c r="J918" s="104"/>
      <c r="K918" s="104"/>
      <c r="L918" s="105" t="s">
        <v>639</v>
      </c>
    </row>
    <row r="919" customFormat="false" ht="48" hidden="false" customHeight="true" outlineLevel="0" collapsed="false">
      <c r="A919" s="99"/>
      <c r="B919" s="100" t="n">
        <v>46244</v>
      </c>
      <c r="C919" s="100" t="n">
        <v>46250</v>
      </c>
      <c r="D919" s="99" t="s">
        <v>638</v>
      </c>
      <c r="E919" s="99" t="n">
        <v>0</v>
      </c>
      <c r="F919" s="101" t="n">
        <v>0</v>
      </c>
      <c r="G919" s="102" t="n">
        <f aca="false">IFERROR(F919/INDEX($G$5:$G$34,MATCH(LOOKUP(2,1/($A$39:A919&lt;&gt;""),$A$39:A919),$A$5:$A$34,0)),0)</f>
        <v>0</v>
      </c>
      <c r="H919" s="103" t="str">
        <f aca="false">IF(G919=0,"空闲",IF(G919&lt;=0.6,"低负荷",IF(G919&lt;=0.85,"正常",IF(G919&lt;=1,"满负荷","超负荷"))))</f>
        <v>空闲</v>
      </c>
      <c r="I919" s="104" t="s">
        <v>638</v>
      </c>
      <c r="J919" s="104"/>
      <c r="K919" s="104"/>
      <c r="L919" s="105" t="s">
        <v>639</v>
      </c>
    </row>
    <row r="920" customFormat="false" ht="48" hidden="false" customHeight="true" outlineLevel="0" collapsed="false">
      <c r="A920" s="99"/>
      <c r="B920" s="100" t="n">
        <v>46251</v>
      </c>
      <c r="C920" s="100" t="n">
        <v>46257</v>
      </c>
      <c r="D920" s="99" t="s">
        <v>638</v>
      </c>
      <c r="E920" s="99" t="n">
        <v>0</v>
      </c>
      <c r="F920" s="101" t="n">
        <v>0</v>
      </c>
      <c r="G920" s="102" t="n">
        <f aca="false">IFERROR(F920/INDEX($G$5:$G$34,MATCH(LOOKUP(2,1/($A$39:A920&lt;&gt;""),$A$39:A920),$A$5:$A$34,0)),0)</f>
        <v>0</v>
      </c>
      <c r="H920" s="103" t="str">
        <f aca="false">IF(G920=0,"空闲",IF(G920&lt;=0.6,"低负荷",IF(G920&lt;=0.85,"正常",IF(G920&lt;=1,"满负荷","超负荷"))))</f>
        <v>空闲</v>
      </c>
      <c r="I920" s="104" t="s">
        <v>638</v>
      </c>
      <c r="J920" s="104"/>
      <c r="K920" s="104"/>
      <c r="L920" s="105" t="s">
        <v>639</v>
      </c>
    </row>
    <row r="921" customFormat="false" ht="48" hidden="false" customHeight="true" outlineLevel="0" collapsed="false">
      <c r="A921" s="99"/>
      <c r="B921" s="100" t="n">
        <v>46258</v>
      </c>
      <c r="C921" s="100" t="n">
        <v>46264</v>
      </c>
      <c r="D921" s="99" t="s">
        <v>640</v>
      </c>
      <c r="E921" s="99" t="n">
        <v>1</v>
      </c>
      <c r="F921" s="101" t="n">
        <v>40</v>
      </c>
      <c r="G921" s="102" t="n">
        <f aca="false">IFERROR(F921/INDEX($G$5:$G$34,MATCH(LOOKUP(2,1/($A$39:A921&lt;&gt;""),$A$39:A921),$A$5:$A$34,0)),0)</f>
        <v>1</v>
      </c>
      <c r="H921" s="103" t="str">
        <f aca="false">IF(G921=0,"空闲",IF(G921&lt;=0.6,"低负荷",IF(G921&lt;=0.85,"正常",IF(G921&lt;=1,"满负荷","超负荷"))))</f>
        <v>满负荷</v>
      </c>
      <c r="I921" s="106" t="s">
        <v>738</v>
      </c>
      <c r="J921" s="106"/>
      <c r="K921" s="106"/>
      <c r="L921" s="105" t="s">
        <v>642</v>
      </c>
    </row>
    <row r="922" customFormat="false" ht="48" hidden="false" customHeight="true" outlineLevel="0" collapsed="false">
      <c r="A922" s="99"/>
      <c r="B922" s="100" t="n">
        <v>46265</v>
      </c>
      <c r="C922" s="100" t="n">
        <v>46271</v>
      </c>
      <c r="D922" s="99" t="s">
        <v>640</v>
      </c>
      <c r="E922" s="99" t="n">
        <v>1</v>
      </c>
      <c r="F922" s="101" t="n">
        <v>40</v>
      </c>
      <c r="G922" s="102" t="n">
        <f aca="false">IFERROR(F922/INDEX($G$5:$G$34,MATCH(LOOKUP(2,1/($A$39:A922&lt;&gt;""),$A$39:A922),$A$5:$A$34,0)),0)</f>
        <v>1</v>
      </c>
      <c r="H922" s="103" t="str">
        <f aca="false">IF(G922=0,"空闲",IF(G922&lt;=0.6,"低负荷",IF(G922&lt;=0.85,"正常",IF(G922&lt;=1,"满负荷","超负荷"))))</f>
        <v>满负荷</v>
      </c>
      <c r="I922" s="106" t="s">
        <v>738</v>
      </c>
      <c r="J922" s="106"/>
      <c r="K922" s="106"/>
      <c r="L922" s="105" t="s">
        <v>642</v>
      </c>
    </row>
    <row r="923" customFormat="false" ht="48" hidden="false" customHeight="true" outlineLevel="0" collapsed="false">
      <c r="A923" s="99"/>
      <c r="B923" s="100" t="n">
        <v>46272</v>
      </c>
      <c r="C923" s="100" t="n">
        <v>46278</v>
      </c>
      <c r="D923" s="99" t="s">
        <v>638</v>
      </c>
      <c r="E923" s="99" t="n">
        <v>0</v>
      </c>
      <c r="F923" s="101" t="n">
        <v>0</v>
      </c>
      <c r="G923" s="102" t="n">
        <f aca="false">IFERROR(F923/INDEX($G$5:$G$34,MATCH(LOOKUP(2,1/($A$39:A923&lt;&gt;""),$A$39:A923),$A$5:$A$34,0)),0)</f>
        <v>0</v>
      </c>
      <c r="H923" s="103" t="str">
        <f aca="false">IF(G923=0,"空闲",IF(G923&lt;=0.6,"低负荷",IF(G923&lt;=0.85,"正常",IF(G923&lt;=1,"满负荷","超负荷"))))</f>
        <v>空闲</v>
      </c>
      <c r="I923" s="104" t="s">
        <v>638</v>
      </c>
      <c r="J923" s="104"/>
      <c r="K923" s="104"/>
      <c r="L923" s="105" t="s">
        <v>639</v>
      </c>
    </row>
    <row r="924" customFormat="false" ht="48" hidden="false" customHeight="true" outlineLevel="0" collapsed="false">
      <c r="A924" s="99"/>
      <c r="B924" s="100" t="n">
        <v>46279</v>
      </c>
      <c r="C924" s="100" t="n">
        <v>46285</v>
      </c>
      <c r="D924" s="99" t="s">
        <v>638</v>
      </c>
      <c r="E924" s="99" t="n">
        <v>0</v>
      </c>
      <c r="F924" s="101" t="n">
        <v>0</v>
      </c>
      <c r="G924" s="102" t="n">
        <f aca="false">IFERROR(F924/INDEX($G$5:$G$34,MATCH(LOOKUP(2,1/($A$39:A924&lt;&gt;""),$A$39:A924),$A$5:$A$34,0)),0)</f>
        <v>0</v>
      </c>
      <c r="H924" s="103" t="str">
        <f aca="false">IF(G924=0,"空闲",IF(G924&lt;=0.6,"低负荷",IF(G924&lt;=0.85,"正常",IF(G924&lt;=1,"满负荷","超负荷"))))</f>
        <v>空闲</v>
      </c>
      <c r="I924" s="104" t="s">
        <v>638</v>
      </c>
      <c r="J924" s="104"/>
      <c r="K924" s="104"/>
      <c r="L924" s="105" t="s">
        <v>639</v>
      </c>
    </row>
    <row r="925" customFormat="false" ht="48" hidden="false" customHeight="true" outlineLevel="0" collapsed="false">
      <c r="A925" s="99"/>
      <c r="B925" s="100" t="n">
        <v>46286</v>
      </c>
      <c r="C925" s="100" t="n">
        <v>46292</v>
      </c>
      <c r="D925" s="99" t="s">
        <v>638</v>
      </c>
      <c r="E925" s="99" t="n">
        <v>0</v>
      </c>
      <c r="F925" s="101" t="n">
        <v>0</v>
      </c>
      <c r="G925" s="102" t="n">
        <f aca="false">IFERROR(F925/INDEX($G$5:$G$34,MATCH(LOOKUP(2,1/($A$39:A925&lt;&gt;""),$A$39:A925),$A$5:$A$34,0)),0)</f>
        <v>0</v>
      </c>
      <c r="H925" s="103" t="str">
        <f aca="false">IF(G925=0,"空闲",IF(G925&lt;=0.6,"低负荷",IF(G925&lt;=0.85,"正常",IF(G925&lt;=1,"满负荷","超负荷"))))</f>
        <v>空闲</v>
      </c>
      <c r="I925" s="104" t="s">
        <v>638</v>
      </c>
      <c r="J925" s="104"/>
      <c r="K925" s="104"/>
      <c r="L925" s="105" t="s">
        <v>639</v>
      </c>
    </row>
    <row r="926" customFormat="false" ht="48" hidden="false" customHeight="true" outlineLevel="0" collapsed="false">
      <c r="A926" s="99"/>
      <c r="B926" s="100" t="n">
        <v>46293</v>
      </c>
      <c r="C926" s="100" t="n">
        <v>46299</v>
      </c>
      <c r="D926" s="99" t="s">
        <v>638</v>
      </c>
      <c r="E926" s="99" t="n">
        <v>0</v>
      </c>
      <c r="F926" s="101" t="n">
        <v>0</v>
      </c>
      <c r="G926" s="102" t="n">
        <f aca="false">IFERROR(F926/INDEX($G$5:$G$34,MATCH(LOOKUP(2,1/($A$39:A926&lt;&gt;""),$A$39:A926),$A$5:$A$34,0)),0)</f>
        <v>0</v>
      </c>
      <c r="H926" s="103" t="str">
        <f aca="false">IF(G926=0,"空闲",IF(G926&lt;=0.6,"低负荷",IF(G926&lt;=0.85,"正常",IF(G926&lt;=1,"满负荷","超负荷"))))</f>
        <v>空闲</v>
      </c>
      <c r="I926" s="104" t="s">
        <v>638</v>
      </c>
      <c r="J926" s="104"/>
      <c r="K926" s="104"/>
      <c r="L926" s="105" t="s">
        <v>639</v>
      </c>
    </row>
    <row r="927" customFormat="false" ht="48" hidden="false" customHeight="true" outlineLevel="0" collapsed="false">
      <c r="A927" s="99"/>
      <c r="B927" s="100" t="n">
        <v>46300</v>
      </c>
      <c r="C927" s="100" t="n">
        <v>46306</v>
      </c>
      <c r="D927" s="99" t="s">
        <v>638</v>
      </c>
      <c r="E927" s="99" t="n">
        <v>0</v>
      </c>
      <c r="F927" s="101" t="n">
        <v>0</v>
      </c>
      <c r="G927" s="102" t="n">
        <f aca="false">IFERROR(F927/INDEX($G$5:$G$34,MATCH(LOOKUP(2,1/($A$39:A927&lt;&gt;""),$A$39:A927),$A$5:$A$34,0)),0)</f>
        <v>0</v>
      </c>
      <c r="H927" s="103" t="str">
        <f aca="false">IF(G927=0,"空闲",IF(G927&lt;=0.6,"低负荷",IF(G927&lt;=0.85,"正常",IF(G927&lt;=1,"满负荷","超负荷"))))</f>
        <v>空闲</v>
      </c>
      <c r="I927" s="104" t="s">
        <v>638</v>
      </c>
      <c r="J927" s="104"/>
      <c r="K927" s="104"/>
      <c r="L927" s="105" t="s">
        <v>639</v>
      </c>
    </row>
    <row r="928" customFormat="false" ht="48" hidden="false" customHeight="true" outlineLevel="0" collapsed="false">
      <c r="A928" s="99"/>
      <c r="B928" s="100" t="n">
        <v>46307</v>
      </c>
      <c r="C928" s="100" t="n">
        <v>46313</v>
      </c>
      <c r="D928" s="99" t="s">
        <v>638</v>
      </c>
      <c r="E928" s="99" t="n">
        <v>0</v>
      </c>
      <c r="F928" s="101" t="n">
        <v>0</v>
      </c>
      <c r="G928" s="102" t="n">
        <f aca="false">IFERROR(F928/INDEX($G$5:$G$34,MATCH(LOOKUP(2,1/($A$39:A928&lt;&gt;""),$A$39:A928),$A$5:$A$34,0)),0)</f>
        <v>0</v>
      </c>
      <c r="H928" s="103" t="str">
        <f aca="false">IF(G928=0,"空闲",IF(G928&lt;=0.6,"低负荷",IF(G928&lt;=0.85,"正常",IF(G928&lt;=1,"满负荷","超负荷"))))</f>
        <v>空闲</v>
      </c>
      <c r="I928" s="104" t="s">
        <v>638</v>
      </c>
      <c r="J928" s="104"/>
      <c r="K928" s="104"/>
      <c r="L928" s="105" t="s">
        <v>639</v>
      </c>
    </row>
    <row r="929" customFormat="false" ht="48" hidden="false" customHeight="true" outlineLevel="0" collapsed="false">
      <c r="A929" s="99"/>
      <c r="B929" s="100" t="n">
        <v>46314</v>
      </c>
      <c r="C929" s="100" t="n">
        <v>46320</v>
      </c>
      <c r="D929" s="99" t="s">
        <v>638</v>
      </c>
      <c r="E929" s="99" t="n">
        <v>0</v>
      </c>
      <c r="F929" s="101" t="n">
        <v>0</v>
      </c>
      <c r="G929" s="102" t="n">
        <f aca="false">IFERROR(F929/INDEX($G$5:$G$34,MATCH(LOOKUP(2,1/($A$39:A929&lt;&gt;""),$A$39:A929),$A$5:$A$34,0)),0)</f>
        <v>0</v>
      </c>
      <c r="H929" s="103" t="str">
        <f aca="false">IF(G929=0,"空闲",IF(G929&lt;=0.6,"低负荷",IF(G929&lt;=0.85,"正常",IF(G929&lt;=1,"满负荷","超负荷"))))</f>
        <v>空闲</v>
      </c>
      <c r="I929" s="104" t="s">
        <v>638</v>
      </c>
      <c r="J929" s="104"/>
      <c r="K929" s="104"/>
      <c r="L929" s="105" t="s">
        <v>639</v>
      </c>
    </row>
    <row r="930" customFormat="false" ht="48" hidden="false" customHeight="true" outlineLevel="0" collapsed="false">
      <c r="A930" s="99"/>
      <c r="B930" s="100" t="n">
        <v>46321</v>
      </c>
      <c r="C930" s="100" t="n">
        <v>46327</v>
      </c>
      <c r="D930" s="99" t="s">
        <v>638</v>
      </c>
      <c r="E930" s="99" t="n">
        <v>0</v>
      </c>
      <c r="F930" s="101" t="n">
        <v>0</v>
      </c>
      <c r="G930" s="102" t="n">
        <f aca="false">IFERROR(F930/INDEX($G$5:$G$34,MATCH(LOOKUP(2,1/($A$39:A930&lt;&gt;""),$A$39:A930),$A$5:$A$34,0)),0)</f>
        <v>0</v>
      </c>
      <c r="H930" s="103" t="str">
        <f aca="false">IF(G930=0,"空闲",IF(G930&lt;=0.6,"低负荷",IF(G930&lt;=0.85,"正常",IF(G930&lt;=1,"满负荷","超负荷"))))</f>
        <v>空闲</v>
      </c>
      <c r="I930" s="104" t="s">
        <v>638</v>
      </c>
      <c r="J930" s="104"/>
      <c r="K930" s="104"/>
      <c r="L930" s="105" t="s">
        <v>639</v>
      </c>
    </row>
    <row r="931" customFormat="false" ht="48" hidden="false" customHeight="true" outlineLevel="0" collapsed="false">
      <c r="A931" s="99"/>
      <c r="B931" s="100" t="n">
        <v>46328</v>
      </c>
      <c r="C931" s="100" t="n">
        <v>46334</v>
      </c>
      <c r="D931" s="99" t="s">
        <v>638</v>
      </c>
      <c r="E931" s="99" t="n">
        <v>0</v>
      </c>
      <c r="F931" s="101" t="n">
        <v>0</v>
      </c>
      <c r="G931" s="102" t="n">
        <f aca="false">IFERROR(F931/INDEX($G$5:$G$34,MATCH(LOOKUP(2,1/($A$39:A931&lt;&gt;""),$A$39:A931),$A$5:$A$34,0)),0)</f>
        <v>0</v>
      </c>
      <c r="H931" s="103" t="str">
        <f aca="false">IF(G931=0,"空闲",IF(G931&lt;=0.6,"低负荷",IF(G931&lt;=0.85,"正常",IF(G931&lt;=1,"满负荷","超负荷"))))</f>
        <v>空闲</v>
      </c>
      <c r="I931" s="104" t="s">
        <v>638</v>
      </c>
      <c r="J931" s="104"/>
      <c r="K931" s="104"/>
      <c r="L931" s="105" t="s">
        <v>639</v>
      </c>
    </row>
    <row r="932" customFormat="false" ht="48" hidden="false" customHeight="true" outlineLevel="0" collapsed="false">
      <c r="A932" s="99"/>
      <c r="B932" s="100" t="n">
        <v>46335</v>
      </c>
      <c r="C932" s="100" t="n">
        <v>46341</v>
      </c>
      <c r="D932" s="99" t="s">
        <v>638</v>
      </c>
      <c r="E932" s="99" t="n">
        <v>0</v>
      </c>
      <c r="F932" s="101" t="n">
        <v>0</v>
      </c>
      <c r="G932" s="102" t="n">
        <f aca="false">IFERROR(F932/INDEX($G$5:$G$34,MATCH(LOOKUP(2,1/($A$39:A932&lt;&gt;""),$A$39:A932),$A$5:$A$34,0)),0)</f>
        <v>0</v>
      </c>
      <c r="H932" s="103" t="str">
        <f aca="false">IF(G932=0,"空闲",IF(G932&lt;=0.6,"低负荷",IF(G932&lt;=0.85,"正常",IF(G932&lt;=1,"满负荷","超负荷"))))</f>
        <v>空闲</v>
      </c>
      <c r="I932" s="104" t="s">
        <v>638</v>
      </c>
      <c r="J932" s="104"/>
      <c r="K932" s="104"/>
      <c r="L932" s="105" t="s">
        <v>639</v>
      </c>
    </row>
    <row r="933" customFormat="false" ht="48" hidden="false" customHeight="true" outlineLevel="0" collapsed="false">
      <c r="A933" s="99"/>
      <c r="B933" s="100" t="n">
        <v>46342</v>
      </c>
      <c r="C933" s="100" t="n">
        <v>46348</v>
      </c>
      <c r="D933" s="99" t="s">
        <v>638</v>
      </c>
      <c r="E933" s="99" t="n">
        <v>0</v>
      </c>
      <c r="F933" s="101" t="n">
        <v>0</v>
      </c>
      <c r="G933" s="102" t="n">
        <f aca="false">IFERROR(F933/INDEX($G$5:$G$34,MATCH(LOOKUP(2,1/($A$39:A933&lt;&gt;""),$A$39:A933),$A$5:$A$34,0)),0)</f>
        <v>0</v>
      </c>
      <c r="H933" s="103" t="str">
        <f aca="false">IF(G933=0,"空闲",IF(G933&lt;=0.6,"低负荷",IF(G933&lt;=0.85,"正常",IF(G933&lt;=1,"满负荷","超负荷"))))</f>
        <v>空闲</v>
      </c>
      <c r="I933" s="104" t="s">
        <v>638</v>
      </c>
      <c r="J933" s="104"/>
      <c r="K933" s="104"/>
      <c r="L933" s="105" t="s">
        <v>639</v>
      </c>
    </row>
    <row r="934" customFormat="false" ht="48" hidden="false" customHeight="true" outlineLevel="0" collapsed="false">
      <c r="A934" s="99"/>
      <c r="B934" s="100" t="n">
        <v>46349</v>
      </c>
      <c r="C934" s="100" t="n">
        <v>46355</v>
      </c>
      <c r="D934" s="99" t="s">
        <v>638</v>
      </c>
      <c r="E934" s="99" t="n">
        <v>0</v>
      </c>
      <c r="F934" s="101" t="n">
        <v>0</v>
      </c>
      <c r="G934" s="102" t="n">
        <f aca="false">IFERROR(F934/INDEX($G$5:$G$34,MATCH(LOOKUP(2,1/($A$39:A934&lt;&gt;""),$A$39:A934),$A$5:$A$34,0)),0)</f>
        <v>0</v>
      </c>
      <c r="H934" s="103" t="str">
        <f aca="false">IF(G934=0,"空闲",IF(G934&lt;=0.6,"低负荷",IF(G934&lt;=0.85,"正常",IF(G934&lt;=1,"满负荷","超负荷"))))</f>
        <v>空闲</v>
      </c>
      <c r="I934" s="104" t="s">
        <v>638</v>
      </c>
      <c r="J934" s="104"/>
      <c r="K934" s="104"/>
      <c r="L934" s="105" t="s">
        <v>639</v>
      </c>
    </row>
    <row r="935" customFormat="false" ht="48" hidden="false" customHeight="true" outlineLevel="0" collapsed="false">
      <c r="A935" s="99"/>
      <c r="B935" s="100" t="n">
        <v>46356</v>
      </c>
      <c r="C935" s="100" t="n">
        <v>46362</v>
      </c>
      <c r="D935" s="99" t="s">
        <v>638</v>
      </c>
      <c r="E935" s="99" t="n">
        <v>0</v>
      </c>
      <c r="F935" s="101" t="n">
        <v>0</v>
      </c>
      <c r="G935" s="102" t="n">
        <f aca="false">IFERROR(F935/INDEX($G$5:$G$34,MATCH(LOOKUP(2,1/($A$39:A935&lt;&gt;""),$A$39:A935),$A$5:$A$34,0)),0)</f>
        <v>0</v>
      </c>
      <c r="H935" s="103" t="str">
        <f aca="false">IF(G935=0,"空闲",IF(G935&lt;=0.6,"低负荷",IF(G935&lt;=0.85,"正常",IF(G935&lt;=1,"满负荷","超负荷"))))</f>
        <v>空闲</v>
      </c>
      <c r="I935" s="104" t="s">
        <v>638</v>
      </c>
      <c r="J935" s="104"/>
      <c r="K935" s="104"/>
      <c r="L935" s="105" t="s">
        <v>639</v>
      </c>
    </row>
    <row r="936" customFormat="false" ht="48" hidden="false" customHeight="true" outlineLevel="0" collapsed="false">
      <c r="A936" s="99"/>
      <c r="B936" s="100" t="n">
        <v>46363</v>
      </c>
      <c r="C936" s="100" t="n">
        <v>46369</v>
      </c>
      <c r="D936" s="99" t="s">
        <v>640</v>
      </c>
      <c r="E936" s="99" t="n">
        <v>2</v>
      </c>
      <c r="F936" s="101" t="n">
        <v>40</v>
      </c>
      <c r="G936" s="102" t="n">
        <f aca="false">IFERROR(F936/INDEX($G$5:$G$34,MATCH(LOOKUP(2,1/($A$39:A936&lt;&gt;""),$A$39:A936),$A$5:$A$34,0)),0)</f>
        <v>1</v>
      </c>
      <c r="H936" s="103" t="str">
        <f aca="false">IF(G936=0,"空闲",IF(G936&lt;=0.6,"低负荷",IF(G936&lt;=0.85,"正常",IF(G936&lt;=1,"满负荷","超负荷"))))</f>
        <v>满负荷</v>
      </c>
      <c r="I936" s="106" t="s">
        <v>742</v>
      </c>
      <c r="J936" s="106"/>
      <c r="K936" s="106"/>
      <c r="L936" s="105" t="s">
        <v>652</v>
      </c>
    </row>
    <row r="937" customFormat="false" ht="48" hidden="false" customHeight="true" outlineLevel="0" collapsed="false">
      <c r="A937" s="99"/>
      <c r="B937" s="100" t="n">
        <v>46370</v>
      </c>
      <c r="C937" s="100" t="n">
        <v>46376</v>
      </c>
      <c r="D937" s="99" t="s">
        <v>640</v>
      </c>
      <c r="E937" s="99" t="n">
        <v>3</v>
      </c>
      <c r="F937" s="101" t="n">
        <v>40</v>
      </c>
      <c r="G937" s="102" t="n">
        <f aca="false">IFERROR(F937/INDEX($G$5:$G$34,MATCH(LOOKUP(2,1/($A$39:A937&lt;&gt;""),$A$39:A937),$A$5:$A$34,0)),0)</f>
        <v>1</v>
      </c>
      <c r="H937" s="103" t="str">
        <f aca="false">IF(G937=0,"空闲",IF(G937&lt;=0.6,"低负荷",IF(G937&lt;=0.85,"正常",IF(G937&lt;=1,"满负荷","超负荷"))))</f>
        <v>满负荷</v>
      </c>
      <c r="I937" s="106" t="s">
        <v>743</v>
      </c>
      <c r="J937" s="106"/>
      <c r="K937" s="106"/>
      <c r="L937" s="105" t="s">
        <v>679</v>
      </c>
    </row>
    <row r="938" customFormat="false" ht="48" hidden="false" customHeight="true" outlineLevel="0" collapsed="false">
      <c r="A938" s="99"/>
      <c r="B938" s="100" t="n">
        <v>46377</v>
      </c>
      <c r="C938" s="100" t="n">
        <v>46383</v>
      </c>
      <c r="D938" s="99" t="s">
        <v>640</v>
      </c>
      <c r="E938" s="99" t="n">
        <v>3</v>
      </c>
      <c r="F938" s="101" t="n">
        <v>40</v>
      </c>
      <c r="G938" s="102" t="n">
        <f aca="false">IFERROR(F938/INDEX($G$5:$G$34,MATCH(LOOKUP(2,1/($A$39:A938&lt;&gt;""),$A$39:A938),$A$5:$A$34,0)),0)</f>
        <v>1</v>
      </c>
      <c r="H938" s="103" t="str">
        <f aca="false">IF(G938=0,"空闲",IF(G938&lt;=0.6,"低负荷",IF(G938&lt;=0.85,"正常",IF(G938&lt;=1,"满负荷","超负荷"))))</f>
        <v>满负荷</v>
      </c>
      <c r="I938" s="106" t="s">
        <v>743</v>
      </c>
      <c r="J938" s="106"/>
      <c r="K938" s="106"/>
      <c r="L938" s="105" t="s">
        <v>679</v>
      </c>
    </row>
    <row r="939" customFormat="false" ht="48" hidden="false" customHeight="true" outlineLevel="0" collapsed="false">
      <c r="A939" s="99"/>
      <c r="B939" s="100" t="n">
        <v>46384</v>
      </c>
      <c r="C939" s="100" t="n">
        <v>46390</v>
      </c>
      <c r="D939" s="99" t="s">
        <v>640</v>
      </c>
      <c r="E939" s="99" t="n">
        <v>3</v>
      </c>
      <c r="F939" s="101" t="n">
        <v>40</v>
      </c>
      <c r="G939" s="102" t="n">
        <f aca="false">IFERROR(F939/INDEX($G$5:$G$34,MATCH(LOOKUP(2,1/($A$39:A939&lt;&gt;""),$A$39:A939),$A$5:$A$34,0)),0)</f>
        <v>1</v>
      </c>
      <c r="H939" s="103" t="str">
        <f aca="false">IF(G939=0,"空闲",IF(G939&lt;=0.6,"低负荷",IF(G939&lt;=0.85,"正常",IF(G939&lt;=1,"满负荷","超负荷"))))</f>
        <v>满负荷</v>
      </c>
      <c r="I939" s="106" t="s">
        <v>743</v>
      </c>
      <c r="J939" s="106"/>
      <c r="K939" s="106"/>
      <c r="L939" s="105" t="s">
        <v>679</v>
      </c>
    </row>
    <row r="940" customFormat="false" ht="48" hidden="false" customHeight="true" outlineLevel="0" collapsed="false">
      <c r="A940" s="99"/>
      <c r="B940" s="100" t="n">
        <v>46391</v>
      </c>
      <c r="C940" s="100" t="n">
        <v>46397</v>
      </c>
      <c r="D940" s="99" t="s">
        <v>640</v>
      </c>
      <c r="E940" s="99" t="n">
        <v>3</v>
      </c>
      <c r="F940" s="101" t="n">
        <v>40</v>
      </c>
      <c r="G940" s="102" t="n">
        <f aca="false">IFERROR(F940/INDEX($G$5:$G$34,MATCH(LOOKUP(2,1/($A$39:A940&lt;&gt;""),$A$39:A940),$A$5:$A$34,0)),0)</f>
        <v>1</v>
      </c>
      <c r="H940" s="103" t="str">
        <f aca="false">IF(G940=0,"空闲",IF(G940&lt;=0.6,"低负荷",IF(G940&lt;=0.85,"正常",IF(G940&lt;=1,"满负荷","超负荷"))))</f>
        <v>满负荷</v>
      </c>
      <c r="I940" s="106" t="s">
        <v>743</v>
      </c>
      <c r="J940" s="106"/>
      <c r="K940" s="106"/>
      <c r="L940" s="105" t="s">
        <v>679</v>
      </c>
    </row>
    <row r="941" customFormat="false" ht="48" hidden="false" customHeight="true" outlineLevel="0" collapsed="false">
      <c r="A941" s="99"/>
      <c r="B941" s="100" t="n">
        <v>46398</v>
      </c>
      <c r="C941" s="100" t="n">
        <v>46404</v>
      </c>
      <c r="D941" s="99" t="s">
        <v>640</v>
      </c>
      <c r="E941" s="99" t="n">
        <v>3</v>
      </c>
      <c r="F941" s="101" t="n">
        <v>40</v>
      </c>
      <c r="G941" s="102" t="n">
        <f aca="false">IFERROR(F941/INDEX($G$5:$G$34,MATCH(LOOKUP(2,1/($A$39:A941&lt;&gt;""),$A$39:A941),$A$5:$A$34,0)),0)</f>
        <v>1</v>
      </c>
      <c r="H941" s="103" t="str">
        <f aca="false">IF(G941=0,"空闲",IF(G941&lt;=0.6,"低负荷",IF(G941&lt;=0.85,"正常",IF(G941&lt;=1,"满负荷","超负荷"))))</f>
        <v>满负荷</v>
      </c>
      <c r="I941" s="106" t="s">
        <v>743</v>
      </c>
      <c r="J941" s="106"/>
      <c r="K941" s="106"/>
      <c r="L941" s="105" t="s">
        <v>679</v>
      </c>
    </row>
    <row r="942" customFormat="false" ht="48" hidden="false" customHeight="true" outlineLevel="0" collapsed="false">
      <c r="A942" s="99"/>
      <c r="B942" s="100" t="n">
        <v>46405</v>
      </c>
      <c r="C942" s="100" t="n">
        <v>46411</v>
      </c>
      <c r="D942" s="99" t="s">
        <v>640</v>
      </c>
      <c r="E942" s="99" t="n">
        <v>3</v>
      </c>
      <c r="F942" s="101" t="n">
        <v>40</v>
      </c>
      <c r="G942" s="102" t="n">
        <f aca="false">IFERROR(F942/INDEX($G$5:$G$34,MATCH(LOOKUP(2,1/($A$39:A942&lt;&gt;""),$A$39:A942),$A$5:$A$34,0)),0)</f>
        <v>1</v>
      </c>
      <c r="H942" s="103" t="str">
        <f aca="false">IF(G942=0,"空闲",IF(G942&lt;=0.6,"低负荷",IF(G942&lt;=0.85,"正常",IF(G942&lt;=1,"满负荷","超负荷"))))</f>
        <v>满负荷</v>
      </c>
      <c r="I942" s="106" t="s">
        <v>743</v>
      </c>
      <c r="J942" s="106"/>
      <c r="K942" s="106"/>
      <c r="L942" s="105" t="s">
        <v>679</v>
      </c>
    </row>
    <row r="943" customFormat="false" ht="48" hidden="false" customHeight="true" outlineLevel="0" collapsed="false">
      <c r="A943" s="99"/>
      <c r="B943" s="100" t="n">
        <v>46412</v>
      </c>
      <c r="C943" s="100" t="n">
        <v>46418</v>
      </c>
      <c r="D943" s="99" t="s">
        <v>640</v>
      </c>
      <c r="E943" s="99" t="n">
        <v>3</v>
      </c>
      <c r="F943" s="101" t="n">
        <v>40</v>
      </c>
      <c r="G943" s="102" t="n">
        <f aca="false">IFERROR(F943/INDEX($G$5:$G$34,MATCH(LOOKUP(2,1/($A$39:A943&lt;&gt;""),$A$39:A943),$A$5:$A$34,0)),0)</f>
        <v>1</v>
      </c>
      <c r="H943" s="103" t="str">
        <f aca="false">IF(G943=0,"空闲",IF(G943&lt;=0.6,"低负荷",IF(G943&lt;=0.85,"正常",IF(G943&lt;=1,"满负荷","超负荷"))))</f>
        <v>满负荷</v>
      </c>
      <c r="I943" s="106" t="s">
        <v>743</v>
      </c>
      <c r="J943" s="106"/>
      <c r="K943" s="106"/>
      <c r="L943" s="105" t="s">
        <v>679</v>
      </c>
    </row>
    <row r="944" customFormat="false" ht="48" hidden="false" customHeight="true" outlineLevel="0" collapsed="false">
      <c r="A944" s="99"/>
      <c r="B944" s="100" t="n">
        <v>46419</v>
      </c>
      <c r="C944" s="100" t="n">
        <v>46425</v>
      </c>
      <c r="D944" s="99" t="s">
        <v>640</v>
      </c>
      <c r="E944" s="99" t="n">
        <v>3</v>
      </c>
      <c r="F944" s="101" t="n">
        <v>40</v>
      </c>
      <c r="G944" s="102" t="n">
        <f aca="false">IFERROR(F944/INDEX($G$5:$G$34,MATCH(LOOKUP(2,1/($A$39:A944&lt;&gt;""),$A$39:A944),$A$5:$A$34,0)),0)</f>
        <v>1</v>
      </c>
      <c r="H944" s="103" t="str">
        <f aca="false">IF(G944=0,"空闲",IF(G944&lt;=0.6,"低负荷",IF(G944&lt;=0.85,"正常",IF(G944&lt;=1,"满负荷","超负荷"))))</f>
        <v>满负荷</v>
      </c>
      <c r="I944" s="106" t="s">
        <v>743</v>
      </c>
      <c r="J944" s="106"/>
      <c r="K944" s="106"/>
      <c r="L944" s="105" t="s">
        <v>679</v>
      </c>
    </row>
    <row r="945" customFormat="false" ht="48" hidden="false" customHeight="true" outlineLevel="0" collapsed="false">
      <c r="A945" s="99"/>
      <c r="B945" s="100" t="n">
        <v>46426</v>
      </c>
      <c r="C945" s="100" t="n">
        <v>46432</v>
      </c>
      <c r="D945" s="99" t="s">
        <v>640</v>
      </c>
      <c r="E945" s="99" t="n">
        <v>3</v>
      </c>
      <c r="F945" s="101" t="n">
        <v>40</v>
      </c>
      <c r="G945" s="102" t="n">
        <f aca="false">IFERROR(F945/INDEX($G$5:$G$34,MATCH(LOOKUP(2,1/($A$39:A945&lt;&gt;""),$A$39:A945),$A$5:$A$34,0)),0)</f>
        <v>1</v>
      </c>
      <c r="H945" s="103" t="str">
        <f aca="false">IF(G945=0,"空闲",IF(G945&lt;=0.6,"低负荷",IF(G945&lt;=0.85,"正常",IF(G945&lt;=1,"满负荷","超负荷"))))</f>
        <v>满负荷</v>
      </c>
      <c r="I945" s="106" t="s">
        <v>743</v>
      </c>
      <c r="J945" s="106"/>
      <c r="K945" s="106"/>
      <c r="L945" s="105" t="s">
        <v>679</v>
      </c>
    </row>
    <row r="946" customFormat="false" ht="48" hidden="false" customHeight="true" outlineLevel="0" collapsed="false">
      <c r="A946" s="99"/>
      <c r="B946" s="100" t="n">
        <v>46433</v>
      </c>
      <c r="C946" s="100" t="n">
        <v>46439</v>
      </c>
      <c r="D946" s="99" t="s">
        <v>638</v>
      </c>
      <c r="E946" s="99" t="n">
        <v>0</v>
      </c>
      <c r="F946" s="101" t="n">
        <v>0</v>
      </c>
      <c r="G946" s="102" t="n">
        <f aca="false">IFERROR(F946/INDEX($G$5:$G$34,MATCH(LOOKUP(2,1/($A$39:A946&lt;&gt;""),$A$39:A946),$A$5:$A$34,0)),0)</f>
        <v>0</v>
      </c>
      <c r="H946" s="103" t="str">
        <f aca="false">IF(G946=0,"空闲",IF(G946&lt;=0.6,"低负荷",IF(G946&lt;=0.85,"正常",IF(G946&lt;=1,"满负荷","超负荷"))))</f>
        <v>空闲</v>
      </c>
      <c r="I946" s="104" t="s">
        <v>638</v>
      </c>
      <c r="J946" s="104"/>
      <c r="K946" s="104"/>
      <c r="L946" s="105" t="s">
        <v>639</v>
      </c>
    </row>
    <row r="947" customFormat="false" ht="48" hidden="false" customHeight="true" outlineLevel="0" collapsed="false">
      <c r="A947" s="99"/>
      <c r="B947" s="100" t="n">
        <v>46440</v>
      </c>
      <c r="C947" s="100" t="n">
        <v>46446</v>
      </c>
      <c r="D947" s="99" t="s">
        <v>638</v>
      </c>
      <c r="E947" s="99" t="n">
        <v>0</v>
      </c>
      <c r="F947" s="101" t="n">
        <v>0</v>
      </c>
      <c r="G947" s="102" t="n">
        <f aca="false">IFERROR(F947/INDEX($G$5:$G$34,MATCH(LOOKUP(2,1/($A$39:A947&lt;&gt;""),$A$39:A947),$A$5:$A$34,0)),0)</f>
        <v>0</v>
      </c>
      <c r="H947" s="103" t="str">
        <f aca="false">IF(G947=0,"空闲",IF(G947&lt;=0.6,"低负荷",IF(G947&lt;=0.85,"正常",IF(G947&lt;=1,"满负荷","超负荷"))))</f>
        <v>空闲</v>
      </c>
      <c r="I947" s="104" t="s">
        <v>638</v>
      </c>
      <c r="J947" s="104"/>
      <c r="K947" s="104"/>
      <c r="L947" s="105" t="s">
        <v>639</v>
      </c>
    </row>
    <row r="948" customFormat="false" ht="48" hidden="false" customHeight="true" outlineLevel="0" collapsed="false">
      <c r="A948" s="99"/>
      <c r="B948" s="100" t="n">
        <v>46447</v>
      </c>
      <c r="C948" s="100" t="n">
        <v>46453</v>
      </c>
      <c r="D948" s="99" t="s">
        <v>638</v>
      </c>
      <c r="E948" s="99" t="n">
        <v>0</v>
      </c>
      <c r="F948" s="101" t="n">
        <v>0</v>
      </c>
      <c r="G948" s="102" t="n">
        <f aca="false">IFERROR(F948/INDEX($G$5:$G$34,MATCH(LOOKUP(2,1/($A$39:A948&lt;&gt;""),$A$39:A948),$A$5:$A$34,0)),0)</f>
        <v>0</v>
      </c>
      <c r="H948" s="103" t="str">
        <f aca="false">IF(G948=0,"空闲",IF(G948&lt;=0.6,"低负荷",IF(G948&lt;=0.85,"正常",IF(G948&lt;=1,"满负荷","超负荷"))))</f>
        <v>空闲</v>
      </c>
      <c r="I948" s="104" t="s">
        <v>638</v>
      </c>
      <c r="J948" s="104"/>
      <c r="K948" s="104"/>
      <c r="L948" s="105" t="s">
        <v>639</v>
      </c>
    </row>
    <row r="949" customFormat="false" ht="48" hidden="false" customHeight="true" outlineLevel="0" collapsed="false">
      <c r="A949" s="99"/>
      <c r="B949" s="100" t="n">
        <v>46454</v>
      </c>
      <c r="C949" s="100" t="n">
        <v>46460</v>
      </c>
      <c r="D949" s="99" t="s">
        <v>638</v>
      </c>
      <c r="E949" s="99" t="n">
        <v>0</v>
      </c>
      <c r="F949" s="101" t="n">
        <v>0</v>
      </c>
      <c r="G949" s="102" t="n">
        <f aca="false">IFERROR(F949/INDEX($G$5:$G$34,MATCH(LOOKUP(2,1/($A$39:A949&lt;&gt;""),$A$39:A949),$A$5:$A$34,0)),0)</f>
        <v>0</v>
      </c>
      <c r="H949" s="103" t="str">
        <f aca="false">IF(G949=0,"空闲",IF(G949&lt;=0.6,"低负荷",IF(G949&lt;=0.85,"正常",IF(G949&lt;=1,"满负荷","超负荷"))))</f>
        <v>空闲</v>
      </c>
      <c r="I949" s="104" t="s">
        <v>638</v>
      </c>
      <c r="J949" s="104"/>
      <c r="K949" s="104"/>
      <c r="L949" s="105" t="s">
        <v>639</v>
      </c>
    </row>
    <row r="950" customFormat="false" ht="48" hidden="false" customHeight="true" outlineLevel="0" collapsed="false">
      <c r="A950" s="99"/>
      <c r="B950" s="100" t="n">
        <v>46461</v>
      </c>
      <c r="C950" s="100" t="n">
        <v>46467</v>
      </c>
      <c r="D950" s="99" t="s">
        <v>638</v>
      </c>
      <c r="E950" s="99" t="n">
        <v>0</v>
      </c>
      <c r="F950" s="101" t="n">
        <v>0</v>
      </c>
      <c r="G950" s="102" t="n">
        <f aca="false">IFERROR(F950/INDEX($G$5:$G$34,MATCH(LOOKUP(2,1/($A$39:A950&lt;&gt;""),$A$39:A950),$A$5:$A$34,0)),0)</f>
        <v>0</v>
      </c>
      <c r="H950" s="103" t="str">
        <f aca="false">IF(G950=0,"空闲",IF(G950&lt;=0.6,"低负荷",IF(G950&lt;=0.85,"正常",IF(G950&lt;=1,"满负荷","超负荷"))))</f>
        <v>空闲</v>
      </c>
      <c r="I950" s="104" t="s">
        <v>638</v>
      </c>
      <c r="J950" s="104"/>
      <c r="K950" s="104"/>
      <c r="L950" s="105" t="s">
        <v>639</v>
      </c>
    </row>
    <row r="951" customFormat="false" ht="48" hidden="false" customHeight="true" outlineLevel="0" collapsed="false">
      <c r="A951" s="99"/>
      <c r="B951" s="100" t="n">
        <v>46468</v>
      </c>
      <c r="C951" s="100" t="n">
        <v>46474</v>
      </c>
      <c r="D951" s="99" t="s">
        <v>638</v>
      </c>
      <c r="E951" s="99" t="n">
        <v>0</v>
      </c>
      <c r="F951" s="101" t="n">
        <v>0</v>
      </c>
      <c r="G951" s="102" t="n">
        <f aca="false">IFERROR(F951/INDEX($G$5:$G$34,MATCH(LOOKUP(2,1/($A$39:A951&lt;&gt;""),$A$39:A951),$A$5:$A$34,0)),0)</f>
        <v>0</v>
      </c>
      <c r="H951" s="103" t="str">
        <f aca="false">IF(G951=0,"空闲",IF(G951&lt;=0.6,"低负荷",IF(G951&lt;=0.85,"正常",IF(G951&lt;=1,"满负荷","超负荷"))))</f>
        <v>空闲</v>
      </c>
      <c r="I951" s="104" t="s">
        <v>638</v>
      </c>
      <c r="J951" s="104"/>
      <c r="K951" s="104"/>
      <c r="L951" s="105" t="s">
        <v>639</v>
      </c>
    </row>
    <row r="952" customFormat="false" ht="48" hidden="false" customHeight="true" outlineLevel="0" collapsed="false">
      <c r="A952" s="99"/>
      <c r="B952" s="100" t="n">
        <v>46475</v>
      </c>
      <c r="C952" s="100" t="n">
        <v>46481</v>
      </c>
      <c r="D952" s="99" t="s">
        <v>638</v>
      </c>
      <c r="E952" s="99" t="n">
        <v>0</v>
      </c>
      <c r="F952" s="101" t="n">
        <v>0</v>
      </c>
      <c r="G952" s="102" t="n">
        <f aca="false">IFERROR(F952/INDEX($G$5:$G$34,MATCH(LOOKUP(2,1/($A$39:A952&lt;&gt;""),$A$39:A952),$A$5:$A$34,0)),0)</f>
        <v>0</v>
      </c>
      <c r="H952" s="103" t="str">
        <f aca="false">IF(G952=0,"空闲",IF(G952&lt;=0.6,"低负荷",IF(G952&lt;=0.85,"正常",IF(G952&lt;=1,"满负荷","超负荷"))))</f>
        <v>空闲</v>
      </c>
      <c r="I952" s="104" t="s">
        <v>638</v>
      </c>
      <c r="J952" s="104"/>
      <c r="K952" s="104"/>
      <c r="L952" s="105" t="s">
        <v>639</v>
      </c>
    </row>
    <row r="953" customFormat="false" ht="48" hidden="false" customHeight="true" outlineLevel="0" collapsed="false">
      <c r="A953" s="99"/>
      <c r="B953" s="100" t="n">
        <v>46482</v>
      </c>
      <c r="C953" s="100" t="n">
        <v>46488</v>
      </c>
      <c r="D953" s="99" t="s">
        <v>638</v>
      </c>
      <c r="E953" s="99" t="n">
        <v>0</v>
      </c>
      <c r="F953" s="101" t="n">
        <v>0</v>
      </c>
      <c r="G953" s="102" t="n">
        <f aca="false">IFERROR(F953/INDEX($G$5:$G$34,MATCH(LOOKUP(2,1/($A$39:A953&lt;&gt;""),$A$39:A953),$A$5:$A$34,0)),0)</f>
        <v>0</v>
      </c>
      <c r="H953" s="103" t="str">
        <f aca="false">IF(G953=0,"空闲",IF(G953&lt;=0.6,"低负荷",IF(G953&lt;=0.85,"正常",IF(G953&lt;=1,"满负荷","超负荷"))))</f>
        <v>空闲</v>
      </c>
      <c r="I953" s="104" t="s">
        <v>638</v>
      </c>
      <c r="J953" s="104"/>
      <c r="K953" s="104"/>
      <c r="L953" s="105" t="s">
        <v>639</v>
      </c>
    </row>
    <row r="954" customFormat="false" ht="48" hidden="false" customHeight="true" outlineLevel="0" collapsed="false">
      <c r="A954" s="99"/>
      <c r="B954" s="100" t="n">
        <v>46489</v>
      </c>
      <c r="C954" s="100" t="n">
        <v>46495</v>
      </c>
      <c r="D954" s="99" t="s">
        <v>638</v>
      </c>
      <c r="E954" s="99" t="n">
        <v>0</v>
      </c>
      <c r="F954" s="101" t="n">
        <v>0</v>
      </c>
      <c r="G954" s="102" t="n">
        <f aca="false">IFERROR(F954/INDEX($G$5:$G$34,MATCH(LOOKUP(2,1/($A$39:A954&lt;&gt;""),$A$39:A954),$A$5:$A$34,0)),0)</f>
        <v>0</v>
      </c>
      <c r="H954" s="103" t="str">
        <f aca="false">IF(G954=0,"空闲",IF(G954&lt;=0.6,"低负荷",IF(G954&lt;=0.85,"正常",IF(G954&lt;=1,"满负荷","超负荷"))))</f>
        <v>空闲</v>
      </c>
      <c r="I954" s="104" t="s">
        <v>638</v>
      </c>
      <c r="J954" s="104"/>
      <c r="K954" s="104"/>
      <c r="L954" s="105" t="s">
        <v>639</v>
      </c>
    </row>
    <row r="955" customFormat="false" ht="48" hidden="false" customHeight="true" outlineLevel="0" collapsed="false">
      <c r="A955" s="99"/>
      <c r="B955" s="100" t="n">
        <v>46496</v>
      </c>
      <c r="C955" s="100" t="n">
        <v>46502</v>
      </c>
      <c r="D955" s="99" t="s">
        <v>638</v>
      </c>
      <c r="E955" s="99" t="n">
        <v>0</v>
      </c>
      <c r="F955" s="101" t="n">
        <v>0</v>
      </c>
      <c r="G955" s="102" t="n">
        <f aca="false">IFERROR(F955/INDEX($G$5:$G$34,MATCH(LOOKUP(2,1/($A$39:A955&lt;&gt;""),$A$39:A955),$A$5:$A$34,0)),0)</f>
        <v>0</v>
      </c>
      <c r="H955" s="103" t="str">
        <f aca="false">IF(G955=0,"空闲",IF(G955&lt;=0.6,"低负荷",IF(G955&lt;=0.85,"正常",IF(G955&lt;=1,"满负荷","超负荷"))))</f>
        <v>空闲</v>
      </c>
      <c r="I955" s="104" t="s">
        <v>638</v>
      </c>
      <c r="J955" s="104"/>
      <c r="K955" s="104"/>
      <c r="L955" s="105" t="s">
        <v>639</v>
      </c>
    </row>
    <row r="956" customFormat="false" ht="48" hidden="false" customHeight="true" outlineLevel="0" collapsed="false">
      <c r="A956" s="99"/>
      <c r="B956" s="100" t="n">
        <v>46503</v>
      </c>
      <c r="C956" s="100" t="n">
        <v>46509</v>
      </c>
      <c r="D956" s="99" t="s">
        <v>638</v>
      </c>
      <c r="E956" s="99" t="n">
        <v>0</v>
      </c>
      <c r="F956" s="101" t="n">
        <v>0</v>
      </c>
      <c r="G956" s="102" t="n">
        <f aca="false">IFERROR(F956/INDEX($G$5:$G$34,MATCH(LOOKUP(2,1/($A$39:A956&lt;&gt;""),$A$39:A956),$A$5:$A$34,0)),0)</f>
        <v>0</v>
      </c>
      <c r="H956" s="103" t="str">
        <f aca="false">IF(G956=0,"空闲",IF(G956&lt;=0.6,"低负荷",IF(G956&lt;=0.85,"正常",IF(G956&lt;=1,"满负荷","超负荷"))))</f>
        <v>空闲</v>
      </c>
      <c r="I956" s="104" t="s">
        <v>638</v>
      </c>
      <c r="J956" s="104"/>
      <c r="K956" s="104"/>
      <c r="L956" s="105" t="s">
        <v>639</v>
      </c>
    </row>
    <row r="957" customFormat="false" ht="48" hidden="false" customHeight="true" outlineLevel="0" collapsed="false">
      <c r="A957" s="99"/>
      <c r="B957" s="100" t="n">
        <v>46510</v>
      </c>
      <c r="C957" s="100" t="n">
        <v>46516</v>
      </c>
      <c r="D957" s="99" t="s">
        <v>638</v>
      </c>
      <c r="E957" s="99" t="n">
        <v>0</v>
      </c>
      <c r="F957" s="101" t="n">
        <v>0</v>
      </c>
      <c r="G957" s="102" t="n">
        <f aca="false">IFERROR(F957/INDEX($G$5:$G$34,MATCH(LOOKUP(2,1/($A$39:A957&lt;&gt;""),$A$39:A957),$A$5:$A$34,0)),0)</f>
        <v>0</v>
      </c>
      <c r="H957" s="103" t="str">
        <f aca="false">IF(G957=0,"空闲",IF(G957&lt;=0.6,"低负荷",IF(G957&lt;=0.85,"正常",IF(G957&lt;=1,"满负荷","超负荷"))))</f>
        <v>空闲</v>
      </c>
      <c r="I957" s="104" t="s">
        <v>638</v>
      </c>
      <c r="J957" s="104"/>
      <c r="K957" s="104"/>
      <c r="L957" s="105" t="s">
        <v>639</v>
      </c>
    </row>
    <row r="958" customFormat="false" ht="48" hidden="false" customHeight="true" outlineLevel="0" collapsed="false">
      <c r="A958" s="99"/>
      <c r="B958" s="100" t="n">
        <v>46517</v>
      </c>
      <c r="C958" s="100" t="n">
        <v>46523</v>
      </c>
      <c r="D958" s="99" t="s">
        <v>638</v>
      </c>
      <c r="E958" s="99" t="n">
        <v>0</v>
      </c>
      <c r="F958" s="101" t="n">
        <v>0</v>
      </c>
      <c r="G958" s="102" t="n">
        <f aca="false">IFERROR(F958/INDEX($G$5:$G$34,MATCH(LOOKUP(2,1/($A$39:A958&lt;&gt;""),$A$39:A958),$A$5:$A$34,0)),0)</f>
        <v>0</v>
      </c>
      <c r="H958" s="103" t="str">
        <f aca="false">IF(G958=0,"空闲",IF(G958&lt;=0.6,"低负荷",IF(G958&lt;=0.85,"正常",IF(G958&lt;=1,"满负荷","超负荷"))))</f>
        <v>空闲</v>
      </c>
      <c r="I958" s="104" t="s">
        <v>638</v>
      </c>
      <c r="J958" s="104"/>
      <c r="K958" s="104"/>
      <c r="L958" s="105" t="s">
        <v>639</v>
      </c>
    </row>
    <row r="959" customFormat="false" ht="48" hidden="false" customHeight="true" outlineLevel="0" collapsed="false">
      <c r="A959" s="99"/>
      <c r="B959" s="100" t="n">
        <v>46524</v>
      </c>
      <c r="C959" s="100" t="n">
        <v>46530</v>
      </c>
      <c r="D959" s="99" t="s">
        <v>638</v>
      </c>
      <c r="E959" s="99" t="n">
        <v>0</v>
      </c>
      <c r="F959" s="101" t="n">
        <v>0</v>
      </c>
      <c r="G959" s="102" t="n">
        <f aca="false">IFERROR(F959/INDEX($G$5:$G$34,MATCH(LOOKUP(2,1/($A$39:A959&lt;&gt;""),$A$39:A959),$A$5:$A$34,0)),0)</f>
        <v>0</v>
      </c>
      <c r="H959" s="103" t="str">
        <f aca="false">IF(G959=0,"空闲",IF(G959&lt;=0.6,"低负荷",IF(G959&lt;=0.85,"正常",IF(G959&lt;=1,"满负荷","超负荷"))))</f>
        <v>空闲</v>
      </c>
      <c r="I959" s="104" t="s">
        <v>638</v>
      </c>
      <c r="J959" s="104"/>
      <c r="K959" s="104"/>
      <c r="L959" s="105" t="s">
        <v>639</v>
      </c>
    </row>
    <row r="960" customFormat="false" ht="48" hidden="false" customHeight="true" outlineLevel="0" collapsed="false">
      <c r="A960" s="99"/>
      <c r="B960" s="100" t="n">
        <v>46531</v>
      </c>
      <c r="C960" s="100" t="n">
        <v>46537</v>
      </c>
      <c r="D960" s="99" t="s">
        <v>638</v>
      </c>
      <c r="E960" s="99" t="n">
        <v>0</v>
      </c>
      <c r="F960" s="101" t="n">
        <v>0</v>
      </c>
      <c r="G960" s="102" t="n">
        <f aca="false">IFERROR(F960/INDEX($G$5:$G$34,MATCH(LOOKUP(2,1/($A$39:A960&lt;&gt;""),$A$39:A960),$A$5:$A$34,0)),0)</f>
        <v>0</v>
      </c>
      <c r="H960" s="103" t="str">
        <f aca="false">IF(G960=0,"空闲",IF(G960&lt;=0.6,"低负荷",IF(G960&lt;=0.85,"正常",IF(G960&lt;=1,"满负荷","超负荷"))))</f>
        <v>空闲</v>
      </c>
      <c r="I960" s="104" t="s">
        <v>638</v>
      </c>
      <c r="J960" s="104"/>
      <c r="K960" s="104"/>
      <c r="L960" s="105" t="s">
        <v>639</v>
      </c>
    </row>
    <row r="961" customFormat="false" ht="48" hidden="false" customHeight="true" outlineLevel="0" collapsed="false">
      <c r="A961" s="99"/>
      <c r="B961" s="100" t="n">
        <v>46538</v>
      </c>
      <c r="C961" s="100" t="n">
        <v>46544</v>
      </c>
      <c r="D961" s="99" t="s">
        <v>638</v>
      </c>
      <c r="E961" s="99" t="n">
        <v>0</v>
      </c>
      <c r="F961" s="101" t="n">
        <v>0</v>
      </c>
      <c r="G961" s="102" t="n">
        <f aca="false">IFERROR(F961/INDEX($G$5:$G$34,MATCH(LOOKUP(2,1/($A$39:A961&lt;&gt;""),$A$39:A961),$A$5:$A$34,0)),0)</f>
        <v>0</v>
      </c>
      <c r="H961" s="103" t="str">
        <f aca="false">IF(G961=0,"空闲",IF(G961&lt;=0.6,"低负荷",IF(G961&lt;=0.85,"正常",IF(G961&lt;=1,"满负荷","超负荷"))))</f>
        <v>空闲</v>
      </c>
      <c r="I961" s="104" t="s">
        <v>638</v>
      </c>
      <c r="J961" s="104"/>
      <c r="K961" s="104"/>
      <c r="L961" s="105" t="s">
        <v>639</v>
      </c>
    </row>
    <row r="962" customFormat="false" ht="48" hidden="false" customHeight="true" outlineLevel="0" collapsed="false">
      <c r="A962" s="99" t="s">
        <v>559</v>
      </c>
      <c r="B962" s="100" t="n">
        <v>46048</v>
      </c>
      <c r="C962" s="100" t="n">
        <v>46054</v>
      </c>
      <c r="D962" s="99" t="s">
        <v>638</v>
      </c>
      <c r="E962" s="99" t="n">
        <v>0</v>
      </c>
      <c r="F962" s="101" t="n">
        <v>0</v>
      </c>
      <c r="G962" s="102" t="n">
        <f aca="false">IFERROR(F962/INDEX($G$5:$G$34,MATCH(LOOKUP(2,1/($A$39:A962&lt;&gt;""),$A$39:A962),$A$5:$A$34,0)),0)</f>
        <v>0</v>
      </c>
      <c r="H962" s="103" t="str">
        <f aca="false">IF(G962=0,"空闲",IF(G962&lt;=0.6,"低负荷",IF(G962&lt;=0.85,"正常",IF(G962&lt;=1,"满负荷","超负荷"))))</f>
        <v>空闲</v>
      </c>
      <c r="I962" s="104" t="s">
        <v>638</v>
      </c>
      <c r="J962" s="104"/>
      <c r="K962" s="104"/>
      <c r="L962" s="105" t="s">
        <v>639</v>
      </c>
    </row>
    <row r="963" customFormat="false" ht="48" hidden="false" customHeight="true" outlineLevel="0" collapsed="false">
      <c r="A963" s="99"/>
      <c r="B963" s="100" t="n">
        <v>46055</v>
      </c>
      <c r="C963" s="100" t="n">
        <v>46061</v>
      </c>
      <c r="D963" s="99" t="s">
        <v>638</v>
      </c>
      <c r="E963" s="99" t="n">
        <v>0</v>
      </c>
      <c r="F963" s="101" t="n">
        <v>0</v>
      </c>
      <c r="G963" s="102" t="n">
        <f aca="false">IFERROR(F963/INDEX($G$5:$G$34,MATCH(LOOKUP(2,1/($A$39:A963&lt;&gt;""),$A$39:A963),$A$5:$A$34,0)),0)</f>
        <v>0</v>
      </c>
      <c r="H963" s="103" t="str">
        <f aca="false">IF(G963=0,"空闲",IF(G963&lt;=0.6,"低负荷",IF(G963&lt;=0.85,"正常",IF(G963&lt;=1,"满负荷","超负荷"))))</f>
        <v>空闲</v>
      </c>
      <c r="I963" s="104" t="s">
        <v>638</v>
      </c>
      <c r="J963" s="104"/>
      <c r="K963" s="104"/>
      <c r="L963" s="105" t="s">
        <v>639</v>
      </c>
    </row>
    <row r="964" customFormat="false" ht="48" hidden="false" customHeight="true" outlineLevel="0" collapsed="false">
      <c r="A964" s="99"/>
      <c r="B964" s="100" t="n">
        <v>46062</v>
      </c>
      <c r="C964" s="100" t="n">
        <v>46068</v>
      </c>
      <c r="D964" s="99" t="s">
        <v>638</v>
      </c>
      <c r="E964" s="99" t="n">
        <v>0</v>
      </c>
      <c r="F964" s="101" t="n">
        <v>0</v>
      </c>
      <c r="G964" s="102" t="n">
        <f aca="false">IFERROR(F964/INDEX($G$5:$G$34,MATCH(LOOKUP(2,1/($A$39:A964&lt;&gt;""),$A$39:A964),$A$5:$A$34,0)),0)</f>
        <v>0</v>
      </c>
      <c r="H964" s="103" t="str">
        <f aca="false">IF(G964=0,"空闲",IF(G964&lt;=0.6,"低负荷",IF(G964&lt;=0.85,"正常",IF(G964&lt;=1,"满负荷","超负荷"))))</f>
        <v>空闲</v>
      </c>
      <c r="I964" s="104" t="s">
        <v>638</v>
      </c>
      <c r="J964" s="104"/>
      <c r="K964" s="104"/>
      <c r="L964" s="105" t="s">
        <v>639</v>
      </c>
    </row>
    <row r="965" customFormat="false" ht="48" hidden="false" customHeight="true" outlineLevel="0" collapsed="false">
      <c r="A965" s="99"/>
      <c r="B965" s="100" t="n">
        <v>46069</v>
      </c>
      <c r="C965" s="100" t="n">
        <v>46075</v>
      </c>
      <c r="D965" s="99" t="s">
        <v>638</v>
      </c>
      <c r="E965" s="99" t="n">
        <v>0</v>
      </c>
      <c r="F965" s="101" t="n">
        <v>0</v>
      </c>
      <c r="G965" s="102" t="n">
        <f aca="false">IFERROR(F965/INDEX($G$5:$G$34,MATCH(LOOKUP(2,1/($A$39:A965&lt;&gt;""),$A$39:A965),$A$5:$A$34,0)),0)</f>
        <v>0</v>
      </c>
      <c r="H965" s="103" t="str">
        <f aca="false">IF(G965=0,"空闲",IF(G965&lt;=0.6,"低负荷",IF(G965&lt;=0.85,"正常",IF(G965&lt;=1,"满负荷","超负荷"))))</f>
        <v>空闲</v>
      </c>
      <c r="I965" s="104" t="s">
        <v>638</v>
      </c>
      <c r="J965" s="104"/>
      <c r="K965" s="104"/>
      <c r="L965" s="105" t="s">
        <v>639</v>
      </c>
    </row>
    <row r="966" customFormat="false" ht="48" hidden="false" customHeight="true" outlineLevel="0" collapsed="false">
      <c r="A966" s="99"/>
      <c r="B966" s="100" t="n">
        <v>46076</v>
      </c>
      <c r="C966" s="100" t="n">
        <v>46082</v>
      </c>
      <c r="D966" s="99" t="s">
        <v>638</v>
      </c>
      <c r="E966" s="99" t="n">
        <v>0</v>
      </c>
      <c r="F966" s="101" t="n">
        <v>0</v>
      </c>
      <c r="G966" s="102" t="n">
        <f aca="false">IFERROR(F966/INDEX($G$5:$G$34,MATCH(LOOKUP(2,1/($A$39:A966&lt;&gt;""),$A$39:A966),$A$5:$A$34,0)),0)</f>
        <v>0</v>
      </c>
      <c r="H966" s="103" t="str">
        <f aca="false">IF(G966=0,"空闲",IF(G966&lt;=0.6,"低负荷",IF(G966&lt;=0.85,"正常",IF(G966&lt;=1,"满负荷","超负荷"))))</f>
        <v>空闲</v>
      </c>
      <c r="I966" s="104" t="s">
        <v>638</v>
      </c>
      <c r="J966" s="104"/>
      <c r="K966" s="104"/>
      <c r="L966" s="105" t="s">
        <v>639</v>
      </c>
    </row>
    <row r="967" customFormat="false" ht="48" hidden="false" customHeight="true" outlineLevel="0" collapsed="false">
      <c r="A967" s="99"/>
      <c r="B967" s="100" t="n">
        <v>46083</v>
      </c>
      <c r="C967" s="100" t="n">
        <v>46089</v>
      </c>
      <c r="D967" s="99" t="s">
        <v>638</v>
      </c>
      <c r="E967" s="99" t="n">
        <v>0</v>
      </c>
      <c r="F967" s="101" t="n">
        <v>0</v>
      </c>
      <c r="G967" s="102" t="n">
        <f aca="false">IFERROR(F967/INDEX($G$5:$G$34,MATCH(LOOKUP(2,1/($A$39:A967&lt;&gt;""),$A$39:A967),$A$5:$A$34,0)),0)</f>
        <v>0</v>
      </c>
      <c r="H967" s="103" t="str">
        <f aca="false">IF(G967=0,"空闲",IF(G967&lt;=0.6,"低负荷",IF(G967&lt;=0.85,"正常",IF(G967&lt;=1,"满负荷","超负荷"))))</f>
        <v>空闲</v>
      </c>
      <c r="I967" s="104" t="s">
        <v>638</v>
      </c>
      <c r="J967" s="104"/>
      <c r="K967" s="104"/>
      <c r="L967" s="105" t="s">
        <v>639</v>
      </c>
    </row>
    <row r="968" customFormat="false" ht="48" hidden="false" customHeight="true" outlineLevel="0" collapsed="false">
      <c r="A968" s="99"/>
      <c r="B968" s="100" t="n">
        <v>46090</v>
      </c>
      <c r="C968" s="100" t="n">
        <v>46096</v>
      </c>
      <c r="D968" s="99" t="s">
        <v>638</v>
      </c>
      <c r="E968" s="99" t="n">
        <v>0</v>
      </c>
      <c r="F968" s="101" t="n">
        <v>0</v>
      </c>
      <c r="G968" s="102" t="n">
        <f aca="false">IFERROR(F968/INDEX($G$5:$G$34,MATCH(LOOKUP(2,1/($A$39:A968&lt;&gt;""),$A$39:A968),$A$5:$A$34,0)),0)</f>
        <v>0</v>
      </c>
      <c r="H968" s="103" t="str">
        <f aca="false">IF(G968=0,"空闲",IF(G968&lt;=0.6,"低负荷",IF(G968&lt;=0.85,"正常",IF(G968&lt;=1,"满负荷","超负荷"))))</f>
        <v>空闲</v>
      </c>
      <c r="I968" s="104" t="s">
        <v>638</v>
      </c>
      <c r="J968" s="104"/>
      <c r="K968" s="104"/>
      <c r="L968" s="105" t="s">
        <v>639</v>
      </c>
    </row>
    <row r="969" customFormat="false" ht="48" hidden="false" customHeight="true" outlineLevel="0" collapsed="false">
      <c r="A969" s="99"/>
      <c r="B969" s="100" t="n">
        <v>46097</v>
      </c>
      <c r="C969" s="100" t="n">
        <v>46103</v>
      </c>
      <c r="D969" s="99" t="s">
        <v>638</v>
      </c>
      <c r="E969" s="99" t="n">
        <v>0</v>
      </c>
      <c r="F969" s="101" t="n">
        <v>0</v>
      </c>
      <c r="G969" s="102" t="n">
        <f aca="false">IFERROR(F969/INDEX($G$5:$G$34,MATCH(LOOKUP(2,1/($A$39:A969&lt;&gt;""),$A$39:A969),$A$5:$A$34,0)),0)</f>
        <v>0</v>
      </c>
      <c r="H969" s="103" t="str">
        <f aca="false">IF(G969=0,"空闲",IF(G969&lt;=0.6,"低负荷",IF(G969&lt;=0.85,"正常",IF(G969&lt;=1,"满负荷","超负荷"))))</f>
        <v>空闲</v>
      </c>
      <c r="I969" s="104" t="s">
        <v>638</v>
      </c>
      <c r="J969" s="104"/>
      <c r="K969" s="104"/>
      <c r="L969" s="105" t="s">
        <v>639</v>
      </c>
    </row>
    <row r="970" customFormat="false" ht="48" hidden="false" customHeight="true" outlineLevel="0" collapsed="false">
      <c r="A970" s="99"/>
      <c r="B970" s="100" t="n">
        <v>46104</v>
      </c>
      <c r="C970" s="100" t="n">
        <v>46110</v>
      </c>
      <c r="D970" s="99" t="s">
        <v>638</v>
      </c>
      <c r="E970" s="99" t="n">
        <v>0</v>
      </c>
      <c r="F970" s="101" t="n">
        <v>0</v>
      </c>
      <c r="G970" s="102" t="n">
        <f aca="false">IFERROR(F970/INDEX($G$5:$G$34,MATCH(LOOKUP(2,1/($A$39:A970&lt;&gt;""),$A$39:A970),$A$5:$A$34,0)),0)</f>
        <v>0</v>
      </c>
      <c r="H970" s="103" t="str">
        <f aca="false">IF(G970=0,"空闲",IF(G970&lt;=0.6,"低负荷",IF(G970&lt;=0.85,"正常",IF(G970&lt;=1,"满负荷","超负荷"))))</f>
        <v>空闲</v>
      </c>
      <c r="I970" s="104" t="s">
        <v>638</v>
      </c>
      <c r="J970" s="104"/>
      <c r="K970" s="104"/>
      <c r="L970" s="105" t="s">
        <v>639</v>
      </c>
    </row>
    <row r="971" customFormat="false" ht="48" hidden="false" customHeight="true" outlineLevel="0" collapsed="false">
      <c r="A971" s="99"/>
      <c r="B971" s="100" t="n">
        <v>46111</v>
      </c>
      <c r="C971" s="100" t="n">
        <v>46117</v>
      </c>
      <c r="D971" s="99" t="s">
        <v>638</v>
      </c>
      <c r="E971" s="99" t="n">
        <v>0</v>
      </c>
      <c r="F971" s="101" t="n">
        <v>0</v>
      </c>
      <c r="G971" s="102" t="n">
        <f aca="false">IFERROR(F971/INDEX($G$5:$G$34,MATCH(LOOKUP(2,1/($A$39:A971&lt;&gt;""),$A$39:A971),$A$5:$A$34,0)),0)</f>
        <v>0</v>
      </c>
      <c r="H971" s="103" t="str">
        <f aca="false">IF(G971=0,"空闲",IF(G971&lt;=0.6,"低负荷",IF(G971&lt;=0.85,"正常",IF(G971&lt;=1,"满负荷","超负荷"))))</f>
        <v>空闲</v>
      </c>
      <c r="I971" s="104" t="s">
        <v>638</v>
      </c>
      <c r="J971" s="104"/>
      <c r="K971" s="104"/>
      <c r="L971" s="105" t="s">
        <v>639</v>
      </c>
    </row>
    <row r="972" customFormat="false" ht="48" hidden="false" customHeight="true" outlineLevel="0" collapsed="false">
      <c r="A972" s="99"/>
      <c r="B972" s="100" t="n">
        <v>46118</v>
      </c>
      <c r="C972" s="100" t="n">
        <v>46124</v>
      </c>
      <c r="D972" s="99" t="s">
        <v>638</v>
      </c>
      <c r="E972" s="99" t="n">
        <v>0</v>
      </c>
      <c r="F972" s="101" t="n">
        <v>0</v>
      </c>
      <c r="G972" s="102" t="n">
        <f aca="false">IFERROR(F972/INDEX($G$5:$G$34,MATCH(LOOKUP(2,1/($A$39:A972&lt;&gt;""),$A$39:A972),$A$5:$A$34,0)),0)</f>
        <v>0</v>
      </c>
      <c r="H972" s="103" t="str">
        <f aca="false">IF(G972=0,"空闲",IF(G972&lt;=0.6,"低负荷",IF(G972&lt;=0.85,"正常",IF(G972&lt;=1,"满负荷","超负荷"))))</f>
        <v>空闲</v>
      </c>
      <c r="I972" s="104" t="s">
        <v>638</v>
      </c>
      <c r="J972" s="104"/>
      <c r="K972" s="104"/>
      <c r="L972" s="105" t="s">
        <v>639</v>
      </c>
    </row>
    <row r="973" customFormat="false" ht="48" hidden="false" customHeight="true" outlineLevel="0" collapsed="false">
      <c r="A973" s="99"/>
      <c r="B973" s="100" t="n">
        <v>46125</v>
      </c>
      <c r="C973" s="100" t="n">
        <v>46131</v>
      </c>
      <c r="D973" s="99" t="s">
        <v>638</v>
      </c>
      <c r="E973" s="99" t="n">
        <v>0</v>
      </c>
      <c r="F973" s="101" t="n">
        <v>0</v>
      </c>
      <c r="G973" s="102" t="n">
        <f aca="false">IFERROR(F973/INDEX($G$5:$G$34,MATCH(LOOKUP(2,1/($A$39:A973&lt;&gt;""),$A$39:A973),$A$5:$A$34,0)),0)</f>
        <v>0</v>
      </c>
      <c r="H973" s="103" t="str">
        <f aca="false">IF(G973=0,"空闲",IF(G973&lt;=0.6,"低负荷",IF(G973&lt;=0.85,"正常",IF(G973&lt;=1,"满负荷","超负荷"))))</f>
        <v>空闲</v>
      </c>
      <c r="I973" s="104" t="s">
        <v>638</v>
      </c>
      <c r="J973" s="104"/>
      <c r="K973" s="104"/>
      <c r="L973" s="105" t="s">
        <v>639</v>
      </c>
    </row>
    <row r="974" customFormat="false" ht="48" hidden="false" customHeight="true" outlineLevel="0" collapsed="false">
      <c r="A974" s="99"/>
      <c r="B974" s="100" t="n">
        <v>46132</v>
      </c>
      <c r="C974" s="100" t="n">
        <v>46138</v>
      </c>
      <c r="D974" s="99" t="s">
        <v>638</v>
      </c>
      <c r="E974" s="99" t="n">
        <v>0</v>
      </c>
      <c r="F974" s="101" t="n">
        <v>0</v>
      </c>
      <c r="G974" s="102" t="n">
        <f aca="false">IFERROR(F974/INDEX($G$5:$G$34,MATCH(LOOKUP(2,1/($A$39:A974&lt;&gt;""),$A$39:A974),$A$5:$A$34,0)),0)</f>
        <v>0</v>
      </c>
      <c r="H974" s="103" t="str">
        <f aca="false">IF(G974=0,"空闲",IF(G974&lt;=0.6,"低负荷",IF(G974&lt;=0.85,"正常",IF(G974&lt;=1,"满负荷","超负荷"))))</f>
        <v>空闲</v>
      </c>
      <c r="I974" s="104" t="s">
        <v>638</v>
      </c>
      <c r="J974" s="104"/>
      <c r="K974" s="104"/>
      <c r="L974" s="105" t="s">
        <v>639</v>
      </c>
    </row>
    <row r="975" customFormat="false" ht="48" hidden="false" customHeight="true" outlineLevel="0" collapsed="false">
      <c r="A975" s="99"/>
      <c r="B975" s="100" t="n">
        <v>46139</v>
      </c>
      <c r="C975" s="100" t="n">
        <v>46145</v>
      </c>
      <c r="D975" s="99" t="s">
        <v>638</v>
      </c>
      <c r="E975" s="99" t="n">
        <v>0</v>
      </c>
      <c r="F975" s="101" t="n">
        <v>0</v>
      </c>
      <c r="G975" s="102" t="n">
        <f aca="false">IFERROR(F975/INDEX($G$5:$G$34,MATCH(LOOKUP(2,1/($A$39:A975&lt;&gt;""),$A$39:A975),$A$5:$A$34,0)),0)</f>
        <v>0</v>
      </c>
      <c r="H975" s="103" t="str">
        <f aca="false">IF(G975=0,"空闲",IF(G975&lt;=0.6,"低负荷",IF(G975&lt;=0.85,"正常",IF(G975&lt;=1,"满负荷","超负荷"))))</f>
        <v>空闲</v>
      </c>
      <c r="I975" s="104" t="s">
        <v>638</v>
      </c>
      <c r="J975" s="104"/>
      <c r="K975" s="104"/>
      <c r="L975" s="105" t="s">
        <v>639</v>
      </c>
    </row>
    <row r="976" customFormat="false" ht="48" hidden="false" customHeight="true" outlineLevel="0" collapsed="false">
      <c r="A976" s="99"/>
      <c r="B976" s="100" t="n">
        <v>46146</v>
      </c>
      <c r="C976" s="100" t="n">
        <v>46152</v>
      </c>
      <c r="D976" s="99" t="s">
        <v>638</v>
      </c>
      <c r="E976" s="99" t="n">
        <v>0</v>
      </c>
      <c r="F976" s="101" t="n">
        <v>0</v>
      </c>
      <c r="G976" s="102" t="n">
        <f aca="false">IFERROR(F976/INDEX($G$5:$G$34,MATCH(LOOKUP(2,1/($A$39:A976&lt;&gt;""),$A$39:A976),$A$5:$A$34,0)),0)</f>
        <v>0</v>
      </c>
      <c r="H976" s="103" t="str">
        <f aca="false">IF(G976=0,"空闲",IF(G976&lt;=0.6,"低负荷",IF(G976&lt;=0.85,"正常",IF(G976&lt;=1,"满负荷","超负荷"))))</f>
        <v>空闲</v>
      </c>
      <c r="I976" s="104" t="s">
        <v>638</v>
      </c>
      <c r="J976" s="104"/>
      <c r="K976" s="104"/>
      <c r="L976" s="105" t="s">
        <v>639</v>
      </c>
    </row>
    <row r="977" customFormat="false" ht="48" hidden="false" customHeight="true" outlineLevel="0" collapsed="false">
      <c r="A977" s="99"/>
      <c r="B977" s="100" t="n">
        <v>46153</v>
      </c>
      <c r="C977" s="100" t="n">
        <v>46159</v>
      </c>
      <c r="D977" s="99" t="s">
        <v>638</v>
      </c>
      <c r="E977" s="99" t="n">
        <v>0</v>
      </c>
      <c r="F977" s="101" t="n">
        <v>0</v>
      </c>
      <c r="G977" s="102" t="n">
        <f aca="false">IFERROR(F977/INDEX($G$5:$G$34,MATCH(LOOKUP(2,1/($A$39:A977&lt;&gt;""),$A$39:A977),$A$5:$A$34,0)),0)</f>
        <v>0</v>
      </c>
      <c r="H977" s="103" t="str">
        <f aca="false">IF(G977=0,"空闲",IF(G977&lt;=0.6,"低负荷",IF(G977&lt;=0.85,"正常",IF(G977&lt;=1,"满负荷","超负荷"))))</f>
        <v>空闲</v>
      </c>
      <c r="I977" s="104" t="s">
        <v>638</v>
      </c>
      <c r="J977" s="104"/>
      <c r="K977" s="104"/>
      <c r="L977" s="105" t="s">
        <v>639</v>
      </c>
    </row>
    <row r="978" customFormat="false" ht="48" hidden="false" customHeight="true" outlineLevel="0" collapsed="false">
      <c r="A978" s="99"/>
      <c r="B978" s="100" t="n">
        <v>46160</v>
      </c>
      <c r="C978" s="100" t="n">
        <v>46166</v>
      </c>
      <c r="D978" s="99" t="s">
        <v>638</v>
      </c>
      <c r="E978" s="99" t="n">
        <v>0</v>
      </c>
      <c r="F978" s="101" t="n">
        <v>0</v>
      </c>
      <c r="G978" s="102" t="n">
        <f aca="false">IFERROR(F978/INDEX($G$5:$G$34,MATCH(LOOKUP(2,1/($A$39:A978&lt;&gt;""),$A$39:A978),$A$5:$A$34,0)),0)</f>
        <v>0</v>
      </c>
      <c r="H978" s="103" t="str">
        <f aca="false">IF(G978=0,"空闲",IF(G978&lt;=0.6,"低负荷",IF(G978&lt;=0.85,"正常",IF(G978&lt;=1,"满负荷","超负荷"))))</f>
        <v>空闲</v>
      </c>
      <c r="I978" s="104" t="s">
        <v>638</v>
      </c>
      <c r="J978" s="104"/>
      <c r="K978" s="104"/>
      <c r="L978" s="105" t="s">
        <v>639</v>
      </c>
    </row>
    <row r="979" customFormat="false" ht="48" hidden="false" customHeight="true" outlineLevel="0" collapsed="false">
      <c r="A979" s="99"/>
      <c r="B979" s="100" t="n">
        <v>46167</v>
      </c>
      <c r="C979" s="100" t="n">
        <v>46173</v>
      </c>
      <c r="D979" s="99" t="s">
        <v>638</v>
      </c>
      <c r="E979" s="99" t="n">
        <v>0</v>
      </c>
      <c r="F979" s="101" t="n">
        <v>0</v>
      </c>
      <c r="G979" s="102" t="n">
        <f aca="false">IFERROR(F979/INDEX($G$5:$G$34,MATCH(LOOKUP(2,1/($A$39:A979&lt;&gt;""),$A$39:A979),$A$5:$A$34,0)),0)</f>
        <v>0</v>
      </c>
      <c r="H979" s="103" t="str">
        <f aca="false">IF(G979=0,"空闲",IF(G979&lt;=0.6,"低负荷",IF(G979&lt;=0.85,"正常",IF(G979&lt;=1,"满负荷","超负荷"))))</f>
        <v>空闲</v>
      </c>
      <c r="I979" s="104" t="s">
        <v>638</v>
      </c>
      <c r="J979" s="104"/>
      <c r="K979" s="104"/>
      <c r="L979" s="105" t="s">
        <v>639</v>
      </c>
    </row>
    <row r="980" customFormat="false" ht="48" hidden="false" customHeight="true" outlineLevel="0" collapsed="false">
      <c r="A980" s="99"/>
      <c r="B980" s="100" t="n">
        <v>46174</v>
      </c>
      <c r="C980" s="100" t="n">
        <v>46180</v>
      </c>
      <c r="D980" s="99" t="s">
        <v>638</v>
      </c>
      <c r="E980" s="99" t="n">
        <v>0</v>
      </c>
      <c r="F980" s="101" t="n">
        <v>0</v>
      </c>
      <c r="G980" s="102" t="n">
        <f aca="false">IFERROR(F980/INDEX($G$5:$G$34,MATCH(LOOKUP(2,1/($A$39:A980&lt;&gt;""),$A$39:A980),$A$5:$A$34,0)),0)</f>
        <v>0</v>
      </c>
      <c r="H980" s="103" t="str">
        <f aca="false">IF(G980=0,"空闲",IF(G980&lt;=0.6,"低负荷",IF(G980&lt;=0.85,"正常",IF(G980&lt;=1,"满负荷","超负荷"))))</f>
        <v>空闲</v>
      </c>
      <c r="I980" s="104" t="s">
        <v>638</v>
      </c>
      <c r="J980" s="104"/>
      <c r="K980" s="104"/>
      <c r="L980" s="105" t="s">
        <v>639</v>
      </c>
    </row>
    <row r="981" customFormat="false" ht="48" hidden="false" customHeight="true" outlineLevel="0" collapsed="false">
      <c r="A981" s="99"/>
      <c r="B981" s="100" t="n">
        <v>46181</v>
      </c>
      <c r="C981" s="100" t="n">
        <v>46187</v>
      </c>
      <c r="D981" s="99" t="s">
        <v>638</v>
      </c>
      <c r="E981" s="99" t="n">
        <v>0</v>
      </c>
      <c r="F981" s="101" t="n">
        <v>0</v>
      </c>
      <c r="G981" s="102" t="n">
        <f aca="false">IFERROR(F981/INDEX($G$5:$G$34,MATCH(LOOKUP(2,1/($A$39:A981&lt;&gt;""),$A$39:A981),$A$5:$A$34,0)),0)</f>
        <v>0</v>
      </c>
      <c r="H981" s="103" t="str">
        <f aca="false">IF(G981=0,"空闲",IF(G981&lt;=0.6,"低负荷",IF(G981&lt;=0.85,"正常",IF(G981&lt;=1,"满负荷","超负荷"))))</f>
        <v>空闲</v>
      </c>
      <c r="I981" s="104" t="s">
        <v>638</v>
      </c>
      <c r="J981" s="104"/>
      <c r="K981" s="104"/>
      <c r="L981" s="105" t="s">
        <v>639</v>
      </c>
    </row>
    <row r="982" customFormat="false" ht="48" hidden="false" customHeight="true" outlineLevel="0" collapsed="false">
      <c r="A982" s="99"/>
      <c r="B982" s="100" t="n">
        <v>46188</v>
      </c>
      <c r="C982" s="100" t="n">
        <v>46194</v>
      </c>
      <c r="D982" s="99" t="s">
        <v>638</v>
      </c>
      <c r="E982" s="99" t="n">
        <v>0</v>
      </c>
      <c r="F982" s="101" t="n">
        <v>0</v>
      </c>
      <c r="G982" s="102" t="n">
        <f aca="false">IFERROR(F982/INDEX($G$5:$G$34,MATCH(LOOKUP(2,1/($A$39:A982&lt;&gt;""),$A$39:A982),$A$5:$A$34,0)),0)</f>
        <v>0</v>
      </c>
      <c r="H982" s="103" t="str">
        <f aca="false">IF(G982=0,"空闲",IF(G982&lt;=0.6,"低负荷",IF(G982&lt;=0.85,"正常",IF(G982&lt;=1,"满负荷","超负荷"))))</f>
        <v>空闲</v>
      </c>
      <c r="I982" s="104" t="s">
        <v>638</v>
      </c>
      <c r="J982" s="104"/>
      <c r="K982" s="104"/>
      <c r="L982" s="105" t="s">
        <v>639</v>
      </c>
    </row>
    <row r="983" customFormat="false" ht="48" hidden="false" customHeight="true" outlineLevel="0" collapsed="false">
      <c r="A983" s="99"/>
      <c r="B983" s="100" t="n">
        <v>46195</v>
      </c>
      <c r="C983" s="100" t="n">
        <v>46201</v>
      </c>
      <c r="D983" s="99" t="s">
        <v>638</v>
      </c>
      <c r="E983" s="99" t="n">
        <v>0</v>
      </c>
      <c r="F983" s="101" t="n">
        <v>0</v>
      </c>
      <c r="G983" s="102" t="n">
        <f aca="false">IFERROR(F983/INDEX($G$5:$G$34,MATCH(LOOKUP(2,1/($A$39:A983&lt;&gt;""),$A$39:A983),$A$5:$A$34,0)),0)</f>
        <v>0</v>
      </c>
      <c r="H983" s="103" t="str">
        <f aca="false">IF(G983=0,"空闲",IF(G983&lt;=0.6,"低负荷",IF(G983&lt;=0.85,"正常",IF(G983&lt;=1,"满负荷","超负荷"))))</f>
        <v>空闲</v>
      </c>
      <c r="I983" s="104" t="s">
        <v>638</v>
      </c>
      <c r="J983" s="104"/>
      <c r="K983" s="104"/>
      <c r="L983" s="105" t="s">
        <v>639</v>
      </c>
    </row>
    <row r="984" customFormat="false" ht="48" hidden="false" customHeight="true" outlineLevel="0" collapsed="false">
      <c r="A984" s="99"/>
      <c r="B984" s="100" t="n">
        <v>46202</v>
      </c>
      <c r="C984" s="100" t="n">
        <v>46208</v>
      </c>
      <c r="D984" s="99" t="s">
        <v>638</v>
      </c>
      <c r="E984" s="99" t="n">
        <v>0</v>
      </c>
      <c r="F984" s="101" t="n">
        <v>0</v>
      </c>
      <c r="G984" s="102" t="n">
        <f aca="false">IFERROR(F984/INDEX($G$5:$G$34,MATCH(LOOKUP(2,1/($A$39:A984&lt;&gt;""),$A$39:A984),$A$5:$A$34,0)),0)</f>
        <v>0</v>
      </c>
      <c r="H984" s="103" t="str">
        <f aca="false">IF(G984=0,"空闲",IF(G984&lt;=0.6,"低负荷",IF(G984&lt;=0.85,"正常",IF(G984&lt;=1,"满负荷","超负荷"))))</f>
        <v>空闲</v>
      </c>
      <c r="I984" s="104" t="s">
        <v>638</v>
      </c>
      <c r="J984" s="104"/>
      <c r="K984" s="104"/>
      <c r="L984" s="105" t="s">
        <v>639</v>
      </c>
    </row>
    <row r="985" customFormat="false" ht="48" hidden="false" customHeight="true" outlineLevel="0" collapsed="false">
      <c r="A985" s="99"/>
      <c r="B985" s="100" t="n">
        <v>46209</v>
      </c>
      <c r="C985" s="100" t="n">
        <v>46215</v>
      </c>
      <c r="D985" s="99" t="s">
        <v>638</v>
      </c>
      <c r="E985" s="99" t="n">
        <v>0</v>
      </c>
      <c r="F985" s="101" t="n">
        <v>0</v>
      </c>
      <c r="G985" s="102" t="n">
        <f aca="false">IFERROR(F985/INDEX($G$5:$G$34,MATCH(LOOKUP(2,1/($A$39:A985&lt;&gt;""),$A$39:A985),$A$5:$A$34,0)),0)</f>
        <v>0</v>
      </c>
      <c r="H985" s="103" t="str">
        <f aca="false">IF(G985=0,"空闲",IF(G985&lt;=0.6,"低负荷",IF(G985&lt;=0.85,"正常",IF(G985&lt;=1,"满负荷","超负荷"))))</f>
        <v>空闲</v>
      </c>
      <c r="I985" s="104" t="s">
        <v>638</v>
      </c>
      <c r="J985" s="104"/>
      <c r="K985" s="104"/>
      <c r="L985" s="105" t="s">
        <v>639</v>
      </c>
    </row>
    <row r="986" customFormat="false" ht="48" hidden="false" customHeight="true" outlineLevel="0" collapsed="false">
      <c r="A986" s="99"/>
      <c r="B986" s="100" t="n">
        <v>46216</v>
      </c>
      <c r="C986" s="100" t="n">
        <v>46222</v>
      </c>
      <c r="D986" s="99" t="s">
        <v>638</v>
      </c>
      <c r="E986" s="99" t="n">
        <v>0</v>
      </c>
      <c r="F986" s="101" t="n">
        <v>0</v>
      </c>
      <c r="G986" s="102" t="n">
        <f aca="false">IFERROR(F986/INDEX($G$5:$G$34,MATCH(LOOKUP(2,1/($A$39:A986&lt;&gt;""),$A$39:A986),$A$5:$A$34,0)),0)</f>
        <v>0</v>
      </c>
      <c r="H986" s="103" t="str">
        <f aca="false">IF(G986=0,"空闲",IF(G986&lt;=0.6,"低负荷",IF(G986&lt;=0.85,"正常",IF(G986&lt;=1,"满负荷","超负荷"))))</f>
        <v>空闲</v>
      </c>
      <c r="I986" s="104" t="s">
        <v>638</v>
      </c>
      <c r="J986" s="104"/>
      <c r="K986" s="104"/>
      <c r="L986" s="105" t="s">
        <v>639</v>
      </c>
    </row>
    <row r="987" customFormat="false" ht="48" hidden="false" customHeight="true" outlineLevel="0" collapsed="false">
      <c r="A987" s="99"/>
      <c r="B987" s="100" t="n">
        <v>46223</v>
      </c>
      <c r="C987" s="100" t="n">
        <v>46229</v>
      </c>
      <c r="D987" s="99" t="s">
        <v>638</v>
      </c>
      <c r="E987" s="99" t="n">
        <v>0</v>
      </c>
      <c r="F987" s="101" t="n">
        <v>0</v>
      </c>
      <c r="G987" s="102" t="n">
        <f aca="false">IFERROR(F987/INDEX($G$5:$G$34,MATCH(LOOKUP(2,1/($A$39:A987&lt;&gt;""),$A$39:A987),$A$5:$A$34,0)),0)</f>
        <v>0</v>
      </c>
      <c r="H987" s="103" t="str">
        <f aca="false">IF(G987=0,"空闲",IF(G987&lt;=0.6,"低负荷",IF(G987&lt;=0.85,"正常",IF(G987&lt;=1,"满负荷","超负荷"))))</f>
        <v>空闲</v>
      </c>
      <c r="I987" s="104" t="s">
        <v>638</v>
      </c>
      <c r="J987" s="104"/>
      <c r="K987" s="104"/>
      <c r="L987" s="105" t="s">
        <v>639</v>
      </c>
    </row>
    <row r="988" customFormat="false" ht="48" hidden="false" customHeight="true" outlineLevel="0" collapsed="false">
      <c r="A988" s="99"/>
      <c r="B988" s="100" t="n">
        <v>46230</v>
      </c>
      <c r="C988" s="100" t="n">
        <v>46236</v>
      </c>
      <c r="D988" s="99" t="s">
        <v>638</v>
      </c>
      <c r="E988" s="99" t="n">
        <v>0</v>
      </c>
      <c r="F988" s="101" t="n">
        <v>0</v>
      </c>
      <c r="G988" s="102" t="n">
        <f aca="false">IFERROR(F988/INDEX($G$5:$G$34,MATCH(LOOKUP(2,1/($A$39:A988&lt;&gt;""),$A$39:A988),$A$5:$A$34,0)),0)</f>
        <v>0</v>
      </c>
      <c r="H988" s="103" t="str">
        <f aca="false">IF(G988=0,"空闲",IF(G988&lt;=0.6,"低负荷",IF(G988&lt;=0.85,"正常",IF(G988&lt;=1,"满负荷","超负荷"))))</f>
        <v>空闲</v>
      </c>
      <c r="I988" s="104" t="s">
        <v>638</v>
      </c>
      <c r="J988" s="104"/>
      <c r="K988" s="104"/>
      <c r="L988" s="105" t="s">
        <v>639</v>
      </c>
    </row>
    <row r="989" customFormat="false" ht="48" hidden="false" customHeight="true" outlineLevel="0" collapsed="false">
      <c r="A989" s="99"/>
      <c r="B989" s="100" t="n">
        <v>46237</v>
      </c>
      <c r="C989" s="100" t="n">
        <v>46243</v>
      </c>
      <c r="D989" s="99" t="s">
        <v>638</v>
      </c>
      <c r="E989" s="99" t="n">
        <v>0</v>
      </c>
      <c r="F989" s="101" t="n">
        <v>0</v>
      </c>
      <c r="G989" s="102" t="n">
        <f aca="false">IFERROR(F989/INDEX($G$5:$G$34,MATCH(LOOKUP(2,1/($A$39:A989&lt;&gt;""),$A$39:A989),$A$5:$A$34,0)),0)</f>
        <v>0</v>
      </c>
      <c r="H989" s="103" t="str">
        <f aca="false">IF(G989=0,"空闲",IF(G989&lt;=0.6,"低负荷",IF(G989&lt;=0.85,"正常",IF(G989&lt;=1,"满负荷","超负荷"))))</f>
        <v>空闲</v>
      </c>
      <c r="I989" s="104" t="s">
        <v>638</v>
      </c>
      <c r="J989" s="104"/>
      <c r="K989" s="104"/>
      <c r="L989" s="105" t="s">
        <v>639</v>
      </c>
    </row>
    <row r="990" customFormat="false" ht="48" hidden="false" customHeight="true" outlineLevel="0" collapsed="false">
      <c r="A990" s="99"/>
      <c r="B990" s="100" t="n">
        <v>46244</v>
      </c>
      <c r="C990" s="100" t="n">
        <v>46250</v>
      </c>
      <c r="D990" s="99" t="s">
        <v>638</v>
      </c>
      <c r="E990" s="99" t="n">
        <v>0</v>
      </c>
      <c r="F990" s="101" t="n">
        <v>0</v>
      </c>
      <c r="G990" s="102" t="n">
        <f aca="false">IFERROR(F990/INDEX($G$5:$G$34,MATCH(LOOKUP(2,1/($A$39:A990&lt;&gt;""),$A$39:A990),$A$5:$A$34,0)),0)</f>
        <v>0</v>
      </c>
      <c r="H990" s="103" t="str">
        <f aca="false">IF(G990=0,"空闲",IF(G990&lt;=0.6,"低负荷",IF(G990&lt;=0.85,"正常",IF(G990&lt;=1,"满负荷","超负荷"))))</f>
        <v>空闲</v>
      </c>
      <c r="I990" s="104" t="s">
        <v>638</v>
      </c>
      <c r="J990" s="104"/>
      <c r="K990" s="104"/>
      <c r="L990" s="105" t="s">
        <v>639</v>
      </c>
    </row>
    <row r="991" customFormat="false" ht="48" hidden="false" customHeight="true" outlineLevel="0" collapsed="false">
      <c r="A991" s="99"/>
      <c r="B991" s="100" t="n">
        <v>46251</v>
      </c>
      <c r="C991" s="100" t="n">
        <v>46257</v>
      </c>
      <c r="D991" s="99" t="s">
        <v>638</v>
      </c>
      <c r="E991" s="99" t="n">
        <v>0</v>
      </c>
      <c r="F991" s="101" t="n">
        <v>0</v>
      </c>
      <c r="G991" s="102" t="n">
        <f aca="false">IFERROR(F991/INDEX($G$5:$G$34,MATCH(LOOKUP(2,1/($A$39:A991&lt;&gt;""),$A$39:A991),$A$5:$A$34,0)),0)</f>
        <v>0</v>
      </c>
      <c r="H991" s="103" t="str">
        <f aca="false">IF(G991=0,"空闲",IF(G991&lt;=0.6,"低负荷",IF(G991&lt;=0.85,"正常",IF(G991&lt;=1,"满负荷","超负荷"))))</f>
        <v>空闲</v>
      </c>
      <c r="I991" s="104" t="s">
        <v>638</v>
      </c>
      <c r="J991" s="104"/>
      <c r="K991" s="104"/>
      <c r="L991" s="105" t="s">
        <v>639</v>
      </c>
    </row>
    <row r="992" customFormat="false" ht="48" hidden="false" customHeight="true" outlineLevel="0" collapsed="false">
      <c r="A992" s="99"/>
      <c r="B992" s="100" t="n">
        <v>46258</v>
      </c>
      <c r="C992" s="100" t="n">
        <v>46264</v>
      </c>
      <c r="D992" s="99" t="s">
        <v>638</v>
      </c>
      <c r="E992" s="99" t="n">
        <v>0</v>
      </c>
      <c r="F992" s="101" t="n">
        <v>0</v>
      </c>
      <c r="G992" s="102" t="n">
        <f aca="false">IFERROR(F992/INDEX($G$5:$G$34,MATCH(LOOKUP(2,1/($A$39:A992&lt;&gt;""),$A$39:A992),$A$5:$A$34,0)),0)</f>
        <v>0</v>
      </c>
      <c r="H992" s="103" t="str">
        <f aca="false">IF(G992=0,"空闲",IF(G992&lt;=0.6,"低负荷",IF(G992&lt;=0.85,"正常",IF(G992&lt;=1,"满负荷","超负荷"))))</f>
        <v>空闲</v>
      </c>
      <c r="I992" s="104" t="s">
        <v>638</v>
      </c>
      <c r="J992" s="104"/>
      <c r="K992" s="104"/>
      <c r="L992" s="105" t="s">
        <v>639</v>
      </c>
    </row>
    <row r="993" customFormat="false" ht="48" hidden="false" customHeight="true" outlineLevel="0" collapsed="false">
      <c r="A993" s="99"/>
      <c r="B993" s="100" t="n">
        <v>46265</v>
      </c>
      <c r="C993" s="100" t="n">
        <v>46271</v>
      </c>
      <c r="D993" s="99" t="s">
        <v>638</v>
      </c>
      <c r="E993" s="99" t="n">
        <v>0</v>
      </c>
      <c r="F993" s="101" t="n">
        <v>0</v>
      </c>
      <c r="G993" s="102" t="n">
        <f aca="false">IFERROR(F993/INDEX($G$5:$G$34,MATCH(LOOKUP(2,1/($A$39:A993&lt;&gt;""),$A$39:A993),$A$5:$A$34,0)),0)</f>
        <v>0</v>
      </c>
      <c r="H993" s="103" t="str">
        <f aca="false">IF(G993=0,"空闲",IF(G993&lt;=0.6,"低负荷",IF(G993&lt;=0.85,"正常",IF(G993&lt;=1,"满负荷","超负荷"))))</f>
        <v>空闲</v>
      </c>
      <c r="I993" s="104" t="s">
        <v>638</v>
      </c>
      <c r="J993" s="104"/>
      <c r="K993" s="104"/>
      <c r="L993" s="105" t="s">
        <v>639</v>
      </c>
    </row>
    <row r="994" customFormat="false" ht="48" hidden="false" customHeight="true" outlineLevel="0" collapsed="false">
      <c r="A994" s="99"/>
      <c r="B994" s="100" t="n">
        <v>46272</v>
      </c>
      <c r="C994" s="100" t="n">
        <v>46278</v>
      </c>
      <c r="D994" s="99" t="s">
        <v>638</v>
      </c>
      <c r="E994" s="99" t="n">
        <v>0</v>
      </c>
      <c r="F994" s="101" t="n">
        <v>0</v>
      </c>
      <c r="G994" s="102" t="n">
        <f aca="false">IFERROR(F994/INDEX($G$5:$G$34,MATCH(LOOKUP(2,1/($A$39:A994&lt;&gt;""),$A$39:A994),$A$5:$A$34,0)),0)</f>
        <v>0</v>
      </c>
      <c r="H994" s="103" t="str">
        <f aca="false">IF(G994=0,"空闲",IF(G994&lt;=0.6,"低负荷",IF(G994&lt;=0.85,"正常",IF(G994&lt;=1,"满负荷","超负荷"))))</f>
        <v>空闲</v>
      </c>
      <c r="I994" s="104" t="s">
        <v>638</v>
      </c>
      <c r="J994" s="104"/>
      <c r="K994" s="104"/>
      <c r="L994" s="105" t="s">
        <v>639</v>
      </c>
    </row>
    <row r="995" customFormat="false" ht="48" hidden="false" customHeight="true" outlineLevel="0" collapsed="false">
      <c r="A995" s="99"/>
      <c r="B995" s="100" t="n">
        <v>46279</v>
      </c>
      <c r="C995" s="100" t="n">
        <v>46285</v>
      </c>
      <c r="D995" s="99" t="s">
        <v>638</v>
      </c>
      <c r="E995" s="99" t="n">
        <v>0</v>
      </c>
      <c r="F995" s="101" t="n">
        <v>0</v>
      </c>
      <c r="G995" s="102" t="n">
        <f aca="false">IFERROR(F995/INDEX($G$5:$G$34,MATCH(LOOKUP(2,1/($A$39:A995&lt;&gt;""),$A$39:A995),$A$5:$A$34,0)),0)</f>
        <v>0</v>
      </c>
      <c r="H995" s="103" t="str">
        <f aca="false">IF(G995=0,"空闲",IF(G995&lt;=0.6,"低负荷",IF(G995&lt;=0.85,"正常",IF(G995&lt;=1,"满负荷","超负荷"))))</f>
        <v>空闲</v>
      </c>
      <c r="I995" s="104" t="s">
        <v>638</v>
      </c>
      <c r="J995" s="104"/>
      <c r="K995" s="104"/>
      <c r="L995" s="105" t="s">
        <v>639</v>
      </c>
    </row>
    <row r="996" customFormat="false" ht="48" hidden="false" customHeight="true" outlineLevel="0" collapsed="false">
      <c r="A996" s="99"/>
      <c r="B996" s="100" t="n">
        <v>46286</v>
      </c>
      <c r="C996" s="100" t="n">
        <v>46292</v>
      </c>
      <c r="D996" s="99" t="s">
        <v>638</v>
      </c>
      <c r="E996" s="99" t="n">
        <v>0</v>
      </c>
      <c r="F996" s="101" t="n">
        <v>0</v>
      </c>
      <c r="G996" s="102" t="n">
        <f aca="false">IFERROR(F996/INDEX($G$5:$G$34,MATCH(LOOKUP(2,1/($A$39:A996&lt;&gt;""),$A$39:A996),$A$5:$A$34,0)),0)</f>
        <v>0</v>
      </c>
      <c r="H996" s="103" t="str">
        <f aca="false">IF(G996=0,"空闲",IF(G996&lt;=0.6,"低负荷",IF(G996&lt;=0.85,"正常",IF(G996&lt;=1,"满负荷","超负荷"))))</f>
        <v>空闲</v>
      </c>
      <c r="I996" s="104" t="s">
        <v>638</v>
      </c>
      <c r="J996" s="104"/>
      <c r="K996" s="104"/>
      <c r="L996" s="105" t="s">
        <v>639</v>
      </c>
    </row>
    <row r="997" customFormat="false" ht="48" hidden="false" customHeight="true" outlineLevel="0" collapsed="false">
      <c r="A997" s="99"/>
      <c r="B997" s="100" t="n">
        <v>46293</v>
      </c>
      <c r="C997" s="100" t="n">
        <v>46299</v>
      </c>
      <c r="D997" s="99" t="s">
        <v>638</v>
      </c>
      <c r="E997" s="99" t="n">
        <v>0</v>
      </c>
      <c r="F997" s="101" t="n">
        <v>0</v>
      </c>
      <c r="G997" s="102" t="n">
        <f aca="false">IFERROR(F997/INDEX($G$5:$G$34,MATCH(LOOKUP(2,1/($A$39:A997&lt;&gt;""),$A$39:A997),$A$5:$A$34,0)),0)</f>
        <v>0</v>
      </c>
      <c r="H997" s="103" t="str">
        <f aca="false">IF(G997=0,"空闲",IF(G997&lt;=0.6,"低负荷",IF(G997&lt;=0.85,"正常",IF(G997&lt;=1,"满负荷","超负荷"))))</f>
        <v>空闲</v>
      </c>
      <c r="I997" s="104" t="s">
        <v>638</v>
      </c>
      <c r="J997" s="104"/>
      <c r="K997" s="104"/>
      <c r="L997" s="105" t="s">
        <v>639</v>
      </c>
    </row>
    <row r="998" customFormat="false" ht="48" hidden="false" customHeight="true" outlineLevel="0" collapsed="false">
      <c r="A998" s="99"/>
      <c r="B998" s="100" t="n">
        <v>46300</v>
      </c>
      <c r="C998" s="100" t="n">
        <v>46306</v>
      </c>
      <c r="D998" s="99" t="s">
        <v>638</v>
      </c>
      <c r="E998" s="99" t="n">
        <v>0</v>
      </c>
      <c r="F998" s="101" t="n">
        <v>0</v>
      </c>
      <c r="G998" s="102" t="n">
        <f aca="false">IFERROR(F998/INDEX($G$5:$G$34,MATCH(LOOKUP(2,1/($A$39:A998&lt;&gt;""),$A$39:A998),$A$5:$A$34,0)),0)</f>
        <v>0</v>
      </c>
      <c r="H998" s="103" t="str">
        <f aca="false">IF(G998=0,"空闲",IF(G998&lt;=0.6,"低负荷",IF(G998&lt;=0.85,"正常",IF(G998&lt;=1,"满负荷","超负荷"))))</f>
        <v>空闲</v>
      </c>
      <c r="I998" s="104" t="s">
        <v>638</v>
      </c>
      <c r="J998" s="104"/>
      <c r="K998" s="104"/>
      <c r="L998" s="105" t="s">
        <v>639</v>
      </c>
    </row>
    <row r="999" customFormat="false" ht="48" hidden="false" customHeight="true" outlineLevel="0" collapsed="false">
      <c r="A999" s="99"/>
      <c r="B999" s="100" t="n">
        <v>46307</v>
      </c>
      <c r="C999" s="100" t="n">
        <v>46313</v>
      </c>
      <c r="D999" s="99" t="s">
        <v>638</v>
      </c>
      <c r="E999" s="99" t="n">
        <v>0</v>
      </c>
      <c r="F999" s="101" t="n">
        <v>0</v>
      </c>
      <c r="G999" s="102" t="n">
        <f aca="false">IFERROR(F999/INDEX($G$5:$G$34,MATCH(LOOKUP(2,1/($A$39:A999&lt;&gt;""),$A$39:A999),$A$5:$A$34,0)),0)</f>
        <v>0</v>
      </c>
      <c r="H999" s="103" t="str">
        <f aca="false">IF(G999=0,"空闲",IF(G999&lt;=0.6,"低负荷",IF(G999&lt;=0.85,"正常",IF(G999&lt;=1,"满负荷","超负荷"))))</f>
        <v>空闲</v>
      </c>
      <c r="I999" s="104" t="s">
        <v>638</v>
      </c>
      <c r="J999" s="104"/>
      <c r="K999" s="104"/>
      <c r="L999" s="105" t="s">
        <v>639</v>
      </c>
    </row>
    <row r="1000" customFormat="false" ht="48" hidden="false" customHeight="true" outlineLevel="0" collapsed="false">
      <c r="A1000" s="99"/>
      <c r="B1000" s="100" t="n">
        <v>46314</v>
      </c>
      <c r="C1000" s="100" t="n">
        <v>46320</v>
      </c>
      <c r="D1000" s="99" t="s">
        <v>638</v>
      </c>
      <c r="E1000" s="99" t="n">
        <v>0</v>
      </c>
      <c r="F1000" s="101" t="n">
        <v>0</v>
      </c>
      <c r="G1000" s="102" t="n">
        <f aca="false">IFERROR(F1000/INDEX($G$5:$G$34,MATCH(LOOKUP(2,1/($A$39:A1000&lt;&gt;""),$A$39:A1000),$A$5:$A$34,0)),0)</f>
        <v>0</v>
      </c>
      <c r="H1000" s="103" t="str">
        <f aca="false">IF(G1000=0,"空闲",IF(G1000&lt;=0.6,"低负荷",IF(G1000&lt;=0.85,"正常",IF(G1000&lt;=1,"满负荷","超负荷"))))</f>
        <v>空闲</v>
      </c>
      <c r="I1000" s="104" t="s">
        <v>638</v>
      </c>
      <c r="J1000" s="104"/>
      <c r="K1000" s="104"/>
      <c r="L1000" s="105" t="s">
        <v>639</v>
      </c>
    </row>
    <row r="1001" customFormat="false" ht="48" hidden="false" customHeight="true" outlineLevel="0" collapsed="false">
      <c r="A1001" s="99"/>
      <c r="B1001" s="100" t="n">
        <v>46321</v>
      </c>
      <c r="C1001" s="100" t="n">
        <v>46327</v>
      </c>
      <c r="D1001" s="99" t="s">
        <v>638</v>
      </c>
      <c r="E1001" s="99" t="n">
        <v>0</v>
      </c>
      <c r="F1001" s="101" t="n">
        <v>0</v>
      </c>
      <c r="G1001" s="102" t="n">
        <f aca="false">IFERROR(F1001/INDEX($G$5:$G$34,MATCH(LOOKUP(2,1/($A$39:A1001&lt;&gt;""),$A$39:A1001),$A$5:$A$34,0)),0)</f>
        <v>0</v>
      </c>
      <c r="H1001" s="103" t="str">
        <f aca="false">IF(G1001=0,"空闲",IF(G1001&lt;=0.6,"低负荷",IF(G1001&lt;=0.85,"正常",IF(G1001&lt;=1,"满负荷","超负荷"))))</f>
        <v>空闲</v>
      </c>
      <c r="I1001" s="104" t="s">
        <v>638</v>
      </c>
      <c r="J1001" s="104"/>
      <c r="K1001" s="104"/>
      <c r="L1001" s="105" t="s">
        <v>639</v>
      </c>
    </row>
    <row r="1002" customFormat="false" ht="48" hidden="false" customHeight="true" outlineLevel="0" collapsed="false">
      <c r="A1002" s="99"/>
      <c r="B1002" s="100" t="n">
        <v>46328</v>
      </c>
      <c r="C1002" s="100" t="n">
        <v>46334</v>
      </c>
      <c r="D1002" s="99" t="s">
        <v>638</v>
      </c>
      <c r="E1002" s="99" t="n">
        <v>0</v>
      </c>
      <c r="F1002" s="101" t="n">
        <v>0</v>
      </c>
      <c r="G1002" s="102" t="n">
        <f aca="false">IFERROR(F1002/INDEX($G$5:$G$34,MATCH(LOOKUP(2,1/($A$39:A1002&lt;&gt;""),$A$39:A1002),$A$5:$A$34,0)),0)</f>
        <v>0</v>
      </c>
      <c r="H1002" s="103" t="str">
        <f aca="false">IF(G1002=0,"空闲",IF(G1002&lt;=0.6,"低负荷",IF(G1002&lt;=0.85,"正常",IF(G1002&lt;=1,"满负荷","超负荷"))))</f>
        <v>空闲</v>
      </c>
      <c r="I1002" s="104" t="s">
        <v>638</v>
      </c>
      <c r="J1002" s="104"/>
      <c r="K1002" s="104"/>
      <c r="L1002" s="105" t="s">
        <v>639</v>
      </c>
    </row>
    <row r="1003" customFormat="false" ht="48" hidden="false" customHeight="true" outlineLevel="0" collapsed="false">
      <c r="A1003" s="99"/>
      <c r="B1003" s="100" t="n">
        <v>46335</v>
      </c>
      <c r="C1003" s="100" t="n">
        <v>46341</v>
      </c>
      <c r="D1003" s="99" t="s">
        <v>638</v>
      </c>
      <c r="E1003" s="99" t="n">
        <v>0</v>
      </c>
      <c r="F1003" s="101" t="n">
        <v>0</v>
      </c>
      <c r="G1003" s="102" t="n">
        <f aca="false">IFERROR(F1003/INDEX($G$5:$G$34,MATCH(LOOKUP(2,1/($A$39:A1003&lt;&gt;""),$A$39:A1003),$A$5:$A$34,0)),0)</f>
        <v>0</v>
      </c>
      <c r="H1003" s="103" t="str">
        <f aca="false">IF(G1003=0,"空闲",IF(G1003&lt;=0.6,"低负荷",IF(G1003&lt;=0.85,"正常",IF(G1003&lt;=1,"满负荷","超负荷"))))</f>
        <v>空闲</v>
      </c>
      <c r="I1003" s="104" t="s">
        <v>638</v>
      </c>
      <c r="J1003" s="104"/>
      <c r="K1003" s="104"/>
      <c r="L1003" s="105" t="s">
        <v>639</v>
      </c>
    </row>
    <row r="1004" customFormat="false" ht="48" hidden="false" customHeight="true" outlineLevel="0" collapsed="false">
      <c r="A1004" s="99"/>
      <c r="B1004" s="100" t="n">
        <v>46342</v>
      </c>
      <c r="C1004" s="100" t="n">
        <v>46348</v>
      </c>
      <c r="D1004" s="99" t="s">
        <v>638</v>
      </c>
      <c r="E1004" s="99" t="n">
        <v>0</v>
      </c>
      <c r="F1004" s="101" t="n">
        <v>0</v>
      </c>
      <c r="G1004" s="102" t="n">
        <f aca="false">IFERROR(F1004/INDEX($G$5:$G$34,MATCH(LOOKUP(2,1/($A$39:A1004&lt;&gt;""),$A$39:A1004),$A$5:$A$34,0)),0)</f>
        <v>0</v>
      </c>
      <c r="H1004" s="103" t="str">
        <f aca="false">IF(G1004=0,"空闲",IF(G1004&lt;=0.6,"低负荷",IF(G1004&lt;=0.85,"正常",IF(G1004&lt;=1,"满负荷","超负荷"))))</f>
        <v>空闲</v>
      </c>
      <c r="I1004" s="104" t="s">
        <v>638</v>
      </c>
      <c r="J1004" s="104"/>
      <c r="K1004" s="104"/>
      <c r="L1004" s="105" t="s">
        <v>639</v>
      </c>
    </row>
    <row r="1005" customFormat="false" ht="48" hidden="false" customHeight="true" outlineLevel="0" collapsed="false">
      <c r="A1005" s="99"/>
      <c r="B1005" s="100" t="n">
        <v>46349</v>
      </c>
      <c r="C1005" s="100" t="n">
        <v>46355</v>
      </c>
      <c r="D1005" s="99" t="s">
        <v>638</v>
      </c>
      <c r="E1005" s="99" t="n">
        <v>0</v>
      </c>
      <c r="F1005" s="101" t="n">
        <v>0</v>
      </c>
      <c r="G1005" s="102" t="n">
        <f aca="false">IFERROR(F1005/INDEX($G$5:$G$34,MATCH(LOOKUP(2,1/($A$39:A1005&lt;&gt;""),$A$39:A1005),$A$5:$A$34,0)),0)</f>
        <v>0</v>
      </c>
      <c r="H1005" s="103" t="str">
        <f aca="false">IF(G1005=0,"空闲",IF(G1005&lt;=0.6,"低负荷",IF(G1005&lt;=0.85,"正常",IF(G1005&lt;=1,"满负荷","超负荷"))))</f>
        <v>空闲</v>
      </c>
      <c r="I1005" s="104" t="s">
        <v>638</v>
      </c>
      <c r="J1005" s="104"/>
      <c r="K1005" s="104"/>
      <c r="L1005" s="105" t="s">
        <v>639</v>
      </c>
    </row>
    <row r="1006" customFormat="false" ht="48" hidden="false" customHeight="true" outlineLevel="0" collapsed="false">
      <c r="A1006" s="99"/>
      <c r="B1006" s="100" t="n">
        <v>46356</v>
      </c>
      <c r="C1006" s="100" t="n">
        <v>46362</v>
      </c>
      <c r="D1006" s="99" t="s">
        <v>638</v>
      </c>
      <c r="E1006" s="99" t="n">
        <v>0</v>
      </c>
      <c r="F1006" s="101" t="n">
        <v>0</v>
      </c>
      <c r="G1006" s="102" t="n">
        <f aca="false">IFERROR(F1006/INDEX($G$5:$G$34,MATCH(LOOKUP(2,1/($A$39:A1006&lt;&gt;""),$A$39:A1006),$A$5:$A$34,0)),0)</f>
        <v>0</v>
      </c>
      <c r="H1006" s="103" t="str">
        <f aca="false">IF(G1006=0,"空闲",IF(G1006&lt;=0.6,"低负荷",IF(G1006&lt;=0.85,"正常",IF(G1006&lt;=1,"满负荷","超负荷"))))</f>
        <v>空闲</v>
      </c>
      <c r="I1006" s="104" t="s">
        <v>638</v>
      </c>
      <c r="J1006" s="104"/>
      <c r="K1006" s="104"/>
      <c r="L1006" s="105" t="s">
        <v>639</v>
      </c>
    </row>
    <row r="1007" customFormat="false" ht="48" hidden="false" customHeight="true" outlineLevel="0" collapsed="false">
      <c r="A1007" s="99"/>
      <c r="B1007" s="100" t="n">
        <v>46363</v>
      </c>
      <c r="C1007" s="100" t="n">
        <v>46369</v>
      </c>
      <c r="D1007" s="99" t="s">
        <v>640</v>
      </c>
      <c r="E1007" s="99" t="n">
        <v>5</v>
      </c>
      <c r="F1007" s="101" t="n">
        <v>40</v>
      </c>
      <c r="G1007" s="102" t="n">
        <f aca="false">IFERROR(F1007/INDEX($G$5:$G$34,MATCH(LOOKUP(2,1/($A$39:A1007&lt;&gt;""),$A$39:A1007),$A$5:$A$34,0)),0)</f>
        <v>1</v>
      </c>
      <c r="H1007" s="103" t="str">
        <f aca="false">IF(G1007=0,"空闲",IF(G1007&lt;=0.6,"低负荷",IF(G1007&lt;=0.85,"正常",IF(G1007&lt;=1,"满负荷","超负荷"))))</f>
        <v>满负荷</v>
      </c>
      <c r="I1007" s="106" t="s">
        <v>744</v>
      </c>
      <c r="J1007" s="106"/>
      <c r="K1007" s="106"/>
      <c r="L1007" s="105" t="s">
        <v>717</v>
      </c>
    </row>
    <row r="1008" customFormat="false" ht="48" hidden="false" customHeight="true" outlineLevel="0" collapsed="false">
      <c r="A1008" s="99"/>
      <c r="B1008" s="100" t="n">
        <v>46370</v>
      </c>
      <c r="C1008" s="100" t="n">
        <v>46376</v>
      </c>
      <c r="D1008" s="99" t="s">
        <v>640</v>
      </c>
      <c r="E1008" s="99" t="n">
        <v>6</v>
      </c>
      <c r="F1008" s="101" t="n">
        <v>40</v>
      </c>
      <c r="G1008" s="102" t="n">
        <f aca="false">IFERROR(F1008/INDEX($G$5:$G$34,MATCH(LOOKUP(2,1/($A$39:A1008&lt;&gt;""),$A$39:A1008),$A$5:$A$34,0)),0)</f>
        <v>1</v>
      </c>
      <c r="H1008" s="103" t="str">
        <f aca="false">IF(G1008=0,"空闲",IF(G1008&lt;=0.6,"低负荷",IF(G1008&lt;=0.85,"正常",IF(G1008&lt;=1,"满负荷","超负荷"))))</f>
        <v>满负荷</v>
      </c>
      <c r="I1008" s="106" t="s">
        <v>745</v>
      </c>
      <c r="J1008" s="106"/>
      <c r="K1008" s="106"/>
      <c r="L1008" s="105" t="s">
        <v>676</v>
      </c>
    </row>
    <row r="1009" customFormat="false" ht="48" hidden="false" customHeight="true" outlineLevel="0" collapsed="false">
      <c r="A1009" s="99"/>
      <c r="B1009" s="100" t="n">
        <v>46377</v>
      </c>
      <c r="C1009" s="100" t="n">
        <v>46383</v>
      </c>
      <c r="D1009" s="99" t="s">
        <v>640</v>
      </c>
      <c r="E1009" s="99" t="n">
        <v>6</v>
      </c>
      <c r="F1009" s="101" t="n">
        <v>40</v>
      </c>
      <c r="G1009" s="102" t="n">
        <f aca="false">IFERROR(F1009/INDEX($G$5:$G$34,MATCH(LOOKUP(2,1/($A$39:A1009&lt;&gt;""),$A$39:A1009),$A$5:$A$34,0)),0)</f>
        <v>1</v>
      </c>
      <c r="H1009" s="103" t="str">
        <f aca="false">IF(G1009=0,"空闲",IF(G1009&lt;=0.6,"低负荷",IF(G1009&lt;=0.85,"正常",IF(G1009&lt;=1,"满负荷","超负荷"))))</f>
        <v>满负荷</v>
      </c>
      <c r="I1009" s="106" t="s">
        <v>745</v>
      </c>
      <c r="J1009" s="106"/>
      <c r="K1009" s="106"/>
      <c r="L1009" s="105" t="s">
        <v>676</v>
      </c>
    </row>
    <row r="1010" customFormat="false" ht="48" hidden="false" customHeight="true" outlineLevel="0" collapsed="false">
      <c r="A1010" s="99"/>
      <c r="B1010" s="100" t="n">
        <v>46384</v>
      </c>
      <c r="C1010" s="100" t="n">
        <v>46390</v>
      </c>
      <c r="D1010" s="99" t="s">
        <v>640</v>
      </c>
      <c r="E1010" s="99" t="n">
        <v>5</v>
      </c>
      <c r="F1010" s="101" t="n">
        <v>40</v>
      </c>
      <c r="G1010" s="102" t="n">
        <f aca="false">IFERROR(F1010/INDEX($G$5:$G$34,MATCH(LOOKUP(2,1/($A$39:A1010&lt;&gt;""),$A$39:A1010),$A$5:$A$34,0)),0)</f>
        <v>1</v>
      </c>
      <c r="H1010" s="103" t="str">
        <f aca="false">IF(G1010=0,"空闲",IF(G1010&lt;=0.6,"低负荷",IF(G1010&lt;=0.85,"正常",IF(G1010&lt;=1,"满负荷","超负荷"))))</f>
        <v>满负荷</v>
      </c>
      <c r="I1010" s="106" t="s">
        <v>746</v>
      </c>
      <c r="J1010" s="106"/>
      <c r="K1010" s="106"/>
      <c r="L1010" s="105" t="s">
        <v>717</v>
      </c>
    </row>
    <row r="1011" customFormat="false" ht="48" hidden="false" customHeight="true" outlineLevel="0" collapsed="false">
      <c r="A1011" s="99"/>
      <c r="B1011" s="100" t="n">
        <v>46391</v>
      </c>
      <c r="C1011" s="100" t="n">
        <v>46397</v>
      </c>
      <c r="D1011" s="99" t="s">
        <v>640</v>
      </c>
      <c r="E1011" s="99" t="n">
        <v>5</v>
      </c>
      <c r="F1011" s="101" t="n">
        <v>40</v>
      </c>
      <c r="G1011" s="102" t="n">
        <f aca="false">IFERROR(F1011/INDEX($G$5:$G$34,MATCH(LOOKUP(2,1/($A$39:A1011&lt;&gt;""),$A$39:A1011),$A$5:$A$34,0)),0)</f>
        <v>1</v>
      </c>
      <c r="H1011" s="103" t="str">
        <f aca="false">IF(G1011=0,"空闲",IF(G1011&lt;=0.6,"低负荷",IF(G1011&lt;=0.85,"正常",IF(G1011&lt;=1,"满负荷","超负荷"))))</f>
        <v>满负荷</v>
      </c>
      <c r="I1011" s="106" t="s">
        <v>746</v>
      </c>
      <c r="J1011" s="106"/>
      <c r="K1011" s="106"/>
      <c r="L1011" s="105" t="s">
        <v>717</v>
      </c>
    </row>
    <row r="1012" customFormat="false" ht="48" hidden="false" customHeight="true" outlineLevel="0" collapsed="false">
      <c r="A1012" s="99"/>
      <c r="B1012" s="100" t="n">
        <v>46398</v>
      </c>
      <c r="C1012" s="100" t="n">
        <v>46404</v>
      </c>
      <c r="D1012" s="99" t="s">
        <v>640</v>
      </c>
      <c r="E1012" s="99" t="n">
        <v>5</v>
      </c>
      <c r="F1012" s="101" t="n">
        <v>40</v>
      </c>
      <c r="G1012" s="102" t="n">
        <f aca="false">IFERROR(F1012/INDEX($G$5:$G$34,MATCH(LOOKUP(2,1/($A$39:A1012&lt;&gt;""),$A$39:A1012),$A$5:$A$34,0)),0)</f>
        <v>1</v>
      </c>
      <c r="H1012" s="103" t="str">
        <f aca="false">IF(G1012=0,"空闲",IF(G1012&lt;=0.6,"低负荷",IF(G1012&lt;=0.85,"正常",IF(G1012&lt;=1,"满负荷","超负荷"))))</f>
        <v>满负荷</v>
      </c>
      <c r="I1012" s="106" t="s">
        <v>746</v>
      </c>
      <c r="J1012" s="106"/>
      <c r="K1012" s="106"/>
      <c r="L1012" s="105" t="s">
        <v>717</v>
      </c>
    </row>
    <row r="1013" customFormat="false" ht="48" hidden="false" customHeight="true" outlineLevel="0" collapsed="false">
      <c r="A1013" s="99"/>
      <c r="B1013" s="100" t="n">
        <v>46405</v>
      </c>
      <c r="C1013" s="100" t="n">
        <v>46411</v>
      </c>
      <c r="D1013" s="99" t="s">
        <v>640</v>
      </c>
      <c r="E1013" s="99" t="n">
        <v>5</v>
      </c>
      <c r="F1013" s="101" t="n">
        <v>40</v>
      </c>
      <c r="G1013" s="102" t="n">
        <f aca="false">IFERROR(F1013/INDEX($G$5:$G$34,MATCH(LOOKUP(2,1/($A$39:A1013&lt;&gt;""),$A$39:A1013),$A$5:$A$34,0)),0)</f>
        <v>1</v>
      </c>
      <c r="H1013" s="103" t="str">
        <f aca="false">IF(G1013=0,"空闲",IF(G1013&lt;=0.6,"低负荷",IF(G1013&lt;=0.85,"正常",IF(G1013&lt;=1,"满负荷","超负荷"))))</f>
        <v>满负荷</v>
      </c>
      <c r="I1013" s="106" t="s">
        <v>746</v>
      </c>
      <c r="J1013" s="106"/>
      <c r="K1013" s="106"/>
      <c r="L1013" s="105" t="s">
        <v>717</v>
      </c>
    </row>
    <row r="1014" customFormat="false" ht="48" hidden="false" customHeight="true" outlineLevel="0" collapsed="false">
      <c r="A1014" s="99"/>
      <c r="B1014" s="100" t="n">
        <v>46412</v>
      </c>
      <c r="C1014" s="100" t="n">
        <v>46418</v>
      </c>
      <c r="D1014" s="99" t="s">
        <v>640</v>
      </c>
      <c r="E1014" s="99" t="n">
        <v>5</v>
      </c>
      <c r="F1014" s="101" t="n">
        <v>40</v>
      </c>
      <c r="G1014" s="102" t="n">
        <f aca="false">IFERROR(F1014/INDEX($G$5:$G$34,MATCH(LOOKUP(2,1/($A$39:A1014&lt;&gt;""),$A$39:A1014),$A$5:$A$34,0)),0)</f>
        <v>1</v>
      </c>
      <c r="H1014" s="103" t="str">
        <f aca="false">IF(G1014=0,"空闲",IF(G1014&lt;=0.6,"低负荷",IF(G1014&lt;=0.85,"正常",IF(G1014&lt;=1,"满负荷","超负荷"))))</f>
        <v>满负荷</v>
      </c>
      <c r="I1014" s="106" t="s">
        <v>746</v>
      </c>
      <c r="J1014" s="106"/>
      <c r="K1014" s="106"/>
      <c r="L1014" s="105" t="s">
        <v>717</v>
      </c>
    </row>
    <row r="1015" customFormat="false" ht="48" hidden="false" customHeight="true" outlineLevel="0" collapsed="false">
      <c r="A1015" s="99"/>
      <c r="B1015" s="100" t="n">
        <v>46419</v>
      </c>
      <c r="C1015" s="100" t="n">
        <v>46425</v>
      </c>
      <c r="D1015" s="99" t="s">
        <v>640</v>
      </c>
      <c r="E1015" s="99" t="n">
        <v>5</v>
      </c>
      <c r="F1015" s="101" t="n">
        <v>40</v>
      </c>
      <c r="G1015" s="102" t="n">
        <f aca="false">IFERROR(F1015/INDEX($G$5:$G$34,MATCH(LOOKUP(2,1/($A$39:A1015&lt;&gt;""),$A$39:A1015),$A$5:$A$34,0)),0)</f>
        <v>1</v>
      </c>
      <c r="H1015" s="103" t="str">
        <f aca="false">IF(G1015=0,"空闲",IF(G1015&lt;=0.6,"低负荷",IF(G1015&lt;=0.85,"正常",IF(G1015&lt;=1,"满负荷","超负荷"))))</f>
        <v>满负荷</v>
      </c>
      <c r="I1015" s="106" t="s">
        <v>746</v>
      </c>
      <c r="J1015" s="106"/>
      <c r="K1015" s="106"/>
      <c r="L1015" s="105" t="s">
        <v>717</v>
      </c>
    </row>
    <row r="1016" customFormat="false" ht="48" hidden="false" customHeight="true" outlineLevel="0" collapsed="false">
      <c r="A1016" s="99"/>
      <c r="B1016" s="100" t="n">
        <v>46426</v>
      </c>
      <c r="C1016" s="100" t="n">
        <v>46432</v>
      </c>
      <c r="D1016" s="99" t="s">
        <v>640</v>
      </c>
      <c r="E1016" s="99" t="n">
        <v>5</v>
      </c>
      <c r="F1016" s="101" t="n">
        <v>40</v>
      </c>
      <c r="G1016" s="102" t="n">
        <f aca="false">IFERROR(F1016/INDEX($G$5:$G$34,MATCH(LOOKUP(2,1/($A$39:A1016&lt;&gt;""),$A$39:A1016),$A$5:$A$34,0)),0)</f>
        <v>1</v>
      </c>
      <c r="H1016" s="103" t="str">
        <f aca="false">IF(G1016=0,"空闲",IF(G1016&lt;=0.6,"低负荷",IF(G1016&lt;=0.85,"正常",IF(G1016&lt;=1,"满负荷","超负荷"))))</f>
        <v>满负荷</v>
      </c>
      <c r="I1016" s="106" t="s">
        <v>746</v>
      </c>
      <c r="J1016" s="106"/>
      <c r="K1016" s="106"/>
      <c r="L1016" s="105" t="s">
        <v>717</v>
      </c>
    </row>
    <row r="1017" customFormat="false" ht="48" hidden="false" customHeight="true" outlineLevel="0" collapsed="false">
      <c r="A1017" s="99"/>
      <c r="B1017" s="100" t="n">
        <v>46433</v>
      </c>
      <c r="C1017" s="100" t="n">
        <v>46439</v>
      </c>
      <c r="D1017" s="99" t="s">
        <v>638</v>
      </c>
      <c r="E1017" s="99" t="n">
        <v>0</v>
      </c>
      <c r="F1017" s="101" t="n">
        <v>0</v>
      </c>
      <c r="G1017" s="102" t="n">
        <f aca="false">IFERROR(F1017/INDEX($G$5:$G$34,MATCH(LOOKUP(2,1/($A$39:A1017&lt;&gt;""),$A$39:A1017),$A$5:$A$34,0)),0)</f>
        <v>0</v>
      </c>
      <c r="H1017" s="103" t="str">
        <f aca="false">IF(G1017=0,"空闲",IF(G1017&lt;=0.6,"低负荷",IF(G1017&lt;=0.85,"正常",IF(G1017&lt;=1,"满负荷","超负荷"))))</f>
        <v>空闲</v>
      </c>
      <c r="I1017" s="104" t="s">
        <v>638</v>
      </c>
      <c r="J1017" s="104"/>
      <c r="K1017" s="104"/>
      <c r="L1017" s="105" t="s">
        <v>639</v>
      </c>
    </row>
    <row r="1018" customFormat="false" ht="48" hidden="false" customHeight="true" outlineLevel="0" collapsed="false">
      <c r="A1018" s="99"/>
      <c r="B1018" s="100" t="n">
        <v>46440</v>
      </c>
      <c r="C1018" s="100" t="n">
        <v>46446</v>
      </c>
      <c r="D1018" s="99" t="s">
        <v>638</v>
      </c>
      <c r="E1018" s="99" t="n">
        <v>0</v>
      </c>
      <c r="F1018" s="101" t="n">
        <v>0</v>
      </c>
      <c r="G1018" s="102" t="n">
        <f aca="false">IFERROR(F1018/INDEX($G$5:$G$34,MATCH(LOOKUP(2,1/($A$39:A1018&lt;&gt;""),$A$39:A1018),$A$5:$A$34,0)),0)</f>
        <v>0</v>
      </c>
      <c r="H1018" s="103" t="str">
        <f aca="false">IF(G1018=0,"空闲",IF(G1018&lt;=0.6,"低负荷",IF(G1018&lt;=0.85,"正常",IF(G1018&lt;=1,"满负荷","超负荷"))))</f>
        <v>空闲</v>
      </c>
      <c r="I1018" s="104" t="s">
        <v>638</v>
      </c>
      <c r="J1018" s="104"/>
      <c r="K1018" s="104"/>
      <c r="L1018" s="105" t="s">
        <v>639</v>
      </c>
    </row>
    <row r="1019" customFormat="false" ht="48" hidden="false" customHeight="true" outlineLevel="0" collapsed="false">
      <c r="A1019" s="99"/>
      <c r="B1019" s="100" t="n">
        <v>46447</v>
      </c>
      <c r="C1019" s="100" t="n">
        <v>46453</v>
      </c>
      <c r="D1019" s="99" t="s">
        <v>638</v>
      </c>
      <c r="E1019" s="99" t="n">
        <v>0</v>
      </c>
      <c r="F1019" s="101" t="n">
        <v>0</v>
      </c>
      <c r="G1019" s="102" t="n">
        <f aca="false">IFERROR(F1019/INDEX($G$5:$G$34,MATCH(LOOKUP(2,1/($A$39:A1019&lt;&gt;""),$A$39:A1019),$A$5:$A$34,0)),0)</f>
        <v>0</v>
      </c>
      <c r="H1019" s="103" t="str">
        <f aca="false">IF(G1019=0,"空闲",IF(G1019&lt;=0.6,"低负荷",IF(G1019&lt;=0.85,"正常",IF(G1019&lt;=1,"满负荷","超负荷"))))</f>
        <v>空闲</v>
      </c>
      <c r="I1019" s="104" t="s">
        <v>638</v>
      </c>
      <c r="J1019" s="104"/>
      <c r="K1019" s="104"/>
      <c r="L1019" s="105" t="s">
        <v>639</v>
      </c>
    </row>
    <row r="1020" customFormat="false" ht="48" hidden="false" customHeight="true" outlineLevel="0" collapsed="false">
      <c r="A1020" s="99"/>
      <c r="B1020" s="100" t="n">
        <v>46454</v>
      </c>
      <c r="C1020" s="100" t="n">
        <v>46460</v>
      </c>
      <c r="D1020" s="99" t="s">
        <v>638</v>
      </c>
      <c r="E1020" s="99" t="n">
        <v>0</v>
      </c>
      <c r="F1020" s="101" t="n">
        <v>0</v>
      </c>
      <c r="G1020" s="102" t="n">
        <f aca="false">IFERROR(F1020/INDEX($G$5:$G$34,MATCH(LOOKUP(2,1/($A$39:A1020&lt;&gt;""),$A$39:A1020),$A$5:$A$34,0)),0)</f>
        <v>0</v>
      </c>
      <c r="H1020" s="103" t="str">
        <f aca="false">IF(G1020=0,"空闲",IF(G1020&lt;=0.6,"低负荷",IF(G1020&lt;=0.85,"正常",IF(G1020&lt;=1,"满负荷","超负荷"))))</f>
        <v>空闲</v>
      </c>
      <c r="I1020" s="104" t="s">
        <v>638</v>
      </c>
      <c r="J1020" s="104"/>
      <c r="K1020" s="104"/>
      <c r="L1020" s="105" t="s">
        <v>639</v>
      </c>
    </row>
    <row r="1021" customFormat="false" ht="48" hidden="false" customHeight="true" outlineLevel="0" collapsed="false">
      <c r="A1021" s="99"/>
      <c r="B1021" s="100" t="n">
        <v>46461</v>
      </c>
      <c r="C1021" s="100" t="n">
        <v>46467</v>
      </c>
      <c r="D1021" s="99" t="s">
        <v>638</v>
      </c>
      <c r="E1021" s="99" t="n">
        <v>0</v>
      </c>
      <c r="F1021" s="101" t="n">
        <v>0</v>
      </c>
      <c r="G1021" s="102" t="n">
        <f aca="false">IFERROR(F1021/INDEX($G$5:$G$34,MATCH(LOOKUP(2,1/($A$39:A1021&lt;&gt;""),$A$39:A1021),$A$5:$A$34,0)),0)</f>
        <v>0</v>
      </c>
      <c r="H1021" s="103" t="str">
        <f aca="false">IF(G1021=0,"空闲",IF(G1021&lt;=0.6,"低负荷",IF(G1021&lt;=0.85,"正常",IF(G1021&lt;=1,"满负荷","超负荷"))))</f>
        <v>空闲</v>
      </c>
      <c r="I1021" s="104" t="s">
        <v>638</v>
      </c>
      <c r="J1021" s="104"/>
      <c r="K1021" s="104"/>
      <c r="L1021" s="105" t="s">
        <v>639</v>
      </c>
    </row>
    <row r="1022" customFormat="false" ht="48" hidden="false" customHeight="true" outlineLevel="0" collapsed="false">
      <c r="A1022" s="99"/>
      <c r="B1022" s="100" t="n">
        <v>46468</v>
      </c>
      <c r="C1022" s="100" t="n">
        <v>46474</v>
      </c>
      <c r="D1022" s="99" t="s">
        <v>638</v>
      </c>
      <c r="E1022" s="99" t="n">
        <v>0</v>
      </c>
      <c r="F1022" s="101" t="n">
        <v>0</v>
      </c>
      <c r="G1022" s="102" t="n">
        <f aca="false">IFERROR(F1022/INDEX($G$5:$G$34,MATCH(LOOKUP(2,1/($A$39:A1022&lt;&gt;""),$A$39:A1022),$A$5:$A$34,0)),0)</f>
        <v>0</v>
      </c>
      <c r="H1022" s="103" t="str">
        <f aca="false">IF(G1022=0,"空闲",IF(G1022&lt;=0.6,"低负荷",IF(G1022&lt;=0.85,"正常",IF(G1022&lt;=1,"满负荷","超负荷"))))</f>
        <v>空闲</v>
      </c>
      <c r="I1022" s="104" t="s">
        <v>638</v>
      </c>
      <c r="J1022" s="104"/>
      <c r="K1022" s="104"/>
      <c r="L1022" s="105" t="s">
        <v>639</v>
      </c>
    </row>
    <row r="1023" customFormat="false" ht="48" hidden="false" customHeight="true" outlineLevel="0" collapsed="false">
      <c r="A1023" s="99"/>
      <c r="B1023" s="100" t="n">
        <v>46475</v>
      </c>
      <c r="C1023" s="100" t="n">
        <v>46481</v>
      </c>
      <c r="D1023" s="99" t="s">
        <v>638</v>
      </c>
      <c r="E1023" s="99" t="n">
        <v>0</v>
      </c>
      <c r="F1023" s="101" t="n">
        <v>0</v>
      </c>
      <c r="G1023" s="102" t="n">
        <f aca="false">IFERROR(F1023/INDEX($G$5:$G$34,MATCH(LOOKUP(2,1/($A$39:A1023&lt;&gt;""),$A$39:A1023),$A$5:$A$34,0)),0)</f>
        <v>0</v>
      </c>
      <c r="H1023" s="103" t="str">
        <f aca="false">IF(G1023=0,"空闲",IF(G1023&lt;=0.6,"低负荷",IF(G1023&lt;=0.85,"正常",IF(G1023&lt;=1,"满负荷","超负荷"))))</f>
        <v>空闲</v>
      </c>
      <c r="I1023" s="104" t="s">
        <v>638</v>
      </c>
      <c r="J1023" s="104"/>
      <c r="K1023" s="104"/>
      <c r="L1023" s="105" t="s">
        <v>639</v>
      </c>
    </row>
    <row r="1024" customFormat="false" ht="48" hidden="false" customHeight="true" outlineLevel="0" collapsed="false">
      <c r="A1024" s="99"/>
      <c r="B1024" s="100" t="n">
        <v>46482</v>
      </c>
      <c r="C1024" s="100" t="n">
        <v>46488</v>
      </c>
      <c r="D1024" s="99" t="s">
        <v>638</v>
      </c>
      <c r="E1024" s="99" t="n">
        <v>0</v>
      </c>
      <c r="F1024" s="101" t="n">
        <v>0</v>
      </c>
      <c r="G1024" s="102" t="n">
        <f aca="false">IFERROR(F1024/INDEX($G$5:$G$34,MATCH(LOOKUP(2,1/($A$39:A1024&lt;&gt;""),$A$39:A1024),$A$5:$A$34,0)),0)</f>
        <v>0</v>
      </c>
      <c r="H1024" s="103" t="str">
        <f aca="false">IF(G1024=0,"空闲",IF(G1024&lt;=0.6,"低负荷",IF(G1024&lt;=0.85,"正常",IF(G1024&lt;=1,"满负荷","超负荷"))))</f>
        <v>空闲</v>
      </c>
      <c r="I1024" s="104" t="s">
        <v>638</v>
      </c>
      <c r="J1024" s="104"/>
      <c r="K1024" s="104"/>
      <c r="L1024" s="105" t="s">
        <v>639</v>
      </c>
    </row>
    <row r="1025" customFormat="false" ht="48" hidden="false" customHeight="true" outlineLevel="0" collapsed="false">
      <c r="A1025" s="99"/>
      <c r="B1025" s="100" t="n">
        <v>46489</v>
      </c>
      <c r="C1025" s="100" t="n">
        <v>46495</v>
      </c>
      <c r="D1025" s="99" t="s">
        <v>638</v>
      </c>
      <c r="E1025" s="99" t="n">
        <v>0</v>
      </c>
      <c r="F1025" s="101" t="n">
        <v>0</v>
      </c>
      <c r="G1025" s="102" t="n">
        <f aca="false">IFERROR(F1025/INDEX($G$5:$G$34,MATCH(LOOKUP(2,1/($A$39:A1025&lt;&gt;""),$A$39:A1025),$A$5:$A$34,0)),0)</f>
        <v>0</v>
      </c>
      <c r="H1025" s="103" t="str">
        <f aca="false">IF(G1025=0,"空闲",IF(G1025&lt;=0.6,"低负荷",IF(G1025&lt;=0.85,"正常",IF(G1025&lt;=1,"满负荷","超负荷"))))</f>
        <v>空闲</v>
      </c>
      <c r="I1025" s="104" t="s">
        <v>638</v>
      </c>
      <c r="J1025" s="104"/>
      <c r="K1025" s="104"/>
      <c r="L1025" s="105" t="s">
        <v>639</v>
      </c>
    </row>
    <row r="1026" customFormat="false" ht="48" hidden="false" customHeight="true" outlineLevel="0" collapsed="false">
      <c r="A1026" s="99"/>
      <c r="B1026" s="100" t="n">
        <v>46496</v>
      </c>
      <c r="C1026" s="100" t="n">
        <v>46502</v>
      </c>
      <c r="D1026" s="99" t="s">
        <v>638</v>
      </c>
      <c r="E1026" s="99" t="n">
        <v>0</v>
      </c>
      <c r="F1026" s="101" t="n">
        <v>0</v>
      </c>
      <c r="G1026" s="102" t="n">
        <f aca="false">IFERROR(F1026/INDEX($G$5:$G$34,MATCH(LOOKUP(2,1/($A$39:A1026&lt;&gt;""),$A$39:A1026),$A$5:$A$34,0)),0)</f>
        <v>0</v>
      </c>
      <c r="H1026" s="103" t="str">
        <f aca="false">IF(G1026=0,"空闲",IF(G1026&lt;=0.6,"低负荷",IF(G1026&lt;=0.85,"正常",IF(G1026&lt;=1,"满负荷","超负荷"))))</f>
        <v>空闲</v>
      </c>
      <c r="I1026" s="104" t="s">
        <v>638</v>
      </c>
      <c r="J1026" s="104"/>
      <c r="K1026" s="104"/>
      <c r="L1026" s="105" t="s">
        <v>639</v>
      </c>
    </row>
    <row r="1027" customFormat="false" ht="48" hidden="false" customHeight="true" outlineLevel="0" collapsed="false">
      <c r="A1027" s="99"/>
      <c r="B1027" s="100" t="n">
        <v>46503</v>
      </c>
      <c r="C1027" s="100" t="n">
        <v>46509</v>
      </c>
      <c r="D1027" s="99" t="s">
        <v>638</v>
      </c>
      <c r="E1027" s="99" t="n">
        <v>0</v>
      </c>
      <c r="F1027" s="101" t="n">
        <v>0</v>
      </c>
      <c r="G1027" s="102" t="n">
        <f aca="false">IFERROR(F1027/INDEX($G$5:$G$34,MATCH(LOOKUP(2,1/($A$39:A1027&lt;&gt;""),$A$39:A1027),$A$5:$A$34,0)),0)</f>
        <v>0</v>
      </c>
      <c r="H1027" s="103" t="str">
        <f aca="false">IF(G1027=0,"空闲",IF(G1027&lt;=0.6,"低负荷",IF(G1027&lt;=0.85,"正常",IF(G1027&lt;=1,"满负荷","超负荷"))))</f>
        <v>空闲</v>
      </c>
      <c r="I1027" s="104" t="s">
        <v>638</v>
      </c>
      <c r="J1027" s="104"/>
      <c r="K1027" s="104"/>
      <c r="L1027" s="105" t="s">
        <v>639</v>
      </c>
    </row>
    <row r="1028" customFormat="false" ht="48" hidden="false" customHeight="true" outlineLevel="0" collapsed="false">
      <c r="A1028" s="99"/>
      <c r="B1028" s="100" t="n">
        <v>46510</v>
      </c>
      <c r="C1028" s="100" t="n">
        <v>46516</v>
      </c>
      <c r="D1028" s="99" t="s">
        <v>638</v>
      </c>
      <c r="E1028" s="99" t="n">
        <v>0</v>
      </c>
      <c r="F1028" s="101" t="n">
        <v>0</v>
      </c>
      <c r="G1028" s="102" t="n">
        <f aca="false">IFERROR(F1028/INDEX($G$5:$G$34,MATCH(LOOKUP(2,1/($A$39:A1028&lt;&gt;""),$A$39:A1028),$A$5:$A$34,0)),0)</f>
        <v>0</v>
      </c>
      <c r="H1028" s="103" t="str">
        <f aca="false">IF(G1028=0,"空闲",IF(G1028&lt;=0.6,"低负荷",IF(G1028&lt;=0.85,"正常",IF(G1028&lt;=1,"满负荷","超负荷"))))</f>
        <v>空闲</v>
      </c>
      <c r="I1028" s="104" t="s">
        <v>638</v>
      </c>
      <c r="J1028" s="104"/>
      <c r="K1028" s="104"/>
      <c r="L1028" s="105" t="s">
        <v>639</v>
      </c>
    </row>
    <row r="1029" customFormat="false" ht="48" hidden="false" customHeight="true" outlineLevel="0" collapsed="false">
      <c r="A1029" s="99"/>
      <c r="B1029" s="100" t="n">
        <v>46517</v>
      </c>
      <c r="C1029" s="100" t="n">
        <v>46523</v>
      </c>
      <c r="D1029" s="99" t="s">
        <v>638</v>
      </c>
      <c r="E1029" s="99" t="n">
        <v>0</v>
      </c>
      <c r="F1029" s="101" t="n">
        <v>0</v>
      </c>
      <c r="G1029" s="102" t="n">
        <f aca="false">IFERROR(F1029/INDEX($G$5:$G$34,MATCH(LOOKUP(2,1/($A$39:A1029&lt;&gt;""),$A$39:A1029),$A$5:$A$34,0)),0)</f>
        <v>0</v>
      </c>
      <c r="H1029" s="103" t="str">
        <f aca="false">IF(G1029=0,"空闲",IF(G1029&lt;=0.6,"低负荷",IF(G1029&lt;=0.85,"正常",IF(G1029&lt;=1,"满负荷","超负荷"))))</f>
        <v>空闲</v>
      </c>
      <c r="I1029" s="104" t="s">
        <v>638</v>
      </c>
      <c r="J1029" s="104"/>
      <c r="K1029" s="104"/>
      <c r="L1029" s="105" t="s">
        <v>639</v>
      </c>
    </row>
    <row r="1030" customFormat="false" ht="48" hidden="false" customHeight="true" outlineLevel="0" collapsed="false">
      <c r="A1030" s="99"/>
      <c r="B1030" s="100" t="n">
        <v>46524</v>
      </c>
      <c r="C1030" s="100" t="n">
        <v>46530</v>
      </c>
      <c r="D1030" s="99" t="s">
        <v>638</v>
      </c>
      <c r="E1030" s="99" t="n">
        <v>0</v>
      </c>
      <c r="F1030" s="101" t="n">
        <v>0</v>
      </c>
      <c r="G1030" s="102" t="n">
        <f aca="false">IFERROR(F1030/INDEX($G$5:$G$34,MATCH(LOOKUP(2,1/($A$39:A1030&lt;&gt;""),$A$39:A1030),$A$5:$A$34,0)),0)</f>
        <v>0</v>
      </c>
      <c r="H1030" s="103" t="str">
        <f aca="false">IF(G1030=0,"空闲",IF(G1030&lt;=0.6,"低负荷",IF(G1030&lt;=0.85,"正常",IF(G1030&lt;=1,"满负荷","超负荷"))))</f>
        <v>空闲</v>
      </c>
      <c r="I1030" s="104" t="s">
        <v>638</v>
      </c>
      <c r="J1030" s="104"/>
      <c r="K1030" s="104"/>
      <c r="L1030" s="105" t="s">
        <v>639</v>
      </c>
    </row>
    <row r="1031" customFormat="false" ht="48" hidden="false" customHeight="true" outlineLevel="0" collapsed="false">
      <c r="A1031" s="99"/>
      <c r="B1031" s="100" t="n">
        <v>46531</v>
      </c>
      <c r="C1031" s="100" t="n">
        <v>46537</v>
      </c>
      <c r="D1031" s="99" t="s">
        <v>638</v>
      </c>
      <c r="E1031" s="99" t="n">
        <v>0</v>
      </c>
      <c r="F1031" s="101" t="n">
        <v>0</v>
      </c>
      <c r="G1031" s="102" t="n">
        <f aca="false">IFERROR(F1031/INDEX($G$5:$G$34,MATCH(LOOKUP(2,1/($A$39:A1031&lt;&gt;""),$A$39:A1031),$A$5:$A$34,0)),0)</f>
        <v>0</v>
      </c>
      <c r="H1031" s="103" t="str">
        <f aca="false">IF(G1031=0,"空闲",IF(G1031&lt;=0.6,"低负荷",IF(G1031&lt;=0.85,"正常",IF(G1031&lt;=1,"满负荷","超负荷"))))</f>
        <v>空闲</v>
      </c>
      <c r="I1031" s="104" t="s">
        <v>638</v>
      </c>
      <c r="J1031" s="104"/>
      <c r="K1031" s="104"/>
      <c r="L1031" s="105" t="s">
        <v>639</v>
      </c>
    </row>
    <row r="1032" customFormat="false" ht="48" hidden="false" customHeight="true" outlineLevel="0" collapsed="false">
      <c r="A1032" s="99"/>
      <c r="B1032" s="100" t="n">
        <v>46538</v>
      </c>
      <c r="C1032" s="100" t="n">
        <v>46544</v>
      </c>
      <c r="D1032" s="99" t="s">
        <v>638</v>
      </c>
      <c r="E1032" s="99" t="n">
        <v>0</v>
      </c>
      <c r="F1032" s="101" t="n">
        <v>0</v>
      </c>
      <c r="G1032" s="102" t="n">
        <f aca="false">IFERROR(F1032/INDEX($G$5:$G$34,MATCH(LOOKUP(2,1/($A$39:A1032&lt;&gt;""),$A$39:A1032),$A$5:$A$34,0)),0)</f>
        <v>0</v>
      </c>
      <c r="H1032" s="103" t="str">
        <f aca="false">IF(G1032=0,"空闲",IF(G1032&lt;=0.6,"低负荷",IF(G1032&lt;=0.85,"正常",IF(G1032&lt;=1,"满负荷","超负荷"))))</f>
        <v>空闲</v>
      </c>
      <c r="I1032" s="104" t="s">
        <v>638</v>
      </c>
      <c r="J1032" s="104"/>
      <c r="K1032" s="104"/>
      <c r="L1032" s="105" t="s">
        <v>639</v>
      </c>
    </row>
    <row r="1033" customFormat="false" ht="48" hidden="false" customHeight="true" outlineLevel="0" collapsed="false">
      <c r="A1033" s="99" t="s">
        <v>572</v>
      </c>
      <c r="B1033" s="100" t="n">
        <v>46048</v>
      </c>
      <c r="C1033" s="100" t="n">
        <v>46054</v>
      </c>
      <c r="D1033" s="99" t="s">
        <v>638</v>
      </c>
      <c r="E1033" s="99" t="n">
        <v>0</v>
      </c>
      <c r="F1033" s="101" t="n">
        <v>0</v>
      </c>
      <c r="G1033" s="102" t="n">
        <f aca="false">IFERROR(F1033/INDEX($G$5:$G$34,MATCH(LOOKUP(2,1/($A$39:A1033&lt;&gt;""),$A$39:A1033),$A$5:$A$34,0)),0)</f>
        <v>0</v>
      </c>
      <c r="H1033" s="103" t="str">
        <f aca="false">IF(G1033=0,"空闲",IF(G1033&lt;=0.6,"低负荷",IF(G1033&lt;=0.85,"正常",IF(G1033&lt;=1,"满负荷","超负荷"))))</f>
        <v>空闲</v>
      </c>
      <c r="I1033" s="104" t="s">
        <v>638</v>
      </c>
      <c r="J1033" s="104"/>
      <c r="K1033" s="104"/>
      <c r="L1033" s="105" t="s">
        <v>639</v>
      </c>
    </row>
    <row r="1034" customFormat="false" ht="48" hidden="false" customHeight="true" outlineLevel="0" collapsed="false">
      <c r="A1034" s="99"/>
      <c r="B1034" s="100" t="n">
        <v>46055</v>
      </c>
      <c r="C1034" s="100" t="n">
        <v>46061</v>
      </c>
      <c r="D1034" s="99" t="s">
        <v>638</v>
      </c>
      <c r="E1034" s="99" t="n">
        <v>0</v>
      </c>
      <c r="F1034" s="101" t="n">
        <v>0</v>
      </c>
      <c r="G1034" s="102" t="n">
        <f aca="false">IFERROR(F1034/INDEX($G$5:$G$34,MATCH(LOOKUP(2,1/($A$39:A1034&lt;&gt;""),$A$39:A1034),$A$5:$A$34,0)),0)</f>
        <v>0</v>
      </c>
      <c r="H1034" s="103" t="str">
        <f aca="false">IF(G1034=0,"空闲",IF(G1034&lt;=0.6,"低负荷",IF(G1034&lt;=0.85,"正常",IF(G1034&lt;=1,"满负荷","超负荷"))))</f>
        <v>空闲</v>
      </c>
      <c r="I1034" s="104" t="s">
        <v>638</v>
      </c>
      <c r="J1034" s="104"/>
      <c r="K1034" s="104"/>
      <c r="L1034" s="105" t="s">
        <v>639</v>
      </c>
    </row>
    <row r="1035" customFormat="false" ht="48" hidden="false" customHeight="true" outlineLevel="0" collapsed="false">
      <c r="A1035" s="99"/>
      <c r="B1035" s="100" t="n">
        <v>46062</v>
      </c>
      <c r="C1035" s="100" t="n">
        <v>46068</v>
      </c>
      <c r="D1035" s="99" t="s">
        <v>638</v>
      </c>
      <c r="E1035" s="99" t="n">
        <v>0</v>
      </c>
      <c r="F1035" s="101" t="n">
        <v>0</v>
      </c>
      <c r="G1035" s="102" t="n">
        <f aca="false">IFERROR(F1035/INDEX($G$5:$G$34,MATCH(LOOKUP(2,1/($A$39:A1035&lt;&gt;""),$A$39:A1035),$A$5:$A$34,0)),0)</f>
        <v>0</v>
      </c>
      <c r="H1035" s="103" t="str">
        <f aca="false">IF(G1035=0,"空闲",IF(G1035&lt;=0.6,"低负荷",IF(G1035&lt;=0.85,"正常",IF(G1035&lt;=1,"满负荷","超负荷"))))</f>
        <v>空闲</v>
      </c>
      <c r="I1035" s="104" t="s">
        <v>638</v>
      </c>
      <c r="J1035" s="104"/>
      <c r="K1035" s="104"/>
      <c r="L1035" s="105" t="s">
        <v>639</v>
      </c>
    </row>
    <row r="1036" customFormat="false" ht="48" hidden="false" customHeight="true" outlineLevel="0" collapsed="false">
      <c r="A1036" s="99"/>
      <c r="B1036" s="100" t="n">
        <v>46069</v>
      </c>
      <c r="C1036" s="100" t="n">
        <v>46075</v>
      </c>
      <c r="D1036" s="99" t="s">
        <v>638</v>
      </c>
      <c r="E1036" s="99" t="n">
        <v>0</v>
      </c>
      <c r="F1036" s="101" t="n">
        <v>0</v>
      </c>
      <c r="G1036" s="102" t="n">
        <f aca="false">IFERROR(F1036/INDEX($G$5:$G$34,MATCH(LOOKUP(2,1/($A$39:A1036&lt;&gt;""),$A$39:A1036),$A$5:$A$34,0)),0)</f>
        <v>0</v>
      </c>
      <c r="H1036" s="103" t="str">
        <f aca="false">IF(G1036=0,"空闲",IF(G1036&lt;=0.6,"低负荷",IF(G1036&lt;=0.85,"正常",IF(G1036&lt;=1,"满负荷","超负荷"))))</f>
        <v>空闲</v>
      </c>
      <c r="I1036" s="104" t="s">
        <v>638</v>
      </c>
      <c r="J1036" s="104"/>
      <c r="K1036" s="104"/>
      <c r="L1036" s="105" t="s">
        <v>639</v>
      </c>
    </row>
    <row r="1037" customFormat="false" ht="48" hidden="false" customHeight="true" outlineLevel="0" collapsed="false">
      <c r="A1037" s="99"/>
      <c r="B1037" s="100" t="n">
        <v>46076</v>
      </c>
      <c r="C1037" s="100" t="n">
        <v>46082</v>
      </c>
      <c r="D1037" s="99" t="s">
        <v>638</v>
      </c>
      <c r="E1037" s="99" t="n">
        <v>0</v>
      </c>
      <c r="F1037" s="101" t="n">
        <v>0</v>
      </c>
      <c r="G1037" s="102" t="n">
        <f aca="false">IFERROR(F1037/INDEX($G$5:$G$34,MATCH(LOOKUP(2,1/($A$39:A1037&lt;&gt;""),$A$39:A1037),$A$5:$A$34,0)),0)</f>
        <v>0</v>
      </c>
      <c r="H1037" s="103" t="str">
        <f aca="false">IF(G1037=0,"空闲",IF(G1037&lt;=0.6,"低负荷",IF(G1037&lt;=0.85,"正常",IF(G1037&lt;=1,"满负荷","超负荷"))))</f>
        <v>空闲</v>
      </c>
      <c r="I1037" s="104" t="s">
        <v>638</v>
      </c>
      <c r="J1037" s="104"/>
      <c r="K1037" s="104"/>
      <c r="L1037" s="105" t="s">
        <v>639</v>
      </c>
    </row>
    <row r="1038" customFormat="false" ht="48" hidden="false" customHeight="true" outlineLevel="0" collapsed="false">
      <c r="A1038" s="99"/>
      <c r="B1038" s="100" t="n">
        <v>46083</v>
      </c>
      <c r="C1038" s="100" t="n">
        <v>46089</v>
      </c>
      <c r="D1038" s="99" t="s">
        <v>638</v>
      </c>
      <c r="E1038" s="99" t="n">
        <v>0</v>
      </c>
      <c r="F1038" s="101" t="n">
        <v>0</v>
      </c>
      <c r="G1038" s="102" t="n">
        <f aca="false">IFERROR(F1038/INDEX($G$5:$G$34,MATCH(LOOKUP(2,1/($A$39:A1038&lt;&gt;""),$A$39:A1038),$A$5:$A$34,0)),0)</f>
        <v>0</v>
      </c>
      <c r="H1038" s="103" t="str">
        <f aca="false">IF(G1038=0,"空闲",IF(G1038&lt;=0.6,"低负荷",IF(G1038&lt;=0.85,"正常",IF(G1038&lt;=1,"满负荷","超负荷"))))</f>
        <v>空闲</v>
      </c>
      <c r="I1038" s="104" t="s">
        <v>638</v>
      </c>
      <c r="J1038" s="104"/>
      <c r="K1038" s="104"/>
      <c r="L1038" s="105" t="s">
        <v>639</v>
      </c>
    </row>
    <row r="1039" customFormat="false" ht="48" hidden="false" customHeight="true" outlineLevel="0" collapsed="false">
      <c r="A1039" s="99"/>
      <c r="B1039" s="100" t="n">
        <v>46090</v>
      </c>
      <c r="C1039" s="100" t="n">
        <v>46096</v>
      </c>
      <c r="D1039" s="99" t="s">
        <v>638</v>
      </c>
      <c r="E1039" s="99" t="n">
        <v>0</v>
      </c>
      <c r="F1039" s="101" t="n">
        <v>0</v>
      </c>
      <c r="G1039" s="102" t="n">
        <f aca="false">IFERROR(F1039/INDEX($G$5:$G$34,MATCH(LOOKUP(2,1/($A$39:A1039&lt;&gt;""),$A$39:A1039),$A$5:$A$34,0)),0)</f>
        <v>0</v>
      </c>
      <c r="H1039" s="103" t="str">
        <f aca="false">IF(G1039=0,"空闲",IF(G1039&lt;=0.6,"低负荷",IF(G1039&lt;=0.85,"正常",IF(G1039&lt;=1,"满负荷","超负荷"))))</f>
        <v>空闲</v>
      </c>
      <c r="I1039" s="104" t="s">
        <v>638</v>
      </c>
      <c r="J1039" s="104"/>
      <c r="K1039" s="104"/>
      <c r="L1039" s="105" t="s">
        <v>639</v>
      </c>
    </row>
    <row r="1040" customFormat="false" ht="48" hidden="false" customHeight="true" outlineLevel="0" collapsed="false">
      <c r="A1040" s="99"/>
      <c r="B1040" s="100" t="n">
        <v>46097</v>
      </c>
      <c r="C1040" s="100" t="n">
        <v>46103</v>
      </c>
      <c r="D1040" s="99" t="s">
        <v>638</v>
      </c>
      <c r="E1040" s="99" t="n">
        <v>0</v>
      </c>
      <c r="F1040" s="101" t="n">
        <v>0</v>
      </c>
      <c r="G1040" s="102" t="n">
        <f aca="false">IFERROR(F1040/INDEX($G$5:$G$34,MATCH(LOOKUP(2,1/($A$39:A1040&lt;&gt;""),$A$39:A1040),$A$5:$A$34,0)),0)</f>
        <v>0</v>
      </c>
      <c r="H1040" s="103" t="str">
        <f aca="false">IF(G1040=0,"空闲",IF(G1040&lt;=0.6,"低负荷",IF(G1040&lt;=0.85,"正常",IF(G1040&lt;=1,"满负荷","超负荷"))))</f>
        <v>空闲</v>
      </c>
      <c r="I1040" s="104" t="s">
        <v>638</v>
      </c>
      <c r="J1040" s="104"/>
      <c r="K1040" s="104"/>
      <c r="L1040" s="105" t="s">
        <v>639</v>
      </c>
    </row>
    <row r="1041" customFormat="false" ht="48" hidden="false" customHeight="true" outlineLevel="0" collapsed="false">
      <c r="A1041" s="99"/>
      <c r="B1041" s="100" t="n">
        <v>46104</v>
      </c>
      <c r="C1041" s="100" t="n">
        <v>46110</v>
      </c>
      <c r="D1041" s="99" t="s">
        <v>638</v>
      </c>
      <c r="E1041" s="99" t="n">
        <v>0</v>
      </c>
      <c r="F1041" s="101" t="n">
        <v>0</v>
      </c>
      <c r="G1041" s="102" t="n">
        <f aca="false">IFERROR(F1041/INDEX($G$5:$G$34,MATCH(LOOKUP(2,1/($A$39:A1041&lt;&gt;""),$A$39:A1041),$A$5:$A$34,0)),0)</f>
        <v>0</v>
      </c>
      <c r="H1041" s="103" t="str">
        <f aca="false">IF(G1041=0,"空闲",IF(G1041&lt;=0.6,"低负荷",IF(G1041&lt;=0.85,"正常",IF(G1041&lt;=1,"满负荷","超负荷"))))</f>
        <v>空闲</v>
      </c>
      <c r="I1041" s="104" t="s">
        <v>638</v>
      </c>
      <c r="J1041" s="104"/>
      <c r="K1041" s="104"/>
      <c r="L1041" s="105" t="s">
        <v>639</v>
      </c>
    </row>
    <row r="1042" customFormat="false" ht="48" hidden="false" customHeight="true" outlineLevel="0" collapsed="false">
      <c r="A1042" s="99"/>
      <c r="B1042" s="100" t="n">
        <v>46111</v>
      </c>
      <c r="C1042" s="100" t="n">
        <v>46117</v>
      </c>
      <c r="D1042" s="99" t="s">
        <v>638</v>
      </c>
      <c r="E1042" s="99" t="n">
        <v>0</v>
      </c>
      <c r="F1042" s="101" t="n">
        <v>0</v>
      </c>
      <c r="G1042" s="102" t="n">
        <f aca="false">IFERROR(F1042/INDEX($G$5:$G$34,MATCH(LOOKUP(2,1/($A$39:A1042&lt;&gt;""),$A$39:A1042),$A$5:$A$34,0)),0)</f>
        <v>0</v>
      </c>
      <c r="H1042" s="103" t="str">
        <f aca="false">IF(G1042=0,"空闲",IF(G1042&lt;=0.6,"低负荷",IF(G1042&lt;=0.85,"正常",IF(G1042&lt;=1,"满负荷","超负荷"))))</f>
        <v>空闲</v>
      </c>
      <c r="I1042" s="104" t="s">
        <v>638</v>
      </c>
      <c r="J1042" s="104"/>
      <c r="K1042" s="104"/>
      <c r="L1042" s="105" t="s">
        <v>639</v>
      </c>
    </row>
    <row r="1043" customFormat="false" ht="48" hidden="false" customHeight="true" outlineLevel="0" collapsed="false">
      <c r="A1043" s="99"/>
      <c r="B1043" s="100" t="n">
        <v>46118</v>
      </c>
      <c r="C1043" s="100" t="n">
        <v>46124</v>
      </c>
      <c r="D1043" s="99" t="s">
        <v>638</v>
      </c>
      <c r="E1043" s="99" t="n">
        <v>0</v>
      </c>
      <c r="F1043" s="101" t="n">
        <v>0</v>
      </c>
      <c r="G1043" s="102" t="n">
        <f aca="false">IFERROR(F1043/INDEX($G$5:$G$34,MATCH(LOOKUP(2,1/($A$39:A1043&lt;&gt;""),$A$39:A1043),$A$5:$A$34,0)),0)</f>
        <v>0</v>
      </c>
      <c r="H1043" s="103" t="str">
        <f aca="false">IF(G1043=0,"空闲",IF(G1043&lt;=0.6,"低负荷",IF(G1043&lt;=0.85,"正常",IF(G1043&lt;=1,"满负荷","超负荷"))))</f>
        <v>空闲</v>
      </c>
      <c r="I1043" s="104" t="s">
        <v>638</v>
      </c>
      <c r="J1043" s="104"/>
      <c r="K1043" s="104"/>
      <c r="L1043" s="105" t="s">
        <v>639</v>
      </c>
    </row>
    <row r="1044" customFormat="false" ht="48" hidden="false" customHeight="true" outlineLevel="0" collapsed="false">
      <c r="A1044" s="99"/>
      <c r="B1044" s="100" t="n">
        <v>46125</v>
      </c>
      <c r="C1044" s="100" t="n">
        <v>46131</v>
      </c>
      <c r="D1044" s="99" t="s">
        <v>638</v>
      </c>
      <c r="E1044" s="99" t="n">
        <v>0</v>
      </c>
      <c r="F1044" s="101" t="n">
        <v>0</v>
      </c>
      <c r="G1044" s="102" t="n">
        <f aca="false">IFERROR(F1044/INDEX($G$5:$G$34,MATCH(LOOKUP(2,1/($A$39:A1044&lt;&gt;""),$A$39:A1044),$A$5:$A$34,0)),0)</f>
        <v>0</v>
      </c>
      <c r="H1044" s="103" t="str">
        <f aca="false">IF(G1044=0,"空闲",IF(G1044&lt;=0.6,"低负荷",IF(G1044&lt;=0.85,"正常",IF(G1044&lt;=1,"满负荷","超负荷"))))</f>
        <v>空闲</v>
      </c>
      <c r="I1044" s="104" t="s">
        <v>638</v>
      </c>
      <c r="J1044" s="104"/>
      <c r="K1044" s="104"/>
      <c r="L1044" s="105" t="s">
        <v>639</v>
      </c>
    </row>
    <row r="1045" customFormat="false" ht="48" hidden="false" customHeight="true" outlineLevel="0" collapsed="false">
      <c r="A1045" s="99"/>
      <c r="B1045" s="100" t="n">
        <v>46132</v>
      </c>
      <c r="C1045" s="100" t="n">
        <v>46138</v>
      </c>
      <c r="D1045" s="99" t="s">
        <v>638</v>
      </c>
      <c r="E1045" s="99" t="n">
        <v>0</v>
      </c>
      <c r="F1045" s="101" t="n">
        <v>0</v>
      </c>
      <c r="G1045" s="102" t="n">
        <f aca="false">IFERROR(F1045/INDEX($G$5:$G$34,MATCH(LOOKUP(2,1/($A$39:A1045&lt;&gt;""),$A$39:A1045),$A$5:$A$34,0)),0)</f>
        <v>0</v>
      </c>
      <c r="H1045" s="103" t="str">
        <f aca="false">IF(G1045=0,"空闲",IF(G1045&lt;=0.6,"低负荷",IF(G1045&lt;=0.85,"正常",IF(G1045&lt;=1,"满负荷","超负荷"))))</f>
        <v>空闲</v>
      </c>
      <c r="I1045" s="104" t="s">
        <v>638</v>
      </c>
      <c r="J1045" s="104"/>
      <c r="K1045" s="104"/>
      <c r="L1045" s="105" t="s">
        <v>639</v>
      </c>
    </row>
    <row r="1046" customFormat="false" ht="48" hidden="false" customHeight="true" outlineLevel="0" collapsed="false">
      <c r="A1046" s="99"/>
      <c r="B1046" s="100" t="n">
        <v>46139</v>
      </c>
      <c r="C1046" s="100" t="n">
        <v>46145</v>
      </c>
      <c r="D1046" s="99" t="s">
        <v>638</v>
      </c>
      <c r="E1046" s="99" t="n">
        <v>0</v>
      </c>
      <c r="F1046" s="101" t="n">
        <v>0</v>
      </c>
      <c r="G1046" s="102" t="n">
        <f aca="false">IFERROR(F1046/INDEX($G$5:$G$34,MATCH(LOOKUP(2,1/($A$39:A1046&lt;&gt;""),$A$39:A1046),$A$5:$A$34,0)),0)</f>
        <v>0</v>
      </c>
      <c r="H1046" s="103" t="str">
        <f aca="false">IF(G1046=0,"空闲",IF(G1046&lt;=0.6,"低负荷",IF(G1046&lt;=0.85,"正常",IF(G1046&lt;=1,"满负荷","超负荷"))))</f>
        <v>空闲</v>
      </c>
      <c r="I1046" s="104" t="s">
        <v>638</v>
      </c>
      <c r="J1046" s="104"/>
      <c r="K1046" s="104"/>
      <c r="L1046" s="105" t="s">
        <v>639</v>
      </c>
    </row>
    <row r="1047" customFormat="false" ht="48" hidden="false" customHeight="true" outlineLevel="0" collapsed="false">
      <c r="A1047" s="99"/>
      <c r="B1047" s="100" t="n">
        <v>46146</v>
      </c>
      <c r="C1047" s="100" t="n">
        <v>46152</v>
      </c>
      <c r="D1047" s="99" t="s">
        <v>638</v>
      </c>
      <c r="E1047" s="99" t="n">
        <v>0</v>
      </c>
      <c r="F1047" s="101" t="n">
        <v>0</v>
      </c>
      <c r="G1047" s="102" t="n">
        <f aca="false">IFERROR(F1047/INDEX($G$5:$G$34,MATCH(LOOKUP(2,1/($A$39:A1047&lt;&gt;""),$A$39:A1047),$A$5:$A$34,0)),0)</f>
        <v>0</v>
      </c>
      <c r="H1047" s="103" t="str">
        <f aca="false">IF(G1047=0,"空闲",IF(G1047&lt;=0.6,"低负荷",IF(G1047&lt;=0.85,"正常",IF(G1047&lt;=1,"满负荷","超负荷"))))</f>
        <v>空闲</v>
      </c>
      <c r="I1047" s="104" t="s">
        <v>638</v>
      </c>
      <c r="J1047" s="104"/>
      <c r="K1047" s="104"/>
      <c r="L1047" s="105" t="s">
        <v>639</v>
      </c>
    </row>
    <row r="1048" customFormat="false" ht="48" hidden="false" customHeight="true" outlineLevel="0" collapsed="false">
      <c r="A1048" s="99"/>
      <c r="B1048" s="100" t="n">
        <v>46153</v>
      </c>
      <c r="C1048" s="100" t="n">
        <v>46159</v>
      </c>
      <c r="D1048" s="99" t="s">
        <v>638</v>
      </c>
      <c r="E1048" s="99" t="n">
        <v>0</v>
      </c>
      <c r="F1048" s="101" t="n">
        <v>0</v>
      </c>
      <c r="G1048" s="102" t="n">
        <f aca="false">IFERROR(F1048/INDEX($G$5:$G$34,MATCH(LOOKUP(2,1/($A$39:A1048&lt;&gt;""),$A$39:A1048),$A$5:$A$34,0)),0)</f>
        <v>0</v>
      </c>
      <c r="H1048" s="103" t="str">
        <f aca="false">IF(G1048=0,"空闲",IF(G1048&lt;=0.6,"低负荷",IF(G1048&lt;=0.85,"正常",IF(G1048&lt;=1,"满负荷","超负荷"))))</f>
        <v>空闲</v>
      </c>
      <c r="I1048" s="104" t="s">
        <v>638</v>
      </c>
      <c r="J1048" s="104"/>
      <c r="K1048" s="104"/>
      <c r="L1048" s="105" t="s">
        <v>639</v>
      </c>
    </row>
    <row r="1049" customFormat="false" ht="48" hidden="false" customHeight="true" outlineLevel="0" collapsed="false">
      <c r="A1049" s="99"/>
      <c r="B1049" s="100" t="n">
        <v>46160</v>
      </c>
      <c r="C1049" s="100" t="n">
        <v>46166</v>
      </c>
      <c r="D1049" s="99" t="s">
        <v>638</v>
      </c>
      <c r="E1049" s="99" t="n">
        <v>0</v>
      </c>
      <c r="F1049" s="101" t="n">
        <v>0</v>
      </c>
      <c r="G1049" s="102" t="n">
        <f aca="false">IFERROR(F1049/INDEX($G$5:$G$34,MATCH(LOOKUP(2,1/($A$39:A1049&lt;&gt;""),$A$39:A1049),$A$5:$A$34,0)),0)</f>
        <v>0</v>
      </c>
      <c r="H1049" s="103" t="str">
        <f aca="false">IF(G1049=0,"空闲",IF(G1049&lt;=0.6,"低负荷",IF(G1049&lt;=0.85,"正常",IF(G1049&lt;=1,"满负荷","超负荷"))))</f>
        <v>空闲</v>
      </c>
      <c r="I1049" s="104" t="s">
        <v>638</v>
      </c>
      <c r="J1049" s="104"/>
      <c r="K1049" s="104"/>
      <c r="L1049" s="105" t="s">
        <v>639</v>
      </c>
    </row>
    <row r="1050" customFormat="false" ht="48" hidden="false" customHeight="true" outlineLevel="0" collapsed="false">
      <c r="A1050" s="99"/>
      <c r="B1050" s="100" t="n">
        <v>46167</v>
      </c>
      <c r="C1050" s="100" t="n">
        <v>46173</v>
      </c>
      <c r="D1050" s="99" t="s">
        <v>638</v>
      </c>
      <c r="E1050" s="99" t="n">
        <v>0</v>
      </c>
      <c r="F1050" s="101" t="n">
        <v>0</v>
      </c>
      <c r="G1050" s="102" t="n">
        <f aca="false">IFERROR(F1050/INDEX($G$5:$G$34,MATCH(LOOKUP(2,1/($A$39:A1050&lt;&gt;""),$A$39:A1050),$A$5:$A$34,0)),0)</f>
        <v>0</v>
      </c>
      <c r="H1050" s="103" t="str">
        <f aca="false">IF(G1050=0,"空闲",IF(G1050&lt;=0.6,"低负荷",IF(G1050&lt;=0.85,"正常",IF(G1050&lt;=1,"满负荷","超负荷"))))</f>
        <v>空闲</v>
      </c>
      <c r="I1050" s="104" t="s">
        <v>638</v>
      </c>
      <c r="J1050" s="104"/>
      <c r="K1050" s="104"/>
      <c r="L1050" s="105" t="s">
        <v>639</v>
      </c>
    </row>
    <row r="1051" customFormat="false" ht="48" hidden="false" customHeight="true" outlineLevel="0" collapsed="false">
      <c r="A1051" s="99"/>
      <c r="B1051" s="100" t="n">
        <v>46174</v>
      </c>
      <c r="C1051" s="100" t="n">
        <v>46180</v>
      </c>
      <c r="D1051" s="99" t="s">
        <v>638</v>
      </c>
      <c r="E1051" s="99" t="n">
        <v>0</v>
      </c>
      <c r="F1051" s="101" t="n">
        <v>0</v>
      </c>
      <c r="G1051" s="102" t="n">
        <f aca="false">IFERROR(F1051/INDEX($G$5:$G$34,MATCH(LOOKUP(2,1/($A$39:A1051&lt;&gt;""),$A$39:A1051),$A$5:$A$34,0)),0)</f>
        <v>0</v>
      </c>
      <c r="H1051" s="103" t="str">
        <f aca="false">IF(G1051=0,"空闲",IF(G1051&lt;=0.6,"低负荷",IF(G1051&lt;=0.85,"正常",IF(G1051&lt;=1,"满负荷","超负荷"))))</f>
        <v>空闲</v>
      </c>
      <c r="I1051" s="104" t="s">
        <v>638</v>
      </c>
      <c r="J1051" s="104"/>
      <c r="K1051" s="104"/>
      <c r="L1051" s="105" t="s">
        <v>639</v>
      </c>
    </row>
    <row r="1052" customFormat="false" ht="48" hidden="false" customHeight="true" outlineLevel="0" collapsed="false">
      <c r="A1052" s="99"/>
      <c r="B1052" s="100" t="n">
        <v>46181</v>
      </c>
      <c r="C1052" s="100" t="n">
        <v>46187</v>
      </c>
      <c r="D1052" s="99" t="s">
        <v>638</v>
      </c>
      <c r="E1052" s="99" t="n">
        <v>0</v>
      </c>
      <c r="F1052" s="101" t="n">
        <v>0</v>
      </c>
      <c r="G1052" s="102" t="n">
        <f aca="false">IFERROR(F1052/INDEX($G$5:$G$34,MATCH(LOOKUP(2,1/($A$39:A1052&lt;&gt;""),$A$39:A1052),$A$5:$A$34,0)),0)</f>
        <v>0</v>
      </c>
      <c r="H1052" s="103" t="str">
        <f aca="false">IF(G1052=0,"空闲",IF(G1052&lt;=0.6,"低负荷",IF(G1052&lt;=0.85,"正常",IF(G1052&lt;=1,"满负荷","超负荷"))))</f>
        <v>空闲</v>
      </c>
      <c r="I1052" s="104" t="s">
        <v>638</v>
      </c>
      <c r="J1052" s="104"/>
      <c r="K1052" s="104"/>
      <c r="L1052" s="105" t="s">
        <v>639</v>
      </c>
    </row>
    <row r="1053" customFormat="false" ht="48" hidden="false" customHeight="true" outlineLevel="0" collapsed="false">
      <c r="A1053" s="99"/>
      <c r="B1053" s="100" t="n">
        <v>46188</v>
      </c>
      <c r="C1053" s="100" t="n">
        <v>46194</v>
      </c>
      <c r="D1053" s="99" t="s">
        <v>638</v>
      </c>
      <c r="E1053" s="99" t="n">
        <v>0</v>
      </c>
      <c r="F1053" s="101" t="n">
        <v>0</v>
      </c>
      <c r="G1053" s="102" t="n">
        <f aca="false">IFERROR(F1053/INDEX($G$5:$G$34,MATCH(LOOKUP(2,1/($A$39:A1053&lt;&gt;""),$A$39:A1053),$A$5:$A$34,0)),0)</f>
        <v>0</v>
      </c>
      <c r="H1053" s="103" t="str">
        <f aca="false">IF(G1053=0,"空闲",IF(G1053&lt;=0.6,"低负荷",IF(G1053&lt;=0.85,"正常",IF(G1053&lt;=1,"满负荷","超负荷"))))</f>
        <v>空闲</v>
      </c>
      <c r="I1053" s="104" t="s">
        <v>638</v>
      </c>
      <c r="J1053" s="104"/>
      <c r="K1053" s="104"/>
      <c r="L1053" s="105" t="s">
        <v>639</v>
      </c>
    </row>
    <row r="1054" customFormat="false" ht="48" hidden="false" customHeight="true" outlineLevel="0" collapsed="false">
      <c r="A1054" s="99"/>
      <c r="B1054" s="100" t="n">
        <v>46195</v>
      </c>
      <c r="C1054" s="100" t="n">
        <v>46201</v>
      </c>
      <c r="D1054" s="99" t="s">
        <v>638</v>
      </c>
      <c r="E1054" s="99" t="n">
        <v>0</v>
      </c>
      <c r="F1054" s="101" t="n">
        <v>0</v>
      </c>
      <c r="G1054" s="102" t="n">
        <f aca="false">IFERROR(F1054/INDEX($G$5:$G$34,MATCH(LOOKUP(2,1/($A$39:A1054&lt;&gt;""),$A$39:A1054),$A$5:$A$34,0)),0)</f>
        <v>0</v>
      </c>
      <c r="H1054" s="103" t="str">
        <f aca="false">IF(G1054=0,"空闲",IF(G1054&lt;=0.6,"低负荷",IF(G1054&lt;=0.85,"正常",IF(G1054&lt;=1,"满负荷","超负荷"))))</f>
        <v>空闲</v>
      </c>
      <c r="I1054" s="104" t="s">
        <v>638</v>
      </c>
      <c r="J1054" s="104"/>
      <c r="K1054" s="104"/>
      <c r="L1054" s="105" t="s">
        <v>639</v>
      </c>
    </row>
    <row r="1055" customFormat="false" ht="48" hidden="false" customHeight="true" outlineLevel="0" collapsed="false">
      <c r="A1055" s="99"/>
      <c r="B1055" s="100" t="n">
        <v>46202</v>
      </c>
      <c r="C1055" s="100" t="n">
        <v>46208</v>
      </c>
      <c r="D1055" s="99" t="s">
        <v>638</v>
      </c>
      <c r="E1055" s="99" t="n">
        <v>0</v>
      </c>
      <c r="F1055" s="101" t="n">
        <v>0</v>
      </c>
      <c r="G1055" s="102" t="n">
        <f aca="false">IFERROR(F1055/INDEX($G$5:$G$34,MATCH(LOOKUP(2,1/($A$39:A1055&lt;&gt;""),$A$39:A1055),$A$5:$A$34,0)),0)</f>
        <v>0</v>
      </c>
      <c r="H1055" s="103" t="str">
        <f aca="false">IF(G1055=0,"空闲",IF(G1055&lt;=0.6,"低负荷",IF(G1055&lt;=0.85,"正常",IF(G1055&lt;=1,"满负荷","超负荷"))))</f>
        <v>空闲</v>
      </c>
      <c r="I1055" s="104" t="s">
        <v>638</v>
      </c>
      <c r="J1055" s="104"/>
      <c r="K1055" s="104"/>
      <c r="L1055" s="105" t="s">
        <v>639</v>
      </c>
    </row>
    <row r="1056" customFormat="false" ht="48" hidden="false" customHeight="true" outlineLevel="0" collapsed="false">
      <c r="A1056" s="99"/>
      <c r="B1056" s="100" t="n">
        <v>46209</v>
      </c>
      <c r="C1056" s="100" t="n">
        <v>46215</v>
      </c>
      <c r="D1056" s="99" t="s">
        <v>638</v>
      </c>
      <c r="E1056" s="99" t="n">
        <v>0</v>
      </c>
      <c r="F1056" s="101" t="n">
        <v>0</v>
      </c>
      <c r="G1056" s="102" t="n">
        <f aca="false">IFERROR(F1056/INDEX($G$5:$G$34,MATCH(LOOKUP(2,1/($A$39:A1056&lt;&gt;""),$A$39:A1056),$A$5:$A$34,0)),0)</f>
        <v>0</v>
      </c>
      <c r="H1056" s="103" t="str">
        <f aca="false">IF(G1056=0,"空闲",IF(G1056&lt;=0.6,"低负荷",IF(G1056&lt;=0.85,"正常",IF(G1056&lt;=1,"满负荷","超负荷"))))</f>
        <v>空闲</v>
      </c>
      <c r="I1056" s="104" t="s">
        <v>638</v>
      </c>
      <c r="J1056" s="104"/>
      <c r="K1056" s="104"/>
      <c r="L1056" s="105" t="s">
        <v>639</v>
      </c>
    </row>
    <row r="1057" customFormat="false" ht="48" hidden="false" customHeight="true" outlineLevel="0" collapsed="false">
      <c r="A1057" s="99"/>
      <c r="B1057" s="100" t="n">
        <v>46216</v>
      </c>
      <c r="C1057" s="100" t="n">
        <v>46222</v>
      </c>
      <c r="D1057" s="99" t="s">
        <v>638</v>
      </c>
      <c r="E1057" s="99" t="n">
        <v>0</v>
      </c>
      <c r="F1057" s="101" t="n">
        <v>0</v>
      </c>
      <c r="G1057" s="102" t="n">
        <f aca="false">IFERROR(F1057/INDEX($G$5:$G$34,MATCH(LOOKUP(2,1/($A$39:A1057&lt;&gt;""),$A$39:A1057),$A$5:$A$34,0)),0)</f>
        <v>0</v>
      </c>
      <c r="H1057" s="103" t="str">
        <f aca="false">IF(G1057=0,"空闲",IF(G1057&lt;=0.6,"低负荷",IF(G1057&lt;=0.85,"正常",IF(G1057&lt;=1,"满负荷","超负荷"))))</f>
        <v>空闲</v>
      </c>
      <c r="I1057" s="104" t="s">
        <v>638</v>
      </c>
      <c r="J1057" s="104"/>
      <c r="K1057" s="104"/>
      <c r="L1057" s="105" t="s">
        <v>639</v>
      </c>
    </row>
    <row r="1058" customFormat="false" ht="48" hidden="false" customHeight="true" outlineLevel="0" collapsed="false">
      <c r="A1058" s="99"/>
      <c r="B1058" s="100" t="n">
        <v>46223</v>
      </c>
      <c r="C1058" s="100" t="n">
        <v>46229</v>
      </c>
      <c r="D1058" s="99" t="s">
        <v>638</v>
      </c>
      <c r="E1058" s="99" t="n">
        <v>0</v>
      </c>
      <c r="F1058" s="101" t="n">
        <v>0</v>
      </c>
      <c r="G1058" s="102" t="n">
        <f aca="false">IFERROR(F1058/INDEX($G$5:$G$34,MATCH(LOOKUP(2,1/($A$39:A1058&lt;&gt;""),$A$39:A1058),$A$5:$A$34,0)),0)</f>
        <v>0</v>
      </c>
      <c r="H1058" s="103" t="str">
        <f aca="false">IF(G1058=0,"空闲",IF(G1058&lt;=0.6,"低负荷",IF(G1058&lt;=0.85,"正常",IF(G1058&lt;=1,"满负荷","超负荷"))))</f>
        <v>空闲</v>
      </c>
      <c r="I1058" s="104" t="s">
        <v>638</v>
      </c>
      <c r="J1058" s="104"/>
      <c r="K1058" s="104"/>
      <c r="L1058" s="105" t="s">
        <v>639</v>
      </c>
    </row>
    <row r="1059" customFormat="false" ht="48" hidden="false" customHeight="true" outlineLevel="0" collapsed="false">
      <c r="A1059" s="99"/>
      <c r="B1059" s="100" t="n">
        <v>46230</v>
      </c>
      <c r="C1059" s="100" t="n">
        <v>46236</v>
      </c>
      <c r="D1059" s="99" t="s">
        <v>638</v>
      </c>
      <c r="E1059" s="99" t="n">
        <v>0</v>
      </c>
      <c r="F1059" s="101" t="n">
        <v>0</v>
      </c>
      <c r="G1059" s="102" t="n">
        <f aca="false">IFERROR(F1059/INDEX($G$5:$G$34,MATCH(LOOKUP(2,1/($A$39:A1059&lt;&gt;""),$A$39:A1059),$A$5:$A$34,0)),0)</f>
        <v>0</v>
      </c>
      <c r="H1059" s="103" t="str">
        <f aca="false">IF(G1059=0,"空闲",IF(G1059&lt;=0.6,"低负荷",IF(G1059&lt;=0.85,"正常",IF(G1059&lt;=1,"满负荷","超负荷"))))</f>
        <v>空闲</v>
      </c>
      <c r="I1059" s="104" t="s">
        <v>638</v>
      </c>
      <c r="J1059" s="104"/>
      <c r="K1059" s="104"/>
      <c r="L1059" s="105" t="s">
        <v>639</v>
      </c>
    </row>
    <row r="1060" customFormat="false" ht="48" hidden="false" customHeight="true" outlineLevel="0" collapsed="false">
      <c r="A1060" s="99"/>
      <c r="B1060" s="100" t="n">
        <v>46237</v>
      </c>
      <c r="C1060" s="100" t="n">
        <v>46243</v>
      </c>
      <c r="D1060" s="99" t="s">
        <v>638</v>
      </c>
      <c r="E1060" s="99" t="n">
        <v>0</v>
      </c>
      <c r="F1060" s="101" t="n">
        <v>0</v>
      </c>
      <c r="G1060" s="102" t="n">
        <f aca="false">IFERROR(F1060/INDEX($G$5:$G$34,MATCH(LOOKUP(2,1/($A$39:A1060&lt;&gt;""),$A$39:A1060),$A$5:$A$34,0)),0)</f>
        <v>0</v>
      </c>
      <c r="H1060" s="103" t="str">
        <f aca="false">IF(G1060=0,"空闲",IF(G1060&lt;=0.6,"低负荷",IF(G1060&lt;=0.85,"正常",IF(G1060&lt;=1,"满负荷","超负荷"))))</f>
        <v>空闲</v>
      </c>
      <c r="I1060" s="104" t="s">
        <v>638</v>
      </c>
      <c r="J1060" s="104"/>
      <c r="K1060" s="104"/>
      <c r="L1060" s="105" t="s">
        <v>639</v>
      </c>
    </row>
    <row r="1061" customFormat="false" ht="48" hidden="false" customHeight="true" outlineLevel="0" collapsed="false">
      <c r="A1061" s="99"/>
      <c r="B1061" s="100" t="n">
        <v>46244</v>
      </c>
      <c r="C1061" s="100" t="n">
        <v>46250</v>
      </c>
      <c r="D1061" s="99" t="s">
        <v>638</v>
      </c>
      <c r="E1061" s="99" t="n">
        <v>0</v>
      </c>
      <c r="F1061" s="101" t="n">
        <v>0</v>
      </c>
      <c r="G1061" s="102" t="n">
        <f aca="false">IFERROR(F1061/INDEX($G$5:$G$34,MATCH(LOOKUP(2,1/($A$39:A1061&lt;&gt;""),$A$39:A1061),$A$5:$A$34,0)),0)</f>
        <v>0</v>
      </c>
      <c r="H1061" s="103" t="str">
        <f aca="false">IF(G1061=0,"空闲",IF(G1061&lt;=0.6,"低负荷",IF(G1061&lt;=0.85,"正常",IF(G1061&lt;=1,"满负荷","超负荷"))))</f>
        <v>空闲</v>
      </c>
      <c r="I1061" s="104" t="s">
        <v>638</v>
      </c>
      <c r="J1061" s="104"/>
      <c r="K1061" s="104"/>
      <c r="L1061" s="105" t="s">
        <v>639</v>
      </c>
    </row>
    <row r="1062" customFormat="false" ht="48" hidden="false" customHeight="true" outlineLevel="0" collapsed="false">
      <c r="A1062" s="99"/>
      <c r="B1062" s="100" t="n">
        <v>46251</v>
      </c>
      <c r="C1062" s="100" t="n">
        <v>46257</v>
      </c>
      <c r="D1062" s="99" t="s">
        <v>638</v>
      </c>
      <c r="E1062" s="99" t="n">
        <v>0</v>
      </c>
      <c r="F1062" s="101" t="n">
        <v>0</v>
      </c>
      <c r="G1062" s="102" t="n">
        <f aca="false">IFERROR(F1062/INDEX($G$5:$G$34,MATCH(LOOKUP(2,1/($A$39:A1062&lt;&gt;""),$A$39:A1062),$A$5:$A$34,0)),0)</f>
        <v>0</v>
      </c>
      <c r="H1062" s="103" t="str">
        <f aca="false">IF(G1062=0,"空闲",IF(G1062&lt;=0.6,"低负荷",IF(G1062&lt;=0.85,"正常",IF(G1062&lt;=1,"满负荷","超负荷"))))</f>
        <v>空闲</v>
      </c>
      <c r="I1062" s="104" t="s">
        <v>638</v>
      </c>
      <c r="J1062" s="104"/>
      <c r="K1062" s="104"/>
      <c r="L1062" s="105" t="s">
        <v>639</v>
      </c>
    </row>
    <row r="1063" customFormat="false" ht="48" hidden="false" customHeight="true" outlineLevel="0" collapsed="false">
      <c r="A1063" s="99"/>
      <c r="B1063" s="100" t="n">
        <v>46258</v>
      </c>
      <c r="C1063" s="100" t="n">
        <v>46264</v>
      </c>
      <c r="D1063" s="99" t="s">
        <v>638</v>
      </c>
      <c r="E1063" s="99" t="n">
        <v>0</v>
      </c>
      <c r="F1063" s="101" t="n">
        <v>0</v>
      </c>
      <c r="G1063" s="102" t="n">
        <f aca="false">IFERROR(F1063/INDEX($G$5:$G$34,MATCH(LOOKUP(2,1/($A$39:A1063&lt;&gt;""),$A$39:A1063),$A$5:$A$34,0)),0)</f>
        <v>0</v>
      </c>
      <c r="H1063" s="103" t="str">
        <f aca="false">IF(G1063=0,"空闲",IF(G1063&lt;=0.6,"低负荷",IF(G1063&lt;=0.85,"正常",IF(G1063&lt;=1,"满负荷","超负荷"))))</f>
        <v>空闲</v>
      </c>
      <c r="I1063" s="104" t="s">
        <v>638</v>
      </c>
      <c r="J1063" s="104"/>
      <c r="K1063" s="104"/>
      <c r="L1063" s="105" t="s">
        <v>639</v>
      </c>
    </row>
    <row r="1064" customFormat="false" ht="48" hidden="false" customHeight="true" outlineLevel="0" collapsed="false">
      <c r="A1064" s="99"/>
      <c r="B1064" s="100" t="n">
        <v>46265</v>
      </c>
      <c r="C1064" s="100" t="n">
        <v>46271</v>
      </c>
      <c r="D1064" s="99" t="s">
        <v>638</v>
      </c>
      <c r="E1064" s="99" t="n">
        <v>0</v>
      </c>
      <c r="F1064" s="101" t="n">
        <v>0</v>
      </c>
      <c r="G1064" s="102" t="n">
        <f aca="false">IFERROR(F1064/INDEX($G$5:$G$34,MATCH(LOOKUP(2,1/($A$39:A1064&lt;&gt;""),$A$39:A1064),$A$5:$A$34,0)),0)</f>
        <v>0</v>
      </c>
      <c r="H1064" s="103" t="str">
        <f aca="false">IF(G1064=0,"空闲",IF(G1064&lt;=0.6,"低负荷",IF(G1064&lt;=0.85,"正常",IF(G1064&lt;=1,"满负荷","超负荷"))))</f>
        <v>空闲</v>
      </c>
      <c r="I1064" s="104" t="s">
        <v>638</v>
      </c>
      <c r="J1064" s="104"/>
      <c r="K1064" s="104"/>
      <c r="L1064" s="105" t="s">
        <v>639</v>
      </c>
    </row>
    <row r="1065" customFormat="false" ht="48" hidden="false" customHeight="true" outlineLevel="0" collapsed="false">
      <c r="A1065" s="99"/>
      <c r="B1065" s="100" t="n">
        <v>46272</v>
      </c>
      <c r="C1065" s="100" t="n">
        <v>46278</v>
      </c>
      <c r="D1065" s="99" t="s">
        <v>638</v>
      </c>
      <c r="E1065" s="99" t="n">
        <v>0</v>
      </c>
      <c r="F1065" s="101" t="n">
        <v>0</v>
      </c>
      <c r="G1065" s="102" t="n">
        <f aca="false">IFERROR(F1065/INDEX($G$5:$G$34,MATCH(LOOKUP(2,1/($A$39:A1065&lt;&gt;""),$A$39:A1065),$A$5:$A$34,0)),0)</f>
        <v>0</v>
      </c>
      <c r="H1065" s="103" t="str">
        <f aca="false">IF(G1065=0,"空闲",IF(G1065&lt;=0.6,"低负荷",IF(G1065&lt;=0.85,"正常",IF(G1065&lt;=1,"满负荷","超负荷"))))</f>
        <v>空闲</v>
      </c>
      <c r="I1065" s="104" t="s">
        <v>638</v>
      </c>
      <c r="J1065" s="104"/>
      <c r="K1065" s="104"/>
      <c r="L1065" s="105" t="s">
        <v>639</v>
      </c>
    </row>
    <row r="1066" customFormat="false" ht="48" hidden="false" customHeight="true" outlineLevel="0" collapsed="false">
      <c r="A1066" s="99"/>
      <c r="B1066" s="100" t="n">
        <v>46279</v>
      </c>
      <c r="C1066" s="100" t="n">
        <v>46285</v>
      </c>
      <c r="D1066" s="99" t="s">
        <v>638</v>
      </c>
      <c r="E1066" s="99" t="n">
        <v>0</v>
      </c>
      <c r="F1066" s="101" t="n">
        <v>0</v>
      </c>
      <c r="G1066" s="102" t="n">
        <f aca="false">IFERROR(F1066/INDEX($G$5:$G$34,MATCH(LOOKUP(2,1/($A$39:A1066&lt;&gt;""),$A$39:A1066),$A$5:$A$34,0)),0)</f>
        <v>0</v>
      </c>
      <c r="H1066" s="103" t="str">
        <f aca="false">IF(G1066=0,"空闲",IF(G1066&lt;=0.6,"低负荷",IF(G1066&lt;=0.85,"正常",IF(G1066&lt;=1,"满负荷","超负荷"))))</f>
        <v>空闲</v>
      </c>
      <c r="I1066" s="104" t="s">
        <v>638</v>
      </c>
      <c r="J1066" s="104"/>
      <c r="K1066" s="104"/>
      <c r="L1066" s="105" t="s">
        <v>639</v>
      </c>
    </row>
    <row r="1067" customFormat="false" ht="48" hidden="false" customHeight="true" outlineLevel="0" collapsed="false">
      <c r="A1067" s="99"/>
      <c r="B1067" s="100" t="n">
        <v>46286</v>
      </c>
      <c r="C1067" s="100" t="n">
        <v>46292</v>
      </c>
      <c r="D1067" s="99" t="s">
        <v>638</v>
      </c>
      <c r="E1067" s="99" t="n">
        <v>0</v>
      </c>
      <c r="F1067" s="101" t="n">
        <v>0</v>
      </c>
      <c r="G1067" s="102" t="n">
        <f aca="false">IFERROR(F1067/INDEX($G$5:$G$34,MATCH(LOOKUP(2,1/($A$39:A1067&lt;&gt;""),$A$39:A1067),$A$5:$A$34,0)),0)</f>
        <v>0</v>
      </c>
      <c r="H1067" s="103" t="str">
        <f aca="false">IF(G1067=0,"空闲",IF(G1067&lt;=0.6,"低负荷",IF(G1067&lt;=0.85,"正常",IF(G1067&lt;=1,"满负荷","超负荷"))))</f>
        <v>空闲</v>
      </c>
      <c r="I1067" s="104" t="s">
        <v>638</v>
      </c>
      <c r="J1067" s="104"/>
      <c r="K1067" s="104"/>
      <c r="L1067" s="105" t="s">
        <v>639</v>
      </c>
    </row>
    <row r="1068" customFormat="false" ht="48" hidden="false" customHeight="true" outlineLevel="0" collapsed="false">
      <c r="A1068" s="99"/>
      <c r="B1068" s="100" t="n">
        <v>46293</v>
      </c>
      <c r="C1068" s="100" t="n">
        <v>46299</v>
      </c>
      <c r="D1068" s="99" t="s">
        <v>638</v>
      </c>
      <c r="E1068" s="99" t="n">
        <v>0</v>
      </c>
      <c r="F1068" s="101" t="n">
        <v>0</v>
      </c>
      <c r="G1068" s="102" t="n">
        <f aca="false">IFERROR(F1068/INDEX($G$5:$G$34,MATCH(LOOKUP(2,1/($A$39:A1068&lt;&gt;""),$A$39:A1068),$A$5:$A$34,0)),0)</f>
        <v>0</v>
      </c>
      <c r="H1068" s="103" t="str">
        <f aca="false">IF(G1068=0,"空闲",IF(G1068&lt;=0.6,"低负荷",IF(G1068&lt;=0.85,"正常",IF(G1068&lt;=1,"满负荷","超负荷"))))</f>
        <v>空闲</v>
      </c>
      <c r="I1068" s="104" t="s">
        <v>638</v>
      </c>
      <c r="J1068" s="104"/>
      <c r="K1068" s="104"/>
      <c r="L1068" s="105" t="s">
        <v>639</v>
      </c>
    </row>
    <row r="1069" customFormat="false" ht="48" hidden="false" customHeight="true" outlineLevel="0" collapsed="false">
      <c r="A1069" s="99"/>
      <c r="B1069" s="100" t="n">
        <v>46300</v>
      </c>
      <c r="C1069" s="100" t="n">
        <v>46306</v>
      </c>
      <c r="D1069" s="99" t="s">
        <v>638</v>
      </c>
      <c r="E1069" s="99" t="n">
        <v>0</v>
      </c>
      <c r="F1069" s="101" t="n">
        <v>0</v>
      </c>
      <c r="G1069" s="102" t="n">
        <f aca="false">IFERROR(F1069/INDEX($G$5:$G$34,MATCH(LOOKUP(2,1/($A$39:A1069&lt;&gt;""),$A$39:A1069),$A$5:$A$34,0)),0)</f>
        <v>0</v>
      </c>
      <c r="H1069" s="103" t="str">
        <f aca="false">IF(G1069=0,"空闲",IF(G1069&lt;=0.6,"低负荷",IF(G1069&lt;=0.85,"正常",IF(G1069&lt;=1,"满负荷","超负荷"))))</f>
        <v>空闲</v>
      </c>
      <c r="I1069" s="104" t="s">
        <v>638</v>
      </c>
      <c r="J1069" s="104"/>
      <c r="K1069" s="104"/>
      <c r="L1069" s="105" t="s">
        <v>639</v>
      </c>
    </row>
    <row r="1070" customFormat="false" ht="48" hidden="false" customHeight="true" outlineLevel="0" collapsed="false">
      <c r="A1070" s="99"/>
      <c r="B1070" s="100" t="n">
        <v>46307</v>
      </c>
      <c r="C1070" s="100" t="n">
        <v>46313</v>
      </c>
      <c r="D1070" s="99" t="s">
        <v>638</v>
      </c>
      <c r="E1070" s="99" t="n">
        <v>0</v>
      </c>
      <c r="F1070" s="101" t="n">
        <v>0</v>
      </c>
      <c r="G1070" s="102" t="n">
        <f aca="false">IFERROR(F1070/INDEX($G$5:$G$34,MATCH(LOOKUP(2,1/($A$39:A1070&lt;&gt;""),$A$39:A1070),$A$5:$A$34,0)),0)</f>
        <v>0</v>
      </c>
      <c r="H1070" s="103" t="str">
        <f aca="false">IF(G1070=0,"空闲",IF(G1070&lt;=0.6,"低负荷",IF(G1070&lt;=0.85,"正常",IF(G1070&lt;=1,"满负荷","超负荷"))))</f>
        <v>空闲</v>
      </c>
      <c r="I1070" s="104" t="s">
        <v>638</v>
      </c>
      <c r="J1070" s="104"/>
      <c r="K1070" s="104"/>
      <c r="L1070" s="105" t="s">
        <v>639</v>
      </c>
    </row>
    <row r="1071" customFormat="false" ht="48" hidden="false" customHeight="true" outlineLevel="0" collapsed="false">
      <c r="A1071" s="99"/>
      <c r="B1071" s="100" t="n">
        <v>46314</v>
      </c>
      <c r="C1071" s="100" t="n">
        <v>46320</v>
      </c>
      <c r="D1071" s="99" t="s">
        <v>638</v>
      </c>
      <c r="E1071" s="99" t="n">
        <v>0</v>
      </c>
      <c r="F1071" s="101" t="n">
        <v>0</v>
      </c>
      <c r="G1071" s="102" t="n">
        <f aca="false">IFERROR(F1071/INDEX($G$5:$G$34,MATCH(LOOKUP(2,1/($A$39:A1071&lt;&gt;""),$A$39:A1071),$A$5:$A$34,0)),0)</f>
        <v>0</v>
      </c>
      <c r="H1071" s="103" t="str">
        <f aca="false">IF(G1071=0,"空闲",IF(G1071&lt;=0.6,"低负荷",IF(G1071&lt;=0.85,"正常",IF(G1071&lt;=1,"满负荷","超负荷"))))</f>
        <v>空闲</v>
      </c>
      <c r="I1071" s="104" t="s">
        <v>638</v>
      </c>
      <c r="J1071" s="104"/>
      <c r="K1071" s="104"/>
      <c r="L1071" s="105" t="s">
        <v>639</v>
      </c>
    </row>
    <row r="1072" customFormat="false" ht="48" hidden="false" customHeight="true" outlineLevel="0" collapsed="false">
      <c r="A1072" s="99"/>
      <c r="B1072" s="100" t="n">
        <v>46321</v>
      </c>
      <c r="C1072" s="100" t="n">
        <v>46327</v>
      </c>
      <c r="D1072" s="99" t="s">
        <v>638</v>
      </c>
      <c r="E1072" s="99" t="n">
        <v>0</v>
      </c>
      <c r="F1072" s="101" t="n">
        <v>0</v>
      </c>
      <c r="G1072" s="102" t="n">
        <f aca="false">IFERROR(F1072/INDEX($G$5:$G$34,MATCH(LOOKUP(2,1/($A$39:A1072&lt;&gt;""),$A$39:A1072),$A$5:$A$34,0)),0)</f>
        <v>0</v>
      </c>
      <c r="H1072" s="103" t="str">
        <f aca="false">IF(G1072=0,"空闲",IF(G1072&lt;=0.6,"低负荷",IF(G1072&lt;=0.85,"正常",IF(G1072&lt;=1,"满负荷","超负荷"))))</f>
        <v>空闲</v>
      </c>
      <c r="I1072" s="104" t="s">
        <v>638</v>
      </c>
      <c r="J1072" s="104"/>
      <c r="K1072" s="104"/>
      <c r="L1072" s="105" t="s">
        <v>639</v>
      </c>
    </row>
    <row r="1073" customFormat="false" ht="48" hidden="false" customHeight="true" outlineLevel="0" collapsed="false">
      <c r="A1073" s="99"/>
      <c r="B1073" s="100" t="n">
        <v>46328</v>
      </c>
      <c r="C1073" s="100" t="n">
        <v>46334</v>
      </c>
      <c r="D1073" s="99" t="s">
        <v>638</v>
      </c>
      <c r="E1073" s="99" t="n">
        <v>0</v>
      </c>
      <c r="F1073" s="101" t="n">
        <v>0</v>
      </c>
      <c r="G1073" s="102" t="n">
        <f aca="false">IFERROR(F1073/INDEX($G$5:$G$34,MATCH(LOOKUP(2,1/($A$39:A1073&lt;&gt;""),$A$39:A1073),$A$5:$A$34,0)),0)</f>
        <v>0</v>
      </c>
      <c r="H1073" s="103" t="str">
        <f aca="false">IF(G1073=0,"空闲",IF(G1073&lt;=0.6,"低负荷",IF(G1073&lt;=0.85,"正常",IF(G1073&lt;=1,"满负荷","超负荷"))))</f>
        <v>空闲</v>
      </c>
      <c r="I1073" s="104" t="s">
        <v>638</v>
      </c>
      <c r="J1073" s="104"/>
      <c r="K1073" s="104"/>
      <c r="L1073" s="105" t="s">
        <v>639</v>
      </c>
    </row>
    <row r="1074" customFormat="false" ht="48" hidden="false" customHeight="true" outlineLevel="0" collapsed="false">
      <c r="A1074" s="99"/>
      <c r="B1074" s="100" t="n">
        <v>46335</v>
      </c>
      <c r="C1074" s="100" t="n">
        <v>46341</v>
      </c>
      <c r="D1074" s="99" t="s">
        <v>638</v>
      </c>
      <c r="E1074" s="99" t="n">
        <v>0</v>
      </c>
      <c r="F1074" s="101" t="n">
        <v>0</v>
      </c>
      <c r="G1074" s="102" t="n">
        <f aca="false">IFERROR(F1074/INDEX($G$5:$G$34,MATCH(LOOKUP(2,1/($A$39:A1074&lt;&gt;""),$A$39:A1074),$A$5:$A$34,0)),0)</f>
        <v>0</v>
      </c>
      <c r="H1074" s="103" t="str">
        <f aca="false">IF(G1074=0,"空闲",IF(G1074&lt;=0.6,"低负荷",IF(G1074&lt;=0.85,"正常",IF(G1074&lt;=1,"满负荷","超负荷"))))</f>
        <v>空闲</v>
      </c>
      <c r="I1074" s="104" t="s">
        <v>638</v>
      </c>
      <c r="J1074" s="104"/>
      <c r="K1074" s="104"/>
      <c r="L1074" s="105" t="s">
        <v>639</v>
      </c>
    </row>
    <row r="1075" customFormat="false" ht="48" hidden="false" customHeight="true" outlineLevel="0" collapsed="false">
      <c r="A1075" s="99"/>
      <c r="B1075" s="100" t="n">
        <v>46342</v>
      </c>
      <c r="C1075" s="100" t="n">
        <v>46348</v>
      </c>
      <c r="D1075" s="99" t="s">
        <v>638</v>
      </c>
      <c r="E1075" s="99" t="n">
        <v>0</v>
      </c>
      <c r="F1075" s="101" t="n">
        <v>0</v>
      </c>
      <c r="G1075" s="102" t="n">
        <f aca="false">IFERROR(F1075/INDEX($G$5:$G$34,MATCH(LOOKUP(2,1/($A$39:A1075&lt;&gt;""),$A$39:A1075),$A$5:$A$34,0)),0)</f>
        <v>0</v>
      </c>
      <c r="H1075" s="103" t="str">
        <f aca="false">IF(G1075=0,"空闲",IF(G1075&lt;=0.6,"低负荷",IF(G1075&lt;=0.85,"正常",IF(G1075&lt;=1,"满负荷","超负荷"))))</f>
        <v>空闲</v>
      </c>
      <c r="I1075" s="104" t="s">
        <v>638</v>
      </c>
      <c r="J1075" s="104"/>
      <c r="K1075" s="104"/>
      <c r="L1075" s="105" t="s">
        <v>639</v>
      </c>
    </row>
    <row r="1076" customFormat="false" ht="48" hidden="false" customHeight="true" outlineLevel="0" collapsed="false">
      <c r="A1076" s="99"/>
      <c r="B1076" s="100" t="n">
        <v>46349</v>
      </c>
      <c r="C1076" s="100" t="n">
        <v>46355</v>
      </c>
      <c r="D1076" s="99" t="s">
        <v>640</v>
      </c>
      <c r="E1076" s="99" t="n">
        <v>1</v>
      </c>
      <c r="F1076" s="101" t="n">
        <v>40</v>
      </c>
      <c r="G1076" s="102" t="n">
        <f aca="false">IFERROR(F1076/INDEX($G$5:$G$34,MATCH(LOOKUP(2,1/($A$39:A1076&lt;&gt;""),$A$39:A1076),$A$5:$A$34,0)),0)</f>
        <v>1</v>
      </c>
      <c r="H1076" s="103" t="str">
        <f aca="false">IF(G1076=0,"空闲",IF(G1076&lt;=0.6,"低负荷",IF(G1076&lt;=0.85,"正常",IF(G1076&lt;=1,"满负荷","超负荷"))))</f>
        <v>满负荷</v>
      </c>
      <c r="I1076" s="106" t="s">
        <v>712</v>
      </c>
      <c r="J1076" s="106"/>
      <c r="K1076" s="106"/>
      <c r="L1076" s="105" t="s">
        <v>642</v>
      </c>
    </row>
    <row r="1077" customFormat="false" ht="48" hidden="false" customHeight="true" outlineLevel="0" collapsed="false">
      <c r="A1077" s="99"/>
      <c r="B1077" s="100" t="n">
        <v>46356</v>
      </c>
      <c r="C1077" s="100" t="n">
        <v>46362</v>
      </c>
      <c r="D1077" s="99" t="s">
        <v>640</v>
      </c>
      <c r="E1077" s="99" t="n">
        <v>1</v>
      </c>
      <c r="F1077" s="101" t="n">
        <v>40</v>
      </c>
      <c r="G1077" s="102" t="n">
        <f aca="false">IFERROR(F1077/INDEX($G$5:$G$34,MATCH(LOOKUP(2,1/($A$39:A1077&lt;&gt;""),$A$39:A1077),$A$5:$A$34,0)),0)</f>
        <v>1</v>
      </c>
      <c r="H1077" s="103" t="str">
        <f aca="false">IF(G1077=0,"空闲",IF(G1077&lt;=0.6,"低负荷",IF(G1077&lt;=0.85,"正常",IF(G1077&lt;=1,"满负荷","超负荷"))))</f>
        <v>满负荷</v>
      </c>
      <c r="I1077" s="106" t="s">
        <v>712</v>
      </c>
      <c r="J1077" s="106"/>
      <c r="K1077" s="106"/>
      <c r="L1077" s="105" t="s">
        <v>642</v>
      </c>
    </row>
    <row r="1078" customFormat="false" ht="48" hidden="false" customHeight="true" outlineLevel="0" collapsed="false">
      <c r="A1078" s="99"/>
      <c r="B1078" s="100" t="n">
        <v>46363</v>
      </c>
      <c r="C1078" s="100" t="n">
        <v>46369</v>
      </c>
      <c r="D1078" s="99" t="s">
        <v>640</v>
      </c>
      <c r="E1078" s="99" t="n">
        <v>6</v>
      </c>
      <c r="F1078" s="101" t="n">
        <v>40</v>
      </c>
      <c r="G1078" s="102" t="n">
        <f aca="false">IFERROR(F1078/INDEX($G$5:$G$34,MATCH(LOOKUP(2,1/($A$39:A1078&lt;&gt;""),$A$39:A1078),$A$5:$A$34,0)),0)</f>
        <v>1</v>
      </c>
      <c r="H1078" s="103" t="str">
        <f aca="false">IF(G1078=0,"空闲",IF(G1078&lt;=0.6,"低负荷",IF(G1078&lt;=0.85,"正常",IF(G1078&lt;=1,"满负荷","超负荷"))))</f>
        <v>满负荷</v>
      </c>
      <c r="I1078" s="106" t="s">
        <v>747</v>
      </c>
      <c r="J1078" s="106"/>
      <c r="K1078" s="106"/>
      <c r="L1078" s="105" t="s">
        <v>676</v>
      </c>
    </row>
    <row r="1079" customFormat="false" ht="48" hidden="false" customHeight="true" outlineLevel="0" collapsed="false">
      <c r="A1079" s="99"/>
      <c r="B1079" s="100" t="n">
        <v>46370</v>
      </c>
      <c r="C1079" s="100" t="n">
        <v>46376</v>
      </c>
      <c r="D1079" s="99" t="s">
        <v>640</v>
      </c>
      <c r="E1079" s="99" t="n">
        <v>6</v>
      </c>
      <c r="F1079" s="101" t="n">
        <v>40</v>
      </c>
      <c r="G1079" s="102" t="n">
        <f aca="false">IFERROR(F1079/INDEX($G$5:$G$34,MATCH(LOOKUP(2,1/($A$39:A1079&lt;&gt;""),$A$39:A1079),$A$5:$A$34,0)),0)</f>
        <v>1</v>
      </c>
      <c r="H1079" s="103" t="str">
        <f aca="false">IF(G1079=0,"空闲",IF(G1079&lt;=0.6,"低负荷",IF(G1079&lt;=0.85,"正常",IF(G1079&lt;=1,"满负荷","超负荷"))))</f>
        <v>满负荷</v>
      </c>
      <c r="I1079" s="106" t="s">
        <v>747</v>
      </c>
      <c r="J1079" s="106"/>
      <c r="K1079" s="106"/>
      <c r="L1079" s="105" t="s">
        <v>676</v>
      </c>
    </row>
    <row r="1080" customFormat="false" ht="48" hidden="false" customHeight="true" outlineLevel="0" collapsed="false">
      <c r="A1080" s="99"/>
      <c r="B1080" s="100" t="n">
        <v>46377</v>
      </c>
      <c r="C1080" s="100" t="n">
        <v>46383</v>
      </c>
      <c r="D1080" s="99" t="s">
        <v>640</v>
      </c>
      <c r="E1080" s="99" t="n">
        <v>6</v>
      </c>
      <c r="F1080" s="101" t="n">
        <v>40</v>
      </c>
      <c r="G1080" s="102" t="n">
        <f aca="false">IFERROR(F1080/INDEX($G$5:$G$34,MATCH(LOOKUP(2,1/($A$39:A1080&lt;&gt;""),$A$39:A1080),$A$5:$A$34,0)),0)</f>
        <v>1</v>
      </c>
      <c r="H1080" s="103" t="str">
        <f aca="false">IF(G1080=0,"空闲",IF(G1080&lt;=0.6,"低负荷",IF(G1080&lt;=0.85,"正常",IF(G1080&lt;=1,"满负荷","超负荷"))))</f>
        <v>满负荷</v>
      </c>
      <c r="I1080" s="106" t="s">
        <v>747</v>
      </c>
      <c r="J1080" s="106"/>
      <c r="K1080" s="106"/>
      <c r="L1080" s="105" t="s">
        <v>676</v>
      </c>
    </row>
    <row r="1081" customFormat="false" ht="48" hidden="false" customHeight="true" outlineLevel="0" collapsed="false">
      <c r="A1081" s="99"/>
      <c r="B1081" s="100" t="n">
        <v>46384</v>
      </c>
      <c r="C1081" s="100" t="n">
        <v>46390</v>
      </c>
      <c r="D1081" s="99" t="s">
        <v>640</v>
      </c>
      <c r="E1081" s="99" t="n">
        <v>5</v>
      </c>
      <c r="F1081" s="101" t="n">
        <v>40</v>
      </c>
      <c r="G1081" s="102" t="n">
        <f aca="false">IFERROR(F1081/INDEX($G$5:$G$34,MATCH(LOOKUP(2,1/($A$39:A1081&lt;&gt;""),$A$39:A1081),$A$5:$A$34,0)),0)</f>
        <v>1</v>
      </c>
      <c r="H1081" s="103" t="str">
        <f aca="false">IF(G1081=0,"空闲",IF(G1081&lt;=0.6,"低负荷",IF(G1081&lt;=0.85,"正常",IF(G1081&lt;=1,"满负荷","超负荷"))))</f>
        <v>满负荷</v>
      </c>
      <c r="I1081" s="106" t="s">
        <v>748</v>
      </c>
      <c r="J1081" s="106"/>
      <c r="K1081" s="106"/>
      <c r="L1081" s="105" t="s">
        <v>717</v>
      </c>
    </row>
    <row r="1082" customFormat="false" ht="48" hidden="false" customHeight="true" outlineLevel="0" collapsed="false">
      <c r="A1082" s="99"/>
      <c r="B1082" s="100" t="n">
        <v>46391</v>
      </c>
      <c r="C1082" s="100" t="n">
        <v>46397</v>
      </c>
      <c r="D1082" s="99" t="s">
        <v>640</v>
      </c>
      <c r="E1082" s="99" t="n">
        <v>5</v>
      </c>
      <c r="F1082" s="101" t="n">
        <v>40</v>
      </c>
      <c r="G1082" s="102" t="n">
        <f aca="false">IFERROR(F1082/INDEX($G$5:$G$34,MATCH(LOOKUP(2,1/($A$39:A1082&lt;&gt;""),$A$39:A1082),$A$5:$A$34,0)),0)</f>
        <v>1</v>
      </c>
      <c r="H1082" s="103" t="str">
        <f aca="false">IF(G1082=0,"空闲",IF(G1082&lt;=0.6,"低负荷",IF(G1082&lt;=0.85,"正常",IF(G1082&lt;=1,"满负荷","超负荷"))))</f>
        <v>满负荷</v>
      </c>
      <c r="I1082" s="106" t="s">
        <v>748</v>
      </c>
      <c r="J1082" s="106"/>
      <c r="K1082" s="106"/>
      <c r="L1082" s="105" t="s">
        <v>717</v>
      </c>
    </row>
    <row r="1083" customFormat="false" ht="48" hidden="false" customHeight="true" outlineLevel="0" collapsed="false">
      <c r="A1083" s="99"/>
      <c r="B1083" s="100" t="n">
        <v>46398</v>
      </c>
      <c r="C1083" s="100" t="n">
        <v>46404</v>
      </c>
      <c r="D1083" s="99" t="s">
        <v>640</v>
      </c>
      <c r="E1083" s="99" t="n">
        <v>5</v>
      </c>
      <c r="F1083" s="101" t="n">
        <v>40</v>
      </c>
      <c r="G1083" s="102" t="n">
        <f aca="false">IFERROR(F1083/INDEX($G$5:$G$34,MATCH(LOOKUP(2,1/($A$39:A1083&lt;&gt;""),$A$39:A1083),$A$5:$A$34,0)),0)</f>
        <v>1</v>
      </c>
      <c r="H1083" s="103" t="str">
        <f aca="false">IF(G1083=0,"空闲",IF(G1083&lt;=0.6,"低负荷",IF(G1083&lt;=0.85,"正常",IF(G1083&lt;=1,"满负荷","超负荷"))))</f>
        <v>满负荷</v>
      </c>
      <c r="I1083" s="106" t="s">
        <v>748</v>
      </c>
      <c r="J1083" s="106"/>
      <c r="K1083" s="106"/>
      <c r="L1083" s="105" t="s">
        <v>717</v>
      </c>
    </row>
    <row r="1084" customFormat="false" ht="48" hidden="false" customHeight="true" outlineLevel="0" collapsed="false">
      <c r="A1084" s="99"/>
      <c r="B1084" s="100" t="n">
        <v>46405</v>
      </c>
      <c r="C1084" s="100" t="n">
        <v>46411</v>
      </c>
      <c r="D1084" s="99" t="s">
        <v>640</v>
      </c>
      <c r="E1084" s="99" t="n">
        <v>5</v>
      </c>
      <c r="F1084" s="101" t="n">
        <v>40</v>
      </c>
      <c r="G1084" s="102" t="n">
        <f aca="false">IFERROR(F1084/INDEX($G$5:$G$34,MATCH(LOOKUP(2,1/($A$39:A1084&lt;&gt;""),$A$39:A1084),$A$5:$A$34,0)),0)</f>
        <v>1</v>
      </c>
      <c r="H1084" s="103" t="str">
        <f aca="false">IF(G1084=0,"空闲",IF(G1084&lt;=0.6,"低负荷",IF(G1084&lt;=0.85,"正常",IF(G1084&lt;=1,"满负荷","超负荷"))))</f>
        <v>满负荷</v>
      </c>
      <c r="I1084" s="106" t="s">
        <v>748</v>
      </c>
      <c r="J1084" s="106"/>
      <c r="K1084" s="106"/>
      <c r="L1084" s="105" t="s">
        <v>717</v>
      </c>
    </row>
    <row r="1085" customFormat="false" ht="48" hidden="false" customHeight="true" outlineLevel="0" collapsed="false">
      <c r="A1085" s="99"/>
      <c r="B1085" s="100" t="n">
        <v>46412</v>
      </c>
      <c r="C1085" s="100" t="n">
        <v>46418</v>
      </c>
      <c r="D1085" s="99" t="s">
        <v>640</v>
      </c>
      <c r="E1085" s="99" t="n">
        <v>5</v>
      </c>
      <c r="F1085" s="101" t="n">
        <v>40</v>
      </c>
      <c r="G1085" s="102" t="n">
        <f aca="false">IFERROR(F1085/INDEX($G$5:$G$34,MATCH(LOOKUP(2,1/($A$39:A1085&lt;&gt;""),$A$39:A1085),$A$5:$A$34,0)),0)</f>
        <v>1</v>
      </c>
      <c r="H1085" s="103" t="str">
        <f aca="false">IF(G1085=0,"空闲",IF(G1085&lt;=0.6,"低负荷",IF(G1085&lt;=0.85,"正常",IF(G1085&lt;=1,"满负荷","超负荷"))))</f>
        <v>满负荷</v>
      </c>
      <c r="I1085" s="106" t="s">
        <v>748</v>
      </c>
      <c r="J1085" s="106"/>
      <c r="K1085" s="106"/>
      <c r="L1085" s="105" t="s">
        <v>717</v>
      </c>
    </row>
    <row r="1086" customFormat="false" ht="48" hidden="false" customHeight="true" outlineLevel="0" collapsed="false">
      <c r="A1086" s="99"/>
      <c r="B1086" s="100" t="n">
        <v>46419</v>
      </c>
      <c r="C1086" s="100" t="n">
        <v>46425</v>
      </c>
      <c r="D1086" s="99" t="s">
        <v>640</v>
      </c>
      <c r="E1086" s="99" t="n">
        <v>5</v>
      </c>
      <c r="F1086" s="101" t="n">
        <v>40</v>
      </c>
      <c r="G1086" s="102" t="n">
        <f aca="false">IFERROR(F1086/INDEX($G$5:$G$34,MATCH(LOOKUP(2,1/($A$39:A1086&lt;&gt;""),$A$39:A1086),$A$5:$A$34,0)),0)</f>
        <v>1</v>
      </c>
      <c r="H1086" s="103" t="str">
        <f aca="false">IF(G1086=0,"空闲",IF(G1086&lt;=0.6,"低负荷",IF(G1086&lt;=0.85,"正常",IF(G1086&lt;=1,"满负荷","超负荷"))))</f>
        <v>满负荷</v>
      </c>
      <c r="I1086" s="106" t="s">
        <v>748</v>
      </c>
      <c r="J1086" s="106"/>
      <c r="K1086" s="106"/>
      <c r="L1086" s="105" t="s">
        <v>717</v>
      </c>
    </row>
    <row r="1087" customFormat="false" ht="48" hidden="false" customHeight="true" outlineLevel="0" collapsed="false">
      <c r="A1087" s="99"/>
      <c r="B1087" s="100" t="n">
        <v>46426</v>
      </c>
      <c r="C1087" s="100" t="n">
        <v>46432</v>
      </c>
      <c r="D1087" s="99" t="s">
        <v>640</v>
      </c>
      <c r="E1087" s="99" t="n">
        <v>5</v>
      </c>
      <c r="F1087" s="101" t="n">
        <v>40</v>
      </c>
      <c r="G1087" s="102" t="n">
        <f aca="false">IFERROR(F1087/INDEX($G$5:$G$34,MATCH(LOOKUP(2,1/($A$39:A1087&lt;&gt;""),$A$39:A1087),$A$5:$A$34,0)),0)</f>
        <v>1</v>
      </c>
      <c r="H1087" s="103" t="str">
        <f aca="false">IF(G1087=0,"空闲",IF(G1087&lt;=0.6,"低负荷",IF(G1087&lt;=0.85,"正常",IF(G1087&lt;=1,"满负荷","超负荷"))))</f>
        <v>满负荷</v>
      </c>
      <c r="I1087" s="106" t="s">
        <v>748</v>
      </c>
      <c r="J1087" s="106"/>
      <c r="K1087" s="106"/>
      <c r="L1087" s="105" t="s">
        <v>717</v>
      </c>
    </row>
    <row r="1088" customFormat="false" ht="48" hidden="false" customHeight="true" outlineLevel="0" collapsed="false">
      <c r="A1088" s="99"/>
      <c r="B1088" s="100" t="n">
        <v>46433</v>
      </c>
      <c r="C1088" s="100" t="n">
        <v>46439</v>
      </c>
      <c r="D1088" s="99" t="s">
        <v>638</v>
      </c>
      <c r="E1088" s="99" t="n">
        <v>0</v>
      </c>
      <c r="F1088" s="101" t="n">
        <v>0</v>
      </c>
      <c r="G1088" s="102" t="n">
        <f aca="false">IFERROR(F1088/INDEX($G$5:$G$34,MATCH(LOOKUP(2,1/($A$39:A1088&lt;&gt;""),$A$39:A1088),$A$5:$A$34,0)),0)</f>
        <v>0</v>
      </c>
      <c r="H1088" s="103" t="str">
        <f aca="false">IF(G1088=0,"空闲",IF(G1088&lt;=0.6,"低负荷",IF(G1088&lt;=0.85,"正常",IF(G1088&lt;=1,"满负荷","超负荷"))))</f>
        <v>空闲</v>
      </c>
      <c r="I1088" s="104" t="s">
        <v>638</v>
      </c>
      <c r="J1088" s="104"/>
      <c r="K1088" s="104"/>
      <c r="L1088" s="105" t="s">
        <v>639</v>
      </c>
    </row>
    <row r="1089" customFormat="false" ht="48" hidden="false" customHeight="true" outlineLevel="0" collapsed="false">
      <c r="A1089" s="99"/>
      <c r="B1089" s="100" t="n">
        <v>46440</v>
      </c>
      <c r="C1089" s="100" t="n">
        <v>46446</v>
      </c>
      <c r="D1089" s="99" t="s">
        <v>638</v>
      </c>
      <c r="E1089" s="99" t="n">
        <v>0</v>
      </c>
      <c r="F1089" s="101" t="n">
        <v>0</v>
      </c>
      <c r="G1089" s="102" t="n">
        <f aca="false">IFERROR(F1089/INDEX($G$5:$G$34,MATCH(LOOKUP(2,1/($A$39:A1089&lt;&gt;""),$A$39:A1089),$A$5:$A$34,0)),0)</f>
        <v>0</v>
      </c>
      <c r="H1089" s="103" t="str">
        <f aca="false">IF(G1089=0,"空闲",IF(G1089&lt;=0.6,"低负荷",IF(G1089&lt;=0.85,"正常",IF(G1089&lt;=1,"满负荷","超负荷"))))</f>
        <v>空闲</v>
      </c>
      <c r="I1089" s="104" t="s">
        <v>638</v>
      </c>
      <c r="J1089" s="104"/>
      <c r="K1089" s="104"/>
      <c r="L1089" s="105" t="s">
        <v>639</v>
      </c>
    </row>
    <row r="1090" customFormat="false" ht="48" hidden="false" customHeight="true" outlineLevel="0" collapsed="false">
      <c r="A1090" s="99"/>
      <c r="B1090" s="100" t="n">
        <v>46447</v>
      </c>
      <c r="C1090" s="100" t="n">
        <v>46453</v>
      </c>
      <c r="D1090" s="99" t="s">
        <v>638</v>
      </c>
      <c r="E1090" s="99" t="n">
        <v>0</v>
      </c>
      <c r="F1090" s="101" t="n">
        <v>0</v>
      </c>
      <c r="G1090" s="102" t="n">
        <f aca="false">IFERROR(F1090/INDEX($G$5:$G$34,MATCH(LOOKUP(2,1/($A$39:A1090&lt;&gt;""),$A$39:A1090),$A$5:$A$34,0)),0)</f>
        <v>0</v>
      </c>
      <c r="H1090" s="103" t="str">
        <f aca="false">IF(G1090=0,"空闲",IF(G1090&lt;=0.6,"低负荷",IF(G1090&lt;=0.85,"正常",IF(G1090&lt;=1,"满负荷","超负荷"))))</f>
        <v>空闲</v>
      </c>
      <c r="I1090" s="104" t="s">
        <v>638</v>
      </c>
      <c r="J1090" s="104"/>
      <c r="K1090" s="104"/>
      <c r="L1090" s="105" t="s">
        <v>639</v>
      </c>
    </row>
    <row r="1091" customFormat="false" ht="48" hidden="false" customHeight="true" outlineLevel="0" collapsed="false">
      <c r="A1091" s="99"/>
      <c r="B1091" s="100" t="n">
        <v>46454</v>
      </c>
      <c r="C1091" s="100" t="n">
        <v>46460</v>
      </c>
      <c r="D1091" s="99" t="s">
        <v>638</v>
      </c>
      <c r="E1091" s="99" t="n">
        <v>0</v>
      </c>
      <c r="F1091" s="101" t="n">
        <v>0</v>
      </c>
      <c r="G1091" s="102" t="n">
        <f aca="false">IFERROR(F1091/INDEX($G$5:$G$34,MATCH(LOOKUP(2,1/($A$39:A1091&lt;&gt;""),$A$39:A1091),$A$5:$A$34,0)),0)</f>
        <v>0</v>
      </c>
      <c r="H1091" s="103" t="str">
        <f aca="false">IF(G1091=0,"空闲",IF(G1091&lt;=0.6,"低负荷",IF(G1091&lt;=0.85,"正常",IF(G1091&lt;=1,"满负荷","超负荷"))))</f>
        <v>空闲</v>
      </c>
      <c r="I1091" s="104" t="s">
        <v>638</v>
      </c>
      <c r="J1091" s="104"/>
      <c r="K1091" s="104"/>
      <c r="L1091" s="105" t="s">
        <v>639</v>
      </c>
    </row>
    <row r="1092" customFormat="false" ht="48" hidden="false" customHeight="true" outlineLevel="0" collapsed="false">
      <c r="A1092" s="99"/>
      <c r="B1092" s="100" t="n">
        <v>46461</v>
      </c>
      <c r="C1092" s="100" t="n">
        <v>46467</v>
      </c>
      <c r="D1092" s="99" t="s">
        <v>638</v>
      </c>
      <c r="E1092" s="99" t="n">
        <v>0</v>
      </c>
      <c r="F1092" s="101" t="n">
        <v>0</v>
      </c>
      <c r="G1092" s="102" t="n">
        <f aca="false">IFERROR(F1092/INDEX($G$5:$G$34,MATCH(LOOKUP(2,1/($A$39:A1092&lt;&gt;""),$A$39:A1092),$A$5:$A$34,0)),0)</f>
        <v>0</v>
      </c>
      <c r="H1092" s="103" t="str">
        <f aca="false">IF(G1092=0,"空闲",IF(G1092&lt;=0.6,"低负荷",IF(G1092&lt;=0.85,"正常",IF(G1092&lt;=1,"满负荷","超负荷"))))</f>
        <v>空闲</v>
      </c>
      <c r="I1092" s="104" t="s">
        <v>638</v>
      </c>
      <c r="J1092" s="104"/>
      <c r="K1092" s="104"/>
      <c r="L1092" s="105" t="s">
        <v>639</v>
      </c>
    </row>
    <row r="1093" customFormat="false" ht="48" hidden="false" customHeight="true" outlineLevel="0" collapsed="false">
      <c r="A1093" s="99"/>
      <c r="B1093" s="100" t="n">
        <v>46468</v>
      </c>
      <c r="C1093" s="100" t="n">
        <v>46474</v>
      </c>
      <c r="D1093" s="99" t="s">
        <v>638</v>
      </c>
      <c r="E1093" s="99" t="n">
        <v>0</v>
      </c>
      <c r="F1093" s="101" t="n">
        <v>0</v>
      </c>
      <c r="G1093" s="102" t="n">
        <f aca="false">IFERROR(F1093/INDEX($G$5:$G$34,MATCH(LOOKUP(2,1/($A$39:A1093&lt;&gt;""),$A$39:A1093),$A$5:$A$34,0)),0)</f>
        <v>0</v>
      </c>
      <c r="H1093" s="103" t="str">
        <f aca="false">IF(G1093=0,"空闲",IF(G1093&lt;=0.6,"低负荷",IF(G1093&lt;=0.85,"正常",IF(G1093&lt;=1,"满负荷","超负荷"))))</f>
        <v>空闲</v>
      </c>
      <c r="I1093" s="104" t="s">
        <v>638</v>
      </c>
      <c r="J1093" s="104"/>
      <c r="K1093" s="104"/>
      <c r="L1093" s="105" t="s">
        <v>639</v>
      </c>
    </row>
    <row r="1094" customFormat="false" ht="48" hidden="false" customHeight="true" outlineLevel="0" collapsed="false">
      <c r="A1094" s="99"/>
      <c r="B1094" s="100" t="n">
        <v>46475</v>
      </c>
      <c r="C1094" s="100" t="n">
        <v>46481</v>
      </c>
      <c r="D1094" s="99" t="s">
        <v>638</v>
      </c>
      <c r="E1094" s="99" t="n">
        <v>0</v>
      </c>
      <c r="F1094" s="101" t="n">
        <v>0</v>
      </c>
      <c r="G1094" s="102" t="n">
        <f aca="false">IFERROR(F1094/INDEX($G$5:$G$34,MATCH(LOOKUP(2,1/($A$39:A1094&lt;&gt;""),$A$39:A1094),$A$5:$A$34,0)),0)</f>
        <v>0</v>
      </c>
      <c r="H1094" s="103" t="str">
        <f aca="false">IF(G1094=0,"空闲",IF(G1094&lt;=0.6,"低负荷",IF(G1094&lt;=0.85,"正常",IF(G1094&lt;=1,"满负荷","超负荷"))))</f>
        <v>空闲</v>
      </c>
      <c r="I1094" s="104" t="s">
        <v>638</v>
      </c>
      <c r="J1094" s="104"/>
      <c r="K1094" s="104"/>
      <c r="L1094" s="105" t="s">
        <v>639</v>
      </c>
    </row>
    <row r="1095" customFormat="false" ht="48" hidden="false" customHeight="true" outlineLevel="0" collapsed="false">
      <c r="A1095" s="99"/>
      <c r="B1095" s="100" t="n">
        <v>46482</v>
      </c>
      <c r="C1095" s="100" t="n">
        <v>46488</v>
      </c>
      <c r="D1095" s="99" t="s">
        <v>638</v>
      </c>
      <c r="E1095" s="99" t="n">
        <v>0</v>
      </c>
      <c r="F1095" s="101" t="n">
        <v>0</v>
      </c>
      <c r="G1095" s="102" t="n">
        <f aca="false">IFERROR(F1095/INDEX($G$5:$G$34,MATCH(LOOKUP(2,1/($A$39:A1095&lt;&gt;""),$A$39:A1095),$A$5:$A$34,0)),0)</f>
        <v>0</v>
      </c>
      <c r="H1095" s="103" t="str">
        <f aca="false">IF(G1095=0,"空闲",IF(G1095&lt;=0.6,"低负荷",IF(G1095&lt;=0.85,"正常",IF(G1095&lt;=1,"满负荷","超负荷"))))</f>
        <v>空闲</v>
      </c>
      <c r="I1095" s="104" t="s">
        <v>638</v>
      </c>
      <c r="J1095" s="104"/>
      <c r="K1095" s="104"/>
      <c r="L1095" s="105" t="s">
        <v>639</v>
      </c>
    </row>
    <row r="1096" customFormat="false" ht="48" hidden="false" customHeight="true" outlineLevel="0" collapsed="false">
      <c r="A1096" s="99"/>
      <c r="B1096" s="100" t="n">
        <v>46489</v>
      </c>
      <c r="C1096" s="100" t="n">
        <v>46495</v>
      </c>
      <c r="D1096" s="99" t="s">
        <v>638</v>
      </c>
      <c r="E1096" s="99" t="n">
        <v>0</v>
      </c>
      <c r="F1096" s="101" t="n">
        <v>0</v>
      </c>
      <c r="G1096" s="102" t="n">
        <f aca="false">IFERROR(F1096/INDEX($G$5:$G$34,MATCH(LOOKUP(2,1/($A$39:A1096&lt;&gt;""),$A$39:A1096),$A$5:$A$34,0)),0)</f>
        <v>0</v>
      </c>
      <c r="H1096" s="103" t="str">
        <f aca="false">IF(G1096=0,"空闲",IF(G1096&lt;=0.6,"低负荷",IF(G1096&lt;=0.85,"正常",IF(G1096&lt;=1,"满负荷","超负荷"))))</f>
        <v>空闲</v>
      </c>
      <c r="I1096" s="104" t="s">
        <v>638</v>
      </c>
      <c r="J1096" s="104"/>
      <c r="K1096" s="104"/>
      <c r="L1096" s="105" t="s">
        <v>639</v>
      </c>
    </row>
    <row r="1097" customFormat="false" ht="48" hidden="false" customHeight="true" outlineLevel="0" collapsed="false">
      <c r="A1097" s="99"/>
      <c r="B1097" s="100" t="n">
        <v>46496</v>
      </c>
      <c r="C1097" s="100" t="n">
        <v>46502</v>
      </c>
      <c r="D1097" s="99" t="s">
        <v>638</v>
      </c>
      <c r="E1097" s="99" t="n">
        <v>0</v>
      </c>
      <c r="F1097" s="101" t="n">
        <v>0</v>
      </c>
      <c r="G1097" s="102" t="n">
        <f aca="false">IFERROR(F1097/INDEX($G$5:$G$34,MATCH(LOOKUP(2,1/($A$39:A1097&lt;&gt;""),$A$39:A1097),$A$5:$A$34,0)),0)</f>
        <v>0</v>
      </c>
      <c r="H1097" s="103" t="str">
        <f aca="false">IF(G1097=0,"空闲",IF(G1097&lt;=0.6,"低负荷",IF(G1097&lt;=0.85,"正常",IF(G1097&lt;=1,"满负荷","超负荷"))))</f>
        <v>空闲</v>
      </c>
      <c r="I1097" s="104" t="s">
        <v>638</v>
      </c>
      <c r="J1097" s="104"/>
      <c r="K1097" s="104"/>
      <c r="L1097" s="105" t="s">
        <v>639</v>
      </c>
    </row>
    <row r="1098" customFormat="false" ht="48" hidden="false" customHeight="true" outlineLevel="0" collapsed="false">
      <c r="A1098" s="99"/>
      <c r="B1098" s="100" t="n">
        <v>46503</v>
      </c>
      <c r="C1098" s="100" t="n">
        <v>46509</v>
      </c>
      <c r="D1098" s="99" t="s">
        <v>638</v>
      </c>
      <c r="E1098" s="99" t="n">
        <v>0</v>
      </c>
      <c r="F1098" s="101" t="n">
        <v>0</v>
      </c>
      <c r="G1098" s="102" t="n">
        <f aca="false">IFERROR(F1098/INDEX($G$5:$G$34,MATCH(LOOKUP(2,1/($A$39:A1098&lt;&gt;""),$A$39:A1098),$A$5:$A$34,0)),0)</f>
        <v>0</v>
      </c>
      <c r="H1098" s="103" t="str">
        <f aca="false">IF(G1098=0,"空闲",IF(G1098&lt;=0.6,"低负荷",IF(G1098&lt;=0.85,"正常",IF(G1098&lt;=1,"满负荷","超负荷"))))</f>
        <v>空闲</v>
      </c>
      <c r="I1098" s="104" t="s">
        <v>638</v>
      </c>
      <c r="J1098" s="104"/>
      <c r="K1098" s="104"/>
      <c r="L1098" s="105" t="s">
        <v>639</v>
      </c>
    </row>
    <row r="1099" customFormat="false" ht="48" hidden="false" customHeight="true" outlineLevel="0" collapsed="false">
      <c r="A1099" s="99"/>
      <c r="B1099" s="100" t="n">
        <v>46510</v>
      </c>
      <c r="C1099" s="100" t="n">
        <v>46516</v>
      </c>
      <c r="D1099" s="99" t="s">
        <v>638</v>
      </c>
      <c r="E1099" s="99" t="n">
        <v>0</v>
      </c>
      <c r="F1099" s="101" t="n">
        <v>0</v>
      </c>
      <c r="G1099" s="102" t="n">
        <f aca="false">IFERROR(F1099/INDEX($G$5:$G$34,MATCH(LOOKUP(2,1/($A$39:A1099&lt;&gt;""),$A$39:A1099),$A$5:$A$34,0)),0)</f>
        <v>0</v>
      </c>
      <c r="H1099" s="103" t="str">
        <f aca="false">IF(G1099=0,"空闲",IF(G1099&lt;=0.6,"低负荷",IF(G1099&lt;=0.85,"正常",IF(G1099&lt;=1,"满负荷","超负荷"))))</f>
        <v>空闲</v>
      </c>
      <c r="I1099" s="104" t="s">
        <v>638</v>
      </c>
      <c r="J1099" s="104"/>
      <c r="K1099" s="104"/>
      <c r="L1099" s="105" t="s">
        <v>639</v>
      </c>
    </row>
    <row r="1100" customFormat="false" ht="48" hidden="false" customHeight="true" outlineLevel="0" collapsed="false">
      <c r="A1100" s="99"/>
      <c r="B1100" s="100" t="n">
        <v>46517</v>
      </c>
      <c r="C1100" s="100" t="n">
        <v>46523</v>
      </c>
      <c r="D1100" s="99" t="s">
        <v>638</v>
      </c>
      <c r="E1100" s="99" t="n">
        <v>0</v>
      </c>
      <c r="F1100" s="101" t="n">
        <v>0</v>
      </c>
      <c r="G1100" s="102" t="n">
        <f aca="false">IFERROR(F1100/INDEX($G$5:$G$34,MATCH(LOOKUP(2,1/($A$39:A1100&lt;&gt;""),$A$39:A1100),$A$5:$A$34,0)),0)</f>
        <v>0</v>
      </c>
      <c r="H1100" s="103" t="str">
        <f aca="false">IF(G1100=0,"空闲",IF(G1100&lt;=0.6,"低负荷",IF(G1100&lt;=0.85,"正常",IF(G1100&lt;=1,"满负荷","超负荷"))))</f>
        <v>空闲</v>
      </c>
      <c r="I1100" s="104" t="s">
        <v>638</v>
      </c>
      <c r="J1100" s="104"/>
      <c r="K1100" s="104"/>
      <c r="L1100" s="105" t="s">
        <v>639</v>
      </c>
    </row>
    <row r="1101" customFormat="false" ht="48" hidden="false" customHeight="true" outlineLevel="0" collapsed="false">
      <c r="A1101" s="99"/>
      <c r="B1101" s="100" t="n">
        <v>46524</v>
      </c>
      <c r="C1101" s="100" t="n">
        <v>46530</v>
      </c>
      <c r="D1101" s="99" t="s">
        <v>638</v>
      </c>
      <c r="E1101" s="99" t="n">
        <v>0</v>
      </c>
      <c r="F1101" s="101" t="n">
        <v>0</v>
      </c>
      <c r="G1101" s="102" t="n">
        <f aca="false">IFERROR(F1101/INDEX($G$5:$G$34,MATCH(LOOKUP(2,1/($A$39:A1101&lt;&gt;""),$A$39:A1101),$A$5:$A$34,0)),0)</f>
        <v>0</v>
      </c>
      <c r="H1101" s="103" t="str">
        <f aca="false">IF(G1101=0,"空闲",IF(G1101&lt;=0.6,"低负荷",IF(G1101&lt;=0.85,"正常",IF(G1101&lt;=1,"满负荷","超负荷"))))</f>
        <v>空闲</v>
      </c>
      <c r="I1101" s="104" t="s">
        <v>638</v>
      </c>
      <c r="J1101" s="104"/>
      <c r="K1101" s="104"/>
      <c r="L1101" s="105" t="s">
        <v>639</v>
      </c>
    </row>
    <row r="1102" customFormat="false" ht="48" hidden="false" customHeight="true" outlineLevel="0" collapsed="false">
      <c r="A1102" s="99"/>
      <c r="B1102" s="100" t="n">
        <v>46531</v>
      </c>
      <c r="C1102" s="100" t="n">
        <v>46537</v>
      </c>
      <c r="D1102" s="99" t="s">
        <v>638</v>
      </c>
      <c r="E1102" s="99" t="n">
        <v>0</v>
      </c>
      <c r="F1102" s="101" t="n">
        <v>0</v>
      </c>
      <c r="G1102" s="102" t="n">
        <f aca="false">IFERROR(F1102/INDEX($G$5:$G$34,MATCH(LOOKUP(2,1/($A$39:A1102&lt;&gt;""),$A$39:A1102),$A$5:$A$34,0)),0)</f>
        <v>0</v>
      </c>
      <c r="H1102" s="103" t="str">
        <f aca="false">IF(G1102=0,"空闲",IF(G1102&lt;=0.6,"低负荷",IF(G1102&lt;=0.85,"正常",IF(G1102&lt;=1,"满负荷","超负荷"))))</f>
        <v>空闲</v>
      </c>
      <c r="I1102" s="104" t="s">
        <v>638</v>
      </c>
      <c r="J1102" s="104"/>
      <c r="K1102" s="104"/>
      <c r="L1102" s="105" t="s">
        <v>639</v>
      </c>
    </row>
    <row r="1103" customFormat="false" ht="48" hidden="false" customHeight="true" outlineLevel="0" collapsed="false">
      <c r="A1103" s="99"/>
      <c r="B1103" s="100" t="n">
        <v>46538</v>
      </c>
      <c r="C1103" s="100" t="n">
        <v>46544</v>
      </c>
      <c r="D1103" s="99" t="s">
        <v>638</v>
      </c>
      <c r="E1103" s="99" t="n">
        <v>0</v>
      </c>
      <c r="F1103" s="101" t="n">
        <v>0</v>
      </c>
      <c r="G1103" s="102" t="n">
        <f aca="false">IFERROR(F1103/INDEX($G$5:$G$34,MATCH(LOOKUP(2,1/($A$39:A1103&lt;&gt;""),$A$39:A1103),$A$5:$A$34,0)),0)</f>
        <v>0</v>
      </c>
      <c r="H1103" s="103" t="str">
        <f aca="false">IF(G1103=0,"空闲",IF(G1103&lt;=0.6,"低负荷",IF(G1103&lt;=0.85,"正常",IF(G1103&lt;=1,"满负荷","超负荷"))))</f>
        <v>空闲</v>
      </c>
      <c r="I1103" s="104" t="s">
        <v>638</v>
      </c>
      <c r="J1103" s="104"/>
      <c r="K1103" s="104"/>
      <c r="L1103" s="105" t="s">
        <v>639</v>
      </c>
    </row>
    <row r="1104" customFormat="false" ht="48" hidden="false" customHeight="true" outlineLevel="0" collapsed="false">
      <c r="A1104" s="99" t="s">
        <v>585</v>
      </c>
      <c r="B1104" s="100" t="n">
        <v>46048</v>
      </c>
      <c r="C1104" s="100" t="n">
        <v>46054</v>
      </c>
      <c r="D1104" s="99" t="s">
        <v>638</v>
      </c>
      <c r="E1104" s="99" t="n">
        <v>0</v>
      </c>
      <c r="F1104" s="101" t="n">
        <v>0</v>
      </c>
      <c r="G1104" s="102" t="n">
        <f aca="false">IFERROR(F1104/INDEX($G$5:$G$34,MATCH(LOOKUP(2,1/($A$39:A1104&lt;&gt;""),$A$39:A1104),$A$5:$A$34,0)),0)</f>
        <v>0</v>
      </c>
      <c r="H1104" s="103" t="str">
        <f aca="false">IF(G1104=0,"空闲",IF(G1104&lt;=0.6,"低负荷",IF(G1104&lt;=0.85,"正常",IF(G1104&lt;=1,"满负荷","超负荷"))))</f>
        <v>空闲</v>
      </c>
      <c r="I1104" s="104" t="s">
        <v>638</v>
      </c>
      <c r="J1104" s="104"/>
      <c r="K1104" s="104"/>
      <c r="L1104" s="105" t="s">
        <v>639</v>
      </c>
    </row>
    <row r="1105" customFormat="false" ht="48" hidden="false" customHeight="true" outlineLevel="0" collapsed="false">
      <c r="A1105" s="99"/>
      <c r="B1105" s="100" t="n">
        <v>46055</v>
      </c>
      <c r="C1105" s="100" t="n">
        <v>46061</v>
      </c>
      <c r="D1105" s="99" t="s">
        <v>638</v>
      </c>
      <c r="E1105" s="99" t="n">
        <v>0</v>
      </c>
      <c r="F1105" s="101" t="n">
        <v>0</v>
      </c>
      <c r="G1105" s="102" t="n">
        <f aca="false">IFERROR(F1105/INDEX($G$5:$G$34,MATCH(LOOKUP(2,1/($A$39:A1105&lt;&gt;""),$A$39:A1105),$A$5:$A$34,0)),0)</f>
        <v>0</v>
      </c>
      <c r="H1105" s="103" t="str">
        <f aca="false">IF(G1105=0,"空闲",IF(G1105&lt;=0.6,"低负荷",IF(G1105&lt;=0.85,"正常",IF(G1105&lt;=1,"满负荷","超负荷"))))</f>
        <v>空闲</v>
      </c>
      <c r="I1105" s="104" t="s">
        <v>638</v>
      </c>
      <c r="J1105" s="104"/>
      <c r="K1105" s="104"/>
      <c r="L1105" s="105" t="s">
        <v>639</v>
      </c>
    </row>
    <row r="1106" customFormat="false" ht="48" hidden="false" customHeight="true" outlineLevel="0" collapsed="false">
      <c r="A1106" s="99"/>
      <c r="B1106" s="100" t="n">
        <v>46062</v>
      </c>
      <c r="C1106" s="100" t="n">
        <v>46068</v>
      </c>
      <c r="D1106" s="99" t="s">
        <v>638</v>
      </c>
      <c r="E1106" s="99" t="n">
        <v>0</v>
      </c>
      <c r="F1106" s="101" t="n">
        <v>0</v>
      </c>
      <c r="G1106" s="102" t="n">
        <f aca="false">IFERROR(F1106/INDEX($G$5:$G$34,MATCH(LOOKUP(2,1/($A$39:A1106&lt;&gt;""),$A$39:A1106),$A$5:$A$34,0)),0)</f>
        <v>0</v>
      </c>
      <c r="H1106" s="103" t="str">
        <f aca="false">IF(G1106=0,"空闲",IF(G1106&lt;=0.6,"低负荷",IF(G1106&lt;=0.85,"正常",IF(G1106&lt;=1,"满负荷","超负荷"))))</f>
        <v>空闲</v>
      </c>
      <c r="I1106" s="104" t="s">
        <v>638</v>
      </c>
      <c r="J1106" s="104"/>
      <c r="K1106" s="104"/>
      <c r="L1106" s="105" t="s">
        <v>639</v>
      </c>
    </row>
    <row r="1107" customFormat="false" ht="48" hidden="false" customHeight="true" outlineLevel="0" collapsed="false">
      <c r="A1107" s="99"/>
      <c r="B1107" s="100" t="n">
        <v>46069</v>
      </c>
      <c r="C1107" s="100" t="n">
        <v>46075</v>
      </c>
      <c r="D1107" s="99" t="s">
        <v>638</v>
      </c>
      <c r="E1107" s="99" t="n">
        <v>0</v>
      </c>
      <c r="F1107" s="101" t="n">
        <v>0</v>
      </c>
      <c r="G1107" s="102" t="n">
        <f aca="false">IFERROR(F1107/INDEX($G$5:$G$34,MATCH(LOOKUP(2,1/($A$39:A1107&lt;&gt;""),$A$39:A1107),$A$5:$A$34,0)),0)</f>
        <v>0</v>
      </c>
      <c r="H1107" s="103" t="str">
        <f aca="false">IF(G1107=0,"空闲",IF(G1107&lt;=0.6,"低负荷",IF(G1107&lt;=0.85,"正常",IF(G1107&lt;=1,"满负荷","超负荷"))))</f>
        <v>空闲</v>
      </c>
      <c r="I1107" s="104" t="s">
        <v>638</v>
      </c>
      <c r="J1107" s="104"/>
      <c r="K1107" s="104"/>
      <c r="L1107" s="105" t="s">
        <v>639</v>
      </c>
    </row>
    <row r="1108" customFormat="false" ht="48" hidden="false" customHeight="true" outlineLevel="0" collapsed="false">
      <c r="A1108" s="99"/>
      <c r="B1108" s="100" t="n">
        <v>46076</v>
      </c>
      <c r="C1108" s="100" t="n">
        <v>46082</v>
      </c>
      <c r="D1108" s="99" t="s">
        <v>638</v>
      </c>
      <c r="E1108" s="99" t="n">
        <v>0</v>
      </c>
      <c r="F1108" s="101" t="n">
        <v>0</v>
      </c>
      <c r="G1108" s="102" t="n">
        <f aca="false">IFERROR(F1108/INDEX($G$5:$G$34,MATCH(LOOKUP(2,1/($A$39:A1108&lt;&gt;""),$A$39:A1108),$A$5:$A$34,0)),0)</f>
        <v>0</v>
      </c>
      <c r="H1108" s="103" t="str">
        <f aca="false">IF(G1108=0,"空闲",IF(G1108&lt;=0.6,"低负荷",IF(G1108&lt;=0.85,"正常",IF(G1108&lt;=1,"满负荷","超负荷"))))</f>
        <v>空闲</v>
      </c>
      <c r="I1108" s="104" t="s">
        <v>638</v>
      </c>
      <c r="J1108" s="104"/>
      <c r="K1108" s="104"/>
      <c r="L1108" s="105" t="s">
        <v>639</v>
      </c>
    </row>
    <row r="1109" customFormat="false" ht="48" hidden="false" customHeight="true" outlineLevel="0" collapsed="false">
      <c r="A1109" s="99"/>
      <c r="B1109" s="100" t="n">
        <v>46083</v>
      </c>
      <c r="C1109" s="100" t="n">
        <v>46089</v>
      </c>
      <c r="D1109" s="99" t="s">
        <v>638</v>
      </c>
      <c r="E1109" s="99" t="n">
        <v>0</v>
      </c>
      <c r="F1109" s="101" t="n">
        <v>0</v>
      </c>
      <c r="G1109" s="102" t="n">
        <f aca="false">IFERROR(F1109/INDEX($G$5:$G$34,MATCH(LOOKUP(2,1/($A$39:A1109&lt;&gt;""),$A$39:A1109),$A$5:$A$34,0)),0)</f>
        <v>0</v>
      </c>
      <c r="H1109" s="103" t="str">
        <f aca="false">IF(G1109=0,"空闲",IF(G1109&lt;=0.6,"低负荷",IF(G1109&lt;=0.85,"正常",IF(G1109&lt;=1,"满负荷","超负荷"))))</f>
        <v>空闲</v>
      </c>
      <c r="I1109" s="104" t="s">
        <v>638</v>
      </c>
      <c r="J1109" s="104"/>
      <c r="K1109" s="104"/>
      <c r="L1109" s="105" t="s">
        <v>639</v>
      </c>
    </row>
    <row r="1110" customFormat="false" ht="48" hidden="false" customHeight="true" outlineLevel="0" collapsed="false">
      <c r="A1110" s="99"/>
      <c r="B1110" s="100" t="n">
        <v>46090</v>
      </c>
      <c r="C1110" s="100" t="n">
        <v>46096</v>
      </c>
      <c r="D1110" s="99" t="s">
        <v>638</v>
      </c>
      <c r="E1110" s="99" t="n">
        <v>0</v>
      </c>
      <c r="F1110" s="101" t="n">
        <v>0</v>
      </c>
      <c r="G1110" s="102" t="n">
        <f aca="false">IFERROR(F1110/INDEX($G$5:$G$34,MATCH(LOOKUP(2,1/($A$39:A1110&lt;&gt;""),$A$39:A1110),$A$5:$A$34,0)),0)</f>
        <v>0</v>
      </c>
      <c r="H1110" s="103" t="str">
        <f aca="false">IF(G1110=0,"空闲",IF(G1110&lt;=0.6,"低负荷",IF(G1110&lt;=0.85,"正常",IF(G1110&lt;=1,"满负荷","超负荷"))))</f>
        <v>空闲</v>
      </c>
      <c r="I1110" s="104" t="s">
        <v>638</v>
      </c>
      <c r="J1110" s="104"/>
      <c r="K1110" s="104"/>
      <c r="L1110" s="105" t="s">
        <v>639</v>
      </c>
    </row>
    <row r="1111" customFormat="false" ht="48" hidden="false" customHeight="true" outlineLevel="0" collapsed="false">
      <c r="A1111" s="99"/>
      <c r="B1111" s="100" t="n">
        <v>46097</v>
      </c>
      <c r="C1111" s="100" t="n">
        <v>46103</v>
      </c>
      <c r="D1111" s="99" t="s">
        <v>638</v>
      </c>
      <c r="E1111" s="99" t="n">
        <v>0</v>
      </c>
      <c r="F1111" s="101" t="n">
        <v>0</v>
      </c>
      <c r="G1111" s="102" t="n">
        <f aca="false">IFERROR(F1111/INDEX($G$5:$G$34,MATCH(LOOKUP(2,1/($A$39:A1111&lt;&gt;""),$A$39:A1111),$A$5:$A$34,0)),0)</f>
        <v>0</v>
      </c>
      <c r="H1111" s="103" t="str">
        <f aca="false">IF(G1111=0,"空闲",IF(G1111&lt;=0.6,"低负荷",IF(G1111&lt;=0.85,"正常",IF(G1111&lt;=1,"满负荷","超负荷"))))</f>
        <v>空闲</v>
      </c>
      <c r="I1111" s="104" t="s">
        <v>638</v>
      </c>
      <c r="J1111" s="104"/>
      <c r="K1111" s="104"/>
      <c r="L1111" s="105" t="s">
        <v>639</v>
      </c>
    </row>
    <row r="1112" customFormat="false" ht="48" hidden="false" customHeight="true" outlineLevel="0" collapsed="false">
      <c r="A1112" s="99"/>
      <c r="B1112" s="100" t="n">
        <v>46104</v>
      </c>
      <c r="C1112" s="100" t="n">
        <v>46110</v>
      </c>
      <c r="D1112" s="99" t="s">
        <v>638</v>
      </c>
      <c r="E1112" s="99" t="n">
        <v>0</v>
      </c>
      <c r="F1112" s="101" t="n">
        <v>0</v>
      </c>
      <c r="G1112" s="102" t="n">
        <f aca="false">IFERROR(F1112/INDEX($G$5:$G$34,MATCH(LOOKUP(2,1/($A$39:A1112&lt;&gt;""),$A$39:A1112),$A$5:$A$34,0)),0)</f>
        <v>0</v>
      </c>
      <c r="H1112" s="103" t="str">
        <f aca="false">IF(G1112=0,"空闲",IF(G1112&lt;=0.6,"低负荷",IF(G1112&lt;=0.85,"正常",IF(G1112&lt;=1,"满负荷","超负荷"))))</f>
        <v>空闲</v>
      </c>
      <c r="I1112" s="104" t="s">
        <v>638</v>
      </c>
      <c r="J1112" s="104"/>
      <c r="K1112" s="104"/>
      <c r="L1112" s="105" t="s">
        <v>639</v>
      </c>
    </row>
    <row r="1113" customFormat="false" ht="48" hidden="false" customHeight="true" outlineLevel="0" collapsed="false">
      <c r="A1113" s="99"/>
      <c r="B1113" s="100" t="n">
        <v>46111</v>
      </c>
      <c r="C1113" s="100" t="n">
        <v>46117</v>
      </c>
      <c r="D1113" s="99" t="s">
        <v>638</v>
      </c>
      <c r="E1113" s="99" t="n">
        <v>0</v>
      </c>
      <c r="F1113" s="101" t="n">
        <v>0</v>
      </c>
      <c r="G1113" s="102" t="n">
        <f aca="false">IFERROR(F1113/INDEX($G$5:$G$34,MATCH(LOOKUP(2,1/($A$39:A1113&lt;&gt;""),$A$39:A1113),$A$5:$A$34,0)),0)</f>
        <v>0</v>
      </c>
      <c r="H1113" s="103" t="str">
        <f aca="false">IF(G1113=0,"空闲",IF(G1113&lt;=0.6,"低负荷",IF(G1113&lt;=0.85,"正常",IF(G1113&lt;=1,"满负荷","超负荷"))))</f>
        <v>空闲</v>
      </c>
      <c r="I1113" s="104" t="s">
        <v>638</v>
      </c>
      <c r="J1113" s="104"/>
      <c r="K1113" s="104"/>
      <c r="L1113" s="105" t="s">
        <v>639</v>
      </c>
    </row>
    <row r="1114" customFormat="false" ht="48" hidden="false" customHeight="true" outlineLevel="0" collapsed="false">
      <c r="A1114" s="99"/>
      <c r="B1114" s="100" t="n">
        <v>46118</v>
      </c>
      <c r="C1114" s="100" t="n">
        <v>46124</v>
      </c>
      <c r="D1114" s="99" t="s">
        <v>638</v>
      </c>
      <c r="E1114" s="99" t="n">
        <v>0</v>
      </c>
      <c r="F1114" s="101" t="n">
        <v>0</v>
      </c>
      <c r="G1114" s="102" t="n">
        <f aca="false">IFERROR(F1114/INDEX($G$5:$G$34,MATCH(LOOKUP(2,1/($A$39:A1114&lt;&gt;""),$A$39:A1114),$A$5:$A$34,0)),0)</f>
        <v>0</v>
      </c>
      <c r="H1114" s="103" t="str">
        <f aca="false">IF(G1114=0,"空闲",IF(G1114&lt;=0.6,"低负荷",IF(G1114&lt;=0.85,"正常",IF(G1114&lt;=1,"满负荷","超负荷"))))</f>
        <v>空闲</v>
      </c>
      <c r="I1114" s="104" t="s">
        <v>638</v>
      </c>
      <c r="J1114" s="104"/>
      <c r="K1114" s="104"/>
      <c r="L1114" s="105" t="s">
        <v>639</v>
      </c>
    </row>
    <row r="1115" customFormat="false" ht="48" hidden="false" customHeight="true" outlineLevel="0" collapsed="false">
      <c r="A1115" s="99"/>
      <c r="B1115" s="100" t="n">
        <v>46125</v>
      </c>
      <c r="C1115" s="100" t="n">
        <v>46131</v>
      </c>
      <c r="D1115" s="99" t="s">
        <v>638</v>
      </c>
      <c r="E1115" s="99" t="n">
        <v>0</v>
      </c>
      <c r="F1115" s="101" t="n">
        <v>0</v>
      </c>
      <c r="G1115" s="102" t="n">
        <f aca="false">IFERROR(F1115/INDEX($G$5:$G$34,MATCH(LOOKUP(2,1/($A$39:A1115&lt;&gt;""),$A$39:A1115),$A$5:$A$34,0)),0)</f>
        <v>0</v>
      </c>
      <c r="H1115" s="103" t="str">
        <f aca="false">IF(G1115=0,"空闲",IF(G1115&lt;=0.6,"低负荷",IF(G1115&lt;=0.85,"正常",IF(G1115&lt;=1,"满负荷","超负荷"))))</f>
        <v>空闲</v>
      </c>
      <c r="I1115" s="104" t="s">
        <v>638</v>
      </c>
      <c r="J1115" s="104"/>
      <c r="K1115" s="104"/>
      <c r="L1115" s="105" t="s">
        <v>639</v>
      </c>
    </row>
    <row r="1116" customFormat="false" ht="48" hidden="false" customHeight="true" outlineLevel="0" collapsed="false">
      <c r="A1116" s="99"/>
      <c r="B1116" s="100" t="n">
        <v>46132</v>
      </c>
      <c r="C1116" s="100" t="n">
        <v>46138</v>
      </c>
      <c r="D1116" s="99" t="s">
        <v>638</v>
      </c>
      <c r="E1116" s="99" t="n">
        <v>0</v>
      </c>
      <c r="F1116" s="101" t="n">
        <v>0</v>
      </c>
      <c r="G1116" s="102" t="n">
        <f aca="false">IFERROR(F1116/INDEX($G$5:$G$34,MATCH(LOOKUP(2,1/($A$39:A1116&lt;&gt;""),$A$39:A1116),$A$5:$A$34,0)),0)</f>
        <v>0</v>
      </c>
      <c r="H1116" s="103" t="str">
        <f aca="false">IF(G1116=0,"空闲",IF(G1116&lt;=0.6,"低负荷",IF(G1116&lt;=0.85,"正常",IF(G1116&lt;=1,"满负荷","超负荷"))))</f>
        <v>空闲</v>
      </c>
      <c r="I1116" s="104" t="s">
        <v>638</v>
      </c>
      <c r="J1116" s="104"/>
      <c r="K1116" s="104"/>
      <c r="L1116" s="105" t="s">
        <v>639</v>
      </c>
    </row>
    <row r="1117" customFormat="false" ht="48" hidden="false" customHeight="true" outlineLevel="0" collapsed="false">
      <c r="A1117" s="99"/>
      <c r="B1117" s="100" t="n">
        <v>46139</v>
      </c>
      <c r="C1117" s="100" t="n">
        <v>46145</v>
      </c>
      <c r="D1117" s="99" t="s">
        <v>638</v>
      </c>
      <c r="E1117" s="99" t="n">
        <v>0</v>
      </c>
      <c r="F1117" s="101" t="n">
        <v>0</v>
      </c>
      <c r="G1117" s="102" t="n">
        <f aca="false">IFERROR(F1117/INDEX($G$5:$G$34,MATCH(LOOKUP(2,1/($A$39:A1117&lt;&gt;""),$A$39:A1117),$A$5:$A$34,0)),0)</f>
        <v>0</v>
      </c>
      <c r="H1117" s="103" t="str">
        <f aca="false">IF(G1117=0,"空闲",IF(G1117&lt;=0.6,"低负荷",IF(G1117&lt;=0.85,"正常",IF(G1117&lt;=1,"满负荷","超负荷"))))</f>
        <v>空闲</v>
      </c>
      <c r="I1117" s="104" t="s">
        <v>638</v>
      </c>
      <c r="J1117" s="104"/>
      <c r="K1117" s="104"/>
      <c r="L1117" s="105" t="s">
        <v>639</v>
      </c>
    </row>
    <row r="1118" customFormat="false" ht="48" hidden="false" customHeight="true" outlineLevel="0" collapsed="false">
      <c r="A1118" s="99"/>
      <c r="B1118" s="100" t="n">
        <v>46146</v>
      </c>
      <c r="C1118" s="100" t="n">
        <v>46152</v>
      </c>
      <c r="D1118" s="99" t="s">
        <v>638</v>
      </c>
      <c r="E1118" s="99" t="n">
        <v>0</v>
      </c>
      <c r="F1118" s="101" t="n">
        <v>0</v>
      </c>
      <c r="G1118" s="102" t="n">
        <f aca="false">IFERROR(F1118/INDEX($G$5:$G$34,MATCH(LOOKUP(2,1/($A$39:A1118&lt;&gt;""),$A$39:A1118),$A$5:$A$34,0)),0)</f>
        <v>0</v>
      </c>
      <c r="H1118" s="103" t="str">
        <f aca="false">IF(G1118=0,"空闲",IF(G1118&lt;=0.6,"低负荷",IF(G1118&lt;=0.85,"正常",IF(G1118&lt;=1,"满负荷","超负荷"))))</f>
        <v>空闲</v>
      </c>
      <c r="I1118" s="104" t="s">
        <v>638</v>
      </c>
      <c r="J1118" s="104"/>
      <c r="K1118" s="104"/>
      <c r="L1118" s="105" t="s">
        <v>639</v>
      </c>
    </row>
    <row r="1119" customFormat="false" ht="48" hidden="false" customHeight="true" outlineLevel="0" collapsed="false">
      <c r="A1119" s="99"/>
      <c r="B1119" s="100" t="n">
        <v>46153</v>
      </c>
      <c r="C1119" s="100" t="n">
        <v>46159</v>
      </c>
      <c r="D1119" s="99" t="s">
        <v>638</v>
      </c>
      <c r="E1119" s="99" t="n">
        <v>0</v>
      </c>
      <c r="F1119" s="101" t="n">
        <v>0</v>
      </c>
      <c r="G1119" s="102" t="n">
        <f aca="false">IFERROR(F1119/INDEX($G$5:$G$34,MATCH(LOOKUP(2,1/($A$39:A1119&lt;&gt;""),$A$39:A1119),$A$5:$A$34,0)),0)</f>
        <v>0</v>
      </c>
      <c r="H1119" s="103" t="str">
        <f aca="false">IF(G1119=0,"空闲",IF(G1119&lt;=0.6,"低负荷",IF(G1119&lt;=0.85,"正常",IF(G1119&lt;=1,"满负荷","超负荷"))))</f>
        <v>空闲</v>
      </c>
      <c r="I1119" s="104" t="s">
        <v>638</v>
      </c>
      <c r="J1119" s="104"/>
      <c r="K1119" s="104"/>
      <c r="L1119" s="105" t="s">
        <v>639</v>
      </c>
    </row>
    <row r="1120" customFormat="false" ht="48" hidden="false" customHeight="true" outlineLevel="0" collapsed="false">
      <c r="A1120" s="99"/>
      <c r="B1120" s="100" t="n">
        <v>46160</v>
      </c>
      <c r="C1120" s="100" t="n">
        <v>46166</v>
      </c>
      <c r="D1120" s="99" t="s">
        <v>638</v>
      </c>
      <c r="E1120" s="99" t="n">
        <v>0</v>
      </c>
      <c r="F1120" s="101" t="n">
        <v>0</v>
      </c>
      <c r="G1120" s="102" t="n">
        <f aca="false">IFERROR(F1120/INDEX($G$5:$G$34,MATCH(LOOKUP(2,1/($A$39:A1120&lt;&gt;""),$A$39:A1120),$A$5:$A$34,0)),0)</f>
        <v>0</v>
      </c>
      <c r="H1120" s="103" t="str">
        <f aca="false">IF(G1120=0,"空闲",IF(G1120&lt;=0.6,"低负荷",IF(G1120&lt;=0.85,"正常",IF(G1120&lt;=1,"满负荷","超负荷"))))</f>
        <v>空闲</v>
      </c>
      <c r="I1120" s="104" t="s">
        <v>638</v>
      </c>
      <c r="J1120" s="104"/>
      <c r="K1120" s="104"/>
      <c r="L1120" s="105" t="s">
        <v>639</v>
      </c>
    </row>
    <row r="1121" customFormat="false" ht="48" hidden="false" customHeight="true" outlineLevel="0" collapsed="false">
      <c r="A1121" s="99"/>
      <c r="B1121" s="100" t="n">
        <v>46167</v>
      </c>
      <c r="C1121" s="100" t="n">
        <v>46173</v>
      </c>
      <c r="D1121" s="99" t="s">
        <v>638</v>
      </c>
      <c r="E1121" s="99" t="n">
        <v>0</v>
      </c>
      <c r="F1121" s="101" t="n">
        <v>0</v>
      </c>
      <c r="G1121" s="102" t="n">
        <f aca="false">IFERROR(F1121/INDEX($G$5:$G$34,MATCH(LOOKUP(2,1/($A$39:A1121&lt;&gt;""),$A$39:A1121),$A$5:$A$34,0)),0)</f>
        <v>0</v>
      </c>
      <c r="H1121" s="103" t="str">
        <f aca="false">IF(G1121=0,"空闲",IF(G1121&lt;=0.6,"低负荷",IF(G1121&lt;=0.85,"正常",IF(G1121&lt;=1,"满负荷","超负荷"))))</f>
        <v>空闲</v>
      </c>
      <c r="I1121" s="104" t="s">
        <v>638</v>
      </c>
      <c r="J1121" s="104"/>
      <c r="K1121" s="104"/>
      <c r="L1121" s="105" t="s">
        <v>639</v>
      </c>
    </row>
    <row r="1122" customFormat="false" ht="48" hidden="false" customHeight="true" outlineLevel="0" collapsed="false">
      <c r="A1122" s="99"/>
      <c r="B1122" s="100" t="n">
        <v>46174</v>
      </c>
      <c r="C1122" s="100" t="n">
        <v>46180</v>
      </c>
      <c r="D1122" s="99" t="s">
        <v>638</v>
      </c>
      <c r="E1122" s="99" t="n">
        <v>0</v>
      </c>
      <c r="F1122" s="101" t="n">
        <v>0</v>
      </c>
      <c r="G1122" s="102" t="n">
        <f aca="false">IFERROR(F1122/INDEX($G$5:$G$34,MATCH(LOOKUP(2,1/($A$39:A1122&lt;&gt;""),$A$39:A1122),$A$5:$A$34,0)),0)</f>
        <v>0</v>
      </c>
      <c r="H1122" s="103" t="str">
        <f aca="false">IF(G1122=0,"空闲",IF(G1122&lt;=0.6,"低负荷",IF(G1122&lt;=0.85,"正常",IF(G1122&lt;=1,"满负荷","超负荷"))))</f>
        <v>空闲</v>
      </c>
      <c r="I1122" s="104" t="s">
        <v>638</v>
      </c>
      <c r="J1122" s="104"/>
      <c r="K1122" s="104"/>
      <c r="L1122" s="105" t="s">
        <v>639</v>
      </c>
    </row>
    <row r="1123" customFormat="false" ht="48" hidden="false" customHeight="true" outlineLevel="0" collapsed="false">
      <c r="A1123" s="99"/>
      <c r="B1123" s="100" t="n">
        <v>46181</v>
      </c>
      <c r="C1123" s="100" t="n">
        <v>46187</v>
      </c>
      <c r="D1123" s="99" t="s">
        <v>638</v>
      </c>
      <c r="E1123" s="99" t="n">
        <v>0</v>
      </c>
      <c r="F1123" s="101" t="n">
        <v>0</v>
      </c>
      <c r="G1123" s="102" t="n">
        <f aca="false">IFERROR(F1123/INDEX($G$5:$G$34,MATCH(LOOKUP(2,1/($A$39:A1123&lt;&gt;""),$A$39:A1123),$A$5:$A$34,0)),0)</f>
        <v>0</v>
      </c>
      <c r="H1123" s="103" t="str">
        <f aca="false">IF(G1123=0,"空闲",IF(G1123&lt;=0.6,"低负荷",IF(G1123&lt;=0.85,"正常",IF(G1123&lt;=1,"满负荷","超负荷"))))</f>
        <v>空闲</v>
      </c>
      <c r="I1123" s="104" t="s">
        <v>638</v>
      </c>
      <c r="J1123" s="104"/>
      <c r="K1123" s="104"/>
      <c r="L1123" s="105" t="s">
        <v>639</v>
      </c>
    </row>
    <row r="1124" customFormat="false" ht="48" hidden="false" customHeight="true" outlineLevel="0" collapsed="false">
      <c r="A1124" s="99"/>
      <c r="B1124" s="100" t="n">
        <v>46188</v>
      </c>
      <c r="C1124" s="100" t="n">
        <v>46194</v>
      </c>
      <c r="D1124" s="99" t="s">
        <v>638</v>
      </c>
      <c r="E1124" s="99" t="n">
        <v>0</v>
      </c>
      <c r="F1124" s="101" t="n">
        <v>0</v>
      </c>
      <c r="G1124" s="102" t="n">
        <f aca="false">IFERROR(F1124/INDEX($G$5:$G$34,MATCH(LOOKUP(2,1/($A$39:A1124&lt;&gt;""),$A$39:A1124),$A$5:$A$34,0)),0)</f>
        <v>0</v>
      </c>
      <c r="H1124" s="103" t="str">
        <f aca="false">IF(G1124=0,"空闲",IF(G1124&lt;=0.6,"低负荷",IF(G1124&lt;=0.85,"正常",IF(G1124&lt;=1,"满负荷","超负荷"))))</f>
        <v>空闲</v>
      </c>
      <c r="I1124" s="104" t="s">
        <v>638</v>
      </c>
      <c r="J1124" s="104"/>
      <c r="K1124" s="104"/>
      <c r="L1124" s="105" t="s">
        <v>639</v>
      </c>
    </row>
    <row r="1125" customFormat="false" ht="48" hidden="false" customHeight="true" outlineLevel="0" collapsed="false">
      <c r="A1125" s="99"/>
      <c r="B1125" s="100" t="n">
        <v>46195</v>
      </c>
      <c r="C1125" s="100" t="n">
        <v>46201</v>
      </c>
      <c r="D1125" s="99" t="s">
        <v>638</v>
      </c>
      <c r="E1125" s="99" t="n">
        <v>0</v>
      </c>
      <c r="F1125" s="101" t="n">
        <v>0</v>
      </c>
      <c r="G1125" s="102" t="n">
        <f aca="false">IFERROR(F1125/INDEX($G$5:$G$34,MATCH(LOOKUP(2,1/($A$39:A1125&lt;&gt;""),$A$39:A1125),$A$5:$A$34,0)),0)</f>
        <v>0</v>
      </c>
      <c r="H1125" s="103" t="str">
        <f aca="false">IF(G1125=0,"空闲",IF(G1125&lt;=0.6,"低负荷",IF(G1125&lt;=0.85,"正常",IF(G1125&lt;=1,"满负荷","超负荷"))))</f>
        <v>空闲</v>
      </c>
      <c r="I1125" s="104" t="s">
        <v>638</v>
      </c>
      <c r="J1125" s="104"/>
      <c r="K1125" s="104"/>
      <c r="L1125" s="105" t="s">
        <v>639</v>
      </c>
    </row>
    <row r="1126" customFormat="false" ht="48" hidden="false" customHeight="true" outlineLevel="0" collapsed="false">
      <c r="A1126" s="99"/>
      <c r="B1126" s="100" t="n">
        <v>46202</v>
      </c>
      <c r="C1126" s="100" t="n">
        <v>46208</v>
      </c>
      <c r="D1126" s="99" t="s">
        <v>638</v>
      </c>
      <c r="E1126" s="99" t="n">
        <v>0</v>
      </c>
      <c r="F1126" s="101" t="n">
        <v>0</v>
      </c>
      <c r="G1126" s="102" t="n">
        <f aca="false">IFERROR(F1126/INDEX($G$5:$G$34,MATCH(LOOKUP(2,1/($A$39:A1126&lt;&gt;""),$A$39:A1126),$A$5:$A$34,0)),0)</f>
        <v>0</v>
      </c>
      <c r="H1126" s="103" t="str">
        <f aca="false">IF(G1126=0,"空闲",IF(G1126&lt;=0.6,"低负荷",IF(G1126&lt;=0.85,"正常",IF(G1126&lt;=1,"满负荷","超负荷"))))</f>
        <v>空闲</v>
      </c>
      <c r="I1126" s="104" t="s">
        <v>638</v>
      </c>
      <c r="J1126" s="104"/>
      <c r="K1126" s="104"/>
      <c r="L1126" s="105" t="s">
        <v>639</v>
      </c>
    </row>
    <row r="1127" customFormat="false" ht="48" hidden="false" customHeight="true" outlineLevel="0" collapsed="false">
      <c r="A1127" s="99"/>
      <c r="B1127" s="100" t="n">
        <v>46209</v>
      </c>
      <c r="C1127" s="100" t="n">
        <v>46215</v>
      </c>
      <c r="D1127" s="99" t="s">
        <v>638</v>
      </c>
      <c r="E1127" s="99" t="n">
        <v>0</v>
      </c>
      <c r="F1127" s="101" t="n">
        <v>0</v>
      </c>
      <c r="G1127" s="102" t="n">
        <f aca="false">IFERROR(F1127/INDEX($G$5:$G$34,MATCH(LOOKUP(2,1/($A$39:A1127&lt;&gt;""),$A$39:A1127),$A$5:$A$34,0)),0)</f>
        <v>0</v>
      </c>
      <c r="H1127" s="103" t="str">
        <f aca="false">IF(G1127=0,"空闲",IF(G1127&lt;=0.6,"低负荷",IF(G1127&lt;=0.85,"正常",IF(G1127&lt;=1,"满负荷","超负荷"))))</f>
        <v>空闲</v>
      </c>
      <c r="I1127" s="104" t="s">
        <v>638</v>
      </c>
      <c r="J1127" s="104"/>
      <c r="K1127" s="104"/>
      <c r="L1127" s="105" t="s">
        <v>639</v>
      </c>
    </row>
    <row r="1128" customFormat="false" ht="48" hidden="false" customHeight="true" outlineLevel="0" collapsed="false">
      <c r="A1128" s="99"/>
      <c r="B1128" s="100" t="n">
        <v>46216</v>
      </c>
      <c r="C1128" s="100" t="n">
        <v>46222</v>
      </c>
      <c r="D1128" s="99" t="s">
        <v>638</v>
      </c>
      <c r="E1128" s="99" t="n">
        <v>0</v>
      </c>
      <c r="F1128" s="101" t="n">
        <v>0</v>
      </c>
      <c r="G1128" s="102" t="n">
        <f aca="false">IFERROR(F1128/INDEX($G$5:$G$34,MATCH(LOOKUP(2,1/($A$39:A1128&lt;&gt;""),$A$39:A1128),$A$5:$A$34,0)),0)</f>
        <v>0</v>
      </c>
      <c r="H1128" s="103" t="str">
        <f aca="false">IF(G1128=0,"空闲",IF(G1128&lt;=0.6,"低负荷",IF(G1128&lt;=0.85,"正常",IF(G1128&lt;=1,"满负荷","超负荷"))))</f>
        <v>空闲</v>
      </c>
      <c r="I1128" s="104" t="s">
        <v>638</v>
      </c>
      <c r="J1128" s="104"/>
      <c r="K1128" s="104"/>
      <c r="L1128" s="105" t="s">
        <v>639</v>
      </c>
    </row>
    <row r="1129" customFormat="false" ht="48" hidden="false" customHeight="true" outlineLevel="0" collapsed="false">
      <c r="A1129" s="99"/>
      <c r="B1129" s="100" t="n">
        <v>46223</v>
      </c>
      <c r="C1129" s="100" t="n">
        <v>46229</v>
      </c>
      <c r="D1129" s="99" t="s">
        <v>638</v>
      </c>
      <c r="E1129" s="99" t="n">
        <v>0</v>
      </c>
      <c r="F1129" s="101" t="n">
        <v>0</v>
      </c>
      <c r="G1129" s="102" t="n">
        <f aca="false">IFERROR(F1129/INDEX($G$5:$G$34,MATCH(LOOKUP(2,1/($A$39:A1129&lt;&gt;""),$A$39:A1129),$A$5:$A$34,0)),0)</f>
        <v>0</v>
      </c>
      <c r="H1129" s="103" t="str">
        <f aca="false">IF(G1129=0,"空闲",IF(G1129&lt;=0.6,"低负荷",IF(G1129&lt;=0.85,"正常",IF(G1129&lt;=1,"满负荷","超负荷"))))</f>
        <v>空闲</v>
      </c>
      <c r="I1129" s="104" t="s">
        <v>638</v>
      </c>
      <c r="J1129" s="104"/>
      <c r="K1129" s="104"/>
      <c r="L1129" s="105" t="s">
        <v>639</v>
      </c>
    </row>
    <row r="1130" customFormat="false" ht="48" hidden="false" customHeight="true" outlineLevel="0" collapsed="false">
      <c r="A1130" s="99"/>
      <c r="B1130" s="100" t="n">
        <v>46230</v>
      </c>
      <c r="C1130" s="100" t="n">
        <v>46236</v>
      </c>
      <c r="D1130" s="99" t="s">
        <v>638</v>
      </c>
      <c r="E1130" s="99" t="n">
        <v>0</v>
      </c>
      <c r="F1130" s="101" t="n">
        <v>0</v>
      </c>
      <c r="G1130" s="102" t="n">
        <f aca="false">IFERROR(F1130/INDEX($G$5:$G$34,MATCH(LOOKUP(2,1/($A$39:A1130&lt;&gt;""),$A$39:A1130),$A$5:$A$34,0)),0)</f>
        <v>0</v>
      </c>
      <c r="H1130" s="103" t="str">
        <f aca="false">IF(G1130=0,"空闲",IF(G1130&lt;=0.6,"低负荷",IF(G1130&lt;=0.85,"正常",IF(G1130&lt;=1,"满负荷","超负荷"))))</f>
        <v>空闲</v>
      </c>
      <c r="I1130" s="104" t="s">
        <v>638</v>
      </c>
      <c r="J1130" s="104"/>
      <c r="K1130" s="104"/>
      <c r="L1130" s="105" t="s">
        <v>639</v>
      </c>
    </row>
    <row r="1131" customFormat="false" ht="48" hidden="false" customHeight="true" outlineLevel="0" collapsed="false">
      <c r="A1131" s="99"/>
      <c r="B1131" s="100" t="n">
        <v>46237</v>
      </c>
      <c r="C1131" s="100" t="n">
        <v>46243</v>
      </c>
      <c r="D1131" s="99" t="s">
        <v>638</v>
      </c>
      <c r="E1131" s="99" t="n">
        <v>0</v>
      </c>
      <c r="F1131" s="101" t="n">
        <v>0</v>
      </c>
      <c r="G1131" s="102" t="n">
        <f aca="false">IFERROR(F1131/INDEX($G$5:$G$34,MATCH(LOOKUP(2,1/($A$39:A1131&lt;&gt;""),$A$39:A1131),$A$5:$A$34,0)),0)</f>
        <v>0</v>
      </c>
      <c r="H1131" s="103" t="str">
        <f aca="false">IF(G1131=0,"空闲",IF(G1131&lt;=0.6,"低负荷",IF(G1131&lt;=0.85,"正常",IF(G1131&lt;=1,"满负荷","超负荷"))))</f>
        <v>空闲</v>
      </c>
      <c r="I1131" s="104" t="s">
        <v>638</v>
      </c>
      <c r="J1131" s="104"/>
      <c r="K1131" s="104"/>
      <c r="L1131" s="105" t="s">
        <v>639</v>
      </c>
    </row>
    <row r="1132" customFormat="false" ht="48" hidden="false" customHeight="true" outlineLevel="0" collapsed="false">
      <c r="A1132" s="99"/>
      <c r="B1132" s="100" t="n">
        <v>46244</v>
      </c>
      <c r="C1132" s="100" t="n">
        <v>46250</v>
      </c>
      <c r="D1132" s="99" t="s">
        <v>638</v>
      </c>
      <c r="E1132" s="99" t="n">
        <v>0</v>
      </c>
      <c r="F1132" s="101" t="n">
        <v>0</v>
      </c>
      <c r="G1132" s="102" t="n">
        <f aca="false">IFERROR(F1132/INDEX($G$5:$G$34,MATCH(LOOKUP(2,1/($A$39:A1132&lt;&gt;""),$A$39:A1132),$A$5:$A$34,0)),0)</f>
        <v>0</v>
      </c>
      <c r="H1132" s="103" t="str">
        <f aca="false">IF(G1132=0,"空闲",IF(G1132&lt;=0.6,"低负荷",IF(G1132&lt;=0.85,"正常",IF(G1132&lt;=1,"满负荷","超负荷"))))</f>
        <v>空闲</v>
      </c>
      <c r="I1132" s="104" t="s">
        <v>638</v>
      </c>
      <c r="J1132" s="104"/>
      <c r="K1132" s="104"/>
      <c r="L1132" s="105" t="s">
        <v>639</v>
      </c>
    </row>
    <row r="1133" customFormat="false" ht="48" hidden="false" customHeight="true" outlineLevel="0" collapsed="false">
      <c r="A1133" s="99"/>
      <c r="B1133" s="100" t="n">
        <v>46251</v>
      </c>
      <c r="C1133" s="100" t="n">
        <v>46257</v>
      </c>
      <c r="D1133" s="99" t="s">
        <v>638</v>
      </c>
      <c r="E1133" s="99" t="n">
        <v>0</v>
      </c>
      <c r="F1133" s="101" t="n">
        <v>0</v>
      </c>
      <c r="G1133" s="102" t="n">
        <f aca="false">IFERROR(F1133/INDEX($G$5:$G$34,MATCH(LOOKUP(2,1/($A$39:A1133&lt;&gt;""),$A$39:A1133),$A$5:$A$34,0)),0)</f>
        <v>0</v>
      </c>
      <c r="H1133" s="103" t="str">
        <f aca="false">IF(G1133=0,"空闲",IF(G1133&lt;=0.6,"低负荷",IF(G1133&lt;=0.85,"正常",IF(G1133&lt;=1,"满负荷","超负荷"))))</f>
        <v>空闲</v>
      </c>
      <c r="I1133" s="104" t="s">
        <v>638</v>
      </c>
      <c r="J1133" s="104"/>
      <c r="K1133" s="104"/>
      <c r="L1133" s="105" t="s">
        <v>639</v>
      </c>
    </row>
    <row r="1134" customFormat="false" ht="48" hidden="false" customHeight="true" outlineLevel="0" collapsed="false">
      <c r="A1134" s="99"/>
      <c r="B1134" s="100" t="n">
        <v>46258</v>
      </c>
      <c r="C1134" s="100" t="n">
        <v>46264</v>
      </c>
      <c r="D1134" s="99" t="s">
        <v>638</v>
      </c>
      <c r="E1134" s="99" t="n">
        <v>0</v>
      </c>
      <c r="F1134" s="101" t="n">
        <v>0</v>
      </c>
      <c r="G1134" s="102" t="n">
        <f aca="false">IFERROR(F1134/INDEX($G$5:$G$34,MATCH(LOOKUP(2,1/($A$39:A1134&lt;&gt;""),$A$39:A1134),$A$5:$A$34,0)),0)</f>
        <v>0</v>
      </c>
      <c r="H1134" s="103" t="str">
        <f aca="false">IF(G1134=0,"空闲",IF(G1134&lt;=0.6,"低负荷",IF(G1134&lt;=0.85,"正常",IF(G1134&lt;=1,"满负荷","超负荷"))))</f>
        <v>空闲</v>
      </c>
      <c r="I1134" s="104" t="s">
        <v>638</v>
      </c>
      <c r="J1134" s="104"/>
      <c r="K1134" s="104"/>
      <c r="L1134" s="105" t="s">
        <v>639</v>
      </c>
    </row>
    <row r="1135" customFormat="false" ht="48" hidden="false" customHeight="true" outlineLevel="0" collapsed="false">
      <c r="A1135" s="99"/>
      <c r="B1135" s="100" t="n">
        <v>46265</v>
      </c>
      <c r="C1135" s="100" t="n">
        <v>46271</v>
      </c>
      <c r="D1135" s="99" t="s">
        <v>638</v>
      </c>
      <c r="E1135" s="99" t="n">
        <v>0</v>
      </c>
      <c r="F1135" s="101" t="n">
        <v>0</v>
      </c>
      <c r="G1135" s="102" t="n">
        <f aca="false">IFERROR(F1135/INDEX($G$5:$G$34,MATCH(LOOKUP(2,1/($A$39:A1135&lt;&gt;""),$A$39:A1135),$A$5:$A$34,0)),0)</f>
        <v>0</v>
      </c>
      <c r="H1135" s="103" t="str">
        <f aca="false">IF(G1135=0,"空闲",IF(G1135&lt;=0.6,"低负荷",IF(G1135&lt;=0.85,"正常",IF(G1135&lt;=1,"满负荷","超负荷"))))</f>
        <v>空闲</v>
      </c>
      <c r="I1135" s="104" t="s">
        <v>638</v>
      </c>
      <c r="J1135" s="104"/>
      <c r="K1135" s="104"/>
      <c r="L1135" s="105" t="s">
        <v>639</v>
      </c>
    </row>
    <row r="1136" customFormat="false" ht="48" hidden="false" customHeight="true" outlineLevel="0" collapsed="false">
      <c r="A1136" s="99"/>
      <c r="B1136" s="100" t="n">
        <v>46272</v>
      </c>
      <c r="C1136" s="100" t="n">
        <v>46278</v>
      </c>
      <c r="D1136" s="99" t="s">
        <v>638</v>
      </c>
      <c r="E1136" s="99" t="n">
        <v>0</v>
      </c>
      <c r="F1136" s="101" t="n">
        <v>0</v>
      </c>
      <c r="G1136" s="102" t="n">
        <f aca="false">IFERROR(F1136/INDEX($G$5:$G$34,MATCH(LOOKUP(2,1/($A$39:A1136&lt;&gt;""),$A$39:A1136),$A$5:$A$34,0)),0)</f>
        <v>0</v>
      </c>
      <c r="H1136" s="103" t="str">
        <f aca="false">IF(G1136=0,"空闲",IF(G1136&lt;=0.6,"低负荷",IF(G1136&lt;=0.85,"正常",IF(G1136&lt;=1,"满负荷","超负荷"))))</f>
        <v>空闲</v>
      </c>
      <c r="I1136" s="104" t="s">
        <v>638</v>
      </c>
      <c r="J1136" s="104"/>
      <c r="K1136" s="104"/>
      <c r="L1136" s="105" t="s">
        <v>639</v>
      </c>
    </row>
    <row r="1137" customFormat="false" ht="48" hidden="false" customHeight="true" outlineLevel="0" collapsed="false">
      <c r="A1137" s="99"/>
      <c r="B1137" s="100" t="n">
        <v>46279</v>
      </c>
      <c r="C1137" s="100" t="n">
        <v>46285</v>
      </c>
      <c r="D1137" s="99" t="s">
        <v>638</v>
      </c>
      <c r="E1137" s="99" t="n">
        <v>0</v>
      </c>
      <c r="F1137" s="101" t="n">
        <v>0</v>
      </c>
      <c r="G1137" s="102" t="n">
        <f aca="false">IFERROR(F1137/INDEX($G$5:$G$34,MATCH(LOOKUP(2,1/($A$39:A1137&lt;&gt;""),$A$39:A1137),$A$5:$A$34,0)),0)</f>
        <v>0</v>
      </c>
      <c r="H1137" s="103" t="str">
        <f aca="false">IF(G1137=0,"空闲",IF(G1137&lt;=0.6,"低负荷",IF(G1137&lt;=0.85,"正常",IF(G1137&lt;=1,"满负荷","超负荷"))))</f>
        <v>空闲</v>
      </c>
      <c r="I1137" s="104" t="s">
        <v>638</v>
      </c>
      <c r="J1137" s="104"/>
      <c r="K1137" s="104"/>
      <c r="L1137" s="105" t="s">
        <v>639</v>
      </c>
    </row>
    <row r="1138" customFormat="false" ht="48" hidden="false" customHeight="true" outlineLevel="0" collapsed="false">
      <c r="A1138" s="99"/>
      <c r="B1138" s="100" t="n">
        <v>46286</v>
      </c>
      <c r="C1138" s="100" t="n">
        <v>46292</v>
      </c>
      <c r="D1138" s="99" t="s">
        <v>638</v>
      </c>
      <c r="E1138" s="99" t="n">
        <v>0</v>
      </c>
      <c r="F1138" s="101" t="n">
        <v>0</v>
      </c>
      <c r="G1138" s="102" t="n">
        <f aca="false">IFERROR(F1138/INDEX($G$5:$G$34,MATCH(LOOKUP(2,1/($A$39:A1138&lt;&gt;""),$A$39:A1138),$A$5:$A$34,0)),0)</f>
        <v>0</v>
      </c>
      <c r="H1138" s="103" t="str">
        <f aca="false">IF(G1138=0,"空闲",IF(G1138&lt;=0.6,"低负荷",IF(G1138&lt;=0.85,"正常",IF(G1138&lt;=1,"满负荷","超负荷"))))</f>
        <v>空闲</v>
      </c>
      <c r="I1138" s="104" t="s">
        <v>638</v>
      </c>
      <c r="J1138" s="104"/>
      <c r="K1138" s="104"/>
      <c r="L1138" s="105" t="s">
        <v>639</v>
      </c>
    </row>
    <row r="1139" customFormat="false" ht="48" hidden="false" customHeight="true" outlineLevel="0" collapsed="false">
      <c r="A1139" s="99"/>
      <c r="B1139" s="100" t="n">
        <v>46293</v>
      </c>
      <c r="C1139" s="100" t="n">
        <v>46299</v>
      </c>
      <c r="D1139" s="99" t="s">
        <v>638</v>
      </c>
      <c r="E1139" s="99" t="n">
        <v>0</v>
      </c>
      <c r="F1139" s="101" t="n">
        <v>0</v>
      </c>
      <c r="G1139" s="102" t="n">
        <f aca="false">IFERROR(F1139/INDEX($G$5:$G$34,MATCH(LOOKUP(2,1/($A$39:A1139&lt;&gt;""),$A$39:A1139),$A$5:$A$34,0)),0)</f>
        <v>0</v>
      </c>
      <c r="H1139" s="103" t="str">
        <f aca="false">IF(G1139=0,"空闲",IF(G1139&lt;=0.6,"低负荷",IF(G1139&lt;=0.85,"正常",IF(G1139&lt;=1,"满负荷","超负荷"))))</f>
        <v>空闲</v>
      </c>
      <c r="I1139" s="104" t="s">
        <v>638</v>
      </c>
      <c r="J1139" s="104"/>
      <c r="K1139" s="104"/>
      <c r="L1139" s="105" t="s">
        <v>639</v>
      </c>
    </row>
    <row r="1140" customFormat="false" ht="48" hidden="false" customHeight="true" outlineLevel="0" collapsed="false">
      <c r="A1140" s="99"/>
      <c r="B1140" s="100" t="n">
        <v>46300</v>
      </c>
      <c r="C1140" s="100" t="n">
        <v>46306</v>
      </c>
      <c r="D1140" s="99" t="s">
        <v>638</v>
      </c>
      <c r="E1140" s="99" t="n">
        <v>0</v>
      </c>
      <c r="F1140" s="101" t="n">
        <v>0</v>
      </c>
      <c r="G1140" s="102" t="n">
        <f aca="false">IFERROR(F1140/INDEX($G$5:$G$34,MATCH(LOOKUP(2,1/($A$39:A1140&lt;&gt;""),$A$39:A1140),$A$5:$A$34,0)),0)</f>
        <v>0</v>
      </c>
      <c r="H1140" s="103" t="str">
        <f aca="false">IF(G1140=0,"空闲",IF(G1140&lt;=0.6,"低负荷",IF(G1140&lt;=0.85,"正常",IF(G1140&lt;=1,"满负荷","超负荷"))))</f>
        <v>空闲</v>
      </c>
      <c r="I1140" s="104" t="s">
        <v>638</v>
      </c>
      <c r="J1140" s="104"/>
      <c r="K1140" s="104"/>
      <c r="L1140" s="105" t="s">
        <v>639</v>
      </c>
    </row>
    <row r="1141" customFormat="false" ht="48" hidden="false" customHeight="true" outlineLevel="0" collapsed="false">
      <c r="A1141" s="99"/>
      <c r="B1141" s="100" t="n">
        <v>46307</v>
      </c>
      <c r="C1141" s="100" t="n">
        <v>46313</v>
      </c>
      <c r="D1141" s="99" t="s">
        <v>638</v>
      </c>
      <c r="E1141" s="99" t="n">
        <v>0</v>
      </c>
      <c r="F1141" s="101" t="n">
        <v>0</v>
      </c>
      <c r="G1141" s="102" t="n">
        <f aca="false">IFERROR(F1141/INDEX($G$5:$G$34,MATCH(LOOKUP(2,1/($A$39:A1141&lt;&gt;""),$A$39:A1141),$A$5:$A$34,0)),0)</f>
        <v>0</v>
      </c>
      <c r="H1141" s="103" t="str">
        <f aca="false">IF(G1141=0,"空闲",IF(G1141&lt;=0.6,"低负荷",IF(G1141&lt;=0.85,"正常",IF(G1141&lt;=1,"满负荷","超负荷"))))</f>
        <v>空闲</v>
      </c>
      <c r="I1141" s="104" t="s">
        <v>638</v>
      </c>
      <c r="J1141" s="104"/>
      <c r="K1141" s="104"/>
      <c r="L1141" s="105" t="s">
        <v>639</v>
      </c>
    </row>
    <row r="1142" customFormat="false" ht="48" hidden="false" customHeight="true" outlineLevel="0" collapsed="false">
      <c r="A1142" s="99"/>
      <c r="B1142" s="100" t="n">
        <v>46314</v>
      </c>
      <c r="C1142" s="100" t="n">
        <v>46320</v>
      </c>
      <c r="D1142" s="99" t="s">
        <v>638</v>
      </c>
      <c r="E1142" s="99" t="n">
        <v>0</v>
      </c>
      <c r="F1142" s="101" t="n">
        <v>0</v>
      </c>
      <c r="G1142" s="102" t="n">
        <f aca="false">IFERROR(F1142/INDEX($G$5:$G$34,MATCH(LOOKUP(2,1/($A$39:A1142&lt;&gt;""),$A$39:A1142),$A$5:$A$34,0)),0)</f>
        <v>0</v>
      </c>
      <c r="H1142" s="103" t="str">
        <f aca="false">IF(G1142=0,"空闲",IF(G1142&lt;=0.6,"低负荷",IF(G1142&lt;=0.85,"正常",IF(G1142&lt;=1,"满负荷","超负荷"))))</f>
        <v>空闲</v>
      </c>
      <c r="I1142" s="104" t="s">
        <v>638</v>
      </c>
      <c r="J1142" s="104"/>
      <c r="K1142" s="104"/>
      <c r="L1142" s="105" t="s">
        <v>639</v>
      </c>
    </row>
    <row r="1143" customFormat="false" ht="48" hidden="false" customHeight="true" outlineLevel="0" collapsed="false">
      <c r="A1143" s="99"/>
      <c r="B1143" s="100" t="n">
        <v>46321</v>
      </c>
      <c r="C1143" s="100" t="n">
        <v>46327</v>
      </c>
      <c r="D1143" s="99" t="s">
        <v>638</v>
      </c>
      <c r="E1143" s="99" t="n">
        <v>0</v>
      </c>
      <c r="F1143" s="101" t="n">
        <v>0</v>
      </c>
      <c r="G1143" s="102" t="n">
        <f aca="false">IFERROR(F1143/INDEX($G$5:$G$34,MATCH(LOOKUP(2,1/($A$39:A1143&lt;&gt;""),$A$39:A1143),$A$5:$A$34,0)),0)</f>
        <v>0</v>
      </c>
      <c r="H1143" s="103" t="str">
        <f aca="false">IF(G1143=0,"空闲",IF(G1143&lt;=0.6,"低负荷",IF(G1143&lt;=0.85,"正常",IF(G1143&lt;=1,"满负荷","超负荷"))))</f>
        <v>空闲</v>
      </c>
      <c r="I1143" s="104" t="s">
        <v>638</v>
      </c>
      <c r="J1143" s="104"/>
      <c r="K1143" s="104"/>
      <c r="L1143" s="105" t="s">
        <v>639</v>
      </c>
    </row>
    <row r="1144" customFormat="false" ht="48" hidden="false" customHeight="true" outlineLevel="0" collapsed="false">
      <c r="A1144" s="99"/>
      <c r="B1144" s="100" t="n">
        <v>46328</v>
      </c>
      <c r="C1144" s="100" t="n">
        <v>46334</v>
      </c>
      <c r="D1144" s="99" t="s">
        <v>638</v>
      </c>
      <c r="E1144" s="99" t="n">
        <v>0</v>
      </c>
      <c r="F1144" s="101" t="n">
        <v>0</v>
      </c>
      <c r="G1144" s="102" t="n">
        <f aca="false">IFERROR(F1144/INDEX($G$5:$G$34,MATCH(LOOKUP(2,1/($A$39:A1144&lt;&gt;""),$A$39:A1144),$A$5:$A$34,0)),0)</f>
        <v>0</v>
      </c>
      <c r="H1144" s="103" t="str">
        <f aca="false">IF(G1144=0,"空闲",IF(G1144&lt;=0.6,"低负荷",IF(G1144&lt;=0.85,"正常",IF(G1144&lt;=1,"满负荷","超负荷"))))</f>
        <v>空闲</v>
      </c>
      <c r="I1144" s="104" t="s">
        <v>638</v>
      </c>
      <c r="J1144" s="104"/>
      <c r="K1144" s="104"/>
      <c r="L1144" s="105" t="s">
        <v>639</v>
      </c>
    </row>
    <row r="1145" customFormat="false" ht="48" hidden="false" customHeight="true" outlineLevel="0" collapsed="false">
      <c r="A1145" s="99"/>
      <c r="B1145" s="100" t="n">
        <v>46335</v>
      </c>
      <c r="C1145" s="100" t="n">
        <v>46341</v>
      </c>
      <c r="D1145" s="99" t="s">
        <v>638</v>
      </c>
      <c r="E1145" s="99" t="n">
        <v>0</v>
      </c>
      <c r="F1145" s="101" t="n">
        <v>0</v>
      </c>
      <c r="G1145" s="102" t="n">
        <f aca="false">IFERROR(F1145/INDEX($G$5:$G$34,MATCH(LOOKUP(2,1/($A$39:A1145&lt;&gt;""),$A$39:A1145),$A$5:$A$34,0)),0)</f>
        <v>0</v>
      </c>
      <c r="H1145" s="103" t="str">
        <f aca="false">IF(G1145=0,"空闲",IF(G1145&lt;=0.6,"低负荷",IF(G1145&lt;=0.85,"正常",IF(G1145&lt;=1,"满负荷","超负荷"))))</f>
        <v>空闲</v>
      </c>
      <c r="I1145" s="104" t="s">
        <v>638</v>
      </c>
      <c r="J1145" s="104"/>
      <c r="K1145" s="104"/>
      <c r="L1145" s="105" t="s">
        <v>639</v>
      </c>
    </row>
    <row r="1146" customFormat="false" ht="48" hidden="false" customHeight="true" outlineLevel="0" collapsed="false">
      <c r="A1146" s="99"/>
      <c r="B1146" s="100" t="n">
        <v>46342</v>
      </c>
      <c r="C1146" s="100" t="n">
        <v>46348</v>
      </c>
      <c r="D1146" s="99" t="s">
        <v>638</v>
      </c>
      <c r="E1146" s="99" t="n">
        <v>0</v>
      </c>
      <c r="F1146" s="101" t="n">
        <v>0</v>
      </c>
      <c r="G1146" s="102" t="n">
        <f aca="false">IFERROR(F1146/INDEX($G$5:$G$34,MATCH(LOOKUP(2,1/($A$39:A1146&lt;&gt;""),$A$39:A1146),$A$5:$A$34,0)),0)</f>
        <v>0</v>
      </c>
      <c r="H1146" s="103" t="str">
        <f aca="false">IF(G1146=0,"空闲",IF(G1146&lt;=0.6,"低负荷",IF(G1146&lt;=0.85,"正常",IF(G1146&lt;=1,"满负荷","超负荷"))))</f>
        <v>空闲</v>
      </c>
      <c r="I1146" s="104" t="s">
        <v>638</v>
      </c>
      <c r="J1146" s="104"/>
      <c r="K1146" s="104"/>
      <c r="L1146" s="105" t="s">
        <v>639</v>
      </c>
    </row>
    <row r="1147" customFormat="false" ht="48" hidden="false" customHeight="true" outlineLevel="0" collapsed="false">
      <c r="A1147" s="99"/>
      <c r="B1147" s="100" t="n">
        <v>46349</v>
      </c>
      <c r="C1147" s="100" t="n">
        <v>46355</v>
      </c>
      <c r="D1147" s="99" t="s">
        <v>640</v>
      </c>
      <c r="E1147" s="99" t="n">
        <v>1</v>
      </c>
      <c r="F1147" s="101" t="n">
        <v>40</v>
      </c>
      <c r="G1147" s="102" t="n">
        <f aca="false">IFERROR(F1147/INDEX($G$5:$G$34,MATCH(LOOKUP(2,1/($A$39:A1147&lt;&gt;""),$A$39:A1147),$A$5:$A$34,0)),0)</f>
        <v>1</v>
      </c>
      <c r="H1147" s="103" t="str">
        <f aca="false">IF(G1147=0,"空闲",IF(G1147&lt;=0.6,"低负荷",IF(G1147&lt;=0.85,"正常",IF(G1147&lt;=1,"满负荷","超负荷"))))</f>
        <v>满负荷</v>
      </c>
      <c r="I1147" s="106" t="s">
        <v>712</v>
      </c>
      <c r="J1147" s="106"/>
      <c r="K1147" s="106"/>
      <c r="L1147" s="105" t="s">
        <v>642</v>
      </c>
    </row>
    <row r="1148" customFormat="false" ht="48" hidden="false" customHeight="true" outlineLevel="0" collapsed="false">
      <c r="A1148" s="99"/>
      <c r="B1148" s="100" t="n">
        <v>46356</v>
      </c>
      <c r="C1148" s="100" t="n">
        <v>46362</v>
      </c>
      <c r="D1148" s="99" t="s">
        <v>640</v>
      </c>
      <c r="E1148" s="99" t="n">
        <v>1</v>
      </c>
      <c r="F1148" s="101" t="n">
        <v>40</v>
      </c>
      <c r="G1148" s="102" t="n">
        <f aca="false">IFERROR(F1148/INDEX($G$5:$G$34,MATCH(LOOKUP(2,1/($A$39:A1148&lt;&gt;""),$A$39:A1148),$A$5:$A$34,0)),0)</f>
        <v>1</v>
      </c>
      <c r="H1148" s="103" t="str">
        <f aca="false">IF(G1148=0,"空闲",IF(G1148&lt;=0.6,"低负荷",IF(G1148&lt;=0.85,"正常",IF(G1148&lt;=1,"满负荷","超负荷"))))</f>
        <v>满负荷</v>
      </c>
      <c r="I1148" s="106" t="s">
        <v>712</v>
      </c>
      <c r="J1148" s="106"/>
      <c r="K1148" s="106"/>
      <c r="L1148" s="105" t="s">
        <v>642</v>
      </c>
    </row>
    <row r="1149" customFormat="false" ht="48" hidden="false" customHeight="true" outlineLevel="0" collapsed="false">
      <c r="A1149" s="99"/>
      <c r="B1149" s="100" t="n">
        <v>46363</v>
      </c>
      <c r="C1149" s="100" t="n">
        <v>46369</v>
      </c>
      <c r="D1149" s="99" t="s">
        <v>640</v>
      </c>
      <c r="E1149" s="99" t="n">
        <v>5</v>
      </c>
      <c r="F1149" s="101" t="n">
        <v>40</v>
      </c>
      <c r="G1149" s="102" t="n">
        <f aca="false">IFERROR(F1149/INDEX($G$5:$G$34,MATCH(LOOKUP(2,1/($A$39:A1149&lt;&gt;""),$A$39:A1149),$A$5:$A$34,0)),0)</f>
        <v>1</v>
      </c>
      <c r="H1149" s="103" t="str">
        <f aca="false">IF(G1149=0,"空闲",IF(G1149&lt;=0.6,"低负荷",IF(G1149&lt;=0.85,"正常",IF(G1149&lt;=1,"满负荷","超负荷"))))</f>
        <v>满负荷</v>
      </c>
      <c r="I1149" s="106" t="s">
        <v>748</v>
      </c>
      <c r="J1149" s="106"/>
      <c r="K1149" s="106"/>
      <c r="L1149" s="105" t="s">
        <v>717</v>
      </c>
    </row>
    <row r="1150" customFormat="false" ht="48" hidden="false" customHeight="true" outlineLevel="0" collapsed="false">
      <c r="A1150" s="99"/>
      <c r="B1150" s="100" t="n">
        <v>46370</v>
      </c>
      <c r="C1150" s="100" t="n">
        <v>46376</v>
      </c>
      <c r="D1150" s="99" t="s">
        <v>640</v>
      </c>
      <c r="E1150" s="99" t="n">
        <v>5</v>
      </c>
      <c r="F1150" s="101" t="n">
        <v>40</v>
      </c>
      <c r="G1150" s="102" t="n">
        <f aca="false">IFERROR(F1150/INDEX($G$5:$G$34,MATCH(LOOKUP(2,1/($A$39:A1150&lt;&gt;""),$A$39:A1150),$A$5:$A$34,0)),0)</f>
        <v>1</v>
      </c>
      <c r="H1150" s="103" t="str">
        <f aca="false">IF(G1150=0,"空闲",IF(G1150&lt;=0.6,"低负荷",IF(G1150&lt;=0.85,"正常",IF(G1150&lt;=1,"满负荷","超负荷"))))</f>
        <v>满负荷</v>
      </c>
      <c r="I1150" s="106" t="s">
        <v>748</v>
      </c>
      <c r="J1150" s="106"/>
      <c r="K1150" s="106"/>
      <c r="L1150" s="105" t="s">
        <v>717</v>
      </c>
    </row>
    <row r="1151" customFormat="false" ht="48" hidden="false" customHeight="true" outlineLevel="0" collapsed="false">
      <c r="A1151" s="99"/>
      <c r="B1151" s="100" t="n">
        <v>46377</v>
      </c>
      <c r="C1151" s="100" t="n">
        <v>46383</v>
      </c>
      <c r="D1151" s="99" t="s">
        <v>640</v>
      </c>
      <c r="E1151" s="99" t="n">
        <v>6</v>
      </c>
      <c r="F1151" s="101" t="n">
        <v>40</v>
      </c>
      <c r="G1151" s="102" t="n">
        <f aca="false">IFERROR(F1151/INDEX($G$5:$G$34,MATCH(LOOKUP(2,1/($A$39:A1151&lt;&gt;""),$A$39:A1151),$A$5:$A$34,0)),0)</f>
        <v>1</v>
      </c>
      <c r="H1151" s="103" t="str">
        <f aca="false">IF(G1151=0,"空闲",IF(G1151&lt;=0.6,"低负荷",IF(G1151&lt;=0.85,"正常",IF(G1151&lt;=1,"满负荷","超负荷"))))</f>
        <v>满负荷</v>
      </c>
      <c r="I1151" s="106" t="s">
        <v>749</v>
      </c>
      <c r="J1151" s="106"/>
      <c r="K1151" s="106"/>
      <c r="L1151" s="105" t="s">
        <v>676</v>
      </c>
    </row>
    <row r="1152" customFormat="false" ht="48" hidden="false" customHeight="true" outlineLevel="0" collapsed="false">
      <c r="A1152" s="99"/>
      <c r="B1152" s="100" t="n">
        <v>46384</v>
      </c>
      <c r="C1152" s="100" t="n">
        <v>46390</v>
      </c>
      <c r="D1152" s="99" t="s">
        <v>640</v>
      </c>
      <c r="E1152" s="99" t="n">
        <v>6</v>
      </c>
      <c r="F1152" s="101" t="n">
        <v>40</v>
      </c>
      <c r="G1152" s="102" t="n">
        <f aca="false">IFERROR(F1152/INDEX($G$5:$G$34,MATCH(LOOKUP(2,1/($A$39:A1152&lt;&gt;""),$A$39:A1152),$A$5:$A$34,0)),0)</f>
        <v>1</v>
      </c>
      <c r="H1152" s="103" t="str">
        <f aca="false">IF(G1152=0,"空闲",IF(G1152&lt;=0.6,"低负荷",IF(G1152&lt;=0.85,"正常",IF(G1152&lt;=1,"满负荷","超负荷"))))</f>
        <v>满负荷</v>
      </c>
      <c r="I1152" s="106" t="s">
        <v>749</v>
      </c>
      <c r="J1152" s="106"/>
      <c r="K1152" s="106"/>
      <c r="L1152" s="105" t="s">
        <v>676</v>
      </c>
    </row>
    <row r="1153" customFormat="false" ht="48" hidden="false" customHeight="true" outlineLevel="0" collapsed="false">
      <c r="A1153" s="99"/>
      <c r="B1153" s="100" t="n">
        <v>46391</v>
      </c>
      <c r="C1153" s="100" t="n">
        <v>46397</v>
      </c>
      <c r="D1153" s="99" t="s">
        <v>640</v>
      </c>
      <c r="E1153" s="99" t="n">
        <v>6</v>
      </c>
      <c r="F1153" s="101" t="n">
        <v>40</v>
      </c>
      <c r="G1153" s="102" t="n">
        <f aca="false">IFERROR(F1153/INDEX($G$5:$G$34,MATCH(LOOKUP(2,1/($A$39:A1153&lt;&gt;""),$A$39:A1153),$A$5:$A$34,0)),0)</f>
        <v>1</v>
      </c>
      <c r="H1153" s="103" t="str">
        <f aca="false">IF(G1153=0,"空闲",IF(G1153&lt;=0.6,"低负荷",IF(G1153&lt;=0.85,"正常",IF(G1153&lt;=1,"满负荷","超负荷"))))</f>
        <v>满负荷</v>
      </c>
      <c r="I1153" s="106" t="s">
        <v>749</v>
      </c>
      <c r="J1153" s="106"/>
      <c r="K1153" s="106"/>
      <c r="L1153" s="105" t="s">
        <v>676</v>
      </c>
    </row>
    <row r="1154" customFormat="false" ht="48" hidden="false" customHeight="true" outlineLevel="0" collapsed="false">
      <c r="A1154" s="99"/>
      <c r="B1154" s="100" t="n">
        <v>46398</v>
      </c>
      <c r="C1154" s="100" t="n">
        <v>46404</v>
      </c>
      <c r="D1154" s="99" t="s">
        <v>640</v>
      </c>
      <c r="E1154" s="99" t="n">
        <v>5</v>
      </c>
      <c r="F1154" s="101" t="n">
        <v>40</v>
      </c>
      <c r="G1154" s="102" t="n">
        <f aca="false">IFERROR(F1154/INDEX($G$5:$G$34,MATCH(LOOKUP(2,1/($A$39:A1154&lt;&gt;""),$A$39:A1154),$A$5:$A$34,0)),0)</f>
        <v>1</v>
      </c>
      <c r="H1154" s="103" t="str">
        <f aca="false">IF(G1154=0,"空闲",IF(G1154&lt;=0.6,"低负荷",IF(G1154&lt;=0.85,"正常",IF(G1154&lt;=1,"满负荷","超负荷"))))</f>
        <v>满负荷</v>
      </c>
      <c r="I1154" s="106" t="s">
        <v>748</v>
      </c>
      <c r="J1154" s="106"/>
      <c r="K1154" s="106"/>
      <c r="L1154" s="105" t="s">
        <v>717</v>
      </c>
    </row>
    <row r="1155" customFormat="false" ht="48" hidden="false" customHeight="true" outlineLevel="0" collapsed="false">
      <c r="A1155" s="99"/>
      <c r="B1155" s="100" t="n">
        <v>46405</v>
      </c>
      <c r="C1155" s="100" t="n">
        <v>46411</v>
      </c>
      <c r="D1155" s="99" t="s">
        <v>640</v>
      </c>
      <c r="E1155" s="99" t="n">
        <v>5</v>
      </c>
      <c r="F1155" s="101" t="n">
        <v>40</v>
      </c>
      <c r="G1155" s="102" t="n">
        <f aca="false">IFERROR(F1155/INDEX($G$5:$G$34,MATCH(LOOKUP(2,1/($A$39:A1155&lt;&gt;""),$A$39:A1155),$A$5:$A$34,0)),0)</f>
        <v>1</v>
      </c>
      <c r="H1155" s="103" t="str">
        <f aca="false">IF(G1155=0,"空闲",IF(G1155&lt;=0.6,"低负荷",IF(G1155&lt;=0.85,"正常",IF(G1155&lt;=1,"满负荷","超负荷"))))</f>
        <v>满负荷</v>
      </c>
      <c r="I1155" s="106" t="s">
        <v>748</v>
      </c>
      <c r="J1155" s="106"/>
      <c r="K1155" s="106"/>
      <c r="L1155" s="105" t="s">
        <v>717</v>
      </c>
    </row>
    <row r="1156" customFormat="false" ht="48" hidden="false" customHeight="true" outlineLevel="0" collapsed="false">
      <c r="A1156" s="99"/>
      <c r="B1156" s="100" t="n">
        <v>46412</v>
      </c>
      <c r="C1156" s="100" t="n">
        <v>46418</v>
      </c>
      <c r="D1156" s="99" t="s">
        <v>640</v>
      </c>
      <c r="E1156" s="99" t="n">
        <v>5</v>
      </c>
      <c r="F1156" s="101" t="n">
        <v>40</v>
      </c>
      <c r="G1156" s="102" t="n">
        <f aca="false">IFERROR(F1156/INDEX($G$5:$G$34,MATCH(LOOKUP(2,1/($A$39:A1156&lt;&gt;""),$A$39:A1156),$A$5:$A$34,0)),0)</f>
        <v>1</v>
      </c>
      <c r="H1156" s="103" t="str">
        <f aca="false">IF(G1156=0,"空闲",IF(G1156&lt;=0.6,"低负荷",IF(G1156&lt;=0.85,"正常",IF(G1156&lt;=1,"满负荷","超负荷"))))</f>
        <v>满负荷</v>
      </c>
      <c r="I1156" s="106" t="s">
        <v>748</v>
      </c>
      <c r="J1156" s="106"/>
      <c r="K1156" s="106"/>
      <c r="L1156" s="105" t="s">
        <v>717</v>
      </c>
    </row>
    <row r="1157" customFormat="false" ht="48" hidden="false" customHeight="true" outlineLevel="0" collapsed="false">
      <c r="A1157" s="99"/>
      <c r="B1157" s="100" t="n">
        <v>46419</v>
      </c>
      <c r="C1157" s="100" t="n">
        <v>46425</v>
      </c>
      <c r="D1157" s="99" t="s">
        <v>640</v>
      </c>
      <c r="E1157" s="99" t="n">
        <v>5</v>
      </c>
      <c r="F1157" s="101" t="n">
        <v>40</v>
      </c>
      <c r="G1157" s="102" t="n">
        <f aca="false">IFERROR(F1157/INDEX($G$5:$G$34,MATCH(LOOKUP(2,1/($A$39:A1157&lt;&gt;""),$A$39:A1157),$A$5:$A$34,0)),0)</f>
        <v>1</v>
      </c>
      <c r="H1157" s="103" t="str">
        <f aca="false">IF(G1157=0,"空闲",IF(G1157&lt;=0.6,"低负荷",IF(G1157&lt;=0.85,"正常",IF(G1157&lt;=1,"满负荷","超负荷"))))</f>
        <v>满负荷</v>
      </c>
      <c r="I1157" s="106" t="s">
        <v>748</v>
      </c>
      <c r="J1157" s="106"/>
      <c r="K1157" s="106"/>
      <c r="L1157" s="105" t="s">
        <v>717</v>
      </c>
    </row>
    <row r="1158" customFormat="false" ht="48" hidden="false" customHeight="true" outlineLevel="0" collapsed="false">
      <c r="A1158" s="99"/>
      <c r="B1158" s="100" t="n">
        <v>46426</v>
      </c>
      <c r="C1158" s="100" t="n">
        <v>46432</v>
      </c>
      <c r="D1158" s="99" t="s">
        <v>640</v>
      </c>
      <c r="E1158" s="99" t="n">
        <v>5</v>
      </c>
      <c r="F1158" s="101" t="n">
        <v>40</v>
      </c>
      <c r="G1158" s="102" t="n">
        <f aca="false">IFERROR(F1158/INDEX($G$5:$G$34,MATCH(LOOKUP(2,1/($A$39:A1158&lt;&gt;""),$A$39:A1158),$A$5:$A$34,0)),0)</f>
        <v>1</v>
      </c>
      <c r="H1158" s="103" t="str">
        <f aca="false">IF(G1158=0,"空闲",IF(G1158&lt;=0.6,"低负荷",IF(G1158&lt;=0.85,"正常",IF(G1158&lt;=1,"满负荷","超负荷"))))</f>
        <v>满负荷</v>
      </c>
      <c r="I1158" s="106" t="s">
        <v>748</v>
      </c>
      <c r="J1158" s="106"/>
      <c r="K1158" s="106"/>
      <c r="L1158" s="105" t="s">
        <v>717</v>
      </c>
    </row>
    <row r="1159" customFormat="false" ht="48" hidden="false" customHeight="true" outlineLevel="0" collapsed="false">
      <c r="A1159" s="99"/>
      <c r="B1159" s="100" t="n">
        <v>46433</v>
      </c>
      <c r="C1159" s="100" t="n">
        <v>46439</v>
      </c>
      <c r="D1159" s="99" t="s">
        <v>638</v>
      </c>
      <c r="E1159" s="99" t="n">
        <v>0</v>
      </c>
      <c r="F1159" s="101" t="n">
        <v>0</v>
      </c>
      <c r="G1159" s="102" t="n">
        <f aca="false">IFERROR(F1159/INDEX($G$5:$G$34,MATCH(LOOKUP(2,1/($A$39:A1159&lt;&gt;""),$A$39:A1159),$A$5:$A$34,0)),0)</f>
        <v>0</v>
      </c>
      <c r="H1159" s="103" t="str">
        <f aca="false">IF(G1159=0,"空闲",IF(G1159&lt;=0.6,"低负荷",IF(G1159&lt;=0.85,"正常",IF(G1159&lt;=1,"满负荷","超负荷"))))</f>
        <v>空闲</v>
      </c>
      <c r="I1159" s="104" t="s">
        <v>638</v>
      </c>
      <c r="J1159" s="104"/>
      <c r="K1159" s="104"/>
      <c r="L1159" s="105" t="s">
        <v>639</v>
      </c>
    </row>
    <row r="1160" customFormat="false" ht="48" hidden="false" customHeight="true" outlineLevel="0" collapsed="false">
      <c r="A1160" s="99"/>
      <c r="B1160" s="100" t="n">
        <v>46440</v>
      </c>
      <c r="C1160" s="100" t="n">
        <v>46446</v>
      </c>
      <c r="D1160" s="99" t="s">
        <v>638</v>
      </c>
      <c r="E1160" s="99" t="n">
        <v>0</v>
      </c>
      <c r="F1160" s="101" t="n">
        <v>0</v>
      </c>
      <c r="G1160" s="102" t="n">
        <f aca="false">IFERROR(F1160/INDEX($G$5:$G$34,MATCH(LOOKUP(2,1/($A$39:A1160&lt;&gt;""),$A$39:A1160),$A$5:$A$34,0)),0)</f>
        <v>0</v>
      </c>
      <c r="H1160" s="103" t="str">
        <f aca="false">IF(G1160=0,"空闲",IF(G1160&lt;=0.6,"低负荷",IF(G1160&lt;=0.85,"正常",IF(G1160&lt;=1,"满负荷","超负荷"))))</f>
        <v>空闲</v>
      </c>
      <c r="I1160" s="104" t="s">
        <v>638</v>
      </c>
      <c r="J1160" s="104"/>
      <c r="K1160" s="104"/>
      <c r="L1160" s="105" t="s">
        <v>639</v>
      </c>
    </row>
    <row r="1161" customFormat="false" ht="48" hidden="false" customHeight="true" outlineLevel="0" collapsed="false">
      <c r="A1161" s="99"/>
      <c r="B1161" s="100" t="n">
        <v>46447</v>
      </c>
      <c r="C1161" s="100" t="n">
        <v>46453</v>
      </c>
      <c r="D1161" s="99" t="s">
        <v>638</v>
      </c>
      <c r="E1161" s="99" t="n">
        <v>0</v>
      </c>
      <c r="F1161" s="101" t="n">
        <v>0</v>
      </c>
      <c r="G1161" s="102" t="n">
        <f aca="false">IFERROR(F1161/INDEX($G$5:$G$34,MATCH(LOOKUP(2,1/($A$39:A1161&lt;&gt;""),$A$39:A1161),$A$5:$A$34,0)),0)</f>
        <v>0</v>
      </c>
      <c r="H1161" s="103" t="str">
        <f aca="false">IF(G1161=0,"空闲",IF(G1161&lt;=0.6,"低负荷",IF(G1161&lt;=0.85,"正常",IF(G1161&lt;=1,"满负荷","超负荷"))))</f>
        <v>空闲</v>
      </c>
      <c r="I1161" s="104" t="s">
        <v>638</v>
      </c>
      <c r="J1161" s="104"/>
      <c r="K1161" s="104"/>
      <c r="L1161" s="105" t="s">
        <v>639</v>
      </c>
    </row>
    <row r="1162" customFormat="false" ht="48" hidden="false" customHeight="true" outlineLevel="0" collapsed="false">
      <c r="A1162" s="99"/>
      <c r="B1162" s="100" t="n">
        <v>46454</v>
      </c>
      <c r="C1162" s="100" t="n">
        <v>46460</v>
      </c>
      <c r="D1162" s="99" t="s">
        <v>638</v>
      </c>
      <c r="E1162" s="99" t="n">
        <v>0</v>
      </c>
      <c r="F1162" s="101" t="n">
        <v>0</v>
      </c>
      <c r="G1162" s="102" t="n">
        <f aca="false">IFERROR(F1162/INDEX($G$5:$G$34,MATCH(LOOKUP(2,1/($A$39:A1162&lt;&gt;""),$A$39:A1162),$A$5:$A$34,0)),0)</f>
        <v>0</v>
      </c>
      <c r="H1162" s="103" t="str">
        <f aca="false">IF(G1162=0,"空闲",IF(G1162&lt;=0.6,"低负荷",IF(G1162&lt;=0.85,"正常",IF(G1162&lt;=1,"满负荷","超负荷"))))</f>
        <v>空闲</v>
      </c>
      <c r="I1162" s="104" t="s">
        <v>638</v>
      </c>
      <c r="J1162" s="104"/>
      <c r="K1162" s="104"/>
      <c r="L1162" s="105" t="s">
        <v>639</v>
      </c>
    </row>
    <row r="1163" customFormat="false" ht="48" hidden="false" customHeight="true" outlineLevel="0" collapsed="false">
      <c r="A1163" s="99"/>
      <c r="B1163" s="100" t="n">
        <v>46461</v>
      </c>
      <c r="C1163" s="100" t="n">
        <v>46467</v>
      </c>
      <c r="D1163" s="99" t="s">
        <v>638</v>
      </c>
      <c r="E1163" s="99" t="n">
        <v>0</v>
      </c>
      <c r="F1163" s="101" t="n">
        <v>0</v>
      </c>
      <c r="G1163" s="102" t="n">
        <f aca="false">IFERROR(F1163/INDEX($G$5:$G$34,MATCH(LOOKUP(2,1/($A$39:A1163&lt;&gt;""),$A$39:A1163),$A$5:$A$34,0)),0)</f>
        <v>0</v>
      </c>
      <c r="H1163" s="103" t="str">
        <f aca="false">IF(G1163=0,"空闲",IF(G1163&lt;=0.6,"低负荷",IF(G1163&lt;=0.85,"正常",IF(G1163&lt;=1,"满负荷","超负荷"))))</f>
        <v>空闲</v>
      </c>
      <c r="I1163" s="104" t="s">
        <v>638</v>
      </c>
      <c r="J1163" s="104"/>
      <c r="K1163" s="104"/>
      <c r="L1163" s="105" t="s">
        <v>639</v>
      </c>
    </row>
    <row r="1164" customFormat="false" ht="48" hidden="false" customHeight="true" outlineLevel="0" collapsed="false">
      <c r="A1164" s="99"/>
      <c r="B1164" s="100" t="n">
        <v>46468</v>
      </c>
      <c r="C1164" s="100" t="n">
        <v>46474</v>
      </c>
      <c r="D1164" s="99" t="s">
        <v>638</v>
      </c>
      <c r="E1164" s="99" t="n">
        <v>0</v>
      </c>
      <c r="F1164" s="101" t="n">
        <v>0</v>
      </c>
      <c r="G1164" s="102" t="n">
        <f aca="false">IFERROR(F1164/INDEX($G$5:$G$34,MATCH(LOOKUP(2,1/($A$39:A1164&lt;&gt;""),$A$39:A1164),$A$5:$A$34,0)),0)</f>
        <v>0</v>
      </c>
      <c r="H1164" s="103" t="str">
        <f aca="false">IF(G1164=0,"空闲",IF(G1164&lt;=0.6,"低负荷",IF(G1164&lt;=0.85,"正常",IF(G1164&lt;=1,"满负荷","超负荷"))))</f>
        <v>空闲</v>
      </c>
      <c r="I1164" s="104" t="s">
        <v>638</v>
      </c>
      <c r="J1164" s="104"/>
      <c r="K1164" s="104"/>
      <c r="L1164" s="105" t="s">
        <v>639</v>
      </c>
    </row>
    <row r="1165" customFormat="false" ht="48" hidden="false" customHeight="true" outlineLevel="0" collapsed="false">
      <c r="A1165" s="99"/>
      <c r="B1165" s="100" t="n">
        <v>46475</v>
      </c>
      <c r="C1165" s="100" t="n">
        <v>46481</v>
      </c>
      <c r="D1165" s="99" t="s">
        <v>638</v>
      </c>
      <c r="E1165" s="99" t="n">
        <v>0</v>
      </c>
      <c r="F1165" s="101" t="n">
        <v>0</v>
      </c>
      <c r="G1165" s="102" t="n">
        <f aca="false">IFERROR(F1165/INDEX($G$5:$G$34,MATCH(LOOKUP(2,1/($A$39:A1165&lt;&gt;""),$A$39:A1165),$A$5:$A$34,0)),0)</f>
        <v>0</v>
      </c>
      <c r="H1165" s="103" t="str">
        <f aca="false">IF(G1165=0,"空闲",IF(G1165&lt;=0.6,"低负荷",IF(G1165&lt;=0.85,"正常",IF(G1165&lt;=1,"满负荷","超负荷"))))</f>
        <v>空闲</v>
      </c>
      <c r="I1165" s="104" t="s">
        <v>638</v>
      </c>
      <c r="J1165" s="104"/>
      <c r="K1165" s="104"/>
      <c r="L1165" s="105" t="s">
        <v>639</v>
      </c>
    </row>
    <row r="1166" customFormat="false" ht="48" hidden="false" customHeight="true" outlineLevel="0" collapsed="false">
      <c r="A1166" s="99"/>
      <c r="B1166" s="100" t="n">
        <v>46482</v>
      </c>
      <c r="C1166" s="100" t="n">
        <v>46488</v>
      </c>
      <c r="D1166" s="99" t="s">
        <v>638</v>
      </c>
      <c r="E1166" s="99" t="n">
        <v>0</v>
      </c>
      <c r="F1166" s="101" t="n">
        <v>0</v>
      </c>
      <c r="G1166" s="102" t="n">
        <f aca="false">IFERROR(F1166/INDEX($G$5:$G$34,MATCH(LOOKUP(2,1/($A$39:A1166&lt;&gt;""),$A$39:A1166),$A$5:$A$34,0)),0)</f>
        <v>0</v>
      </c>
      <c r="H1166" s="103" t="str">
        <f aca="false">IF(G1166=0,"空闲",IF(G1166&lt;=0.6,"低负荷",IF(G1166&lt;=0.85,"正常",IF(G1166&lt;=1,"满负荷","超负荷"))))</f>
        <v>空闲</v>
      </c>
      <c r="I1166" s="104" t="s">
        <v>638</v>
      </c>
      <c r="J1166" s="104"/>
      <c r="K1166" s="104"/>
      <c r="L1166" s="105" t="s">
        <v>639</v>
      </c>
    </row>
    <row r="1167" customFormat="false" ht="48" hidden="false" customHeight="true" outlineLevel="0" collapsed="false">
      <c r="A1167" s="99"/>
      <c r="B1167" s="100" t="n">
        <v>46489</v>
      </c>
      <c r="C1167" s="100" t="n">
        <v>46495</v>
      </c>
      <c r="D1167" s="99" t="s">
        <v>638</v>
      </c>
      <c r="E1167" s="99" t="n">
        <v>0</v>
      </c>
      <c r="F1167" s="101" t="n">
        <v>0</v>
      </c>
      <c r="G1167" s="102" t="n">
        <f aca="false">IFERROR(F1167/INDEX($G$5:$G$34,MATCH(LOOKUP(2,1/($A$39:A1167&lt;&gt;""),$A$39:A1167),$A$5:$A$34,0)),0)</f>
        <v>0</v>
      </c>
      <c r="H1167" s="103" t="str">
        <f aca="false">IF(G1167=0,"空闲",IF(G1167&lt;=0.6,"低负荷",IF(G1167&lt;=0.85,"正常",IF(G1167&lt;=1,"满负荷","超负荷"))))</f>
        <v>空闲</v>
      </c>
      <c r="I1167" s="104" t="s">
        <v>638</v>
      </c>
      <c r="J1167" s="104"/>
      <c r="K1167" s="104"/>
      <c r="L1167" s="105" t="s">
        <v>639</v>
      </c>
    </row>
    <row r="1168" customFormat="false" ht="48" hidden="false" customHeight="true" outlineLevel="0" collapsed="false">
      <c r="A1168" s="99"/>
      <c r="B1168" s="100" t="n">
        <v>46496</v>
      </c>
      <c r="C1168" s="100" t="n">
        <v>46502</v>
      </c>
      <c r="D1168" s="99" t="s">
        <v>638</v>
      </c>
      <c r="E1168" s="99" t="n">
        <v>0</v>
      </c>
      <c r="F1168" s="101" t="n">
        <v>0</v>
      </c>
      <c r="G1168" s="102" t="n">
        <f aca="false">IFERROR(F1168/INDEX($G$5:$G$34,MATCH(LOOKUP(2,1/($A$39:A1168&lt;&gt;""),$A$39:A1168),$A$5:$A$34,0)),0)</f>
        <v>0</v>
      </c>
      <c r="H1168" s="103" t="str">
        <f aca="false">IF(G1168=0,"空闲",IF(G1168&lt;=0.6,"低负荷",IF(G1168&lt;=0.85,"正常",IF(G1168&lt;=1,"满负荷","超负荷"))))</f>
        <v>空闲</v>
      </c>
      <c r="I1168" s="104" t="s">
        <v>638</v>
      </c>
      <c r="J1168" s="104"/>
      <c r="K1168" s="104"/>
      <c r="L1168" s="105" t="s">
        <v>639</v>
      </c>
    </row>
    <row r="1169" customFormat="false" ht="48" hidden="false" customHeight="true" outlineLevel="0" collapsed="false">
      <c r="A1169" s="99"/>
      <c r="B1169" s="100" t="n">
        <v>46503</v>
      </c>
      <c r="C1169" s="100" t="n">
        <v>46509</v>
      </c>
      <c r="D1169" s="99" t="s">
        <v>638</v>
      </c>
      <c r="E1169" s="99" t="n">
        <v>0</v>
      </c>
      <c r="F1169" s="101" t="n">
        <v>0</v>
      </c>
      <c r="G1169" s="102" t="n">
        <f aca="false">IFERROR(F1169/INDEX($G$5:$G$34,MATCH(LOOKUP(2,1/($A$39:A1169&lt;&gt;""),$A$39:A1169),$A$5:$A$34,0)),0)</f>
        <v>0</v>
      </c>
      <c r="H1169" s="103" t="str">
        <f aca="false">IF(G1169=0,"空闲",IF(G1169&lt;=0.6,"低负荷",IF(G1169&lt;=0.85,"正常",IF(G1169&lt;=1,"满负荷","超负荷"))))</f>
        <v>空闲</v>
      </c>
      <c r="I1169" s="104" t="s">
        <v>638</v>
      </c>
      <c r="J1169" s="104"/>
      <c r="K1169" s="104"/>
      <c r="L1169" s="105" t="s">
        <v>639</v>
      </c>
    </row>
    <row r="1170" customFormat="false" ht="48" hidden="false" customHeight="true" outlineLevel="0" collapsed="false">
      <c r="A1170" s="99"/>
      <c r="B1170" s="100" t="n">
        <v>46510</v>
      </c>
      <c r="C1170" s="100" t="n">
        <v>46516</v>
      </c>
      <c r="D1170" s="99" t="s">
        <v>638</v>
      </c>
      <c r="E1170" s="99" t="n">
        <v>0</v>
      </c>
      <c r="F1170" s="101" t="n">
        <v>0</v>
      </c>
      <c r="G1170" s="102" t="n">
        <f aca="false">IFERROR(F1170/INDEX($G$5:$G$34,MATCH(LOOKUP(2,1/($A$39:A1170&lt;&gt;""),$A$39:A1170),$A$5:$A$34,0)),0)</f>
        <v>0</v>
      </c>
      <c r="H1170" s="103" t="str">
        <f aca="false">IF(G1170=0,"空闲",IF(G1170&lt;=0.6,"低负荷",IF(G1170&lt;=0.85,"正常",IF(G1170&lt;=1,"满负荷","超负荷"))))</f>
        <v>空闲</v>
      </c>
      <c r="I1170" s="104" t="s">
        <v>638</v>
      </c>
      <c r="J1170" s="104"/>
      <c r="K1170" s="104"/>
      <c r="L1170" s="105" t="s">
        <v>639</v>
      </c>
    </row>
    <row r="1171" customFormat="false" ht="48" hidden="false" customHeight="true" outlineLevel="0" collapsed="false">
      <c r="A1171" s="99"/>
      <c r="B1171" s="100" t="n">
        <v>46517</v>
      </c>
      <c r="C1171" s="100" t="n">
        <v>46523</v>
      </c>
      <c r="D1171" s="99" t="s">
        <v>638</v>
      </c>
      <c r="E1171" s="99" t="n">
        <v>0</v>
      </c>
      <c r="F1171" s="101" t="n">
        <v>0</v>
      </c>
      <c r="G1171" s="102" t="n">
        <f aca="false">IFERROR(F1171/INDEX($G$5:$G$34,MATCH(LOOKUP(2,1/($A$39:A1171&lt;&gt;""),$A$39:A1171),$A$5:$A$34,0)),0)</f>
        <v>0</v>
      </c>
      <c r="H1171" s="103" t="str">
        <f aca="false">IF(G1171=0,"空闲",IF(G1171&lt;=0.6,"低负荷",IF(G1171&lt;=0.85,"正常",IF(G1171&lt;=1,"满负荷","超负荷"))))</f>
        <v>空闲</v>
      </c>
      <c r="I1171" s="104" t="s">
        <v>638</v>
      </c>
      <c r="J1171" s="104"/>
      <c r="K1171" s="104"/>
      <c r="L1171" s="105" t="s">
        <v>639</v>
      </c>
    </row>
    <row r="1172" customFormat="false" ht="48" hidden="false" customHeight="true" outlineLevel="0" collapsed="false">
      <c r="A1172" s="99"/>
      <c r="B1172" s="100" t="n">
        <v>46524</v>
      </c>
      <c r="C1172" s="100" t="n">
        <v>46530</v>
      </c>
      <c r="D1172" s="99" t="s">
        <v>638</v>
      </c>
      <c r="E1172" s="99" t="n">
        <v>0</v>
      </c>
      <c r="F1172" s="101" t="n">
        <v>0</v>
      </c>
      <c r="G1172" s="102" t="n">
        <f aca="false">IFERROR(F1172/INDEX($G$5:$G$34,MATCH(LOOKUP(2,1/($A$39:A1172&lt;&gt;""),$A$39:A1172),$A$5:$A$34,0)),0)</f>
        <v>0</v>
      </c>
      <c r="H1172" s="103" t="str">
        <f aca="false">IF(G1172=0,"空闲",IF(G1172&lt;=0.6,"低负荷",IF(G1172&lt;=0.85,"正常",IF(G1172&lt;=1,"满负荷","超负荷"))))</f>
        <v>空闲</v>
      </c>
      <c r="I1172" s="104" t="s">
        <v>638</v>
      </c>
      <c r="J1172" s="104"/>
      <c r="K1172" s="104"/>
      <c r="L1172" s="105" t="s">
        <v>639</v>
      </c>
    </row>
    <row r="1173" customFormat="false" ht="48" hidden="false" customHeight="true" outlineLevel="0" collapsed="false">
      <c r="A1173" s="99"/>
      <c r="B1173" s="100" t="n">
        <v>46531</v>
      </c>
      <c r="C1173" s="100" t="n">
        <v>46537</v>
      </c>
      <c r="D1173" s="99" t="s">
        <v>638</v>
      </c>
      <c r="E1173" s="99" t="n">
        <v>0</v>
      </c>
      <c r="F1173" s="101" t="n">
        <v>0</v>
      </c>
      <c r="G1173" s="102" t="n">
        <f aca="false">IFERROR(F1173/INDEX($G$5:$G$34,MATCH(LOOKUP(2,1/($A$39:A1173&lt;&gt;""),$A$39:A1173),$A$5:$A$34,0)),0)</f>
        <v>0</v>
      </c>
      <c r="H1173" s="103" t="str">
        <f aca="false">IF(G1173=0,"空闲",IF(G1173&lt;=0.6,"低负荷",IF(G1173&lt;=0.85,"正常",IF(G1173&lt;=1,"满负荷","超负荷"))))</f>
        <v>空闲</v>
      </c>
      <c r="I1173" s="104" t="s">
        <v>638</v>
      </c>
      <c r="J1173" s="104"/>
      <c r="K1173" s="104"/>
      <c r="L1173" s="105" t="s">
        <v>639</v>
      </c>
    </row>
    <row r="1174" customFormat="false" ht="48" hidden="false" customHeight="true" outlineLevel="0" collapsed="false">
      <c r="A1174" s="99"/>
      <c r="B1174" s="100" t="n">
        <v>46538</v>
      </c>
      <c r="C1174" s="100" t="n">
        <v>46544</v>
      </c>
      <c r="D1174" s="99" t="s">
        <v>638</v>
      </c>
      <c r="E1174" s="99" t="n">
        <v>0</v>
      </c>
      <c r="F1174" s="101" t="n">
        <v>0</v>
      </c>
      <c r="G1174" s="102" t="n">
        <f aca="false">IFERROR(F1174/INDEX($G$5:$G$34,MATCH(LOOKUP(2,1/($A$39:A1174&lt;&gt;""),$A$39:A1174),$A$5:$A$34,0)),0)</f>
        <v>0</v>
      </c>
      <c r="H1174" s="103" t="str">
        <f aca="false">IF(G1174=0,"空闲",IF(G1174&lt;=0.6,"低负荷",IF(G1174&lt;=0.85,"正常",IF(G1174&lt;=1,"满负荷","超负荷"))))</f>
        <v>空闲</v>
      </c>
      <c r="I1174" s="104" t="s">
        <v>638</v>
      </c>
      <c r="J1174" s="104"/>
      <c r="K1174" s="104"/>
      <c r="L1174" s="105" t="s">
        <v>639</v>
      </c>
    </row>
    <row r="1175" customFormat="false" ht="48" hidden="false" customHeight="true" outlineLevel="0" collapsed="false">
      <c r="A1175" s="99" t="s">
        <v>616</v>
      </c>
      <c r="B1175" s="100" t="n">
        <v>46048</v>
      </c>
      <c r="C1175" s="100" t="n">
        <v>46054</v>
      </c>
      <c r="D1175" s="99" t="s">
        <v>638</v>
      </c>
      <c r="E1175" s="99" t="n">
        <v>0</v>
      </c>
      <c r="F1175" s="101" t="n">
        <v>0</v>
      </c>
      <c r="G1175" s="102" t="n">
        <f aca="false">IFERROR(F1175/INDEX($G$5:$G$34,MATCH(LOOKUP(2,1/($A$39:A1175&lt;&gt;""),$A$39:A1175),$A$5:$A$34,0)),0)</f>
        <v>0</v>
      </c>
      <c r="H1175" s="103" t="str">
        <f aca="false">IF(G1175=0,"空闲",IF(G1175&lt;=0.6,"低负荷",IF(G1175&lt;=0.85,"正常",IF(G1175&lt;=1,"满负荷","超负荷"))))</f>
        <v>空闲</v>
      </c>
      <c r="I1175" s="104" t="s">
        <v>638</v>
      </c>
      <c r="J1175" s="104"/>
      <c r="K1175" s="104"/>
      <c r="L1175" s="105" t="s">
        <v>639</v>
      </c>
    </row>
    <row r="1176" customFormat="false" ht="48" hidden="false" customHeight="true" outlineLevel="0" collapsed="false">
      <c r="A1176" s="99"/>
      <c r="B1176" s="100" t="n">
        <v>46055</v>
      </c>
      <c r="C1176" s="100" t="n">
        <v>46061</v>
      </c>
      <c r="D1176" s="99" t="s">
        <v>638</v>
      </c>
      <c r="E1176" s="99" t="n">
        <v>0</v>
      </c>
      <c r="F1176" s="101" t="n">
        <v>0</v>
      </c>
      <c r="G1176" s="102" t="n">
        <f aca="false">IFERROR(F1176/INDEX($G$5:$G$34,MATCH(LOOKUP(2,1/($A$39:A1176&lt;&gt;""),$A$39:A1176),$A$5:$A$34,0)),0)</f>
        <v>0</v>
      </c>
      <c r="H1176" s="103" t="str">
        <f aca="false">IF(G1176=0,"空闲",IF(G1176&lt;=0.6,"低负荷",IF(G1176&lt;=0.85,"正常",IF(G1176&lt;=1,"满负荷","超负荷"))))</f>
        <v>空闲</v>
      </c>
      <c r="I1176" s="104" t="s">
        <v>638</v>
      </c>
      <c r="J1176" s="104"/>
      <c r="K1176" s="104"/>
      <c r="L1176" s="105" t="s">
        <v>639</v>
      </c>
    </row>
    <row r="1177" customFormat="false" ht="48" hidden="false" customHeight="true" outlineLevel="0" collapsed="false">
      <c r="A1177" s="99"/>
      <c r="B1177" s="100" t="n">
        <v>46062</v>
      </c>
      <c r="C1177" s="100" t="n">
        <v>46068</v>
      </c>
      <c r="D1177" s="99" t="s">
        <v>638</v>
      </c>
      <c r="E1177" s="99" t="n">
        <v>0</v>
      </c>
      <c r="F1177" s="101" t="n">
        <v>0</v>
      </c>
      <c r="G1177" s="102" t="n">
        <f aca="false">IFERROR(F1177/INDEX($G$5:$G$34,MATCH(LOOKUP(2,1/($A$39:A1177&lt;&gt;""),$A$39:A1177),$A$5:$A$34,0)),0)</f>
        <v>0</v>
      </c>
      <c r="H1177" s="103" t="str">
        <f aca="false">IF(G1177=0,"空闲",IF(G1177&lt;=0.6,"低负荷",IF(G1177&lt;=0.85,"正常",IF(G1177&lt;=1,"满负荷","超负荷"))))</f>
        <v>空闲</v>
      </c>
      <c r="I1177" s="104" t="s">
        <v>638</v>
      </c>
      <c r="J1177" s="104"/>
      <c r="K1177" s="104"/>
      <c r="L1177" s="105" t="s">
        <v>639</v>
      </c>
    </row>
    <row r="1178" customFormat="false" ht="48" hidden="false" customHeight="true" outlineLevel="0" collapsed="false">
      <c r="A1178" s="99"/>
      <c r="B1178" s="100" t="n">
        <v>46069</v>
      </c>
      <c r="C1178" s="100" t="n">
        <v>46075</v>
      </c>
      <c r="D1178" s="99" t="s">
        <v>638</v>
      </c>
      <c r="E1178" s="99" t="n">
        <v>0</v>
      </c>
      <c r="F1178" s="101" t="n">
        <v>0</v>
      </c>
      <c r="G1178" s="102" t="n">
        <f aca="false">IFERROR(F1178/INDEX($G$5:$G$34,MATCH(LOOKUP(2,1/($A$39:A1178&lt;&gt;""),$A$39:A1178),$A$5:$A$34,0)),0)</f>
        <v>0</v>
      </c>
      <c r="H1178" s="103" t="str">
        <f aca="false">IF(G1178=0,"空闲",IF(G1178&lt;=0.6,"低负荷",IF(G1178&lt;=0.85,"正常",IF(G1178&lt;=1,"满负荷","超负荷"))))</f>
        <v>空闲</v>
      </c>
      <c r="I1178" s="104" t="s">
        <v>638</v>
      </c>
      <c r="J1178" s="104"/>
      <c r="K1178" s="104"/>
      <c r="L1178" s="105" t="s">
        <v>639</v>
      </c>
    </row>
    <row r="1179" customFormat="false" ht="48" hidden="false" customHeight="true" outlineLevel="0" collapsed="false">
      <c r="A1179" s="99"/>
      <c r="B1179" s="100" t="n">
        <v>46076</v>
      </c>
      <c r="C1179" s="100" t="n">
        <v>46082</v>
      </c>
      <c r="D1179" s="99" t="s">
        <v>638</v>
      </c>
      <c r="E1179" s="99" t="n">
        <v>0</v>
      </c>
      <c r="F1179" s="101" t="n">
        <v>0</v>
      </c>
      <c r="G1179" s="102" t="n">
        <f aca="false">IFERROR(F1179/INDEX($G$5:$G$34,MATCH(LOOKUP(2,1/($A$39:A1179&lt;&gt;""),$A$39:A1179),$A$5:$A$34,0)),0)</f>
        <v>0</v>
      </c>
      <c r="H1179" s="103" t="str">
        <f aca="false">IF(G1179=0,"空闲",IF(G1179&lt;=0.6,"低负荷",IF(G1179&lt;=0.85,"正常",IF(G1179&lt;=1,"满负荷","超负荷"))))</f>
        <v>空闲</v>
      </c>
      <c r="I1179" s="104" t="s">
        <v>638</v>
      </c>
      <c r="J1179" s="104"/>
      <c r="K1179" s="104"/>
      <c r="L1179" s="105" t="s">
        <v>639</v>
      </c>
    </row>
    <row r="1180" customFormat="false" ht="48" hidden="false" customHeight="true" outlineLevel="0" collapsed="false">
      <c r="A1180" s="99"/>
      <c r="B1180" s="100" t="n">
        <v>46083</v>
      </c>
      <c r="C1180" s="100" t="n">
        <v>46089</v>
      </c>
      <c r="D1180" s="99" t="s">
        <v>638</v>
      </c>
      <c r="E1180" s="99" t="n">
        <v>0</v>
      </c>
      <c r="F1180" s="101" t="n">
        <v>0</v>
      </c>
      <c r="G1180" s="102" t="n">
        <f aca="false">IFERROR(F1180/INDEX($G$5:$G$34,MATCH(LOOKUP(2,1/($A$39:A1180&lt;&gt;""),$A$39:A1180),$A$5:$A$34,0)),0)</f>
        <v>0</v>
      </c>
      <c r="H1180" s="103" t="str">
        <f aca="false">IF(G1180=0,"空闲",IF(G1180&lt;=0.6,"低负荷",IF(G1180&lt;=0.85,"正常",IF(G1180&lt;=1,"满负荷","超负荷"))))</f>
        <v>空闲</v>
      </c>
      <c r="I1180" s="104" t="s">
        <v>638</v>
      </c>
      <c r="J1180" s="104"/>
      <c r="K1180" s="104"/>
      <c r="L1180" s="105" t="s">
        <v>639</v>
      </c>
    </row>
    <row r="1181" customFormat="false" ht="48" hidden="false" customHeight="true" outlineLevel="0" collapsed="false">
      <c r="A1181" s="99"/>
      <c r="B1181" s="100" t="n">
        <v>46090</v>
      </c>
      <c r="C1181" s="100" t="n">
        <v>46096</v>
      </c>
      <c r="D1181" s="99" t="s">
        <v>638</v>
      </c>
      <c r="E1181" s="99" t="n">
        <v>0</v>
      </c>
      <c r="F1181" s="101" t="n">
        <v>0</v>
      </c>
      <c r="G1181" s="102" t="n">
        <f aca="false">IFERROR(F1181/INDEX($G$5:$G$34,MATCH(LOOKUP(2,1/($A$39:A1181&lt;&gt;""),$A$39:A1181),$A$5:$A$34,0)),0)</f>
        <v>0</v>
      </c>
      <c r="H1181" s="103" t="str">
        <f aca="false">IF(G1181=0,"空闲",IF(G1181&lt;=0.6,"低负荷",IF(G1181&lt;=0.85,"正常",IF(G1181&lt;=1,"满负荷","超负荷"))))</f>
        <v>空闲</v>
      </c>
      <c r="I1181" s="104" t="s">
        <v>638</v>
      </c>
      <c r="J1181" s="104"/>
      <c r="K1181" s="104"/>
      <c r="L1181" s="105" t="s">
        <v>639</v>
      </c>
    </row>
    <row r="1182" customFormat="false" ht="48" hidden="false" customHeight="true" outlineLevel="0" collapsed="false">
      <c r="A1182" s="99"/>
      <c r="B1182" s="100" t="n">
        <v>46097</v>
      </c>
      <c r="C1182" s="100" t="n">
        <v>46103</v>
      </c>
      <c r="D1182" s="99" t="s">
        <v>638</v>
      </c>
      <c r="E1182" s="99" t="n">
        <v>0</v>
      </c>
      <c r="F1182" s="101" t="n">
        <v>0</v>
      </c>
      <c r="G1182" s="102" t="n">
        <f aca="false">IFERROR(F1182/INDEX($G$5:$G$34,MATCH(LOOKUP(2,1/($A$39:A1182&lt;&gt;""),$A$39:A1182),$A$5:$A$34,0)),0)</f>
        <v>0</v>
      </c>
      <c r="H1182" s="103" t="str">
        <f aca="false">IF(G1182=0,"空闲",IF(G1182&lt;=0.6,"低负荷",IF(G1182&lt;=0.85,"正常",IF(G1182&lt;=1,"满负荷","超负荷"))))</f>
        <v>空闲</v>
      </c>
      <c r="I1182" s="104" t="s">
        <v>638</v>
      </c>
      <c r="J1182" s="104"/>
      <c r="K1182" s="104"/>
      <c r="L1182" s="105" t="s">
        <v>639</v>
      </c>
    </row>
    <row r="1183" customFormat="false" ht="48" hidden="false" customHeight="true" outlineLevel="0" collapsed="false">
      <c r="A1183" s="99"/>
      <c r="B1183" s="100" t="n">
        <v>46104</v>
      </c>
      <c r="C1183" s="100" t="n">
        <v>46110</v>
      </c>
      <c r="D1183" s="99" t="s">
        <v>638</v>
      </c>
      <c r="E1183" s="99" t="n">
        <v>0</v>
      </c>
      <c r="F1183" s="101" t="n">
        <v>0</v>
      </c>
      <c r="G1183" s="102" t="n">
        <f aca="false">IFERROR(F1183/INDEX($G$5:$G$34,MATCH(LOOKUP(2,1/($A$39:A1183&lt;&gt;""),$A$39:A1183),$A$5:$A$34,0)),0)</f>
        <v>0</v>
      </c>
      <c r="H1183" s="103" t="str">
        <f aca="false">IF(G1183=0,"空闲",IF(G1183&lt;=0.6,"低负荷",IF(G1183&lt;=0.85,"正常",IF(G1183&lt;=1,"满负荷","超负荷"))))</f>
        <v>空闲</v>
      </c>
      <c r="I1183" s="104" t="s">
        <v>638</v>
      </c>
      <c r="J1183" s="104"/>
      <c r="K1183" s="104"/>
      <c r="L1183" s="105" t="s">
        <v>639</v>
      </c>
    </row>
    <row r="1184" customFormat="false" ht="48" hidden="false" customHeight="true" outlineLevel="0" collapsed="false">
      <c r="A1184" s="99"/>
      <c r="B1184" s="100" t="n">
        <v>46111</v>
      </c>
      <c r="C1184" s="100" t="n">
        <v>46117</v>
      </c>
      <c r="D1184" s="99" t="s">
        <v>638</v>
      </c>
      <c r="E1184" s="99" t="n">
        <v>0</v>
      </c>
      <c r="F1184" s="101" t="n">
        <v>0</v>
      </c>
      <c r="G1184" s="102" t="n">
        <f aca="false">IFERROR(F1184/INDEX($G$5:$G$34,MATCH(LOOKUP(2,1/($A$39:A1184&lt;&gt;""),$A$39:A1184),$A$5:$A$34,0)),0)</f>
        <v>0</v>
      </c>
      <c r="H1184" s="103" t="str">
        <f aca="false">IF(G1184=0,"空闲",IF(G1184&lt;=0.6,"低负荷",IF(G1184&lt;=0.85,"正常",IF(G1184&lt;=1,"满负荷","超负荷"))))</f>
        <v>空闲</v>
      </c>
      <c r="I1184" s="104" t="s">
        <v>638</v>
      </c>
      <c r="J1184" s="104"/>
      <c r="K1184" s="104"/>
      <c r="L1184" s="105" t="s">
        <v>639</v>
      </c>
    </row>
    <row r="1185" customFormat="false" ht="48" hidden="false" customHeight="true" outlineLevel="0" collapsed="false">
      <c r="A1185" s="99"/>
      <c r="B1185" s="100" t="n">
        <v>46118</v>
      </c>
      <c r="C1185" s="100" t="n">
        <v>46124</v>
      </c>
      <c r="D1185" s="99" t="s">
        <v>638</v>
      </c>
      <c r="E1185" s="99" t="n">
        <v>0</v>
      </c>
      <c r="F1185" s="101" t="n">
        <v>0</v>
      </c>
      <c r="G1185" s="102" t="n">
        <f aca="false">IFERROR(F1185/INDEX($G$5:$G$34,MATCH(LOOKUP(2,1/($A$39:A1185&lt;&gt;""),$A$39:A1185),$A$5:$A$34,0)),0)</f>
        <v>0</v>
      </c>
      <c r="H1185" s="103" t="str">
        <f aca="false">IF(G1185=0,"空闲",IF(G1185&lt;=0.6,"低负荷",IF(G1185&lt;=0.85,"正常",IF(G1185&lt;=1,"满负荷","超负荷"))))</f>
        <v>空闲</v>
      </c>
      <c r="I1185" s="104" t="s">
        <v>638</v>
      </c>
      <c r="J1185" s="104"/>
      <c r="K1185" s="104"/>
      <c r="L1185" s="105" t="s">
        <v>639</v>
      </c>
    </row>
    <row r="1186" customFormat="false" ht="48" hidden="false" customHeight="true" outlineLevel="0" collapsed="false">
      <c r="A1186" s="99"/>
      <c r="B1186" s="100" t="n">
        <v>46125</v>
      </c>
      <c r="C1186" s="100" t="n">
        <v>46131</v>
      </c>
      <c r="D1186" s="99" t="s">
        <v>638</v>
      </c>
      <c r="E1186" s="99" t="n">
        <v>0</v>
      </c>
      <c r="F1186" s="101" t="n">
        <v>0</v>
      </c>
      <c r="G1186" s="102" t="n">
        <f aca="false">IFERROR(F1186/INDEX($G$5:$G$34,MATCH(LOOKUP(2,1/($A$39:A1186&lt;&gt;""),$A$39:A1186),$A$5:$A$34,0)),0)</f>
        <v>0</v>
      </c>
      <c r="H1186" s="103" t="str">
        <f aca="false">IF(G1186=0,"空闲",IF(G1186&lt;=0.6,"低负荷",IF(G1186&lt;=0.85,"正常",IF(G1186&lt;=1,"满负荷","超负荷"))))</f>
        <v>空闲</v>
      </c>
      <c r="I1186" s="104" t="s">
        <v>638</v>
      </c>
      <c r="J1186" s="104"/>
      <c r="K1186" s="104"/>
      <c r="L1186" s="105" t="s">
        <v>639</v>
      </c>
    </row>
    <row r="1187" customFormat="false" ht="48" hidden="false" customHeight="true" outlineLevel="0" collapsed="false">
      <c r="A1187" s="99"/>
      <c r="B1187" s="100" t="n">
        <v>46132</v>
      </c>
      <c r="C1187" s="100" t="n">
        <v>46138</v>
      </c>
      <c r="D1187" s="99" t="s">
        <v>638</v>
      </c>
      <c r="E1187" s="99" t="n">
        <v>0</v>
      </c>
      <c r="F1187" s="101" t="n">
        <v>0</v>
      </c>
      <c r="G1187" s="102" t="n">
        <f aca="false">IFERROR(F1187/INDEX($G$5:$G$34,MATCH(LOOKUP(2,1/($A$39:A1187&lt;&gt;""),$A$39:A1187),$A$5:$A$34,0)),0)</f>
        <v>0</v>
      </c>
      <c r="H1187" s="103" t="str">
        <f aca="false">IF(G1187=0,"空闲",IF(G1187&lt;=0.6,"低负荷",IF(G1187&lt;=0.85,"正常",IF(G1187&lt;=1,"满负荷","超负荷"))))</f>
        <v>空闲</v>
      </c>
      <c r="I1187" s="104" t="s">
        <v>638</v>
      </c>
      <c r="J1187" s="104"/>
      <c r="K1187" s="104"/>
      <c r="L1187" s="105" t="s">
        <v>639</v>
      </c>
    </row>
    <row r="1188" customFormat="false" ht="48" hidden="false" customHeight="true" outlineLevel="0" collapsed="false">
      <c r="A1188" s="99"/>
      <c r="B1188" s="100" t="n">
        <v>46139</v>
      </c>
      <c r="C1188" s="100" t="n">
        <v>46145</v>
      </c>
      <c r="D1188" s="99" t="s">
        <v>638</v>
      </c>
      <c r="E1188" s="99" t="n">
        <v>0</v>
      </c>
      <c r="F1188" s="101" t="n">
        <v>0</v>
      </c>
      <c r="G1188" s="102" t="n">
        <f aca="false">IFERROR(F1188/INDEX($G$5:$G$34,MATCH(LOOKUP(2,1/($A$39:A1188&lt;&gt;""),$A$39:A1188),$A$5:$A$34,0)),0)</f>
        <v>0</v>
      </c>
      <c r="H1188" s="103" t="str">
        <f aca="false">IF(G1188=0,"空闲",IF(G1188&lt;=0.6,"低负荷",IF(G1188&lt;=0.85,"正常",IF(G1188&lt;=1,"满负荷","超负荷"))))</f>
        <v>空闲</v>
      </c>
      <c r="I1188" s="104" t="s">
        <v>638</v>
      </c>
      <c r="J1188" s="104"/>
      <c r="K1188" s="104"/>
      <c r="L1188" s="105" t="s">
        <v>639</v>
      </c>
    </row>
    <row r="1189" customFormat="false" ht="48" hidden="false" customHeight="true" outlineLevel="0" collapsed="false">
      <c r="A1189" s="99"/>
      <c r="B1189" s="100" t="n">
        <v>46146</v>
      </c>
      <c r="C1189" s="100" t="n">
        <v>46152</v>
      </c>
      <c r="D1189" s="99" t="s">
        <v>638</v>
      </c>
      <c r="E1189" s="99" t="n">
        <v>0</v>
      </c>
      <c r="F1189" s="101" t="n">
        <v>0</v>
      </c>
      <c r="G1189" s="102" t="n">
        <f aca="false">IFERROR(F1189/INDEX($G$5:$G$34,MATCH(LOOKUP(2,1/($A$39:A1189&lt;&gt;""),$A$39:A1189),$A$5:$A$34,0)),0)</f>
        <v>0</v>
      </c>
      <c r="H1189" s="103" t="str">
        <f aca="false">IF(G1189=0,"空闲",IF(G1189&lt;=0.6,"低负荷",IF(G1189&lt;=0.85,"正常",IF(G1189&lt;=1,"满负荷","超负荷"))))</f>
        <v>空闲</v>
      </c>
      <c r="I1189" s="104" t="s">
        <v>638</v>
      </c>
      <c r="J1189" s="104"/>
      <c r="K1189" s="104"/>
      <c r="L1189" s="105" t="s">
        <v>639</v>
      </c>
    </row>
    <row r="1190" customFormat="false" ht="48" hidden="false" customHeight="true" outlineLevel="0" collapsed="false">
      <c r="A1190" s="99"/>
      <c r="B1190" s="100" t="n">
        <v>46153</v>
      </c>
      <c r="C1190" s="100" t="n">
        <v>46159</v>
      </c>
      <c r="D1190" s="99" t="s">
        <v>638</v>
      </c>
      <c r="E1190" s="99" t="n">
        <v>0</v>
      </c>
      <c r="F1190" s="101" t="n">
        <v>0</v>
      </c>
      <c r="G1190" s="102" t="n">
        <f aca="false">IFERROR(F1190/INDEX($G$5:$G$34,MATCH(LOOKUP(2,1/($A$39:A1190&lt;&gt;""),$A$39:A1190),$A$5:$A$34,0)),0)</f>
        <v>0</v>
      </c>
      <c r="H1190" s="103" t="str">
        <f aca="false">IF(G1190=0,"空闲",IF(G1190&lt;=0.6,"低负荷",IF(G1190&lt;=0.85,"正常",IF(G1190&lt;=1,"满负荷","超负荷"))))</f>
        <v>空闲</v>
      </c>
      <c r="I1190" s="104" t="s">
        <v>638</v>
      </c>
      <c r="J1190" s="104"/>
      <c r="K1190" s="104"/>
      <c r="L1190" s="105" t="s">
        <v>639</v>
      </c>
    </row>
    <row r="1191" customFormat="false" ht="48" hidden="false" customHeight="true" outlineLevel="0" collapsed="false">
      <c r="A1191" s="99"/>
      <c r="B1191" s="100" t="n">
        <v>46160</v>
      </c>
      <c r="C1191" s="100" t="n">
        <v>46166</v>
      </c>
      <c r="D1191" s="99" t="s">
        <v>638</v>
      </c>
      <c r="E1191" s="99" t="n">
        <v>0</v>
      </c>
      <c r="F1191" s="101" t="n">
        <v>0</v>
      </c>
      <c r="G1191" s="102" t="n">
        <f aca="false">IFERROR(F1191/INDEX($G$5:$G$34,MATCH(LOOKUP(2,1/($A$39:A1191&lt;&gt;""),$A$39:A1191),$A$5:$A$34,0)),0)</f>
        <v>0</v>
      </c>
      <c r="H1191" s="103" t="str">
        <f aca="false">IF(G1191=0,"空闲",IF(G1191&lt;=0.6,"低负荷",IF(G1191&lt;=0.85,"正常",IF(G1191&lt;=1,"满负荷","超负荷"))))</f>
        <v>空闲</v>
      </c>
      <c r="I1191" s="104" t="s">
        <v>638</v>
      </c>
      <c r="J1191" s="104"/>
      <c r="K1191" s="104"/>
      <c r="L1191" s="105" t="s">
        <v>639</v>
      </c>
    </row>
    <row r="1192" customFormat="false" ht="48" hidden="false" customHeight="true" outlineLevel="0" collapsed="false">
      <c r="A1192" s="99"/>
      <c r="B1192" s="100" t="n">
        <v>46167</v>
      </c>
      <c r="C1192" s="100" t="n">
        <v>46173</v>
      </c>
      <c r="D1192" s="99" t="s">
        <v>638</v>
      </c>
      <c r="E1192" s="99" t="n">
        <v>0</v>
      </c>
      <c r="F1192" s="101" t="n">
        <v>0</v>
      </c>
      <c r="G1192" s="102" t="n">
        <f aca="false">IFERROR(F1192/INDEX($G$5:$G$34,MATCH(LOOKUP(2,1/($A$39:A1192&lt;&gt;""),$A$39:A1192),$A$5:$A$34,0)),0)</f>
        <v>0</v>
      </c>
      <c r="H1192" s="103" t="str">
        <f aca="false">IF(G1192=0,"空闲",IF(G1192&lt;=0.6,"低负荷",IF(G1192&lt;=0.85,"正常",IF(G1192&lt;=1,"满负荷","超负荷"))))</f>
        <v>空闲</v>
      </c>
      <c r="I1192" s="104" t="s">
        <v>638</v>
      </c>
      <c r="J1192" s="104"/>
      <c r="K1192" s="104"/>
      <c r="L1192" s="105" t="s">
        <v>639</v>
      </c>
    </row>
    <row r="1193" customFormat="false" ht="48" hidden="false" customHeight="true" outlineLevel="0" collapsed="false">
      <c r="A1193" s="99"/>
      <c r="B1193" s="100" t="n">
        <v>46174</v>
      </c>
      <c r="C1193" s="100" t="n">
        <v>46180</v>
      </c>
      <c r="D1193" s="99" t="s">
        <v>638</v>
      </c>
      <c r="E1193" s="99" t="n">
        <v>0</v>
      </c>
      <c r="F1193" s="101" t="n">
        <v>0</v>
      </c>
      <c r="G1193" s="102" t="n">
        <f aca="false">IFERROR(F1193/INDEX($G$5:$G$34,MATCH(LOOKUP(2,1/($A$39:A1193&lt;&gt;""),$A$39:A1193),$A$5:$A$34,0)),0)</f>
        <v>0</v>
      </c>
      <c r="H1193" s="103" t="str">
        <f aca="false">IF(G1193=0,"空闲",IF(G1193&lt;=0.6,"低负荷",IF(G1193&lt;=0.85,"正常",IF(G1193&lt;=1,"满负荷","超负荷"))))</f>
        <v>空闲</v>
      </c>
      <c r="I1193" s="104" t="s">
        <v>638</v>
      </c>
      <c r="J1193" s="104"/>
      <c r="K1193" s="104"/>
      <c r="L1193" s="105" t="s">
        <v>639</v>
      </c>
    </row>
    <row r="1194" customFormat="false" ht="48" hidden="false" customHeight="true" outlineLevel="0" collapsed="false">
      <c r="A1194" s="99"/>
      <c r="B1194" s="100" t="n">
        <v>46181</v>
      </c>
      <c r="C1194" s="100" t="n">
        <v>46187</v>
      </c>
      <c r="D1194" s="99" t="s">
        <v>638</v>
      </c>
      <c r="E1194" s="99" t="n">
        <v>0</v>
      </c>
      <c r="F1194" s="101" t="n">
        <v>0</v>
      </c>
      <c r="G1194" s="102" t="n">
        <f aca="false">IFERROR(F1194/INDEX($G$5:$G$34,MATCH(LOOKUP(2,1/($A$39:A1194&lt;&gt;""),$A$39:A1194),$A$5:$A$34,0)),0)</f>
        <v>0</v>
      </c>
      <c r="H1194" s="103" t="str">
        <f aca="false">IF(G1194=0,"空闲",IF(G1194&lt;=0.6,"低负荷",IF(G1194&lt;=0.85,"正常",IF(G1194&lt;=1,"满负荷","超负荷"))))</f>
        <v>空闲</v>
      </c>
      <c r="I1194" s="104" t="s">
        <v>638</v>
      </c>
      <c r="J1194" s="104"/>
      <c r="K1194" s="104"/>
      <c r="L1194" s="105" t="s">
        <v>639</v>
      </c>
    </row>
    <row r="1195" customFormat="false" ht="48" hidden="false" customHeight="true" outlineLevel="0" collapsed="false">
      <c r="A1195" s="99"/>
      <c r="B1195" s="100" t="n">
        <v>46188</v>
      </c>
      <c r="C1195" s="100" t="n">
        <v>46194</v>
      </c>
      <c r="D1195" s="99" t="s">
        <v>638</v>
      </c>
      <c r="E1195" s="99" t="n">
        <v>0</v>
      </c>
      <c r="F1195" s="101" t="n">
        <v>0</v>
      </c>
      <c r="G1195" s="102" t="n">
        <f aca="false">IFERROR(F1195/INDEX($G$5:$G$34,MATCH(LOOKUP(2,1/($A$39:A1195&lt;&gt;""),$A$39:A1195),$A$5:$A$34,0)),0)</f>
        <v>0</v>
      </c>
      <c r="H1195" s="103" t="str">
        <f aca="false">IF(G1195=0,"空闲",IF(G1195&lt;=0.6,"低负荷",IF(G1195&lt;=0.85,"正常",IF(G1195&lt;=1,"满负荷","超负荷"))))</f>
        <v>空闲</v>
      </c>
      <c r="I1195" s="104" t="s">
        <v>638</v>
      </c>
      <c r="J1195" s="104"/>
      <c r="K1195" s="104"/>
      <c r="L1195" s="105" t="s">
        <v>639</v>
      </c>
    </row>
    <row r="1196" customFormat="false" ht="48" hidden="false" customHeight="true" outlineLevel="0" collapsed="false">
      <c r="A1196" s="99"/>
      <c r="B1196" s="100" t="n">
        <v>46195</v>
      </c>
      <c r="C1196" s="100" t="n">
        <v>46201</v>
      </c>
      <c r="D1196" s="99" t="s">
        <v>638</v>
      </c>
      <c r="E1196" s="99" t="n">
        <v>0</v>
      </c>
      <c r="F1196" s="101" t="n">
        <v>0</v>
      </c>
      <c r="G1196" s="102" t="n">
        <f aca="false">IFERROR(F1196/INDEX($G$5:$G$34,MATCH(LOOKUP(2,1/($A$39:A1196&lt;&gt;""),$A$39:A1196),$A$5:$A$34,0)),0)</f>
        <v>0</v>
      </c>
      <c r="H1196" s="103" t="str">
        <f aca="false">IF(G1196=0,"空闲",IF(G1196&lt;=0.6,"低负荷",IF(G1196&lt;=0.85,"正常",IF(G1196&lt;=1,"满负荷","超负荷"))))</f>
        <v>空闲</v>
      </c>
      <c r="I1196" s="104" t="s">
        <v>638</v>
      </c>
      <c r="J1196" s="104"/>
      <c r="K1196" s="104"/>
      <c r="L1196" s="105" t="s">
        <v>639</v>
      </c>
    </row>
    <row r="1197" customFormat="false" ht="48" hidden="false" customHeight="true" outlineLevel="0" collapsed="false">
      <c r="A1197" s="99"/>
      <c r="B1197" s="100" t="n">
        <v>46202</v>
      </c>
      <c r="C1197" s="100" t="n">
        <v>46208</v>
      </c>
      <c r="D1197" s="99" t="s">
        <v>638</v>
      </c>
      <c r="E1197" s="99" t="n">
        <v>0</v>
      </c>
      <c r="F1197" s="101" t="n">
        <v>0</v>
      </c>
      <c r="G1197" s="102" t="n">
        <f aca="false">IFERROR(F1197/INDEX($G$5:$G$34,MATCH(LOOKUP(2,1/($A$39:A1197&lt;&gt;""),$A$39:A1197),$A$5:$A$34,0)),0)</f>
        <v>0</v>
      </c>
      <c r="H1197" s="103" t="str">
        <f aca="false">IF(G1197=0,"空闲",IF(G1197&lt;=0.6,"低负荷",IF(G1197&lt;=0.85,"正常",IF(G1197&lt;=1,"满负荷","超负荷"))))</f>
        <v>空闲</v>
      </c>
      <c r="I1197" s="104" t="s">
        <v>638</v>
      </c>
      <c r="J1197" s="104"/>
      <c r="K1197" s="104"/>
      <c r="L1197" s="105" t="s">
        <v>639</v>
      </c>
    </row>
    <row r="1198" customFormat="false" ht="48" hidden="false" customHeight="true" outlineLevel="0" collapsed="false">
      <c r="A1198" s="99"/>
      <c r="B1198" s="100" t="n">
        <v>46209</v>
      </c>
      <c r="C1198" s="100" t="n">
        <v>46215</v>
      </c>
      <c r="D1198" s="99" t="s">
        <v>638</v>
      </c>
      <c r="E1198" s="99" t="n">
        <v>0</v>
      </c>
      <c r="F1198" s="101" t="n">
        <v>0</v>
      </c>
      <c r="G1198" s="102" t="n">
        <f aca="false">IFERROR(F1198/INDEX($G$5:$G$34,MATCH(LOOKUP(2,1/($A$39:A1198&lt;&gt;""),$A$39:A1198),$A$5:$A$34,0)),0)</f>
        <v>0</v>
      </c>
      <c r="H1198" s="103" t="str">
        <f aca="false">IF(G1198=0,"空闲",IF(G1198&lt;=0.6,"低负荷",IF(G1198&lt;=0.85,"正常",IF(G1198&lt;=1,"满负荷","超负荷"))))</f>
        <v>空闲</v>
      </c>
      <c r="I1198" s="104" t="s">
        <v>638</v>
      </c>
      <c r="J1198" s="104"/>
      <c r="K1198" s="104"/>
      <c r="L1198" s="105" t="s">
        <v>639</v>
      </c>
    </row>
    <row r="1199" customFormat="false" ht="48" hidden="false" customHeight="true" outlineLevel="0" collapsed="false">
      <c r="A1199" s="99"/>
      <c r="B1199" s="100" t="n">
        <v>46216</v>
      </c>
      <c r="C1199" s="100" t="n">
        <v>46222</v>
      </c>
      <c r="D1199" s="99" t="s">
        <v>638</v>
      </c>
      <c r="E1199" s="99" t="n">
        <v>0</v>
      </c>
      <c r="F1199" s="101" t="n">
        <v>0</v>
      </c>
      <c r="G1199" s="102" t="n">
        <f aca="false">IFERROR(F1199/INDEX($G$5:$G$34,MATCH(LOOKUP(2,1/($A$39:A1199&lt;&gt;""),$A$39:A1199),$A$5:$A$34,0)),0)</f>
        <v>0</v>
      </c>
      <c r="H1199" s="103" t="str">
        <f aca="false">IF(G1199=0,"空闲",IF(G1199&lt;=0.6,"低负荷",IF(G1199&lt;=0.85,"正常",IF(G1199&lt;=1,"满负荷","超负荷"))))</f>
        <v>空闲</v>
      </c>
      <c r="I1199" s="104" t="s">
        <v>638</v>
      </c>
      <c r="J1199" s="104"/>
      <c r="K1199" s="104"/>
      <c r="L1199" s="105" t="s">
        <v>639</v>
      </c>
    </row>
    <row r="1200" customFormat="false" ht="48" hidden="false" customHeight="true" outlineLevel="0" collapsed="false">
      <c r="A1200" s="99"/>
      <c r="B1200" s="100" t="n">
        <v>46223</v>
      </c>
      <c r="C1200" s="100" t="n">
        <v>46229</v>
      </c>
      <c r="D1200" s="99" t="s">
        <v>638</v>
      </c>
      <c r="E1200" s="99" t="n">
        <v>0</v>
      </c>
      <c r="F1200" s="101" t="n">
        <v>0</v>
      </c>
      <c r="G1200" s="102" t="n">
        <f aca="false">IFERROR(F1200/INDEX($G$5:$G$34,MATCH(LOOKUP(2,1/($A$39:A1200&lt;&gt;""),$A$39:A1200),$A$5:$A$34,0)),0)</f>
        <v>0</v>
      </c>
      <c r="H1200" s="103" t="str">
        <f aca="false">IF(G1200=0,"空闲",IF(G1200&lt;=0.6,"低负荷",IF(G1200&lt;=0.85,"正常",IF(G1200&lt;=1,"满负荷","超负荷"))))</f>
        <v>空闲</v>
      </c>
      <c r="I1200" s="104" t="s">
        <v>638</v>
      </c>
      <c r="J1200" s="104"/>
      <c r="K1200" s="104"/>
      <c r="L1200" s="105" t="s">
        <v>639</v>
      </c>
    </row>
    <row r="1201" customFormat="false" ht="48" hidden="false" customHeight="true" outlineLevel="0" collapsed="false">
      <c r="A1201" s="99"/>
      <c r="B1201" s="100" t="n">
        <v>46230</v>
      </c>
      <c r="C1201" s="100" t="n">
        <v>46236</v>
      </c>
      <c r="D1201" s="99" t="s">
        <v>638</v>
      </c>
      <c r="E1201" s="99" t="n">
        <v>0</v>
      </c>
      <c r="F1201" s="101" t="n">
        <v>0</v>
      </c>
      <c r="G1201" s="102" t="n">
        <f aca="false">IFERROR(F1201/INDEX($G$5:$G$34,MATCH(LOOKUP(2,1/($A$39:A1201&lt;&gt;""),$A$39:A1201),$A$5:$A$34,0)),0)</f>
        <v>0</v>
      </c>
      <c r="H1201" s="103" t="str">
        <f aca="false">IF(G1201=0,"空闲",IF(G1201&lt;=0.6,"低负荷",IF(G1201&lt;=0.85,"正常",IF(G1201&lt;=1,"满负荷","超负荷"))))</f>
        <v>空闲</v>
      </c>
      <c r="I1201" s="104" t="s">
        <v>638</v>
      </c>
      <c r="J1201" s="104"/>
      <c r="K1201" s="104"/>
      <c r="L1201" s="105" t="s">
        <v>639</v>
      </c>
    </row>
    <row r="1202" customFormat="false" ht="48" hidden="false" customHeight="true" outlineLevel="0" collapsed="false">
      <c r="A1202" s="99"/>
      <c r="B1202" s="100" t="n">
        <v>46237</v>
      </c>
      <c r="C1202" s="100" t="n">
        <v>46243</v>
      </c>
      <c r="D1202" s="99" t="s">
        <v>638</v>
      </c>
      <c r="E1202" s="99" t="n">
        <v>0</v>
      </c>
      <c r="F1202" s="101" t="n">
        <v>0</v>
      </c>
      <c r="G1202" s="102" t="n">
        <f aca="false">IFERROR(F1202/INDEX($G$5:$G$34,MATCH(LOOKUP(2,1/($A$39:A1202&lt;&gt;""),$A$39:A1202),$A$5:$A$34,0)),0)</f>
        <v>0</v>
      </c>
      <c r="H1202" s="103" t="str">
        <f aca="false">IF(G1202=0,"空闲",IF(G1202&lt;=0.6,"低负荷",IF(G1202&lt;=0.85,"正常",IF(G1202&lt;=1,"满负荷","超负荷"))))</f>
        <v>空闲</v>
      </c>
      <c r="I1202" s="104" t="s">
        <v>638</v>
      </c>
      <c r="J1202" s="104"/>
      <c r="K1202" s="104"/>
      <c r="L1202" s="105" t="s">
        <v>639</v>
      </c>
    </row>
    <row r="1203" customFormat="false" ht="48" hidden="false" customHeight="true" outlineLevel="0" collapsed="false">
      <c r="A1203" s="99"/>
      <c r="B1203" s="100" t="n">
        <v>46244</v>
      </c>
      <c r="C1203" s="100" t="n">
        <v>46250</v>
      </c>
      <c r="D1203" s="99" t="s">
        <v>638</v>
      </c>
      <c r="E1203" s="99" t="n">
        <v>0</v>
      </c>
      <c r="F1203" s="101" t="n">
        <v>0</v>
      </c>
      <c r="G1203" s="102" t="n">
        <f aca="false">IFERROR(F1203/INDEX($G$5:$G$34,MATCH(LOOKUP(2,1/($A$39:A1203&lt;&gt;""),$A$39:A1203),$A$5:$A$34,0)),0)</f>
        <v>0</v>
      </c>
      <c r="H1203" s="103" t="str">
        <f aca="false">IF(G1203=0,"空闲",IF(G1203&lt;=0.6,"低负荷",IF(G1203&lt;=0.85,"正常",IF(G1203&lt;=1,"满负荷","超负荷"))))</f>
        <v>空闲</v>
      </c>
      <c r="I1203" s="104" t="s">
        <v>638</v>
      </c>
      <c r="J1203" s="104"/>
      <c r="K1203" s="104"/>
      <c r="L1203" s="105" t="s">
        <v>639</v>
      </c>
    </row>
    <row r="1204" customFormat="false" ht="48" hidden="false" customHeight="true" outlineLevel="0" collapsed="false">
      <c r="A1204" s="99"/>
      <c r="B1204" s="100" t="n">
        <v>46251</v>
      </c>
      <c r="C1204" s="100" t="n">
        <v>46257</v>
      </c>
      <c r="D1204" s="99" t="s">
        <v>638</v>
      </c>
      <c r="E1204" s="99" t="n">
        <v>0</v>
      </c>
      <c r="F1204" s="101" t="n">
        <v>0</v>
      </c>
      <c r="G1204" s="102" t="n">
        <f aca="false">IFERROR(F1204/INDEX($G$5:$G$34,MATCH(LOOKUP(2,1/($A$39:A1204&lt;&gt;""),$A$39:A1204),$A$5:$A$34,0)),0)</f>
        <v>0</v>
      </c>
      <c r="H1204" s="103" t="str">
        <f aca="false">IF(G1204=0,"空闲",IF(G1204&lt;=0.6,"低负荷",IF(G1204&lt;=0.85,"正常",IF(G1204&lt;=1,"满负荷","超负荷"))))</f>
        <v>空闲</v>
      </c>
      <c r="I1204" s="104" t="s">
        <v>638</v>
      </c>
      <c r="J1204" s="104"/>
      <c r="K1204" s="104"/>
      <c r="L1204" s="105" t="s">
        <v>639</v>
      </c>
    </row>
    <row r="1205" customFormat="false" ht="48" hidden="false" customHeight="true" outlineLevel="0" collapsed="false">
      <c r="A1205" s="99"/>
      <c r="B1205" s="100" t="n">
        <v>46258</v>
      </c>
      <c r="C1205" s="100" t="n">
        <v>46264</v>
      </c>
      <c r="D1205" s="99" t="s">
        <v>638</v>
      </c>
      <c r="E1205" s="99" t="n">
        <v>0</v>
      </c>
      <c r="F1205" s="101" t="n">
        <v>0</v>
      </c>
      <c r="G1205" s="102" t="n">
        <f aca="false">IFERROR(F1205/INDEX($G$5:$G$34,MATCH(LOOKUP(2,1/($A$39:A1205&lt;&gt;""),$A$39:A1205),$A$5:$A$34,0)),0)</f>
        <v>0</v>
      </c>
      <c r="H1205" s="103" t="str">
        <f aca="false">IF(G1205=0,"空闲",IF(G1205&lt;=0.6,"低负荷",IF(G1205&lt;=0.85,"正常",IF(G1205&lt;=1,"满负荷","超负荷"))))</f>
        <v>空闲</v>
      </c>
      <c r="I1205" s="104" t="s">
        <v>638</v>
      </c>
      <c r="J1205" s="104"/>
      <c r="K1205" s="104"/>
      <c r="L1205" s="105" t="s">
        <v>639</v>
      </c>
    </row>
    <row r="1206" customFormat="false" ht="48" hidden="false" customHeight="true" outlineLevel="0" collapsed="false">
      <c r="A1206" s="99"/>
      <c r="B1206" s="100" t="n">
        <v>46265</v>
      </c>
      <c r="C1206" s="100" t="n">
        <v>46271</v>
      </c>
      <c r="D1206" s="99" t="s">
        <v>638</v>
      </c>
      <c r="E1206" s="99" t="n">
        <v>0</v>
      </c>
      <c r="F1206" s="101" t="n">
        <v>0</v>
      </c>
      <c r="G1206" s="102" t="n">
        <f aca="false">IFERROR(F1206/INDEX($G$5:$G$34,MATCH(LOOKUP(2,1/($A$39:A1206&lt;&gt;""),$A$39:A1206),$A$5:$A$34,0)),0)</f>
        <v>0</v>
      </c>
      <c r="H1206" s="103" t="str">
        <f aca="false">IF(G1206=0,"空闲",IF(G1206&lt;=0.6,"低负荷",IF(G1206&lt;=0.85,"正常",IF(G1206&lt;=1,"满负荷","超负荷"))))</f>
        <v>空闲</v>
      </c>
      <c r="I1206" s="104" t="s">
        <v>638</v>
      </c>
      <c r="J1206" s="104"/>
      <c r="K1206" s="104"/>
      <c r="L1206" s="105" t="s">
        <v>639</v>
      </c>
    </row>
    <row r="1207" customFormat="false" ht="48" hidden="false" customHeight="true" outlineLevel="0" collapsed="false">
      <c r="A1207" s="99"/>
      <c r="B1207" s="100" t="n">
        <v>46272</v>
      </c>
      <c r="C1207" s="100" t="n">
        <v>46278</v>
      </c>
      <c r="D1207" s="99" t="s">
        <v>638</v>
      </c>
      <c r="E1207" s="99" t="n">
        <v>0</v>
      </c>
      <c r="F1207" s="101" t="n">
        <v>0</v>
      </c>
      <c r="G1207" s="102" t="n">
        <f aca="false">IFERROR(F1207/INDEX($G$5:$G$34,MATCH(LOOKUP(2,1/($A$39:A1207&lt;&gt;""),$A$39:A1207),$A$5:$A$34,0)),0)</f>
        <v>0</v>
      </c>
      <c r="H1207" s="103" t="str">
        <f aca="false">IF(G1207=0,"空闲",IF(G1207&lt;=0.6,"低负荷",IF(G1207&lt;=0.85,"正常",IF(G1207&lt;=1,"满负荷","超负荷"))))</f>
        <v>空闲</v>
      </c>
      <c r="I1207" s="104" t="s">
        <v>638</v>
      </c>
      <c r="J1207" s="104"/>
      <c r="K1207" s="104"/>
      <c r="L1207" s="105" t="s">
        <v>639</v>
      </c>
    </row>
    <row r="1208" customFormat="false" ht="48" hidden="false" customHeight="true" outlineLevel="0" collapsed="false">
      <c r="A1208" s="99"/>
      <c r="B1208" s="100" t="n">
        <v>46279</v>
      </c>
      <c r="C1208" s="100" t="n">
        <v>46285</v>
      </c>
      <c r="D1208" s="99" t="s">
        <v>638</v>
      </c>
      <c r="E1208" s="99" t="n">
        <v>0</v>
      </c>
      <c r="F1208" s="101" t="n">
        <v>0</v>
      </c>
      <c r="G1208" s="102" t="n">
        <f aca="false">IFERROR(F1208/INDEX($G$5:$G$34,MATCH(LOOKUP(2,1/($A$39:A1208&lt;&gt;""),$A$39:A1208),$A$5:$A$34,0)),0)</f>
        <v>0</v>
      </c>
      <c r="H1208" s="103" t="str">
        <f aca="false">IF(G1208=0,"空闲",IF(G1208&lt;=0.6,"低负荷",IF(G1208&lt;=0.85,"正常",IF(G1208&lt;=1,"满负荷","超负荷"))))</f>
        <v>空闲</v>
      </c>
      <c r="I1208" s="104" t="s">
        <v>638</v>
      </c>
      <c r="J1208" s="104"/>
      <c r="K1208" s="104"/>
      <c r="L1208" s="105" t="s">
        <v>639</v>
      </c>
    </row>
    <row r="1209" customFormat="false" ht="48" hidden="false" customHeight="true" outlineLevel="0" collapsed="false">
      <c r="A1209" s="99"/>
      <c r="B1209" s="100" t="n">
        <v>46286</v>
      </c>
      <c r="C1209" s="100" t="n">
        <v>46292</v>
      </c>
      <c r="D1209" s="99" t="s">
        <v>638</v>
      </c>
      <c r="E1209" s="99" t="n">
        <v>0</v>
      </c>
      <c r="F1209" s="101" t="n">
        <v>0</v>
      </c>
      <c r="G1209" s="102" t="n">
        <f aca="false">IFERROR(F1209/INDEX($G$5:$G$34,MATCH(LOOKUP(2,1/($A$39:A1209&lt;&gt;""),$A$39:A1209),$A$5:$A$34,0)),0)</f>
        <v>0</v>
      </c>
      <c r="H1209" s="103" t="str">
        <f aca="false">IF(G1209=0,"空闲",IF(G1209&lt;=0.6,"低负荷",IF(G1209&lt;=0.85,"正常",IF(G1209&lt;=1,"满负荷","超负荷"))))</f>
        <v>空闲</v>
      </c>
      <c r="I1209" s="104" t="s">
        <v>638</v>
      </c>
      <c r="J1209" s="104"/>
      <c r="K1209" s="104"/>
      <c r="L1209" s="105" t="s">
        <v>639</v>
      </c>
    </row>
    <row r="1210" customFormat="false" ht="48" hidden="false" customHeight="true" outlineLevel="0" collapsed="false">
      <c r="A1210" s="99"/>
      <c r="B1210" s="100" t="n">
        <v>46293</v>
      </c>
      <c r="C1210" s="100" t="n">
        <v>46299</v>
      </c>
      <c r="D1210" s="99" t="s">
        <v>638</v>
      </c>
      <c r="E1210" s="99" t="n">
        <v>0</v>
      </c>
      <c r="F1210" s="101" t="n">
        <v>0</v>
      </c>
      <c r="G1210" s="102" t="n">
        <f aca="false">IFERROR(F1210/INDEX($G$5:$G$34,MATCH(LOOKUP(2,1/($A$39:A1210&lt;&gt;""),$A$39:A1210),$A$5:$A$34,0)),0)</f>
        <v>0</v>
      </c>
      <c r="H1210" s="103" t="str">
        <f aca="false">IF(G1210=0,"空闲",IF(G1210&lt;=0.6,"低负荷",IF(G1210&lt;=0.85,"正常",IF(G1210&lt;=1,"满负荷","超负荷"))))</f>
        <v>空闲</v>
      </c>
      <c r="I1210" s="104" t="s">
        <v>638</v>
      </c>
      <c r="J1210" s="104"/>
      <c r="K1210" s="104"/>
      <c r="L1210" s="105" t="s">
        <v>639</v>
      </c>
    </row>
    <row r="1211" customFormat="false" ht="48" hidden="false" customHeight="true" outlineLevel="0" collapsed="false">
      <c r="A1211" s="99"/>
      <c r="B1211" s="100" t="n">
        <v>46300</v>
      </c>
      <c r="C1211" s="100" t="n">
        <v>46306</v>
      </c>
      <c r="D1211" s="99" t="s">
        <v>638</v>
      </c>
      <c r="E1211" s="99" t="n">
        <v>0</v>
      </c>
      <c r="F1211" s="101" t="n">
        <v>0</v>
      </c>
      <c r="G1211" s="102" t="n">
        <f aca="false">IFERROR(F1211/INDEX($G$5:$G$34,MATCH(LOOKUP(2,1/($A$39:A1211&lt;&gt;""),$A$39:A1211),$A$5:$A$34,0)),0)</f>
        <v>0</v>
      </c>
      <c r="H1211" s="103" t="str">
        <f aca="false">IF(G1211=0,"空闲",IF(G1211&lt;=0.6,"低负荷",IF(G1211&lt;=0.85,"正常",IF(G1211&lt;=1,"满负荷","超负荷"))))</f>
        <v>空闲</v>
      </c>
      <c r="I1211" s="104" t="s">
        <v>638</v>
      </c>
      <c r="J1211" s="104"/>
      <c r="K1211" s="104"/>
      <c r="L1211" s="105" t="s">
        <v>639</v>
      </c>
    </row>
    <row r="1212" customFormat="false" ht="48" hidden="false" customHeight="true" outlineLevel="0" collapsed="false">
      <c r="A1212" s="99"/>
      <c r="B1212" s="100" t="n">
        <v>46307</v>
      </c>
      <c r="C1212" s="100" t="n">
        <v>46313</v>
      </c>
      <c r="D1212" s="99" t="s">
        <v>638</v>
      </c>
      <c r="E1212" s="99" t="n">
        <v>0</v>
      </c>
      <c r="F1212" s="101" t="n">
        <v>0</v>
      </c>
      <c r="G1212" s="102" t="n">
        <f aca="false">IFERROR(F1212/INDEX($G$5:$G$34,MATCH(LOOKUP(2,1/($A$39:A1212&lt;&gt;""),$A$39:A1212),$A$5:$A$34,0)),0)</f>
        <v>0</v>
      </c>
      <c r="H1212" s="103" t="str">
        <f aca="false">IF(G1212=0,"空闲",IF(G1212&lt;=0.6,"低负荷",IF(G1212&lt;=0.85,"正常",IF(G1212&lt;=1,"满负荷","超负荷"))))</f>
        <v>空闲</v>
      </c>
      <c r="I1212" s="104" t="s">
        <v>638</v>
      </c>
      <c r="J1212" s="104"/>
      <c r="K1212" s="104"/>
      <c r="L1212" s="105" t="s">
        <v>639</v>
      </c>
    </row>
    <row r="1213" customFormat="false" ht="48" hidden="false" customHeight="true" outlineLevel="0" collapsed="false">
      <c r="A1213" s="99"/>
      <c r="B1213" s="100" t="n">
        <v>46314</v>
      </c>
      <c r="C1213" s="100" t="n">
        <v>46320</v>
      </c>
      <c r="D1213" s="99" t="s">
        <v>638</v>
      </c>
      <c r="E1213" s="99" t="n">
        <v>0</v>
      </c>
      <c r="F1213" s="101" t="n">
        <v>0</v>
      </c>
      <c r="G1213" s="102" t="n">
        <f aca="false">IFERROR(F1213/INDEX($G$5:$G$34,MATCH(LOOKUP(2,1/($A$39:A1213&lt;&gt;""),$A$39:A1213),$A$5:$A$34,0)),0)</f>
        <v>0</v>
      </c>
      <c r="H1213" s="103" t="str">
        <f aca="false">IF(G1213=0,"空闲",IF(G1213&lt;=0.6,"低负荷",IF(G1213&lt;=0.85,"正常",IF(G1213&lt;=1,"满负荷","超负荷"))))</f>
        <v>空闲</v>
      </c>
      <c r="I1213" s="104" t="s">
        <v>638</v>
      </c>
      <c r="J1213" s="104"/>
      <c r="K1213" s="104"/>
      <c r="L1213" s="105" t="s">
        <v>639</v>
      </c>
    </row>
    <row r="1214" customFormat="false" ht="48" hidden="false" customHeight="true" outlineLevel="0" collapsed="false">
      <c r="A1214" s="99"/>
      <c r="B1214" s="100" t="n">
        <v>46321</v>
      </c>
      <c r="C1214" s="100" t="n">
        <v>46327</v>
      </c>
      <c r="D1214" s="99" t="s">
        <v>638</v>
      </c>
      <c r="E1214" s="99" t="n">
        <v>0</v>
      </c>
      <c r="F1214" s="101" t="n">
        <v>0</v>
      </c>
      <c r="G1214" s="102" t="n">
        <f aca="false">IFERROR(F1214/INDEX($G$5:$G$34,MATCH(LOOKUP(2,1/($A$39:A1214&lt;&gt;""),$A$39:A1214),$A$5:$A$34,0)),0)</f>
        <v>0</v>
      </c>
      <c r="H1214" s="103" t="str">
        <f aca="false">IF(G1214=0,"空闲",IF(G1214&lt;=0.6,"低负荷",IF(G1214&lt;=0.85,"正常",IF(G1214&lt;=1,"满负荷","超负荷"))))</f>
        <v>空闲</v>
      </c>
      <c r="I1214" s="104" t="s">
        <v>638</v>
      </c>
      <c r="J1214" s="104"/>
      <c r="K1214" s="104"/>
      <c r="L1214" s="105" t="s">
        <v>639</v>
      </c>
    </row>
    <row r="1215" customFormat="false" ht="48" hidden="false" customHeight="true" outlineLevel="0" collapsed="false">
      <c r="A1215" s="99"/>
      <c r="B1215" s="100" t="n">
        <v>46328</v>
      </c>
      <c r="C1215" s="100" t="n">
        <v>46334</v>
      </c>
      <c r="D1215" s="99" t="s">
        <v>638</v>
      </c>
      <c r="E1215" s="99" t="n">
        <v>0</v>
      </c>
      <c r="F1215" s="101" t="n">
        <v>0</v>
      </c>
      <c r="G1215" s="102" t="n">
        <f aca="false">IFERROR(F1215/INDEX($G$5:$G$34,MATCH(LOOKUP(2,1/($A$39:A1215&lt;&gt;""),$A$39:A1215),$A$5:$A$34,0)),0)</f>
        <v>0</v>
      </c>
      <c r="H1215" s="103" t="str">
        <f aca="false">IF(G1215=0,"空闲",IF(G1215&lt;=0.6,"低负荷",IF(G1215&lt;=0.85,"正常",IF(G1215&lt;=1,"满负荷","超负荷"))))</f>
        <v>空闲</v>
      </c>
      <c r="I1215" s="104" t="s">
        <v>638</v>
      </c>
      <c r="J1215" s="104"/>
      <c r="K1215" s="104"/>
      <c r="L1215" s="105" t="s">
        <v>639</v>
      </c>
    </row>
    <row r="1216" customFormat="false" ht="48" hidden="false" customHeight="true" outlineLevel="0" collapsed="false">
      <c r="A1216" s="99"/>
      <c r="B1216" s="100" t="n">
        <v>46335</v>
      </c>
      <c r="C1216" s="100" t="n">
        <v>46341</v>
      </c>
      <c r="D1216" s="99" t="s">
        <v>638</v>
      </c>
      <c r="E1216" s="99" t="n">
        <v>0</v>
      </c>
      <c r="F1216" s="101" t="n">
        <v>0</v>
      </c>
      <c r="G1216" s="102" t="n">
        <f aca="false">IFERROR(F1216/INDEX($G$5:$G$34,MATCH(LOOKUP(2,1/($A$39:A1216&lt;&gt;""),$A$39:A1216),$A$5:$A$34,0)),0)</f>
        <v>0</v>
      </c>
      <c r="H1216" s="103" t="str">
        <f aca="false">IF(G1216=0,"空闲",IF(G1216&lt;=0.6,"低负荷",IF(G1216&lt;=0.85,"正常",IF(G1216&lt;=1,"满负荷","超负荷"))))</f>
        <v>空闲</v>
      </c>
      <c r="I1216" s="104" t="s">
        <v>638</v>
      </c>
      <c r="J1216" s="104"/>
      <c r="K1216" s="104"/>
      <c r="L1216" s="105" t="s">
        <v>639</v>
      </c>
    </row>
    <row r="1217" customFormat="false" ht="48" hidden="false" customHeight="true" outlineLevel="0" collapsed="false">
      <c r="A1217" s="99"/>
      <c r="B1217" s="100" t="n">
        <v>46342</v>
      </c>
      <c r="C1217" s="100" t="n">
        <v>46348</v>
      </c>
      <c r="D1217" s="99" t="s">
        <v>638</v>
      </c>
      <c r="E1217" s="99" t="n">
        <v>0</v>
      </c>
      <c r="F1217" s="101" t="n">
        <v>0</v>
      </c>
      <c r="G1217" s="102" t="n">
        <f aca="false">IFERROR(F1217/INDEX($G$5:$G$34,MATCH(LOOKUP(2,1/($A$39:A1217&lt;&gt;""),$A$39:A1217),$A$5:$A$34,0)),0)</f>
        <v>0</v>
      </c>
      <c r="H1217" s="103" t="str">
        <f aca="false">IF(G1217=0,"空闲",IF(G1217&lt;=0.6,"低负荷",IF(G1217&lt;=0.85,"正常",IF(G1217&lt;=1,"满负荷","超负荷"))))</f>
        <v>空闲</v>
      </c>
      <c r="I1217" s="104" t="s">
        <v>638</v>
      </c>
      <c r="J1217" s="104"/>
      <c r="K1217" s="104"/>
      <c r="L1217" s="105" t="s">
        <v>639</v>
      </c>
    </row>
    <row r="1218" customFormat="false" ht="48" hidden="false" customHeight="true" outlineLevel="0" collapsed="false">
      <c r="A1218" s="99"/>
      <c r="B1218" s="100" t="n">
        <v>46349</v>
      </c>
      <c r="C1218" s="100" t="n">
        <v>46355</v>
      </c>
      <c r="D1218" s="99" t="s">
        <v>640</v>
      </c>
      <c r="E1218" s="99" t="n">
        <v>1</v>
      </c>
      <c r="F1218" s="101" t="n">
        <v>40</v>
      </c>
      <c r="G1218" s="102" t="n">
        <f aca="false">IFERROR(F1218/INDEX($G$5:$G$34,MATCH(LOOKUP(2,1/($A$39:A1218&lt;&gt;""),$A$39:A1218),$A$5:$A$34,0)),0)</f>
        <v>1</v>
      </c>
      <c r="H1218" s="103" t="str">
        <f aca="false">IF(G1218=0,"空闲",IF(G1218&lt;=0.6,"低负荷",IF(G1218&lt;=0.85,"正常",IF(G1218&lt;=1,"满负荷","超负荷"))))</f>
        <v>满负荷</v>
      </c>
      <c r="I1218" s="106" t="s">
        <v>712</v>
      </c>
      <c r="J1218" s="106"/>
      <c r="K1218" s="106"/>
      <c r="L1218" s="105" t="s">
        <v>642</v>
      </c>
    </row>
    <row r="1219" customFormat="false" ht="48" hidden="false" customHeight="true" outlineLevel="0" collapsed="false">
      <c r="A1219" s="99"/>
      <c r="B1219" s="100" t="n">
        <v>46356</v>
      </c>
      <c r="C1219" s="100" t="n">
        <v>46362</v>
      </c>
      <c r="D1219" s="99" t="s">
        <v>640</v>
      </c>
      <c r="E1219" s="99" t="n">
        <v>1</v>
      </c>
      <c r="F1219" s="101" t="n">
        <v>40</v>
      </c>
      <c r="G1219" s="102" t="n">
        <f aca="false">IFERROR(F1219/INDEX($G$5:$G$34,MATCH(LOOKUP(2,1/($A$39:A1219&lt;&gt;""),$A$39:A1219),$A$5:$A$34,0)),0)</f>
        <v>1</v>
      </c>
      <c r="H1219" s="103" t="str">
        <f aca="false">IF(G1219=0,"空闲",IF(G1219&lt;=0.6,"低负荷",IF(G1219&lt;=0.85,"正常",IF(G1219&lt;=1,"满负荷","超负荷"))))</f>
        <v>满负荷</v>
      </c>
      <c r="I1219" s="106" t="s">
        <v>712</v>
      </c>
      <c r="J1219" s="106"/>
      <c r="K1219" s="106"/>
      <c r="L1219" s="105" t="s">
        <v>642</v>
      </c>
    </row>
    <row r="1220" customFormat="false" ht="48" hidden="false" customHeight="true" outlineLevel="0" collapsed="false">
      <c r="A1220" s="99"/>
      <c r="B1220" s="100" t="n">
        <v>46363</v>
      </c>
      <c r="C1220" s="100" t="n">
        <v>46369</v>
      </c>
      <c r="D1220" s="99" t="s">
        <v>640</v>
      </c>
      <c r="E1220" s="99" t="n">
        <v>5</v>
      </c>
      <c r="F1220" s="101" t="n">
        <v>40</v>
      </c>
      <c r="G1220" s="102" t="n">
        <f aca="false">IFERROR(F1220/INDEX($G$5:$G$34,MATCH(LOOKUP(2,1/($A$39:A1220&lt;&gt;""),$A$39:A1220),$A$5:$A$34,0)),0)</f>
        <v>1</v>
      </c>
      <c r="H1220" s="103" t="str">
        <f aca="false">IF(G1220=0,"空闲",IF(G1220&lt;=0.6,"低负荷",IF(G1220&lt;=0.85,"正常",IF(G1220&lt;=1,"满负荷","超负荷"))))</f>
        <v>满负荷</v>
      </c>
      <c r="I1220" s="106" t="s">
        <v>748</v>
      </c>
      <c r="J1220" s="106"/>
      <c r="K1220" s="106"/>
      <c r="L1220" s="105" t="s">
        <v>717</v>
      </c>
    </row>
    <row r="1221" customFormat="false" ht="48" hidden="false" customHeight="true" outlineLevel="0" collapsed="false">
      <c r="A1221" s="99"/>
      <c r="B1221" s="100" t="n">
        <v>46370</v>
      </c>
      <c r="C1221" s="100" t="n">
        <v>46376</v>
      </c>
      <c r="D1221" s="99" t="s">
        <v>640</v>
      </c>
      <c r="E1221" s="99" t="n">
        <v>5</v>
      </c>
      <c r="F1221" s="101" t="n">
        <v>40</v>
      </c>
      <c r="G1221" s="102" t="n">
        <f aca="false">IFERROR(F1221/INDEX($G$5:$G$34,MATCH(LOOKUP(2,1/($A$39:A1221&lt;&gt;""),$A$39:A1221),$A$5:$A$34,0)),0)</f>
        <v>1</v>
      </c>
      <c r="H1221" s="103" t="str">
        <f aca="false">IF(G1221=0,"空闲",IF(G1221&lt;=0.6,"低负荷",IF(G1221&lt;=0.85,"正常",IF(G1221&lt;=1,"满负荷","超负荷"))))</f>
        <v>满负荷</v>
      </c>
      <c r="I1221" s="106" t="s">
        <v>748</v>
      </c>
      <c r="J1221" s="106"/>
      <c r="K1221" s="106"/>
      <c r="L1221" s="105" t="s">
        <v>717</v>
      </c>
    </row>
    <row r="1222" customFormat="false" ht="48" hidden="false" customHeight="true" outlineLevel="0" collapsed="false">
      <c r="A1222" s="99"/>
      <c r="B1222" s="100" t="n">
        <v>46377</v>
      </c>
      <c r="C1222" s="100" t="n">
        <v>46383</v>
      </c>
      <c r="D1222" s="99" t="s">
        <v>640</v>
      </c>
      <c r="E1222" s="99" t="n">
        <v>6</v>
      </c>
      <c r="F1222" s="101" t="n">
        <v>40</v>
      </c>
      <c r="G1222" s="102" t="n">
        <f aca="false">IFERROR(F1222/INDEX($G$5:$G$34,MATCH(LOOKUP(2,1/($A$39:A1222&lt;&gt;""),$A$39:A1222),$A$5:$A$34,0)),0)</f>
        <v>1</v>
      </c>
      <c r="H1222" s="103" t="str">
        <f aca="false">IF(G1222=0,"空闲",IF(G1222&lt;=0.6,"低负荷",IF(G1222&lt;=0.85,"正常",IF(G1222&lt;=1,"满负荷","超负荷"))))</f>
        <v>满负荷</v>
      </c>
      <c r="I1222" s="106" t="s">
        <v>749</v>
      </c>
      <c r="J1222" s="106"/>
      <c r="K1222" s="106"/>
      <c r="L1222" s="105" t="s">
        <v>676</v>
      </c>
    </row>
    <row r="1223" customFormat="false" ht="48" hidden="false" customHeight="true" outlineLevel="0" collapsed="false">
      <c r="A1223" s="99"/>
      <c r="B1223" s="100" t="n">
        <v>46384</v>
      </c>
      <c r="C1223" s="100" t="n">
        <v>46390</v>
      </c>
      <c r="D1223" s="99" t="s">
        <v>640</v>
      </c>
      <c r="E1223" s="99" t="n">
        <v>6</v>
      </c>
      <c r="F1223" s="101" t="n">
        <v>40</v>
      </c>
      <c r="G1223" s="102" t="n">
        <f aca="false">IFERROR(F1223/INDEX($G$5:$G$34,MATCH(LOOKUP(2,1/($A$39:A1223&lt;&gt;""),$A$39:A1223),$A$5:$A$34,0)),0)</f>
        <v>1</v>
      </c>
      <c r="H1223" s="103" t="str">
        <f aca="false">IF(G1223=0,"空闲",IF(G1223&lt;=0.6,"低负荷",IF(G1223&lt;=0.85,"正常",IF(G1223&lt;=1,"满负荷","超负荷"))))</f>
        <v>满负荷</v>
      </c>
      <c r="I1223" s="106" t="s">
        <v>749</v>
      </c>
      <c r="J1223" s="106"/>
      <c r="K1223" s="106"/>
      <c r="L1223" s="105" t="s">
        <v>676</v>
      </c>
    </row>
    <row r="1224" customFormat="false" ht="48" hidden="false" customHeight="true" outlineLevel="0" collapsed="false">
      <c r="A1224" s="99"/>
      <c r="B1224" s="100" t="n">
        <v>46391</v>
      </c>
      <c r="C1224" s="100" t="n">
        <v>46397</v>
      </c>
      <c r="D1224" s="99" t="s">
        <v>640</v>
      </c>
      <c r="E1224" s="99" t="n">
        <v>6</v>
      </c>
      <c r="F1224" s="101" t="n">
        <v>40</v>
      </c>
      <c r="G1224" s="102" t="n">
        <f aca="false">IFERROR(F1224/INDEX($G$5:$G$34,MATCH(LOOKUP(2,1/($A$39:A1224&lt;&gt;""),$A$39:A1224),$A$5:$A$34,0)),0)</f>
        <v>1</v>
      </c>
      <c r="H1224" s="103" t="str">
        <f aca="false">IF(G1224=0,"空闲",IF(G1224&lt;=0.6,"低负荷",IF(G1224&lt;=0.85,"正常",IF(G1224&lt;=1,"满负荷","超负荷"))))</f>
        <v>满负荷</v>
      </c>
      <c r="I1224" s="106" t="s">
        <v>749</v>
      </c>
      <c r="J1224" s="106"/>
      <c r="K1224" s="106"/>
      <c r="L1224" s="105" t="s">
        <v>676</v>
      </c>
    </row>
    <row r="1225" customFormat="false" ht="48" hidden="false" customHeight="true" outlineLevel="0" collapsed="false">
      <c r="A1225" s="99"/>
      <c r="B1225" s="100" t="n">
        <v>46398</v>
      </c>
      <c r="C1225" s="100" t="n">
        <v>46404</v>
      </c>
      <c r="D1225" s="99" t="s">
        <v>640</v>
      </c>
      <c r="E1225" s="99" t="n">
        <v>5</v>
      </c>
      <c r="F1225" s="101" t="n">
        <v>40</v>
      </c>
      <c r="G1225" s="102" t="n">
        <f aca="false">IFERROR(F1225/INDEX($G$5:$G$34,MATCH(LOOKUP(2,1/($A$39:A1225&lt;&gt;""),$A$39:A1225),$A$5:$A$34,0)),0)</f>
        <v>1</v>
      </c>
      <c r="H1225" s="103" t="str">
        <f aca="false">IF(G1225=0,"空闲",IF(G1225&lt;=0.6,"低负荷",IF(G1225&lt;=0.85,"正常",IF(G1225&lt;=1,"满负荷","超负荷"))))</f>
        <v>满负荷</v>
      </c>
      <c r="I1225" s="106" t="s">
        <v>748</v>
      </c>
      <c r="J1225" s="106"/>
      <c r="K1225" s="106"/>
      <c r="L1225" s="105" t="s">
        <v>717</v>
      </c>
    </row>
    <row r="1226" customFormat="false" ht="48" hidden="false" customHeight="true" outlineLevel="0" collapsed="false">
      <c r="A1226" s="99"/>
      <c r="B1226" s="100" t="n">
        <v>46405</v>
      </c>
      <c r="C1226" s="100" t="n">
        <v>46411</v>
      </c>
      <c r="D1226" s="99" t="s">
        <v>640</v>
      </c>
      <c r="E1226" s="99" t="n">
        <v>5</v>
      </c>
      <c r="F1226" s="101" t="n">
        <v>40</v>
      </c>
      <c r="G1226" s="102" t="n">
        <f aca="false">IFERROR(F1226/INDEX($G$5:$G$34,MATCH(LOOKUP(2,1/($A$39:A1226&lt;&gt;""),$A$39:A1226),$A$5:$A$34,0)),0)</f>
        <v>1</v>
      </c>
      <c r="H1226" s="103" t="str">
        <f aca="false">IF(G1226=0,"空闲",IF(G1226&lt;=0.6,"低负荷",IF(G1226&lt;=0.85,"正常",IF(G1226&lt;=1,"满负荷","超负荷"))))</f>
        <v>满负荷</v>
      </c>
      <c r="I1226" s="106" t="s">
        <v>748</v>
      </c>
      <c r="J1226" s="106"/>
      <c r="K1226" s="106"/>
      <c r="L1226" s="105" t="s">
        <v>717</v>
      </c>
    </row>
    <row r="1227" customFormat="false" ht="48" hidden="false" customHeight="true" outlineLevel="0" collapsed="false">
      <c r="A1227" s="99"/>
      <c r="B1227" s="100" t="n">
        <v>46412</v>
      </c>
      <c r="C1227" s="100" t="n">
        <v>46418</v>
      </c>
      <c r="D1227" s="99" t="s">
        <v>640</v>
      </c>
      <c r="E1227" s="99" t="n">
        <v>5</v>
      </c>
      <c r="F1227" s="101" t="n">
        <v>40</v>
      </c>
      <c r="G1227" s="102" t="n">
        <f aca="false">IFERROR(F1227/INDEX($G$5:$G$34,MATCH(LOOKUP(2,1/($A$39:A1227&lt;&gt;""),$A$39:A1227),$A$5:$A$34,0)),0)</f>
        <v>1</v>
      </c>
      <c r="H1227" s="103" t="str">
        <f aca="false">IF(G1227=0,"空闲",IF(G1227&lt;=0.6,"低负荷",IF(G1227&lt;=0.85,"正常",IF(G1227&lt;=1,"满负荷","超负荷"))))</f>
        <v>满负荷</v>
      </c>
      <c r="I1227" s="106" t="s">
        <v>748</v>
      </c>
      <c r="J1227" s="106"/>
      <c r="K1227" s="106"/>
      <c r="L1227" s="105" t="s">
        <v>717</v>
      </c>
    </row>
    <row r="1228" customFormat="false" ht="48" hidden="false" customHeight="true" outlineLevel="0" collapsed="false">
      <c r="A1228" s="99"/>
      <c r="B1228" s="100" t="n">
        <v>46419</v>
      </c>
      <c r="C1228" s="100" t="n">
        <v>46425</v>
      </c>
      <c r="D1228" s="99" t="s">
        <v>640</v>
      </c>
      <c r="E1228" s="99" t="n">
        <v>5</v>
      </c>
      <c r="F1228" s="101" t="n">
        <v>40</v>
      </c>
      <c r="G1228" s="102" t="n">
        <f aca="false">IFERROR(F1228/INDEX($G$5:$G$34,MATCH(LOOKUP(2,1/($A$39:A1228&lt;&gt;""),$A$39:A1228),$A$5:$A$34,0)),0)</f>
        <v>1</v>
      </c>
      <c r="H1228" s="103" t="str">
        <f aca="false">IF(G1228=0,"空闲",IF(G1228&lt;=0.6,"低负荷",IF(G1228&lt;=0.85,"正常",IF(G1228&lt;=1,"满负荷","超负荷"))))</f>
        <v>满负荷</v>
      </c>
      <c r="I1228" s="106" t="s">
        <v>748</v>
      </c>
      <c r="J1228" s="106"/>
      <c r="K1228" s="106"/>
      <c r="L1228" s="105" t="s">
        <v>717</v>
      </c>
    </row>
    <row r="1229" customFormat="false" ht="48" hidden="false" customHeight="true" outlineLevel="0" collapsed="false">
      <c r="A1229" s="99"/>
      <c r="B1229" s="100" t="n">
        <v>46426</v>
      </c>
      <c r="C1229" s="100" t="n">
        <v>46432</v>
      </c>
      <c r="D1229" s="99" t="s">
        <v>640</v>
      </c>
      <c r="E1229" s="99" t="n">
        <v>5</v>
      </c>
      <c r="F1229" s="101" t="n">
        <v>40</v>
      </c>
      <c r="G1229" s="102" t="n">
        <f aca="false">IFERROR(F1229/INDEX($G$5:$G$34,MATCH(LOOKUP(2,1/($A$39:A1229&lt;&gt;""),$A$39:A1229),$A$5:$A$34,0)),0)</f>
        <v>1</v>
      </c>
      <c r="H1229" s="103" t="str">
        <f aca="false">IF(G1229=0,"空闲",IF(G1229&lt;=0.6,"低负荷",IF(G1229&lt;=0.85,"正常",IF(G1229&lt;=1,"满负荷","超负荷"))))</f>
        <v>满负荷</v>
      </c>
      <c r="I1229" s="106" t="s">
        <v>748</v>
      </c>
      <c r="J1229" s="106"/>
      <c r="K1229" s="106"/>
      <c r="L1229" s="105" t="s">
        <v>717</v>
      </c>
    </row>
    <row r="1230" customFormat="false" ht="48" hidden="false" customHeight="true" outlineLevel="0" collapsed="false">
      <c r="A1230" s="99"/>
      <c r="B1230" s="100" t="n">
        <v>46433</v>
      </c>
      <c r="C1230" s="100" t="n">
        <v>46439</v>
      </c>
      <c r="D1230" s="99" t="s">
        <v>638</v>
      </c>
      <c r="E1230" s="99" t="n">
        <v>0</v>
      </c>
      <c r="F1230" s="101" t="n">
        <v>0</v>
      </c>
      <c r="G1230" s="102" t="n">
        <f aca="false">IFERROR(F1230/INDEX($G$5:$G$34,MATCH(LOOKUP(2,1/($A$39:A1230&lt;&gt;""),$A$39:A1230),$A$5:$A$34,0)),0)</f>
        <v>0</v>
      </c>
      <c r="H1230" s="103" t="str">
        <f aca="false">IF(G1230=0,"空闲",IF(G1230&lt;=0.6,"低负荷",IF(G1230&lt;=0.85,"正常",IF(G1230&lt;=1,"满负荷","超负荷"))))</f>
        <v>空闲</v>
      </c>
      <c r="I1230" s="104" t="s">
        <v>638</v>
      </c>
      <c r="J1230" s="104"/>
      <c r="K1230" s="104"/>
      <c r="L1230" s="105" t="s">
        <v>639</v>
      </c>
    </row>
    <row r="1231" customFormat="false" ht="48" hidden="false" customHeight="true" outlineLevel="0" collapsed="false">
      <c r="A1231" s="99"/>
      <c r="B1231" s="100" t="n">
        <v>46440</v>
      </c>
      <c r="C1231" s="100" t="n">
        <v>46446</v>
      </c>
      <c r="D1231" s="99" t="s">
        <v>638</v>
      </c>
      <c r="E1231" s="99" t="n">
        <v>0</v>
      </c>
      <c r="F1231" s="101" t="n">
        <v>0</v>
      </c>
      <c r="G1231" s="102" t="n">
        <f aca="false">IFERROR(F1231/INDEX($G$5:$G$34,MATCH(LOOKUP(2,1/($A$39:A1231&lt;&gt;""),$A$39:A1231),$A$5:$A$34,0)),0)</f>
        <v>0</v>
      </c>
      <c r="H1231" s="103" t="str">
        <f aca="false">IF(G1231=0,"空闲",IF(G1231&lt;=0.6,"低负荷",IF(G1231&lt;=0.85,"正常",IF(G1231&lt;=1,"满负荷","超负荷"))))</f>
        <v>空闲</v>
      </c>
      <c r="I1231" s="104" t="s">
        <v>638</v>
      </c>
      <c r="J1231" s="104"/>
      <c r="K1231" s="104"/>
      <c r="L1231" s="105" t="s">
        <v>639</v>
      </c>
    </row>
    <row r="1232" customFormat="false" ht="48" hidden="false" customHeight="true" outlineLevel="0" collapsed="false">
      <c r="A1232" s="99"/>
      <c r="B1232" s="100" t="n">
        <v>46447</v>
      </c>
      <c r="C1232" s="100" t="n">
        <v>46453</v>
      </c>
      <c r="D1232" s="99" t="s">
        <v>638</v>
      </c>
      <c r="E1232" s="99" t="n">
        <v>0</v>
      </c>
      <c r="F1232" s="101" t="n">
        <v>0</v>
      </c>
      <c r="G1232" s="102" t="n">
        <f aca="false">IFERROR(F1232/INDEX($G$5:$G$34,MATCH(LOOKUP(2,1/($A$39:A1232&lt;&gt;""),$A$39:A1232),$A$5:$A$34,0)),0)</f>
        <v>0</v>
      </c>
      <c r="H1232" s="103" t="str">
        <f aca="false">IF(G1232=0,"空闲",IF(G1232&lt;=0.6,"低负荷",IF(G1232&lt;=0.85,"正常",IF(G1232&lt;=1,"满负荷","超负荷"))))</f>
        <v>空闲</v>
      </c>
      <c r="I1232" s="104" t="s">
        <v>638</v>
      </c>
      <c r="J1232" s="104"/>
      <c r="K1232" s="104"/>
      <c r="L1232" s="105" t="s">
        <v>639</v>
      </c>
    </row>
    <row r="1233" customFormat="false" ht="48" hidden="false" customHeight="true" outlineLevel="0" collapsed="false">
      <c r="A1233" s="99"/>
      <c r="B1233" s="100" t="n">
        <v>46454</v>
      </c>
      <c r="C1233" s="100" t="n">
        <v>46460</v>
      </c>
      <c r="D1233" s="99" t="s">
        <v>638</v>
      </c>
      <c r="E1233" s="99" t="n">
        <v>0</v>
      </c>
      <c r="F1233" s="101" t="n">
        <v>0</v>
      </c>
      <c r="G1233" s="102" t="n">
        <f aca="false">IFERROR(F1233/INDEX($G$5:$G$34,MATCH(LOOKUP(2,1/($A$39:A1233&lt;&gt;""),$A$39:A1233),$A$5:$A$34,0)),0)</f>
        <v>0</v>
      </c>
      <c r="H1233" s="103" t="str">
        <f aca="false">IF(G1233=0,"空闲",IF(G1233&lt;=0.6,"低负荷",IF(G1233&lt;=0.85,"正常",IF(G1233&lt;=1,"满负荷","超负荷"))))</f>
        <v>空闲</v>
      </c>
      <c r="I1233" s="104" t="s">
        <v>638</v>
      </c>
      <c r="J1233" s="104"/>
      <c r="K1233" s="104"/>
      <c r="L1233" s="105" t="s">
        <v>639</v>
      </c>
    </row>
    <row r="1234" customFormat="false" ht="48" hidden="false" customHeight="true" outlineLevel="0" collapsed="false">
      <c r="A1234" s="99"/>
      <c r="B1234" s="100" t="n">
        <v>46461</v>
      </c>
      <c r="C1234" s="100" t="n">
        <v>46467</v>
      </c>
      <c r="D1234" s="99" t="s">
        <v>638</v>
      </c>
      <c r="E1234" s="99" t="n">
        <v>0</v>
      </c>
      <c r="F1234" s="101" t="n">
        <v>0</v>
      </c>
      <c r="G1234" s="102" t="n">
        <f aca="false">IFERROR(F1234/INDEX($G$5:$G$34,MATCH(LOOKUP(2,1/($A$39:A1234&lt;&gt;""),$A$39:A1234),$A$5:$A$34,0)),0)</f>
        <v>0</v>
      </c>
      <c r="H1234" s="103" t="str">
        <f aca="false">IF(G1234=0,"空闲",IF(G1234&lt;=0.6,"低负荷",IF(G1234&lt;=0.85,"正常",IF(G1234&lt;=1,"满负荷","超负荷"))))</f>
        <v>空闲</v>
      </c>
      <c r="I1234" s="104" t="s">
        <v>638</v>
      </c>
      <c r="J1234" s="104"/>
      <c r="K1234" s="104"/>
      <c r="L1234" s="105" t="s">
        <v>639</v>
      </c>
    </row>
    <row r="1235" customFormat="false" ht="48" hidden="false" customHeight="true" outlineLevel="0" collapsed="false">
      <c r="A1235" s="99"/>
      <c r="B1235" s="100" t="n">
        <v>46468</v>
      </c>
      <c r="C1235" s="100" t="n">
        <v>46474</v>
      </c>
      <c r="D1235" s="99" t="s">
        <v>638</v>
      </c>
      <c r="E1235" s="99" t="n">
        <v>0</v>
      </c>
      <c r="F1235" s="101" t="n">
        <v>0</v>
      </c>
      <c r="G1235" s="102" t="n">
        <f aca="false">IFERROR(F1235/INDEX($G$5:$G$34,MATCH(LOOKUP(2,1/($A$39:A1235&lt;&gt;""),$A$39:A1235),$A$5:$A$34,0)),0)</f>
        <v>0</v>
      </c>
      <c r="H1235" s="103" t="str">
        <f aca="false">IF(G1235=0,"空闲",IF(G1235&lt;=0.6,"低负荷",IF(G1235&lt;=0.85,"正常",IF(G1235&lt;=1,"满负荷","超负荷"))))</f>
        <v>空闲</v>
      </c>
      <c r="I1235" s="104" t="s">
        <v>638</v>
      </c>
      <c r="J1235" s="104"/>
      <c r="K1235" s="104"/>
      <c r="L1235" s="105" t="s">
        <v>639</v>
      </c>
    </row>
    <row r="1236" customFormat="false" ht="48" hidden="false" customHeight="true" outlineLevel="0" collapsed="false">
      <c r="A1236" s="99"/>
      <c r="B1236" s="100" t="n">
        <v>46475</v>
      </c>
      <c r="C1236" s="100" t="n">
        <v>46481</v>
      </c>
      <c r="D1236" s="99" t="s">
        <v>638</v>
      </c>
      <c r="E1236" s="99" t="n">
        <v>0</v>
      </c>
      <c r="F1236" s="101" t="n">
        <v>0</v>
      </c>
      <c r="G1236" s="102" t="n">
        <f aca="false">IFERROR(F1236/INDEX($G$5:$G$34,MATCH(LOOKUP(2,1/($A$39:A1236&lt;&gt;""),$A$39:A1236),$A$5:$A$34,0)),0)</f>
        <v>0</v>
      </c>
      <c r="H1236" s="103" t="str">
        <f aca="false">IF(G1236=0,"空闲",IF(G1236&lt;=0.6,"低负荷",IF(G1236&lt;=0.85,"正常",IF(G1236&lt;=1,"满负荷","超负荷"))))</f>
        <v>空闲</v>
      </c>
      <c r="I1236" s="104" t="s">
        <v>638</v>
      </c>
      <c r="J1236" s="104"/>
      <c r="K1236" s="104"/>
      <c r="L1236" s="105" t="s">
        <v>639</v>
      </c>
    </row>
    <row r="1237" customFormat="false" ht="48" hidden="false" customHeight="true" outlineLevel="0" collapsed="false">
      <c r="A1237" s="99"/>
      <c r="B1237" s="100" t="n">
        <v>46482</v>
      </c>
      <c r="C1237" s="100" t="n">
        <v>46488</v>
      </c>
      <c r="D1237" s="99" t="s">
        <v>638</v>
      </c>
      <c r="E1237" s="99" t="n">
        <v>0</v>
      </c>
      <c r="F1237" s="101" t="n">
        <v>0</v>
      </c>
      <c r="G1237" s="102" t="n">
        <f aca="false">IFERROR(F1237/INDEX($G$5:$G$34,MATCH(LOOKUP(2,1/($A$39:A1237&lt;&gt;""),$A$39:A1237),$A$5:$A$34,0)),0)</f>
        <v>0</v>
      </c>
      <c r="H1237" s="103" t="str">
        <f aca="false">IF(G1237=0,"空闲",IF(G1237&lt;=0.6,"低负荷",IF(G1237&lt;=0.85,"正常",IF(G1237&lt;=1,"满负荷","超负荷"))))</f>
        <v>空闲</v>
      </c>
      <c r="I1237" s="104" t="s">
        <v>638</v>
      </c>
      <c r="J1237" s="104"/>
      <c r="K1237" s="104"/>
      <c r="L1237" s="105" t="s">
        <v>639</v>
      </c>
    </row>
    <row r="1238" customFormat="false" ht="48" hidden="false" customHeight="true" outlineLevel="0" collapsed="false">
      <c r="A1238" s="99"/>
      <c r="B1238" s="100" t="n">
        <v>46489</v>
      </c>
      <c r="C1238" s="100" t="n">
        <v>46495</v>
      </c>
      <c r="D1238" s="99" t="s">
        <v>638</v>
      </c>
      <c r="E1238" s="99" t="n">
        <v>0</v>
      </c>
      <c r="F1238" s="101" t="n">
        <v>0</v>
      </c>
      <c r="G1238" s="102" t="n">
        <f aca="false">IFERROR(F1238/INDEX($G$5:$G$34,MATCH(LOOKUP(2,1/($A$39:A1238&lt;&gt;""),$A$39:A1238),$A$5:$A$34,0)),0)</f>
        <v>0</v>
      </c>
      <c r="H1238" s="103" t="str">
        <f aca="false">IF(G1238=0,"空闲",IF(G1238&lt;=0.6,"低负荷",IF(G1238&lt;=0.85,"正常",IF(G1238&lt;=1,"满负荷","超负荷"))))</f>
        <v>空闲</v>
      </c>
      <c r="I1238" s="104" t="s">
        <v>638</v>
      </c>
      <c r="J1238" s="104"/>
      <c r="K1238" s="104"/>
      <c r="L1238" s="105" t="s">
        <v>639</v>
      </c>
    </row>
    <row r="1239" customFormat="false" ht="48" hidden="false" customHeight="true" outlineLevel="0" collapsed="false">
      <c r="A1239" s="99"/>
      <c r="B1239" s="100" t="n">
        <v>46496</v>
      </c>
      <c r="C1239" s="100" t="n">
        <v>46502</v>
      </c>
      <c r="D1239" s="99" t="s">
        <v>638</v>
      </c>
      <c r="E1239" s="99" t="n">
        <v>0</v>
      </c>
      <c r="F1239" s="101" t="n">
        <v>0</v>
      </c>
      <c r="G1239" s="102" t="n">
        <f aca="false">IFERROR(F1239/INDEX($G$5:$G$34,MATCH(LOOKUP(2,1/($A$39:A1239&lt;&gt;""),$A$39:A1239),$A$5:$A$34,0)),0)</f>
        <v>0</v>
      </c>
      <c r="H1239" s="103" t="str">
        <f aca="false">IF(G1239=0,"空闲",IF(G1239&lt;=0.6,"低负荷",IF(G1239&lt;=0.85,"正常",IF(G1239&lt;=1,"满负荷","超负荷"))))</f>
        <v>空闲</v>
      </c>
      <c r="I1239" s="104" t="s">
        <v>638</v>
      </c>
      <c r="J1239" s="104"/>
      <c r="K1239" s="104"/>
      <c r="L1239" s="105" t="s">
        <v>639</v>
      </c>
    </row>
    <row r="1240" customFormat="false" ht="48" hidden="false" customHeight="true" outlineLevel="0" collapsed="false">
      <c r="A1240" s="99"/>
      <c r="B1240" s="100" t="n">
        <v>46503</v>
      </c>
      <c r="C1240" s="100" t="n">
        <v>46509</v>
      </c>
      <c r="D1240" s="99" t="s">
        <v>638</v>
      </c>
      <c r="E1240" s="99" t="n">
        <v>0</v>
      </c>
      <c r="F1240" s="101" t="n">
        <v>0</v>
      </c>
      <c r="G1240" s="102" t="n">
        <f aca="false">IFERROR(F1240/INDEX($G$5:$G$34,MATCH(LOOKUP(2,1/($A$39:A1240&lt;&gt;""),$A$39:A1240),$A$5:$A$34,0)),0)</f>
        <v>0</v>
      </c>
      <c r="H1240" s="103" t="str">
        <f aca="false">IF(G1240=0,"空闲",IF(G1240&lt;=0.6,"低负荷",IF(G1240&lt;=0.85,"正常",IF(G1240&lt;=1,"满负荷","超负荷"))))</f>
        <v>空闲</v>
      </c>
      <c r="I1240" s="104" t="s">
        <v>638</v>
      </c>
      <c r="J1240" s="104"/>
      <c r="K1240" s="104"/>
      <c r="L1240" s="105" t="s">
        <v>639</v>
      </c>
    </row>
    <row r="1241" customFormat="false" ht="48" hidden="false" customHeight="true" outlineLevel="0" collapsed="false">
      <c r="A1241" s="99"/>
      <c r="B1241" s="100" t="n">
        <v>46510</v>
      </c>
      <c r="C1241" s="100" t="n">
        <v>46516</v>
      </c>
      <c r="D1241" s="99" t="s">
        <v>638</v>
      </c>
      <c r="E1241" s="99" t="n">
        <v>0</v>
      </c>
      <c r="F1241" s="101" t="n">
        <v>0</v>
      </c>
      <c r="G1241" s="102" t="n">
        <f aca="false">IFERROR(F1241/INDEX($G$5:$G$34,MATCH(LOOKUP(2,1/($A$39:A1241&lt;&gt;""),$A$39:A1241),$A$5:$A$34,0)),0)</f>
        <v>0</v>
      </c>
      <c r="H1241" s="103" t="str">
        <f aca="false">IF(G1241=0,"空闲",IF(G1241&lt;=0.6,"低负荷",IF(G1241&lt;=0.85,"正常",IF(G1241&lt;=1,"满负荷","超负荷"))))</f>
        <v>空闲</v>
      </c>
      <c r="I1241" s="104" t="s">
        <v>638</v>
      </c>
      <c r="J1241" s="104"/>
      <c r="K1241" s="104"/>
      <c r="L1241" s="105" t="s">
        <v>639</v>
      </c>
    </row>
    <row r="1242" customFormat="false" ht="48" hidden="false" customHeight="true" outlineLevel="0" collapsed="false">
      <c r="A1242" s="99"/>
      <c r="B1242" s="100" t="n">
        <v>46517</v>
      </c>
      <c r="C1242" s="100" t="n">
        <v>46523</v>
      </c>
      <c r="D1242" s="99" t="s">
        <v>638</v>
      </c>
      <c r="E1242" s="99" t="n">
        <v>0</v>
      </c>
      <c r="F1242" s="101" t="n">
        <v>0</v>
      </c>
      <c r="G1242" s="102" t="n">
        <f aca="false">IFERROR(F1242/INDEX($G$5:$G$34,MATCH(LOOKUP(2,1/($A$39:A1242&lt;&gt;""),$A$39:A1242),$A$5:$A$34,0)),0)</f>
        <v>0</v>
      </c>
      <c r="H1242" s="103" t="str">
        <f aca="false">IF(G1242=0,"空闲",IF(G1242&lt;=0.6,"低负荷",IF(G1242&lt;=0.85,"正常",IF(G1242&lt;=1,"满负荷","超负荷"))))</f>
        <v>空闲</v>
      </c>
      <c r="I1242" s="104" t="s">
        <v>638</v>
      </c>
      <c r="J1242" s="104"/>
      <c r="K1242" s="104"/>
      <c r="L1242" s="105" t="s">
        <v>639</v>
      </c>
    </row>
    <row r="1243" customFormat="false" ht="48" hidden="false" customHeight="true" outlineLevel="0" collapsed="false">
      <c r="A1243" s="99"/>
      <c r="B1243" s="100" t="n">
        <v>46524</v>
      </c>
      <c r="C1243" s="100" t="n">
        <v>46530</v>
      </c>
      <c r="D1243" s="99" t="s">
        <v>638</v>
      </c>
      <c r="E1243" s="99" t="n">
        <v>0</v>
      </c>
      <c r="F1243" s="101" t="n">
        <v>0</v>
      </c>
      <c r="G1243" s="102" t="n">
        <f aca="false">IFERROR(F1243/INDEX($G$5:$G$34,MATCH(LOOKUP(2,1/($A$39:A1243&lt;&gt;""),$A$39:A1243),$A$5:$A$34,0)),0)</f>
        <v>0</v>
      </c>
      <c r="H1243" s="103" t="str">
        <f aca="false">IF(G1243=0,"空闲",IF(G1243&lt;=0.6,"低负荷",IF(G1243&lt;=0.85,"正常",IF(G1243&lt;=1,"满负荷","超负荷"))))</f>
        <v>空闲</v>
      </c>
      <c r="I1243" s="104" t="s">
        <v>638</v>
      </c>
      <c r="J1243" s="104"/>
      <c r="K1243" s="104"/>
      <c r="L1243" s="105" t="s">
        <v>639</v>
      </c>
    </row>
    <row r="1244" customFormat="false" ht="48" hidden="false" customHeight="true" outlineLevel="0" collapsed="false">
      <c r="A1244" s="99"/>
      <c r="B1244" s="100" t="n">
        <v>46531</v>
      </c>
      <c r="C1244" s="100" t="n">
        <v>46537</v>
      </c>
      <c r="D1244" s="99" t="s">
        <v>638</v>
      </c>
      <c r="E1244" s="99" t="n">
        <v>0</v>
      </c>
      <c r="F1244" s="101" t="n">
        <v>0</v>
      </c>
      <c r="G1244" s="102" t="n">
        <f aca="false">IFERROR(F1244/INDEX($G$5:$G$34,MATCH(LOOKUP(2,1/($A$39:A1244&lt;&gt;""),$A$39:A1244),$A$5:$A$34,0)),0)</f>
        <v>0</v>
      </c>
      <c r="H1244" s="103" t="str">
        <f aca="false">IF(G1244=0,"空闲",IF(G1244&lt;=0.6,"低负荷",IF(G1244&lt;=0.85,"正常",IF(G1244&lt;=1,"满负荷","超负荷"))))</f>
        <v>空闲</v>
      </c>
      <c r="I1244" s="104" t="s">
        <v>638</v>
      </c>
      <c r="J1244" s="104"/>
      <c r="K1244" s="104"/>
      <c r="L1244" s="105" t="s">
        <v>639</v>
      </c>
    </row>
    <row r="1245" customFormat="false" ht="48" hidden="false" customHeight="true" outlineLevel="0" collapsed="false">
      <c r="A1245" s="99"/>
      <c r="B1245" s="100" t="n">
        <v>46538</v>
      </c>
      <c r="C1245" s="100" t="n">
        <v>46544</v>
      </c>
      <c r="D1245" s="99" t="s">
        <v>638</v>
      </c>
      <c r="E1245" s="99" t="n">
        <v>0</v>
      </c>
      <c r="F1245" s="101" t="n">
        <v>0</v>
      </c>
      <c r="G1245" s="102" t="n">
        <f aca="false">IFERROR(F1245/INDEX($G$5:$G$34,MATCH(LOOKUP(2,1/($A$39:A1245&lt;&gt;""),$A$39:A1245),$A$5:$A$34,0)),0)</f>
        <v>0</v>
      </c>
      <c r="H1245" s="103" t="str">
        <f aca="false">IF(G1245=0,"空闲",IF(G1245&lt;=0.6,"低负荷",IF(G1245&lt;=0.85,"正常",IF(G1245&lt;=1,"满负荷","超负荷"))))</f>
        <v>空闲</v>
      </c>
      <c r="I1245" s="104" t="s">
        <v>638</v>
      </c>
      <c r="J1245" s="104"/>
      <c r="K1245" s="104"/>
      <c r="L1245" s="105" t="s">
        <v>639</v>
      </c>
    </row>
    <row r="1246" customFormat="false" ht="48" hidden="false" customHeight="true" outlineLevel="0" collapsed="false">
      <c r="A1246" s="99" t="s">
        <v>617</v>
      </c>
      <c r="B1246" s="100" t="n">
        <v>46048</v>
      </c>
      <c r="C1246" s="100" t="n">
        <v>46054</v>
      </c>
      <c r="D1246" s="99" t="s">
        <v>638</v>
      </c>
      <c r="E1246" s="99" t="n">
        <v>0</v>
      </c>
      <c r="F1246" s="101" t="n">
        <v>0</v>
      </c>
      <c r="G1246" s="102" t="n">
        <f aca="false">IFERROR(F1246/INDEX($G$5:$G$34,MATCH(LOOKUP(2,1/($A$39:A1246&lt;&gt;""),$A$39:A1246),$A$5:$A$34,0)),0)</f>
        <v>0</v>
      </c>
      <c r="H1246" s="103" t="str">
        <f aca="false">IF(G1246=0,"空闲",IF(G1246&lt;=0.6,"低负荷",IF(G1246&lt;=0.85,"正常",IF(G1246&lt;=1,"满负荷","超负荷"))))</f>
        <v>空闲</v>
      </c>
      <c r="I1246" s="104" t="s">
        <v>638</v>
      </c>
      <c r="J1246" s="104"/>
      <c r="K1246" s="104"/>
      <c r="L1246" s="105" t="s">
        <v>639</v>
      </c>
    </row>
    <row r="1247" customFormat="false" ht="48" hidden="false" customHeight="true" outlineLevel="0" collapsed="false">
      <c r="A1247" s="99"/>
      <c r="B1247" s="100" t="n">
        <v>46055</v>
      </c>
      <c r="C1247" s="100" t="n">
        <v>46061</v>
      </c>
      <c r="D1247" s="99" t="s">
        <v>638</v>
      </c>
      <c r="E1247" s="99" t="n">
        <v>0</v>
      </c>
      <c r="F1247" s="101" t="n">
        <v>0</v>
      </c>
      <c r="G1247" s="102" t="n">
        <f aca="false">IFERROR(F1247/INDEX($G$5:$G$34,MATCH(LOOKUP(2,1/($A$39:A1247&lt;&gt;""),$A$39:A1247),$A$5:$A$34,0)),0)</f>
        <v>0</v>
      </c>
      <c r="H1247" s="103" t="str">
        <f aca="false">IF(G1247=0,"空闲",IF(G1247&lt;=0.6,"低负荷",IF(G1247&lt;=0.85,"正常",IF(G1247&lt;=1,"满负荷","超负荷"))))</f>
        <v>空闲</v>
      </c>
      <c r="I1247" s="104" t="s">
        <v>638</v>
      </c>
      <c r="J1247" s="104"/>
      <c r="K1247" s="104"/>
      <c r="L1247" s="105" t="s">
        <v>639</v>
      </c>
    </row>
    <row r="1248" customFormat="false" ht="48" hidden="false" customHeight="true" outlineLevel="0" collapsed="false">
      <c r="A1248" s="99"/>
      <c r="B1248" s="100" t="n">
        <v>46062</v>
      </c>
      <c r="C1248" s="100" t="n">
        <v>46068</v>
      </c>
      <c r="D1248" s="99" t="s">
        <v>638</v>
      </c>
      <c r="E1248" s="99" t="n">
        <v>0</v>
      </c>
      <c r="F1248" s="101" t="n">
        <v>0</v>
      </c>
      <c r="G1248" s="102" t="n">
        <f aca="false">IFERROR(F1248/INDEX($G$5:$G$34,MATCH(LOOKUP(2,1/($A$39:A1248&lt;&gt;""),$A$39:A1248),$A$5:$A$34,0)),0)</f>
        <v>0</v>
      </c>
      <c r="H1248" s="103" t="str">
        <f aca="false">IF(G1248=0,"空闲",IF(G1248&lt;=0.6,"低负荷",IF(G1248&lt;=0.85,"正常",IF(G1248&lt;=1,"满负荷","超负荷"))))</f>
        <v>空闲</v>
      </c>
      <c r="I1248" s="104" t="s">
        <v>638</v>
      </c>
      <c r="J1248" s="104"/>
      <c r="K1248" s="104"/>
      <c r="L1248" s="105" t="s">
        <v>639</v>
      </c>
    </row>
    <row r="1249" customFormat="false" ht="48" hidden="false" customHeight="true" outlineLevel="0" collapsed="false">
      <c r="A1249" s="99"/>
      <c r="B1249" s="100" t="n">
        <v>46069</v>
      </c>
      <c r="C1249" s="100" t="n">
        <v>46075</v>
      </c>
      <c r="D1249" s="99" t="s">
        <v>638</v>
      </c>
      <c r="E1249" s="99" t="n">
        <v>0</v>
      </c>
      <c r="F1249" s="101" t="n">
        <v>0</v>
      </c>
      <c r="G1249" s="102" t="n">
        <f aca="false">IFERROR(F1249/INDEX($G$5:$G$34,MATCH(LOOKUP(2,1/($A$39:A1249&lt;&gt;""),$A$39:A1249),$A$5:$A$34,0)),0)</f>
        <v>0</v>
      </c>
      <c r="H1249" s="103" t="str">
        <f aca="false">IF(G1249=0,"空闲",IF(G1249&lt;=0.6,"低负荷",IF(G1249&lt;=0.85,"正常",IF(G1249&lt;=1,"满负荷","超负荷"))))</f>
        <v>空闲</v>
      </c>
      <c r="I1249" s="104" t="s">
        <v>638</v>
      </c>
      <c r="J1249" s="104"/>
      <c r="K1249" s="104"/>
      <c r="L1249" s="105" t="s">
        <v>639</v>
      </c>
    </row>
    <row r="1250" customFormat="false" ht="48" hidden="false" customHeight="true" outlineLevel="0" collapsed="false">
      <c r="A1250" s="99"/>
      <c r="B1250" s="100" t="n">
        <v>46076</v>
      </c>
      <c r="C1250" s="100" t="n">
        <v>46082</v>
      </c>
      <c r="D1250" s="99" t="s">
        <v>638</v>
      </c>
      <c r="E1250" s="99" t="n">
        <v>0</v>
      </c>
      <c r="F1250" s="101" t="n">
        <v>0</v>
      </c>
      <c r="G1250" s="102" t="n">
        <f aca="false">IFERROR(F1250/INDEX($G$5:$G$34,MATCH(LOOKUP(2,1/($A$39:A1250&lt;&gt;""),$A$39:A1250),$A$5:$A$34,0)),0)</f>
        <v>0</v>
      </c>
      <c r="H1250" s="103" t="str">
        <f aca="false">IF(G1250=0,"空闲",IF(G1250&lt;=0.6,"低负荷",IF(G1250&lt;=0.85,"正常",IF(G1250&lt;=1,"满负荷","超负荷"))))</f>
        <v>空闲</v>
      </c>
      <c r="I1250" s="104" t="s">
        <v>638</v>
      </c>
      <c r="J1250" s="104"/>
      <c r="K1250" s="104"/>
      <c r="L1250" s="105" t="s">
        <v>639</v>
      </c>
    </row>
    <row r="1251" customFormat="false" ht="48" hidden="false" customHeight="true" outlineLevel="0" collapsed="false">
      <c r="A1251" s="99"/>
      <c r="B1251" s="100" t="n">
        <v>46083</v>
      </c>
      <c r="C1251" s="100" t="n">
        <v>46089</v>
      </c>
      <c r="D1251" s="99" t="s">
        <v>638</v>
      </c>
      <c r="E1251" s="99" t="n">
        <v>0</v>
      </c>
      <c r="F1251" s="101" t="n">
        <v>0</v>
      </c>
      <c r="G1251" s="102" t="n">
        <f aca="false">IFERROR(F1251/INDEX($G$5:$G$34,MATCH(LOOKUP(2,1/($A$39:A1251&lt;&gt;""),$A$39:A1251),$A$5:$A$34,0)),0)</f>
        <v>0</v>
      </c>
      <c r="H1251" s="103" t="str">
        <f aca="false">IF(G1251=0,"空闲",IF(G1251&lt;=0.6,"低负荷",IF(G1251&lt;=0.85,"正常",IF(G1251&lt;=1,"满负荷","超负荷"))))</f>
        <v>空闲</v>
      </c>
      <c r="I1251" s="104" t="s">
        <v>638</v>
      </c>
      <c r="J1251" s="104"/>
      <c r="K1251" s="104"/>
      <c r="L1251" s="105" t="s">
        <v>639</v>
      </c>
    </row>
    <row r="1252" customFormat="false" ht="48" hidden="false" customHeight="true" outlineLevel="0" collapsed="false">
      <c r="A1252" s="99"/>
      <c r="B1252" s="100" t="n">
        <v>46090</v>
      </c>
      <c r="C1252" s="100" t="n">
        <v>46096</v>
      </c>
      <c r="D1252" s="99" t="s">
        <v>638</v>
      </c>
      <c r="E1252" s="99" t="n">
        <v>0</v>
      </c>
      <c r="F1252" s="101" t="n">
        <v>0</v>
      </c>
      <c r="G1252" s="102" t="n">
        <f aca="false">IFERROR(F1252/INDEX($G$5:$G$34,MATCH(LOOKUP(2,1/($A$39:A1252&lt;&gt;""),$A$39:A1252),$A$5:$A$34,0)),0)</f>
        <v>0</v>
      </c>
      <c r="H1252" s="103" t="str">
        <f aca="false">IF(G1252=0,"空闲",IF(G1252&lt;=0.6,"低负荷",IF(G1252&lt;=0.85,"正常",IF(G1252&lt;=1,"满负荷","超负荷"))))</f>
        <v>空闲</v>
      </c>
      <c r="I1252" s="104" t="s">
        <v>638</v>
      </c>
      <c r="J1252" s="104"/>
      <c r="K1252" s="104"/>
      <c r="L1252" s="105" t="s">
        <v>639</v>
      </c>
    </row>
    <row r="1253" customFormat="false" ht="48" hidden="false" customHeight="true" outlineLevel="0" collapsed="false">
      <c r="A1253" s="99"/>
      <c r="B1253" s="100" t="n">
        <v>46097</v>
      </c>
      <c r="C1253" s="100" t="n">
        <v>46103</v>
      </c>
      <c r="D1253" s="99" t="s">
        <v>638</v>
      </c>
      <c r="E1253" s="99" t="n">
        <v>0</v>
      </c>
      <c r="F1253" s="101" t="n">
        <v>0</v>
      </c>
      <c r="G1253" s="102" t="n">
        <f aca="false">IFERROR(F1253/INDEX($G$5:$G$34,MATCH(LOOKUP(2,1/($A$39:A1253&lt;&gt;""),$A$39:A1253),$A$5:$A$34,0)),0)</f>
        <v>0</v>
      </c>
      <c r="H1253" s="103" t="str">
        <f aca="false">IF(G1253=0,"空闲",IF(G1253&lt;=0.6,"低负荷",IF(G1253&lt;=0.85,"正常",IF(G1253&lt;=1,"满负荷","超负荷"))))</f>
        <v>空闲</v>
      </c>
      <c r="I1253" s="104" t="s">
        <v>638</v>
      </c>
      <c r="J1253" s="104"/>
      <c r="K1253" s="104"/>
      <c r="L1253" s="105" t="s">
        <v>639</v>
      </c>
    </row>
    <row r="1254" customFormat="false" ht="48" hidden="false" customHeight="true" outlineLevel="0" collapsed="false">
      <c r="A1254" s="99"/>
      <c r="B1254" s="100" t="n">
        <v>46104</v>
      </c>
      <c r="C1254" s="100" t="n">
        <v>46110</v>
      </c>
      <c r="D1254" s="99" t="s">
        <v>638</v>
      </c>
      <c r="E1254" s="99" t="n">
        <v>0</v>
      </c>
      <c r="F1254" s="101" t="n">
        <v>0</v>
      </c>
      <c r="G1254" s="102" t="n">
        <f aca="false">IFERROR(F1254/INDEX($G$5:$G$34,MATCH(LOOKUP(2,1/($A$39:A1254&lt;&gt;""),$A$39:A1254),$A$5:$A$34,0)),0)</f>
        <v>0</v>
      </c>
      <c r="H1254" s="103" t="str">
        <f aca="false">IF(G1254=0,"空闲",IF(G1254&lt;=0.6,"低负荷",IF(G1254&lt;=0.85,"正常",IF(G1254&lt;=1,"满负荷","超负荷"))))</f>
        <v>空闲</v>
      </c>
      <c r="I1254" s="104" t="s">
        <v>638</v>
      </c>
      <c r="J1254" s="104"/>
      <c r="K1254" s="104"/>
      <c r="L1254" s="105" t="s">
        <v>639</v>
      </c>
    </row>
    <row r="1255" customFormat="false" ht="48" hidden="false" customHeight="true" outlineLevel="0" collapsed="false">
      <c r="A1255" s="99"/>
      <c r="B1255" s="100" t="n">
        <v>46111</v>
      </c>
      <c r="C1255" s="100" t="n">
        <v>46117</v>
      </c>
      <c r="D1255" s="99" t="s">
        <v>638</v>
      </c>
      <c r="E1255" s="99" t="n">
        <v>0</v>
      </c>
      <c r="F1255" s="101" t="n">
        <v>0</v>
      </c>
      <c r="G1255" s="102" t="n">
        <f aca="false">IFERROR(F1255/INDEX($G$5:$G$34,MATCH(LOOKUP(2,1/($A$39:A1255&lt;&gt;""),$A$39:A1255),$A$5:$A$34,0)),0)</f>
        <v>0</v>
      </c>
      <c r="H1255" s="103" t="str">
        <f aca="false">IF(G1255=0,"空闲",IF(G1255&lt;=0.6,"低负荷",IF(G1255&lt;=0.85,"正常",IF(G1255&lt;=1,"满负荷","超负荷"))))</f>
        <v>空闲</v>
      </c>
      <c r="I1255" s="104" t="s">
        <v>638</v>
      </c>
      <c r="J1255" s="104"/>
      <c r="K1255" s="104"/>
      <c r="L1255" s="105" t="s">
        <v>639</v>
      </c>
    </row>
    <row r="1256" customFormat="false" ht="48" hidden="false" customHeight="true" outlineLevel="0" collapsed="false">
      <c r="A1256" s="99"/>
      <c r="B1256" s="100" t="n">
        <v>46118</v>
      </c>
      <c r="C1256" s="100" t="n">
        <v>46124</v>
      </c>
      <c r="D1256" s="99" t="s">
        <v>638</v>
      </c>
      <c r="E1256" s="99" t="n">
        <v>0</v>
      </c>
      <c r="F1256" s="101" t="n">
        <v>0</v>
      </c>
      <c r="G1256" s="102" t="n">
        <f aca="false">IFERROR(F1256/INDEX($G$5:$G$34,MATCH(LOOKUP(2,1/($A$39:A1256&lt;&gt;""),$A$39:A1256),$A$5:$A$34,0)),0)</f>
        <v>0</v>
      </c>
      <c r="H1256" s="103" t="str">
        <f aca="false">IF(G1256=0,"空闲",IF(G1256&lt;=0.6,"低负荷",IF(G1256&lt;=0.85,"正常",IF(G1256&lt;=1,"满负荷","超负荷"))))</f>
        <v>空闲</v>
      </c>
      <c r="I1256" s="104" t="s">
        <v>638</v>
      </c>
      <c r="J1256" s="104"/>
      <c r="K1256" s="104"/>
      <c r="L1256" s="105" t="s">
        <v>639</v>
      </c>
    </row>
    <row r="1257" customFormat="false" ht="48" hidden="false" customHeight="true" outlineLevel="0" collapsed="false">
      <c r="A1257" s="99"/>
      <c r="B1257" s="100" t="n">
        <v>46125</v>
      </c>
      <c r="C1257" s="100" t="n">
        <v>46131</v>
      </c>
      <c r="D1257" s="99" t="s">
        <v>638</v>
      </c>
      <c r="E1257" s="99" t="n">
        <v>0</v>
      </c>
      <c r="F1257" s="101" t="n">
        <v>0</v>
      </c>
      <c r="G1257" s="102" t="n">
        <f aca="false">IFERROR(F1257/INDEX($G$5:$G$34,MATCH(LOOKUP(2,1/($A$39:A1257&lt;&gt;""),$A$39:A1257),$A$5:$A$34,0)),0)</f>
        <v>0</v>
      </c>
      <c r="H1257" s="103" t="str">
        <f aca="false">IF(G1257=0,"空闲",IF(G1257&lt;=0.6,"低负荷",IF(G1257&lt;=0.85,"正常",IF(G1257&lt;=1,"满负荷","超负荷"))))</f>
        <v>空闲</v>
      </c>
      <c r="I1257" s="104" t="s">
        <v>638</v>
      </c>
      <c r="J1257" s="104"/>
      <c r="K1257" s="104"/>
      <c r="L1257" s="105" t="s">
        <v>639</v>
      </c>
    </row>
    <row r="1258" customFormat="false" ht="48" hidden="false" customHeight="true" outlineLevel="0" collapsed="false">
      <c r="A1258" s="99"/>
      <c r="B1258" s="100" t="n">
        <v>46132</v>
      </c>
      <c r="C1258" s="100" t="n">
        <v>46138</v>
      </c>
      <c r="D1258" s="99" t="s">
        <v>638</v>
      </c>
      <c r="E1258" s="99" t="n">
        <v>0</v>
      </c>
      <c r="F1258" s="101" t="n">
        <v>0</v>
      </c>
      <c r="G1258" s="102" t="n">
        <f aca="false">IFERROR(F1258/INDEX($G$5:$G$34,MATCH(LOOKUP(2,1/($A$39:A1258&lt;&gt;""),$A$39:A1258),$A$5:$A$34,0)),0)</f>
        <v>0</v>
      </c>
      <c r="H1258" s="103" t="str">
        <f aca="false">IF(G1258=0,"空闲",IF(G1258&lt;=0.6,"低负荷",IF(G1258&lt;=0.85,"正常",IF(G1258&lt;=1,"满负荷","超负荷"))))</f>
        <v>空闲</v>
      </c>
      <c r="I1258" s="104" t="s">
        <v>638</v>
      </c>
      <c r="J1258" s="104"/>
      <c r="K1258" s="104"/>
      <c r="L1258" s="105" t="s">
        <v>639</v>
      </c>
    </row>
    <row r="1259" customFormat="false" ht="48" hidden="false" customHeight="true" outlineLevel="0" collapsed="false">
      <c r="A1259" s="99"/>
      <c r="B1259" s="100" t="n">
        <v>46139</v>
      </c>
      <c r="C1259" s="100" t="n">
        <v>46145</v>
      </c>
      <c r="D1259" s="99" t="s">
        <v>638</v>
      </c>
      <c r="E1259" s="99" t="n">
        <v>0</v>
      </c>
      <c r="F1259" s="101" t="n">
        <v>0</v>
      </c>
      <c r="G1259" s="102" t="n">
        <f aca="false">IFERROR(F1259/INDEX($G$5:$G$34,MATCH(LOOKUP(2,1/($A$39:A1259&lt;&gt;""),$A$39:A1259),$A$5:$A$34,0)),0)</f>
        <v>0</v>
      </c>
      <c r="H1259" s="103" t="str">
        <f aca="false">IF(G1259=0,"空闲",IF(G1259&lt;=0.6,"低负荷",IF(G1259&lt;=0.85,"正常",IF(G1259&lt;=1,"满负荷","超负荷"))))</f>
        <v>空闲</v>
      </c>
      <c r="I1259" s="104" t="s">
        <v>638</v>
      </c>
      <c r="J1259" s="104"/>
      <c r="K1259" s="104"/>
      <c r="L1259" s="105" t="s">
        <v>639</v>
      </c>
    </row>
    <row r="1260" customFormat="false" ht="48" hidden="false" customHeight="true" outlineLevel="0" collapsed="false">
      <c r="A1260" s="99"/>
      <c r="B1260" s="100" t="n">
        <v>46146</v>
      </c>
      <c r="C1260" s="100" t="n">
        <v>46152</v>
      </c>
      <c r="D1260" s="99" t="s">
        <v>638</v>
      </c>
      <c r="E1260" s="99" t="n">
        <v>0</v>
      </c>
      <c r="F1260" s="101" t="n">
        <v>0</v>
      </c>
      <c r="G1260" s="102" t="n">
        <f aca="false">IFERROR(F1260/INDEX($G$5:$G$34,MATCH(LOOKUP(2,1/($A$39:A1260&lt;&gt;""),$A$39:A1260),$A$5:$A$34,0)),0)</f>
        <v>0</v>
      </c>
      <c r="H1260" s="103" t="str">
        <f aca="false">IF(G1260=0,"空闲",IF(G1260&lt;=0.6,"低负荷",IF(G1260&lt;=0.85,"正常",IF(G1260&lt;=1,"满负荷","超负荷"))))</f>
        <v>空闲</v>
      </c>
      <c r="I1260" s="104" t="s">
        <v>638</v>
      </c>
      <c r="J1260" s="104"/>
      <c r="K1260" s="104"/>
      <c r="L1260" s="105" t="s">
        <v>639</v>
      </c>
    </row>
    <row r="1261" customFormat="false" ht="48" hidden="false" customHeight="true" outlineLevel="0" collapsed="false">
      <c r="A1261" s="99"/>
      <c r="B1261" s="100" t="n">
        <v>46153</v>
      </c>
      <c r="C1261" s="100" t="n">
        <v>46159</v>
      </c>
      <c r="D1261" s="99" t="s">
        <v>638</v>
      </c>
      <c r="E1261" s="99" t="n">
        <v>0</v>
      </c>
      <c r="F1261" s="101" t="n">
        <v>0</v>
      </c>
      <c r="G1261" s="102" t="n">
        <f aca="false">IFERROR(F1261/INDEX($G$5:$G$34,MATCH(LOOKUP(2,1/($A$39:A1261&lt;&gt;""),$A$39:A1261),$A$5:$A$34,0)),0)</f>
        <v>0</v>
      </c>
      <c r="H1261" s="103" t="str">
        <f aca="false">IF(G1261=0,"空闲",IF(G1261&lt;=0.6,"低负荷",IF(G1261&lt;=0.85,"正常",IF(G1261&lt;=1,"满负荷","超负荷"))))</f>
        <v>空闲</v>
      </c>
      <c r="I1261" s="104" t="s">
        <v>638</v>
      </c>
      <c r="J1261" s="104"/>
      <c r="K1261" s="104"/>
      <c r="L1261" s="105" t="s">
        <v>639</v>
      </c>
    </row>
    <row r="1262" customFormat="false" ht="48" hidden="false" customHeight="true" outlineLevel="0" collapsed="false">
      <c r="A1262" s="99"/>
      <c r="B1262" s="100" t="n">
        <v>46160</v>
      </c>
      <c r="C1262" s="100" t="n">
        <v>46166</v>
      </c>
      <c r="D1262" s="99" t="s">
        <v>638</v>
      </c>
      <c r="E1262" s="99" t="n">
        <v>0</v>
      </c>
      <c r="F1262" s="101" t="n">
        <v>0</v>
      </c>
      <c r="G1262" s="102" t="n">
        <f aca="false">IFERROR(F1262/INDEX($G$5:$G$34,MATCH(LOOKUP(2,1/($A$39:A1262&lt;&gt;""),$A$39:A1262),$A$5:$A$34,0)),0)</f>
        <v>0</v>
      </c>
      <c r="H1262" s="103" t="str">
        <f aca="false">IF(G1262=0,"空闲",IF(G1262&lt;=0.6,"低负荷",IF(G1262&lt;=0.85,"正常",IF(G1262&lt;=1,"满负荷","超负荷"))))</f>
        <v>空闲</v>
      </c>
      <c r="I1262" s="104" t="s">
        <v>638</v>
      </c>
      <c r="J1262" s="104"/>
      <c r="K1262" s="104"/>
      <c r="L1262" s="105" t="s">
        <v>639</v>
      </c>
    </row>
    <row r="1263" customFormat="false" ht="48" hidden="false" customHeight="true" outlineLevel="0" collapsed="false">
      <c r="A1263" s="99"/>
      <c r="B1263" s="100" t="n">
        <v>46167</v>
      </c>
      <c r="C1263" s="100" t="n">
        <v>46173</v>
      </c>
      <c r="D1263" s="99" t="s">
        <v>638</v>
      </c>
      <c r="E1263" s="99" t="n">
        <v>0</v>
      </c>
      <c r="F1263" s="101" t="n">
        <v>0</v>
      </c>
      <c r="G1263" s="102" t="n">
        <f aca="false">IFERROR(F1263/INDEX($G$5:$G$34,MATCH(LOOKUP(2,1/($A$39:A1263&lt;&gt;""),$A$39:A1263),$A$5:$A$34,0)),0)</f>
        <v>0</v>
      </c>
      <c r="H1263" s="103" t="str">
        <f aca="false">IF(G1263=0,"空闲",IF(G1263&lt;=0.6,"低负荷",IF(G1263&lt;=0.85,"正常",IF(G1263&lt;=1,"满负荷","超负荷"))))</f>
        <v>空闲</v>
      </c>
      <c r="I1263" s="104" t="s">
        <v>638</v>
      </c>
      <c r="J1263" s="104"/>
      <c r="K1263" s="104"/>
      <c r="L1263" s="105" t="s">
        <v>639</v>
      </c>
    </row>
    <row r="1264" customFormat="false" ht="48" hidden="false" customHeight="true" outlineLevel="0" collapsed="false">
      <c r="A1264" s="99"/>
      <c r="B1264" s="100" t="n">
        <v>46174</v>
      </c>
      <c r="C1264" s="100" t="n">
        <v>46180</v>
      </c>
      <c r="D1264" s="99" t="s">
        <v>638</v>
      </c>
      <c r="E1264" s="99" t="n">
        <v>0</v>
      </c>
      <c r="F1264" s="101" t="n">
        <v>0</v>
      </c>
      <c r="G1264" s="102" t="n">
        <f aca="false">IFERROR(F1264/INDEX($G$5:$G$34,MATCH(LOOKUP(2,1/($A$39:A1264&lt;&gt;""),$A$39:A1264),$A$5:$A$34,0)),0)</f>
        <v>0</v>
      </c>
      <c r="H1264" s="103" t="str">
        <f aca="false">IF(G1264=0,"空闲",IF(G1264&lt;=0.6,"低负荷",IF(G1264&lt;=0.85,"正常",IF(G1264&lt;=1,"满负荷","超负荷"))))</f>
        <v>空闲</v>
      </c>
      <c r="I1264" s="104" t="s">
        <v>638</v>
      </c>
      <c r="J1264" s="104"/>
      <c r="K1264" s="104"/>
      <c r="L1264" s="105" t="s">
        <v>639</v>
      </c>
    </row>
    <row r="1265" customFormat="false" ht="48" hidden="false" customHeight="true" outlineLevel="0" collapsed="false">
      <c r="A1265" s="99"/>
      <c r="B1265" s="100" t="n">
        <v>46181</v>
      </c>
      <c r="C1265" s="100" t="n">
        <v>46187</v>
      </c>
      <c r="D1265" s="99" t="s">
        <v>638</v>
      </c>
      <c r="E1265" s="99" t="n">
        <v>0</v>
      </c>
      <c r="F1265" s="101" t="n">
        <v>0</v>
      </c>
      <c r="G1265" s="102" t="n">
        <f aca="false">IFERROR(F1265/INDEX($G$5:$G$34,MATCH(LOOKUP(2,1/($A$39:A1265&lt;&gt;""),$A$39:A1265),$A$5:$A$34,0)),0)</f>
        <v>0</v>
      </c>
      <c r="H1265" s="103" t="str">
        <f aca="false">IF(G1265=0,"空闲",IF(G1265&lt;=0.6,"低负荷",IF(G1265&lt;=0.85,"正常",IF(G1265&lt;=1,"满负荷","超负荷"))))</f>
        <v>空闲</v>
      </c>
      <c r="I1265" s="104" t="s">
        <v>638</v>
      </c>
      <c r="J1265" s="104"/>
      <c r="K1265" s="104"/>
      <c r="L1265" s="105" t="s">
        <v>639</v>
      </c>
    </row>
    <row r="1266" customFormat="false" ht="48" hidden="false" customHeight="true" outlineLevel="0" collapsed="false">
      <c r="A1266" s="99"/>
      <c r="B1266" s="100" t="n">
        <v>46188</v>
      </c>
      <c r="C1266" s="100" t="n">
        <v>46194</v>
      </c>
      <c r="D1266" s="99" t="s">
        <v>638</v>
      </c>
      <c r="E1266" s="99" t="n">
        <v>0</v>
      </c>
      <c r="F1266" s="101" t="n">
        <v>0</v>
      </c>
      <c r="G1266" s="102" t="n">
        <f aca="false">IFERROR(F1266/INDEX($G$5:$G$34,MATCH(LOOKUP(2,1/($A$39:A1266&lt;&gt;""),$A$39:A1266),$A$5:$A$34,0)),0)</f>
        <v>0</v>
      </c>
      <c r="H1266" s="103" t="str">
        <f aca="false">IF(G1266=0,"空闲",IF(G1266&lt;=0.6,"低负荷",IF(G1266&lt;=0.85,"正常",IF(G1266&lt;=1,"满负荷","超负荷"))))</f>
        <v>空闲</v>
      </c>
      <c r="I1266" s="104" t="s">
        <v>638</v>
      </c>
      <c r="J1266" s="104"/>
      <c r="K1266" s="104"/>
      <c r="L1266" s="105" t="s">
        <v>639</v>
      </c>
    </row>
    <row r="1267" customFormat="false" ht="48" hidden="false" customHeight="true" outlineLevel="0" collapsed="false">
      <c r="A1267" s="99"/>
      <c r="B1267" s="100" t="n">
        <v>46195</v>
      </c>
      <c r="C1267" s="100" t="n">
        <v>46201</v>
      </c>
      <c r="D1267" s="99" t="s">
        <v>638</v>
      </c>
      <c r="E1267" s="99" t="n">
        <v>0</v>
      </c>
      <c r="F1267" s="101" t="n">
        <v>0</v>
      </c>
      <c r="G1267" s="102" t="n">
        <f aca="false">IFERROR(F1267/INDEX($G$5:$G$34,MATCH(LOOKUP(2,1/($A$39:A1267&lt;&gt;""),$A$39:A1267),$A$5:$A$34,0)),0)</f>
        <v>0</v>
      </c>
      <c r="H1267" s="103" t="str">
        <f aca="false">IF(G1267=0,"空闲",IF(G1267&lt;=0.6,"低负荷",IF(G1267&lt;=0.85,"正常",IF(G1267&lt;=1,"满负荷","超负荷"))))</f>
        <v>空闲</v>
      </c>
      <c r="I1267" s="104" t="s">
        <v>638</v>
      </c>
      <c r="J1267" s="104"/>
      <c r="K1267" s="104"/>
      <c r="L1267" s="105" t="s">
        <v>639</v>
      </c>
    </row>
    <row r="1268" customFormat="false" ht="48" hidden="false" customHeight="true" outlineLevel="0" collapsed="false">
      <c r="A1268" s="99"/>
      <c r="B1268" s="100" t="n">
        <v>46202</v>
      </c>
      <c r="C1268" s="100" t="n">
        <v>46208</v>
      </c>
      <c r="D1268" s="99" t="s">
        <v>638</v>
      </c>
      <c r="E1268" s="99" t="n">
        <v>0</v>
      </c>
      <c r="F1268" s="101" t="n">
        <v>0</v>
      </c>
      <c r="G1268" s="102" t="n">
        <f aca="false">IFERROR(F1268/INDEX($G$5:$G$34,MATCH(LOOKUP(2,1/($A$39:A1268&lt;&gt;""),$A$39:A1268),$A$5:$A$34,0)),0)</f>
        <v>0</v>
      </c>
      <c r="H1268" s="103" t="str">
        <f aca="false">IF(G1268=0,"空闲",IF(G1268&lt;=0.6,"低负荷",IF(G1268&lt;=0.85,"正常",IF(G1268&lt;=1,"满负荷","超负荷"))))</f>
        <v>空闲</v>
      </c>
      <c r="I1268" s="104" t="s">
        <v>638</v>
      </c>
      <c r="J1268" s="104"/>
      <c r="K1268" s="104"/>
      <c r="L1268" s="105" t="s">
        <v>639</v>
      </c>
    </row>
    <row r="1269" customFormat="false" ht="48" hidden="false" customHeight="true" outlineLevel="0" collapsed="false">
      <c r="A1269" s="99"/>
      <c r="B1269" s="100" t="n">
        <v>46209</v>
      </c>
      <c r="C1269" s="100" t="n">
        <v>46215</v>
      </c>
      <c r="D1269" s="99" t="s">
        <v>638</v>
      </c>
      <c r="E1269" s="99" t="n">
        <v>0</v>
      </c>
      <c r="F1269" s="101" t="n">
        <v>0</v>
      </c>
      <c r="G1269" s="102" t="n">
        <f aca="false">IFERROR(F1269/INDEX($G$5:$G$34,MATCH(LOOKUP(2,1/($A$39:A1269&lt;&gt;""),$A$39:A1269),$A$5:$A$34,0)),0)</f>
        <v>0</v>
      </c>
      <c r="H1269" s="103" t="str">
        <f aca="false">IF(G1269=0,"空闲",IF(G1269&lt;=0.6,"低负荷",IF(G1269&lt;=0.85,"正常",IF(G1269&lt;=1,"满负荷","超负荷"))))</f>
        <v>空闲</v>
      </c>
      <c r="I1269" s="104" t="s">
        <v>638</v>
      </c>
      <c r="J1269" s="104"/>
      <c r="K1269" s="104"/>
      <c r="L1269" s="105" t="s">
        <v>639</v>
      </c>
    </row>
    <row r="1270" customFormat="false" ht="48" hidden="false" customHeight="true" outlineLevel="0" collapsed="false">
      <c r="A1270" s="99"/>
      <c r="B1270" s="100" t="n">
        <v>46216</v>
      </c>
      <c r="C1270" s="100" t="n">
        <v>46222</v>
      </c>
      <c r="D1270" s="99" t="s">
        <v>638</v>
      </c>
      <c r="E1270" s="99" t="n">
        <v>0</v>
      </c>
      <c r="F1270" s="101" t="n">
        <v>0</v>
      </c>
      <c r="G1270" s="102" t="n">
        <f aca="false">IFERROR(F1270/INDEX($G$5:$G$34,MATCH(LOOKUP(2,1/($A$39:A1270&lt;&gt;""),$A$39:A1270),$A$5:$A$34,0)),0)</f>
        <v>0</v>
      </c>
      <c r="H1270" s="103" t="str">
        <f aca="false">IF(G1270=0,"空闲",IF(G1270&lt;=0.6,"低负荷",IF(G1270&lt;=0.85,"正常",IF(G1270&lt;=1,"满负荷","超负荷"))))</f>
        <v>空闲</v>
      </c>
      <c r="I1270" s="104" t="s">
        <v>638</v>
      </c>
      <c r="J1270" s="104"/>
      <c r="K1270" s="104"/>
      <c r="L1270" s="105" t="s">
        <v>639</v>
      </c>
    </row>
    <row r="1271" customFormat="false" ht="48" hidden="false" customHeight="true" outlineLevel="0" collapsed="false">
      <c r="A1271" s="99"/>
      <c r="B1271" s="100" t="n">
        <v>46223</v>
      </c>
      <c r="C1271" s="100" t="n">
        <v>46229</v>
      </c>
      <c r="D1271" s="99" t="s">
        <v>638</v>
      </c>
      <c r="E1271" s="99" t="n">
        <v>0</v>
      </c>
      <c r="F1271" s="101" t="n">
        <v>0</v>
      </c>
      <c r="G1271" s="102" t="n">
        <f aca="false">IFERROR(F1271/INDEX($G$5:$G$34,MATCH(LOOKUP(2,1/($A$39:A1271&lt;&gt;""),$A$39:A1271),$A$5:$A$34,0)),0)</f>
        <v>0</v>
      </c>
      <c r="H1271" s="103" t="str">
        <f aca="false">IF(G1271=0,"空闲",IF(G1271&lt;=0.6,"低负荷",IF(G1271&lt;=0.85,"正常",IF(G1271&lt;=1,"满负荷","超负荷"))))</f>
        <v>空闲</v>
      </c>
      <c r="I1271" s="104" t="s">
        <v>638</v>
      </c>
      <c r="J1271" s="104"/>
      <c r="K1271" s="104"/>
      <c r="L1271" s="105" t="s">
        <v>639</v>
      </c>
    </row>
    <row r="1272" customFormat="false" ht="48" hidden="false" customHeight="true" outlineLevel="0" collapsed="false">
      <c r="A1272" s="99"/>
      <c r="B1272" s="100" t="n">
        <v>46230</v>
      </c>
      <c r="C1272" s="100" t="n">
        <v>46236</v>
      </c>
      <c r="D1272" s="99" t="s">
        <v>638</v>
      </c>
      <c r="E1272" s="99" t="n">
        <v>0</v>
      </c>
      <c r="F1272" s="101" t="n">
        <v>0</v>
      </c>
      <c r="G1272" s="102" t="n">
        <f aca="false">IFERROR(F1272/INDEX($G$5:$G$34,MATCH(LOOKUP(2,1/($A$39:A1272&lt;&gt;""),$A$39:A1272),$A$5:$A$34,0)),0)</f>
        <v>0</v>
      </c>
      <c r="H1272" s="103" t="str">
        <f aca="false">IF(G1272=0,"空闲",IF(G1272&lt;=0.6,"低负荷",IF(G1272&lt;=0.85,"正常",IF(G1272&lt;=1,"满负荷","超负荷"))))</f>
        <v>空闲</v>
      </c>
      <c r="I1272" s="104" t="s">
        <v>638</v>
      </c>
      <c r="J1272" s="104"/>
      <c r="K1272" s="104"/>
      <c r="L1272" s="105" t="s">
        <v>639</v>
      </c>
    </row>
    <row r="1273" customFormat="false" ht="48" hidden="false" customHeight="true" outlineLevel="0" collapsed="false">
      <c r="A1273" s="99"/>
      <c r="B1273" s="100" t="n">
        <v>46237</v>
      </c>
      <c r="C1273" s="100" t="n">
        <v>46243</v>
      </c>
      <c r="D1273" s="99" t="s">
        <v>638</v>
      </c>
      <c r="E1273" s="99" t="n">
        <v>0</v>
      </c>
      <c r="F1273" s="101" t="n">
        <v>0</v>
      </c>
      <c r="G1273" s="102" t="n">
        <f aca="false">IFERROR(F1273/INDEX($G$5:$G$34,MATCH(LOOKUP(2,1/($A$39:A1273&lt;&gt;""),$A$39:A1273),$A$5:$A$34,0)),0)</f>
        <v>0</v>
      </c>
      <c r="H1273" s="103" t="str">
        <f aca="false">IF(G1273=0,"空闲",IF(G1273&lt;=0.6,"低负荷",IF(G1273&lt;=0.85,"正常",IF(G1273&lt;=1,"满负荷","超负荷"))))</f>
        <v>空闲</v>
      </c>
      <c r="I1273" s="104" t="s">
        <v>638</v>
      </c>
      <c r="J1273" s="104"/>
      <c r="K1273" s="104"/>
      <c r="L1273" s="105" t="s">
        <v>639</v>
      </c>
    </row>
    <row r="1274" customFormat="false" ht="48" hidden="false" customHeight="true" outlineLevel="0" collapsed="false">
      <c r="A1274" s="99"/>
      <c r="B1274" s="100" t="n">
        <v>46244</v>
      </c>
      <c r="C1274" s="100" t="n">
        <v>46250</v>
      </c>
      <c r="D1274" s="99" t="s">
        <v>638</v>
      </c>
      <c r="E1274" s="99" t="n">
        <v>0</v>
      </c>
      <c r="F1274" s="101" t="n">
        <v>0</v>
      </c>
      <c r="G1274" s="102" t="n">
        <f aca="false">IFERROR(F1274/INDEX($G$5:$G$34,MATCH(LOOKUP(2,1/($A$39:A1274&lt;&gt;""),$A$39:A1274),$A$5:$A$34,0)),0)</f>
        <v>0</v>
      </c>
      <c r="H1274" s="103" t="str">
        <f aca="false">IF(G1274=0,"空闲",IF(G1274&lt;=0.6,"低负荷",IF(G1274&lt;=0.85,"正常",IF(G1274&lt;=1,"满负荷","超负荷"))))</f>
        <v>空闲</v>
      </c>
      <c r="I1274" s="104" t="s">
        <v>638</v>
      </c>
      <c r="J1274" s="104"/>
      <c r="K1274" s="104"/>
      <c r="L1274" s="105" t="s">
        <v>639</v>
      </c>
    </row>
    <row r="1275" customFormat="false" ht="48" hidden="false" customHeight="true" outlineLevel="0" collapsed="false">
      <c r="A1275" s="99"/>
      <c r="B1275" s="100" t="n">
        <v>46251</v>
      </c>
      <c r="C1275" s="100" t="n">
        <v>46257</v>
      </c>
      <c r="D1275" s="99" t="s">
        <v>638</v>
      </c>
      <c r="E1275" s="99" t="n">
        <v>0</v>
      </c>
      <c r="F1275" s="101" t="n">
        <v>0</v>
      </c>
      <c r="G1275" s="102" t="n">
        <f aca="false">IFERROR(F1275/INDEX($G$5:$G$34,MATCH(LOOKUP(2,1/($A$39:A1275&lt;&gt;""),$A$39:A1275),$A$5:$A$34,0)),0)</f>
        <v>0</v>
      </c>
      <c r="H1275" s="103" t="str">
        <f aca="false">IF(G1275=0,"空闲",IF(G1275&lt;=0.6,"低负荷",IF(G1275&lt;=0.85,"正常",IF(G1275&lt;=1,"满负荷","超负荷"))))</f>
        <v>空闲</v>
      </c>
      <c r="I1275" s="104" t="s">
        <v>638</v>
      </c>
      <c r="J1275" s="104"/>
      <c r="K1275" s="104"/>
      <c r="L1275" s="105" t="s">
        <v>639</v>
      </c>
    </row>
    <row r="1276" customFormat="false" ht="48" hidden="false" customHeight="true" outlineLevel="0" collapsed="false">
      <c r="A1276" s="99"/>
      <c r="B1276" s="100" t="n">
        <v>46258</v>
      </c>
      <c r="C1276" s="100" t="n">
        <v>46264</v>
      </c>
      <c r="D1276" s="99" t="s">
        <v>638</v>
      </c>
      <c r="E1276" s="99" t="n">
        <v>0</v>
      </c>
      <c r="F1276" s="101" t="n">
        <v>0</v>
      </c>
      <c r="G1276" s="102" t="n">
        <f aca="false">IFERROR(F1276/INDEX($G$5:$G$34,MATCH(LOOKUP(2,1/($A$39:A1276&lt;&gt;""),$A$39:A1276),$A$5:$A$34,0)),0)</f>
        <v>0</v>
      </c>
      <c r="H1276" s="103" t="str">
        <f aca="false">IF(G1276=0,"空闲",IF(G1276&lt;=0.6,"低负荷",IF(G1276&lt;=0.85,"正常",IF(G1276&lt;=1,"满负荷","超负荷"))))</f>
        <v>空闲</v>
      </c>
      <c r="I1276" s="104" t="s">
        <v>638</v>
      </c>
      <c r="J1276" s="104"/>
      <c r="K1276" s="104"/>
      <c r="L1276" s="105" t="s">
        <v>639</v>
      </c>
    </row>
    <row r="1277" customFormat="false" ht="48" hidden="false" customHeight="true" outlineLevel="0" collapsed="false">
      <c r="A1277" s="99"/>
      <c r="B1277" s="100" t="n">
        <v>46265</v>
      </c>
      <c r="C1277" s="100" t="n">
        <v>46271</v>
      </c>
      <c r="D1277" s="99" t="s">
        <v>638</v>
      </c>
      <c r="E1277" s="99" t="n">
        <v>0</v>
      </c>
      <c r="F1277" s="101" t="n">
        <v>0</v>
      </c>
      <c r="G1277" s="102" t="n">
        <f aca="false">IFERROR(F1277/INDEX($G$5:$G$34,MATCH(LOOKUP(2,1/($A$39:A1277&lt;&gt;""),$A$39:A1277),$A$5:$A$34,0)),0)</f>
        <v>0</v>
      </c>
      <c r="H1277" s="103" t="str">
        <f aca="false">IF(G1277=0,"空闲",IF(G1277&lt;=0.6,"低负荷",IF(G1277&lt;=0.85,"正常",IF(G1277&lt;=1,"满负荷","超负荷"))))</f>
        <v>空闲</v>
      </c>
      <c r="I1277" s="104" t="s">
        <v>638</v>
      </c>
      <c r="J1277" s="104"/>
      <c r="K1277" s="104"/>
      <c r="L1277" s="105" t="s">
        <v>639</v>
      </c>
    </row>
    <row r="1278" customFormat="false" ht="48" hidden="false" customHeight="true" outlineLevel="0" collapsed="false">
      <c r="A1278" s="99"/>
      <c r="B1278" s="100" t="n">
        <v>46272</v>
      </c>
      <c r="C1278" s="100" t="n">
        <v>46278</v>
      </c>
      <c r="D1278" s="99" t="s">
        <v>638</v>
      </c>
      <c r="E1278" s="99" t="n">
        <v>0</v>
      </c>
      <c r="F1278" s="101" t="n">
        <v>0</v>
      </c>
      <c r="G1278" s="102" t="n">
        <f aca="false">IFERROR(F1278/INDEX($G$5:$G$34,MATCH(LOOKUP(2,1/($A$39:A1278&lt;&gt;""),$A$39:A1278),$A$5:$A$34,0)),0)</f>
        <v>0</v>
      </c>
      <c r="H1278" s="103" t="str">
        <f aca="false">IF(G1278=0,"空闲",IF(G1278&lt;=0.6,"低负荷",IF(G1278&lt;=0.85,"正常",IF(G1278&lt;=1,"满负荷","超负荷"))))</f>
        <v>空闲</v>
      </c>
      <c r="I1278" s="104" t="s">
        <v>638</v>
      </c>
      <c r="J1278" s="104"/>
      <c r="K1278" s="104"/>
      <c r="L1278" s="105" t="s">
        <v>639</v>
      </c>
    </row>
    <row r="1279" customFormat="false" ht="48" hidden="false" customHeight="true" outlineLevel="0" collapsed="false">
      <c r="A1279" s="99"/>
      <c r="B1279" s="100" t="n">
        <v>46279</v>
      </c>
      <c r="C1279" s="100" t="n">
        <v>46285</v>
      </c>
      <c r="D1279" s="99" t="s">
        <v>638</v>
      </c>
      <c r="E1279" s="99" t="n">
        <v>0</v>
      </c>
      <c r="F1279" s="101" t="n">
        <v>0</v>
      </c>
      <c r="G1279" s="102" t="n">
        <f aca="false">IFERROR(F1279/INDEX($G$5:$G$34,MATCH(LOOKUP(2,1/($A$39:A1279&lt;&gt;""),$A$39:A1279),$A$5:$A$34,0)),0)</f>
        <v>0</v>
      </c>
      <c r="H1279" s="103" t="str">
        <f aca="false">IF(G1279=0,"空闲",IF(G1279&lt;=0.6,"低负荷",IF(G1279&lt;=0.85,"正常",IF(G1279&lt;=1,"满负荷","超负荷"))))</f>
        <v>空闲</v>
      </c>
      <c r="I1279" s="104" t="s">
        <v>638</v>
      </c>
      <c r="J1279" s="104"/>
      <c r="K1279" s="104"/>
      <c r="L1279" s="105" t="s">
        <v>639</v>
      </c>
    </row>
    <row r="1280" customFormat="false" ht="48" hidden="false" customHeight="true" outlineLevel="0" collapsed="false">
      <c r="A1280" s="99"/>
      <c r="B1280" s="100" t="n">
        <v>46286</v>
      </c>
      <c r="C1280" s="100" t="n">
        <v>46292</v>
      </c>
      <c r="D1280" s="99" t="s">
        <v>638</v>
      </c>
      <c r="E1280" s="99" t="n">
        <v>0</v>
      </c>
      <c r="F1280" s="101" t="n">
        <v>0</v>
      </c>
      <c r="G1280" s="102" t="n">
        <f aca="false">IFERROR(F1280/INDEX($G$5:$G$34,MATCH(LOOKUP(2,1/($A$39:A1280&lt;&gt;""),$A$39:A1280),$A$5:$A$34,0)),0)</f>
        <v>0</v>
      </c>
      <c r="H1280" s="103" t="str">
        <f aca="false">IF(G1280=0,"空闲",IF(G1280&lt;=0.6,"低负荷",IF(G1280&lt;=0.85,"正常",IF(G1280&lt;=1,"满负荷","超负荷"))))</f>
        <v>空闲</v>
      </c>
      <c r="I1280" s="104" t="s">
        <v>638</v>
      </c>
      <c r="J1280" s="104"/>
      <c r="K1280" s="104"/>
      <c r="L1280" s="105" t="s">
        <v>639</v>
      </c>
    </row>
    <row r="1281" customFormat="false" ht="48" hidden="false" customHeight="true" outlineLevel="0" collapsed="false">
      <c r="A1281" s="99"/>
      <c r="B1281" s="100" t="n">
        <v>46293</v>
      </c>
      <c r="C1281" s="100" t="n">
        <v>46299</v>
      </c>
      <c r="D1281" s="99" t="s">
        <v>638</v>
      </c>
      <c r="E1281" s="99" t="n">
        <v>0</v>
      </c>
      <c r="F1281" s="101" t="n">
        <v>0</v>
      </c>
      <c r="G1281" s="102" t="n">
        <f aca="false">IFERROR(F1281/INDEX($G$5:$G$34,MATCH(LOOKUP(2,1/($A$39:A1281&lt;&gt;""),$A$39:A1281),$A$5:$A$34,0)),0)</f>
        <v>0</v>
      </c>
      <c r="H1281" s="103" t="str">
        <f aca="false">IF(G1281=0,"空闲",IF(G1281&lt;=0.6,"低负荷",IF(G1281&lt;=0.85,"正常",IF(G1281&lt;=1,"满负荷","超负荷"))))</f>
        <v>空闲</v>
      </c>
      <c r="I1281" s="104" t="s">
        <v>638</v>
      </c>
      <c r="J1281" s="104"/>
      <c r="K1281" s="104"/>
      <c r="L1281" s="105" t="s">
        <v>639</v>
      </c>
    </row>
    <row r="1282" customFormat="false" ht="48" hidden="false" customHeight="true" outlineLevel="0" collapsed="false">
      <c r="A1282" s="99"/>
      <c r="B1282" s="100" t="n">
        <v>46300</v>
      </c>
      <c r="C1282" s="100" t="n">
        <v>46306</v>
      </c>
      <c r="D1282" s="99" t="s">
        <v>638</v>
      </c>
      <c r="E1282" s="99" t="n">
        <v>0</v>
      </c>
      <c r="F1282" s="101" t="n">
        <v>0</v>
      </c>
      <c r="G1282" s="102" t="n">
        <f aca="false">IFERROR(F1282/INDEX($G$5:$G$34,MATCH(LOOKUP(2,1/($A$39:A1282&lt;&gt;""),$A$39:A1282),$A$5:$A$34,0)),0)</f>
        <v>0</v>
      </c>
      <c r="H1282" s="103" t="str">
        <f aca="false">IF(G1282=0,"空闲",IF(G1282&lt;=0.6,"低负荷",IF(G1282&lt;=0.85,"正常",IF(G1282&lt;=1,"满负荷","超负荷"))))</f>
        <v>空闲</v>
      </c>
      <c r="I1282" s="104" t="s">
        <v>638</v>
      </c>
      <c r="J1282" s="104"/>
      <c r="K1282" s="104"/>
      <c r="L1282" s="105" t="s">
        <v>639</v>
      </c>
    </row>
    <row r="1283" customFormat="false" ht="48" hidden="false" customHeight="true" outlineLevel="0" collapsed="false">
      <c r="A1283" s="99"/>
      <c r="B1283" s="100" t="n">
        <v>46307</v>
      </c>
      <c r="C1283" s="100" t="n">
        <v>46313</v>
      </c>
      <c r="D1283" s="99" t="s">
        <v>638</v>
      </c>
      <c r="E1283" s="99" t="n">
        <v>0</v>
      </c>
      <c r="F1283" s="101" t="n">
        <v>0</v>
      </c>
      <c r="G1283" s="102" t="n">
        <f aca="false">IFERROR(F1283/INDEX($G$5:$G$34,MATCH(LOOKUP(2,1/($A$39:A1283&lt;&gt;""),$A$39:A1283),$A$5:$A$34,0)),0)</f>
        <v>0</v>
      </c>
      <c r="H1283" s="103" t="str">
        <f aca="false">IF(G1283=0,"空闲",IF(G1283&lt;=0.6,"低负荷",IF(G1283&lt;=0.85,"正常",IF(G1283&lt;=1,"满负荷","超负荷"))))</f>
        <v>空闲</v>
      </c>
      <c r="I1283" s="104" t="s">
        <v>638</v>
      </c>
      <c r="J1283" s="104"/>
      <c r="K1283" s="104"/>
      <c r="L1283" s="105" t="s">
        <v>639</v>
      </c>
    </row>
    <row r="1284" customFormat="false" ht="48" hidden="false" customHeight="true" outlineLevel="0" collapsed="false">
      <c r="A1284" s="99"/>
      <c r="B1284" s="100" t="n">
        <v>46314</v>
      </c>
      <c r="C1284" s="100" t="n">
        <v>46320</v>
      </c>
      <c r="D1284" s="99" t="s">
        <v>638</v>
      </c>
      <c r="E1284" s="99" t="n">
        <v>0</v>
      </c>
      <c r="F1284" s="101" t="n">
        <v>0</v>
      </c>
      <c r="G1284" s="102" t="n">
        <f aca="false">IFERROR(F1284/INDEX($G$5:$G$34,MATCH(LOOKUP(2,1/($A$39:A1284&lt;&gt;""),$A$39:A1284),$A$5:$A$34,0)),0)</f>
        <v>0</v>
      </c>
      <c r="H1284" s="103" t="str">
        <f aca="false">IF(G1284=0,"空闲",IF(G1284&lt;=0.6,"低负荷",IF(G1284&lt;=0.85,"正常",IF(G1284&lt;=1,"满负荷","超负荷"))))</f>
        <v>空闲</v>
      </c>
      <c r="I1284" s="104" t="s">
        <v>638</v>
      </c>
      <c r="J1284" s="104"/>
      <c r="K1284" s="104"/>
      <c r="L1284" s="105" t="s">
        <v>639</v>
      </c>
    </row>
    <row r="1285" customFormat="false" ht="48" hidden="false" customHeight="true" outlineLevel="0" collapsed="false">
      <c r="A1285" s="99"/>
      <c r="B1285" s="100" t="n">
        <v>46321</v>
      </c>
      <c r="C1285" s="100" t="n">
        <v>46327</v>
      </c>
      <c r="D1285" s="99" t="s">
        <v>638</v>
      </c>
      <c r="E1285" s="99" t="n">
        <v>0</v>
      </c>
      <c r="F1285" s="101" t="n">
        <v>0</v>
      </c>
      <c r="G1285" s="102" t="n">
        <f aca="false">IFERROR(F1285/INDEX($G$5:$G$34,MATCH(LOOKUP(2,1/($A$39:A1285&lt;&gt;""),$A$39:A1285),$A$5:$A$34,0)),0)</f>
        <v>0</v>
      </c>
      <c r="H1285" s="103" t="str">
        <f aca="false">IF(G1285=0,"空闲",IF(G1285&lt;=0.6,"低负荷",IF(G1285&lt;=0.85,"正常",IF(G1285&lt;=1,"满负荷","超负荷"))))</f>
        <v>空闲</v>
      </c>
      <c r="I1285" s="104" t="s">
        <v>638</v>
      </c>
      <c r="J1285" s="104"/>
      <c r="K1285" s="104"/>
      <c r="L1285" s="105" t="s">
        <v>639</v>
      </c>
    </row>
    <row r="1286" customFormat="false" ht="48" hidden="false" customHeight="true" outlineLevel="0" collapsed="false">
      <c r="A1286" s="99"/>
      <c r="B1286" s="100" t="n">
        <v>46328</v>
      </c>
      <c r="C1286" s="100" t="n">
        <v>46334</v>
      </c>
      <c r="D1286" s="99" t="s">
        <v>638</v>
      </c>
      <c r="E1286" s="99" t="n">
        <v>0</v>
      </c>
      <c r="F1286" s="101" t="n">
        <v>0</v>
      </c>
      <c r="G1286" s="102" t="n">
        <f aca="false">IFERROR(F1286/INDEX($G$5:$G$34,MATCH(LOOKUP(2,1/($A$39:A1286&lt;&gt;""),$A$39:A1286),$A$5:$A$34,0)),0)</f>
        <v>0</v>
      </c>
      <c r="H1286" s="103" t="str">
        <f aca="false">IF(G1286=0,"空闲",IF(G1286&lt;=0.6,"低负荷",IF(G1286&lt;=0.85,"正常",IF(G1286&lt;=1,"满负荷","超负荷"))))</f>
        <v>空闲</v>
      </c>
      <c r="I1286" s="104" t="s">
        <v>638</v>
      </c>
      <c r="J1286" s="104"/>
      <c r="K1286" s="104"/>
      <c r="L1286" s="105" t="s">
        <v>639</v>
      </c>
    </row>
    <row r="1287" customFormat="false" ht="48" hidden="false" customHeight="true" outlineLevel="0" collapsed="false">
      <c r="A1287" s="99"/>
      <c r="B1287" s="100" t="n">
        <v>46335</v>
      </c>
      <c r="C1287" s="100" t="n">
        <v>46341</v>
      </c>
      <c r="D1287" s="99" t="s">
        <v>638</v>
      </c>
      <c r="E1287" s="99" t="n">
        <v>0</v>
      </c>
      <c r="F1287" s="101" t="n">
        <v>0</v>
      </c>
      <c r="G1287" s="102" t="n">
        <f aca="false">IFERROR(F1287/INDEX($G$5:$G$34,MATCH(LOOKUP(2,1/($A$39:A1287&lt;&gt;""),$A$39:A1287),$A$5:$A$34,0)),0)</f>
        <v>0</v>
      </c>
      <c r="H1287" s="103" t="str">
        <f aca="false">IF(G1287=0,"空闲",IF(G1287&lt;=0.6,"低负荷",IF(G1287&lt;=0.85,"正常",IF(G1287&lt;=1,"满负荷","超负荷"))))</f>
        <v>空闲</v>
      </c>
      <c r="I1287" s="104" t="s">
        <v>638</v>
      </c>
      <c r="J1287" s="104"/>
      <c r="K1287" s="104"/>
      <c r="L1287" s="105" t="s">
        <v>639</v>
      </c>
    </row>
    <row r="1288" customFormat="false" ht="48" hidden="false" customHeight="true" outlineLevel="0" collapsed="false">
      <c r="A1288" s="99"/>
      <c r="B1288" s="100" t="n">
        <v>46342</v>
      </c>
      <c r="C1288" s="100" t="n">
        <v>46348</v>
      </c>
      <c r="D1288" s="99" t="s">
        <v>638</v>
      </c>
      <c r="E1288" s="99" t="n">
        <v>0</v>
      </c>
      <c r="F1288" s="101" t="n">
        <v>0</v>
      </c>
      <c r="G1288" s="102" t="n">
        <f aca="false">IFERROR(F1288/INDEX($G$5:$G$34,MATCH(LOOKUP(2,1/($A$39:A1288&lt;&gt;""),$A$39:A1288),$A$5:$A$34,0)),0)</f>
        <v>0</v>
      </c>
      <c r="H1288" s="103" t="str">
        <f aca="false">IF(G1288=0,"空闲",IF(G1288&lt;=0.6,"低负荷",IF(G1288&lt;=0.85,"正常",IF(G1288&lt;=1,"满负荷","超负荷"))))</f>
        <v>空闲</v>
      </c>
      <c r="I1288" s="104" t="s">
        <v>638</v>
      </c>
      <c r="J1288" s="104"/>
      <c r="K1288" s="104"/>
      <c r="L1288" s="105" t="s">
        <v>639</v>
      </c>
    </row>
    <row r="1289" customFormat="false" ht="48" hidden="false" customHeight="true" outlineLevel="0" collapsed="false">
      <c r="A1289" s="99"/>
      <c r="B1289" s="100" t="n">
        <v>46349</v>
      </c>
      <c r="C1289" s="100" t="n">
        <v>46355</v>
      </c>
      <c r="D1289" s="99" t="s">
        <v>640</v>
      </c>
      <c r="E1289" s="99" t="n">
        <v>1</v>
      </c>
      <c r="F1289" s="101" t="n">
        <v>40</v>
      </c>
      <c r="G1289" s="102" t="n">
        <f aca="false">IFERROR(F1289/INDEX($G$5:$G$34,MATCH(LOOKUP(2,1/($A$39:A1289&lt;&gt;""),$A$39:A1289),$A$5:$A$34,0)),0)</f>
        <v>1</v>
      </c>
      <c r="H1289" s="103" t="str">
        <f aca="false">IF(G1289=0,"空闲",IF(G1289&lt;=0.6,"低负荷",IF(G1289&lt;=0.85,"正常",IF(G1289&lt;=1,"满负荷","超负荷"))))</f>
        <v>满负荷</v>
      </c>
      <c r="I1289" s="106" t="s">
        <v>712</v>
      </c>
      <c r="J1289" s="106"/>
      <c r="K1289" s="106"/>
      <c r="L1289" s="105" t="s">
        <v>642</v>
      </c>
    </row>
    <row r="1290" customFormat="false" ht="48" hidden="false" customHeight="true" outlineLevel="0" collapsed="false">
      <c r="A1290" s="99"/>
      <c r="B1290" s="100" t="n">
        <v>46356</v>
      </c>
      <c r="C1290" s="100" t="n">
        <v>46362</v>
      </c>
      <c r="D1290" s="99" t="s">
        <v>640</v>
      </c>
      <c r="E1290" s="99" t="n">
        <v>1</v>
      </c>
      <c r="F1290" s="101" t="n">
        <v>40</v>
      </c>
      <c r="G1290" s="102" t="n">
        <f aca="false">IFERROR(F1290/INDEX($G$5:$G$34,MATCH(LOOKUP(2,1/($A$39:A1290&lt;&gt;""),$A$39:A1290),$A$5:$A$34,0)),0)</f>
        <v>1</v>
      </c>
      <c r="H1290" s="103" t="str">
        <f aca="false">IF(G1290=0,"空闲",IF(G1290&lt;=0.6,"低负荷",IF(G1290&lt;=0.85,"正常",IF(G1290&lt;=1,"满负荷","超负荷"))))</f>
        <v>满负荷</v>
      </c>
      <c r="I1290" s="106" t="s">
        <v>712</v>
      </c>
      <c r="J1290" s="106"/>
      <c r="K1290" s="106"/>
      <c r="L1290" s="105" t="s">
        <v>642</v>
      </c>
    </row>
    <row r="1291" customFormat="false" ht="48" hidden="false" customHeight="true" outlineLevel="0" collapsed="false">
      <c r="A1291" s="99"/>
      <c r="B1291" s="100" t="n">
        <v>46363</v>
      </c>
      <c r="C1291" s="100" t="n">
        <v>46369</v>
      </c>
      <c r="D1291" s="99" t="s">
        <v>640</v>
      </c>
      <c r="E1291" s="99" t="n">
        <v>5</v>
      </c>
      <c r="F1291" s="101" t="n">
        <v>40</v>
      </c>
      <c r="G1291" s="102" t="n">
        <f aca="false">IFERROR(F1291/INDEX($G$5:$G$34,MATCH(LOOKUP(2,1/($A$39:A1291&lt;&gt;""),$A$39:A1291),$A$5:$A$34,0)),0)</f>
        <v>1</v>
      </c>
      <c r="H1291" s="103" t="str">
        <f aca="false">IF(G1291=0,"空闲",IF(G1291&lt;=0.6,"低负荷",IF(G1291&lt;=0.85,"正常",IF(G1291&lt;=1,"满负荷","超负荷"))))</f>
        <v>满负荷</v>
      </c>
      <c r="I1291" s="106" t="s">
        <v>748</v>
      </c>
      <c r="J1291" s="106"/>
      <c r="K1291" s="106"/>
      <c r="L1291" s="105" t="s">
        <v>717</v>
      </c>
    </row>
    <row r="1292" customFormat="false" ht="48" hidden="false" customHeight="true" outlineLevel="0" collapsed="false">
      <c r="A1292" s="99"/>
      <c r="B1292" s="100" t="n">
        <v>46370</v>
      </c>
      <c r="C1292" s="100" t="n">
        <v>46376</v>
      </c>
      <c r="D1292" s="99" t="s">
        <v>640</v>
      </c>
      <c r="E1292" s="99" t="n">
        <v>5</v>
      </c>
      <c r="F1292" s="101" t="n">
        <v>40</v>
      </c>
      <c r="G1292" s="102" t="n">
        <f aca="false">IFERROR(F1292/INDEX($G$5:$G$34,MATCH(LOOKUP(2,1/($A$39:A1292&lt;&gt;""),$A$39:A1292),$A$5:$A$34,0)),0)</f>
        <v>1</v>
      </c>
      <c r="H1292" s="103" t="str">
        <f aca="false">IF(G1292=0,"空闲",IF(G1292&lt;=0.6,"低负荷",IF(G1292&lt;=0.85,"正常",IF(G1292&lt;=1,"满负荷","超负荷"))))</f>
        <v>满负荷</v>
      </c>
      <c r="I1292" s="106" t="s">
        <v>748</v>
      </c>
      <c r="J1292" s="106"/>
      <c r="K1292" s="106"/>
      <c r="L1292" s="105" t="s">
        <v>717</v>
      </c>
    </row>
    <row r="1293" customFormat="false" ht="48" hidden="false" customHeight="true" outlineLevel="0" collapsed="false">
      <c r="A1293" s="99"/>
      <c r="B1293" s="100" t="n">
        <v>46377</v>
      </c>
      <c r="C1293" s="100" t="n">
        <v>46383</v>
      </c>
      <c r="D1293" s="99" t="s">
        <v>640</v>
      </c>
      <c r="E1293" s="99" t="n">
        <v>5</v>
      </c>
      <c r="F1293" s="101" t="n">
        <v>40</v>
      </c>
      <c r="G1293" s="102" t="n">
        <f aca="false">IFERROR(F1293/INDEX($G$5:$G$34,MATCH(LOOKUP(2,1/($A$39:A1293&lt;&gt;""),$A$39:A1293),$A$5:$A$34,0)),0)</f>
        <v>1</v>
      </c>
      <c r="H1293" s="103" t="str">
        <f aca="false">IF(G1293=0,"空闲",IF(G1293&lt;=0.6,"低负荷",IF(G1293&lt;=0.85,"正常",IF(G1293&lt;=1,"满负荷","超负荷"))))</f>
        <v>满负荷</v>
      </c>
      <c r="I1293" s="106" t="s">
        <v>748</v>
      </c>
      <c r="J1293" s="106"/>
      <c r="K1293" s="106"/>
      <c r="L1293" s="105" t="s">
        <v>717</v>
      </c>
    </row>
    <row r="1294" customFormat="false" ht="48" hidden="false" customHeight="true" outlineLevel="0" collapsed="false">
      <c r="A1294" s="99"/>
      <c r="B1294" s="100" t="n">
        <v>46384</v>
      </c>
      <c r="C1294" s="100" t="n">
        <v>46390</v>
      </c>
      <c r="D1294" s="99" t="s">
        <v>640</v>
      </c>
      <c r="E1294" s="99" t="n">
        <v>5</v>
      </c>
      <c r="F1294" s="101" t="n">
        <v>40</v>
      </c>
      <c r="G1294" s="102" t="n">
        <f aca="false">IFERROR(F1294/INDEX($G$5:$G$34,MATCH(LOOKUP(2,1/($A$39:A1294&lt;&gt;""),$A$39:A1294),$A$5:$A$34,0)),0)</f>
        <v>1</v>
      </c>
      <c r="H1294" s="103" t="str">
        <f aca="false">IF(G1294=0,"空闲",IF(G1294&lt;=0.6,"低负荷",IF(G1294&lt;=0.85,"正常",IF(G1294&lt;=1,"满负荷","超负荷"))))</f>
        <v>满负荷</v>
      </c>
      <c r="I1294" s="106" t="s">
        <v>748</v>
      </c>
      <c r="J1294" s="106"/>
      <c r="K1294" s="106"/>
      <c r="L1294" s="105" t="s">
        <v>717</v>
      </c>
    </row>
    <row r="1295" customFormat="false" ht="48" hidden="false" customHeight="true" outlineLevel="0" collapsed="false">
      <c r="A1295" s="99"/>
      <c r="B1295" s="100" t="n">
        <v>46391</v>
      </c>
      <c r="C1295" s="100" t="n">
        <v>46397</v>
      </c>
      <c r="D1295" s="99" t="s">
        <v>640</v>
      </c>
      <c r="E1295" s="99" t="n">
        <v>5</v>
      </c>
      <c r="F1295" s="101" t="n">
        <v>40</v>
      </c>
      <c r="G1295" s="102" t="n">
        <f aca="false">IFERROR(F1295/INDEX($G$5:$G$34,MATCH(LOOKUP(2,1/($A$39:A1295&lt;&gt;""),$A$39:A1295),$A$5:$A$34,0)),0)</f>
        <v>1</v>
      </c>
      <c r="H1295" s="103" t="str">
        <f aca="false">IF(G1295=0,"空闲",IF(G1295&lt;=0.6,"低负荷",IF(G1295&lt;=0.85,"正常",IF(G1295&lt;=1,"满负荷","超负荷"))))</f>
        <v>满负荷</v>
      </c>
      <c r="I1295" s="106" t="s">
        <v>748</v>
      </c>
      <c r="J1295" s="106"/>
      <c r="K1295" s="106"/>
      <c r="L1295" s="105" t="s">
        <v>717</v>
      </c>
    </row>
    <row r="1296" customFormat="false" ht="48" hidden="false" customHeight="true" outlineLevel="0" collapsed="false">
      <c r="A1296" s="99"/>
      <c r="B1296" s="100" t="n">
        <v>46398</v>
      </c>
      <c r="C1296" s="100" t="n">
        <v>46404</v>
      </c>
      <c r="D1296" s="99" t="s">
        <v>640</v>
      </c>
      <c r="E1296" s="99" t="n">
        <v>5</v>
      </c>
      <c r="F1296" s="101" t="n">
        <v>40</v>
      </c>
      <c r="G1296" s="102" t="n">
        <f aca="false">IFERROR(F1296/INDEX($G$5:$G$34,MATCH(LOOKUP(2,1/($A$39:A1296&lt;&gt;""),$A$39:A1296),$A$5:$A$34,0)),0)</f>
        <v>1</v>
      </c>
      <c r="H1296" s="103" t="str">
        <f aca="false">IF(G1296=0,"空闲",IF(G1296&lt;=0.6,"低负荷",IF(G1296&lt;=0.85,"正常",IF(G1296&lt;=1,"满负荷","超负荷"))))</f>
        <v>满负荷</v>
      </c>
      <c r="I1296" s="106" t="s">
        <v>748</v>
      </c>
      <c r="J1296" s="106"/>
      <c r="K1296" s="106"/>
      <c r="L1296" s="105" t="s">
        <v>717</v>
      </c>
    </row>
    <row r="1297" customFormat="false" ht="48" hidden="false" customHeight="true" outlineLevel="0" collapsed="false">
      <c r="A1297" s="99"/>
      <c r="B1297" s="100" t="n">
        <v>46405</v>
      </c>
      <c r="C1297" s="100" t="n">
        <v>46411</v>
      </c>
      <c r="D1297" s="99" t="s">
        <v>640</v>
      </c>
      <c r="E1297" s="99" t="n">
        <v>5</v>
      </c>
      <c r="F1297" s="101" t="n">
        <v>40</v>
      </c>
      <c r="G1297" s="102" t="n">
        <f aca="false">IFERROR(F1297/INDEX($G$5:$G$34,MATCH(LOOKUP(2,1/($A$39:A1297&lt;&gt;""),$A$39:A1297),$A$5:$A$34,0)),0)</f>
        <v>1</v>
      </c>
      <c r="H1297" s="103" t="str">
        <f aca="false">IF(G1297=0,"空闲",IF(G1297&lt;=0.6,"低负荷",IF(G1297&lt;=0.85,"正常",IF(G1297&lt;=1,"满负荷","超负荷"))))</f>
        <v>满负荷</v>
      </c>
      <c r="I1297" s="106" t="s">
        <v>748</v>
      </c>
      <c r="J1297" s="106"/>
      <c r="K1297" s="106"/>
      <c r="L1297" s="105" t="s">
        <v>717</v>
      </c>
    </row>
    <row r="1298" customFormat="false" ht="48" hidden="false" customHeight="true" outlineLevel="0" collapsed="false">
      <c r="A1298" s="99"/>
      <c r="B1298" s="100" t="n">
        <v>46412</v>
      </c>
      <c r="C1298" s="100" t="n">
        <v>46418</v>
      </c>
      <c r="D1298" s="99" t="s">
        <v>640</v>
      </c>
      <c r="E1298" s="99" t="n">
        <v>6</v>
      </c>
      <c r="F1298" s="101" t="n">
        <v>40</v>
      </c>
      <c r="G1298" s="102" t="n">
        <f aca="false">IFERROR(F1298/INDEX($G$5:$G$34,MATCH(LOOKUP(2,1/($A$39:A1298&lt;&gt;""),$A$39:A1298),$A$5:$A$34,0)),0)</f>
        <v>1</v>
      </c>
      <c r="H1298" s="103" t="str">
        <f aca="false">IF(G1298=0,"空闲",IF(G1298&lt;=0.6,"低负荷",IF(G1298&lt;=0.85,"正常",IF(G1298&lt;=1,"满负荷","超负荷"))))</f>
        <v>满负荷</v>
      </c>
      <c r="I1298" s="106" t="s">
        <v>750</v>
      </c>
      <c r="J1298" s="106"/>
      <c r="K1298" s="106"/>
      <c r="L1298" s="105" t="s">
        <v>676</v>
      </c>
    </row>
    <row r="1299" customFormat="false" ht="48" hidden="false" customHeight="true" outlineLevel="0" collapsed="false">
      <c r="A1299" s="99"/>
      <c r="B1299" s="100" t="n">
        <v>46419</v>
      </c>
      <c r="C1299" s="100" t="n">
        <v>46425</v>
      </c>
      <c r="D1299" s="99" t="s">
        <v>640</v>
      </c>
      <c r="E1299" s="99" t="n">
        <v>6</v>
      </c>
      <c r="F1299" s="101" t="n">
        <v>40</v>
      </c>
      <c r="G1299" s="102" t="n">
        <f aca="false">IFERROR(F1299/INDEX($G$5:$G$34,MATCH(LOOKUP(2,1/($A$39:A1299&lt;&gt;""),$A$39:A1299),$A$5:$A$34,0)),0)</f>
        <v>1</v>
      </c>
      <c r="H1299" s="103" t="str">
        <f aca="false">IF(G1299=0,"空闲",IF(G1299&lt;=0.6,"低负荷",IF(G1299&lt;=0.85,"正常",IF(G1299&lt;=1,"满负荷","超负荷"))))</f>
        <v>满负荷</v>
      </c>
      <c r="I1299" s="106" t="s">
        <v>750</v>
      </c>
      <c r="J1299" s="106"/>
      <c r="K1299" s="106"/>
      <c r="L1299" s="105" t="s">
        <v>676</v>
      </c>
    </row>
    <row r="1300" customFormat="false" ht="48" hidden="false" customHeight="true" outlineLevel="0" collapsed="false">
      <c r="A1300" s="99"/>
      <c r="B1300" s="100" t="n">
        <v>46426</v>
      </c>
      <c r="C1300" s="100" t="n">
        <v>46432</v>
      </c>
      <c r="D1300" s="99" t="s">
        <v>640</v>
      </c>
      <c r="E1300" s="99" t="n">
        <v>6</v>
      </c>
      <c r="F1300" s="101" t="n">
        <v>40</v>
      </c>
      <c r="G1300" s="102" t="n">
        <f aca="false">IFERROR(F1300/INDEX($G$5:$G$34,MATCH(LOOKUP(2,1/($A$39:A1300&lt;&gt;""),$A$39:A1300),$A$5:$A$34,0)),0)</f>
        <v>1</v>
      </c>
      <c r="H1300" s="103" t="str">
        <f aca="false">IF(G1300=0,"空闲",IF(G1300&lt;=0.6,"低负荷",IF(G1300&lt;=0.85,"正常",IF(G1300&lt;=1,"满负荷","超负荷"))))</f>
        <v>满负荷</v>
      </c>
      <c r="I1300" s="106" t="s">
        <v>750</v>
      </c>
      <c r="J1300" s="106"/>
      <c r="K1300" s="106"/>
      <c r="L1300" s="105" t="s">
        <v>676</v>
      </c>
    </row>
    <row r="1301" customFormat="false" ht="48" hidden="false" customHeight="true" outlineLevel="0" collapsed="false">
      <c r="A1301" s="99"/>
      <c r="B1301" s="100" t="n">
        <v>46433</v>
      </c>
      <c r="C1301" s="100" t="n">
        <v>46439</v>
      </c>
      <c r="D1301" s="99" t="s">
        <v>638</v>
      </c>
      <c r="E1301" s="99" t="n">
        <v>0</v>
      </c>
      <c r="F1301" s="101" t="n">
        <v>0</v>
      </c>
      <c r="G1301" s="102" t="n">
        <f aca="false">IFERROR(F1301/INDEX($G$5:$G$34,MATCH(LOOKUP(2,1/($A$39:A1301&lt;&gt;""),$A$39:A1301),$A$5:$A$34,0)),0)</f>
        <v>0</v>
      </c>
      <c r="H1301" s="103" t="str">
        <f aca="false">IF(G1301=0,"空闲",IF(G1301&lt;=0.6,"低负荷",IF(G1301&lt;=0.85,"正常",IF(G1301&lt;=1,"满负荷","超负荷"))))</f>
        <v>空闲</v>
      </c>
      <c r="I1301" s="104" t="s">
        <v>638</v>
      </c>
      <c r="J1301" s="104"/>
      <c r="K1301" s="104"/>
      <c r="L1301" s="105" t="s">
        <v>639</v>
      </c>
    </row>
    <row r="1302" customFormat="false" ht="48" hidden="false" customHeight="true" outlineLevel="0" collapsed="false">
      <c r="A1302" s="99"/>
      <c r="B1302" s="100" t="n">
        <v>46440</v>
      </c>
      <c r="C1302" s="100" t="n">
        <v>46446</v>
      </c>
      <c r="D1302" s="99" t="s">
        <v>638</v>
      </c>
      <c r="E1302" s="99" t="n">
        <v>0</v>
      </c>
      <c r="F1302" s="101" t="n">
        <v>0</v>
      </c>
      <c r="G1302" s="102" t="n">
        <f aca="false">IFERROR(F1302/INDEX($G$5:$G$34,MATCH(LOOKUP(2,1/($A$39:A1302&lt;&gt;""),$A$39:A1302),$A$5:$A$34,0)),0)</f>
        <v>0</v>
      </c>
      <c r="H1302" s="103" t="str">
        <f aca="false">IF(G1302=0,"空闲",IF(G1302&lt;=0.6,"低负荷",IF(G1302&lt;=0.85,"正常",IF(G1302&lt;=1,"满负荷","超负荷"))))</f>
        <v>空闲</v>
      </c>
      <c r="I1302" s="104" t="s">
        <v>638</v>
      </c>
      <c r="J1302" s="104"/>
      <c r="K1302" s="104"/>
      <c r="L1302" s="105" t="s">
        <v>639</v>
      </c>
    </row>
    <row r="1303" customFormat="false" ht="48" hidden="false" customHeight="true" outlineLevel="0" collapsed="false">
      <c r="A1303" s="99"/>
      <c r="B1303" s="100" t="n">
        <v>46447</v>
      </c>
      <c r="C1303" s="100" t="n">
        <v>46453</v>
      </c>
      <c r="D1303" s="99" t="s">
        <v>638</v>
      </c>
      <c r="E1303" s="99" t="n">
        <v>0</v>
      </c>
      <c r="F1303" s="101" t="n">
        <v>0</v>
      </c>
      <c r="G1303" s="102" t="n">
        <f aca="false">IFERROR(F1303/INDEX($G$5:$G$34,MATCH(LOOKUP(2,1/($A$39:A1303&lt;&gt;""),$A$39:A1303),$A$5:$A$34,0)),0)</f>
        <v>0</v>
      </c>
      <c r="H1303" s="103" t="str">
        <f aca="false">IF(G1303=0,"空闲",IF(G1303&lt;=0.6,"低负荷",IF(G1303&lt;=0.85,"正常",IF(G1303&lt;=1,"满负荷","超负荷"))))</f>
        <v>空闲</v>
      </c>
      <c r="I1303" s="104" t="s">
        <v>638</v>
      </c>
      <c r="J1303" s="104"/>
      <c r="K1303" s="104"/>
      <c r="L1303" s="105" t="s">
        <v>639</v>
      </c>
    </row>
    <row r="1304" customFormat="false" ht="48" hidden="false" customHeight="true" outlineLevel="0" collapsed="false">
      <c r="A1304" s="99"/>
      <c r="B1304" s="100" t="n">
        <v>46454</v>
      </c>
      <c r="C1304" s="100" t="n">
        <v>46460</v>
      </c>
      <c r="D1304" s="99" t="s">
        <v>638</v>
      </c>
      <c r="E1304" s="99" t="n">
        <v>0</v>
      </c>
      <c r="F1304" s="101" t="n">
        <v>0</v>
      </c>
      <c r="G1304" s="102" t="n">
        <f aca="false">IFERROR(F1304/INDEX($G$5:$G$34,MATCH(LOOKUP(2,1/($A$39:A1304&lt;&gt;""),$A$39:A1304),$A$5:$A$34,0)),0)</f>
        <v>0</v>
      </c>
      <c r="H1304" s="103" t="str">
        <f aca="false">IF(G1304=0,"空闲",IF(G1304&lt;=0.6,"低负荷",IF(G1304&lt;=0.85,"正常",IF(G1304&lt;=1,"满负荷","超负荷"))))</f>
        <v>空闲</v>
      </c>
      <c r="I1304" s="104" t="s">
        <v>638</v>
      </c>
      <c r="J1304" s="104"/>
      <c r="K1304" s="104"/>
      <c r="L1304" s="105" t="s">
        <v>639</v>
      </c>
    </row>
    <row r="1305" customFormat="false" ht="48" hidden="false" customHeight="true" outlineLevel="0" collapsed="false">
      <c r="A1305" s="99"/>
      <c r="B1305" s="100" t="n">
        <v>46461</v>
      </c>
      <c r="C1305" s="100" t="n">
        <v>46467</v>
      </c>
      <c r="D1305" s="99" t="s">
        <v>638</v>
      </c>
      <c r="E1305" s="99" t="n">
        <v>0</v>
      </c>
      <c r="F1305" s="101" t="n">
        <v>0</v>
      </c>
      <c r="G1305" s="102" t="n">
        <f aca="false">IFERROR(F1305/INDEX($G$5:$G$34,MATCH(LOOKUP(2,1/($A$39:A1305&lt;&gt;""),$A$39:A1305),$A$5:$A$34,0)),0)</f>
        <v>0</v>
      </c>
      <c r="H1305" s="103" t="str">
        <f aca="false">IF(G1305=0,"空闲",IF(G1305&lt;=0.6,"低负荷",IF(G1305&lt;=0.85,"正常",IF(G1305&lt;=1,"满负荷","超负荷"))))</f>
        <v>空闲</v>
      </c>
      <c r="I1305" s="104" t="s">
        <v>638</v>
      </c>
      <c r="J1305" s="104"/>
      <c r="K1305" s="104"/>
      <c r="L1305" s="105" t="s">
        <v>639</v>
      </c>
    </row>
    <row r="1306" customFormat="false" ht="48" hidden="false" customHeight="true" outlineLevel="0" collapsed="false">
      <c r="A1306" s="99"/>
      <c r="B1306" s="100" t="n">
        <v>46468</v>
      </c>
      <c r="C1306" s="100" t="n">
        <v>46474</v>
      </c>
      <c r="D1306" s="99" t="s">
        <v>638</v>
      </c>
      <c r="E1306" s="99" t="n">
        <v>0</v>
      </c>
      <c r="F1306" s="101" t="n">
        <v>0</v>
      </c>
      <c r="G1306" s="102" t="n">
        <f aca="false">IFERROR(F1306/INDEX($G$5:$G$34,MATCH(LOOKUP(2,1/($A$39:A1306&lt;&gt;""),$A$39:A1306),$A$5:$A$34,0)),0)</f>
        <v>0</v>
      </c>
      <c r="H1306" s="103" t="str">
        <f aca="false">IF(G1306=0,"空闲",IF(G1306&lt;=0.6,"低负荷",IF(G1306&lt;=0.85,"正常",IF(G1306&lt;=1,"满负荷","超负荷"))))</f>
        <v>空闲</v>
      </c>
      <c r="I1306" s="104" t="s">
        <v>638</v>
      </c>
      <c r="J1306" s="104"/>
      <c r="K1306" s="104"/>
      <c r="L1306" s="105" t="s">
        <v>639</v>
      </c>
    </row>
    <row r="1307" customFormat="false" ht="48" hidden="false" customHeight="true" outlineLevel="0" collapsed="false">
      <c r="A1307" s="99"/>
      <c r="B1307" s="100" t="n">
        <v>46475</v>
      </c>
      <c r="C1307" s="100" t="n">
        <v>46481</v>
      </c>
      <c r="D1307" s="99" t="s">
        <v>638</v>
      </c>
      <c r="E1307" s="99" t="n">
        <v>0</v>
      </c>
      <c r="F1307" s="101" t="n">
        <v>0</v>
      </c>
      <c r="G1307" s="102" t="n">
        <f aca="false">IFERROR(F1307/INDEX($G$5:$G$34,MATCH(LOOKUP(2,1/($A$39:A1307&lt;&gt;""),$A$39:A1307),$A$5:$A$34,0)),0)</f>
        <v>0</v>
      </c>
      <c r="H1307" s="103" t="str">
        <f aca="false">IF(G1307=0,"空闲",IF(G1307&lt;=0.6,"低负荷",IF(G1307&lt;=0.85,"正常",IF(G1307&lt;=1,"满负荷","超负荷"))))</f>
        <v>空闲</v>
      </c>
      <c r="I1307" s="104" t="s">
        <v>638</v>
      </c>
      <c r="J1307" s="104"/>
      <c r="K1307" s="104"/>
      <c r="L1307" s="105" t="s">
        <v>639</v>
      </c>
    </row>
    <row r="1308" customFormat="false" ht="48" hidden="false" customHeight="true" outlineLevel="0" collapsed="false">
      <c r="A1308" s="99"/>
      <c r="B1308" s="100" t="n">
        <v>46482</v>
      </c>
      <c r="C1308" s="100" t="n">
        <v>46488</v>
      </c>
      <c r="D1308" s="99" t="s">
        <v>638</v>
      </c>
      <c r="E1308" s="99" t="n">
        <v>0</v>
      </c>
      <c r="F1308" s="101" t="n">
        <v>0</v>
      </c>
      <c r="G1308" s="102" t="n">
        <f aca="false">IFERROR(F1308/INDEX($G$5:$G$34,MATCH(LOOKUP(2,1/($A$39:A1308&lt;&gt;""),$A$39:A1308),$A$5:$A$34,0)),0)</f>
        <v>0</v>
      </c>
      <c r="H1308" s="103" t="str">
        <f aca="false">IF(G1308=0,"空闲",IF(G1308&lt;=0.6,"低负荷",IF(G1308&lt;=0.85,"正常",IF(G1308&lt;=1,"满负荷","超负荷"))))</f>
        <v>空闲</v>
      </c>
      <c r="I1308" s="104" t="s">
        <v>638</v>
      </c>
      <c r="J1308" s="104"/>
      <c r="K1308" s="104"/>
      <c r="L1308" s="105" t="s">
        <v>639</v>
      </c>
    </row>
    <row r="1309" customFormat="false" ht="48" hidden="false" customHeight="true" outlineLevel="0" collapsed="false">
      <c r="A1309" s="99"/>
      <c r="B1309" s="100" t="n">
        <v>46489</v>
      </c>
      <c r="C1309" s="100" t="n">
        <v>46495</v>
      </c>
      <c r="D1309" s="99" t="s">
        <v>638</v>
      </c>
      <c r="E1309" s="99" t="n">
        <v>0</v>
      </c>
      <c r="F1309" s="101" t="n">
        <v>0</v>
      </c>
      <c r="G1309" s="102" t="n">
        <f aca="false">IFERROR(F1309/INDEX($G$5:$G$34,MATCH(LOOKUP(2,1/($A$39:A1309&lt;&gt;""),$A$39:A1309),$A$5:$A$34,0)),0)</f>
        <v>0</v>
      </c>
      <c r="H1309" s="103" t="str">
        <f aca="false">IF(G1309=0,"空闲",IF(G1309&lt;=0.6,"低负荷",IF(G1309&lt;=0.85,"正常",IF(G1309&lt;=1,"满负荷","超负荷"))))</f>
        <v>空闲</v>
      </c>
      <c r="I1309" s="104" t="s">
        <v>638</v>
      </c>
      <c r="J1309" s="104"/>
      <c r="K1309" s="104"/>
      <c r="L1309" s="105" t="s">
        <v>639</v>
      </c>
    </row>
    <row r="1310" customFormat="false" ht="48" hidden="false" customHeight="true" outlineLevel="0" collapsed="false">
      <c r="A1310" s="99"/>
      <c r="B1310" s="100" t="n">
        <v>46496</v>
      </c>
      <c r="C1310" s="100" t="n">
        <v>46502</v>
      </c>
      <c r="D1310" s="99" t="s">
        <v>638</v>
      </c>
      <c r="E1310" s="99" t="n">
        <v>0</v>
      </c>
      <c r="F1310" s="101" t="n">
        <v>0</v>
      </c>
      <c r="G1310" s="102" t="n">
        <f aca="false">IFERROR(F1310/INDEX($G$5:$G$34,MATCH(LOOKUP(2,1/($A$39:A1310&lt;&gt;""),$A$39:A1310),$A$5:$A$34,0)),0)</f>
        <v>0</v>
      </c>
      <c r="H1310" s="103" t="str">
        <f aca="false">IF(G1310=0,"空闲",IF(G1310&lt;=0.6,"低负荷",IF(G1310&lt;=0.85,"正常",IF(G1310&lt;=1,"满负荷","超负荷"))))</f>
        <v>空闲</v>
      </c>
      <c r="I1310" s="104" t="s">
        <v>638</v>
      </c>
      <c r="J1310" s="104"/>
      <c r="K1310" s="104"/>
      <c r="L1310" s="105" t="s">
        <v>639</v>
      </c>
    </row>
    <row r="1311" customFormat="false" ht="48" hidden="false" customHeight="true" outlineLevel="0" collapsed="false">
      <c r="A1311" s="99"/>
      <c r="B1311" s="100" t="n">
        <v>46503</v>
      </c>
      <c r="C1311" s="100" t="n">
        <v>46509</v>
      </c>
      <c r="D1311" s="99" t="s">
        <v>638</v>
      </c>
      <c r="E1311" s="99" t="n">
        <v>0</v>
      </c>
      <c r="F1311" s="101" t="n">
        <v>0</v>
      </c>
      <c r="G1311" s="102" t="n">
        <f aca="false">IFERROR(F1311/INDEX($G$5:$G$34,MATCH(LOOKUP(2,1/($A$39:A1311&lt;&gt;""),$A$39:A1311),$A$5:$A$34,0)),0)</f>
        <v>0</v>
      </c>
      <c r="H1311" s="103" t="str">
        <f aca="false">IF(G1311=0,"空闲",IF(G1311&lt;=0.6,"低负荷",IF(G1311&lt;=0.85,"正常",IF(G1311&lt;=1,"满负荷","超负荷"))))</f>
        <v>空闲</v>
      </c>
      <c r="I1311" s="104" t="s">
        <v>638</v>
      </c>
      <c r="J1311" s="104"/>
      <c r="K1311" s="104"/>
      <c r="L1311" s="105" t="s">
        <v>639</v>
      </c>
    </row>
    <row r="1312" customFormat="false" ht="48" hidden="false" customHeight="true" outlineLevel="0" collapsed="false">
      <c r="A1312" s="99"/>
      <c r="B1312" s="100" t="n">
        <v>46510</v>
      </c>
      <c r="C1312" s="100" t="n">
        <v>46516</v>
      </c>
      <c r="D1312" s="99" t="s">
        <v>638</v>
      </c>
      <c r="E1312" s="99" t="n">
        <v>0</v>
      </c>
      <c r="F1312" s="101" t="n">
        <v>0</v>
      </c>
      <c r="G1312" s="102" t="n">
        <f aca="false">IFERROR(F1312/INDEX($G$5:$G$34,MATCH(LOOKUP(2,1/($A$39:A1312&lt;&gt;""),$A$39:A1312),$A$5:$A$34,0)),0)</f>
        <v>0</v>
      </c>
      <c r="H1312" s="103" t="str">
        <f aca="false">IF(G1312=0,"空闲",IF(G1312&lt;=0.6,"低负荷",IF(G1312&lt;=0.85,"正常",IF(G1312&lt;=1,"满负荷","超负荷"))))</f>
        <v>空闲</v>
      </c>
      <c r="I1312" s="104" t="s">
        <v>638</v>
      </c>
      <c r="J1312" s="104"/>
      <c r="K1312" s="104"/>
      <c r="L1312" s="105" t="s">
        <v>639</v>
      </c>
    </row>
    <row r="1313" customFormat="false" ht="48" hidden="false" customHeight="true" outlineLevel="0" collapsed="false">
      <c r="A1313" s="99"/>
      <c r="B1313" s="100" t="n">
        <v>46517</v>
      </c>
      <c r="C1313" s="100" t="n">
        <v>46523</v>
      </c>
      <c r="D1313" s="99" t="s">
        <v>638</v>
      </c>
      <c r="E1313" s="99" t="n">
        <v>0</v>
      </c>
      <c r="F1313" s="101" t="n">
        <v>0</v>
      </c>
      <c r="G1313" s="102" t="n">
        <f aca="false">IFERROR(F1313/INDEX($G$5:$G$34,MATCH(LOOKUP(2,1/($A$39:A1313&lt;&gt;""),$A$39:A1313),$A$5:$A$34,0)),0)</f>
        <v>0</v>
      </c>
      <c r="H1313" s="103" t="str">
        <f aca="false">IF(G1313=0,"空闲",IF(G1313&lt;=0.6,"低负荷",IF(G1313&lt;=0.85,"正常",IF(G1313&lt;=1,"满负荷","超负荷"))))</f>
        <v>空闲</v>
      </c>
      <c r="I1313" s="104" t="s">
        <v>638</v>
      </c>
      <c r="J1313" s="104"/>
      <c r="K1313" s="104"/>
      <c r="L1313" s="105" t="s">
        <v>639</v>
      </c>
    </row>
    <row r="1314" customFormat="false" ht="48" hidden="false" customHeight="true" outlineLevel="0" collapsed="false">
      <c r="A1314" s="99"/>
      <c r="B1314" s="100" t="n">
        <v>46524</v>
      </c>
      <c r="C1314" s="100" t="n">
        <v>46530</v>
      </c>
      <c r="D1314" s="99" t="s">
        <v>638</v>
      </c>
      <c r="E1314" s="99" t="n">
        <v>0</v>
      </c>
      <c r="F1314" s="101" t="n">
        <v>0</v>
      </c>
      <c r="G1314" s="102" t="n">
        <f aca="false">IFERROR(F1314/INDEX($G$5:$G$34,MATCH(LOOKUP(2,1/($A$39:A1314&lt;&gt;""),$A$39:A1314),$A$5:$A$34,0)),0)</f>
        <v>0</v>
      </c>
      <c r="H1314" s="103" t="str">
        <f aca="false">IF(G1314=0,"空闲",IF(G1314&lt;=0.6,"低负荷",IF(G1314&lt;=0.85,"正常",IF(G1314&lt;=1,"满负荷","超负荷"))))</f>
        <v>空闲</v>
      </c>
      <c r="I1314" s="104" t="s">
        <v>638</v>
      </c>
      <c r="J1314" s="104"/>
      <c r="K1314" s="104"/>
      <c r="L1314" s="105" t="s">
        <v>639</v>
      </c>
    </row>
    <row r="1315" customFormat="false" ht="48" hidden="false" customHeight="true" outlineLevel="0" collapsed="false">
      <c r="A1315" s="99"/>
      <c r="B1315" s="100" t="n">
        <v>46531</v>
      </c>
      <c r="C1315" s="100" t="n">
        <v>46537</v>
      </c>
      <c r="D1315" s="99" t="s">
        <v>638</v>
      </c>
      <c r="E1315" s="99" t="n">
        <v>0</v>
      </c>
      <c r="F1315" s="101" t="n">
        <v>0</v>
      </c>
      <c r="G1315" s="102" t="n">
        <f aca="false">IFERROR(F1315/INDEX($G$5:$G$34,MATCH(LOOKUP(2,1/($A$39:A1315&lt;&gt;""),$A$39:A1315),$A$5:$A$34,0)),0)</f>
        <v>0</v>
      </c>
      <c r="H1315" s="103" t="str">
        <f aca="false">IF(G1315=0,"空闲",IF(G1315&lt;=0.6,"低负荷",IF(G1315&lt;=0.85,"正常",IF(G1315&lt;=1,"满负荷","超负荷"))))</f>
        <v>空闲</v>
      </c>
      <c r="I1315" s="104" t="s">
        <v>638</v>
      </c>
      <c r="J1315" s="104"/>
      <c r="K1315" s="104"/>
      <c r="L1315" s="105" t="s">
        <v>639</v>
      </c>
    </row>
    <row r="1316" customFormat="false" ht="48" hidden="false" customHeight="true" outlineLevel="0" collapsed="false">
      <c r="A1316" s="99"/>
      <c r="B1316" s="100" t="n">
        <v>46538</v>
      </c>
      <c r="C1316" s="100" t="n">
        <v>46544</v>
      </c>
      <c r="D1316" s="99" t="s">
        <v>638</v>
      </c>
      <c r="E1316" s="99" t="n">
        <v>0</v>
      </c>
      <c r="F1316" s="101" t="n">
        <v>0</v>
      </c>
      <c r="G1316" s="102" t="n">
        <f aca="false">IFERROR(F1316/INDEX($G$5:$G$34,MATCH(LOOKUP(2,1/($A$39:A1316&lt;&gt;""),$A$39:A1316),$A$5:$A$34,0)),0)</f>
        <v>0</v>
      </c>
      <c r="H1316" s="103" t="str">
        <f aca="false">IF(G1316=0,"空闲",IF(G1316&lt;=0.6,"低负荷",IF(G1316&lt;=0.85,"正常",IF(G1316&lt;=1,"满负荷","超负荷"))))</f>
        <v>空闲</v>
      </c>
      <c r="I1316" s="104" t="s">
        <v>638</v>
      </c>
      <c r="J1316" s="104"/>
      <c r="K1316" s="104"/>
      <c r="L1316" s="105" t="s">
        <v>639</v>
      </c>
    </row>
    <row r="1317" customFormat="false" ht="48" hidden="false" customHeight="true" outlineLevel="0" collapsed="false">
      <c r="A1317" s="99" t="s">
        <v>618</v>
      </c>
      <c r="B1317" s="100" t="n">
        <v>46048</v>
      </c>
      <c r="C1317" s="100" t="n">
        <v>46054</v>
      </c>
      <c r="D1317" s="99" t="s">
        <v>638</v>
      </c>
      <c r="E1317" s="99" t="n">
        <v>0</v>
      </c>
      <c r="F1317" s="101" t="n">
        <v>0</v>
      </c>
      <c r="G1317" s="102" t="n">
        <f aca="false">IFERROR(F1317/INDEX($G$5:$G$34,MATCH(LOOKUP(2,1/($A$39:A1317&lt;&gt;""),$A$39:A1317),$A$5:$A$34,0)),0)</f>
        <v>0</v>
      </c>
      <c r="H1317" s="103" t="str">
        <f aca="false">IF(G1317=0,"空闲",IF(G1317&lt;=0.6,"低负荷",IF(G1317&lt;=0.85,"正常",IF(G1317&lt;=1,"满负荷","超负荷"))))</f>
        <v>空闲</v>
      </c>
      <c r="I1317" s="104" t="s">
        <v>638</v>
      </c>
      <c r="J1317" s="104"/>
      <c r="K1317" s="104"/>
      <c r="L1317" s="105" t="s">
        <v>639</v>
      </c>
    </row>
    <row r="1318" customFormat="false" ht="48" hidden="false" customHeight="true" outlineLevel="0" collapsed="false">
      <c r="A1318" s="99"/>
      <c r="B1318" s="100" t="n">
        <v>46055</v>
      </c>
      <c r="C1318" s="100" t="n">
        <v>46061</v>
      </c>
      <c r="D1318" s="99" t="s">
        <v>638</v>
      </c>
      <c r="E1318" s="99" t="n">
        <v>0</v>
      </c>
      <c r="F1318" s="101" t="n">
        <v>0</v>
      </c>
      <c r="G1318" s="102" t="n">
        <f aca="false">IFERROR(F1318/INDEX($G$5:$G$34,MATCH(LOOKUP(2,1/($A$39:A1318&lt;&gt;""),$A$39:A1318),$A$5:$A$34,0)),0)</f>
        <v>0</v>
      </c>
      <c r="H1318" s="103" t="str">
        <f aca="false">IF(G1318=0,"空闲",IF(G1318&lt;=0.6,"低负荷",IF(G1318&lt;=0.85,"正常",IF(G1318&lt;=1,"满负荷","超负荷"))))</f>
        <v>空闲</v>
      </c>
      <c r="I1318" s="104" t="s">
        <v>638</v>
      </c>
      <c r="J1318" s="104"/>
      <c r="K1318" s="104"/>
      <c r="L1318" s="105" t="s">
        <v>639</v>
      </c>
    </row>
    <row r="1319" customFormat="false" ht="48" hidden="false" customHeight="true" outlineLevel="0" collapsed="false">
      <c r="A1319" s="99"/>
      <c r="B1319" s="100" t="n">
        <v>46062</v>
      </c>
      <c r="C1319" s="100" t="n">
        <v>46068</v>
      </c>
      <c r="D1319" s="99" t="s">
        <v>638</v>
      </c>
      <c r="E1319" s="99" t="n">
        <v>0</v>
      </c>
      <c r="F1319" s="101" t="n">
        <v>0</v>
      </c>
      <c r="G1319" s="102" t="n">
        <f aca="false">IFERROR(F1319/INDEX($G$5:$G$34,MATCH(LOOKUP(2,1/($A$39:A1319&lt;&gt;""),$A$39:A1319),$A$5:$A$34,0)),0)</f>
        <v>0</v>
      </c>
      <c r="H1319" s="103" t="str">
        <f aca="false">IF(G1319=0,"空闲",IF(G1319&lt;=0.6,"低负荷",IF(G1319&lt;=0.85,"正常",IF(G1319&lt;=1,"满负荷","超负荷"))))</f>
        <v>空闲</v>
      </c>
      <c r="I1319" s="104" t="s">
        <v>638</v>
      </c>
      <c r="J1319" s="104"/>
      <c r="K1319" s="104"/>
      <c r="L1319" s="105" t="s">
        <v>639</v>
      </c>
    </row>
    <row r="1320" customFormat="false" ht="48" hidden="false" customHeight="true" outlineLevel="0" collapsed="false">
      <c r="A1320" s="99"/>
      <c r="B1320" s="100" t="n">
        <v>46069</v>
      </c>
      <c r="C1320" s="100" t="n">
        <v>46075</v>
      </c>
      <c r="D1320" s="99" t="s">
        <v>638</v>
      </c>
      <c r="E1320" s="99" t="n">
        <v>0</v>
      </c>
      <c r="F1320" s="101" t="n">
        <v>0</v>
      </c>
      <c r="G1320" s="102" t="n">
        <f aca="false">IFERROR(F1320/INDEX($G$5:$G$34,MATCH(LOOKUP(2,1/($A$39:A1320&lt;&gt;""),$A$39:A1320),$A$5:$A$34,0)),0)</f>
        <v>0</v>
      </c>
      <c r="H1320" s="103" t="str">
        <f aca="false">IF(G1320=0,"空闲",IF(G1320&lt;=0.6,"低负荷",IF(G1320&lt;=0.85,"正常",IF(G1320&lt;=1,"满负荷","超负荷"))))</f>
        <v>空闲</v>
      </c>
      <c r="I1320" s="104" t="s">
        <v>638</v>
      </c>
      <c r="J1320" s="104"/>
      <c r="K1320" s="104"/>
      <c r="L1320" s="105" t="s">
        <v>639</v>
      </c>
    </row>
    <row r="1321" customFormat="false" ht="48" hidden="false" customHeight="true" outlineLevel="0" collapsed="false">
      <c r="A1321" s="99"/>
      <c r="B1321" s="100" t="n">
        <v>46076</v>
      </c>
      <c r="C1321" s="100" t="n">
        <v>46082</v>
      </c>
      <c r="D1321" s="99" t="s">
        <v>638</v>
      </c>
      <c r="E1321" s="99" t="n">
        <v>0</v>
      </c>
      <c r="F1321" s="101" t="n">
        <v>0</v>
      </c>
      <c r="G1321" s="102" t="n">
        <f aca="false">IFERROR(F1321/INDEX($G$5:$G$34,MATCH(LOOKUP(2,1/($A$39:A1321&lt;&gt;""),$A$39:A1321),$A$5:$A$34,0)),0)</f>
        <v>0</v>
      </c>
      <c r="H1321" s="103" t="str">
        <f aca="false">IF(G1321=0,"空闲",IF(G1321&lt;=0.6,"低负荷",IF(G1321&lt;=0.85,"正常",IF(G1321&lt;=1,"满负荷","超负荷"))))</f>
        <v>空闲</v>
      </c>
      <c r="I1321" s="104" t="s">
        <v>638</v>
      </c>
      <c r="J1321" s="104"/>
      <c r="K1321" s="104"/>
      <c r="L1321" s="105" t="s">
        <v>639</v>
      </c>
    </row>
    <row r="1322" customFormat="false" ht="48" hidden="false" customHeight="true" outlineLevel="0" collapsed="false">
      <c r="A1322" s="99"/>
      <c r="B1322" s="100" t="n">
        <v>46083</v>
      </c>
      <c r="C1322" s="100" t="n">
        <v>46089</v>
      </c>
      <c r="D1322" s="99" t="s">
        <v>638</v>
      </c>
      <c r="E1322" s="99" t="n">
        <v>0</v>
      </c>
      <c r="F1322" s="101" t="n">
        <v>0</v>
      </c>
      <c r="G1322" s="102" t="n">
        <f aca="false">IFERROR(F1322/INDEX($G$5:$G$34,MATCH(LOOKUP(2,1/($A$39:A1322&lt;&gt;""),$A$39:A1322),$A$5:$A$34,0)),0)</f>
        <v>0</v>
      </c>
      <c r="H1322" s="103" t="str">
        <f aca="false">IF(G1322=0,"空闲",IF(G1322&lt;=0.6,"低负荷",IF(G1322&lt;=0.85,"正常",IF(G1322&lt;=1,"满负荷","超负荷"))))</f>
        <v>空闲</v>
      </c>
      <c r="I1322" s="104" t="s">
        <v>638</v>
      </c>
      <c r="J1322" s="104"/>
      <c r="K1322" s="104"/>
      <c r="L1322" s="105" t="s">
        <v>639</v>
      </c>
    </row>
    <row r="1323" customFormat="false" ht="48" hidden="false" customHeight="true" outlineLevel="0" collapsed="false">
      <c r="A1323" s="99"/>
      <c r="B1323" s="100" t="n">
        <v>46090</v>
      </c>
      <c r="C1323" s="100" t="n">
        <v>46096</v>
      </c>
      <c r="D1323" s="99" t="s">
        <v>638</v>
      </c>
      <c r="E1323" s="99" t="n">
        <v>0</v>
      </c>
      <c r="F1323" s="101" t="n">
        <v>0</v>
      </c>
      <c r="G1323" s="102" t="n">
        <f aca="false">IFERROR(F1323/INDEX($G$5:$G$34,MATCH(LOOKUP(2,1/($A$39:A1323&lt;&gt;""),$A$39:A1323),$A$5:$A$34,0)),0)</f>
        <v>0</v>
      </c>
      <c r="H1323" s="103" t="str">
        <f aca="false">IF(G1323=0,"空闲",IF(G1323&lt;=0.6,"低负荷",IF(G1323&lt;=0.85,"正常",IF(G1323&lt;=1,"满负荷","超负荷"))))</f>
        <v>空闲</v>
      </c>
      <c r="I1323" s="104" t="s">
        <v>638</v>
      </c>
      <c r="J1323" s="104"/>
      <c r="K1323" s="104"/>
      <c r="L1323" s="105" t="s">
        <v>639</v>
      </c>
    </row>
    <row r="1324" customFormat="false" ht="48" hidden="false" customHeight="true" outlineLevel="0" collapsed="false">
      <c r="A1324" s="99"/>
      <c r="B1324" s="100" t="n">
        <v>46097</v>
      </c>
      <c r="C1324" s="100" t="n">
        <v>46103</v>
      </c>
      <c r="D1324" s="99" t="s">
        <v>638</v>
      </c>
      <c r="E1324" s="99" t="n">
        <v>0</v>
      </c>
      <c r="F1324" s="101" t="n">
        <v>0</v>
      </c>
      <c r="G1324" s="102" t="n">
        <f aca="false">IFERROR(F1324/INDEX($G$5:$G$34,MATCH(LOOKUP(2,1/($A$39:A1324&lt;&gt;""),$A$39:A1324),$A$5:$A$34,0)),0)</f>
        <v>0</v>
      </c>
      <c r="H1324" s="103" t="str">
        <f aca="false">IF(G1324=0,"空闲",IF(G1324&lt;=0.6,"低负荷",IF(G1324&lt;=0.85,"正常",IF(G1324&lt;=1,"满负荷","超负荷"))))</f>
        <v>空闲</v>
      </c>
      <c r="I1324" s="104" t="s">
        <v>638</v>
      </c>
      <c r="J1324" s="104"/>
      <c r="K1324" s="104"/>
      <c r="L1324" s="105" t="s">
        <v>639</v>
      </c>
    </row>
    <row r="1325" customFormat="false" ht="48" hidden="false" customHeight="true" outlineLevel="0" collapsed="false">
      <c r="A1325" s="99"/>
      <c r="B1325" s="100" t="n">
        <v>46104</v>
      </c>
      <c r="C1325" s="100" t="n">
        <v>46110</v>
      </c>
      <c r="D1325" s="99" t="s">
        <v>638</v>
      </c>
      <c r="E1325" s="99" t="n">
        <v>0</v>
      </c>
      <c r="F1325" s="101" t="n">
        <v>0</v>
      </c>
      <c r="G1325" s="102" t="n">
        <f aca="false">IFERROR(F1325/INDEX($G$5:$G$34,MATCH(LOOKUP(2,1/($A$39:A1325&lt;&gt;""),$A$39:A1325),$A$5:$A$34,0)),0)</f>
        <v>0</v>
      </c>
      <c r="H1325" s="103" t="str">
        <f aca="false">IF(G1325=0,"空闲",IF(G1325&lt;=0.6,"低负荷",IF(G1325&lt;=0.85,"正常",IF(G1325&lt;=1,"满负荷","超负荷"))))</f>
        <v>空闲</v>
      </c>
      <c r="I1325" s="104" t="s">
        <v>638</v>
      </c>
      <c r="J1325" s="104"/>
      <c r="K1325" s="104"/>
      <c r="L1325" s="105" t="s">
        <v>639</v>
      </c>
    </row>
    <row r="1326" customFormat="false" ht="48" hidden="false" customHeight="true" outlineLevel="0" collapsed="false">
      <c r="A1326" s="99"/>
      <c r="B1326" s="100" t="n">
        <v>46111</v>
      </c>
      <c r="C1326" s="100" t="n">
        <v>46117</v>
      </c>
      <c r="D1326" s="99" t="s">
        <v>638</v>
      </c>
      <c r="E1326" s="99" t="n">
        <v>0</v>
      </c>
      <c r="F1326" s="101" t="n">
        <v>0</v>
      </c>
      <c r="G1326" s="102" t="n">
        <f aca="false">IFERROR(F1326/INDEX($G$5:$G$34,MATCH(LOOKUP(2,1/($A$39:A1326&lt;&gt;""),$A$39:A1326),$A$5:$A$34,0)),0)</f>
        <v>0</v>
      </c>
      <c r="H1326" s="103" t="str">
        <f aca="false">IF(G1326=0,"空闲",IF(G1326&lt;=0.6,"低负荷",IF(G1326&lt;=0.85,"正常",IF(G1326&lt;=1,"满负荷","超负荷"))))</f>
        <v>空闲</v>
      </c>
      <c r="I1326" s="104" t="s">
        <v>638</v>
      </c>
      <c r="J1326" s="104"/>
      <c r="K1326" s="104"/>
      <c r="L1326" s="105" t="s">
        <v>639</v>
      </c>
    </row>
    <row r="1327" customFormat="false" ht="48" hidden="false" customHeight="true" outlineLevel="0" collapsed="false">
      <c r="A1327" s="99"/>
      <c r="B1327" s="100" t="n">
        <v>46118</v>
      </c>
      <c r="C1327" s="100" t="n">
        <v>46124</v>
      </c>
      <c r="D1327" s="99" t="s">
        <v>638</v>
      </c>
      <c r="E1327" s="99" t="n">
        <v>0</v>
      </c>
      <c r="F1327" s="101" t="n">
        <v>0</v>
      </c>
      <c r="G1327" s="102" t="n">
        <f aca="false">IFERROR(F1327/INDEX($G$5:$G$34,MATCH(LOOKUP(2,1/($A$39:A1327&lt;&gt;""),$A$39:A1327),$A$5:$A$34,0)),0)</f>
        <v>0</v>
      </c>
      <c r="H1327" s="103" t="str">
        <f aca="false">IF(G1327=0,"空闲",IF(G1327&lt;=0.6,"低负荷",IF(G1327&lt;=0.85,"正常",IF(G1327&lt;=1,"满负荷","超负荷"))))</f>
        <v>空闲</v>
      </c>
      <c r="I1327" s="104" t="s">
        <v>638</v>
      </c>
      <c r="J1327" s="104"/>
      <c r="K1327" s="104"/>
      <c r="L1327" s="105" t="s">
        <v>639</v>
      </c>
    </row>
    <row r="1328" customFormat="false" ht="48" hidden="false" customHeight="true" outlineLevel="0" collapsed="false">
      <c r="A1328" s="99"/>
      <c r="B1328" s="100" t="n">
        <v>46125</v>
      </c>
      <c r="C1328" s="100" t="n">
        <v>46131</v>
      </c>
      <c r="D1328" s="99" t="s">
        <v>638</v>
      </c>
      <c r="E1328" s="99" t="n">
        <v>0</v>
      </c>
      <c r="F1328" s="101" t="n">
        <v>0</v>
      </c>
      <c r="G1328" s="102" t="n">
        <f aca="false">IFERROR(F1328/INDEX($G$5:$G$34,MATCH(LOOKUP(2,1/($A$39:A1328&lt;&gt;""),$A$39:A1328),$A$5:$A$34,0)),0)</f>
        <v>0</v>
      </c>
      <c r="H1328" s="103" t="str">
        <f aca="false">IF(G1328=0,"空闲",IF(G1328&lt;=0.6,"低负荷",IF(G1328&lt;=0.85,"正常",IF(G1328&lt;=1,"满负荷","超负荷"))))</f>
        <v>空闲</v>
      </c>
      <c r="I1328" s="104" t="s">
        <v>638</v>
      </c>
      <c r="J1328" s="104"/>
      <c r="K1328" s="104"/>
      <c r="L1328" s="105" t="s">
        <v>639</v>
      </c>
    </row>
    <row r="1329" customFormat="false" ht="48" hidden="false" customHeight="true" outlineLevel="0" collapsed="false">
      <c r="A1329" s="99"/>
      <c r="B1329" s="100" t="n">
        <v>46132</v>
      </c>
      <c r="C1329" s="100" t="n">
        <v>46138</v>
      </c>
      <c r="D1329" s="99" t="s">
        <v>638</v>
      </c>
      <c r="E1329" s="99" t="n">
        <v>0</v>
      </c>
      <c r="F1329" s="101" t="n">
        <v>0</v>
      </c>
      <c r="G1329" s="102" t="n">
        <f aca="false">IFERROR(F1329/INDEX($G$5:$G$34,MATCH(LOOKUP(2,1/($A$39:A1329&lt;&gt;""),$A$39:A1329),$A$5:$A$34,0)),0)</f>
        <v>0</v>
      </c>
      <c r="H1329" s="103" t="str">
        <f aca="false">IF(G1329=0,"空闲",IF(G1329&lt;=0.6,"低负荷",IF(G1329&lt;=0.85,"正常",IF(G1329&lt;=1,"满负荷","超负荷"))))</f>
        <v>空闲</v>
      </c>
      <c r="I1329" s="104" t="s">
        <v>638</v>
      </c>
      <c r="J1329" s="104"/>
      <c r="K1329" s="104"/>
      <c r="L1329" s="105" t="s">
        <v>639</v>
      </c>
    </row>
    <row r="1330" customFormat="false" ht="48" hidden="false" customHeight="true" outlineLevel="0" collapsed="false">
      <c r="A1330" s="99"/>
      <c r="B1330" s="100" t="n">
        <v>46139</v>
      </c>
      <c r="C1330" s="100" t="n">
        <v>46145</v>
      </c>
      <c r="D1330" s="99" t="s">
        <v>638</v>
      </c>
      <c r="E1330" s="99" t="n">
        <v>0</v>
      </c>
      <c r="F1330" s="101" t="n">
        <v>0</v>
      </c>
      <c r="G1330" s="102" t="n">
        <f aca="false">IFERROR(F1330/INDEX($G$5:$G$34,MATCH(LOOKUP(2,1/($A$39:A1330&lt;&gt;""),$A$39:A1330),$A$5:$A$34,0)),0)</f>
        <v>0</v>
      </c>
      <c r="H1330" s="103" t="str">
        <f aca="false">IF(G1330=0,"空闲",IF(G1330&lt;=0.6,"低负荷",IF(G1330&lt;=0.85,"正常",IF(G1330&lt;=1,"满负荷","超负荷"))))</f>
        <v>空闲</v>
      </c>
      <c r="I1330" s="104" t="s">
        <v>638</v>
      </c>
      <c r="J1330" s="104"/>
      <c r="K1330" s="104"/>
      <c r="L1330" s="105" t="s">
        <v>639</v>
      </c>
    </row>
    <row r="1331" customFormat="false" ht="48" hidden="false" customHeight="true" outlineLevel="0" collapsed="false">
      <c r="A1331" s="99"/>
      <c r="B1331" s="100" t="n">
        <v>46146</v>
      </c>
      <c r="C1331" s="100" t="n">
        <v>46152</v>
      </c>
      <c r="D1331" s="99" t="s">
        <v>638</v>
      </c>
      <c r="E1331" s="99" t="n">
        <v>0</v>
      </c>
      <c r="F1331" s="101" t="n">
        <v>0</v>
      </c>
      <c r="G1331" s="102" t="n">
        <f aca="false">IFERROR(F1331/INDEX($G$5:$G$34,MATCH(LOOKUP(2,1/($A$39:A1331&lt;&gt;""),$A$39:A1331),$A$5:$A$34,0)),0)</f>
        <v>0</v>
      </c>
      <c r="H1331" s="103" t="str">
        <f aca="false">IF(G1331=0,"空闲",IF(G1331&lt;=0.6,"低负荷",IF(G1331&lt;=0.85,"正常",IF(G1331&lt;=1,"满负荷","超负荷"))))</f>
        <v>空闲</v>
      </c>
      <c r="I1331" s="104" t="s">
        <v>638</v>
      </c>
      <c r="J1331" s="104"/>
      <c r="K1331" s="104"/>
      <c r="L1331" s="105" t="s">
        <v>639</v>
      </c>
    </row>
    <row r="1332" customFormat="false" ht="48" hidden="false" customHeight="true" outlineLevel="0" collapsed="false">
      <c r="A1332" s="99"/>
      <c r="B1332" s="100" t="n">
        <v>46153</v>
      </c>
      <c r="C1332" s="100" t="n">
        <v>46159</v>
      </c>
      <c r="D1332" s="99" t="s">
        <v>638</v>
      </c>
      <c r="E1332" s="99" t="n">
        <v>0</v>
      </c>
      <c r="F1332" s="101" t="n">
        <v>0</v>
      </c>
      <c r="G1332" s="102" t="n">
        <f aca="false">IFERROR(F1332/INDEX($G$5:$G$34,MATCH(LOOKUP(2,1/($A$39:A1332&lt;&gt;""),$A$39:A1332),$A$5:$A$34,0)),0)</f>
        <v>0</v>
      </c>
      <c r="H1332" s="103" t="str">
        <f aca="false">IF(G1332=0,"空闲",IF(G1332&lt;=0.6,"低负荷",IF(G1332&lt;=0.85,"正常",IF(G1332&lt;=1,"满负荷","超负荷"))))</f>
        <v>空闲</v>
      </c>
      <c r="I1332" s="104" t="s">
        <v>638</v>
      </c>
      <c r="J1332" s="104"/>
      <c r="K1332" s="104"/>
      <c r="L1332" s="105" t="s">
        <v>639</v>
      </c>
    </row>
    <row r="1333" customFormat="false" ht="48" hidden="false" customHeight="true" outlineLevel="0" collapsed="false">
      <c r="A1333" s="99"/>
      <c r="B1333" s="100" t="n">
        <v>46160</v>
      </c>
      <c r="C1333" s="100" t="n">
        <v>46166</v>
      </c>
      <c r="D1333" s="99" t="s">
        <v>638</v>
      </c>
      <c r="E1333" s="99" t="n">
        <v>0</v>
      </c>
      <c r="F1333" s="101" t="n">
        <v>0</v>
      </c>
      <c r="G1333" s="102" t="n">
        <f aca="false">IFERROR(F1333/INDEX($G$5:$G$34,MATCH(LOOKUP(2,1/($A$39:A1333&lt;&gt;""),$A$39:A1333),$A$5:$A$34,0)),0)</f>
        <v>0</v>
      </c>
      <c r="H1333" s="103" t="str">
        <f aca="false">IF(G1333=0,"空闲",IF(G1333&lt;=0.6,"低负荷",IF(G1333&lt;=0.85,"正常",IF(G1333&lt;=1,"满负荷","超负荷"))))</f>
        <v>空闲</v>
      </c>
      <c r="I1333" s="104" t="s">
        <v>638</v>
      </c>
      <c r="J1333" s="104"/>
      <c r="K1333" s="104"/>
      <c r="L1333" s="105" t="s">
        <v>639</v>
      </c>
    </row>
    <row r="1334" customFormat="false" ht="48" hidden="false" customHeight="true" outlineLevel="0" collapsed="false">
      <c r="A1334" s="99"/>
      <c r="B1334" s="100" t="n">
        <v>46167</v>
      </c>
      <c r="C1334" s="100" t="n">
        <v>46173</v>
      </c>
      <c r="D1334" s="99" t="s">
        <v>638</v>
      </c>
      <c r="E1334" s="99" t="n">
        <v>0</v>
      </c>
      <c r="F1334" s="101" t="n">
        <v>0</v>
      </c>
      <c r="G1334" s="102" t="n">
        <f aca="false">IFERROR(F1334/INDEX($G$5:$G$34,MATCH(LOOKUP(2,1/($A$39:A1334&lt;&gt;""),$A$39:A1334),$A$5:$A$34,0)),0)</f>
        <v>0</v>
      </c>
      <c r="H1334" s="103" t="str">
        <f aca="false">IF(G1334=0,"空闲",IF(G1334&lt;=0.6,"低负荷",IF(G1334&lt;=0.85,"正常",IF(G1334&lt;=1,"满负荷","超负荷"))))</f>
        <v>空闲</v>
      </c>
      <c r="I1334" s="104" t="s">
        <v>638</v>
      </c>
      <c r="J1334" s="104"/>
      <c r="K1334" s="104"/>
      <c r="L1334" s="105" t="s">
        <v>639</v>
      </c>
    </row>
    <row r="1335" customFormat="false" ht="48" hidden="false" customHeight="true" outlineLevel="0" collapsed="false">
      <c r="A1335" s="99"/>
      <c r="B1335" s="100" t="n">
        <v>46174</v>
      </c>
      <c r="C1335" s="100" t="n">
        <v>46180</v>
      </c>
      <c r="D1335" s="99" t="s">
        <v>638</v>
      </c>
      <c r="E1335" s="99" t="n">
        <v>0</v>
      </c>
      <c r="F1335" s="101" t="n">
        <v>0</v>
      </c>
      <c r="G1335" s="102" t="n">
        <f aca="false">IFERROR(F1335/INDEX($G$5:$G$34,MATCH(LOOKUP(2,1/($A$39:A1335&lt;&gt;""),$A$39:A1335),$A$5:$A$34,0)),0)</f>
        <v>0</v>
      </c>
      <c r="H1335" s="103" t="str">
        <f aca="false">IF(G1335=0,"空闲",IF(G1335&lt;=0.6,"低负荷",IF(G1335&lt;=0.85,"正常",IF(G1335&lt;=1,"满负荷","超负荷"))))</f>
        <v>空闲</v>
      </c>
      <c r="I1335" s="104" t="s">
        <v>638</v>
      </c>
      <c r="J1335" s="104"/>
      <c r="K1335" s="104"/>
      <c r="L1335" s="105" t="s">
        <v>639</v>
      </c>
    </row>
    <row r="1336" customFormat="false" ht="48" hidden="false" customHeight="true" outlineLevel="0" collapsed="false">
      <c r="A1336" s="99"/>
      <c r="B1336" s="100" t="n">
        <v>46181</v>
      </c>
      <c r="C1336" s="100" t="n">
        <v>46187</v>
      </c>
      <c r="D1336" s="99" t="s">
        <v>638</v>
      </c>
      <c r="E1336" s="99" t="n">
        <v>0</v>
      </c>
      <c r="F1336" s="101" t="n">
        <v>0</v>
      </c>
      <c r="G1336" s="102" t="n">
        <f aca="false">IFERROR(F1336/INDEX($G$5:$G$34,MATCH(LOOKUP(2,1/($A$39:A1336&lt;&gt;""),$A$39:A1336),$A$5:$A$34,0)),0)</f>
        <v>0</v>
      </c>
      <c r="H1336" s="103" t="str">
        <f aca="false">IF(G1336=0,"空闲",IF(G1336&lt;=0.6,"低负荷",IF(G1336&lt;=0.85,"正常",IF(G1336&lt;=1,"满负荷","超负荷"))))</f>
        <v>空闲</v>
      </c>
      <c r="I1336" s="104" t="s">
        <v>638</v>
      </c>
      <c r="J1336" s="104"/>
      <c r="K1336" s="104"/>
      <c r="L1336" s="105" t="s">
        <v>639</v>
      </c>
    </row>
    <row r="1337" customFormat="false" ht="48" hidden="false" customHeight="true" outlineLevel="0" collapsed="false">
      <c r="A1337" s="99"/>
      <c r="B1337" s="100" t="n">
        <v>46188</v>
      </c>
      <c r="C1337" s="100" t="n">
        <v>46194</v>
      </c>
      <c r="D1337" s="99" t="s">
        <v>638</v>
      </c>
      <c r="E1337" s="99" t="n">
        <v>0</v>
      </c>
      <c r="F1337" s="101" t="n">
        <v>0</v>
      </c>
      <c r="G1337" s="102" t="n">
        <f aca="false">IFERROR(F1337/INDEX($G$5:$G$34,MATCH(LOOKUP(2,1/($A$39:A1337&lt;&gt;""),$A$39:A1337),$A$5:$A$34,0)),0)</f>
        <v>0</v>
      </c>
      <c r="H1337" s="103" t="str">
        <f aca="false">IF(G1337=0,"空闲",IF(G1337&lt;=0.6,"低负荷",IF(G1337&lt;=0.85,"正常",IF(G1337&lt;=1,"满负荷","超负荷"))))</f>
        <v>空闲</v>
      </c>
      <c r="I1337" s="104" t="s">
        <v>638</v>
      </c>
      <c r="J1337" s="104"/>
      <c r="K1337" s="104"/>
      <c r="L1337" s="105" t="s">
        <v>639</v>
      </c>
    </row>
    <row r="1338" customFormat="false" ht="48" hidden="false" customHeight="true" outlineLevel="0" collapsed="false">
      <c r="A1338" s="99"/>
      <c r="B1338" s="100" t="n">
        <v>46195</v>
      </c>
      <c r="C1338" s="100" t="n">
        <v>46201</v>
      </c>
      <c r="D1338" s="99" t="s">
        <v>638</v>
      </c>
      <c r="E1338" s="99" t="n">
        <v>0</v>
      </c>
      <c r="F1338" s="101" t="n">
        <v>0</v>
      </c>
      <c r="G1338" s="102" t="n">
        <f aca="false">IFERROR(F1338/INDEX($G$5:$G$34,MATCH(LOOKUP(2,1/($A$39:A1338&lt;&gt;""),$A$39:A1338),$A$5:$A$34,0)),0)</f>
        <v>0</v>
      </c>
      <c r="H1338" s="103" t="str">
        <f aca="false">IF(G1338=0,"空闲",IF(G1338&lt;=0.6,"低负荷",IF(G1338&lt;=0.85,"正常",IF(G1338&lt;=1,"满负荷","超负荷"))))</f>
        <v>空闲</v>
      </c>
      <c r="I1338" s="104" t="s">
        <v>638</v>
      </c>
      <c r="J1338" s="104"/>
      <c r="K1338" s="104"/>
      <c r="L1338" s="105" t="s">
        <v>639</v>
      </c>
    </row>
    <row r="1339" customFormat="false" ht="48" hidden="false" customHeight="true" outlineLevel="0" collapsed="false">
      <c r="A1339" s="99"/>
      <c r="B1339" s="100" t="n">
        <v>46202</v>
      </c>
      <c r="C1339" s="100" t="n">
        <v>46208</v>
      </c>
      <c r="D1339" s="99" t="s">
        <v>638</v>
      </c>
      <c r="E1339" s="99" t="n">
        <v>0</v>
      </c>
      <c r="F1339" s="101" t="n">
        <v>0</v>
      </c>
      <c r="G1339" s="102" t="n">
        <f aca="false">IFERROR(F1339/INDEX($G$5:$G$34,MATCH(LOOKUP(2,1/($A$39:A1339&lt;&gt;""),$A$39:A1339),$A$5:$A$34,0)),0)</f>
        <v>0</v>
      </c>
      <c r="H1339" s="103" t="str">
        <f aca="false">IF(G1339=0,"空闲",IF(G1339&lt;=0.6,"低负荷",IF(G1339&lt;=0.85,"正常",IF(G1339&lt;=1,"满负荷","超负荷"))))</f>
        <v>空闲</v>
      </c>
      <c r="I1339" s="104" t="s">
        <v>638</v>
      </c>
      <c r="J1339" s="104"/>
      <c r="K1339" s="104"/>
      <c r="L1339" s="105" t="s">
        <v>639</v>
      </c>
    </row>
    <row r="1340" customFormat="false" ht="48" hidden="false" customHeight="true" outlineLevel="0" collapsed="false">
      <c r="A1340" s="99"/>
      <c r="B1340" s="100" t="n">
        <v>46209</v>
      </c>
      <c r="C1340" s="100" t="n">
        <v>46215</v>
      </c>
      <c r="D1340" s="99" t="s">
        <v>638</v>
      </c>
      <c r="E1340" s="99" t="n">
        <v>0</v>
      </c>
      <c r="F1340" s="101" t="n">
        <v>0</v>
      </c>
      <c r="G1340" s="102" t="n">
        <f aca="false">IFERROR(F1340/INDEX($G$5:$G$34,MATCH(LOOKUP(2,1/($A$39:A1340&lt;&gt;""),$A$39:A1340),$A$5:$A$34,0)),0)</f>
        <v>0</v>
      </c>
      <c r="H1340" s="103" t="str">
        <f aca="false">IF(G1340=0,"空闲",IF(G1340&lt;=0.6,"低负荷",IF(G1340&lt;=0.85,"正常",IF(G1340&lt;=1,"满负荷","超负荷"))))</f>
        <v>空闲</v>
      </c>
      <c r="I1340" s="104" t="s">
        <v>638</v>
      </c>
      <c r="J1340" s="104"/>
      <c r="K1340" s="104"/>
      <c r="L1340" s="105" t="s">
        <v>639</v>
      </c>
    </row>
    <row r="1341" customFormat="false" ht="48" hidden="false" customHeight="true" outlineLevel="0" collapsed="false">
      <c r="A1341" s="99"/>
      <c r="B1341" s="100" t="n">
        <v>46216</v>
      </c>
      <c r="C1341" s="100" t="n">
        <v>46222</v>
      </c>
      <c r="D1341" s="99" t="s">
        <v>638</v>
      </c>
      <c r="E1341" s="99" t="n">
        <v>0</v>
      </c>
      <c r="F1341" s="101" t="n">
        <v>0</v>
      </c>
      <c r="G1341" s="102" t="n">
        <f aca="false">IFERROR(F1341/INDEX($G$5:$G$34,MATCH(LOOKUP(2,1/($A$39:A1341&lt;&gt;""),$A$39:A1341),$A$5:$A$34,0)),0)</f>
        <v>0</v>
      </c>
      <c r="H1341" s="103" t="str">
        <f aca="false">IF(G1341=0,"空闲",IF(G1341&lt;=0.6,"低负荷",IF(G1341&lt;=0.85,"正常",IF(G1341&lt;=1,"满负荷","超负荷"))))</f>
        <v>空闲</v>
      </c>
      <c r="I1341" s="104" t="s">
        <v>638</v>
      </c>
      <c r="J1341" s="104"/>
      <c r="K1341" s="104"/>
      <c r="L1341" s="105" t="s">
        <v>639</v>
      </c>
    </row>
    <row r="1342" customFormat="false" ht="48" hidden="false" customHeight="true" outlineLevel="0" collapsed="false">
      <c r="A1342" s="99"/>
      <c r="B1342" s="100" t="n">
        <v>46223</v>
      </c>
      <c r="C1342" s="100" t="n">
        <v>46229</v>
      </c>
      <c r="D1342" s="99" t="s">
        <v>638</v>
      </c>
      <c r="E1342" s="99" t="n">
        <v>0</v>
      </c>
      <c r="F1342" s="101" t="n">
        <v>0</v>
      </c>
      <c r="G1342" s="102" t="n">
        <f aca="false">IFERROR(F1342/INDEX($G$5:$G$34,MATCH(LOOKUP(2,1/($A$39:A1342&lt;&gt;""),$A$39:A1342),$A$5:$A$34,0)),0)</f>
        <v>0</v>
      </c>
      <c r="H1342" s="103" t="str">
        <f aca="false">IF(G1342=0,"空闲",IF(G1342&lt;=0.6,"低负荷",IF(G1342&lt;=0.85,"正常",IF(G1342&lt;=1,"满负荷","超负荷"))))</f>
        <v>空闲</v>
      </c>
      <c r="I1342" s="104" t="s">
        <v>638</v>
      </c>
      <c r="J1342" s="104"/>
      <c r="K1342" s="104"/>
      <c r="L1342" s="105" t="s">
        <v>639</v>
      </c>
    </row>
    <row r="1343" customFormat="false" ht="48" hidden="false" customHeight="true" outlineLevel="0" collapsed="false">
      <c r="A1343" s="99"/>
      <c r="B1343" s="100" t="n">
        <v>46230</v>
      </c>
      <c r="C1343" s="100" t="n">
        <v>46236</v>
      </c>
      <c r="D1343" s="99" t="s">
        <v>638</v>
      </c>
      <c r="E1343" s="99" t="n">
        <v>0</v>
      </c>
      <c r="F1343" s="101" t="n">
        <v>0</v>
      </c>
      <c r="G1343" s="102" t="n">
        <f aca="false">IFERROR(F1343/INDEX($G$5:$G$34,MATCH(LOOKUP(2,1/($A$39:A1343&lt;&gt;""),$A$39:A1343),$A$5:$A$34,0)),0)</f>
        <v>0</v>
      </c>
      <c r="H1343" s="103" t="str">
        <f aca="false">IF(G1343=0,"空闲",IF(G1343&lt;=0.6,"低负荷",IF(G1343&lt;=0.85,"正常",IF(G1343&lt;=1,"满负荷","超负荷"))))</f>
        <v>空闲</v>
      </c>
      <c r="I1343" s="104" t="s">
        <v>638</v>
      </c>
      <c r="J1343" s="104"/>
      <c r="K1343" s="104"/>
      <c r="L1343" s="105" t="s">
        <v>639</v>
      </c>
    </row>
    <row r="1344" customFormat="false" ht="48" hidden="false" customHeight="true" outlineLevel="0" collapsed="false">
      <c r="A1344" s="99"/>
      <c r="B1344" s="100" t="n">
        <v>46237</v>
      </c>
      <c r="C1344" s="100" t="n">
        <v>46243</v>
      </c>
      <c r="D1344" s="99" t="s">
        <v>638</v>
      </c>
      <c r="E1344" s="99" t="n">
        <v>0</v>
      </c>
      <c r="F1344" s="101" t="n">
        <v>0</v>
      </c>
      <c r="G1344" s="102" t="n">
        <f aca="false">IFERROR(F1344/INDEX($G$5:$G$34,MATCH(LOOKUP(2,1/($A$39:A1344&lt;&gt;""),$A$39:A1344),$A$5:$A$34,0)),0)</f>
        <v>0</v>
      </c>
      <c r="H1344" s="103" t="str">
        <f aca="false">IF(G1344=0,"空闲",IF(G1344&lt;=0.6,"低负荷",IF(G1344&lt;=0.85,"正常",IF(G1344&lt;=1,"满负荷","超负荷"))))</f>
        <v>空闲</v>
      </c>
      <c r="I1344" s="104" t="s">
        <v>638</v>
      </c>
      <c r="J1344" s="104"/>
      <c r="K1344" s="104"/>
      <c r="L1344" s="105" t="s">
        <v>639</v>
      </c>
    </row>
    <row r="1345" customFormat="false" ht="48" hidden="false" customHeight="true" outlineLevel="0" collapsed="false">
      <c r="A1345" s="99"/>
      <c r="B1345" s="100" t="n">
        <v>46244</v>
      </c>
      <c r="C1345" s="100" t="n">
        <v>46250</v>
      </c>
      <c r="D1345" s="99" t="s">
        <v>638</v>
      </c>
      <c r="E1345" s="99" t="n">
        <v>0</v>
      </c>
      <c r="F1345" s="101" t="n">
        <v>0</v>
      </c>
      <c r="G1345" s="102" t="n">
        <f aca="false">IFERROR(F1345/INDEX($G$5:$G$34,MATCH(LOOKUP(2,1/($A$39:A1345&lt;&gt;""),$A$39:A1345),$A$5:$A$34,0)),0)</f>
        <v>0</v>
      </c>
      <c r="H1345" s="103" t="str">
        <f aca="false">IF(G1345=0,"空闲",IF(G1345&lt;=0.6,"低负荷",IF(G1345&lt;=0.85,"正常",IF(G1345&lt;=1,"满负荷","超负荷"))))</f>
        <v>空闲</v>
      </c>
      <c r="I1345" s="104" t="s">
        <v>638</v>
      </c>
      <c r="J1345" s="104"/>
      <c r="K1345" s="104"/>
      <c r="L1345" s="105" t="s">
        <v>639</v>
      </c>
    </row>
    <row r="1346" customFormat="false" ht="48" hidden="false" customHeight="true" outlineLevel="0" collapsed="false">
      <c r="A1346" s="99"/>
      <c r="B1346" s="100" t="n">
        <v>46251</v>
      </c>
      <c r="C1346" s="100" t="n">
        <v>46257</v>
      </c>
      <c r="D1346" s="99" t="s">
        <v>638</v>
      </c>
      <c r="E1346" s="99" t="n">
        <v>0</v>
      </c>
      <c r="F1346" s="101" t="n">
        <v>0</v>
      </c>
      <c r="G1346" s="102" t="n">
        <f aca="false">IFERROR(F1346/INDEX($G$5:$G$34,MATCH(LOOKUP(2,1/($A$39:A1346&lt;&gt;""),$A$39:A1346),$A$5:$A$34,0)),0)</f>
        <v>0</v>
      </c>
      <c r="H1346" s="103" t="str">
        <f aca="false">IF(G1346=0,"空闲",IF(G1346&lt;=0.6,"低负荷",IF(G1346&lt;=0.85,"正常",IF(G1346&lt;=1,"满负荷","超负荷"))))</f>
        <v>空闲</v>
      </c>
      <c r="I1346" s="104" t="s">
        <v>638</v>
      </c>
      <c r="J1346" s="104"/>
      <c r="K1346" s="104"/>
      <c r="L1346" s="105" t="s">
        <v>639</v>
      </c>
    </row>
    <row r="1347" customFormat="false" ht="48" hidden="false" customHeight="true" outlineLevel="0" collapsed="false">
      <c r="A1347" s="99"/>
      <c r="B1347" s="100" t="n">
        <v>46258</v>
      </c>
      <c r="C1347" s="100" t="n">
        <v>46264</v>
      </c>
      <c r="D1347" s="99" t="s">
        <v>638</v>
      </c>
      <c r="E1347" s="99" t="n">
        <v>0</v>
      </c>
      <c r="F1347" s="101" t="n">
        <v>0</v>
      </c>
      <c r="G1347" s="102" t="n">
        <f aca="false">IFERROR(F1347/INDEX($G$5:$G$34,MATCH(LOOKUP(2,1/($A$39:A1347&lt;&gt;""),$A$39:A1347),$A$5:$A$34,0)),0)</f>
        <v>0</v>
      </c>
      <c r="H1347" s="103" t="str">
        <f aca="false">IF(G1347=0,"空闲",IF(G1347&lt;=0.6,"低负荷",IF(G1347&lt;=0.85,"正常",IF(G1347&lt;=1,"满负荷","超负荷"))))</f>
        <v>空闲</v>
      </c>
      <c r="I1347" s="104" t="s">
        <v>638</v>
      </c>
      <c r="J1347" s="104"/>
      <c r="K1347" s="104"/>
      <c r="L1347" s="105" t="s">
        <v>639</v>
      </c>
    </row>
    <row r="1348" customFormat="false" ht="48" hidden="false" customHeight="true" outlineLevel="0" collapsed="false">
      <c r="A1348" s="99"/>
      <c r="B1348" s="100" t="n">
        <v>46265</v>
      </c>
      <c r="C1348" s="100" t="n">
        <v>46271</v>
      </c>
      <c r="D1348" s="99" t="s">
        <v>638</v>
      </c>
      <c r="E1348" s="99" t="n">
        <v>0</v>
      </c>
      <c r="F1348" s="101" t="n">
        <v>0</v>
      </c>
      <c r="G1348" s="102" t="n">
        <f aca="false">IFERROR(F1348/INDEX($G$5:$G$34,MATCH(LOOKUP(2,1/($A$39:A1348&lt;&gt;""),$A$39:A1348),$A$5:$A$34,0)),0)</f>
        <v>0</v>
      </c>
      <c r="H1348" s="103" t="str">
        <f aca="false">IF(G1348=0,"空闲",IF(G1348&lt;=0.6,"低负荷",IF(G1348&lt;=0.85,"正常",IF(G1348&lt;=1,"满负荷","超负荷"))))</f>
        <v>空闲</v>
      </c>
      <c r="I1348" s="104" t="s">
        <v>638</v>
      </c>
      <c r="J1348" s="104"/>
      <c r="K1348" s="104"/>
      <c r="L1348" s="105" t="s">
        <v>639</v>
      </c>
    </row>
    <row r="1349" customFormat="false" ht="48" hidden="false" customHeight="true" outlineLevel="0" collapsed="false">
      <c r="A1349" s="99"/>
      <c r="B1349" s="100" t="n">
        <v>46272</v>
      </c>
      <c r="C1349" s="100" t="n">
        <v>46278</v>
      </c>
      <c r="D1349" s="99" t="s">
        <v>638</v>
      </c>
      <c r="E1349" s="99" t="n">
        <v>0</v>
      </c>
      <c r="F1349" s="101" t="n">
        <v>0</v>
      </c>
      <c r="G1349" s="102" t="n">
        <f aca="false">IFERROR(F1349/INDEX($G$5:$G$34,MATCH(LOOKUP(2,1/($A$39:A1349&lt;&gt;""),$A$39:A1349),$A$5:$A$34,0)),0)</f>
        <v>0</v>
      </c>
      <c r="H1349" s="103" t="str">
        <f aca="false">IF(G1349=0,"空闲",IF(G1349&lt;=0.6,"低负荷",IF(G1349&lt;=0.85,"正常",IF(G1349&lt;=1,"满负荷","超负荷"))))</f>
        <v>空闲</v>
      </c>
      <c r="I1349" s="104" t="s">
        <v>638</v>
      </c>
      <c r="J1349" s="104"/>
      <c r="K1349" s="104"/>
      <c r="L1349" s="105" t="s">
        <v>639</v>
      </c>
    </row>
    <row r="1350" customFormat="false" ht="48" hidden="false" customHeight="true" outlineLevel="0" collapsed="false">
      <c r="A1350" s="99"/>
      <c r="B1350" s="100" t="n">
        <v>46279</v>
      </c>
      <c r="C1350" s="100" t="n">
        <v>46285</v>
      </c>
      <c r="D1350" s="99" t="s">
        <v>638</v>
      </c>
      <c r="E1350" s="99" t="n">
        <v>0</v>
      </c>
      <c r="F1350" s="101" t="n">
        <v>0</v>
      </c>
      <c r="G1350" s="102" t="n">
        <f aca="false">IFERROR(F1350/INDEX($G$5:$G$34,MATCH(LOOKUP(2,1/($A$39:A1350&lt;&gt;""),$A$39:A1350),$A$5:$A$34,0)),0)</f>
        <v>0</v>
      </c>
      <c r="H1350" s="103" t="str">
        <f aca="false">IF(G1350=0,"空闲",IF(G1350&lt;=0.6,"低负荷",IF(G1350&lt;=0.85,"正常",IF(G1350&lt;=1,"满负荷","超负荷"))))</f>
        <v>空闲</v>
      </c>
      <c r="I1350" s="104" t="s">
        <v>638</v>
      </c>
      <c r="J1350" s="104"/>
      <c r="K1350" s="104"/>
      <c r="L1350" s="105" t="s">
        <v>639</v>
      </c>
    </row>
    <row r="1351" customFormat="false" ht="48" hidden="false" customHeight="true" outlineLevel="0" collapsed="false">
      <c r="A1351" s="99"/>
      <c r="B1351" s="100" t="n">
        <v>46286</v>
      </c>
      <c r="C1351" s="100" t="n">
        <v>46292</v>
      </c>
      <c r="D1351" s="99" t="s">
        <v>638</v>
      </c>
      <c r="E1351" s="99" t="n">
        <v>0</v>
      </c>
      <c r="F1351" s="101" t="n">
        <v>0</v>
      </c>
      <c r="G1351" s="102" t="n">
        <f aca="false">IFERROR(F1351/INDEX($G$5:$G$34,MATCH(LOOKUP(2,1/($A$39:A1351&lt;&gt;""),$A$39:A1351),$A$5:$A$34,0)),0)</f>
        <v>0</v>
      </c>
      <c r="H1351" s="103" t="str">
        <f aca="false">IF(G1351=0,"空闲",IF(G1351&lt;=0.6,"低负荷",IF(G1351&lt;=0.85,"正常",IF(G1351&lt;=1,"满负荷","超负荷"))))</f>
        <v>空闲</v>
      </c>
      <c r="I1351" s="104" t="s">
        <v>638</v>
      </c>
      <c r="J1351" s="104"/>
      <c r="K1351" s="104"/>
      <c r="L1351" s="105" t="s">
        <v>639</v>
      </c>
    </row>
    <row r="1352" customFormat="false" ht="48" hidden="false" customHeight="true" outlineLevel="0" collapsed="false">
      <c r="A1352" s="99"/>
      <c r="B1352" s="100" t="n">
        <v>46293</v>
      </c>
      <c r="C1352" s="100" t="n">
        <v>46299</v>
      </c>
      <c r="D1352" s="99" t="s">
        <v>638</v>
      </c>
      <c r="E1352" s="99" t="n">
        <v>0</v>
      </c>
      <c r="F1352" s="101" t="n">
        <v>0</v>
      </c>
      <c r="G1352" s="102" t="n">
        <f aca="false">IFERROR(F1352/INDEX($G$5:$G$34,MATCH(LOOKUP(2,1/($A$39:A1352&lt;&gt;""),$A$39:A1352),$A$5:$A$34,0)),0)</f>
        <v>0</v>
      </c>
      <c r="H1352" s="103" t="str">
        <f aca="false">IF(G1352=0,"空闲",IF(G1352&lt;=0.6,"低负荷",IF(G1352&lt;=0.85,"正常",IF(G1352&lt;=1,"满负荷","超负荷"))))</f>
        <v>空闲</v>
      </c>
      <c r="I1352" s="104" t="s">
        <v>638</v>
      </c>
      <c r="J1352" s="104"/>
      <c r="K1352" s="104"/>
      <c r="L1352" s="105" t="s">
        <v>639</v>
      </c>
    </row>
    <row r="1353" customFormat="false" ht="48" hidden="false" customHeight="true" outlineLevel="0" collapsed="false">
      <c r="A1353" s="99"/>
      <c r="B1353" s="100" t="n">
        <v>46300</v>
      </c>
      <c r="C1353" s="100" t="n">
        <v>46306</v>
      </c>
      <c r="D1353" s="99" t="s">
        <v>638</v>
      </c>
      <c r="E1353" s="99" t="n">
        <v>0</v>
      </c>
      <c r="F1353" s="101" t="n">
        <v>0</v>
      </c>
      <c r="G1353" s="102" t="n">
        <f aca="false">IFERROR(F1353/INDEX($G$5:$G$34,MATCH(LOOKUP(2,1/($A$39:A1353&lt;&gt;""),$A$39:A1353),$A$5:$A$34,0)),0)</f>
        <v>0</v>
      </c>
      <c r="H1353" s="103" t="str">
        <f aca="false">IF(G1353=0,"空闲",IF(G1353&lt;=0.6,"低负荷",IF(G1353&lt;=0.85,"正常",IF(G1353&lt;=1,"满负荷","超负荷"))))</f>
        <v>空闲</v>
      </c>
      <c r="I1353" s="104" t="s">
        <v>638</v>
      </c>
      <c r="J1353" s="104"/>
      <c r="K1353" s="104"/>
      <c r="L1353" s="105" t="s">
        <v>639</v>
      </c>
    </row>
    <row r="1354" customFormat="false" ht="48" hidden="false" customHeight="true" outlineLevel="0" collapsed="false">
      <c r="A1354" s="99"/>
      <c r="B1354" s="100" t="n">
        <v>46307</v>
      </c>
      <c r="C1354" s="100" t="n">
        <v>46313</v>
      </c>
      <c r="D1354" s="99" t="s">
        <v>638</v>
      </c>
      <c r="E1354" s="99" t="n">
        <v>0</v>
      </c>
      <c r="F1354" s="101" t="n">
        <v>0</v>
      </c>
      <c r="G1354" s="102" t="n">
        <f aca="false">IFERROR(F1354/INDEX($G$5:$G$34,MATCH(LOOKUP(2,1/($A$39:A1354&lt;&gt;""),$A$39:A1354),$A$5:$A$34,0)),0)</f>
        <v>0</v>
      </c>
      <c r="H1354" s="103" t="str">
        <f aca="false">IF(G1354=0,"空闲",IF(G1354&lt;=0.6,"低负荷",IF(G1354&lt;=0.85,"正常",IF(G1354&lt;=1,"满负荷","超负荷"))))</f>
        <v>空闲</v>
      </c>
      <c r="I1354" s="104" t="s">
        <v>638</v>
      </c>
      <c r="J1354" s="104"/>
      <c r="K1354" s="104"/>
      <c r="L1354" s="105" t="s">
        <v>639</v>
      </c>
    </row>
    <row r="1355" customFormat="false" ht="48" hidden="false" customHeight="true" outlineLevel="0" collapsed="false">
      <c r="A1355" s="99"/>
      <c r="B1355" s="100" t="n">
        <v>46314</v>
      </c>
      <c r="C1355" s="100" t="n">
        <v>46320</v>
      </c>
      <c r="D1355" s="99" t="s">
        <v>638</v>
      </c>
      <c r="E1355" s="99" t="n">
        <v>0</v>
      </c>
      <c r="F1355" s="101" t="n">
        <v>0</v>
      </c>
      <c r="G1355" s="102" t="n">
        <f aca="false">IFERROR(F1355/INDEX($G$5:$G$34,MATCH(LOOKUP(2,1/($A$39:A1355&lt;&gt;""),$A$39:A1355),$A$5:$A$34,0)),0)</f>
        <v>0</v>
      </c>
      <c r="H1355" s="103" t="str">
        <f aca="false">IF(G1355=0,"空闲",IF(G1355&lt;=0.6,"低负荷",IF(G1355&lt;=0.85,"正常",IF(G1355&lt;=1,"满负荷","超负荷"))))</f>
        <v>空闲</v>
      </c>
      <c r="I1355" s="104" t="s">
        <v>638</v>
      </c>
      <c r="J1355" s="104"/>
      <c r="K1355" s="104"/>
      <c r="L1355" s="105" t="s">
        <v>639</v>
      </c>
    </row>
    <row r="1356" customFormat="false" ht="48" hidden="false" customHeight="true" outlineLevel="0" collapsed="false">
      <c r="A1356" s="99"/>
      <c r="B1356" s="100" t="n">
        <v>46321</v>
      </c>
      <c r="C1356" s="100" t="n">
        <v>46327</v>
      </c>
      <c r="D1356" s="99" t="s">
        <v>638</v>
      </c>
      <c r="E1356" s="99" t="n">
        <v>0</v>
      </c>
      <c r="F1356" s="101" t="n">
        <v>0</v>
      </c>
      <c r="G1356" s="102" t="n">
        <f aca="false">IFERROR(F1356/INDEX($G$5:$G$34,MATCH(LOOKUP(2,1/($A$39:A1356&lt;&gt;""),$A$39:A1356),$A$5:$A$34,0)),0)</f>
        <v>0</v>
      </c>
      <c r="H1356" s="103" t="str">
        <f aca="false">IF(G1356=0,"空闲",IF(G1356&lt;=0.6,"低负荷",IF(G1356&lt;=0.85,"正常",IF(G1356&lt;=1,"满负荷","超负荷"))))</f>
        <v>空闲</v>
      </c>
      <c r="I1356" s="104" t="s">
        <v>638</v>
      </c>
      <c r="J1356" s="104"/>
      <c r="K1356" s="104"/>
      <c r="L1356" s="105" t="s">
        <v>639</v>
      </c>
    </row>
    <row r="1357" customFormat="false" ht="48" hidden="false" customHeight="true" outlineLevel="0" collapsed="false">
      <c r="A1357" s="99"/>
      <c r="B1357" s="100" t="n">
        <v>46328</v>
      </c>
      <c r="C1357" s="100" t="n">
        <v>46334</v>
      </c>
      <c r="D1357" s="99" t="s">
        <v>638</v>
      </c>
      <c r="E1357" s="99" t="n">
        <v>0</v>
      </c>
      <c r="F1357" s="101" t="n">
        <v>0</v>
      </c>
      <c r="G1357" s="102" t="n">
        <f aca="false">IFERROR(F1357/INDEX($G$5:$G$34,MATCH(LOOKUP(2,1/($A$39:A1357&lt;&gt;""),$A$39:A1357),$A$5:$A$34,0)),0)</f>
        <v>0</v>
      </c>
      <c r="H1357" s="103" t="str">
        <f aca="false">IF(G1357=0,"空闲",IF(G1357&lt;=0.6,"低负荷",IF(G1357&lt;=0.85,"正常",IF(G1357&lt;=1,"满负荷","超负荷"))))</f>
        <v>空闲</v>
      </c>
      <c r="I1357" s="104" t="s">
        <v>638</v>
      </c>
      <c r="J1357" s="104"/>
      <c r="K1357" s="104"/>
      <c r="L1357" s="105" t="s">
        <v>639</v>
      </c>
    </row>
    <row r="1358" customFormat="false" ht="48" hidden="false" customHeight="true" outlineLevel="0" collapsed="false">
      <c r="A1358" s="99"/>
      <c r="B1358" s="100" t="n">
        <v>46335</v>
      </c>
      <c r="C1358" s="100" t="n">
        <v>46341</v>
      </c>
      <c r="D1358" s="99" t="s">
        <v>638</v>
      </c>
      <c r="E1358" s="99" t="n">
        <v>0</v>
      </c>
      <c r="F1358" s="101" t="n">
        <v>0</v>
      </c>
      <c r="G1358" s="102" t="n">
        <f aca="false">IFERROR(F1358/INDEX($G$5:$G$34,MATCH(LOOKUP(2,1/($A$39:A1358&lt;&gt;""),$A$39:A1358),$A$5:$A$34,0)),0)</f>
        <v>0</v>
      </c>
      <c r="H1358" s="103" t="str">
        <f aca="false">IF(G1358=0,"空闲",IF(G1358&lt;=0.6,"低负荷",IF(G1358&lt;=0.85,"正常",IF(G1358&lt;=1,"满负荷","超负荷"))))</f>
        <v>空闲</v>
      </c>
      <c r="I1358" s="104" t="s">
        <v>638</v>
      </c>
      <c r="J1358" s="104"/>
      <c r="K1358" s="104"/>
      <c r="L1358" s="105" t="s">
        <v>639</v>
      </c>
    </row>
    <row r="1359" customFormat="false" ht="48" hidden="false" customHeight="true" outlineLevel="0" collapsed="false">
      <c r="A1359" s="99"/>
      <c r="B1359" s="100" t="n">
        <v>46342</v>
      </c>
      <c r="C1359" s="100" t="n">
        <v>46348</v>
      </c>
      <c r="D1359" s="99" t="s">
        <v>638</v>
      </c>
      <c r="E1359" s="99" t="n">
        <v>0</v>
      </c>
      <c r="F1359" s="101" t="n">
        <v>0</v>
      </c>
      <c r="G1359" s="102" t="n">
        <f aca="false">IFERROR(F1359/INDEX($G$5:$G$34,MATCH(LOOKUP(2,1/($A$39:A1359&lt;&gt;""),$A$39:A1359),$A$5:$A$34,0)),0)</f>
        <v>0</v>
      </c>
      <c r="H1359" s="103" t="str">
        <f aca="false">IF(G1359=0,"空闲",IF(G1359&lt;=0.6,"低负荷",IF(G1359&lt;=0.85,"正常",IF(G1359&lt;=1,"满负荷","超负荷"))))</f>
        <v>空闲</v>
      </c>
      <c r="I1359" s="104" t="s">
        <v>638</v>
      </c>
      <c r="J1359" s="104"/>
      <c r="K1359" s="104"/>
      <c r="L1359" s="105" t="s">
        <v>639</v>
      </c>
    </row>
    <row r="1360" customFormat="false" ht="48" hidden="false" customHeight="true" outlineLevel="0" collapsed="false">
      <c r="A1360" s="99"/>
      <c r="B1360" s="100" t="n">
        <v>46349</v>
      </c>
      <c r="C1360" s="100" t="n">
        <v>46355</v>
      </c>
      <c r="D1360" s="99" t="s">
        <v>640</v>
      </c>
      <c r="E1360" s="99" t="n">
        <v>1</v>
      </c>
      <c r="F1360" s="101" t="n">
        <v>40</v>
      </c>
      <c r="G1360" s="102" t="n">
        <f aca="false">IFERROR(F1360/INDEX($G$5:$G$34,MATCH(LOOKUP(2,1/($A$39:A1360&lt;&gt;""),$A$39:A1360),$A$5:$A$34,0)),0)</f>
        <v>1</v>
      </c>
      <c r="H1360" s="103" t="str">
        <f aca="false">IF(G1360=0,"空闲",IF(G1360&lt;=0.6,"低负荷",IF(G1360&lt;=0.85,"正常",IF(G1360&lt;=1,"满负荷","超负荷"))))</f>
        <v>满负荷</v>
      </c>
      <c r="I1360" s="106" t="s">
        <v>712</v>
      </c>
      <c r="J1360" s="106"/>
      <c r="K1360" s="106"/>
      <c r="L1360" s="105" t="s">
        <v>642</v>
      </c>
    </row>
    <row r="1361" customFormat="false" ht="48" hidden="false" customHeight="true" outlineLevel="0" collapsed="false">
      <c r="A1361" s="99"/>
      <c r="B1361" s="100" t="n">
        <v>46356</v>
      </c>
      <c r="C1361" s="100" t="n">
        <v>46362</v>
      </c>
      <c r="D1361" s="99" t="s">
        <v>640</v>
      </c>
      <c r="E1361" s="99" t="n">
        <v>1</v>
      </c>
      <c r="F1361" s="101" t="n">
        <v>40</v>
      </c>
      <c r="G1361" s="102" t="n">
        <f aca="false">IFERROR(F1361/INDEX($G$5:$G$34,MATCH(LOOKUP(2,1/($A$39:A1361&lt;&gt;""),$A$39:A1361),$A$5:$A$34,0)),0)</f>
        <v>1</v>
      </c>
      <c r="H1361" s="103" t="str">
        <f aca="false">IF(G1361=0,"空闲",IF(G1361&lt;=0.6,"低负荷",IF(G1361&lt;=0.85,"正常",IF(G1361&lt;=1,"满负荷","超负荷"))))</f>
        <v>满负荷</v>
      </c>
      <c r="I1361" s="106" t="s">
        <v>712</v>
      </c>
      <c r="J1361" s="106"/>
      <c r="K1361" s="106"/>
      <c r="L1361" s="105" t="s">
        <v>642</v>
      </c>
    </row>
    <row r="1362" customFormat="false" ht="48" hidden="false" customHeight="true" outlineLevel="0" collapsed="false">
      <c r="A1362" s="99"/>
      <c r="B1362" s="100" t="n">
        <v>46363</v>
      </c>
      <c r="C1362" s="100" t="n">
        <v>46369</v>
      </c>
      <c r="D1362" s="99" t="s">
        <v>640</v>
      </c>
      <c r="E1362" s="99" t="n">
        <v>5</v>
      </c>
      <c r="F1362" s="101" t="n">
        <v>40</v>
      </c>
      <c r="G1362" s="102" t="n">
        <f aca="false">IFERROR(F1362/INDEX($G$5:$G$34,MATCH(LOOKUP(2,1/($A$39:A1362&lt;&gt;""),$A$39:A1362),$A$5:$A$34,0)),0)</f>
        <v>1</v>
      </c>
      <c r="H1362" s="103" t="str">
        <f aca="false">IF(G1362=0,"空闲",IF(G1362&lt;=0.6,"低负荷",IF(G1362&lt;=0.85,"正常",IF(G1362&lt;=1,"满负荷","超负荷"))))</f>
        <v>满负荷</v>
      </c>
      <c r="I1362" s="106" t="s">
        <v>748</v>
      </c>
      <c r="J1362" s="106"/>
      <c r="K1362" s="106"/>
      <c r="L1362" s="105" t="s">
        <v>717</v>
      </c>
    </row>
    <row r="1363" customFormat="false" ht="48" hidden="false" customHeight="true" outlineLevel="0" collapsed="false">
      <c r="A1363" s="99"/>
      <c r="B1363" s="100" t="n">
        <v>46370</v>
      </c>
      <c r="C1363" s="100" t="n">
        <v>46376</v>
      </c>
      <c r="D1363" s="99" t="s">
        <v>640</v>
      </c>
      <c r="E1363" s="99" t="n">
        <v>5</v>
      </c>
      <c r="F1363" s="101" t="n">
        <v>40</v>
      </c>
      <c r="G1363" s="102" t="n">
        <f aca="false">IFERROR(F1363/INDEX($G$5:$G$34,MATCH(LOOKUP(2,1/($A$39:A1363&lt;&gt;""),$A$39:A1363),$A$5:$A$34,0)),0)</f>
        <v>1</v>
      </c>
      <c r="H1363" s="103" t="str">
        <f aca="false">IF(G1363=0,"空闲",IF(G1363&lt;=0.6,"低负荷",IF(G1363&lt;=0.85,"正常",IF(G1363&lt;=1,"满负荷","超负荷"))))</f>
        <v>满负荷</v>
      </c>
      <c r="I1363" s="106" t="s">
        <v>748</v>
      </c>
      <c r="J1363" s="106"/>
      <c r="K1363" s="106"/>
      <c r="L1363" s="105" t="s">
        <v>717</v>
      </c>
    </row>
    <row r="1364" customFormat="false" ht="48" hidden="false" customHeight="true" outlineLevel="0" collapsed="false">
      <c r="A1364" s="99"/>
      <c r="B1364" s="100" t="n">
        <v>46377</v>
      </c>
      <c r="C1364" s="100" t="n">
        <v>46383</v>
      </c>
      <c r="D1364" s="99" t="s">
        <v>640</v>
      </c>
      <c r="E1364" s="99" t="n">
        <v>5</v>
      </c>
      <c r="F1364" s="101" t="n">
        <v>40</v>
      </c>
      <c r="G1364" s="102" t="n">
        <f aca="false">IFERROR(F1364/INDEX($G$5:$G$34,MATCH(LOOKUP(2,1/($A$39:A1364&lt;&gt;""),$A$39:A1364),$A$5:$A$34,0)),0)</f>
        <v>1</v>
      </c>
      <c r="H1364" s="103" t="str">
        <f aca="false">IF(G1364=0,"空闲",IF(G1364&lt;=0.6,"低负荷",IF(G1364&lt;=0.85,"正常",IF(G1364&lt;=1,"满负荷","超负荷"))))</f>
        <v>满负荷</v>
      </c>
      <c r="I1364" s="106" t="s">
        <v>748</v>
      </c>
      <c r="J1364" s="106"/>
      <c r="K1364" s="106"/>
      <c r="L1364" s="105" t="s">
        <v>717</v>
      </c>
    </row>
    <row r="1365" customFormat="false" ht="48" hidden="false" customHeight="true" outlineLevel="0" collapsed="false">
      <c r="A1365" s="99"/>
      <c r="B1365" s="100" t="n">
        <v>46384</v>
      </c>
      <c r="C1365" s="100" t="n">
        <v>46390</v>
      </c>
      <c r="D1365" s="99" t="s">
        <v>640</v>
      </c>
      <c r="E1365" s="99" t="n">
        <v>5</v>
      </c>
      <c r="F1365" s="101" t="n">
        <v>40</v>
      </c>
      <c r="G1365" s="102" t="n">
        <f aca="false">IFERROR(F1365/INDEX($G$5:$G$34,MATCH(LOOKUP(2,1/($A$39:A1365&lt;&gt;""),$A$39:A1365),$A$5:$A$34,0)),0)</f>
        <v>1</v>
      </c>
      <c r="H1365" s="103" t="str">
        <f aca="false">IF(G1365=0,"空闲",IF(G1365&lt;=0.6,"低负荷",IF(G1365&lt;=0.85,"正常",IF(G1365&lt;=1,"满负荷","超负荷"))))</f>
        <v>满负荷</v>
      </c>
      <c r="I1365" s="106" t="s">
        <v>748</v>
      </c>
      <c r="J1365" s="106"/>
      <c r="K1365" s="106"/>
      <c r="L1365" s="105" t="s">
        <v>717</v>
      </c>
    </row>
    <row r="1366" customFormat="false" ht="48" hidden="false" customHeight="true" outlineLevel="0" collapsed="false">
      <c r="A1366" s="99"/>
      <c r="B1366" s="100" t="n">
        <v>46391</v>
      </c>
      <c r="C1366" s="100" t="n">
        <v>46397</v>
      </c>
      <c r="D1366" s="99" t="s">
        <v>640</v>
      </c>
      <c r="E1366" s="99" t="n">
        <v>5</v>
      </c>
      <c r="F1366" s="101" t="n">
        <v>40</v>
      </c>
      <c r="G1366" s="102" t="n">
        <f aca="false">IFERROR(F1366/INDEX($G$5:$G$34,MATCH(LOOKUP(2,1/($A$39:A1366&lt;&gt;""),$A$39:A1366),$A$5:$A$34,0)),0)</f>
        <v>1</v>
      </c>
      <c r="H1366" s="103" t="str">
        <f aca="false">IF(G1366=0,"空闲",IF(G1366&lt;=0.6,"低负荷",IF(G1366&lt;=0.85,"正常",IF(G1366&lt;=1,"满负荷","超负荷"))))</f>
        <v>满负荷</v>
      </c>
      <c r="I1366" s="106" t="s">
        <v>748</v>
      </c>
      <c r="J1366" s="106"/>
      <c r="K1366" s="106"/>
      <c r="L1366" s="105" t="s">
        <v>717</v>
      </c>
    </row>
    <row r="1367" customFormat="false" ht="48" hidden="false" customHeight="true" outlineLevel="0" collapsed="false">
      <c r="A1367" s="99"/>
      <c r="B1367" s="100" t="n">
        <v>46398</v>
      </c>
      <c r="C1367" s="100" t="n">
        <v>46404</v>
      </c>
      <c r="D1367" s="99" t="s">
        <v>640</v>
      </c>
      <c r="E1367" s="99" t="n">
        <v>5</v>
      </c>
      <c r="F1367" s="101" t="n">
        <v>40</v>
      </c>
      <c r="G1367" s="102" t="n">
        <f aca="false">IFERROR(F1367/INDEX($G$5:$G$34,MATCH(LOOKUP(2,1/($A$39:A1367&lt;&gt;""),$A$39:A1367),$A$5:$A$34,0)),0)</f>
        <v>1</v>
      </c>
      <c r="H1367" s="103" t="str">
        <f aca="false">IF(G1367=0,"空闲",IF(G1367&lt;=0.6,"低负荷",IF(G1367&lt;=0.85,"正常",IF(G1367&lt;=1,"满负荷","超负荷"))))</f>
        <v>满负荷</v>
      </c>
      <c r="I1367" s="106" t="s">
        <v>748</v>
      </c>
      <c r="J1367" s="106"/>
      <c r="K1367" s="106"/>
      <c r="L1367" s="105" t="s">
        <v>717</v>
      </c>
    </row>
    <row r="1368" customFormat="false" ht="48" hidden="false" customHeight="true" outlineLevel="0" collapsed="false">
      <c r="A1368" s="99"/>
      <c r="B1368" s="100" t="n">
        <v>46405</v>
      </c>
      <c r="C1368" s="100" t="n">
        <v>46411</v>
      </c>
      <c r="D1368" s="99" t="s">
        <v>640</v>
      </c>
      <c r="E1368" s="99" t="n">
        <v>5</v>
      </c>
      <c r="F1368" s="101" t="n">
        <v>40</v>
      </c>
      <c r="G1368" s="102" t="n">
        <f aca="false">IFERROR(F1368/INDEX($G$5:$G$34,MATCH(LOOKUP(2,1/($A$39:A1368&lt;&gt;""),$A$39:A1368),$A$5:$A$34,0)),0)</f>
        <v>1</v>
      </c>
      <c r="H1368" s="103" t="str">
        <f aca="false">IF(G1368=0,"空闲",IF(G1368&lt;=0.6,"低负荷",IF(G1368&lt;=0.85,"正常",IF(G1368&lt;=1,"满负荷","超负荷"))))</f>
        <v>满负荷</v>
      </c>
      <c r="I1368" s="106" t="s">
        <v>748</v>
      </c>
      <c r="J1368" s="106"/>
      <c r="K1368" s="106"/>
      <c r="L1368" s="105" t="s">
        <v>717</v>
      </c>
    </row>
    <row r="1369" customFormat="false" ht="48" hidden="false" customHeight="true" outlineLevel="0" collapsed="false">
      <c r="A1369" s="99"/>
      <c r="B1369" s="100" t="n">
        <v>46412</v>
      </c>
      <c r="C1369" s="100" t="n">
        <v>46418</v>
      </c>
      <c r="D1369" s="99" t="s">
        <v>640</v>
      </c>
      <c r="E1369" s="99" t="n">
        <v>6</v>
      </c>
      <c r="F1369" s="101" t="n">
        <v>40</v>
      </c>
      <c r="G1369" s="102" t="n">
        <f aca="false">IFERROR(F1369/INDEX($G$5:$G$34,MATCH(LOOKUP(2,1/($A$39:A1369&lt;&gt;""),$A$39:A1369),$A$5:$A$34,0)),0)</f>
        <v>1</v>
      </c>
      <c r="H1369" s="103" t="str">
        <f aca="false">IF(G1369=0,"空闲",IF(G1369&lt;=0.6,"低负荷",IF(G1369&lt;=0.85,"正常",IF(G1369&lt;=1,"满负荷","超负荷"))))</f>
        <v>满负荷</v>
      </c>
      <c r="I1369" s="106" t="s">
        <v>750</v>
      </c>
      <c r="J1369" s="106"/>
      <c r="K1369" s="106"/>
      <c r="L1369" s="105" t="s">
        <v>676</v>
      </c>
    </row>
    <row r="1370" customFormat="false" ht="48" hidden="false" customHeight="true" outlineLevel="0" collapsed="false">
      <c r="A1370" s="99"/>
      <c r="B1370" s="100" t="n">
        <v>46419</v>
      </c>
      <c r="C1370" s="100" t="n">
        <v>46425</v>
      </c>
      <c r="D1370" s="99" t="s">
        <v>640</v>
      </c>
      <c r="E1370" s="99" t="n">
        <v>6</v>
      </c>
      <c r="F1370" s="101" t="n">
        <v>40</v>
      </c>
      <c r="G1370" s="102" t="n">
        <f aca="false">IFERROR(F1370/INDEX($G$5:$G$34,MATCH(LOOKUP(2,1/($A$39:A1370&lt;&gt;""),$A$39:A1370),$A$5:$A$34,0)),0)</f>
        <v>1</v>
      </c>
      <c r="H1370" s="103" t="str">
        <f aca="false">IF(G1370=0,"空闲",IF(G1370&lt;=0.6,"低负荷",IF(G1370&lt;=0.85,"正常",IF(G1370&lt;=1,"满负荷","超负荷"))))</f>
        <v>满负荷</v>
      </c>
      <c r="I1370" s="106" t="s">
        <v>750</v>
      </c>
      <c r="J1370" s="106"/>
      <c r="K1370" s="106"/>
      <c r="L1370" s="105" t="s">
        <v>676</v>
      </c>
    </row>
    <row r="1371" customFormat="false" ht="48" hidden="false" customHeight="true" outlineLevel="0" collapsed="false">
      <c r="A1371" s="99"/>
      <c r="B1371" s="100" t="n">
        <v>46426</v>
      </c>
      <c r="C1371" s="100" t="n">
        <v>46432</v>
      </c>
      <c r="D1371" s="99" t="s">
        <v>640</v>
      </c>
      <c r="E1371" s="99" t="n">
        <v>6</v>
      </c>
      <c r="F1371" s="101" t="n">
        <v>40</v>
      </c>
      <c r="G1371" s="102" t="n">
        <f aca="false">IFERROR(F1371/INDEX($G$5:$G$34,MATCH(LOOKUP(2,1/($A$39:A1371&lt;&gt;""),$A$39:A1371),$A$5:$A$34,0)),0)</f>
        <v>1</v>
      </c>
      <c r="H1371" s="103" t="str">
        <f aca="false">IF(G1371=0,"空闲",IF(G1371&lt;=0.6,"低负荷",IF(G1371&lt;=0.85,"正常",IF(G1371&lt;=1,"满负荷","超负荷"))))</f>
        <v>满负荷</v>
      </c>
      <c r="I1371" s="106" t="s">
        <v>750</v>
      </c>
      <c r="J1371" s="106"/>
      <c r="K1371" s="106"/>
      <c r="L1371" s="105" t="s">
        <v>676</v>
      </c>
    </row>
    <row r="1372" customFormat="false" ht="48" hidden="false" customHeight="true" outlineLevel="0" collapsed="false">
      <c r="A1372" s="99"/>
      <c r="B1372" s="100" t="n">
        <v>46433</v>
      </c>
      <c r="C1372" s="100" t="n">
        <v>46439</v>
      </c>
      <c r="D1372" s="99" t="s">
        <v>638</v>
      </c>
      <c r="E1372" s="99" t="n">
        <v>0</v>
      </c>
      <c r="F1372" s="101" t="n">
        <v>0</v>
      </c>
      <c r="G1372" s="102" t="n">
        <f aca="false">IFERROR(F1372/INDEX($G$5:$G$34,MATCH(LOOKUP(2,1/($A$39:A1372&lt;&gt;""),$A$39:A1372),$A$5:$A$34,0)),0)</f>
        <v>0</v>
      </c>
      <c r="H1372" s="103" t="str">
        <f aca="false">IF(G1372=0,"空闲",IF(G1372&lt;=0.6,"低负荷",IF(G1372&lt;=0.85,"正常",IF(G1372&lt;=1,"满负荷","超负荷"))))</f>
        <v>空闲</v>
      </c>
      <c r="I1372" s="104" t="s">
        <v>638</v>
      </c>
      <c r="J1372" s="104"/>
      <c r="K1372" s="104"/>
      <c r="L1372" s="105" t="s">
        <v>639</v>
      </c>
    </row>
    <row r="1373" customFormat="false" ht="48" hidden="false" customHeight="true" outlineLevel="0" collapsed="false">
      <c r="A1373" s="99"/>
      <c r="B1373" s="100" t="n">
        <v>46440</v>
      </c>
      <c r="C1373" s="100" t="n">
        <v>46446</v>
      </c>
      <c r="D1373" s="99" t="s">
        <v>638</v>
      </c>
      <c r="E1373" s="99" t="n">
        <v>0</v>
      </c>
      <c r="F1373" s="101" t="n">
        <v>0</v>
      </c>
      <c r="G1373" s="102" t="n">
        <f aca="false">IFERROR(F1373/INDEX($G$5:$G$34,MATCH(LOOKUP(2,1/($A$39:A1373&lt;&gt;""),$A$39:A1373),$A$5:$A$34,0)),0)</f>
        <v>0</v>
      </c>
      <c r="H1373" s="103" t="str">
        <f aca="false">IF(G1373=0,"空闲",IF(G1373&lt;=0.6,"低负荷",IF(G1373&lt;=0.85,"正常",IF(G1373&lt;=1,"满负荷","超负荷"))))</f>
        <v>空闲</v>
      </c>
      <c r="I1373" s="104" t="s">
        <v>638</v>
      </c>
      <c r="J1373" s="104"/>
      <c r="K1373" s="104"/>
      <c r="L1373" s="105" t="s">
        <v>639</v>
      </c>
    </row>
    <row r="1374" customFormat="false" ht="48" hidden="false" customHeight="true" outlineLevel="0" collapsed="false">
      <c r="A1374" s="99"/>
      <c r="B1374" s="100" t="n">
        <v>46447</v>
      </c>
      <c r="C1374" s="100" t="n">
        <v>46453</v>
      </c>
      <c r="D1374" s="99" t="s">
        <v>638</v>
      </c>
      <c r="E1374" s="99" t="n">
        <v>0</v>
      </c>
      <c r="F1374" s="101" t="n">
        <v>0</v>
      </c>
      <c r="G1374" s="102" t="n">
        <f aca="false">IFERROR(F1374/INDEX($G$5:$G$34,MATCH(LOOKUP(2,1/($A$39:A1374&lt;&gt;""),$A$39:A1374),$A$5:$A$34,0)),0)</f>
        <v>0</v>
      </c>
      <c r="H1374" s="103" t="str">
        <f aca="false">IF(G1374=0,"空闲",IF(G1374&lt;=0.6,"低负荷",IF(G1374&lt;=0.85,"正常",IF(G1374&lt;=1,"满负荷","超负荷"))))</f>
        <v>空闲</v>
      </c>
      <c r="I1374" s="104" t="s">
        <v>638</v>
      </c>
      <c r="J1374" s="104"/>
      <c r="K1374" s="104"/>
      <c r="L1374" s="105" t="s">
        <v>639</v>
      </c>
    </row>
    <row r="1375" customFormat="false" ht="48" hidden="false" customHeight="true" outlineLevel="0" collapsed="false">
      <c r="A1375" s="99"/>
      <c r="B1375" s="100" t="n">
        <v>46454</v>
      </c>
      <c r="C1375" s="100" t="n">
        <v>46460</v>
      </c>
      <c r="D1375" s="99" t="s">
        <v>638</v>
      </c>
      <c r="E1375" s="99" t="n">
        <v>0</v>
      </c>
      <c r="F1375" s="101" t="n">
        <v>0</v>
      </c>
      <c r="G1375" s="102" t="n">
        <f aca="false">IFERROR(F1375/INDEX($G$5:$G$34,MATCH(LOOKUP(2,1/($A$39:A1375&lt;&gt;""),$A$39:A1375),$A$5:$A$34,0)),0)</f>
        <v>0</v>
      </c>
      <c r="H1375" s="103" t="str">
        <f aca="false">IF(G1375=0,"空闲",IF(G1375&lt;=0.6,"低负荷",IF(G1375&lt;=0.85,"正常",IF(G1375&lt;=1,"满负荷","超负荷"))))</f>
        <v>空闲</v>
      </c>
      <c r="I1375" s="104" t="s">
        <v>638</v>
      </c>
      <c r="J1375" s="104"/>
      <c r="K1375" s="104"/>
      <c r="L1375" s="105" t="s">
        <v>639</v>
      </c>
    </row>
    <row r="1376" customFormat="false" ht="48" hidden="false" customHeight="true" outlineLevel="0" collapsed="false">
      <c r="A1376" s="99"/>
      <c r="B1376" s="100" t="n">
        <v>46461</v>
      </c>
      <c r="C1376" s="100" t="n">
        <v>46467</v>
      </c>
      <c r="D1376" s="99" t="s">
        <v>638</v>
      </c>
      <c r="E1376" s="99" t="n">
        <v>0</v>
      </c>
      <c r="F1376" s="101" t="n">
        <v>0</v>
      </c>
      <c r="G1376" s="102" t="n">
        <f aca="false">IFERROR(F1376/INDEX($G$5:$G$34,MATCH(LOOKUP(2,1/($A$39:A1376&lt;&gt;""),$A$39:A1376),$A$5:$A$34,0)),0)</f>
        <v>0</v>
      </c>
      <c r="H1376" s="103" t="str">
        <f aca="false">IF(G1376=0,"空闲",IF(G1376&lt;=0.6,"低负荷",IF(G1376&lt;=0.85,"正常",IF(G1376&lt;=1,"满负荷","超负荷"))))</f>
        <v>空闲</v>
      </c>
      <c r="I1376" s="104" t="s">
        <v>638</v>
      </c>
      <c r="J1376" s="104"/>
      <c r="K1376" s="104"/>
      <c r="L1376" s="105" t="s">
        <v>639</v>
      </c>
    </row>
    <row r="1377" customFormat="false" ht="48" hidden="false" customHeight="true" outlineLevel="0" collapsed="false">
      <c r="A1377" s="99"/>
      <c r="B1377" s="100" t="n">
        <v>46468</v>
      </c>
      <c r="C1377" s="100" t="n">
        <v>46474</v>
      </c>
      <c r="D1377" s="99" t="s">
        <v>638</v>
      </c>
      <c r="E1377" s="99" t="n">
        <v>0</v>
      </c>
      <c r="F1377" s="101" t="n">
        <v>0</v>
      </c>
      <c r="G1377" s="102" t="n">
        <f aca="false">IFERROR(F1377/INDEX($G$5:$G$34,MATCH(LOOKUP(2,1/($A$39:A1377&lt;&gt;""),$A$39:A1377),$A$5:$A$34,0)),0)</f>
        <v>0</v>
      </c>
      <c r="H1377" s="103" t="str">
        <f aca="false">IF(G1377=0,"空闲",IF(G1377&lt;=0.6,"低负荷",IF(G1377&lt;=0.85,"正常",IF(G1377&lt;=1,"满负荷","超负荷"))))</f>
        <v>空闲</v>
      </c>
      <c r="I1377" s="104" t="s">
        <v>638</v>
      </c>
      <c r="J1377" s="104"/>
      <c r="K1377" s="104"/>
      <c r="L1377" s="105" t="s">
        <v>639</v>
      </c>
    </row>
    <row r="1378" customFormat="false" ht="48" hidden="false" customHeight="true" outlineLevel="0" collapsed="false">
      <c r="A1378" s="99"/>
      <c r="B1378" s="100" t="n">
        <v>46475</v>
      </c>
      <c r="C1378" s="100" t="n">
        <v>46481</v>
      </c>
      <c r="D1378" s="99" t="s">
        <v>638</v>
      </c>
      <c r="E1378" s="99" t="n">
        <v>0</v>
      </c>
      <c r="F1378" s="101" t="n">
        <v>0</v>
      </c>
      <c r="G1378" s="102" t="n">
        <f aca="false">IFERROR(F1378/INDEX($G$5:$G$34,MATCH(LOOKUP(2,1/($A$39:A1378&lt;&gt;""),$A$39:A1378),$A$5:$A$34,0)),0)</f>
        <v>0</v>
      </c>
      <c r="H1378" s="103" t="str">
        <f aca="false">IF(G1378=0,"空闲",IF(G1378&lt;=0.6,"低负荷",IF(G1378&lt;=0.85,"正常",IF(G1378&lt;=1,"满负荷","超负荷"))))</f>
        <v>空闲</v>
      </c>
      <c r="I1378" s="104" t="s">
        <v>638</v>
      </c>
      <c r="J1378" s="104"/>
      <c r="K1378" s="104"/>
      <c r="L1378" s="105" t="s">
        <v>639</v>
      </c>
    </row>
    <row r="1379" customFormat="false" ht="48" hidden="false" customHeight="true" outlineLevel="0" collapsed="false">
      <c r="A1379" s="99"/>
      <c r="B1379" s="100" t="n">
        <v>46482</v>
      </c>
      <c r="C1379" s="100" t="n">
        <v>46488</v>
      </c>
      <c r="D1379" s="99" t="s">
        <v>638</v>
      </c>
      <c r="E1379" s="99" t="n">
        <v>0</v>
      </c>
      <c r="F1379" s="101" t="n">
        <v>0</v>
      </c>
      <c r="G1379" s="102" t="n">
        <f aca="false">IFERROR(F1379/INDEX($G$5:$G$34,MATCH(LOOKUP(2,1/($A$39:A1379&lt;&gt;""),$A$39:A1379),$A$5:$A$34,0)),0)</f>
        <v>0</v>
      </c>
      <c r="H1379" s="103" t="str">
        <f aca="false">IF(G1379=0,"空闲",IF(G1379&lt;=0.6,"低负荷",IF(G1379&lt;=0.85,"正常",IF(G1379&lt;=1,"满负荷","超负荷"))))</f>
        <v>空闲</v>
      </c>
      <c r="I1379" s="104" t="s">
        <v>638</v>
      </c>
      <c r="J1379" s="104"/>
      <c r="K1379" s="104"/>
      <c r="L1379" s="105" t="s">
        <v>639</v>
      </c>
    </row>
    <row r="1380" customFormat="false" ht="48" hidden="false" customHeight="true" outlineLevel="0" collapsed="false">
      <c r="A1380" s="99"/>
      <c r="B1380" s="100" t="n">
        <v>46489</v>
      </c>
      <c r="C1380" s="100" t="n">
        <v>46495</v>
      </c>
      <c r="D1380" s="99" t="s">
        <v>638</v>
      </c>
      <c r="E1380" s="99" t="n">
        <v>0</v>
      </c>
      <c r="F1380" s="101" t="n">
        <v>0</v>
      </c>
      <c r="G1380" s="102" t="n">
        <f aca="false">IFERROR(F1380/INDEX($G$5:$G$34,MATCH(LOOKUP(2,1/($A$39:A1380&lt;&gt;""),$A$39:A1380),$A$5:$A$34,0)),0)</f>
        <v>0</v>
      </c>
      <c r="H1380" s="103" t="str">
        <f aca="false">IF(G1380=0,"空闲",IF(G1380&lt;=0.6,"低负荷",IF(G1380&lt;=0.85,"正常",IF(G1380&lt;=1,"满负荷","超负荷"))))</f>
        <v>空闲</v>
      </c>
      <c r="I1380" s="104" t="s">
        <v>638</v>
      </c>
      <c r="J1380" s="104"/>
      <c r="K1380" s="104"/>
      <c r="L1380" s="105" t="s">
        <v>639</v>
      </c>
    </row>
    <row r="1381" customFormat="false" ht="48" hidden="false" customHeight="true" outlineLevel="0" collapsed="false">
      <c r="A1381" s="99"/>
      <c r="B1381" s="100" t="n">
        <v>46496</v>
      </c>
      <c r="C1381" s="100" t="n">
        <v>46502</v>
      </c>
      <c r="D1381" s="99" t="s">
        <v>638</v>
      </c>
      <c r="E1381" s="99" t="n">
        <v>0</v>
      </c>
      <c r="F1381" s="101" t="n">
        <v>0</v>
      </c>
      <c r="G1381" s="102" t="n">
        <f aca="false">IFERROR(F1381/INDEX($G$5:$G$34,MATCH(LOOKUP(2,1/($A$39:A1381&lt;&gt;""),$A$39:A1381),$A$5:$A$34,0)),0)</f>
        <v>0</v>
      </c>
      <c r="H1381" s="103" t="str">
        <f aca="false">IF(G1381=0,"空闲",IF(G1381&lt;=0.6,"低负荷",IF(G1381&lt;=0.85,"正常",IF(G1381&lt;=1,"满负荷","超负荷"))))</f>
        <v>空闲</v>
      </c>
      <c r="I1381" s="104" t="s">
        <v>638</v>
      </c>
      <c r="J1381" s="104"/>
      <c r="K1381" s="104"/>
      <c r="L1381" s="105" t="s">
        <v>639</v>
      </c>
    </row>
    <row r="1382" customFormat="false" ht="48" hidden="false" customHeight="true" outlineLevel="0" collapsed="false">
      <c r="A1382" s="99"/>
      <c r="B1382" s="100" t="n">
        <v>46503</v>
      </c>
      <c r="C1382" s="100" t="n">
        <v>46509</v>
      </c>
      <c r="D1382" s="99" t="s">
        <v>638</v>
      </c>
      <c r="E1382" s="99" t="n">
        <v>0</v>
      </c>
      <c r="F1382" s="101" t="n">
        <v>0</v>
      </c>
      <c r="G1382" s="102" t="n">
        <f aca="false">IFERROR(F1382/INDEX($G$5:$G$34,MATCH(LOOKUP(2,1/($A$39:A1382&lt;&gt;""),$A$39:A1382),$A$5:$A$34,0)),0)</f>
        <v>0</v>
      </c>
      <c r="H1382" s="103" t="str">
        <f aca="false">IF(G1382=0,"空闲",IF(G1382&lt;=0.6,"低负荷",IF(G1382&lt;=0.85,"正常",IF(G1382&lt;=1,"满负荷","超负荷"))))</f>
        <v>空闲</v>
      </c>
      <c r="I1382" s="104" t="s">
        <v>638</v>
      </c>
      <c r="J1382" s="104"/>
      <c r="K1382" s="104"/>
      <c r="L1382" s="105" t="s">
        <v>639</v>
      </c>
    </row>
    <row r="1383" customFormat="false" ht="48" hidden="false" customHeight="true" outlineLevel="0" collapsed="false">
      <c r="A1383" s="99"/>
      <c r="B1383" s="100" t="n">
        <v>46510</v>
      </c>
      <c r="C1383" s="100" t="n">
        <v>46516</v>
      </c>
      <c r="D1383" s="99" t="s">
        <v>638</v>
      </c>
      <c r="E1383" s="99" t="n">
        <v>0</v>
      </c>
      <c r="F1383" s="101" t="n">
        <v>0</v>
      </c>
      <c r="G1383" s="102" t="n">
        <f aca="false">IFERROR(F1383/INDEX($G$5:$G$34,MATCH(LOOKUP(2,1/($A$39:A1383&lt;&gt;""),$A$39:A1383),$A$5:$A$34,0)),0)</f>
        <v>0</v>
      </c>
      <c r="H1383" s="103" t="str">
        <f aca="false">IF(G1383=0,"空闲",IF(G1383&lt;=0.6,"低负荷",IF(G1383&lt;=0.85,"正常",IF(G1383&lt;=1,"满负荷","超负荷"))))</f>
        <v>空闲</v>
      </c>
      <c r="I1383" s="104" t="s">
        <v>638</v>
      </c>
      <c r="J1383" s="104"/>
      <c r="K1383" s="104"/>
      <c r="L1383" s="105" t="s">
        <v>639</v>
      </c>
    </row>
    <row r="1384" customFormat="false" ht="48" hidden="false" customHeight="true" outlineLevel="0" collapsed="false">
      <c r="A1384" s="99"/>
      <c r="B1384" s="100" t="n">
        <v>46517</v>
      </c>
      <c r="C1384" s="100" t="n">
        <v>46523</v>
      </c>
      <c r="D1384" s="99" t="s">
        <v>638</v>
      </c>
      <c r="E1384" s="99" t="n">
        <v>0</v>
      </c>
      <c r="F1384" s="101" t="n">
        <v>0</v>
      </c>
      <c r="G1384" s="102" t="n">
        <f aca="false">IFERROR(F1384/INDEX($G$5:$G$34,MATCH(LOOKUP(2,1/($A$39:A1384&lt;&gt;""),$A$39:A1384),$A$5:$A$34,0)),0)</f>
        <v>0</v>
      </c>
      <c r="H1384" s="103" t="str">
        <f aca="false">IF(G1384=0,"空闲",IF(G1384&lt;=0.6,"低负荷",IF(G1384&lt;=0.85,"正常",IF(G1384&lt;=1,"满负荷","超负荷"))))</f>
        <v>空闲</v>
      </c>
      <c r="I1384" s="104" t="s">
        <v>638</v>
      </c>
      <c r="J1384" s="104"/>
      <c r="K1384" s="104"/>
      <c r="L1384" s="105" t="s">
        <v>639</v>
      </c>
    </row>
    <row r="1385" customFormat="false" ht="48" hidden="false" customHeight="true" outlineLevel="0" collapsed="false">
      <c r="A1385" s="99"/>
      <c r="B1385" s="100" t="n">
        <v>46524</v>
      </c>
      <c r="C1385" s="100" t="n">
        <v>46530</v>
      </c>
      <c r="D1385" s="99" t="s">
        <v>638</v>
      </c>
      <c r="E1385" s="99" t="n">
        <v>0</v>
      </c>
      <c r="F1385" s="101" t="n">
        <v>0</v>
      </c>
      <c r="G1385" s="102" t="n">
        <f aca="false">IFERROR(F1385/INDEX($G$5:$G$34,MATCH(LOOKUP(2,1/($A$39:A1385&lt;&gt;""),$A$39:A1385),$A$5:$A$34,0)),0)</f>
        <v>0</v>
      </c>
      <c r="H1385" s="103" t="str">
        <f aca="false">IF(G1385=0,"空闲",IF(G1385&lt;=0.6,"低负荷",IF(G1385&lt;=0.85,"正常",IF(G1385&lt;=1,"满负荷","超负荷"))))</f>
        <v>空闲</v>
      </c>
      <c r="I1385" s="104" t="s">
        <v>638</v>
      </c>
      <c r="J1385" s="104"/>
      <c r="K1385" s="104"/>
      <c r="L1385" s="105" t="s">
        <v>639</v>
      </c>
    </row>
    <row r="1386" customFormat="false" ht="48" hidden="false" customHeight="true" outlineLevel="0" collapsed="false">
      <c r="A1386" s="99"/>
      <c r="B1386" s="100" t="n">
        <v>46531</v>
      </c>
      <c r="C1386" s="100" t="n">
        <v>46537</v>
      </c>
      <c r="D1386" s="99" t="s">
        <v>638</v>
      </c>
      <c r="E1386" s="99" t="n">
        <v>0</v>
      </c>
      <c r="F1386" s="101" t="n">
        <v>0</v>
      </c>
      <c r="G1386" s="102" t="n">
        <f aca="false">IFERROR(F1386/INDEX($G$5:$G$34,MATCH(LOOKUP(2,1/($A$39:A1386&lt;&gt;""),$A$39:A1386),$A$5:$A$34,0)),0)</f>
        <v>0</v>
      </c>
      <c r="H1386" s="103" t="str">
        <f aca="false">IF(G1386=0,"空闲",IF(G1386&lt;=0.6,"低负荷",IF(G1386&lt;=0.85,"正常",IF(G1386&lt;=1,"满负荷","超负荷"))))</f>
        <v>空闲</v>
      </c>
      <c r="I1386" s="104" t="s">
        <v>638</v>
      </c>
      <c r="J1386" s="104"/>
      <c r="K1386" s="104"/>
      <c r="L1386" s="105" t="s">
        <v>639</v>
      </c>
    </row>
    <row r="1387" customFormat="false" ht="48" hidden="false" customHeight="true" outlineLevel="0" collapsed="false">
      <c r="A1387" s="99"/>
      <c r="B1387" s="100" t="n">
        <v>46538</v>
      </c>
      <c r="C1387" s="100" t="n">
        <v>46544</v>
      </c>
      <c r="D1387" s="99" t="s">
        <v>638</v>
      </c>
      <c r="E1387" s="99" t="n">
        <v>0</v>
      </c>
      <c r="F1387" s="101" t="n">
        <v>0</v>
      </c>
      <c r="G1387" s="102" t="n">
        <f aca="false">IFERROR(F1387/INDEX($G$5:$G$34,MATCH(LOOKUP(2,1/($A$39:A1387&lt;&gt;""),$A$39:A1387),$A$5:$A$34,0)),0)</f>
        <v>0</v>
      </c>
      <c r="H1387" s="103" t="str">
        <f aca="false">IF(G1387=0,"空闲",IF(G1387&lt;=0.6,"低负荷",IF(G1387&lt;=0.85,"正常",IF(G1387&lt;=1,"满负荷","超负荷"))))</f>
        <v>空闲</v>
      </c>
      <c r="I1387" s="104" t="s">
        <v>638</v>
      </c>
      <c r="J1387" s="104"/>
      <c r="K1387" s="104"/>
      <c r="L1387" s="105" t="s">
        <v>639</v>
      </c>
    </row>
    <row r="1388" customFormat="false" ht="48" hidden="false" customHeight="true" outlineLevel="0" collapsed="false">
      <c r="A1388" s="99" t="s">
        <v>619</v>
      </c>
      <c r="B1388" s="100" t="n">
        <v>46048</v>
      </c>
      <c r="C1388" s="100" t="n">
        <v>46054</v>
      </c>
      <c r="D1388" s="99" t="s">
        <v>638</v>
      </c>
      <c r="E1388" s="99" t="n">
        <v>0</v>
      </c>
      <c r="F1388" s="101" t="n">
        <v>0</v>
      </c>
      <c r="G1388" s="102" t="n">
        <f aca="false">IFERROR(F1388/INDEX($G$5:$G$34,MATCH(LOOKUP(2,1/($A$39:A1388&lt;&gt;""),$A$39:A1388),$A$5:$A$34,0)),0)</f>
        <v>0</v>
      </c>
      <c r="H1388" s="103" t="str">
        <f aca="false">IF(G1388=0,"空闲",IF(G1388&lt;=0.6,"低负荷",IF(G1388&lt;=0.85,"正常",IF(G1388&lt;=1,"满负荷","超负荷"))))</f>
        <v>空闲</v>
      </c>
      <c r="I1388" s="104" t="s">
        <v>638</v>
      </c>
      <c r="J1388" s="104"/>
      <c r="K1388" s="104"/>
      <c r="L1388" s="105" t="s">
        <v>639</v>
      </c>
    </row>
    <row r="1389" customFormat="false" ht="48" hidden="false" customHeight="true" outlineLevel="0" collapsed="false">
      <c r="A1389" s="99"/>
      <c r="B1389" s="100" t="n">
        <v>46055</v>
      </c>
      <c r="C1389" s="100" t="n">
        <v>46061</v>
      </c>
      <c r="D1389" s="99" t="s">
        <v>638</v>
      </c>
      <c r="E1389" s="99" t="n">
        <v>0</v>
      </c>
      <c r="F1389" s="101" t="n">
        <v>0</v>
      </c>
      <c r="G1389" s="102" t="n">
        <f aca="false">IFERROR(F1389/INDEX($G$5:$G$34,MATCH(LOOKUP(2,1/($A$39:A1389&lt;&gt;""),$A$39:A1389),$A$5:$A$34,0)),0)</f>
        <v>0</v>
      </c>
      <c r="H1389" s="103" t="str">
        <f aca="false">IF(G1389=0,"空闲",IF(G1389&lt;=0.6,"低负荷",IF(G1389&lt;=0.85,"正常",IF(G1389&lt;=1,"满负荷","超负荷"))))</f>
        <v>空闲</v>
      </c>
      <c r="I1389" s="104" t="s">
        <v>638</v>
      </c>
      <c r="J1389" s="104"/>
      <c r="K1389" s="104"/>
      <c r="L1389" s="105" t="s">
        <v>639</v>
      </c>
    </row>
    <row r="1390" customFormat="false" ht="48" hidden="false" customHeight="true" outlineLevel="0" collapsed="false">
      <c r="A1390" s="99"/>
      <c r="B1390" s="100" t="n">
        <v>46062</v>
      </c>
      <c r="C1390" s="100" t="n">
        <v>46068</v>
      </c>
      <c r="D1390" s="99" t="s">
        <v>638</v>
      </c>
      <c r="E1390" s="99" t="n">
        <v>0</v>
      </c>
      <c r="F1390" s="101" t="n">
        <v>0</v>
      </c>
      <c r="G1390" s="102" t="n">
        <f aca="false">IFERROR(F1390/INDEX($G$5:$G$34,MATCH(LOOKUP(2,1/($A$39:A1390&lt;&gt;""),$A$39:A1390),$A$5:$A$34,0)),0)</f>
        <v>0</v>
      </c>
      <c r="H1390" s="103" t="str">
        <f aca="false">IF(G1390=0,"空闲",IF(G1390&lt;=0.6,"低负荷",IF(G1390&lt;=0.85,"正常",IF(G1390&lt;=1,"满负荷","超负荷"))))</f>
        <v>空闲</v>
      </c>
      <c r="I1390" s="104" t="s">
        <v>638</v>
      </c>
      <c r="J1390" s="104"/>
      <c r="K1390" s="104"/>
      <c r="L1390" s="105" t="s">
        <v>639</v>
      </c>
    </row>
    <row r="1391" customFormat="false" ht="48" hidden="false" customHeight="true" outlineLevel="0" collapsed="false">
      <c r="A1391" s="99"/>
      <c r="B1391" s="100" t="n">
        <v>46069</v>
      </c>
      <c r="C1391" s="100" t="n">
        <v>46075</v>
      </c>
      <c r="D1391" s="99" t="s">
        <v>638</v>
      </c>
      <c r="E1391" s="99" t="n">
        <v>0</v>
      </c>
      <c r="F1391" s="101" t="n">
        <v>0</v>
      </c>
      <c r="G1391" s="102" t="n">
        <f aca="false">IFERROR(F1391/INDEX($G$5:$G$34,MATCH(LOOKUP(2,1/($A$39:A1391&lt;&gt;""),$A$39:A1391),$A$5:$A$34,0)),0)</f>
        <v>0</v>
      </c>
      <c r="H1391" s="103" t="str">
        <f aca="false">IF(G1391=0,"空闲",IF(G1391&lt;=0.6,"低负荷",IF(G1391&lt;=0.85,"正常",IF(G1391&lt;=1,"满负荷","超负荷"))))</f>
        <v>空闲</v>
      </c>
      <c r="I1391" s="104" t="s">
        <v>638</v>
      </c>
      <c r="J1391" s="104"/>
      <c r="K1391" s="104"/>
      <c r="L1391" s="105" t="s">
        <v>639</v>
      </c>
    </row>
    <row r="1392" customFormat="false" ht="48" hidden="false" customHeight="true" outlineLevel="0" collapsed="false">
      <c r="A1392" s="99"/>
      <c r="B1392" s="100" t="n">
        <v>46076</v>
      </c>
      <c r="C1392" s="100" t="n">
        <v>46082</v>
      </c>
      <c r="D1392" s="99" t="s">
        <v>638</v>
      </c>
      <c r="E1392" s="99" t="n">
        <v>0</v>
      </c>
      <c r="F1392" s="101" t="n">
        <v>0</v>
      </c>
      <c r="G1392" s="102" t="n">
        <f aca="false">IFERROR(F1392/INDEX($G$5:$G$34,MATCH(LOOKUP(2,1/($A$39:A1392&lt;&gt;""),$A$39:A1392),$A$5:$A$34,0)),0)</f>
        <v>0</v>
      </c>
      <c r="H1392" s="103" t="str">
        <f aca="false">IF(G1392=0,"空闲",IF(G1392&lt;=0.6,"低负荷",IF(G1392&lt;=0.85,"正常",IF(G1392&lt;=1,"满负荷","超负荷"))))</f>
        <v>空闲</v>
      </c>
      <c r="I1392" s="104" t="s">
        <v>638</v>
      </c>
      <c r="J1392" s="104"/>
      <c r="K1392" s="104"/>
      <c r="L1392" s="105" t="s">
        <v>639</v>
      </c>
    </row>
    <row r="1393" customFormat="false" ht="48" hidden="false" customHeight="true" outlineLevel="0" collapsed="false">
      <c r="A1393" s="99"/>
      <c r="B1393" s="100" t="n">
        <v>46083</v>
      </c>
      <c r="C1393" s="100" t="n">
        <v>46089</v>
      </c>
      <c r="D1393" s="99" t="s">
        <v>638</v>
      </c>
      <c r="E1393" s="99" t="n">
        <v>0</v>
      </c>
      <c r="F1393" s="101" t="n">
        <v>0</v>
      </c>
      <c r="G1393" s="102" t="n">
        <f aca="false">IFERROR(F1393/INDEX($G$5:$G$34,MATCH(LOOKUP(2,1/($A$39:A1393&lt;&gt;""),$A$39:A1393),$A$5:$A$34,0)),0)</f>
        <v>0</v>
      </c>
      <c r="H1393" s="103" t="str">
        <f aca="false">IF(G1393=0,"空闲",IF(G1393&lt;=0.6,"低负荷",IF(G1393&lt;=0.85,"正常",IF(G1393&lt;=1,"满负荷","超负荷"))))</f>
        <v>空闲</v>
      </c>
      <c r="I1393" s="104" t="s">
        <v>638</v>
      </c>
      <c r="J1393" s="104"/>
      <c r="K1393" s="104"/>
      <c r="L1393" s="105" t="s">
        <v>639</v>
      </c>
    </row>
    <row r="1394" customFormat="false" ht="48" hidden="false" customHeight="true" outlineLevel="0" collapsed="false">
      <c r="A1394" s="99"/>
      <c r="B1394" s="100" t="n">
        <v>46090</v>
      </c>
      <c r="C1394" s="100" t="n">
        <v>46096</v>
      </c>
      <c r="D1394" s="99" t="s">
        <v>638</v>
      </c>
      <c r="E1394" s="99" t="n">
        <v>0</v>
      </c>
      <c r="F1394" s="101" t="n">
        <v>0</v>
      </c>
      <c r="G1394" s="102" t="n">
        <f aca="false">IFERROR(F1394/INDEX($G$5:$G$34,MATCH(LOOKUP(2,1/($A$39:A1394&lt;&gt;""),$A$39:A1394),$A$5:$A$34,0)),0)</f>
        <v>0</v>
      </c>
      <c r="H1394" s="103" t="str">
        <f aca="false">IF(G1394=0,"空闲",IF(G1394&lt;=0.6,"低负荷",IF(G1394&lt;=0.85,"正常",IF(G1394&lt;=1,"满负荷","超负荷"))))</f>
        <v>空闲</v>
      </c>
      <c r="I1394" s="104" t="s">
        <v>638</v>
      </c>
      <c r="J1394" s="104"/>
      <c r="K1394" s="104"/>
      <c r="L1394" s="105" t="s">
        <v>639</v>
      </c>
    </row>
    <row r="1395" customFormat="false" ht="48" hidden="false" customHeight="true" outlineLevel="0" collapsed="false">
      <c r="A1395" s="99"/>
      <c r="B1395" s="100" t="n">
        <v>46097</v>
      </c>
      <c r="C1395" s="100" t="n">
        <v>46103</v>
      </c>
      <c r="D1395" s="99" t="s">
        <v>638</v>
      </c>
      <c r="E1395" s="99" t="n">
        <v>0</v>
      </c>
      <c r="F1395" s="101" t="n">
        <v>0</v>
      </c>
      <c r="G1395" s="102" t="n">
        <f aca="false">IFERROR(F1395/INDEX($G$5:$G$34,MATCH(LOOKUP(2,1/($A$39:A1395&lt;&gt;""),$A$39:A1395),$A$5:$A$34,0)),0)</f>
        <v>0</v>
      </c>
      <c r="H1395" s="103" t="str">
        <f aca="false">IF(G1395=0,"空闲",IF(G1395&lt;=0.6,"低负荷",IF(G1395&lt;=0.85,"正常",IF(G1395&lt;=1,"满负荷","超负荷"))))</f>
        <v>空闲</v>
      </c>
      <c r="I1395" s="104" t="s">
        <v>638</v>
      </c>
      <c r="J1395" s="104"/>
      <c r="K1395" s="104"/>
      <c r="L1395" s="105" t="s">
        <v>639</v>
      </c>
    </row>
    <row r="1396" customFormat="false" ht="48" hidden="false" customHeight="true" outlineLevel="0" collapsed="false">
      <c r="A1396" s="99"/>
      <c r="B1396" s="100" t="n">
        <v>46104</v>
      </c>
      <c r="C1396" s="100" t="n">
        <v>46110</v>
      </c>
      <c r="D1396" s="99" t="s">
        <v>638</v>
      </c>
      <c r="E1396" s="99" t="n">
        <v>0</v>
      </c>
      <c r="F1396" s="101" t="n">
        <v>0</v>
      </c>
      <c r="G1396" s="102" t="n">
        <f aca="false">IFERROR(F1396/INDEX($G$5:$G$34,MATCH(LOOKUP(2,1/($A$39:A1396&lt;&gt;""),$A$39:A1396),$A$5:$A$34,0)),0)</f>
        <v>0</v>
      </c>
      <c r="H1396" s="103" t="str">
        <f aca="false">IF(G1396=0,"空闲",IF(G1396&lt;=0.6,"低负荷",IF(G1396&lt;=0.85,"正常",IF(G1396&lt;=1,"满负荷","超负荷"))))</f>
        <v>空闲</v>
      </c>
      <c r="I1396" s="104" t="s">
        <v>638</v>
      </c>
      <c r="J1396" s="104"/>
      <c r="K1396" s="104"/>
      <c r="L1396" s="105" t="s">
        <v>639</v>
      </c>
    </row>
    <row r="1397" customFormat="false" ht="48" hidden="false" customHeight="true" outlineLevel="0" collapsed="false">
      <c r="A1397" s="99"/>
      <c r="B1397" s="100" t="n">
        <v>46111</v>
      </c>
      <c r="C1397" s="100" t="n">
        <v>46117</v>
      </c>
      <c r="D1397" s="99" t="s">
        <v>638</v>
      </c>
      <c r="E1397" s="99" t="n">
        <v>0</v>
      </c>
      <c r="F1397" s="101" t="n">
        <v>0</v>
      </c>
      <c r="G1397" s="102" t="n">
        <f aca="false">IFERROR(F1397/INDEX($G$5:$G$34,MATCH(LOOKUP(2,1/($A$39:A1397&lt;&gt;""),$A$39:A1397),$A$5:$A$34,0)),0)</f>
        <v>0</v>
      </c>
      <c r="H1397" s="103" t="str">
        <f aca="false">IF(G1397=0,"空闲",IF(G1397&lt;=0.6,"低负荷",IF(G1397&lt;=0.85,"正常",IF(G1397&lt;=1,"满负荷","超负荷"))))</f>
        <v>空闲</v>
      </c>
      <c r="I1397" s="104" t="s">
        <v>638</v>
      </c>
      <c r="J1397" s="104"/>
      <c r="K1397" s="104"/>
      <c r="L1397" s="105" t="s">
        <v>639</v>
      </c>
    </row>
    <row r="1398" customFormat="false" ht="48" hidden="false" customHeight="true" outlineLevel="0" collapsed="false">
      <c r="A1398" s="99"/>
      <c r="B1398" s="100" t="n">
        <v>46118</v>
      </c>
      <c r="C1398" s="100" t="n">
        <v>46124</v>
      </c>
      <c r="D1398" s="99" t="s">
        <v>638</v>
      </c>
      <c r="E1398" s="99" t="n">
        <v>0</v>
      </c>
      <c r="F1398" s="101" t="n">
        <v>0</v>
      </c>
      <c r="G1398" s="102" t="n">
        <f aca="false">IFERROR(F1398/INDEX($G$5:$G$34,MATCH(LOOKUP(2,1/($A$39:A1398&lt;&gt;""),$A$39:A1398),$A$5:$A$34,0)),0)</f>
        <v>0</v>
      </c>
      <c r="H1398" s="103" t="str">
        <f aca="false">IF(G1398=0,"空闲",IF(G1398&lt;=0.6,"低负荷",IF(G1398&lt;=0.85,"正常",IF(G1398&lt;=1,"满负荷","超负荷"))))</f>
        <v>空闲</v>
      </c>
      <c r="I1398" s="104" t="s">
        <v>638</v>
      </c>
      <c r="J1398" s="104"/>
      <c r="K1398" s="104"/>
      <c r="L1398" s="105" t="s">
        <v>639</v>
      </c>
    </row>
    <row r="1399" customFormat="false" ht="48" hidden="false" customHeight="true" outlineLevel="0" collapsed="false">
      <c r="A1399" s="99"/>
      <c r="B1399" s="100" t="n">
        <v>46125</v>
      </c>
      <c r="C1399" s="100" t="n">
        <v>46131</v>
      </c>
      <c r="D1399" s="99" t="s">
        <v>638</v>
      </c>
      <c r="E1399" s="99" t="n">
        <v>0</v>
      </c>
      <c r="F1399" s="101" t="n">
        <v>0</v>
      </c>
      <c r="G1399" s="102" t="n">
        <f aca="false">IFERROR(F1399/INDEX($G$5:$G$34,MATCH(LOOKUP(2,1/($A$39:A1399&lt;&gt;""),$A$39:A1399),$A$5:$A$34,0)),0)</f>
        <v>0</v>
      </c>
      <c r="H1399" s="103" t="str">
        <f aca="false">IF(G1399=0,"空闲",IF(G1399&lt;=0.6,"低负荷",IF(G1399&lt;=0.85,"正常",IF(G1399&lt;=1,"满负荷","超负荷"))))</f>
        <v>空闲</v>
      </c>
      <c r="I1399" s="104" t="s">
        <v>638</v>
      </c>
      <c r="J1399" s="104"/>
      <c r="K1399" s="104"/>
      <c r="L1399" s="105" t="s">
        <v>639</v>
      </c>
    </row>
    <row r="1400" customFormat="false" ht="48" hidden="false" customHeight="true" outlineLevel="0" collapsed="false">
      <c r="A1400" s="99"/>
      <c r="B1400" s="100" t="n">
        <v>46132</v>
      </c>
      <c r="C1400" s="100" t="n">
        <v>46138</v>
      </c>
      <c r="D1400" s="99" t="s">
        <v>638</v>
      </c>
      <c r="E1400" s="99" t="n">
        <v>0</v>
      </c>
      <c r="F1400" s="101" t="n">
        <v>0</v>
      </c>
      <c r="G1400" s="102" t="n">
        <f aca="false">IFERROR(F1400/INDEX($G$5:$G$34,MATCH(LOOKUP(2,1/($A$39:A1400&lt;&gt;""),$A$39:A1400),$A$5:$A$34,0)),0)</f>
        <v>0</v>
      </c>
      <c r="H1400" s="103" t="str">
        <f aca="false">IF(G1400=0,"空闲",IF(G1400&lt;=0.6,"低负荷",IF(G1400&lt;=0.85,"正常",IF(G1400&lt;=1,"满负荷","超负荷"))))</f>
        <v>空闲</v>
      </c>
      <c r="I1400" s="104" t="s">
        <v>638</v>
      </c>
      <c r="J1400" s="104"/>
      <c r="K1400" s="104"/>
      <c r="L1400" s="105" t="s">
        <v>639</v>
      </c>
    </row>
    <row r="1401" customFormat="false" ht="48" hidden="false" customHeight="true" outlineLevel="0" collapsed="false">
      <c r="A1401" s="99"/>
      <c r="B1401" s="100" t="n">
        <v>46139</v>
      </c>
      <c r="C1401" s="100" t="n">
        <v>46145</v>
      </c>
      <c r="D1401" s="99" t="s">
        <v>638</v>
      </c>
      <c r="E1401" s="99" t="n">
        <v>0</v>
      </c>
      <c r="F1401" s="101" t="n">
        <v>0</v>
      </c>
      <c r="G1401" s="102" t="n">
        <f aca="false">IFERROR(F1401/INDEX($G$5:$G$34,MATCH(LOOKUP(2,1/($A$39:A1401&lt;&gt;""),$A$39:A1401),$A$5:$A$34,0)),0)</f>
        <v>0</v>
      </c>
      <c r="H1401" s="103" t="str">
        <f aca="false">IF(G1401=0,"空闲",IF(G1401&lt;=0.6,"低负荷",IF(G1401&lt;=0.85,"正常",IF(G1401&lt;=1,"满负荷","超负荷"))))</f>
        <v>空闲</v>
      </c>
      <c r="I1401" s="104" t="s">
        <v>638</v>
      </c>
      <c r="J1401" s="104"/>
      <c r="K1401" s="104"/>
      <c r="L1401" s="105" t="s">
        <v>639</v>
      </c>
    </row>
    <row r="1402" customFormat="false" ht="48" hidden="false" customHeight="true" outlineLevel="0" collapsed="false">
      <c r="A1402" s="99"/>
      <c r="B1402" s="100" t="n">
        <v>46146</v>
      </c>
      <c r="C1402" s="100" t="n">
        <v>46152</v>
      </c>
      <c r="D1402" s="99" t="s">
        <v>638</v>
      </c>
      <c r="E1402" s="99" t="n">
        <v>0</v>
      </c>
      <c r="F1402" s="101" t="n">
        <v>0</v>
      </c>
      <c r="G1402" s="102" t="n">
        <f aca="false">IFERROR(F1402/INDEX($G$5:$G$34,MATCH(LOOKUP(2,1/($A$39:A1402&lt;&gt;""),$A$39:A1402),$A$5:$A$34,0)),0)</f>
        <v>0</v>
      </c>
      <c r="H1402" s="103" t="str">
        <f aca="false">IF(G1402=0,"空闲",IF(G1402&lt;=0.6,"低负荷",IF(G1402&lt;=0.85,"正常",IF(G1402&lt;=1,"满负荷","超负荷"))))</f>
        <v>空闲</v>
      </c>
      <c r="I1402" s="104" t="s">
        <v>638</v>
      </c>
      <c r="J1402" s="104"/>
      <c r="K1402" s="104"/>
      <c r="L1402" s="105" t="s">
        <v>639</v>
      </c>
    </row>
    <row r="1403" customFormat="false" ht="48" hidden="false" customHeight="true" outlineLevel="0" collapsed="false">
      <c r="A1403" s="99"/>
      <c r="B1403" s="100" t="n">
        <v>46153</v>
      </c>
      <c r="C1403" s="100" t="n">
        <v>46159</v>
      </c>
      <c r="D1403" s="99" t="s">
        <v>638</v>
      </c>
      <c r="E1403" s="99" t="n">
        <v>0</v>
      </c>
      <c r="F1403" s="101" t="n">
        <v>0</v>
      </c>
      <c r="G1403" s="102" t="n">
        <f aca="false">IFERROR(F1403/INDEX($G$5:$G$34,MATCH(LOOKUP(2,1/($A$39:A1403&lt;&gt;""),$A$39:A1403),$A$5:$A$34,0)),0)</f>
        <v>0</v>
      </c>
      <c r="H1403" s="103" t="str">
        <f aca="false">IF(G1403=0,"空闲",IF(G1403&lt;=0.6,"低负荷",IF(G1403&lt;=0.85,"正常",IF(G1403&lt;=1,"满负荷","超负荷"))))</f>
        <v>空闲</v>
      </c>
      <c r="I1403" s="104" t="s">
        <v>638</v>
      </c>
      <c r="J1403" s="104"/>
      <c r="K1403" s="104"/>
      <c r="L1403" s="105" t="s">
        <v>639</v>
      </c>
    </row>
    <row r="1404" customFormat="false" ht="48" hidden="false" customHeight="true" outlineLevel="0" collapsed="false">
      <c r="A1404" s="99"/>
      <c r="B1404" s="100" t="n">
        <v>46160</v>
      </c>
      <c r="C1404" s="100" t="n">
        <v>46166</v>
      </c>
      <c r="D1404" s="99" t="s">
        <v>638</v>
      </c>
      <c r="E1404" s="99" t="n">
        <v>0</v>
      </c>
      <c r="F1404" s="101" t="n">
        <v>0</v>
      </c>
      <c r="G1404" s="102" t="n">
        <f aca="false">IFERROR(F1404/INDEX($G$5:$G$34,MATCH(LOOKUP(2,1/($A$39:A1404&lt;&gt;""),$A$39:A1404),$A$5:$A$34,0)),0)</f>
        <v>0</v>
      </c>
      <c r="H1404" s="103" t="str">
        <f aca="false">IF(G1404=0,"空闲",IF(G1404&lt;=0.6,"低负荷",IF(G1404&lt;=0.85,"正常",IF(G1404&lt;=1,"满负荷","超负荷"))))</f>
        <v>空闲</v>
      </c>
      <c r="I1404" s="104" t="s">
        <v>638</v>
      </c>
      <c r="J1404" s="104"/>
      <c r="K1404" s="104"/>
      <c r="L1404" s="105" t="s">
        <v>639</v>
      </c>
    </row>
    <row r="1405" customFormat="false" ht="48" hidden="false" customHeight="true" outlineLevel="0" collapsed="false">
      <c r="A1405" s="99"/>
      <c r="B1405" s="100" t="n">
        <v>46167</v>
      </c>
      <c r="C1405" s="100" t="n">
        <v>46173</v>
      </c>
      <c r="D1405" s="99" t="s">
        <v>638</v>
      </c>
      <c r="E1405" s="99" t="n">
        <v>0</v>
      </c>
      <c r="F1405" s="101" t="n">
        <v>0</v>
      </c>
      <c r="G1405" s="102" t="n">
        <f aca="false">IFERROR(F1405/INDEX($G$5:$G$34,MATCH(LOOKUP(2,1/($A$39:A1405&lt;&gt;""),$A$39:A1405),$A$5:$A$34,0)),0)</f>
        <v>0</v>
      </c>
      <c r="H1405" s="103" t="str">
        <f aca="false">IF(G1405=0,"空闲",IF(G1405&lt;=0.6,"低负荷",IF(G1405&lt;=0.85,"正常",IF(G1405&lt;=1,"满负荷","超负荷"))))</f>
        <v>空闲</v>
      </c>
      <c r="I1405" s="104" t="s">
        <v>638</v>
      </c>
      <c r="J1405" s="104"/>
      <c r="K1405" s="104"/>
      <c r="L1405" s="105" t="s">
        <v>639</v>
      </c>
    </row>
    <row r="1406" customFormat="false" ht="48" hidden="false" customHeight="true" outlineLevel="0" collapsed="false">
      <c r="A1406" s="99"/>
      <c r="B1406" s="100" t="n">
        <v>46174</v>
      </c>
      <c r="C1406" s="100" t="n">
        <v>46180</v>
      </c>
      <c r="D1406" s="99" t="s">
        <v>638</v>
      </c>
      <c r="E1406" s="99" t="n">
        <v>0</v>
      </c>
      <c r="F1406" s="101" t="n">
        <v>0</v>
      </c>
      <c r="G1406" s="102" t="n">
        <f aca="false">IFERROR(F1406/INDEX($G$5:$G$34,MATCH(LOOKUP(2,1/($A$39:A1406&lt;&gt;""),$A$39:A1406),$A$5:$A$34,0)),0)</f>
        <v>0</v>
      </c>
      <c r="H1406" s="103" t="str">
        <f aca="false">IF(G1406=0,"空闲",IF(G1406&lt;=0.6,"低负荷",IF(G1406&lt;=0.85,"正常",IF(G1406&lt;=1,"满负荷","超负荷"))))</f>
        <v>空闲</v>
      </c>
      <c r="I1406" s="104" t="s">
        <v>638</v>
      </c>
      <c r="J1406" s="104"/>
      <c r="K1406" s="104"/>
      <c r="L1406" s="105" t="s">
        <v>639</v>
      </c>
    </row>
    <row r="1407" customFormat="false" ht="48" hidden="false" customHeight="true" outlineLevel="0" collapsed="false">
      <c r="A1407" s="99"/>
      <c r="B1407" s="100" t="n">
        <v>46181</v>
      </c>
      <c r="C1407" s="100" t="n">
        <v>46187</v>
      </c>
      <c r="D1407" s="99" t="s">
        <v>638</v>
      </c>
      <c r="E1407" s="99" t="n">
        <v>0</v>
      </c>
      <c r="F1407" s="101" t="n">
        <v>0</v>
      </c>
      <c r="G1407" s="102" t="n">
        <f aca="false">IFERROR(F1407/INDEX($G$5:$G$34,MATCH(LOOKUP(2,1/($A$39:A1407&lt;&gt;""),$A$39:A1407),$A$5:$A$34,0)),0)</f>
        <v>0</v>
      </c>
      <c r="H1407" s="103" t="str">
        <f aca="false">IF(G1407=0,"空闲",IF(G1407&lt;=0.6,"低负荷",IF(G1407&lt;=0.85,"正常",IF(G1407&lt;=1,"满负荷","超负荷"))))</f>
        <v>空闲</v>
      </c>
      <c r="I1407" s="104" t="s">
        <v>638</v>
      </c>
      <c r="J1407" s="104"/>
      <c r="K1407" s="104"/>
      <c r="L1407" s="105" t="s">
        <v>639</v>
      </c>
    </row>
    <row r="1408" customFormat="false" ht="48" hidden="false" customHeight="true" outlineLevel="0" collapsed="false">
      <c r="A1408" s="99"/>
      <c r="B1408" s="100" t="n">
        <v>46188</v>
      </c>
      <c r="C1408" s="100" t="n">
        <v>46194</v>
      </c>
      <c r="D1408" s="99" t="s">
        <v>638</v>
      </c>
      <c r="E1408" s="99" t="n">
        <v>0</v>
      </c>
      <c r="F1408" s="101" t="n">
        <v>0</v>
      </c>
      <c r="G1408" s="102" t="n">
        <f aca="false">IFERROR(F1408/INDEX($G$5:$G$34,MATCH(LOOKUP(2,1/($A$39:A1408&lt;&gt;""),$A$39:A1408),$A$5:$A$34,0)),0)</f>
        <v>0</v>
      </c>
      <c r="H1408" s="103" t="str">
        <f aca="false">IF(G1408=0,"空闲",IF(G1408&lt;=0.6,"低负荷",IF(G1408&lt;=0.85,"正常",IF(G1408&lt;=1,"满负荷","超负荷"))))</f>
        <v>空闲</v>
      </c>
      <c r="I1408" s="104" t="s">
        <v>638</v>
      </c>
      <c r="J1408" s="104"/>
      <c r="K1408" s="104"/>
      <c r="L1408" s="105" t="s">
        <v>639</v>
      </c>
    </row>
    <row r="1409" customFormat="false" ht="48" hidden="false" customHeight="true" outlineLevel="0" collapsed="false">
      <c r="A1409" s="99"/>
      <c r="B1409" s="100" t="n">
        <v>46195</v>
      </c>
      <c r="C1409" s="100" t="n">
        <v>46201</v>
      </c>
      <c r="D1409" s="99" t="s">
        <v>638</v>
      </c>
      <c r="E1409" s="99" t="n">
        <v>0</v>
      </c>
      <c r="F1409" s="101" t="n">
        <v>0</v>
      </c>
      <c r="G1409" s="102" t="n">
        <f aca="false">IFERROR(F1409/INDEX($G$5:$G$34,MATCH(LOOKUP(2,1/($A$39:A1409&lt;&gt;""),$A$39:A1409),$A$5:$A$34,0)),0)</f>
        <v>0</v>
      </c>
      <c r="H1409" s="103" t="str">
        <f aca="false">IF(G1409=0,"空闲",IF(G1409&lt;=0.6,"低负荷",IF(G1409&lt;=0.85,"正常",IF(G1409&lt;=1,"满负荷","超负荷"))))</f>
        <v>空闲</v>
      </c>
      <c r="I1409" s="104" t="s">
        <v>638</v>
      </c>
      <c r="J1409" s="104"/>
      <c r="K1409" s="104"/>
      <c r="L1409" s="105" t="s">
        <v>639</v>
      </c>
    </row>
    <row r="1410" customFormat="false" ht="48" hidden="false" customHeight="true" outlineLevel="0" collapsed="false">
      <c r="A1410" s="99"/>
      <c r="B1410" s="100" t="n">
        <v>46202</v>
      </c>
      <c r="C1410" s="100" t="n">
        <v>46208</v>
      </c>
      <c r="D1410" s="99" t="s">
        <v>638</v>
      </c>
      <c r="E1410" s="99" t="n">
        <v>0</v>
      </c>
      <c r="F1410" s="101" t="n">
        <v>0</v>
      </c>
      <c r="G1410" s="102" t="n">
        <f aca="false">IFERROR(F1410/INDEX($G$5:$G$34,MATCH(LOOKUP(2,1/($A$39:A1410&lt;&gt;""),$A$39:A1410),$A$5:$A$34,0)),0)</f>
        <v>0</v>
      </c>
      <c r="H1410" s="103" t="str">
        <f aca="false">IF(G1410=0,"空闲",IF(G1410&lt;=0.6,"低负荷",IF(G1410&lt;=0.85,"正常",IF(G1410&lt;=1,"满负荷","超负荷"))))</f>
        <v>空闲</v>
      </c>
      <c r="I1410" s="104" t="s">
        <v>638</v>
      </c>
      <c r="J1410" s="104"/>
      <c r="K1410" s="104"/>
      <c r="L1410" s="105" t="s">
        <v>639</v>
      </c>
    </row>
    <row r="1411" customFormat="false" ht="48" hidden="false" customHeight="true" outlineLevel="0" collapsed="false">
      <c r="A1411" s="99"/>
      <c r="B1411" s="100" t="n">
        <v>46209</v>
      </c>
      <c r="C1411" s="100" t="n">
        <v>46215</v>
      </c>
      <c r="D1411" s="99" t="s">
        <v>638</v>
      </c>
      <c r="E1411" s="99" t="n">
        <v>0</v>
      </c>
      <c r="F1411" s="101" t="n">
        <v>0</v>
      </c>
      <c r="G1411" s="102" t="n">
        <f aca="false">IFERROR(F1411/INDEX($G$5:$G$34,MATCH(LOOKUP(2,1/($A$39:A1411&lt;&gt;""),$A$39:A1411),$A$5:$A$34,0)),0)</f>
        <v>0</v>
      </c>
      <c r="H1411" s="103" t="str">
        <f aca="false">IF(G1411=0,"空闲",IF(G1411&lt;=0.6,"低负荷",IF(G1411&lt;=0.85,"正常",IF(G1411&lt;=1,"满负荷","超负荷"))))</f>
        <v>空闲</v>
      </c>
      <c r="I1411" s="104" t="s">
        <v>638</v>
      </c>
      <c r="J1411" s="104"/>
      <c r="K1411" s="104"/>
      <c r="L1411" s="105" t="s">
        <v>639</v>
      </c>
    </row>
    <row r="1412" customFormat="false" ht="48" hidden="false" customHeight="true" outlineLevel="0" collapsed="false">
      <c r="A1412" s="99"/>
      <c r="B1412" s="100" t="n">
        <v>46216</v>
      </c>
      <c r="C1412" s="100" t="n">
        <v>46222</v>
      </c>
      <c r="D1412" s="99" t="s">
        <v>638</v>
      </c>
      <c r="E1412" s="99" t="n">
        <v>0</v>
      </c>
      <c r="F1412" s="101" t="n">
        <v>0</v>
      </c>
      <c r="G1412" s="102" t="n">
        <f aca="false">IFERROR(F1412/INDEX($G$5:$G$34,MATCH(LOOKUP(2,1/($A$39:A1412&lt;&gt;""),$A$39:A1412),$A$5:$A$34,0)),0)</f>
        <v>0</v>
      </c>
      <c r="H1412" s="103" t="str">
        <f aca="false">IF(G1412=0,"空闲",IF(G1412&lt;=0.6,"低负荷",IF(G1412&lt;=0.85,"正常",IF(G1412&lt;=1,"满负荷","超负荷"))))</f>
        <v>空闲</v>
      </c>
      <c r="I1412" s="104" t="s">
        <v>638</v>
      </c>
      <c r="J1412" s="104"/>
      <c r="K1412" s="104"/>
      <c r="L1412" s="105" t="s">
        <v>639</v>
      </c>
    </row>
    <row r="1413" customFormat="false" ht="48" hidden="false" customHeight="true" outlineLevel="0" collapsed="false">
      <c r="A1413" s="99"/>
      <c r="B1413" s="100" t="n">
        <v>46223</v>
      </c>
      <c r="C1413" s="100" t="n">
        <v>46229</v>
      </c>
      <c r="D1413" s="99" t="s">
        <v>638</v>
      </c>
      <c r="E1413" s="99" t="n">
        <v>0</v>
      </c>
      <c r="F1413" s="101" t="n">
        <v>0</v>
      </c>
      <c r="G1413" s="102" t="n">
        <f aca="false">IFERROR(F1413/INDEX($G$5:$G$34,MATCH(LOOKUP(2,1/($A$39:A1413&lt;&gt;""),$A$39:A1413),$A$5:$A$34,0)),0)</f>
        <v>0</v>
      </c>
      <c r="H1413" s="103" t="str">
        <f aca="false">IF(G1413=0,"空闲",IF(G1413&lt;=0.6,"低负荷",IF(G1413&lt;=0.85,"正常",IF(G1413&lt;=1,"满负荷","超负荷"))))</f>
        <v>空闲</v>
      </c>
      <c r="I1413" s="104" t="s">
        <v>638</v>
      </c>
      <c r="J1413" s="104"/>
      <c r="K1413" s="104"/>
      <c r="L1413" s="105" t="s">
        <v>639</v>
      </c>
    </row>
    <row r="1414" customFormat="false" ht="48" hidden="false" customHeight="true" outlineLevel="0" collapsed="false">
      <c r="A1414" s="99"/>
      <c r="B1414" s="100" t="n">
        <v>46230</v>
      </c>
      <c r="C1414" s="100" t="n">
        <v>46236</v>
      </c>
      <c r="D1414" s="99" t="s">
        <v>638</v>
      </c>
      <c r="E1414" s="99" t="n">
        <v>0</v>
      </c>
      <c r="F1414" s="101" t="n">
        <v>0</v>
      </c>
      <c r="G1414" s="102" t="n">
        <f aca="false">IFERROR(F1414/INDEX($G$5:$G$34,MATCH(LOOKUP(2,1/($A$39:A1414&lt;&gt;""),$A$39:A1414),$A$5:$A$34,0)),0)</f>
        <v>0</v>
      </c>
      <c r="H1414" s="103" t="str">
        <f aca="false">IF(G1414=0,"空闲",IF(G1414&lt;=0.6,"低负荷",IF(G1414&lt;=0.85,"正常",IF(G1414&lt;=1,"满负荷","超负荷"))))</f>
        <v>空闲</v>
      </c>
      <c r="I1414" s="104" t="s">
        <v>638</v>
      </c>
      <c r="J1414" s="104"/>
      <c r="K1414" s="104"/>
      <c r="L1414" s="105" t="s">
        <v>639</v>
      </c>
    </row>
    <row r="1415" customFormat="false" ht="48" hidden="false" customHeight="true" outlineLevel="0" collapsed="false">
      <c r="A1415" s="99"/>
      <c r="B1415" s="100" t="n">
        <v>46237</v>
      </c>
      <c r="C1415" s="100" t="n">
        <v>46243</v>
      </c>
      <c r="D1415" s="99" t="s">
        <v>638</v>
      </c>
      <c r="E1415" s="99" t="n">
        <v>0</v>
      </c>
      <c r="F1415" s="101" t="n">
        <v>0</v>
      </c>
      <c r="G1415" s="102" t="n">
        <f aca="false">IFERROR(F1415/INDEX($G$5:$G$34,MATCH(LOOKUP(2,1/($A$39:A1415&lt;&gt;""),$A$39:A1415),$A$5:$A$34,0)),0)</f>
        <v>0</v>
      </c>
      <c r="H1415" s="103" t="str">
        <f aca="false">IF(G1415=0,"空闲",IF(G1415&lt;=0.6,"低负荷",IF(G1415&lt;=0.85,"正常",IF(G1415&lt;=1,"满负荷","超负荷"))))</f>
        <v>空闲</v>
      </c>
      <c r="I1415" s="104" t="s">
        <v>638</v>
      </c>
      <c r="J1415" s="104"/>
      <c r="K1415" s="104"/>
      <c r="L1415" s="105" t="s">
        <v>639</v>
      </c>
    </row>
    <row r="1416" customFormat="false" ht="48" hidden="false" customHeight="true" outlineLevel="0" collapsed="false">
      <c r="A1416" s="99"/>
      <c r="B1416" s="100" t="n">
        <v>46244</v>
      </c>
      <c r="C1416" s="100" t="n">
        <v>46250</v>
      </c>
      <c r="D1416" s="99" t="s">
        <v>638</v>
      </c>
      <c r="E1416" s="99" t="n">
        <v>0</v>
      </c>
      <c r="F1416" s="101" t="n">
        <v>0</v>
      </c>
      <c r="G1416" s="102" t="n">
        <f aca="false">IFERROR(F1416/INDEX($G$5:$G$34,MATCH(LOOKUP(2,1/($A$39:A1416&lt;&gt;""),$A$39:A1416),$A$5:$A$34,0)),0)</f>
        <v>0</v>
      </c>
      <c r="H1416" s="103" t="str">
        <f aca="false">IF(G1416=0,"空闲",IF(G1416&lt;=0.6,"低负荷",IF(G1416&lt;=0.85,"正常",IF(G1416&lt;=1,"满负荷","超负荷"))))</f>
        <v>空闲</v>
      </c>
      <c r="I1416" s="104" t="s">
        <v>638</v>
      </c>
      <c r="J1416" s="104"/>
      <c r="K1416" s="104"/>
      <c r="L1416" s="105" t="s">
        <v>639</v>
      </c>
    </row>
    <row r="1417" customFormat="false" ht="48" hidden="false" customHeight="true" outlineLevel="0" collapsed="false">
      <c r="A1417" s="99"/>
      <c r="B1417" s="100" t="n">
        <v>46251</v>
      </c>
      <c r="C1417" s="100" t="n">
        <v>46257</v>
      </c>
      <c r="D1417" s="99" t="s">
        <v>638</v>
      </c>
      <c r="E1417" s="99" t="n">
        <v>0</v>
      </c>
      <c r="F1417" s="101" t="n">
        <v>0</v>
      </c>
      <c r="G1417" s="102" t="n">
        <f aca="false">IFERROR(F1417/INDEX($G$5:$G$34,MATCH(LOOKUP(2,1/($A$39:A1417&lt;&gt;""),$A$39:A1417),$A$5:$A$34,0)),0)</f>
        <v>0</v>
      </c>
      <c r="H1417" s="103" t="str">
        <f aca="false">IF(G1417=0,"空闲",IF(G1417&lt;=0.6,"低负荷",IF(G1417&lt;=0.85,"正常",IF(G1417&lt;=1,"满负荷","超负荷"))))</f>
        <v>空闲</v>
      </c>
      <c r="I1417" s="104" t="s">
        <v>638</v>
      </c>
      <c r="J1417" s="104"/>
      <c r="K1417" s="104"/>
      <c r="L1417" s="105" t="s">
        <v>639</v>
      </c>
    </row>
    <row r="1418" customFormat="false" ht="48" hidden="false" customHeight="true" outlineLevel="0" collapsed="false">
      <c r="A1418" s="99"/>
      <c r="B1418" s="100" t="n">
        <v>46258</v>
      </c>
      <c r="C1418" s="100" t="n">
        <v>46264</v>
      </c>
      <c r="D1418" s="99" t="s">
        <v>638</v>
      </c>
      <c r="E1418" s="99" t="n">
        <v>0</v>
      </c>
      <c r="F1418" s="101" t="n">
        <v>0</v>
      </c>
      <c r="G1418" s="102" t="n">
        <f aca="false">IFERROR(F1418/INDEX($G$5:$G$34,MATCH(LOOKUP(2,1/($A$39:A1418&lt;&gt;""),$A$39:A1418),$A$5:$A$34,0)),0)</f>
        <v>0</v>
      </c>
      <c r="H1418" s="103" t="str">
        <f aca="false">IF(G1418=0,"空闲",IF(G1418&lt;=0.6,"低负荷",IF(G1418&lt;=0.85,"正常",IF(G1418&lt;=1,"满负荷","超负荷"))))</f>
        <v>空闲</v>
      </c>
      <c r="I1418" s="104" t="s">
        <v>638</v>
      </c>
      <c r="J1418" s="104"/>
      <c r="K1418" s="104"/>
      <c r="L1418" s="105" t="s">
        <v>639</v>
      </c>
    </row>
    <row r="1419" customFormat="false" ht="48" hidden="false" customHeight="true" outlineLevel="0" collapsed="false">
      <c r="A1419" s="99"/>
      <c r="B1419" s="100" t="n">
        <v>46265</v>
      </c>
      <c r="C1419" s="100" t="n">
        <v>46271</v>
      </c>
      <c r="D1419" s="99" t="s">
        <v>638</v>
      </c>
      <c r="E1419" s="99" t="n">
        <v>0</v>
      </c>
      <c r="F1419" s="101" t="n">
        <v>0</v>
      </c>
      <c r="G1419" s="102" t="n">
        <f aca="false">IFERROR(F1419/INDEX($G$5:$G$34,MATCH(LOOKUP(2,1/($A$39:A1419&lt;&gt;""),$A$39:A1419),$A$5:$A$34,0)),0)</f>
        <v>0</v>
      </c>
      <c r="H1419" s="103" t="str">
        <f aca="false">IF(G1419=0,"空闲",IF(G1419&lt;=0.6,"低负荷",IF(G1419&lt;=0.85,"正常",IF(G1419&lt;=1,"满负荷","超负荷"))))</f>
        <v>空闲</v>
      </c>
      <c r="I1419" s="104" t="s">
        <v>638</v>
      </c>
      <c r="J1419" s="104"/>
      <c r="K1419" s="104"/>
      <c r="L1419" s="105" t="s">
        <v>639</v>
      </c>
    </row>
    <row r="1420" customFormat="false" ht="48" hidden="false" customHeight="true" outlineLevel="0" collapsed="false">
      <c r="A1420" s="99"/>
      <c r="B1420" s="100" t="n">
        <v>46272</v>
      </c>
      <c r="C1420" s="100" t="n">
        <v>46278</v>
      </c>
      <c r="D1420" s="99" t="s">
        <v>638</v>
      </c>
      <c r="E1420" s="99" t="n">
        <v>0</v>
      </c>
      <c r="F1420" s="101" t="n">
        <v>0</v>
      </c>
      <c r="G1420" s="102" t="n">
        <f aca="false">IFERROR(F1420/INDEX($G$5:$G$34,MATCH(LOOKUP(2,1/($A$39:A1420&lt;&gt;""),$A$39:A1420),$A$5:$A$34,0)),0)</f>
        <v>0</v>
      </c>
      <c r="H1420" s="103" t="str">
        <f aca="false">IF(G1420=0,"空闲",IF(G1420&lt;=0.6,"低负荷",IF(G1420&lt;=0.85,"正常",IF(G1420&lt;=1,"满负荷","超负荷"))))</f>
        <v>空闲</v>
      </c>
      <c r="I1420" s="104" t="s">
        <v>638</v>
      </c>
      <c r="J1420" s="104"/>
      <c r="K1420" s="104"/>
      <c r="L1420" s="105" t="s">
        <v>639</v>
      </c>
    </row>
    <row r="1421" customFormat="false" ht="48" hidden="false" customHeight="true" outlineLevel="0" collapsed="false">
      <c r="A1421" s="99"/>
      <c r="B1421" s="100" t="n">
        <v>46279</v>
      </c>
      <c r="C1421" s="100" t="n">
        <v>46285</v>
      </c>
      <c r="D1421" s="99" t="s">
        <v>638</v>
      </c>
      <c r="E1421" s="99" t="n">
        <v>0</v>
      </c>
      <c r="F1421" s="101" t="n">
        <v>0</v>
      </c>
      <c r="G1421" s="102" t="n">
        <f aca="false">IFERROR(F1421/INDEX($G$5:$G$34,MATCH(LOOKUP(2,1/($A$39:A1421&lt;&gt;""),$A$39:A1421),$A$5:$A$34,0)),0)</f>
        <v>0</v>
      </c>
      <c r="H1421" s="103" t="str">
        <f aca="false">IF(G1421=0,"空闲",IF(G1421&lt;=0.6,"低负荷",IF(G1421&lt;=0.85,"正常",IF(G1421&lt;=1,"满负荷","超负荷"))))</f>
        <v>空闲</v>
      </c>
      <c r="I1421" s="104" t="s">
        <v>638</v>
      </c>
      <c r="J1421" s="104"/>
      <c r="K1421" s="104"/>
      <c r="L1421" s="105" t="s">
        <v>639</v>
      </c>
    </row>
    <row r="1422" customFormat="false" ht="48" hidden="false" customHeight="true" outlineLevel="0" collapsed="false">
      <c r="A1422" s="99"/>
      <c r="B1422" s="100" t="n">
        <v>46286</v>
      </c>
      <c r="C1422" s="100" t="n">
        <v>46292</v>
      </c>
      <c r="D1422" s="99" t="s">
        <v>638</v>
      </c>
      <c r="E1422" s="99" t="n">
        <v>0</v>
      </c>
      <c r="F1422" s="101" t="n">
        <v>0</v>
      </c>
      <c r="G1422" s="102" t="n">
        <f aca="false">IFERROR(F1422/INDEX($G$5:$G$34,MATCH(LOOKUP(2,1/($A$39:A1422&lt;&gt;""),$A$39:A1422),$A$5:$A$34,0)),0)</f>
        <v>0</v>
      </c>
      <c r="H1422" s="103" t="str">
        <f aca="false">IF(G1422=0,"空闲",IF(G1422&lt;=0.6,"低负荷",IF(G1422&lt;=0.85,"正常",IF(G1422&lt;=1,"满负荷","超负荷"))))</f>
        <v>空闲</v>
      </c>
      <c r="I1422" s="104" t="s">
        <v>638</v>
      </c>
      <c r="J1422" s="104"/>
      <c r="K1422" s="104"/>
      <c r="L1422" s="105" t="s">
        <v>639</v>
      </c>
    </row>
    <row r="1423" customFormat="false" ht="48" hidden="false" customHeight="true" outlineLevel="0" collapsed="false">
      <c r="A1423" s="99"/>
      <c r="B1423" s="100" t="n">
        <v>46293</v>
      </c>
      <c r="C1423" s="100" t="n">
        <v>46299</v>
      </c>
      <c r="D1423" s="99" t="s">
        <v>638</v>
      </c>
      <c r="E1423" s="99" t="n">
        <v>0</v>
      </c>
      <c r="F1423" s="101" t="n">
        <v>0</v>
      </c>
      <c r="G1423" s="102" t="n">
        <f aca="false">IFERROR(F1423/INDEX($G$5:$G$34,MATCH(LOOKUP(2,1/($A$39:A1423&lt;&gt;""),$A$39:A1423),$A$5:$A$34,0)),0)</f>
        <v>0</v>
      </c>
      <c r="H1423" s="103" t="str">
        <f aca="false">IF(G1423=0,"空闲",IF(G1423&lt;=0.6,"低负荷",IF(G1423&lt;=0.85,"正常",IF(G1423&lt;=1,"满负荷","超负荷"))))</f>
        <v>空闲</v>
      </c>
      <c r="I1423" s="104" t="s">
        <v>638</v>
      </c>
      <c r="J1423" s="104"/>
      <c r="K1423" s="104"/>
      <c r="L1423" s="105" t="s">
        <v>639</v>
      </c>
    </row>
    <row r="1424" customFormat="false" ht="48" hidden="false" customHeight="true" outlineLevel="0" collapsed="false">
      <c r="A1424" s="99"/>
      <c r="B1424" s="100" t="n">
        <v>46300</v>
      </c>
      <c r="C1424" s="100" t="n">
        <v>46306</v>
      </c>
      <c r="D1424" s="99" t="s">
        <v>638</v>
      </c>
      <c r="E1424" s="99" t="n">
        <v>0</v>
      </c>
      <c r="F1424" s="101" t="n">
        <v>0</v>
      </c>
      <c r="G1424" s="102" t="n">
        <f aca="false">IFERROR(F1424/INDEX($G$5:$G$34,MATCH(LOOKUP(2,1/($A$39:A1424&lt;&gt;""),$A$39:A1424),$A$5:$A$34,0)),0)</f>
        <v>0</v>
      </c>
      <c r="H1424" s="103" t="str">
        <f aca="false">IF(G1424=0,"空闲",IF(G1424&lt;=0.6,"低负荷",IF(G1424&lt;=0.85,"正常",IF(G1424&lt;=1,"满负荷","超负荷"))))</f>
        <v>空闲</v>
      </c>
      <c r="I1424" s="104" t="s">
        <v>638</v>
      </c>
      <c r="J1424" s="104"/>
      <c r="K1424" s="104"/>
      <c r="L1424" s="105" t="s">
        <v>639</v>
      </c>
    </row>
    <row r="1425" customFormat="false" ht="48" hidden="false" customHeight="true" outlineLevel="0" collapsed="false">
      <c r="A1425" s="99"/>
      <c r="B1425" s="100" t="n">
        <v>46307</v>
      </c>
      <c r="C1425" s="100" t="n">
        <v>46313</v>
      </c>
      <c r="D1425" s="99" t="s">
        <v>638</v>
      </c>
      <c r="E1425" s="99" t="n">
        <v>0</v>
      </c>
      <c r="F1425" s="101" t="n">
        <v>0</v>
      </c>
      <c r="G1425" s="102" t="n">
        <f aca="false">IFERROR(F1425/INDEX($G$5:$G$34,MATCH(LOOKUP(2,1/($A$39:A1425&lt;&gt;""),$A$39:A1425),$A$5:$A$34,0)),0)</f>
        <v>0</v>
      </c>
      <c r="H1425" s="103" t="str">
        <f aca="false">IF(G1425=0,"空闲",IF(G1425&lt;=0.6,"低负荷",IF(G1425&lt;=0.85,"正常",IF(G1425&lt;=1,"满负荷","超负荷"))))</f>
        <v>空闲</v>
      </c>
      <c r="I1425" s="104" t="s">
        <v>638</v>
      </c>
      <c r="J1425" s="104"/>
      <c r="K1425" s="104"/>
      <c r="L1425" s="105" t="s">
        <v>639</v>
      </c>
    </row>
    <row r="1426" customFormat="false" ht="48" hidden="false" customHeight="true" outlineLevel="0" collapsed="false">
      <c r="A1426" s="99"/>
      <c r="B1426" s="100" t="n">
        <v>46314</v>
      </c>
      <c r="C1426" s="100" t="n">
        <v>46320</v>
      </c>
      <c r="D1426" s="99" t="s">
        <v>638</v>
      </c>
      <c r="E1426" s="99" t="n">
        <v>0</v>
      </c>
      <c r="F1426" s="101" t="n">
        <v>0</v>
      </c>
      <c r="G1426" s="102" t="n">
        <f aca="false">IFERROR(F1426/INDEX($G$5:$G$34,MATCH(LOOKUP(2,1/($A$39:A1426&lt;&gt;""),$A$39:A1426),$A$5:$A$34,0)),0)</f>
        <v>0</v>
      </c>
      <c r="H1426" s="103" t="str">
        <f aca="false">IF(G1426=0,"空闲",IF(G1426&lt;=0.6,"低负荷",IF(G1426&lt;=0.85,"正常",IF(G1426&lt;=1,"满负荷","超负荷"))))</f>
        <v>空闲</v>
      </c>
      <c r="I1426" s="104" t="s">
        <v>638</v>
      </c>
      <c r="J1426" s="104"/>
      <c r="K1426" s="104"/>
      <c r="L1426" s="105" t="s">
        <v>639</v>
      </c>
    </row>
    <row r="1427" customFormat="false" ht="48" hidden="false" customHeight="true" outlineLevel="0" collapsed="false">
      <c r="A1427" s="99"/>
      <c r="B1427" s="100" t="n">
        <v>46321</v>
      </c>
      <c r="C1427" s="100" t="n">
        <v>46327</v>
      </c>
      <c r="D1427" s="99" t="s">
        <v>638</v>
      </c>
      <c r="E1427" s="99" t="n">
        <v>0</v>
      </c>
      <c r="F1427" s="101" t="n">
        <v>0</v>
      </c>
      <c r="G1427" s="102" t="n">
        <f aca="false">IFERROR(F1427/INDEX($G$5:$G$34,MATCH(LOOKUP(2,1/($A$39:A1427&lt;&gt;""),$A$39:A1427),$A$5:$A$34,0)),0)</f>
        <v>0</v>
      </c>
      <c r="H1427" s="103" t="str">
        <f aca="false">IF(G1427=0,"空闲",IF(G1427&lt;=0.6,"低负荷",IF(G1427&lt;=0.85,"正常",IF(G1427&lt;=1,"满负荷","超负荷"))))</f>
        <v>空闲</v>
      </c>
      <c r="I1427" s="104" t="s">
        <v>638</v>
      </c>
      <c r="J1427" s="104"/>
      <c r="K1427" s="104"/>
      <c r="L1427" s="105" t="s">
        <v>639</v>
      </c>
    </row>
    <row r="1428" customFormat="false" ht="48" hidden="false" customHeight="true" outlineLevel="0" collapsed="false">
      <c r="A1428" s="99"/>
      <c r="B1428" s="100" t="n">
        <v>46328</v>
      </c>
      <c r="C1428" s="100" t="n">
        <v>46334</v>
      </c>
      <c r="D1428" s="99" t="s">
        <v>638</v>
      </c>
      <c r="E1428" s="99" t="n">
        <v>0</v>
      </c>
      <c r="F1428" s="101" t="n">
        <v>0</v>
      </c>
      <c r="G1428" s="102" t="n">
        <f aca="false">IFERROR(F1428/INDEX($G$5:$G$34,MATCH(LOOKUP(2,1/($A$39:A1428&lt;&gt;""),$A$39:A1428),$A$5:$A$34,0)),0)</f>
        <v>0</v>
      </c>
      <c r="H1428" s="103" t="str">
        <f aca="false">IF(G1428=0,"空闲",IF(G1428&lt;=0.6,"低负荷",IF(G1428&lt;=0.85,"正常",IF(G1428&lt;=1,"满负荷","超负荷"))))</f>
        <v>空闲</v>
      </c>
      <c r="I1428" s="104" t="s">
        <v>638</v>
      </c>
      <c r="J1428" s="104"/>
      <c r="K1428" s="104"/>
      <c r="L1428" s="105" t="s">
        <v>639</v>
      </c>
    </row>
    <row r="1429" customFormat="false" ht="48" hidden="false" customHeight="true" outlineLevel="0" collapsed="false">
      <c r="A1429" s="99"/>
      <c r="B1429" s="100" t="n">
        <v>46335</v>
      </c>
      <c r="C1429" s="100" t="n">
        <v>46341</v>
      </c>
      <c r="D1429" s="99" t="s">
        <v>638</v>
      </c>
      <c r="E1429" s="99" t="n">
        <v>0</v>
      </c>
      <c r="F1429" s="101" t="n">
        <v>0</v>
      </c>
      <c r="G1429" s="102" t="n">
        <f aca="false">IFERROR(F1429/INDEX($G$5:$G$34,MATCH(LOOKUP(2,1/($A$39:A1429&lt;&gt;""),$A$39:A1429),$A$5:$A$34,0)),0)</f>
        <v>0</v>
      </c>
      <c r="H1429" s="103" t="str">
        <f aca="false">IF(G1429=0,"空闲",IF(G1429&lt;=0.6,"低负荷",IF(G1429&lt;=0.85,"正常",IF(G1429&lt;=1,"满负荷","超负荷"))))</f>
        <v>空闲</v>
      </c>
      <c r="I1429" s="104" t="s">
        <v>638</v>
      </c>
      <c r="J1429" s="104"/>
      <c r="K1429" s="104"/>
      <c r="L1429" s="105" t="s">
        <v>639</v>
      </c>
    </row>
    <row r="1430" customFormat="false" ht="48" hidden="false" customHeight="true" outlineLevel="0" collapsed="false">
      <c r="A1430" s="99"/>
      <c r="B1430" s="100" t="n">
        <v>46342</v>
      </c>
      <c r="C1430" s="100" t="n">
        <v>46348</v>
      </c>
      <c r="D1430" s="99" t="s">
        <v>638</v>
      </c>
      <c r="E1430" s="99" t="n">
        <v>0</v>
      </c>
      <c r="F1430" s="101" t="n">
        <v>0</v>
      </c>
      <c r="G1430" s="102" t="n">
        <f aca="false">IFERROR(F1430/INDEX($G$5:$G$34,MATCH(LOOKUP(2,1/($A$39:A1430&lt;&gt;""),$A$39:A1430),$A$5:$A$34,0)),0)</f>
        <v>0</v>
      </c>
      <c r="H1430" s="103" t="str">
        <f aca="false">IF(G1430=0,"空闲",IF(G1430&lt;=0.6,"低负荷",IF(G1430&lt;=0.85,"正常",IF(G1430&lt;=1,"满负荷","超负荷"))))</f>
        <v>空闲</v>
      </c>
      <c r="I1430" s="104" t="s">
        <v>638</v>
      </c>
      <c r="J1430" s="104"/>
      <c r="K1430" s="104"/>
      <c r="L1430" s="105" t="s">
        <v>639</v>
      </c>
    </row>
    <row r="1431" customFormat="false" ht="48" hidden="false" customHeight="true" outlineLevel="0" collapsed="false">
      <c r="A1431" s="99"/>
      <c r="B1431" s="100" t="n">
        <v>46349</v>
      </c>
      <c r="C1431" s="100" t="n">
        <v>46355</v>
      </c>
      <c r="D1431" s="99" t="s">
        <v>640</v>
      </c>
      <c r="E1431" s="99" t="n">
        <v>1</v>
      </c>
      <c r="F1431" s="101" t="n">
        <v>40</v>
      </c>
      <c r="G1431" s="102" t="n">
        <f aca="false">IFERROR(F1431/INDEX($G$5:$G$34,MATCH(LOOKUP(2,1/($A$39:A1431&lt;&gt;""),$A$39:A1431),$A$5:$A$34,0)),0)</f>
        <v>1</v>
      </c>
      <c r="H1431" s="103" t="str">
        <f aca="false">IF(G1431=0,"空闲",IF(G1431&lt;=0.6,"低负荷",IF(G1431&lt;=0.85,"正常",IF(G1431&lt;=1,"满负荷","超负荷"))))</f>
        <v>满负荷</v>
      </c>
      <c r="I1431" s="106" t="s">
        <v>712</v>
      </c>
      <c r="J1431" s="106"/>
      <c r="K1431" s="106"/>
      <c r="L1431" s="105" t="s">
        <v>642</v>
      </c>
    </row>
    <row r="1432" customFormat="false" ht="48" hidden="false" customHeight="true" outlineLevel="0" collapsed="false">
      <c r="A1432" s="99"/>
      <c r="B1432" s="100" t="n">
        <v>46356</v>
      </c>
      <c r="C1432" s="100" t="n">
        <v>46362</v>
      </c>
      <c r="D1432" s="99" t="s">
        <v>640</v>
      </c>
      <c r="E1432" s="99" t="n">
        <v>1</v>
      </c>
      <c r="F1432" s="101" t="n">
        <v>40</v>
      </c>
      <c r="G1432" s="102" t="n">
        <f aca="false">IFERROR(F1432/INDEX($G$5:$G$34,MATCH(LOOKUP(2,1/($A$39:A1432&lt;&gt;""),$A$39:A1432),$A$5:$A$34,0)),0)</f>
        <v>1</v>
      </c>
      <c r="H1432" s="103" t="str">
        <f aca="false">IF(G1432=0,"空闲",IF(G1432&lt;=0.6,"低负荷",IF(G1432&lt;=0.85,"正常",IF(G1432&lt;=1,"满负荷","超负荷"))))</f>
        <v>满负荷</v>
      </c>
      <c r="I1432" s="106" t="s">
        <v>712</v>
      </c>
      <c r="J1432" s="106"/>
      <c r="K1432" s="106"/>
      <c r="L1432" s="105" t="s">
        <v>642</v>
      </c>
    </row>
    <row r="1433" customFormat="false" ht="48" hidden="false" customHeight="true" outlineLevel="0" collapsed="false">
      <c r="A1433" s="99"/>
      <c r="B1433" s="100" t="n">
        <v>46363</v>
      </c>
      <c r="C1433" s="100" t="n">
        <v>46369</v>
      </c>
      <c r="D1433" s="99" t="s">
        <v>640</v>
      </c>
      <c r="E1433" s="99" t="n">
        <v>5</v>
      </c>
      <c r="F1433" s="101" t="n">
        <v>40</v>
      </c>
      <c r="G1433" s="102" t="n">
        <f aca="false">IFERROR(F1433/INDEX($G$5:$G$34,MATCH(LOOKUP(2,1/($A$39:A1433&lt;&gt;""),$A$39:A1433),$A$5:$A$34,0)),0)</f>
        <v>1</v>
      </c>
      <c r="H1433" s="103" t="str">
        <f aca="false">IF(G1433=0,"空闲",IF(G1433&lt;=0.6,"低负荷",IF(G1433&lt;=0.85,"正常",IF(G1433&lt;=1,"满负荷","超负荷"))))</f>
        <v>满负荷</v>
      </c>
      <c r="I1433" s="106" t="s">
        <v>748</v>
      </c>
      <c r="J1433" s="106"/>
      <c r="K1433" s="106"/>
      <c r="L1433" s="105" t="s">
        <v>717</v>
      </c>
    </row>
    <row r="1434" customFormat="false" ht="48" hidden="false" customHeight="true" outlineLevel="0" collapsed="false">
      <c r="A1434" s="99"/>
      <c r="B1434" s="100" t="n">
        <v>46370</v>
      </c>
      <c r="C1434" s="100" t="n">
        <v>46376</v>
      </c>
      <c r="D1434" s="99" t="s">
        <v>640</v>
      </c>
      <c r="E1434" s="99" t="n">
        <v>5</v>
      </c>
      <c r="F1434" s="101" t="n">
        <v>40</v>
      </c>
      <c r="G1434" s="102" t="n">
        <f aca="false">IFERROR(F1434/INDEX($G$5:$G$34,MATCH(LOOKUP(2,1/($A$39:A1434&lt;&gt;""),$A$39:A1434),$A$5:$A$34,0)),0)</f>
        <v>1</v>
      </c>
      <c r="H1434" s="103" t="str">
        <f aca="false">IF(G1434=0,"空闲",IF(G1434&lt;=0.6,"低负荷",IF(G1434&lt;=0.85,"正常",IF(G1434&lt;=1,"满负荷","超负荷"))))</f>
        <v>满负荷</v>
      </c>
      <c r="I1434" s="106" t="s">
        <v>748</v>
      </c>
      <c r="J1434" s="106"/>
      <c r="K1434" s="106"/>
      <c r="L1434" s="105" t="s">
        <v>717</v>
      </c>
    </row>
    <row r="1435" customFormat="false" ht="48" hidden="false" customHeight="true" outlineLevel="0" collapsed="false">
      <c r="A1435" s="99"/>
      <c r="B1435" s="100" t="n">
        <v>46377</v>
      </c>
      <c r="C1435" s="100" t="n">
        <v>46383</v>
      </c>
      <c r="D1435" s="99" t="s">
        <v>640</v>
      </c>
      <c r="E1435" s="99" t="n">
        <v>5</v>
      </c>
      <c r="F1435" s="101" t="n">
        <v>40</v>
      </c>
      <c r="G1435" s="102" t="n">
        <f aca="false">IFERROR(F1435/INDEX($G$5:$G$34,MATCH(LOOKUP(2,1/($A$39:A1435&lt;&gt;""),$A$39:A1435),$A$5:$A$34,0)),0)</f>
        <v>1</v>
      </c>
      <c r="H1435" s="103" t="str">
        <f aca="false">IF(G1435=0,"空闲",IF(G1435&lt;=0.6,"低负荷",IF(G1435&lt;=0.85,"正常",IF(G1435&lt;=1,"满负荷","超负荷"))))</f>
        <v>满负荷</v>
      </c>
      <c r="I1435" s="106" t="s">
        <v>748</v>
      </c>
      <c r="J1435" s="106"/>
      <c r="K1435" s="106"/>
      <c r="L1435" s="105" t="s">
        <v>717</v>
      </c>
    </row>
    <row r="1436" customFormat="false" ht="48" hidden="false" customHeight="true" outlineLevel="0" collapsed="false">
      <c r="A1436" s="99"/>
      <c r="B1436" s="100" t="n">
        <v>46384</v>
      </c>
      <c r="C1436" s="100" t="n">
        <v>46390</v>
      </c>
      <c r="D1436" s="99" t="s">
        <v>640</v>
      </c>
      <c r="E1436" s="99" t="n">
        <v>5</v>
      </c>
      <c r="F1436" s="101" t="n">
        <v>40</v>
      </c>
      <c r="G1436" s="102" t="n">
        <f aca="false">IFERROR(F1436/INDEX($G$5:$G$34,MATCH(LOOKUP(2,1/($A$39:A1436&lt;&gt;""),$A$39:A1436),$A$5:$A$34,0)),0)</f>
        <v>1</v>
      </c>
      <c r="H1436" s="103" t="str">
        <f aca="false">IF(G1436=0,"空闲",IF(G1436&lt;=0.6,"低负荷",IF(G1436&lt;=0.85,"正常",IF(G1436&lt;=1,"满负荷","超负荷"))))</f>
        <v>满负荷</v>
      </c>
      <c r="I1436" s="106" t="s">
        <v>748</v>
      </c>
      <c r="J1436" s="106"/>
      <c r="K1436" s="106"/>
      <c r="L1436" s="105" t="s">
        <v>717</v>
      </c>
    </row>
    <row r="1437" customFormat="false" ht="48" hidden="false" customHeight="true" outlineLevel="0" collapsed="false">
      <c r="A1437" s="99"/>
      <c r="B1437" s="100" t="n">
        <v>46391</v>
      </c>
      <c r="C1437" s="100" t="n">
        <v>46397</v>
      </c>
      <c r="D1437" s="99" t="s">
        <v>640</v>
      </c>
      <c r="E1437" s="99" t="n">
        <v>5</v>
      </c>
      <c r="F1437" s="101" t="n">
        <v>40</v>
      </c>
      <c r="G1437" s="102" t="n">
        <f aca="false">IFERROR(F1437/INDEX($G$5:$G$34,MATCH(LOOKUP(2,1/($A$39:A1437&lt;&gt;""),$A$39:A1437),$A$5:$A$34,0)),0)</f>
        <v>1</v>
      </c>
      <c r="H1437" s="103" t="str">
        <f aca="false">IF(G1437=0,"空闲",IF(G1437&lt;=0.6,"低负荷",IF(G1437&lt;=0.85,"正常",IF(G1437&lt;=1,"满负荷","超负荷"))))</f>
        <v>满负荷</v>
      </c>
      <c r="I1437" s="106" t="s">
        <v>748</v>
      </c>
      <c r="J1437" s="106"/>
      <c r="K1437" s="106"/>
      <c r="L1437" s="105" t="s">
        <v>717</v>
      </c>
    </row>
    <row r="1438" customFormat="false" ht="48" hidden="false" customHeight="true" outlineLevel="0" collapsed="false">
      <c r="A1438" s="99"/>
      <c r="B1438" s="100" t="n">
        <v>46398</v>
      </c>
      <c r="C1438" s="100" t="n">
        <v>46404</v>
      </c>
      <c r="D1438" s="99" t="s">
        <v>640</v>
      </c>
      <c r="E1438" s="99" t="n">
        <v>5</v>
      </c>
      <c r="F1438" s="101" t="n">
        <v>40</v>
      </c>
      <c r="G1438" s="102" t="n">
        <f aca="false">IFERROR(F1438/INDEX($G$5:$G$34,MATCH(LOOKUP(2,1/($A$39:A1438&lt;&gt;""),$A$39:A1438),$A$5:$A$34,0)),0)</f>
        <v>1</v>
      </c>
      <c r="H1438" s="103" t="str">
        <f aca="false">IF(G1438=0,"空闲",IF(G1438&lt;=0.6,"低负荷",IF(G1438&lt;=0.85,"正常",IF(G1438&lt;=1,"满负荷","超负荷"))))</f>
        <v>满负荷</v>
      </c>
      <c r="I1438" s="106" t="s">
        <v>748</v>
      </c>
      <c r="J1438" s="106"/>
      <c r="K1438" s="106"/>
      <c r="L1438" s="105" t="s">
        <v>717</v>
      </c>
    </row>
    <row r="1439" customFormat="false" ht="48" hidden="false" customHeight="true" outlineLevel="0" collapsed="false">
      <c r="A1439" s="99"/>
      <c r="B1439" s="100" t="n">
        <v>46405</v>
      </c>
      <c r="C1439" s="100" t="n">
        <v>46411</v>
      </c>
      <c r="D1439" s="99" t="s">
        <v>640</v>
      </c>
      <c r="E1439" s="99" t="n">
        <v>5</v>
      </c>
      <c r="F1439" s="101" t="n">
        <v>40</v>
      </c>
      <c r="G1439" s="102" t="n">
        <f aca="false">IFERROR(F1439/INDEX($G$5:$G$34,MATCH(LOOKUP(2,1/($A$39:A1439&lt;&gt;""),$A$39:A1439),$A$5:$A$34,0)),0)</f>
        <v>1</v>
      </c>
      <c r="H1439" s="103" t="str">
        <f aca="false">IF(G1439=0,"空闲",IF(G1439&lt;=0.6,"低负荷",IF(G1439&lt;=0.85,"正常",IF(G1439&lt;=1,"满负荷","超负荷"))))</f>
        <v>满负荷</v>
      </c>
      <c r="I1439" s="106" t="s">
        <v>748</v>
      </c>
      <c r="J1439" s="106"/>
      <c r="K1439" s="106"/>
      <c r="L1439" s="105" t="s">
        <v>717</v>
      </c>
    </row>
    <row r="1440" customFormat="false" ht="48" hidden="false" customHeight="true" outlineLevel="0" collapsed="false">
      <c r="A1440" s="99"/>
      <c r="B1440" s="100" t="n">
        <v>46412</v>
      </c>
      <c r="C1440" s="100" t="n">
        <v>46418</v>
      </c>
      <c r="D1440" s="99" t="s">
        <v>640</v>
      </c>
      <c r="E1440" s="99" t="n">
        <v>5</v>
      </c>
      <c r="F1440" s="101" t="n">
        <v>40</v>
      </c>
      <c r="G1440" s="102" t="n">
        <f aca="false">IFERROR(F1440/INDEX($G$5:$G$34,MATCH(LOOKUP(2,1/($A$39:A1440&lt;&gt;""),$A$39:A1440),$A$5:$A$34,0)),0)</f>
        <v>1</v>
      </c>
      <c r="H1440" s="103" t="str">
        <f aca="false">IF(G1440=0,"空闲",IF(G1440&lt;=0.6,"低负荷",IF(G1440&lt;=0.85,"正常",IF(G1440&lt;=1,"满负荷","超负荷"))))</f>
        <v>满负荷</v>
      </c>
      <c r="I1440" s="106" t="s">
        <v>748</v>
      </c>
      <c r="J1440" s="106"/>
      <c r="K1440" s="106"/>
      <c r="L1440" s="105" t="s">
        <v>717</v>
      </c>
    </row>
    <row r="1441" customFormat="false" ht="48" hidden="false" customHeight="true" outlineLevel="0" collapsed="false">
      <c r="A1441" s="99"/>
      <c r="B1441" s="100" t="n">
        <v>46419</v>
      </c>
      <c r="C1441" s="100" t="n">
        <v>46425</v>
      </c>
      <c r="D1441" s="99" t="s">
        <v>640</v>
      </c>
      <c r="E1441" s="99" t="n">
        <v>5</v>
      </c>
      <c r="F1441" s="101" t="n">
        <v>40</v>
      </c>
      <c r="G1441" s="102" t="n">
        <f aca="false">IFERROR(F1441/INDEX($G$5:$G$34,MATCH(LOOKUP(2,1/($A$39:A1441&lt;&gt;""),$A$39:A1441),$A$5:$A$34,0)),0)</f>
        <v>1</v>
      </c>
      <c r="H1441" s="103" t="str">
        <f aca="false">IF(G1441=0,"空闲",IF(G1441&lt;=0.6,"低负荷",IF(G1441&lt;=0.85,"正常",IF(G1441&lt;=1,"满负荷","超负荷"))))</f>
        <v>满负荷</v>
      </c>
      <c r="I1441" s="106" t="s">
        <v>748</v>
      </c>
      <c r="J1441" s="106"/>
      <c r="K1441" s="106"/>
      <c r="L1441" s="105" t="s">
        <v>717</v>
      </c>
    </row>
    <row r="1442" customFormat="false" ht="48" hidden="false" customHeight="true" outlineLevel="0" collapsed="false">
      <c r="A1442" s="99"/>
      <c r="B1442" s="100" t="n">
        <v>46426</v>
      </c>
      <c r="C1442" s="100" t="n">
        <v>46432</v>
      </c>
      <c r="D1442" s="99" t="s">
        <v>640</v>
      </c>
      <c r="E1442" s="99" t="n">
        <v>6</v>
      </c>
      <c r="F1442" s="101" t="n">
        <v>40</v>
      </c>
      <c r="G1442" s="102" t="n">
        <f aca="false">IFERROR(F1442/INDEX($G$5:$G$34,MATCH(LOOKUP(2,1/($A$39:A1442&lt;&gt;""),$A$39:A1442),$A$5:$A$34,0)),0)</f>
        <v>1</v>
      </c>
      <c r="H1442" s="103" t="str">
        <f aca="false">IF(G1442=0,"空闲",IF(G1442&lt;=0.6,"低负荷",IF(G1442&lt;=0.85,"正常",IF(G1442&lt;=1,"满负荷","超负荷"))))</f>
        <v>满负荷</v>
      </c>
      <c r="I1442" s="106" t="s">
        <v>751</v>
      </c>
      <c r="J1442" s="106"/>
      <c r="K1442" s="106"/>
      <c r="L1442" s="105" t="s">
        <v>676</v>
      </c>
    </row>
    <row r="1443" customFormat="false" ht="48" hidden="false" customHeight="true" outlineLevel="0" collapsed="false">
      <c r="A1443" s="99"/>
      <c r="B1443" s="100" t="n">
        <v>46433</v>
      </c>
      <c r="C1443" s="100" t="n">
        <v>46439</v>
      </c>
      <c r="D1443" s="99" t="s">
        <v>640</v>
      </c>
      <c r="E1443" s="99" t="n">
        <v>1</v>
      </c>
      <c r="F1443" s="101" t="n">
        <v>40</v>
      </c>
      <c r="G1443" s="102" t="n">
        <f aca="false">IFERROR(F1443/INDEX($G$5:$G$34,MATCH(LOOKUP(2,1/($A$39:A1443&lt;&gt;""),$A$39:A1443),$A$5:$A$34,0)),0)</f>
        <v>1</v>
      </c>
      <c r="H1443" s="103" t="str">
        <f aca="false">IF(G1443=0,"空闲",IF(G1443&lt;=0.6,"低负荷",IF(G1443&lt;=0.85,"正常",IF(G1443&lt;=1,"满负荷","超负荷"))))</f>
        <v>满负荷</v>
      </c>
      <c r="I1443" s="106" t="s">
        <v>752</v>
      </c>
      <c r="J1443" s="106"/>
      <c r="K1443" s="106"/>
      <c r="L1443" s="105" t="s">
        <v>642</v>
      </c>
    </row>
    <row r="1444" customFormat="false" ht="48" hidden="false" customHeight="true" outlineLevel="0" collapsed="false">
      <c r="A1444" s="99"/>
      <c r="B1444" s="100" t="n">
        <v>46440</v>
      </c>
      <c r="C1444" s="100" t="n">
        <v>46446</v>
      </c>
      <c r="D1444" s="99" t="s">
        <v>638</v>
      </c>
      <c r="E1444" s="99" t="n">
        <v>0</v>
      </c>
      <c r="F1444" s="101" t="n">
        <v>0</v>
      </c>
      <c r="G1444" s="102" t="n">
        <f aca="false">IFERROR(F1444/INDEX($G$5:$G$34,MATCH(LOOKUP(2,1/($A$39:A1444&lt;&gt;""),$A$39:A1444),$A$5:$A$34,0)),0)</f>
        <v>0</v>
      </c>
      <c r="H1444" s="103" t="str">
        <f aca="false">IF(G1444=0,"空闲",IF(G1444&lt;=0.6,"低负荷",IF(G1444&lt;=0.85,"正常",IF(G1444&lt;=1,"满负荷","超负荷"))))</f>
        <v>空闲</v>
      </c>
      <c r="I1444" s="104" t="s">
        <v>638</v>
      </c>
      <c r="J1444" s="104"/>
      <c r="K1444" s="104"/>
      <c r="L1444" s="105" t="s">
        <v>639</v>
      </c>
    </row>
    <row r="1445" customFormat="false" ht="48" hidden="false" customHeight="true" outlineLevel="0" collapsed="false">
      <c r="A1445" s="99"/>
      <c r="B1445" s="100" t="n">
        <v>46447</v>
      </c>
      <c r="C1445" s="100" t="n">
        <v>46453</v>
      </c>
      <c r="D1445" s="99" t="s">
        <v>638</v>
      </c>
      <c r="E1445" s="99" t="n">
        <v>0</v>
      </c>
      <c r="F1445" s="101" t="n">
        <v>0</v>
      </c>
      <c r="G1445" s="102" t="n">
        <f aca="false">IFERROR(F1445/INDEX($G$5:$G$34,MATCH(LOOKUP(2,1/($A$39:A1445&lt;&gt;""),$A$39:A1445),$A$5:$A$34,0)),0)</f>
        <v>0</v>
      </c>
      <c r="H1445" s="103" t="str">
        <f aca="false">IF(G1445=0,"空闲",IF(G1445&lt;=0.6,"低负荷",IF(G1445&lt;=0.85,"正常",IF(G1445&lt;=1,"满负荷","超负荷"))))</f>
        <v>空闲</v>
      </c>
      <c r="I1445" s="104" t="s">
        <v>638</v>
      </c>
      <c r="J1445" s="104"/>
      <c r="K1445" s="104"/>
      <c r="L1445" s="105" t="s">
        <v>639</v>
      </c>
    </row>
    <row r="1446" customFormat="false" ht="48" hidden="false" customHeight="true" outlineLevel="0" collapsed="false">
      <c r="A1446" s="99"/>
      <c r="B1446" s="100" t="n">
        <v>46454</v>
      </c>
      <c r="C1446" s="100" t="n">
        <v>46460</v>
      </c>
      <c r="D1446" s="99" t="s">
        <v>638</v>
      </c>
      <c r="E1446" s="99" t="n">
        <v>0</v>
      </c>
      <c r="F1446" s="101" t="n">
        <v>0</v>
      </c>
      <c r="G1446" s="102" t="n">
        <f aca="false">IFERROR(F1446/INDEX($G$5:$G$34,MATCH(LOOKUP(2,1/($A$39:A1446&lt;&gt;""),$A$39:A1446),$A$5:$A$34,0)),0)</f>
        <v>0</v>
      </c>
      <c r="H1446" s="103" t="str">
        <f aca="false">IF(G1446=0,"空闲",IF(G1446&lt;=0.6,"低负荷",IF(G1446&lt;=0.85,"正常",IF(G1446&lt;=1,"满负荷","超负荷"))))</f>
        <v>空闲</v>
      </c>
      <c r="I1446" s="104" t="s">
        <v>638</v>
      </c>
      <c r="J1446" s="104"/>
      <c r="K1446" s="104"/>
      <c r="L1446" s="105" t="s">
        <v>639</v>
      </c>
    </row>
    <row r="1447" customFormat="false" ht="48" hidden="false" customHeight="true" outlineLevel="0" collapsed="false">
      <c r="A1447" s="99"/>
      <c r="B1447" s="100" t="n">
        <v>46461</v>
      </c>
      <c r="C1447" s="100" t="n">
        <v>46467</v>
      </c>
      <c r="D1447" s="99" t="s">
        <v>638</v>
      </c>
      <c r="E1447" s="99" t="n">
        <v>0</v>
      </c>
      <c r="F1447" s="101" t="n">
        <v>0</v>
      </c>
      <c r="G1447" s="102" t="n">
        <f aca="false">IFERROR(F1447/INDEX($G$5:$G$34,MATCH(LOOKUP(2,1/($A$39:A1447&lt;&gt;""),$A$39:A1447),$A$5:$A$34,0)),0)</f>
        <v>0</v>
      </c>
      <c r="H1447" s="103" t="str">
        <f aca="false">IF(G1447=0,"空闲",IF(G1447&lt;=0.6,"低负荷",IF(G1447&lt;=0.85,"正常",IF(G1447&lt;=1,"满负荷","超负荷"))))</f>
        <v>空闲</v>
      </c>
      <c r="I1447" s="104" t="s">
        <v>638</v>
      </c>
      <c r="J1447" s="104"/>
      <c r="K1447" s="104"/>
      <c r="L1447" s="105" t="s">
        <v>639</v>
      </c>
    </row>
    <row r="1448" customFormat="false" ht="48" hidden="false" customHeight="true" outlineLevel="0" collapsed="false">
      <c r="A1448" s="99"/>
      <c r="B1448" s="100" t="n">
        <v>46468</v>
      </c>
      <c r="C1448" s="100" t="n">
        <v>46474</v>
      </c>
      <c r="D1448" s="99" t="s">
        <v>638</v>
      </c>
      <c r="E1448" s="99" t="n">
        <v>0</v>
      </c>
      <c r="F1448" s="101" t="n">
        <v>0</v>
      </c>
      <c r="G1448" s="102" t="n">
        <f aca="false">IFERROR(F1448/INDEX($G$5:$G$34,MATCH(LOOKUP(2,1/($A$39:A1448&lt;&gt;""),$A$39:A1448),$A$5:$A$34,0)),0)</f>
        <v>0</v>
      </c>
      <c r="H1448" s="103" t="str">
        <f aca="false">IF(G1448=0,"空闲",IF(G1448&lt;=0.6,"低负荷",IF(G1448&lt;=0.85,"正常",IF(G1448&lt;=1,"满负荷","超负荷"))))</f>
        <v>空闲</v>
      </c>
      <c r="I1448" s="104" t="s">
        <v>638</v>
      </c>
      <c r="J1448" s="104"/>
      <c r="K1448" s="104"/>
      <c r="L1448" s="105" t="s">
        <v>639</v>
      </c>
    </row>
    <row r="1449" customFormat="false" ht="48" hidden="false" customHeight="true" outlineLevel="0" collapsed="false">
      <c r="A1449" s="99"/>
      <c r="B1449" s="100" t="n">
        <v>46475</v>
      </c>
      <c r="C1449" s="100" t="n">
        <v>46481</v>
      </c>
      <c r="D1449" s="99" t="s">
        <v>638</v>
      </c>
      <c r="E1449" s="99" t="n">
        <v>0</v>
      </c>
      <c r="F1449" s="101" t="n">
        <v>0</v>
      </c>
      <c r="G1449" s="102" t="n">
        <f aca="false">IFERROR(F1449/INDEX($G$5:$G$34,MATCH(LOOKUP(2,1/($A$39:A1449&lt;&gt;""),$A$39:A1449),$A$5:$A$34,0)),0)</f>
        <v>0</v>
      </c>
      <c r="H1449" s="103" t="str">
        <f aca="false">IF(G1449=0,"空闲",IF(G1449&lt;=0.6,"低负荷",IF(G1449&lt;=0.85,"正常",IF(G1449&lt;=1,"满负荷","超负荷"))))</f>
        <v>空闲</v>
      </c>
      <c r="I1449" s="104" t="s">
        <v>638</v>
      </c>
      <c r="J1449" s="104"/>
      <c r="K1449" s="104"/>
      <c r="L1449" s="105" t="s">
        <v>639</v>
      </c>
    </row>
    <row r="1450" customFormat="false" ht="48" hidden="false" customHeight="true" outlineLevel="0" collapsed="false">
      <c r="A1450" s="99"/>
      <c r="B1450" s="100" t="n">
        <v>46482</v>
      </c>
      <c r="C1450" s="100" t="n">
        <v>46488</v>
      </c>
      <c r="D1450" s="99" t="s">
        <v>638</v>
      </c>
      <c r="E1450" s="99" t="n">
        <v>0</v>
      </c>
      <c r="F1450" s="101" t="n">
        <v>0</v>
      </c>
      <c r="G1450" s="102" t="n">
        <f aca="false">IFERROR(F1450/INDEX($G$5:$G$34,MATCH(LOOKUP(2,1/($A$39:A1450&lt;&gt;""),$A$39:A1450),$A$5:$A$34,0)),0)</f>
        <v>0</v>
      </c>
      <c r="H1450" s="103" t="str">
        <f aca="false">IF(G1450=0,"空闲",IF(G1450&lt;=0.6,"低负荷",IF(G1450&lt;=0.85,"正常",IF(G1450&lt;=1,"满负荷","超负荷"))))</f>
        <v>空闲</v>
      </c>
      <c r="I1450" s="104" t="s">
        <v>638</v>
      </c>
      <c r="J1450" s="104"/>
      <c r="K1450" s="104"/>
      <c r="L1450" s="105" t="s">
        <v>639</v>
      </c>
    </row>
    <row r="1451" customFormat="false" ht="48" hidden="false" customHeight="true" outlineLevel="0" collapsed="false">
      <c r="A1451" s="99"/>
      <c r="B1451" s="100" t="n">
        <v>46489</v>
      </c>
      <c r="C1451" s="100" t="n">
        <v>46495</v>
      </c>
      <c r="D1451" s="99" t="s">
        <v>638</v>
      </c>
      <c r="E1451" s="99" t="n">
        <v>0</v>
      </c>
      <c r="F1451" s="101" t="n">
        <v>0</v>
      </c>
      <c r="G1451" s="102" t="n">
        <f aca="false">IFERROR(F1451/INDEX($G$5:$G$34,MATCH(LOOKUP(2,1/($A$39:A1451&lt;&gt;""),$A$39:A1451),$A$5:$A$34,0)),0)</f>
        <v>0</v>
      </c>
      <c r="H1451" s="103" t="str">
        <f aca="false">IF(G1451=0,"空闲",IF(G1451&lt;=0.6,"低负荷",IF(G1451&lt;=0.85,"正常",IF(G1451&lt;=1,"满负荷","超负荷"))))</f>
        <v>空闲</v>
      </c>
      <c r="I1451" s="104" t="s">
        <v>638</v>
      </c>
      <c r="J1451" s="104"/>
      <c r="K1451" s="104"/>
      <c r="L1451" s="105" t="s">
        <v>639</v>
      </c>
    </row>
    <row r="1452" customFormat="false" ht="48" hidden="false" customHeight="true" outlineLevel="0" collapsed="false">
      <c r="A1452" s="99"/>
      <c r="B1452" s="100" t="n">
        <v>46496</v>
      </c>
      <c r="C1452" s="100" t="n">
        <v>46502</v>
      </c>
      <c r="D1452" s="99" t="s">
        <v>638</v>
      </c>
      <c r="E1452" s="99" t="n">
        <v>0</v>
      </c>
      <c r="F1452" s="101" t="n">
        <v>0</v>
      </c>
      <c r="G1452" s="102" t="n">
        <f aca="false">IFERROR(F1452/INDEX($G$5:$G$34,MATCH(LOOKUP(2,1/($A$39:A1452&lt;&gt;""),$A$39:A1452),$A$5:$A$34,0)),0)</f>
        <v>0</v>
      </c>
      <c r="H1452" s="103" t="str">
        <f aca="false">IF(G1452=0,"空闲",IF(G1452&lt;=0.6,"低负荷",IF(G1452&lt;=0.85,"正常",IF(G1452&lt;=1,"满负荷","超负荷"))))</f>
        <v>空闲</v>
      </c>
      <c r="I1452" s="104" t="s">
        <v>638</v>
      </c>
      <c r="J1452" s="104"/>
      <c r="K1452" s="104"/>
      <c r="L1452" s="105" t="s">
        <v>639</v>
      </c>
    </row>
    <row r="1453" customFormat="false" ht="48" hidden="false" customHeight="true" outlineLevel="0" collapsed="false">
      <c r="A1453" s="99"/>
      <c r="B1453" s="100" t="n">
        <v>46503</v>
      </c>
      <c r="C1453" s="100" t="n">
        <v>46509</v>
      </c>
      <c r="D1453" s="99" t="s">
        <v>638</v>
      </c>
      <c r="E1453" s="99" t="n">
        <v>0</v>
      </c>
      <c r="F1453" s="101" t="n">
        <v>0</v>
      </c>
      <c r="G1453" s="102" t="n">
        <f aca="false">IFERROR(F1453/INDEX($G$5:$G$34,MATCH(LOOKUP(2,1/($A$39:A1453&lt;&gt;""),$A$39:A1453),$A$5:$A$34,0)),0)</f>
        <v>0</v>
      </c>
      <c r="H1453" s="103" t="str">
        <f aca="false">IF(G1453=0,"空闲",IF(G1453&lt;=0.6,"低负荷",IF(G1453&lt;=0.85,"正常",IF(G1453&lt;=1,"满负荷","超负荷"))))</f>
        <v>空闲</v>
      </c>
      <c r="I1453" s="104" t="s">
        <v>638</v>
      </c>
      <c r="J1453" s="104"/>
      <c r="K1453" s="104"/>
      <c r="L1453" s="105" t="s">
        <v>639</v>
      </c>
    </row>
    <row r="1454" customFormat="false" ht="48" hidden="false" customHeight="true" outlineLevel="0" collapsed="false">
      <c r="A1454" s="99"/>
      <c r="B1454" s="100" t="n">
        <v>46510</v>
      </c>
      <c r="C1454" s="100" t="n">
        <v>46516</v>
      </c>
      <c r="D1454" s="99" t="s">
        <v>638</v>
      </c>
      <c r="E1454" s="99" t="n">
        <v>0</v>
      </c>
      <c r="F1454" s="101" t="n">
        <v>0</v>
      </c>
      <c r="G1454" s="102" t="n">
        <f aca="false">IFERROR(F1454/INDEX($G$5:$G$34,MATCH(LOOKUP(2,1/($A$39:A1454&lt;&gt;""),$A$39:A1454),$A$5:$A$34,0)),0)</f>
        <v>0</v>
      </c>
      <c r="H1454" s="103" t="str">
        <f aca="false">IF(G1454=0,"空闲",IF(G1454&lt;=0.6,"低负荷",IF(G1454&lt;=0.85,"正常",IF(G1454&lt;=1,"满负荷","超负荷"))))</f>
        <v>空闲</v>
      </c>
      <c r="I1454" s="104" t="s">
        <v>638</v>
      </c>
      <c r="J1454" s="104"/>
      <c r="K1454" s="104"/>
      <c r="L1454" s="105" t="s">
        <v>639</v>
      </c>
    </row>
    <row r="1455" customFormat="false" ht="48" hidden="false" customHeight="true" outlineLevel="0" collapsed="false">
      <c r="A1455" s="99"/>
      <c r="B1455" s="100" t="n">
        <v>46517</v>
      </c>
      <c r="C1455" s="100" t="n">
        <v>46523</v>
      </c>
      <c r="D1455" s="99" t="s">
        <v>638</v>
      </c>
      <c r="E1455" s="99" t="n">
        <v>0</v>
      </c>
      <c r="F1455" s="101" t="n">
        <v>0</v>
      </c>
      <c r="G1455" s="102" t="n">
        <f aca="false">IFERROR(F1455/INDEX($G$5:$G$34,MATCH(LOOKUP(2,1/($A$39:A1455&lt;&gt;""),$A$39:A1455),$A$5:$A$34,0)),0)</f>
        <v>0</v>
      </c>
      <c r="H1455" s="103" t="str">
        <f aca="false">IF(G1455=0,"空闲",IF(G1455&lt;=0.6,"低负荷",IF(G1455&lt;=0.85,"正常",IF(G1455&lt;=1,"满负荷","超负荷"))))</f>
        <v>空闲</v>
      </c>
      <c r="I1455" s="104" t="s">
        <v>638</v>
      </c>
      <c r="J1455" s="104"/>
      <c r="K1455" s="104"/>
      <c r="L1455" s="105" t="s">
        <v>639</v>
      </c>
    </row>
    <row r="1456" customFormat="false" ht="48" hidden="false" customHeight="true" outlineLevel="0" collapsed="false">
      <c r="A1456" s="99"/>
      <c r="B1456" s="100" t="n">
        <v>46524</v>
      </c>
      <c r="C1456" s="100" t="n">
        <v>46530</v>
      </c>
      <c r="D1456" s="99" t="s">
        <v>638</v>
      </c>
      <c r="E1456" s="99" t="n">
        <v>0</v>
      </c>
      <c r="F1456" s="101" t="n">
        <v>0</v>
      </c>
      <c r="G1456" s="102" t="n">
        <f aca="false">IFERROR(F1456/INDEX($G$5:$G$34,MATCH(LOOKUP(2,1/($A$39:A1456&lt;&gt;""),$A$39:A1456),$A$5:$A$34,0)),0)</f>
        <v>0</v>
      </c>
      <c r="H1456" s="103" t="str">
        <f aca="false">IF(G1456=0,"空闲",IF(G1456&lt;=0.6,"低负荷",IF(G1456&lt;=0.85,"正常",IF(G1456&lt;=1,"满负荷","超负荷"))))</f>
        <v>空闲</v>
      </c>
      <c r="I1456" s="104" t="s">
        <v>638</v>
      </c>
      <c r="J1456" s="104"/>
      <c r="K1456" s="104"/>
      <c r="L1456" s="105" t="s">
        <v>639</v>
      </c>
    </row>
    <row r="1457" customFormat="false" ht="48" hidden="false" customHeight="true" outlineLevel="0" collapsed="false">
      <c r="A1457" s="99"/>
      <c r="B1457" s="100" t="n">
        <v>46531</v>
      </c>
      <c r="C1457" s="100" t="n">
        <v>46537</v>
      </c>
      <c r="D1457" s="99" t="s">
        <v>638</v>
      </c>
      <c r="E1457" s="99" t="n">
        <v>0</v>
      </c>
      <c r="F1457" s="101" t="n">
        <v>0</v>
      </c>
      <c r="G1457" s="102" t="n">
        <f aca="false">IFERROR(F1457/INDEX($G$5:$G$34,MATCH(LOOKUP(2,1/($A$39:A1457&lt;&gt;""),$A$39:A1457),$A$5:$A$34,0)),0)</f>
        <v>0</v>
      </c>
      <c r="H1457" s="103" t="str">
        <f aca="false">IF(G1457=0,"空闲",IF(G1457&lt;=0.6,"低负荷",IF(G1457&lt;=0.85,"正常",IF(G1457&lt;=1,"满负荷","超负荷"))))</f>
        <v>空闲</v>
      </c>
      <c r="I1457" s="104" t="s">
        <v>638</v>
      </c>
      <c r="J1457" s="104"/>
      <c r="K1457" s="104"/>
      <c r="L1457" s="105" t="s">
        <v>639</v>
      </c>
    </row>
    <row r="1458" customFormat="false" ht="48" hidden="false" customHeight="true" outlineLevel="0" collapsed="false">
      <c r="A1458" s="99"/>
      <c r="B1458" s="100" t="n">
        <v>46538</v>
      </c>
      <c r="C1458" s="100" t="n">
        <v>46544</v>
      </c>
      <c r="D1458" s="99" t="s">
        <v>638</v>
      </c>
      <c r="E1458" s="99" t="n">
        <v>0</v>
      </c>
      <c r="F1458" s="101" t="n">
        <v>0</v>
      </c>
      <c r="G1458" s="102" t="n">
        <f aca="false">IFERROR(F1458/INDEX($G$5:$G$34,MATCH(LOOKUP(2,1/($A$39:A1458&lt;&gt;""),$A$39:A1458),$A$5:$A$34,0)),0)</f>
        <v>0</v>
      </c>
      <c r="H1458" s="103" t="str">
        <f aca="false">IF(G1458=0,"空闲",IF(G1458&lt;=0.6,"低负荷",IF(G1458&lt;=0.85,"正常",IF(G1458&lt;=1,"满负荷","超负荷"))))</f>
        <v>空闲</v>
      </c>
      <c r="I1458" s="104" t="s">
        <v>638</v>
      </c>
      <c r="J1458" s="104"/>
      <c r="K1458" s="104"/>
      <c r="L1458" s="105" t="s">
        <v>639</v>
      </c>
    </row>
    <row r="1459" customFormat="false" ht="48" hidden="false" customHeight="true" outlineLevel="0" collapsed="false">
      <c r="A1459" s="99" t="s">
        <v>620</v>
      </c>
      <c r="B1459" s="100" t="n">
        <v>46048</v>
      </c>
      <c r="C1459" s="100" t="n">
        <v>46054</v>
      </c>
      <c r="D1459" s="99" t="s">
        <v>638</v>
      </c>
      <c r="E1459" s="99" t="n">
        <v>0</v>
      </c>
      <c r="F1459" s="101" t="n">
        <v>0</v>
      </c>
      <c r="G1459" s="102" t="n">
        <f aca="false">IFERROR(F1459/INDEX($G$5:$G$34,MATCH(LOOKUP(2,1/($A$39:A1459&lt;&gt;""),$A$39:A1459),$A$5:$A$34,0)),0)</f>
        <v>0</v>
      </c>
      <c r="H1459" s="103" t="str">
        <f aca="false">IF(G1459=0,"空闲",IF(G1459&lt;=0.6,"低负荷",IF(G1459&lt;=0.85,"正常",IF(G1459&lt;=1,"满负荷","超负荷"))))</f>
        <v>空闲</v>
      </c>
      <c r="I1459" s="104" t="s">
        <v>638</v>
      </c>
      <c r="J1459" s="104"/>
      <c r="K1459" s="104"/>
      <c r="L1459" s="105" t="s">
        <v>639</v>
      </c>
    </row>
    <row r="1460" customFormat="false" ht="48" hidden="false" customHeight="true" outlineLevel="0" collapsed="false">
      <c r="A1460" s="99"/>
      <c r="B1460" s="100" t="n">
        <v>46055</v>
      </c>
      <c r="C1460" s="100" t="n">
        <v>46061</v>
      </c>
      <c r="D1460" s="99" t="s">
        <v>638</v>
      </c>
      <c r="E1460" s="99" t="n">
        <v>0</v>
      </c>
      <c r="F1460" s="101" t="n">
        <v>0</v>
      </c>
      <c r="G1460" s="102" t="n">
        <f aca="false">IFERROR(F1460/INDEX($G$5:$G$34,MATCH(LOOKUP(2,1/($A$39:A1460&lt;&gt;""),$A$39:A1460),$A$5:$A$34,0)),0)</f>
        <v>0</v>
      </c>
      <c r="H1460" s="103" t="str">
        <f aca="false">IF(G1460=0,"空闲",IF(G1460&lt;=0.6,"低负荷",IF(G1460&lt;=0.85,"正常",IF(G1460&lt;=1,"满负荷","超负荷"))))</f>
        <v>空闲</v>
      </c>
      <c r="I1460" s="104" t="s">
        <v>638</v>
      </c>
      <c r="J1460" s="104"/>
      <c r="K1460" s="104"/>
      <c r="L1460" s="105" t="s">
        <v>639</v>
      </c>
    </row>
    <row r="1461" customFormat="false" ht="48" hidden="false" customHeight="true" outlineLevel="0" collapsed="false">
      <c r="A1461" s="99"/>
      <c r="B1461" s="100" t="n">
        <v>46062</v>
      </c>
      <c r="C1461" s="100" t="n">
        <v>46068</v>
      </c>
      <c r="D1461" s="99" t="s">
        <v>638</v>
      </c>
      <c r="E1461" s="99" t="n">
        <v>0</v>
      </c>
      <c r="F1461" s="101" t="n">
        <v>0</v>
      </c>
      <c r="G1461" s="102" t="n">
        <f aca="false">IFERROR(F1461/INDEX($G$5:$G$34,MATCH(LOOKUP(2,1/($A$39:A1461&lt;&gt;""),$A$39:A1461),$A$5:$A$34,0)),0)</f>
        <v>0</v>
      </c>
      <c r="H1461" s="103" t="str">
        <f aca="false">IF(G1461=0,"空闲",IF(G1461&lt;=0.6,"低负荷",IF(G1461&lt;=0.85,"正常",IF(G1461&lt;=1,"满负荷","超负荷"))))</f>
        <v>空闲</v>
      </c>
      <c r="I1461" s="104" t="s">
        <v>638</v>
      </c>
      <c r="J1461" s="104"/>
      <c r="K1461" s="104"/>
      <c r="L1461" s="105" t="s">
        <v>639</v>
      </c>
    </row>
    <row r="1462" customFormat="false" ht="48" hidden="false" customHeight="true" outlineLevel="0" collapsed="false">
      <c r="A1462" s="99"/>
      <c r="B1462" s="100" t="n">
        <v>46069</v>
      </c>
      <c r="C1462" s="100" t="n">
        <v>46075</v>
      </c>
      <c r="D1462" s="99" t="s">
        <v>638</v>
      </c>
      <c r="E1462" s="99" t="n">
        <v>0</v>
      </c>
      <c r="F1462" s="101" t="n">
        <v>0</v>
      </c>
      <c r="G1462" s="102" t="n">
        <f aca="false">IFERROR(F1462/INDEX($G$5:$G$34,MATCH(LOOKUP(2,1/($A$39:A1462&lt;&gt;""),$A$39:A1462),$A$5:$A$34,0)),0)</f>
        <v>0</v>
      </c>
      <c r="H1462" s="103" t="str">
        <f aca="false">IF(G1462=0,"空闲",IF(G1462&lt;=0.6,"低负荷",IF(G1462&lt;=0.85,"正常",IF(G1462&lt;=1,"满负荷","超负荷"))))</f>
        <v>空闲</v>
      </c>
      <c r="I1462" s="104" t="s">
        <v>638</v>
      </c>
      <c r="J1462" s="104"/>
      <c r="K1462" s="104"/>
      <c r="L1462" s="105" t="s">
        <v>639</v>
      </c>
    </row>
    <row r="1463" customFormat="false" ht="48" hidden="false" customHeight="true" outlineLevel="0" collapsed="false">
      <c r="A1463" s="99"/>
      <c r="B1463" s="100" t="n">
        <v>46076</v>
      </c>
      <c r="C1463" s="100" t="n">
        <v>46082</v>
      </c>
      <c r="D1463" s="99" t="s">
        <v>638</v>
      </c>
      <c r="E1463" s="99" t="n">
        <v>0</v>
      </c>
      <c r="F1463" s="101" t="n">
        <v>0</v>
      </c>
      <c r="G1463" s="102" t="n">
        <f aca="false">IFERROR(F1463/INDEX($G$5:$G$34,MATCH(LOOKUP(2,1/($A$39:A1463&lt;&gt;""),$A$39:A1463),$A$5:$A$34,0)),0)</f>
        <v>0</v>
      </c>
      <c r="H1463" s="103" t="str">
        <f aca="false">IF(G1463=0,"空闲",IF(G1463&lt;=0.6,"低负荷",IF(G1463&lt;=0.85,"正常",IF(G1463&lt;=1,"满负荷","超负荷"))))</f>
        <v>空闲</v>
      </c>
      <c r="I1463" s="104" t="s">
        <v>638</v>
      </c>
      <c r="J1463" s="104"/>
      <c r="K1463" s="104"/>
      <c r="L1463" s="105" t="s">
        <v>639</v>
      </c>
    </row>
    <row r="1464" customFormat="false" ht="48" hidden="false" customHeight="true" outlineLevel="0" collapsed="false">
      <c r="A1464" s="99"/>
      <c r="B1464" s="100" t="n">
        <v>46083</v>
      </c>
      <c r="C1464" s="100" t="n">
        <v>46089</v>
      </c>
      <c r="D1464" s="99" t="s">
        <v>638</v>
      </c>
      <c r="E1464" s="99" t="n">
        <v>0</v>
      </c>
      <c r="F1464" s="101" t="n">
        <v>0</v>
      </c>
      <c r="G1464" s="102" t="n">
        <f aca="false">IFERROR(F1464/INDEX($G$5:$G$34,MATCH(LOOKUP(2,1/($A$39:A1464&lt;&gt;""),$A$39:A1464),$A$5:$A$34,0)),0)</f>
        <v>0</v>
      </c>
      <c r="H1464" s="103" t="str">
        <f aca="false">IF(G1464=0,"空闲",IF(G1464&lt;=0.6,"低负荷",IF(G1464&lt;=0.85,"正常",IF(G1464&lt;=1,"满负荷","超负荷"))))</f>
        <v>空闲</v>
      </c>
      <c r="I1464" s="104" t="s">
        <v>638</v>
      </c>
      <c r="J1464" s="104"/>
      <c r="K1464" s="104"/>
      <c r="L1464" s="105" t="s">
        <v>639</v>
      </c>
    </row>
    <row r="1465" customFormat="false" ht="48" hidden="false" customHeight="true" outlineLevel="0" collapsed="false">
      <c r="A1465" s="99"/>
      <c r="B1465" s="100" t="n">
        <v>46090</v>
      </c>
      <c r="C1465" s="100" t="n">
        <v>46096</v>
      </c>
      <c r="D1465" s="99" t="s">
        <v>638</v>
      </c>
      <c r="E1465" s="99" t="n">
        <v>0</v>
      </c>
      <c r="F1465" s="101" t="n">
        <v>0</v>
      </c>
      <c r="G1465" s="102" t="n">
        <f aca="false">IFERROR(F1465/INDEX($G$5:$G$34,MATCH(LOOKUP(2,1/($A$39:A1465&lt;&gt;""),$A$39:A1465),$A$5:$A$34,0)),0)</f>
        <v>0</v>
      </c>
      <c r="H1465" s="103" t="str">
        <f aca="false">IF(G1465=0,"空闲",IF(G1465&lt;=0.6,"低负荷",IF(G1465&lt;=0.85,"正常",IF(G1465&lt;=1,"满负荷","超负荷"))))</f>
        <v>空闲</v>
      </c>
      <c r="I1465" s="104" t="s">
        <v>638</v>
      </c>
      <c r="J1465" s="104"/>
      <c r="K1465" s="104"/>
      <c r="L1465" s="105" t="s">
        <v>639</v>
      </c>
    </row>
    <row r="1466" customFormat="false" ht="48" hidden="false" customHeight="true" outlineLevel="0" collapsed="false">
      <c r="A1466" s="99"/>
      <c r="B1466" s="100" t="n">
        <v>46097</v>
      </c>
      <c r="C1466" s="100" t="n">
        <v>46103</v>
      </c>
      <c r="D1466" s="99" t="s">
        <v>638</v>
      </c>
      <c r="E1466" s="99" t="n">
        <v>0</v>
      </c>
      <c r="F1466" s="101" t="n">
        <v>0</v>
      </c>
      <c r="G1466" s="102" t="n">
        <f aca="false">IFERROR(F1466/INDEX($G$5:$G$34,MATCH(LOOKUP(2,1/($A$39:A1466&lt;&gt;""),$A$39:A1466),$A$5:$A$34,0)),0)</f>
        <v>0</v>
      </c>
      <c r="H1466" s="103" t="str">
        <f aca="false">IF(G1466=0,"空闲",IF(G1466&lt;=0.6,"低负荷",IF(G1466&lt;=0.85,"正常",IF(G1466&lt;=1,"满负荷","超负荷"))))</f>
        <v>空闲</v>
      </c>
      <c r="I1466" s="104" t="s">
        <v>638</v>
      </c>
      <c r="J1466" s="104"/>
      <c r="K1466" s="104"/>
      <c r="L1466" s="105" t="s">
        <v>639</v>
      </c>
    </row>
    <row r="1467" customFormat="false" ht="48" hidden="false" customHeight="true" outlineLevel="0" collapsed="false">
      <c r="A1467" s="99"/>
      <c r="B1467" s="100" t="n">
        <v>46104</v>
      </c>
      <c r="C1467" s="100" t="n">
        <v>46110</v>
      </c>
      <c r="D1467" s="99" t="s">
        <v>638</v>
      </c>
      <c r="E1467" s="99" t="n">
        <v>0</v>
      </c>
      <c r="F1467" s="101" t="n">
        <v>0</v>
      </c>
      <c r="G1467" s="102" t="n">
        <f aca="false">IFERROR(F1467/INDEX($G$5:$G$34,MATCH(LOOKUP(2,1/($A$39:A1467&lt;&gt;""),$A$39:A1467),$A$5:$A$34,0)),0)</f>
        <v>0</v>
      </c>
      <c r="H1467" s="103" t="str">
        <f aca="false">IF(G1467=0,"空闲",IF(G1467&lt;=0.6,"低负荷",IF(G1467&lt;=0.85,"正常",IF(G1467&lt;=1,"满负荷","超负荷"))))</f>
        <v>空闲</v>
      </c>
      <c r="I1467" s="104" t="s">
        <v>638</v>
      </c>
      <c r="J1467" s="104"/>
      <c r="K1467" s="104"/>
      <c r="L1467" s="105" t="s">
        <v>639</v>
      </c>
    </row>
    <row r="1468" customFormat="false" ht="48" hidden="false" customHeight="true" outlineLevel="0" collapsed="false">
      <c r="A1468" s="99"/>
      <c r="B1468" s="100" t="n">
        <v>46111</v>
      </c>
      <c r="C1468" s="100" t="n">
        <v>46117</v>
      </c>
      <c r="D1468" s="99" t="s">
        <v>638</v>
      </c>
      <c r="E1468" s="99" t="n">
        <v>0</v>
      </c>
      <c r="F1468" s="101" t="n">
        <v>0</v>
      </c>
      <c r="G1468" s="102" t="n">
        <f aca="false">IFERROR(F1468/INDEX($G$5:$G$34,MATCH(LOOKUP(2,1/($A$39:A1468&lt;&gt;""),$A$39:A1468),$A$5:$A$34,0)),0)</f>
        <v>0</v>
      </c>
      <c r="H1468" s="103" t="str">
        <f aca="false">IF(G1468=0,"空闲",IF(G1468&lt;=0.6,"低负荷",IF(G1468&lt;=0.85,"正常",IF(G1468&lt;=1,"满负荷","超负荷"))))</f>
        <v>空闲</v>
      </c>
      <c r="I1468" s="104" t="s">
        <v>638</v>
      </c>
      <c r="J1468" s="104"/>
      <c r="K1468" s="104"/>
      <c r="L1468" s="105" t="s">
        <v>639</v>
      </c>
    </row>
    <row r="1469" customFormat="false" ht="48" hidden="false" customHeight="true" outlineLevel="0" collapsed="false">
      <c r="A1469" s="99"/>
      <c r="B1469" s="100" t="n">
        <v>46118</v>
      </c>
      <c r="C1469" s="100" t="n">
        <v>46124</v>
      </c>
      <c r="D1469" s="99" t="s">
        <v>638</v>
      </c>
      <c r="E1469" s="99" t="n">
        <v>0</v>
      </c>
      <c r="F1469" s="101" t="n">
        <v>0</v>
      </c>
      <c r="G1469" s="102" t="n">
        <f aca="false">IFERROR(F1469/INDEX($G$5:$G$34,MATCH(LOOKUP(2,1/($A$39:A1469&lt;&gt;""),$A$39:A1469),$A$5:$A$34,0)),0)</f>
        <v>0</v>
      </c>
      <c r="H1469" s="103" t="str">
        <f aca="false">IF(G1469=0,"空闲",IF(G1469&lt;=0.6,"低负荷",IF(G1469&lt;=0.85,"正常",IF(G1469&lt;=1,"满负荷","超负荷"))))</f>
        <v>空闲</v>
      </c>
      <c r="I1469" s="104" t="s">
        <v>638</v>
      </c>
      <c r="J1469" s="104"/>
      <c r="K1469" s="104"/>
      <c r="L1469" s="105" t="s">
        <v>639</v>
      </c>
    </row>
    <row r="1470" customFormat="false" ht="48" hidden="false" customHeight="true" outlineLevel="0" collapsed="false">
      <c r="A1470" s="99"/>
      <c r="B1470" s="100" t="n">
        <v>46125</v>
      </c>
      <c r="C1470" s="100" t="n">
        <v>46131</v>
      </c>
      <c r="D1470" s="99" t="s">
        <v>638</v>
      </c>
      <c r="E1470" s="99" t="n">
        <v>0</v>
      </c>
      <c r="F1470" s="101" t="n">
        <v>0</v>
      </c>
      <c r="G1470" s="102" t="n">
        <f aca="false">IFERROR(F1470/INDEX($G$5:$G$34,MATCH(LOOKUP(2,1/($A$39:A1470&lt;&gt;""),$A$39:A1470),$A$5:$A$34,0)),0)</f>
        <v>0</v>
      </c>
      <c r="H1470" s="103" t="str">
        <f aca="false">IF(G1470=0,"空闲",IF(G1470&lt;=0.6,"低负荷",IF(G1470&lt;=0.85,"正常",IF(G1470&lt;=1,"满负荷","超负荷"))))</f>
        <v>空闲</v>
      </c>
      <c r="I1470" s="104" t="s">
        <v>638</v>
      </c>
      <c r="J1470" s="104"/>
      <c r="K1470" s="104"/>
      <c r="L1470" s="105" t="s">
        <v>639</v>
      </c>
    </row>
    <row r="1471" customFormat="false" ht="48" hidden="false" customHeight="true" outlineLevel="0" collapsed="false">
      <c r="A1471" s="99"/>
      <c r="B1471" s="100" t="n">
        <v>46132</v>
      </c>
      <c r="C1471" s="100" t="n">
        <v>46138</v>
      </c>
      <c r="D1471" s="99" t="s">
        <v>638</v>
      </c>
      <c r="E1471" s="99" t="n">
        <v>0</v>
      </c>
      <c r="F1471" s="101" t="n">
        <v>0</v>
      </c>
      <c r="G1471" s="102" t="n">
        <f aca="false">IFERROR(F1471/INDEX($G$5:$G$34,MATCH(LOOKUP(2,1/($A$39:A1471&lt;&gt;""),$A$39:A1471),$A$5:$A$34,0)),0)</f>
        <v>0</v>
      </c>
      <c r="H1471" s="103" t="str">
        <f aca="false">IF(G1471=0,"空闲",IF(G1471&lt;=0.6,"低负荷",IF(G1471&lt;=0.85,"正常",IF(G1471&lt;=1,"满负荷","超负荷"))))</f>
        <v>空闲</v>
      </c>
      <c r="I1471" s="104" t="s">
        <v>638</v>
      </c>
      <c r="J1471" s="104"/>
      <c r="K1471" s="104"/>
      <c r="L1471" s="105" t="s">
        <v>639</v>
      </c>
    </row>
    <row r="1472" customFormat="false" ht="48" hidden="false" customHeight="true" outlineLevel="0" collapsed="false">
      <c r="A1472" s="99"/>
      <c r="B1472" s="100" t="n">
        <v>46139</v>
      </c>
      <c r="C1472" s="100" t="n">
        <v>46145</v>
      </c>
      <c r="D1472" s="99" t="s">
        <v>638</v>
      </c>
      <c r="E1472" s="99" t="n">
        <v>0</v>
      </c>
      <c r="F1472" s="101" t="n">
        <v>0</v>
      </c>
      <c r="G1472" s="102" t="n">
        <f aca="false">IFERROR(F1472/INDEX($G$5:$G$34,MATCH(LOOKUP(2,1/($A$39:A1472&lt;&gt;""),$A$39:A1472),$A$5:$A$34,0)),0)</f>
        <v>0</v>
      </c>
      <c r="H1472" s="103" t="str">
        <f aca="false">IF(G1472=0,"空闲",IF(G1472&lt;=0.6,"低负荷",IF(G1472&lt;=0.85,"正常",IF(G1472&lt;=1,"满负荷","超负荷"))))</f>
        <v>空闲</v>
      </c>
      <c r="I1472" s="104" t="s">
        <v>638</v>
      </c>
      <c r="J1472" s="104"/>
      <c r="K1472" s="104"/>
      <c r="L1472" s="105" t="s">
        <v>639</v>
      </c>
    </row>
    <row r="1473" customFormat="false" ht="48" hidden="false" customHeight="true" outlineLevel="0" collapsed="false">
      <c r="A1473" s="99"/>
      <c r="B1473" s="100" t="n">
        <v>46146</v>
      </c>
      <c r="C1473" s="100" t="n">
        <v>46152</v>
      </c>
      <c r="D1473" s="99" t="s">
        <v>638</v>
      </c>
      <c r="E1473" s="99" t="n">
        <v>0</v>
      </c>
      <c r="F1473" s="101" t="n">
        <v>0</v>
      </c>
      <c r="G1473" s="102" t="n">
        <f aca="false">IFERROR(F1473/INDEX($G$5:$G$34,MATCH(LOOKUP(2,1/($A$39:A1473&lt;&gt;""),$A$39:A1473),$A$5:$A$34,0)),0)</f>
        <v>0</v>
      </c>
      <c r="H1473" s="103" t="str">
        <f aca="false">IF(G1473=0,"空闲",IF(G1473&lt;=0.6,"低负荷",IF(G1473&lt;=0.85,"正常",IF(G1473&lt;=1,"满负荷","超负荷"))))</f>
        <v>空闲</v>
      </c>
      <c r="I1473" s="104" t="s">
        <v>638</v>
      </c>
      <c r="J1473" s="104"/>
      <c r="K1473" s="104"/>
      <c r="L1473" s="105" t="s">
        <v>639</v>
      </c>
    </row>
    <row r="1474" customFormat="false" ht="48" hidden="false" customHeight="true" outlineLevel="0" collapsed="false">
      <c r="A1474" s="99"/>
      <c r="B1474" s="100" t="n">
        <v>46153</v>
      </c>
      <c r="C1474" s="100" t="n">
        <v>46159</v>
      </c>
      <c r="D1474" s="99" t="s">
        <v>638</v>
      </c>
      <c r="E1474" s="99" t="n">
        <v>0</v>
      </c>
      <c r="F1474" s="101" t="n">
        <v>0</v>
      </c>
      <c r="G1474" s="102" t="n">
        <f aca="false">IFERROR(F1474/INDEX($G$5:$G$34,MATCH(LOOKUP(2,1/($A$39:A1474&lt;&gt;""),$A$39:A1474),$A$5:$A$34,0)),0)</f>
        <v>0</v>
      </c>
      <c r="H1474" s="103" t="str">
        <f aca="false">IF(G1474=0,"空闲",IF(G1474&lt;=0.6,"低负荷",IF(G1474&lt;=0.85,"正常",IF(G1474&lt;=1,"满负荷","超负荷"))))</f>
        <v>空闲</v>
      </c>
      <c r="I1474" s="104" t="s">
        <v>638</v>
      </c>
      <c r="J1474" s="104"/>
      <c r="K1474" s="104"/>
      <c r="L1474" s="105" t="s">
        <v>639</v>
      </c>
    </row>
    <row r="1475" customFormat="false" ht="48" hidden="false" customHeight="true" outlineLevel="0" collapsed="false">
      <c r="A1475" s="99"/>
      <c r="B1475" s="100" t="n">
        <v>46160</v>
      </c>
      <c r="C1475" s="100" t="n">
        <v>46166</v>
      </c>
      <c r="D1475" s="99" t="s">
        <v>638</v>
      </c>
      <c r="E1475" s="99" t="n">
        <v>0</v>
      </c>
      <c r="F1475" s="101" t="n">
        <v>0</v>
      </c>
      <c r="G1475" s="102" t="n">
        <f aca="false">IFERROR(F1475/INDEX($G$5:$G$34,MATCH(LOOKUP(2,1/($A$39:A1475&lt;&gt;""),$A$39:A1475),$A$5:$A$34,0)),0)</f>
        <v>0</v>
      </c>
      <c r="H1475" s="103" t="str">
        <f aca="false">IF(G1475=0,"空闲",IF(G1475&lt;=0.6,"低负荷",IF(G1475&lt;=0.85,"正常",IF(G1475&lt;=1,"满负荷","超负荷"))))</f>
        <v>空闲</v>
      </c>
      <c r="I1475" s="104" t="s">
        <v>638</v>
      </c>
      <c r="J1475" s="104"/>
      <c r="K1475" s="104"/>
      <c r="L1475" s="105" t="s">
        <v>639</v>
      </c>
    </row>
    <row r="1476" customFormat="false" ht="48" hidden="false" customHeight="true" outlineLevel="0" collapsed="false">
      <c r="A1476" s="99"/>
      <c r="B1476" s="100" t="n">
        <v>46167</v>
      </c>
      <c r="C1476" s="100" t="n">
        <v>46173</v>
      </c>
      <c r="D1476" s="99" t="s">
        <v>638</v>
      </c>
      <c r="E1476" s="99" t="n">
        <v>0</v>
      </c>
      <c r="F1476" s="101" t="n">
        <v>0</v>
      </c>
      <c r="G1476" s="102" t="n">
        <f aca="false">IFERROR(F1476/INDEX($G$5:$G$34,MATCH(LOOKUP(2,1/($A$39:A1476&lt;&gt;""),$A$39:A1476),$A$5:$A$34,0)),0)</f>
        <v>0</v>
      </c>
      <c r="H1476" s="103" t="str">
        <f aca="false">IF(G1476=0,"空闲",IF(G1476&lt;=0.6,"低负荷",IF(G1476&lt;=0.85,"正常",IF(G1476&lt;=1,"满负荷","超负荷"))))</f>
        <v>空闲</v>
      </c>
      <c r="I1476" s="104" t="s">
        <v>638</v>
      </c>
      <c r="J1476" s="104"/>
      <c r="K1476" s="104"/>
      <c r="L1476" s="105" t="s">
        <v>639</v>
      </c>
    </row>
    <row r="1477" customFormat="false" ht="48" hidden="false" customHeight="true" outlineLevel="0" collapsed="false">
      <c r="A1477" s="99"/>
      <c r="B1477" s="100" t="n">
        <v>46174</v>
      </c>
      <c r="C1477" s="100" t="n">
        <v>46180</v>
      </c>
      <c r="D1477" s="99" t="s">
        <v>638</v>
      </c>
      <c r="E1477" s="99" t="n">
        <v>0</v>
      </c>
      <c r="F1477" s="101" t="n">
        <v>0</v>
      </c>
      <c r="G1477" s="102" t="n">
        <f aca="false">IFERROR(F1477/INDEX($G$5:$G$34,MATCH(LOOKUP(2,1/($A$39:A1477&lt;&gt;""),$A$39:A1477),$A$5:$A$34,0)),0)</f>
        <v>0</v>
      </c>
      <c r="H1477" s="103" t="str">
        <f aca="false">IF(G1477=0,"空闲",IF(G1477&lt;=0.6,"低负荷",IF(G1477&lt;=0.85,"正常",IF(G1477&lt;=1,"满负荷","超负荷"))))</f>
        <v>空闲</v>
      </c>
      <c r="I1477" s="104" t="s">
        <v>638</v>
      </c>
      <c r="J1477" s="104"/>
      <c r="K1477" s="104"/>
      <c r="L1477" s="105" t="s">
        <v>639</v>
      </c>
    </row>
    <row r="1478" customFormat="false" ht="48" hidden="false" customHeight="true" outlineLevel="0" collapsed="false">
      <c r="A1478" s="99"/>
      <c r="B1478" s="100" t="n">
        <v>46181</v>
      </c>
      <c r="C1478" s="100" t="n">
        <v>46187</v>
      </c>
      <c r="D1478" s="99" t="s">
        <v>638</v>
      </c>
      <c r="E1478" s="99" t="n">
        <v>0</v>
      </c>
      <c r="F1478" s="101" t="n">
        <v>0</v>
      </c>
      <c r="G1478" s="102" t="n">
        <f aca="false">IFERROR(F1478/INDEX($G$5:$G$34,MATCH(LOOKUP(2,1/($A$39:A1478&lt;&gt;""),$A$39:A1478),$A$5:$A$34,0)),0)</f>
        <v>0</v>
      </c>
      <c r="H1478" s="103" t="str">
        <f aca="false">IF(G1478=0,"空闲",IF(G1478&lt;=0.6,"低负荷",IF(G1478&lt;=0.85,"正常",IF(G1478&lt;=1,"满负荷","超负荷"))))</f>
        <v>空闲</v>
      </c>
      <c r="I1478" s="104" t="s">
        <v>638</v>
      </c>
      <c r="J1478" s="104"/>
      <c r="K1478" s="104"/>
      <c r="L1478" s="105" t="s">
        <v>639</v>
      </c>
    </row>
    <row r="1479" customFormat="false" ht="48" hidden="false" customHeight="true" outlineLevel="0" collapsed="false">
      <c r="A1479" s="99"/>
      <c r="B1479" s="100" t="n">
        <v>46188</v>
      </c>
      <c r="C1479" s="100" t="n">
        <v>46194</v>
      </c>
      <c r="D1479" s="99" t="s">
        <v>638</v>
      </c>
      <c r="E1479" s="99" t="n">
        <v>0</v>
      </c>
      <c r="F1479" s="101" t="n">
        <v>0</v>
      </c>
      <c r="G1479" s="102" t="n">
        <f aca="false">IFERROR(F1479/INDEX($G$5:$G$34,MATCH(LOOKUP(2,1/($A$39:A1479&lt;&gt;""),$A$39:A1479),$A$5:$A$34,0)),0)</f>
        <v>0</v>
      </c>
      <c r="H1479" s="103" t="str">
        <f aca="false">IF(G1479=0,"空闲",IF(G1479&lt;=0.6,"低负荷",IF(G1479&lt;=0.85,"正常",IF(G1479&lt;=1,"满负荷","超负荷"))))</f>
        <v>空闲</v>
      </c>
      <c r="I1479" s="104" t="s">
        <v>638</v>
      </c>
      <c r="J1479" s="104"/>
      <c r="K1479" s="104"/>
      <c r="L1479" s="105" t="s">
        <v>639</v>
      </c>
    </row>
    <row r="1480" customFormat="false" ht="48" hidden="false" customHeight="true" outlineLevel="0" collapsed="false">
      <c r="A1480" s="99"/>
      <c r="B1480" s="100" t="n">
        <v>46195</v>
      </c>
      <c r="C1480" s="100" t="n">
        <v>46201</v>
      </c>
      <c r="D1480" s="99" t="s">
        <v>638</v>
      </c>
      <c r="E1480" s="99" t="n">
        <v>0</v>
      </c>
      <c r="F1480" s="101" t="n">
        <v>0</v>
      </c>
      <c r="G1480" s="102" t="n">
        <f aca="false">IFERROR(F1480/INDEX($G$5:$G$34,MATCH(LOOKUP(2,1/($A$39:A1480&lt;&gt;""),$A$39:A1480),$A$5:$A$34,0)),0)</f>
        <v>0</v>
      </c>
      <c r="H1480" s="103" t="str">
        <f aca="false">IF(G1480=0,"空闲",IF(G1480&lt;=0.6,"低负荷",IF(G1480&lt;=0.85,"正常",IF(G1480&lt;=1,"满负荷","超负荷"))))</f>
        <v>空闲</v>
      </c>
      <c r="I1480" s="104" t="s">
        <v>638</v>
      </c>
      <c r="J1480" s="104"/>
      <c r="K1480" s="104"/>
      <c r="L1480" s="105" t="s">
        <v>639</v>
      </c>
    </row>
    <row r="1481" customFormat="false" ht="48" hidden="false" customHeight="true" outlineLevel="0" collapsed="false">
      <c r="A1481" s="99"/>
      <c r="B1481" s="100" t="n">
        <v>46202</v>
      </c>
      <c r="C1481" s="100" t="n">
        <v>46208</v>
      </c>
      <c r="D1481" s="99" t="s">
        <v>638</v>
      </c>
      <c r="E1481" s="99" t="n">
        <v>0</v>
      </c>
      <c r="F1481" s="101" t="n">
        <v>0</v>
      </c>
      <c r="G1481" s="102" t="n">
        <f aca="false">IFERROR(F1481/INDEX($G$5:$G$34,MATCH(LOOKUP(2,1/($A$39:A1481&lt;&gt;""),$A$39:A1481),$A$5:$A$34,0)),0)</f>
        <v>0</v>
      </c>
      <c r="H1481" s="103" t="str">
        <f aca="false">IF(G1481=0,"空闲",IF(G1481&lt;=0.6,"低负荷",IF(G1481&lt;=0.85,"正常",IF(G1481&lt;=1,"满负荷","超负荷"))))</f>
        <v>空闲</v>
      </c>
      <c r="I1481" s="104" t="s">
        <v>638</v>
      </c>
      <c r="J1481" s="104"/>
      <c r="K1481" s="104"/>
      <c r="L1481" s="105" t="s">
        <v>639</v>
      </c>
    </row>
    <row r="1482" customFormat="false" ht="48" hidden="false" customHeight="true" outlineLevel="0" collapsed="false">
      <c r="A1482" s="99"/>
      <c r="B1482" s="100" t="n">
        <v>46209</v>
      </c>
      <c r="C1482" s="100" t="n">
        <v>46215</v>
      </c>
      <c r="D1482" s="99" t="s">
        <v>638</v>
      </c>
      <c r="E1482" s="99" t="n">
        <v>0</v>
      </c>
      <c r="F1482" s="101" t="n">
        <v>0</v>
      </c>
      <c r="G1482" s="102" t="n">
        <f aca="false">IFERROR(F1482/INDEX($G$5:$G$34,MATCH(LOOKUP(2,1/($A$39:A1482&lt;&gt;""),$A$39:A1482),$A$5:$A$34,0)),0)</f>
        <v>0</v>
      </c>
      <c r="H1482" s="103" t="str">
        <f aca="false">IF(G1482=0,"空闲",IF(G1482&lt;=0.6,"低负荷",IF(G1482&lt;=0.85,"正常",IF(G1482&lt;=1,"满负荷","超负荷"))))</f>
        <v>空闲</v>
      </c>
      <c r="I1482" s="104" t="s">
        <v>638</v>
      </c>
      <c r="J1482" s="104"/>
      <c r="K1482" s="104"/>
      <c r="L1482" s="105" t="s">
        <v>639</v>
      </c>
    </row>
    <row r="1483" customFormat="false" ht="48" hidden="false" customHeight="true" outlineLevel="0" collapsed="false">
      <c r="A1483" s="99"/>
      <c r="B1483" s="100" t="n">
        <v>46216</v>
      </c>
      <c r="C1483" s="100" t="n">
        <v>46222</v>
      </c>
      <c r="D1483" s="99" t="s">
        <v>638</v>
      </c>
      <c r="E1483" s="99" t="n">
        <v>0</v>
      </c>
      <c r="F1483" s="101" t="n">
        <v>0</v>
      </c>
      <c r="G1483" s="102" t="n">
        <f aca="false">IFERROR(F1483/INDEX($G$5:$G$34,MATCH(LOOKUP(2,1/($A$39:A1483&lt;&gt;""),$A$39:A1483),$A$5:$A$34,0)),0)</f>
        <v>0</v>
      </c>
      <c r="H1483" s="103" t="str">
        <f aca="false">IF(G1483=0,"空闲",IF(G1483&lt;=0.6,"低负荷",IF(G1483&lt;=0.85,"正常",IF(G1483&lt;=1,"满负荷","超负荷"))))</f>
        <v>空闲</v>
      </c>
      <c r="I1483" s="104" t="s">
        <v>638</v>
      </c>
      <c r="J1483" s="104"/>
      <c r="K1483" s="104"/>
      <c r="L1483" s="105" t="s">
        <v>639</v>
      </c>
    </row>
    <row r="1484" customFormat="false" ht="48" hidden="false" customHeight="true" outlineLevel="0" collapsed="false">
      <c r="A1484" s="99"/>
      <c r="B1484" s="100" t="n">
        <v>46223</v>
      </c>
      <c r="C1484" s="100" t="n">
        <v>46229</v>
      </c>
      <c r="D1484" s="99" t="s">
        <v>638</v>
      </c>
      <c r="E1484" s="99" t="n">
        <v>0</v>
      </c>
      <c r="F1484" s="101" t="n">
        <v>0</v>
      </c>
      <c r="G1484" s="102" t="n">
        <f aca="false">IFERROR(F1484/INDEX($G$5:$G$34,MATCH(LOOKUP(2,1/($A$39:A1484&lt;&gt;""),$A$39:A1484),$A$5:$A$34,0)),0)</f>
        <v>0</v>
      </c>
      <c r="H1484" s="103" t="str">
        <f aca="false">IF(G1484=0,"空闲",IF(G1484&lt;=0.6,"低负荷",IF(G1484&lt;=0.85,"正常",IF(G1484&lt;=1,"满负荷","超负荷"))))</f>
        <v>空闲</v>
      </c>
      <c r="I1484" s="104" t="s">
        <v>638</v>
      </c>
      <c r="J1484" s="104"/>
      <c r="K1484" s="104"/>
      <c r="L1484" s="105" t="s">
        <v>639</v>
      </c>
    </row>
    <row r="1485" customFormat="false" ht="48" hidden="false" customHeight="true" outlineLevel="0" collapsed="false">
      <c r="A1485" s="99"/>
      <c r="B1485" s="100" t="n">
        <v>46230</v>
      </c>
      <c r="C1485" s="100" t="n">
        <v>46236</v>
      </c>
      <c r="D1485" s="99" t="s">
        <v>638</v>
      </c>
      <c r="E1485" s="99" t="n">
        <v>0</v>
      </c>
      <c r="F1485" s="101" t="n">
        <v>0</v>
      </c>
      <c r="G1485" s="102" t="n">
        <f aca="false">IFERROR(F1485/INDEX($G$5:$G$34,MATCH(LOOKUP(2,1/($A$39:A1485&lt;&gt;""),$A$39:A1485),$A$5:$A$34,0)),0)</f>
        <v>0</v>
      </c>
      <c r="H1485" s="103" t="str">
        <f aca="false">IF(G1485=0,"空闲",IF(G1485&lt;=0.6,"低负荷",IF(G1485&lt;=0.85,"正常",IF(G1485&lt;=1,"满负荷","超负荷"))))</f>
        <v>空闲</v>
      </c>
      <c r="I1485" s="104" t="s">
        <v>638</v>
      </c>
      <c r="J1485" s="104"/>
      <c r="K1485" s="104"/>
      <c r="L1485" s="105" t="s">
        <v>639</v>
      </c>
    </row>
    <row r="1486" customFormat="false" ht="48" hidden="false" customHeight="true" outlineLevel="0" collapsed="false">
      <c r="A1486" s="99"/>
      <c r="B1486" s="100" t="n">
        <v>46237</v>
      </c>
      <c r="C1486" s="100" t="n">
        <v>46243</v>
      </c>
      <c r="D1486" s="99" t="s">
        <v>638</v>
      </c>
      <c r="E1486" s="99" t="n">
        <v>0</v>
      </c>
      <c r="F1486" s="101" t="n">
        <v>0</v>
      </c>
      <c r="G1486" s="102" t="n">
        <f aca="false">IFERROR(F1486/INDEX($G$5:$G$34,MATCH(LOOKUP(2,1/($A$39:A1486&lt;&gt;""),$A$39:A1486),$A$5:$A$34,0)),0)</f>
        <v>0</v>
      </c>
      <c r="H1486" s="103" t="str">
        <f aca="false">IF(G1486=0,"空闲",IF(G1486&lt;=0.6,"低负荷",IF(G1486&lt;=0.85,"正常",IF(G1486&lt;=1,"满负荷","超负荷"))))</f>
        <v>空闲</v>
      </c>
      <c r="I1486" s="104" t="s">
        <v>638</v>
      </c>
      <c r="J1486" s="104"/>
      <c r="K1486" s="104"/>
      <c r="L1486" s="105" t="s">
        <v>639</v>
      </c>
    </row>
    <row r="1487" customFormat="false" ht="48" hidden="false" customHeight="true" outlineLevel="0" collapsed="false">
      <c r="A1487" s="99"/>
      <c r="B1487" s="100" t="n">
        <v>46244</v>
      </c>
      <c r="C1487" s="100" t="n">
        <v>46250</v>
      </c>
      <c r="D1487" s="99" t="s">
        <v>638</v>
      </c>
      <c r="E1487" s="99" t="n">
        <v>0</v>
      </c>
      <c r="F1487" s="101" t="n">
        <v>0</v>
      </c>
      <c r="G1487" s="102" t="n">
        <f aca="false">IFERROR(F1487/INDEX($G$5:$G$34,MATCH(LOOKUP(2,1/($A$39:A1487&lt;&gt;""),$A$39:A1487),$A$5:$A$34,0)),0)</f>
        <v>0</v>
      </c>
      <c r="H1487" s="103" t="str">
        <f aca="false">IF(G1487=0,"空闲",IF(G1487&lt;=0.6,"低负荷",IF(G1487&lt;=0.85,"正常",IF(G1487&lt;=1,"满负荷","超负荷"))))</f>
        <v>空闲</v>
      </c>
      <c r="I1487" s="104" t="s">
        <v>638</v>
      </c>
      <c r="J1487" s="104"/>
      <c r="K1487" s="104"/>
      <c r="L1487" s="105" t="s">
        <v>639</v>
      </c>
    </row>
    <row r="1488" customFormat="false" ht="48" hidden="false" customHeight="true" outlineLevel="0" collapsed="false">
      <c r="A1488" s="99"/>
      <c r="B1488" s="100" t="n">
        <v>46251</v>
      </c>
      <c r="C1488" s="100" t="n">
        <v>46257</v>
      </c>
      <c r="D1488" s="99" t="s">
        <v>638</v>
      </c>
      <c r="E1488" s="99" t="n">
        <v>0</v>
      </c>
      <c r="F1488" s="101" t="n">
        <v>0</v>
      </c>
      <c r="G1488" s="102" t="n">
        <f aca="false">IFERROR(F1488/INDEX($G$5:$G$34,MATCH(LOOKUP(2,1/($A$39:A1488&lt;&gt;""),$A$39:A1488),$A$5:$A$34,0)),0)</f>
        <v>0</v>
      </c>
      <c r="H1488" s="103" t="str">
        <f aca="false">IF(G1488=0,"空闲",IF(G1488&lt;=0.6,"低负荷",IF(G1488&lt;=0.85,"正常",IF(G1488&lt;=1,"满负荷","超负荷"))))</f>
        <v>空闲</v>
      </c>
      <c r="I1488" s="104" t="s">
        <v>638</v>
      </c>
      <c r="J1488" s="104"/>
      <c r="K1488" s="104"/>
      <c r="L1488" s="105" t="s">
        <v>639</v>
      </c>
    </row>
    <row r="1489" customFormat="false" ht="48" hidden="false" customHeight="true" outlineLevel="0" collapsed="false">
      <c r="A1489" s="99"/>
      <c r="B1489" s="100" t="n">
        <v>46258</v>
      </c>
      <c r="C1489" s="100" t="n">
        <v>46264</v>
      </c>
      <c r="D1489" s="99" t="s">
        <v>638</v>
      </c>
      <c r="E1489" s="99" t="n">
        <v>0</v>
      </c>
      <c r="F1489" s="101" t="n">
        <v>0</v>
      </c>
      <c r="G1489" s="102" t="n">
        <f aca="false">IFERROR(F1489/INDEX($G$5:$G$34,MATCH(LOOKUP(2,1/($A$39:A1489&lt;&gt;""),$A$39:A1489),$A$5:$A$34,0)),0)</f>
        <v>0</v>
      </c>
      <c r="H1489" s="103" t="str">
        <f aca="false">IF(G1489=0,"空闲",IF(G1489&lt;=0.6,"低负荷",IF(G1489&lt;=0.85,"正常",IF(G1489&lt;=1,"满负荷","超负荷"))))</f>
        <v>空闲</v>
      </c>
      <c r="I1489" s="104" t="s">
        <v>638</v>
      </c>
      <c r="J1489" s="104"/>
      <c r="K1489" s="104"/>
      <c r="L1489" s="105" t="s">
        <v>639</v>
      </c>
    </row>
    <row r="1490" customFormat="false" ht="48" hidden="false" customHeight="true" outlineLevel="0" collapsed="false">
      <c r="A1490" s="99"/>
      <c r="B1490" s="100" t="n">
        <v>46265</v>
      </c>
      <c r="C1490" s="100" t="n">
        <v>46271</v>
      </c>
      <c r="D1490" s="99" t="s">
        <v>638</v>
      </c>
      <c r="E1490" s="99" t="n">
        <v>0</v>
      </c>
      <c r="F1490" s="101" t="n">
        <v>0</v>
      </c>
      <c r="G1490" s="102" t="n">
        <f aca="false">IFERROR(F1490/INDEX($G$5:$G$34,MATCH(LOOKUP(2,1/($A$39:A1490&lt;&gt;""),$A$39:A1490),$A$5:$A$34,0)),0)</f>
        <v>0</v>
      </c>
      <c r="H1490" s="103" t="str">
        <f aca="false">IF(G1490=0,"空闲",IF(G1490&lt;=0.6,"低负荷",IF(G1490&lt;=0.85,"正常",IF(G1490&lt;=1,"满负荷","超负荷"))))</f>
        <v>空闲</v>
      </c>
      <c r="I1490" s="104" t="s">
        <v>638</v>
      </c>
      <c r="J1490" s="104"/>
      <c r="K1490" s="104"/>
      <c r="L1490" s="105" t="s">
        <v>639</v>
      </c>
    </row>
    <row r="1491" customFormat="false" ht="48" hidden="false" customHeight="true" outlineLevel="0" collapsed="false">
      <c r="A1491" s="99"/>
      <c r="B1491" s="100" t="n">
        <v>46272</v>
      </c>
      <c r="C1491" s="100" t="n">
        <v>46278</v>
      </c>
      <c r="D1491" s="99" t="s">
        <v>638</v>
      </c>
      <c r="E1491" s="99" t="n">
        <v>0</v>
      </c>
      <c r="F1491" s="101" t="n">
        <v>0</v>
      </c>
      <c r="G1491" s="102" t="n">
        <f aca="false">IFERROR(F1491/INDEX($G$5:$G$34,MATCH(LOOKUP(2,1/($A$39:A1491&lt;&gt;""),$A$39:A1491),$A$5:$A$34,0)),0)</f>
        <v>0</v>
      </c>
      <c r="H1491" s="103" t="str">
        <f aca="false">IF(G1491=0,"空闲",IF(G1491&lt;=0.6,"低负荷",IF(G1491&lt;=0.85,"正常",IF(G1491&lt;=1,"满负荷","超负荷"))))</f>
        <v>空闲</v>
      </c>
      <c r="I1491" s="104" t="s">
        <v>638</v>
      </c>
      <c r="J1491" s="104"/>
      <c r="K1491" s="104"/>
      <c r="L1491" s="105" t="s">
        <v>639</v>
      </c>
    </row>
    <row r="1492" customFormat="false" ht="48" hidden="false" customHeight="true" outlineLevel="0" collapsed="false">
      <c r="A1492" s="99"/>
      <c r="B1492" s="100" t="n">
        <v>46279</v>
      </c>
      <c r="C1492" s="100" t="n">
        <v>46285</v>
      </c>
      <c r="D1492" s="99" t="s">
        <v>638</v>
      </c>
      <c r="E1492" s="99" t="n">
        <v>0</v>
      </c>
      <c r="F1492" s="101" t="n">
        <v>0</v>
      </c>
      <c r="G1492" s="102" t="n">
        <f aca="false">IFERROR(F1492/INDEX($G$5:$G$34,MATCH(LOOKUP(2,1/($A$39:A1492&lt;&gt;""),$A$39:A1492),$A$5:$A$34,0)),0)</f>
        <v>0</v>
      </c>
      <c r="H1492" s="103" t="str">
        <f aca="false">IF(G1492=0,"空闲",IF(G1492&lt;=0.6,"低负荷",IF(G1492&lt;=0.85,"正常",IF(G1492&lt;=1,"满负荷","超负荷"))))</f>
        <v>空闲</v>
      </c>
      <c r="I1492" s="104" t="s">
        <v>638</v>
      </c>
      <c r="J1492" s="104"/>
      <c r="K1492" s="104"/>
      <c r="L1492" s="105" t="s">
        <v>639</v>
      </c>
    </row>
    <row r="1493" customFormat="false" ht="48" hidden="false" customHeight="true" outlineLevel="0" collapsed="false">
      <c r="A1493" s="99"/>
      <c r="B1493" s="100" t="n">
        <v>46286</v>
      </c>
      <c r="C1493" s="100" t="n">
        <v>46292</v>
      </c>
      <c r="D1493" s="99" t="s">
        <v>638</v>
      </c>
      <c r="E1493" s="99" t="n">
        <v>0</v>
      </c>
      <c r="F1493" s="101" t="n">
        <v>0</v>
      </c>
      <c r="G1493" s="102" t="n">
        <f aca="false">IFERROR(F1493/INDEX($G$5:$G$34,MATCH(LOOKUP(2,1/($A$39:A1493&lt;&gt;""),$A$39:A1493),$A$5:$A$34,0)),0)</f>
        <v>0</v>
      </c>
      <c r="H1493" s="103" t="str">
        <f aca="false">IF(G1493=0,"空闲",IF(G1493&lt;=0.6,"低负荷",IF(G1493&lt;=0.85,"正常",IF(G1493&lt;=1,"满负荷","超负荷"))))</f>
        <v>空闲</v>
      </c>
      <c r="I1493" s="104" t="s">
        <v>638</v>
      </c>
      <c r="J1493" s="104"/>
      <c r="K1493" s="104"/>
      <c r="L1493" s="105" t="s">
        <v>639</v>
      </c>
    </row>
    <row r="1494" customFormat="false" ht="48" hidden="false" customHeight="true" outlineLevel="0" collapsed="false">
      <c r="A1494" s="99"/>
      <c r="B1494" s="100" t="n">
        <v>46293</v>
      </c>
      <c r="C1494" s="100" t="n">
        <v>46299</v>
      </c>
      <c r="D1494" s="99" t="s">
        <v>638</v>
      </c>
      <c r="E1494" s="99" t="n">
        <v>0</v>
      </c>
      <c r="F1494" s="101" t="n">
        <v>0</v>
      </c>
      <c r="G1494" s="102" t="n">
        <f aca="false">IFERROR(F1494/INDEX($G$5:$G$34,MATCH(LOOKUP(2,1/($A$39:A1494&lt;&gt;""),$A$39:A1494),$A$5:$A$34,0)),0)</f>
        <v>0</v>
      </c>
      <c r="H1494" s="103" t="str">
        <f aca="false">IF(G1494=0,"空闲",IF(G1494&lt;=0.6,"低负荷",IF(G1494&lt;=0.85,"正常",IF(G1494&lt;=1,"满负荷","超负荷"))))</f>
        <v>空闲</v>
      </c>
      <c r="I1494" s="104" t="s">
        <v>638</v>
      </c>
      <c r="J1494" s="104"/>
      <c r="K1494" s="104"/>
      <c r="L1494" s="105" t="s">
        <v>639</v>
      </c>
    </row>
    <row r="1495" customFormat="false" ht="48" hidden="false" customHeight="true" outlineLevel="0" collapsed="false">
      <c r="A1495" s="99"/>
      <c r="B1495" s="100" t="n">
        <v>46300</v>
      </c>
      <c r="C1495" s="100" t="n">
        <v>46306</v>
      </c>
      <c r="D1495" s="99" t="s">
        <v>638</v>
      </c>
      <c r="E1495" s="99" t="n">
        <v>0</v>
      </c>
      <c r="F1495" s="101" t="n">
        <v>0</v>
      </c>
      <c r="G1495" s="102" t="n">
        <f aca="false">IFERROR(F1495/INDEX($G$5:$G$34,MATCH(LOOKUP(2,1/($A$39:A1495&lt;&gt;""),$A$39:A1495),$A$5:$A$34,0)),0)</f>
        <v>0</v>
      </c>
      <c r="H1495" s="103" t="str">
        <f aca="false">IF(G1495=0,"空闲",IF(G1495&lt;=0.6,"低负荷",IF(G1495&lt;=0.85,"正常",IF(G1495&lt;=1,"满负荷","超负荷"))))</f>
        <v>空闲</v>
      </c>
      <c r="I1495" s="104" t="s">
        <v>638</v>
      </c>
      <c r="J1495" s="104"/>
      <c r="K1495" s="104"/>
      <c r="L1495" s="105" t="s">
        <v>639</v>
      </c>
    </row>
    <row r="1496" customFormat="false" ht="48" hidden="false" customHeight="true" outlineLevel="0" collapsed="false">
      <c r="A1496" s="99"/>
      <c r="B1496" s="100" t="n">
        <v>46307</v>
      </c>
      <c r="C1496" s="100" t="n">
        <v>46313</v>
      </c>
      <c r="D1496" s="99" t="s">
        <v>638</v>
      </c>
      <c r="E1496" s="99" t="n">
        <v>0</v>
      </c>
      <c r="F1496" s="101" t="n">
        <v>0</v>
      </c>
      <c r="G1496" s="102" t="n">
        <f aca="false">IFERROR(F1496/INDEX($G$5:$G$34,MATCH(LOOKUP(2,1/($A$39:A1496&lt;&gt;""),$A$39:A1496),$A$5:$A$34,0)),0)</f>
        <v>0</v>
      </c>
      <c r="H1496" s="103" t="str">
        <f aca="false">IF(G1496=0,"空闲",IF(G1496&lt;=0.6,"低负荷",IF(G1496&lt;=0.85,"正常",IF(G1496&lt;=1,"满负荷","超负荷"))))</f>
        <v>空闲</v>
      </c>
      <c r="I1496" s="104" t="s">
        <v>638</v>
      </c>
      <c r="J1496" s="104"/>
      <c r="K1496" s="104"/>
      <c r="L1496" s="105" t="s">
        <v>639</v>
      </c>
    </row>
    <row r="1497" customFormat="false" ht="48" hidden="false" customHeight="true" outlineLevel="0" collapsed="false">
      <c r="A1497" s="99"/>
      <c r="B1497" s="100" t="n">
        <v>46314</v>
      </c>
      <c r="C1497" s="100" t="n">
        <v>46320</v>
      </c>
      <c r="D1497" s="99" t="s">
        <v>638</v>
      </c>
      <c r="E1497" s="99" t="n">
        <v>0</v>
      </c>
      <c r="F1497" s="101" t="n">
        <v>0</v>
      </c>
      <c r="G1497" s="102" t="n">
        <f aca="false">IFERROR(F1497/INDEX($G$5:$G$34,MATCH(LOOKUP(2,1/($A$39:A1497&lt;&gt;""),$A$39:A1497),$A$5:$A$34,0)),0)</f>
        <v>0</v>
      </c>
      <c r="H1497" s="103" t="str">
        <f aca="false">IF(G1497=0,"空闲",IF(G1497&lt;=0.6,"低负荷",IF(G1497&lt;=0.85,"正常",IF(G1497&lt;=1,"满负荷","超负荷"))))</f>
        <v>空闲</v>
      </c>
      <c r="I1497" s="104" t="s">
        <v>638</v>
      </c>
      <c r="J1497" s="104"/>
      <c r="K1497" s="104"/>
      <c r="L1497" s="105" t="s">
        <v>639</v>
      </c>
    </row>
    <row r="1498" customFormat="false" ht="48" hidden="false" customHeight="true" outlineLevel="0" collapsed="false">
      <c r="A1498" s="99"/>
      <c r="B1498" s="100" t="n">
        <v>46321</v>
      </c>
      <c r="C1498" s="100" t="n">
        <v>46327</v>
      </c>
      <c r="D1498" s="99" t="s">
        <v>638</v>
      </c>
      <c r="E1498" s="99" t="n">
        <v>0</v>
      </c>
      <c r="F1498" s="101" t="n">
        <v>0</v>
      </c>
      <c r="G1498" s="102" t="n">
        <f aca="false">IFERROR(F1498/INDEX($G$5:$G$34,MATCH(LOOKUP(2,1/($A$39:A1498&lt;&gt;""),$A$39:A1498),$A$5:$A$34,0)),0)</f>
        <v>0</v>
      </c>
      <c r="H1498" s="103" t="str">
        <f aca="false">IF(G1498=0,"空闲",IF(G1498&lt;=0.6,"低负荷",IF(G1498&lt;=0.85,"正常",IF(G1498&lt;=1,"满负荷","超负荷"))))</f>
        <v>空闲</v>
      </c>
      <c r="I1498" s="104" t="s">
        <v>638</v>
      </c>
      <c r="J1498" s="104"/>
      <c r="K1498" s="104"/>
      <c r="L1498" s="105" t="s">
        <v>639</v>
      </c>
    </row>
    <row r="1499" customFormat="false" ht="48" hidden="false" customHeight="true" outlineLevel="0" collapsed="false">
      <c r="A1499" s="99"/>
      <c r="B1499" s="100" t="n">
        <v>46328</v>
      </c>
      <c r="C1499" s="100" t="n">
        <v>46334</v>
      </c>
      <c r="D1499" s="99" t="s">
        <v>638</v>
      </c>
      <c r="E1499" s="99" t="n">
        <v>0</v>
      </c>
      <c r="F1499" s="101" t="n">
        <v>0</v>
      </c>
      <c r="G1499" s="102" t="n">
        <f aca="false">IFERROR(F1499/INDEX($G$5:$G$34,MATCH(LOOKUP(2,1/($A$39:A1499&lt;&gt;""),$A$39:A1499),$A$5:$A$34,0)),0)</f>
        <v>0</v>
      </c>
      <c r="H1499" s="103" t="str">
        <f aca="false">IF(G1499=0,"空闲",IF(G1499&lt;=0.6,"低负荷",IF(G1499&lt;=0.85,"正常",IF(G1499&lt;=1,"满负荷","超负荷"))))</f>
        <v>空闲</v>
      </c>
      <c r="I1499" s="104" t="s">
        <v>638</v>
      </c>
      <c r="J1499" s="104"/>
      <c r="K1499" s="104"/>
      <c r="L1499" s="105" t="s">
        <v>639</v>
      </c>
    </row>
    <row r="1500" customFormat="false" ht="48" hidden="false" customHeight="true" outlineLevel="0" collapsed="false">
      <c r="A1500" s="99"/>
      <c r="B1500" s="100" t="n">
        <v>46335</v>
      </c>
      <c r="C1500" s="100" t="n">
        <v>46341</v>
      </c>
      <c r="D1500" s="99" t="s">
        <v>638</v>
      </c>
      <c r="E1500" s="99" t="n">
        <v>0</v>
      </c>
      <c r="F1500" s="101" t="n">
        <v>0</v>
      </c>
      <c r="G1500" s="102" t="n">
        <f aca="false">IFERROR(F1500/INDEX($G$5:$G$34,MATCH(LOOKUP(2,1/($A$39:A1500&lt;&gt;""),$A$39:A1500),$A$5:$A$34,0)),0)</f>
        <v>0</v>
      </c>
      <c r="H1500" s="103" t="str">
        <f aca="false">IF(G1500=0,"空闲",IF(G1500&lt;=0.6,"低负荷",IF(G1500&lt;=0.85,"正常",IF(G1500&lt;=1,"满负荷","超负荷"))))</f>
        <v>空闲</v>
      </c>
      <c r="I1500" s="104" t="s">
        <v>638</v>
      </c>
      <c r="J1500" s="104"/>
      <c r="K1500" s="104"/>
      <c r="L1500" s="105" t="s">
        <v>639</v>
      </c>
    </row>
    <row r="1501" customFormat="false" ht="48" hidden="false" customHeight="true" outlineLevel="0" collapsed="false">
      <c r="A1501" s="99"/>
      <c r="B1501" s="100" t="n">
        <v>46342</v>
      </c>
      <c r="C1501" s="100" t="n">
        <v>46348</v>
      </c>
      <c r="D1501" s="99" t="s">
        <v>638</v>
      </c>
      <c r="E1501" s="99" t="n">
        <v>0</v>
      </c>
      <c r="F1501" s="101" t="n">
        <v>0</v>
      </c>
      <c r="G1501" s="102" t="n">
        <f aca="false">IFERROR(F1501/INDEX($G$5:$G$34,MATCH(LOOKUP(2,1/($A$39:A1501&lt;&gt;""),$A$39:A1501),$A$5:$A$34,0)),0)</f>
        <v>0</v>
      </c>
      <c r="H1501" s="103" t="str">
        <f aca="false">IF(G1501=0,"空闲",IF(G1501&lt;=0.6,"低负荷",IF(G1501&lt;=0.85,"正常",IF(G1501&lt;=1,"满负荷","超负荷"))))</f>
        <v>空闲</v>
      </c>
      <c r="I1501" s="104" t="s">
        <v>638</v>
      </c>
      <c r="J1501" s="104"/>
      <c r="K1501" s="104"/>
      <c r="L1501" s="105" t="s">
        <v>639</v>
      </c>
    </row>
    <row r="1502" customFormat="false" ht="48" hidden="false" customHeight="true" outlineLevel="0" collapsed="false">
      <c r="A1502" s="99"/>
      <c r="B1502" s="100" t="n">
        <v>46349</v>
      </c>
      <c r="C1502" s="100" t="n">
        <v>46355</v>
      </c>
      <c r="D1502" s="99" t="s">
        <v>640</v>
      </c>
      <c r="E1502" s="99" t="n">
        <v>1</v>
      </c>
      <c r="F1502" s="101" t="n">
        <v>40</v>
      </c>
      <c r="G1502" s="102" t="n">
        <f aca="false">IFERROR(F1502/INDEX($G$5:$G$34,MATCH(LOOKUP(2,1/($A$39:A1502&lt;&gt;""),$A$39:A1502),$A$5:$A$34,0)),0)</f>
        <v>1</v>
      </c>
      <c r="H1502" s="103" t="str">
        <f aca="false">IF(G1502=0,"空闲",IF(G1502&lt;=0.6,"低负荷",IF(G1502&lt;=0.85,"正常",IF(G1502&lt;=1,"满负荷","超负荷"))))</f>
        <v>满负荷</v>
      </c>
      <c r="I1502" s="106" t="s">
        <v>712</v>
      </c>
      <c r="J1502" s="106"/>
      <c r="K1502" s="106"/>
      <c r="L1502" s="105" t="s">
        <v>642</v>
      </c>
    </row>
    <row r="1503" customFormat="false" ht="48" hidden="false" customHeight="true" outlineLevel="0" collapsed="false">
      <c r="A1503" s="99"/>
      <c r="B1503" s="100" t="n">
        <v>46356</v>
      </c>
      <c r="C1503" s="100" t="n">
        <v>46362</v>
      </c>
      <c r="D1503" s="99" t="s">
        <v>640</v>
      </c>
      <c r="E1503" s="99" t="n">
        <v>1</v>
      </c>
      <c r="F1503" s="101" t="n">
        <v>40</v>
      </c>
      <c r="G1503" s="102" t="n">
        <f aca="false">IFERROR(F1503/INDEX($G$5:$G$34,MATCH(LOOKUP(2,1/($A$39:A1503&lt;&gt;""),$A$39:A1503),$A$5:$A$34,0)),0)</f>
        <v>1</v>
      </c>
      <c r="H1503" s="103" t="str">
        <f aca="false">IF(G1503=0,"空闲",IF(G1503&lt;=0.6,"低负荷",IF(G1503&lt;=0.85,"正常",IF(G1503&lt;=1,"满负荷","超负荷"))))</f>
        <v>满负荷</v>
      </c>
      <c r="I1503" s="106" t="s">
        <v>712</v>
      </c>
      <c r="J1503" s="106"/>
      <c r="K1503" s="106"/>
      <c r="L1503" s="105" t="s">
        <v>642</v>
      </c>
    </row>
    <row r="1504" customFormat="false" ht="48" hidden="false" customHeight="true" outlineLevel="0" collapsed="false">
      <c r="A1504" s="99"/>
      <c r="B1504" s="100" t="n">
        <v>46363</v>
      </c>
      <c r="C1504" s="100" t="n">
        <v>46369</v>
      </c>
      <c r="D1504" s="99" t="s">
        <v>640</v>
      </c>
      <c r="E1504" s="99" t="n">
        <v>5</v>
      </c>
      <c r="F1504" s="101" t="n">
        <v>40</v>
      </c>
      <c r="G1504" s="102" t="n">
        <f aca="false">IFERROR(F1504/INDEX($G$5:$G$34,MATCH(LOOKUP(2,1/($A$39:A1504&lt;&gt;""),$A$39:A1504),$A$5:$A$34,0)),0)</f>
        <v>1</v>
      </c>
      <c r="H1504" s="103" t="str">
        <f aca="false">IF(G1504=0,"空闲",IF(G1504&lt;=0.6,"低负荷",IF(G1504&lt;=0.85,"正常",IF(G1504&lt;=1,"满负荷","超负荷"))))</f>
        <v>满负荷</v>
      </c>
      <c r="I1504" s="106" t="s">
        <v>748</v>
      </c>
      <c r="J1504" s="106"/>
      <c r="K1504" s="106"/>
      <c r="L1504" s="105" t="s">
        <v>717</v>
      </c>
    </row>
    <row r="1505" customFormat="false" ht="48" hidden="false" customHeight="true" outlineLevel="0" collapsed="false">
      <c r="A1505" s="99"/>
      <c r="B1505" s="100" t="n">
        <v>46370</v>
      </c>
      <c r="C1505" s="100" t="n">
        <v>46376</v>
      </c>
      <c r="D1505" s="99" t="s">
        <v>640</v>
      </c>
      <c r="E1505" s="99" t="n">
        <v>5</v>
      </c>
      <c r="F1505" s="101" t="n">
        <v>40</v>
      </c>
      <c r="G1505" s="102" t="n">
        <f aca="false">IFERROR(F1505/INDEX($G$5:$G$34,MATCH(LOOKUP(2,1/($A$39:A1505&lt;&gt;""),$A$39:A1505),$A$5:$A$34,0)),0)</f>
        <v>1</v>
      </c>
      <c r="H1505" s="103" t="str">
        <f aca="false">IF(G1505=0,"空闲",IF(G1505&lt;=0.6,"低负荷",IF(G1505&lt;=0.85,"正常",IF(G1505&lt;=1,"满负荷","超负荷"))))</f>
        <v>满负荷</v>
      </c>
      <c r="I1505" s="106" t="s">
        <v>748</v>
      </c>
      <c r="J1505" s="106"/>
      <c r="K1505" s="106"/>
      <c r="L1505" s="105" t="s">
        <v>717</v>
      </c>
    </row>
    <row r="1506" customFormat="false" ht="48" hidden="false" customHeight="true" outlineLevel="0" collapsed="false">
      <c r="A1506" s="99"/>
      <c r="B1506" s="100" t="n">
        <v>46377</v>
      </c>
      <c r="C1506" s="100" t="n">
        <v>46383</v>
      </c>
      <c r="D1506" s="99" t="s">
        <v>640</v>
      </c>
      <c r="E1506" s="99" t="n">
        <v>5</v>
      </c>
      <c r="F1506" s="101" t="n">
        <v>40</v>
      </c>
      <c r="G1506" s="102" t="n">
        <f aca="false">IFERROR(F1506/INDEX($G$5:$G$34,MATCH(LOOKUP(2,1/($A$39:A1506&lt;&gt;""),$A$39:A1506),$A$5:$A$34,0)),0)</f>
        <v>1</v>
      </c>
      <c r="H1506" s="103" t="str">
        <f aca="false">IF(G1506=0,"空闲",IF(G1506&lt;=0.6,"低负荷",IF(G1506&lt;=0.85,"正常",IF(G1506&lt;=1,"满负荷","超负荷"))))</f>
        <v>满负荷</v>
      </c>
      <c r="I1506" s="106" t="s">
        <v>748</v>
      </c>
      <c r="J1506" s="106"/>
      <c r="K1506" s="106"/>
      <c r="L1506" s="105" t="s">
        <v>717</v>
      </c>
    </row>
    <row r="1507" customFormat="false" ht="48" hidden="false" customHeight="true" outlineLevel="0" collapsed="false">
      <c r="A1507" s="99"/>
      <c r="B1507" s="100" t="n">
        <v>46384</v>
      </c>
      <c r="C1507" s="100" t="n">
        <v>46390</v>
      </c>
      <c r="D1507" s="99" t="s">
        <v>640</v>
      </c>
      <c r="E1507" s="99" t="n">
        <v>5</v>
      </c>
      <c r="F1507" s="101" t="n">
        <v>40</v>
      </c>
      <c r="G1507" s="102" t="n">
        <f aca="false">IFERROR(F1507/INDEX($G$5:$G$34,MATCH(LOOKUP(2,1/($A$39:A1507&lt;&gt;""),$A$39:A1507),$A$5:$A$34,0)),0)</f>
        <v>1</v>
      </c>
      <c r="H1507" s="103" t="str">
        <f aca="false">IF(G1507=0,"空闲",IF(G1507&lt;=0.6,"低负荷",IF(G1507&lt;=0.85,"正常",IF(G1507&lt;=1,"满负荷","超负荷"))))</f>
        <v>满负荷</v>
      </c>
      <c r="I1507" s="106" t="s">
        <v>748</v>
      </c>
      <c r="J1507" s="106"/>
      <c r="K1507" s="106"/>
      <c r="L1507" s="105" t="s">
        <v>717</v>
      </c>
    </row>
    <row r="1508" customFormat="false" ht="48" hidden="false" customHeight="true" outlineLevel="0" collapsed="false">
      <c r="A1508" s="99"/>
      <c r="B1508" s="100" t="n">
        <v>46391</v>
      </c>
      <c r="C1508" s="100" t="n">
        <v>46397</v>
      </c>
      <c r="D1508" s="99" t="s">
        <v>640</v>
      </c>
      <c r="E1508" s="99" t="n">
        <v>5</v>
      </c>
      <c r="F1508" s="101" t="n">
        <v>40</v>
      </c>
      <c r="G1508" s="102" t="n">
        <f aca="false">IFERROR(F1508/INDEX($G$5:$G$34,MATCH(LOOKUP(2,1/($A$39:A1508&lt;&gt;""),$A$39:A1508),$A$5:$A$34,0)),0)</f>
        <v>1</v>
      </c>
      <c r="H1508" s="103" t="str">
        <f aca="false">IF(G1508=0,"空闲",IF(G1508&lt;=0.6,"低负荷",IF(G1508&lt;=0.85,"正常",IF(G1508&lt;=1,"满负荷","超负荷"))))</f>
        <v>满负荷</v>
      </c>
      <c r="I1508" s="106" t="s">
        <v>748</v>
      </c>
      <c r="J1508" s="106"/>
      <c r="K1508" s="106"/>
      <c r="L1508" s="105" t="s">
        <v>717</v>
      </c>
    </row>
    <row r="1509" customFormat="false" ht="48" hidden="false" customHeight="true" outlineLevel="0" collapsed="false">
      <c r="A1509" s="99"/>
      <c r="B1509" s="100" t="n">
        <v>46398</v>
      </c>
      <c r="C1509" s="100" t="n">
        <v>46404</v>
      </c>
      <c r="D1509" s="99" t="s">
        <v>640</v>
      </c>
      <c r="E1509" s="99" t="n">
        <v>5</v>
      </c>
      <c r="F1509" s="101" t="n">
        <v>40</v>
      </c>
      <c r="G1509" s="102" t="n">
        <f aca="false">IFERROR(F1509/INDEX($G$5:$G$34,MATCH(LOOKUP(2,1/($A$39:A1509&lt;&gt;""),$A$39:A1509),$A$5:$A$34,0)),0)</f>
        <v>1</v>
      </c>
      <c r="H1509" s="103" t="str">
        <f aca="false">IF(G1509=0,"空闲",IF(G1509&lt;=0.6,"低负荷",IF(G1509&lt;=0.85,"正常",IF(G1509&lt;=1,"满负荷","超负荷"))))</f>
        <v>满负荷</v>
      </c>
      <c r="I1509" s="106" t="s">
        <v>748</v>
      </c>
      <c r="J1509" s="106"/>
      <c r="K1509" s="106"/>
      <c r="L1509" s="105" t="s">
        <v>717</v>
      </c>
    </row>
    <row r="1510" customFormat="false" ht="48" hidden="false" customHeight="true" outlineLevel="0" collapsed="false">
      <c r="A1510" s="99"/>
      <c r="B1510" s="100" t="n">
        <v>46405</v>
      </c>
      <c r="C1510" s="100" t="n">
        <v>46411</v>
      </c>
      <c r="D1510" s="99" t="s">
        <v>640</v>
      </c>
      <c r="E1510" s="99" t="n">
        <v>5</v>
      </c>
      <c r="F1510" s="101" t="n">
        <v>40</v>
      </c>
      <c r="G1510" s="102" t="n">
        <f aca="false">IFERROR(F1510/INDEX($G$5:$G$34,MATCH(LOOKUP(2,1/($A$39:A1510&lt;&gt;""),$A$39:A1510),$A$5:$A$34,0)),0)</f>
        <v>1</v>
      </c>
      <c r="H1510" s="103" t="str">
        <f aca="false">IF(G1510=0,"空闲",IF(G1510&lt;=0.6,"低负荷",IF(G1510&lt;=0.85,"正常",IF(G1510&lt;=1,"满负荷","超负荷"))))</f>
        <v>满负荷</v>
      </c>
      <c r="I1510" s="106" t="s">
        <v>748</v>
      </c>
      <c r="J1510" s="106"/>
      <c r="K1510" s="106"/>
      <c r="L1510" s="105" t="s">
        <v>717</v>
      </c>
    </row>
    <row r="1511" customFormat="false" ht="48" hidden="false" customHeight="true" outlineLevel="0" collapsed="false">
      <c r="A1511" s="99"/>
      <c r="B1511" s="100" t="n">
        <v>46412</v>
      </c>
      <c r="C1511" s="100" t="n">
        <v>46418</v>
      </c>
      <c r="D1511" s="99" t="s">
        <v>640</v>
      </c>
      <c r="E1511" s="99" t="n">
        <v>5</v>
      </c>
      <c r="F1511" s="101" t="n">
        <v>40</v>
      </c>
      <c r="G1511" s="102" t="n">
        <f aca="false">IFERROR(F1511/INDEX($G$5:$G$34,MATCH(LOOKUP(2,1/($A$39:A1511&lt;&gt;""),$A$39:A1511),$A$5:$A$34,0)),0)</f>
        <v>1</v>
      </c>
      <c r="H1511" s="103" t="str">
        <f aca="false">IF(G1511=0,"空闲",IF(G1511&lt;=0.6,"低负荷",IF(G1511&lt;=0.85,"正常",IF(G1511&lt;=1,"满负荷","超负荷"))))</f>
        <v>满负荷</v>
      </c>
      <c r="I1511" s="106" t="s">
        <v>748</v>
      </c>
      <c r="J1511" s="106"/>
      <c r="K1511" s="106"/>
      <c r="L1511" s="105" t="s">
        <v>717</v>
      </c>
    </row>
    <row r="1512" customFormat="false" ht="48" hidden="false" customHeight="true" outlineLevel="0" collapsed="false">
      <c r="A1512" s="99"/>
      <c r="B1512" s="100" t="n">
        <v>46419</v>
      </c>
      <c r="C1512" s="100" t="n">
        <v>46425</v>
      </c>
      <c r="D1512" s="99" t="s">
        <v>640</v>
      </c>
      <c r="E1512" s="99" t="n">
        <v>5</v>
      </c>
      <c r="F1512" s="101" t="n">
        <v>40</v>
      </c>
      <c r="G1512" s="102" t="n">
        <f aca="false">IFERROR(F1512/INDEX($G$5:$G$34,MATCH(LOOKUP(2,1/($A$39:A1512&lt;&gt;""),$A$39:A1512),$A$5:$A$34,0)),0)</f>
        <v>1</v>
      </c>
      <c r="H1512" s="103" t="str">
        <f aca="false">IF(G1512=0,"空闲",IF(G1512&lt;=0.6,"低负荷",IF(G1512&lt;=0.85,"正常",IF(G1512&lt;=1,"满负荷","超负荷"))))</f>
        <v>满负荷</v>
      </c>
      <c r="I1512" s="106" t="s">
        <v>748</v>
      </c>
      <c r="J1512" s="106"/>
      <c r="K1512" s="106"/>
      <c r="L1512" s="105" t="s">
        <v>717</v>
      </c>
    </row>
    <row r="1513" customFormat="false" ht="48" hidden="false" customHeight="true" outlineLevel="0" collapsed="false">
      <c r="A1513" s="99"/>
      <c r="B1513" s="100" t="n">
        <v>46426</v>
      </c>
      <c r="C1513" s="100" t="n">
        <v>46432</v>
      </c>
      <c r="D1513" s="99" t="s">
        <v>640</v>
      </c>
      <c r="E1513" s="99" t="n">
        <v>6</v>
      </c>
      <c r="F1513" s="101" t="n">
        <v>40</v>
      </c>
      <c r="G1513" s="102" t="n">
        <f aca="false">IFERROR(F1513/INDEX($G$5:$G$34,MATCH(LOOKUP(2,1/($A$39:A1513&lt;&gt;""),$A$39:A1513),$A$5:$A$34,0)),0)</f>
        <v>1</v>
      </c>
      <c r="H1513" s="103" t="str">
        <f aca="false">IF(G1513=0,"空闲",IF(G1513&lt;=0.6,"低负荷",IF(G1513&lt;=0.85,"正常",IF(G1513&lt;=1,"满负荷","超负荷"))))</f>
        <v>满负荷</v>
      </c>
      <c r="I1513" s="106" t="s">
        <v>751</v>
      </c>
      <c r="J1513" s="106"/>
      <c r="K1513" s="106"/>
      <c r="L1513" s="105" t="s">
        <v>676</v>
      </c>
    </row>
    <row r="1514" customFormat="false" ht="48" hidden="false" customHeight="true" outlineLevel="0" collapsed="false">
      <c r="A1514" s="99"/>
      <c r="B1514" s="100" t="n">
        <v>46433</v>
      </c>
      <c r="C1514" s="100" t="n">
        <v>46439</v>
      </c>
      <c r="D1514" s="99" t="s">
        <v>640</v>
      </c>
      <c r="E1514" s="99" t="n">
        <v>1</v>
      </c>
      <c r="F1514" s="101" t="n">
        <v>40</v>
      </c>
      <c r="G1514" s="102" t="n">
        <f aca="false">IFERROR(F1514/INDEX($G$5:$G$34,MATCH(LOOKUP(2,1/($A$39:A1514&lt;&gt;""),$A$39:A1514),$A$5:$A$34,0)),0)</f>
        <v>1</v>
      </c>
      <c r="H1514" s="103" t="str">
        <f aca="false">IF(G1514=0,"空闲",IF(G1514&lt;=0.6,"低负荷",IF(G1514&lt;=0.85,"正常",IF(G1514&lt;=1,"满负荷","超负荷"))))</f>
        <v>满负荷</v>
      </c>
      <c r="I1514" s="106" t="s">
        <v>752</v>
      </c>
      <c r="J1514" s="106"/>
      <c r="K1514" s="106"/>
      <c r="L1514" s="105" t="s">
        <v>642</v>
      </c>
    </row>
    <row r="1515" customFormat="false" ht="48" hidden="false" customHeight="true" outlineLevel="0" collapsed="false">
      <c r="A1515" s="99"/>
      <c r="B1515" s="100" t="n">
        <v>46440</v>
      </c>
      <c r="C1515" s="100" t="n">
        <v>46446</v>
      </c>
      <c r="D1515" s="99" t="s">
        <v>638</v>
      </c>
      <c r="E1515" s="99" t="n">
        <v>0</v>
      </c>
      <c r="F1515" s="101" t="n">
        <v>0</v>
      </c>
      <c r="G1515" s="102" t="n">
        <f aca="false">IFERROR(F1515/INDEX($G$5:$G$34,MATCH(LOOKUP(2,1/($A$39:A1515&lt;&gt;""),$A$39:A1515),$A$5:$A$34,0)),0)</f>
        <v>0</v>
      </c>
      <c r="H1515" s="103" t="str">
        <f aca="false">IF(G1515=0,"空闲",IF(G1515&lt;=0.6,"低负荷",IF(G1515&lt;=0.85,"正常",IF(G1515&lt;=1,"满负荷","超负荷"))))</f>
        <v>空闲</v>
      </c>
      <c r="I1515" s="104" t="s">
        <v>638</v>
      </c>
      <c r="J1515" s="104"/>
      <c r="K1515" s="104"/>
      <c r="L1515" s="105" t="s">
        <v>639</v>
      </c>
    </row>
    <row r="1516" customFormat="false" ht="48" hidden="false" customHeight="true" outlineLevel="0" collapsed="false">
      <c r="A1516" s="99"/>
      <c r="B1516" s="100" t="n">
        <v>46447</v>
      </c>
      <c r="C1516" s="100" t="n">
        <v>46453</v>
      </c>
      <c r="D1516" s="99" t="s">
        <v>638</v>
      </c>
      <c r="E1516" s="99" t="n">
        <v>0</v>
      </c>
      <c r="F1516" s="101" t="n">
        <v>0</v>
      </c>
      <c r="G1516" s="102" t="n">
        <f aca="false">IFERROR(F1516/INDEX($G$5:$G$34,MATCH(LOOKUP(2,1/($A$39:A1516&lt;&gt;""),$A$39:A1516),$A$5:$A$34,0)),0)</f>
        <v>0</v>
      </c>
      <c r="H1516" s="103" t="str">
        <f aca="false">IF(G1516=0,"空闲",IF(G1516&lt;=0.6,"低负荷",IF(G1516&lt;=0.85,"正常",IF(G1516&lt;=1,"满负荷","超负荷"))))</f>
        <v>空闲</v>
      </c>
      <c r="I1516" s="104" t="s">
        <v>638</v>
      </c>
      <c r="J1516" s="104"/>
      <c r="K1516" s="104"/>
      <c r="L1516" s="105" t="s">
        <v>639</v>
      </c>
    </row>
    <row r="1517" customFormat="false" ht="48" hidden="false" customHeight="true" outlineLevel="0" collapsed="false">
      <c r="A1517" s="99"/>
      <c r="B1517" s="100" t="n">
        <v>46454</v>
      </c>
      <c r="C1517" s="100" t="n">
        <v>46460</v>
      </c>
      <c r="D1517" s="99" t="s">
        <v>638</v>
      </c>
      <c r="E1517" s="99" t="n">
        <v>0</v>
      </c>
      <c r="F1517" s="101" t="n">
        <v>0</v>
      </c>
      <c r="G1517" s="102" t="n">
        <f aca="false">IFERROR(F1517/INDEX($G$5:$G$34,MATCH(LOOKUP(2,1/($A$39:A1517&lt;&gt;""),$A$39:A1517),$A$5:$A$34,0)),0)</f>
        <v>0</v>
      </c>
      <c r="H1517" s="103" t="str">
        <f aca="false">IF(G1517=0,"空闲",IF(G1517&lt;=0.6,"低负荷",IF(G1517&lt;=0.85,"正常",IF(G1517&lt;=1,"满负荷","超负荷"))))</f>
        <v>空闲</v>
      </c>
      <c r="I1517" s="104" t="s">
        <v>638</v>
      </c>
      <c r="J1517" s="104"/>
      <c r="K1517" s="104"/>
      <c r="L1517" s="105" t="s">
        <v>639</v>
      </c>
    </row>
    <row r="1518" customFormat="false" ht="48" hidden="false" customHeight="true" outlineLevel="0" collapsed="false">
      <c r="A1518" s="99"/>
      <c r="B1518" s="100" t="n">
        <v>46461</v>
      </c>
      <c r="C1518" s="100" t="n">
        <v>46467</v>
      </c>
      <c r="D1518" s="99" t="s">
        <v>638</v>
      </c>
      <c r="E1518" s="99" t="n">
        <v>0</v>
      </c>
      <c r="F1518" s="101" t="n">
        <v>0</v>
      </c>
      <c r="G1518" s="102" t="n">
        <f aca="false">IFERROR(F1518/INDEX($G$5:$G$34,MATCH(LOOKUP(2,1/($A$39:A1518&lt;&gt;""),$A$39:A1518),$A$5:$A$34,0)),0)</f>
        <v>0</v>
      </c>
      <c r="H1518" s="103" t="str">
        <f aca="false">IF(G1518=0,"空闲",IF(G1518&lt;=0.6,"低负荷",IF(G1518&lt;=0.85,"正常",IF(G1518&lt;=1,"满负荷","超负荷"))))</f>
        <v>空闲</v>
      </c>
      <c r="I1518" s="104" t="s">
        <v>638</v>
      </c>
      <c r="J1518" s="104"/>
      <c r="K1518" s="104"/>
      <c r="L1518" s="105" t="s">
        <v>639</v>
      </c>
    </row>
    <row r="1519" customFormat="false" ht="48" hidden="false" customHeight="true" outlineLevel="0" collapsed="false">
      <c r="A1519" s="99"/>
      <c r="B1519" s="100" t="n">
        <v>46468</v>
      </c>
      <c r="C1519" s="100" t="n">
        <v>46474</v>
      </c>
      <c r="D1519" s="99" t="s">
        <v>638</v>
      </c>
      <c r="E1519" s="99" t="n">
        <v>0</v>
      </c>
      <c r="F1519" s="101" t="n">
        <v>0</v>
      </c>
      <c r="G1519" s="102" t="n">
        <f aca="false">IFERROR(F1519/INDEX($G$5:$G$34,MATCH(LOOKUP(2,1/($A$39:A1519&lt;&gt;""),$A$39:A1519),$A$5:$A$34,0)),0)</f>
        <v>0</v>
      </c>
      <c r="H1519" s="103" t="str">
        <f aca="false">IF(G1519=0,"空闲",IF(G1519&lt;=0.6,"低负荷",IF(G1519&lt;=0.85,"正常",IF(G1519&lt;=1,"满负荷","超负荷"))))</f>
        <v>空闲</v>
      </c>
      <c r="I1519" s="104" t="s">
        <v>638</v>
      </c>
      <c r="J1519" s="104"/>
      <c r="K1519" s="104"/>
      <c r="L1519" s="105" t="s">
        <v>639</v>
      </c>
    </row>
    <row r="1520" customFormat="false" ht="48" hidden="false" customHeight="true" outlineLevel="0" collapsed="false">
      <c r="A1520" s="99"/>
      <c r="B1520" s="100" t="n">
        <v>46475</v>
      </c>
      <c r="C1520" s="100" t="n">
        <v>46481</v>
      </c>
      <c r="D1520" s="99" t="s">
        <v>638</v>
      </c>
      <c r="E1520" s="99" t="n">
        <v>0</v>
      </c>
      <c r="F1520" s="101" t="n">
        <v>0</v>
      </c>
      <c r="G1520" s="102" t="n">
        <f aca="false">IFERROR(F1520/INDEX($G$5:$G$34,MATCH(LOOKUP(2,1/($A$39:A1520&lt;&gt;""),$A$39:A1520),$A$5:$A$34,0)),0)</f>
        <v>0</v>
      </c>
      <c r="H1520" s="103" t="str">
        <f aca="false">IF(G1520=0,"空闲",IF(G1520&lt;=0.6,"低负荷",IF(G1520&lt;=0.85,"正常",IF(G1520&lt;=1,"满负荷","超负荷"))))</f>
        <v>空闲</v>
      </c>
      <c r="I1520" s="104" t="s">
        <v>638</v>
      </c>
      <c r="J1520" s="104"/>
      <c r="K1520" s="104"/>
      <c r="L1520" s="105" t="s">
        <v>639</v>
      </c>
    </row>
    <row r="1521" customFormat="false" ht="48" hidden="false" customHeight="true" outlineLevel="0" collapsed="false">
      <c r="A1521" s="99"/>
      <c r="B1521" s="100" t="n">
        <v>46482</v>
      </c>
      <c r="C1521" s="100" t="n">
        <v>46488</v>
      </c>
      <c r="D1521" s="99" t="s">
        <v>638</v>
      </c>
      <c r="E1521" s="99" t="n">
        <v>0</v>
      </c>
      <c r="F1521" s="101" t="n">
        <v>0</v>
      </c>
      <c r="G1521" s="102" t="n">
        <f aca="false">IFERROR(F1521/INDEX($G$5:$G$34,MATCH(LOOKUP(2,1/($A$39:A1521&lt;&gt;""),$A$39:A1521),$A$5:$A$34,0)),0)</f>
        <v>0</v>
      </c>
      <c r="H1521" s="103" t="str">
        <f aca="false">IF(G1521=0,"空闲",IF(G1521&lt;=0.6,"低负荷",IF(G1521&lt;=0.85,"正常",IF(G1521&lt;=1,"满负荷","超负荷"))))</f>
        <v>空闲</v>
      </c>
      <c r="I1521" s="104" t="s">
        <v>638</v>
      </c>
      <c r="J1521" s="104"/>
      <c r="K1521" s="104"/>
      <c r="L1521" s="105" t="s">
        <v>639</v>
      </c>
    </row>
    <row r="1522" customFormat="false" ht="48" hidden="false" customHeight="true" outlineLevel="0" collapsed="false">
      <c r="A1522" s="99"/>
      <c r="B1522" s="100" t="n">
        <v>46489</v>
      </c>
      <c r="C1522" s="100" t="n">
        <v>46495</v>
      </c>
      <c r="D1522" s="99" t="s">
        <v>638</v>
      </c>
      <c r="E1522" s="99" t="n">
        <v>0</v>
      </c>
      <c r="F1522" s="101" t="n">
        <v>0</v>
      </c>
      <c r="G1522" s="102" t="n">
        <f aca="false">IFERROR(F1522/INDEX($G$5:$G$34,MATCH(LOOKUP(2,1/($A$39:A1522&lt;&gt;""),$A$39:A1522),$A$5:$A$34,0)),0)</f>
        <v>0</v>
      </c>
      <c r="H1522" s="103" t="str">
        <f aca="false">IF(G1522=0,"空闲",IF(G1522&lt;=0.6,"低负荷",IF(G1522&lt;=0.85,"正常",IF(G1522&lt;=1,"满负荷","超负荷"))))</f>
        <v>空闲</v>
      </c>
      <c r="I1522" s="104" t="s">
        <v>638</v>
      </c>
      <c r="J1522" s="104"/>
      <c r="K1522" s="104"/>
      <c r="L1522" s="105" t="s">
        <v>639</v>
      </c>
    </row>
    <row r="1523" customFormat="false" ht="48" hidden="false" customHeight="true" outlineLevel="0" collapsed="false">
      <c r="A1523" s="99"/>
      <c r="B1523" s="100" t="n">
        <v>46496</v>
      </c>
      <c r="C1523" s="100" t="n">
        <v>46502</v>
      </c>
      <c r="D1523" s="99" t="s">
        <v>638</v>
      </c>
      <c r="E1523" s="99" t="n">
        <v>0</v>
      </c>
      <c r="F1523" s="101" t="n">
        <v>0</v>
      </c>
      <c r="G1523" s="102" t="n">
        <f aca="false">IFERROR(F1523/INDEX($G$5:$G$34,MATCH(LOOKUP(2,1/($A$39:A1523&lt;&gt;""),$A$39:A1523),$A$5:$A$34,0)),0)</f>
        <v>0</v>
      </c>
      <c r="H1523" s="103" t="str">
        <f aca="false">IF(G1523=0,"空闲",IF(G1523&lt;=0.6,"低负荷",IF(G1523&lt;=0.85,"正常",IF(G1523&lt;=1,"满负荷","超负荷"))))</f>
        <v>空闲</v>
      </c>
      <c r="I1523" s="104" t="s">
        <v>638</v>
      </c>
      <c r="J1523" s="104"/>
      <c r="K1523" s="104"/>
      <c r="L1523" s="105" t="s">
        <v>639</v>
      </c>
    </row>
    <row r="1524" customFormat="false" ht="48" hidden="false" customHeight="true" outlineLevel="0" collapsed="false">
      <c r="A1524" s="99"/>
      <c r="B1524" s="100" t="n">
        <v>46503</v>
      </c>
      <c r="C1524" s="100" t="n">
        <v>46509</v>
      </c>
      <c r="D1524" s="99" t="s">
        <v>638</v>
      </c>
      <c r="E1524" s="99" t="n">
        <v>0</v>
      </c>
      <c r="F1524" s="101" t="n">
        <v>0</v>
      </c>
      <c r="G1524" s="102" t="n">
        <f aca="false">IFERROR(F1524/INDEX($G$5:$G$34,MATCH(LOOKUP(2,1/($A$39:A1524&lt;&gt;""),$A$39:A1524),$A$5:$A$34,0)),0)</f>
        <v>0</v>
      </c>
      <c r="H1524" s="103" t="str">
        <f aca="false">IF(G1524=0,"空闲",IF(G1524&lt;=0.6,"低负荷",IF(G1524&lt;=0.85,"正常",IF(G1524&lt;=1,"满负荷","超负荷"))))</f>
        <v>空闲</v>
      </c>
      <c r="I1524" s="104" t="s">
        <v>638</v>
      </c>
      <c r="J1524" s="104"/>
      <c r="K1524" s="104"/>
      <c r="L1524" s="105" t="s">
        <v>639</v>
      </c>
    </row>
    <row r="1525" customFormat="false" ht="48" hidden="false" customHeight="true" outlineLevel="0" collapsed="false">
      <c r="A1525" s="99"/>
      <c r="B1525" s="100" t="n">
        <v>46510</v>
      </c>
      <c r="C1525" s="100" t="n">
        <v>46516</v>
      </c>
      <c r="D1525" s="99" t="s">
        <v>638</v>
      </c>
      <c r="E1525" s="99" t="n">
        <v>0</v>
      </c>
      <c r="F1525" s="101" t="n">
        <v>0</v>
      </c>
      <c r="G1525" s="102" t="n">
        <f aca="false">IFERROR(F1525/INDEX($G$5:$G$34,MATCH(LOOKUP(2,1/($A$39:A1525&lt;&gt;""),$A$39:A1525),$A$5:$A$34,0)),0)</f>
        <v>0</v>
      </c>
      <c r="H1525" s="103" t="str">
        <f aca="false">IF(G1525=0,"空闲",IF(G1525&lt;=0.6,"低负荷",IF(G1525&lt;=0.85,"正常",IF(G1525&lt;=1,"满负荷","超负荷"))))</f>
        <v>空闲</v>
      </c>
      <c r="I1525" s="104" t="s">
        <v>638</v>
      </c>
      <c r="J1525" s="104"/>
      <c r="K1525" s="104"/>
      <c r="L1525" s="105" t="s">
        <v>639</v>
      </c>
    </row>
    <row r="1526" customFormat="false" ht="48" hidden="false" customHeight="true" outlineLevel="0" collapsed="false">
      <c r="A1526" s="99"/>
      <c r="B1526" s="100" t="n">
        <v>46517</v>
      </c>
      <c r="C1526" s="100" t="n">
        <v>46523</v>
      </c>
      <c r="D1526" s="99" t="s">
        <v>638</v>
      </c>
      <c r="E1526" s="99" t="n">
        <v>0</v>
      </c>
      <c r="F1526" s="101" t="n">
        <v>0</v>
      </c>
      <c r="G1526" s="102" t="n">
        <f aca="false">IFERROR(F1526/INDEX($G$5:$G$34,MATCH(LOOKUP(2,1/($A$39:A1526&lt;&gt;""),$A$39:A1526),$A$5:$A$34,0)),0)</f>
        <v>0</v>
      </c>
      <c r="H1526" s="103" t="str">
        <f aca="false">IF(G1526=0,"空闲",IF(G1526&lt;=0.6,"低负荷",IF(G1526&lt;=0.85,"正常",IF(G1526&lt;=1,"满负荷","超负荷"))))</f>
        <v>空闲</v>
      </c>
      <c r="I1526" s="104" t="s">
        <v>638</v>
      </c>
      <c r="J1526" s="104"/>
      <c r="K1526" s="104"/>
      <c r="L1526" s="105" t="s">
        <v>639</v>
      </c>
    </row>
    <row r="1527" customFormat="false" ht="48" hidden="false" customHeight="true" outlineLevel="0" collapsed="false">
      <c r="A1527" s="99"/>
      <c r="B1527" s="100" t="n">
        <v>46524</v>
      </c>
      <c r="C1527" s="100" t="n">
        <v>46530</v>
      </c>
      <c r="D1527" s="99" t="s">
        <v>638</v>
      </c>
      <c r="E1527" s="99" t="n">
        <v>0</v>
      </c>
      <c r="F1527" s="101" t="n">
        <v>0</v>
      </c>
      <c r="G1527" s="102" t="n">
        <f aca="false">IFERROR(F1527/INDEX($G$5:$G$34,MATCH(LOOKUP(2,1/($A$39:A1527&lt;&gt;""),$A$39:A1527),$A$5:$A$34,0)),0)</f>
        <v>0</v>
      </c>
      <c r="H1527" s="103" t="str">
        <f aca="false">IF(G1527=0,"空闲",IF(G1527&lt;=0.6,"低负荷",IF(G1527&lt;=0.85,"正常",IF(G1527&lt;=1,"满负荷","超负荷"))))</f>
        <v>空闲</v>
      </c>
      <c r="I1527" s="104" t="s">
        <v>638</v>
      </c>
      <c r="J1527" s="104"/>
      <c r="K1527" s="104"/>
      <c r="L1527" s="105" t="s">
        <v>639</v>
      </c>
    </row>
    <row r="1528" customFormat="false" ht="48" hidden="false" customHeight="true" outlineLevel="0" collapsed="false">
      <c r="A1528" s="99"/>
      <c r="B1528" s="100" t="n">
        <v>46531</v>
      </c>
      <c r="C1528" s="100" t="n">
        <v>46537</v>
      </c>
      <c r="D1528" s="99" t="s">
        <v>638</v>
      </c>
      <c r="E1528" s="99" t="n">
        <v>0</v>
      </c>
      <c r="F1528" s="101" t="n">
        <v>0</v>
      </c>
      <c r="G1528" s="102" t="n">
        <f aca="false">IFERROR(F1528/INDEX($G$5:$G$34,MATCH(LOOKUP(2,1/($A$39:A1528&lt;&gt;""),$A$39:A1528),$A$5:$A$34,0)),0)</f>
        <v>0</v>
      </c>
      <c r="H1528" s="103" t="str">
        <f aca="false">IF(G1528=0,"空闲",IF(G1528&lt;=0.6,"低负荷",IF(G1528&lt;=0.85,"正常",IF(G1528&lt;=1,"满负荷","超负荷"))))</f>
        <v>空闲</v>
      </c>
      <c r="I1528" s="104" t="s">
        <v>638</v>
      </c>
      <c r="J1528" s="104"/>
      <c r="K1528" s="104"/>
      <c r="L1528" s="105" t="s">
        <v>639</v>
      </c>
    </row>
    <row r="1529" customFormat="false" ht="48" hidden="false" customHeight="true" outlineLevel="0" collapsed="false">
      <c r="A1529" s="99"/>
      <c r="B1529" s="100" t="n">
        <v>46538</v>
      </c>
      <c r="C1529" s="100" t="n">
        <v>46544</v>
      </c>
      <c r="D1529" s="99" t="s">
        <v>638</v>
      </c>
      <c r="E1529" s="99" t="n">
        <v>0</v>
      </c>
      <c r="F1529" s="101" t="n">
        <v>0</v>
      </c>
      <c r="G1529" s="102" t="n">
        <f aca="false">IFERROR(F1529/INDEX($G$5:$G$34,MATCH(LOOKUP(2,1/($A$39:A1529&lt;&gt;""),$A$39:A1529),$A$5:$A$34,0)),0)</f>
        <v>0</v>
      </c>
      <c r="H1529" s="103" t="str">
        <f aca="false">IF(G1529=0,"空闲",IF(G1529&lt;=0.6,"低负荷",IF(G1529&lt;=0.85,"正常",IF(G1529&lt;=1,"满负荷","超负荷"))))</f>
        <v>空闲</v>
      </c>
      <c r="I1529" s="104" t="s">
        <v>638</v>
      </c>
      <c r="J1529" s="104"/>
      <c r="K1529" s="104"/>
      <c r="L1529" s="105" t="s">
        <v>639</v>
      </c>
    </row>
    <row r="1530" customFormat="false" ht="48" hidden="false" customHeight="true" outlineLevel="0" collapsed="false">
      <c r="A1530" s="99" t="s">
        <v>621</v>
      </c>
      <c r="B1530" s="100" t="n">
        <v>46048</v>
      </c>
      <c r="C1530" s="100" t="n">
        <v>46054</v>
      </c>
      <c r="D1530" s="99" t="s">
        <v>638</v>
      </c>
      <c r="E1530" s="99" t="n">
        <v>0</v>
      </c>
      <c r="F1530" s="101" t="n">
        <v>0</v>
      </c>
      <c r="G1530" s="102" t="n">
        <f aca="false">IFERROR(F1530/INDEX($G$5:$G$34,MATCH(LOOKUP(2,1/($A$39:A1530&lt;&gt;""),$A$39:A1530),$A$5:$A$34,0)),0)</f>
        <v>0</v>
      </c>
      <c r="H1530" s="103" t="str">
        <f aca="false">IF(G1530=0,"空闲",IF(G1530&lt;=0.6,"低负荷",IF(G1530&lt;=0.85,"正常",IF(G1530&lt;=1,"满负荷","超负荷"))))</f>
        <v>空闲</v>
      </c>
      <c r="I1530" s="104" t="s">
        <v>638</v>
      </c>
      <c r="J1530" s="104"/>
      <c r="K1530" s="104"/>
      <c r="L1530" s="105" t="s">
        <v>639</v>
      </c>
    </row>
    <row r="1531" customFormat="false" ht="48" hidden="false" customHeight="true" outlineLevel="0" collapsed="false">
      <c r="A1531" s="99"/>
      <c r="B1531" s="100" t="n">
        <v>46055</v>
      </c>
      <c r="C1531" s="100" t="n">
        <v>46061</v>
      </c>
      <c r="D1531" s="99" t="s">
        <v>638</v>
      </c>
      <c r="E1531" s="99" t="n">
        <v>0</v>
      </c>
      <c r="F1531" s="101" t="n">
        <v>0</v>
      </c>
      <c r="G1531" s="102" t="n">
        <f aca="false">IFERROR(F1531/INDEX($G$5:$G$34,MATCH(LOOKUP(2,1/($A$39:A1531&lt;&gt;""),$A$39:A1531),$A$5:$A$34,0)),0)</f>
        <v>0</v>
      </c>
      <c r="H1531" s="103" t="str">
        <f aca="false">IF(G1531=0,"空闲",IF(G1531&lt;=0.6,"低负荷",IF(G1531&lt;=0.85,"正常",IF(G1531&lt;=1,"满负荷","超负荷"))))</f>
        <v>空闲</v>
      </c>
      <c r="I1531" s="104" t="s">
        <v>638</v>
      </c>
      <c r="J1531" s="104"/>
      <c r="K1531" s="104"/>
      <c r="L1531" s="105" t="s">
        <v>639</v>
      </c>
    </row>
    <row r="1532" customFormat="false" ht="48" hidden="false" customHeight="true" outlineLevel="0" collapsed="false">
      <c r="A1532" s="99"/>
      <c r="B1532" s="100" t="n">
        <v>46062</v>
      </c>
      <c r="C1532" s="100" t="n">
        <v>46068</v>
      </c>
      <c r="D1532" s="99" t="s">
        <v>638</v>
      </c>
      <c r="E1532" s="99" t="n">
        <v>0</v>
      </c>
      <c r="F1532" s="101" t="n">
        <v>0</v>
      </c>
      <c r="G1532" s="102" t="n">
        <f aca="false">IFERROR(F1532/INDEX($G$5:$G$34,MATCH(LOOKUP(2,1/($A$39:A1532&lt;&gt;""),$A$39:A1532),$A$5:$A$34,0)),0)</f>
        <v>0</v>
      </c>
      <c r="H1532" s="103" t="str">
        <f aca="false">IF(G1532=0,"空闲",IF(G1532&lt;=0.6,"低负荷",IF(G1532&lt;=0.85,"正常",IF(G1532&lt;=1,"满负荷","超负荷"))))</f>
        <v>空闲</v>
      </c>
      <c r="I1532" s="104" t="s">
        <v>638</v>
      </c>
      <c r="J1532" s="104"/>
      <c r="K1532" s="104"/>
      <c r="L1532" s="105" t="s">
        <v>639</v>
      </c>
    </row>
    <row r="1533" customFormat="false" ht="48" hidden="false" customHeight="true" outlineLevel="0" collapsed="false">
      <c r="A1533" s="99"/>
      <c r="B1533" s="100" t="n">
        <v>46069</v>
      </c>
      <c r="C1533" s="100" t="n">
        <v>46075</v>
      </c>
      <c r="D1533" s="99" t="s">
        <v>638</v>
      </c>
      <c r="E1533" s="99" t="n">
        <v>0</v>
      </c>
      <c r="F1533" s="101" t="n">
        <v>0</v>
      </c>
      <c r="G1533" s="102" t="n">
        <f aca="false">IFERROR(F1533/INDEX($G$5:$G$34,MATCH(LOOKUP(2,1/($A$39:A1533&lt;&gt;""),$A$39:A1533),$A$5:$A$34,0)),0)</f>
        <v>0</v>
      </c>
      <c r="H1533" s="103" t="str">
        <f aca="false">IF(G1533=0,"空闲",IF(G1533&lt;=0.6,"低负荷",IF(G1533&lt;=0.85,"正常",IF(G1533&lt;=1,"满负荷","超负荷"))))</f>
        <v>空闲</v>
      </c>
      <c r="I1533" s="104" t="s">
        <v>638</v>
      </c>
      <c r="J1533" s="104"/>
      <c r="K1533" s="104"/>
      <c r="L1533" s="105" t="s">
        <v>639</v>
      </c>
    </row>
    <row r="1534" customFormat="false" ht="48" hidden="false" customHeight="true" outlineLevel="0" collapsed="false">
      <c r="A1534" s="99"/>
      <c r="B1534" s="100" t="n">
        <v>46076</v>
      </c>
      <c r="C1534" s="100" t="n">
        <v>46082</v>
      </c>
      <c r="D1534" s="99" t="s">
        <v>638</v>
      </c>
      <c r="E1534" s="99" t="n">
        <v>0</v>
      </c>
      <c r="F1534" s="101" t="n">
        <v>0</v>
      </c>
      <c r="G1534" s="102" t="n">
        <f aca="false">IFERROR(F1534/INDEX($G$5:$G$34,MATCH(LOOKUP(2,1/($A$39:A1534&lt;&gt;""),$A$39:A1534),$A$5:$A$34,0)),0)</f>
        <v>0</v>
      </c>
      <c r="H1534" s="103" t="str">
        <f aca="false">IF(G1534=0,"空闲",IF(G1534&lt;=0.6,"低负荷",IF(G1534&lt;=0.85,"正常",IF(G1534&lt;=1,"满负荷","超负荷"))))</f>
        <v>空闲</v>
      </c>
      <c r="I1534" s="104" t="s">
        <v>638</v>
      </c>
      <c r="J1534" s="104"/>
      <c r="K1534" s="104"/>
      <c r="L1534" s="105" t="s">
        <v>639</v>
      </c>
    </row>
    <row r="1535" customFormat="false" ht="48" hidden="false" customHeight="true" outlineLevel="0" collapsed="false">
      <c r="A1535" s="99"/>
      <c r="B1535" s="100" t="n">
        <v>46083</v>
      </c>
      <c r="C1535" s="100" t="n">
        <v>46089</v>
      </c>
      <c r="D1535" s="99" t="s">
        <v>638</v>
      </c>
      <c r="E1535" s="99" t="n">
        <v>0</v>
      </c>
      <c r="F1535" s="101" t="n">
        <v>0</v>
      </c>
      <c r="G1535" s="102" t="n">
        <f aca="false">IFERROR(F1535/INDEX($G$5:$G$34,MATCH(LOOKUP(2,1/($A$39:A1535&lt;&gt;""),$A$39:A1535),$A$5:$A$34,0)),0)</f>
        <v>0</v>
      </c>
      <c r="H1535" s="103" t="str">
        <f aca="false">IF(G1535=0,"空闲",IF(G1535&lt;=0.6,"低负荷",IF(G1535&lt;=0.85,"正常",IF(G1535&lt;=1,"满负荷","超负荷"))))</f>
        <v>空闲</v>
      </c>
      <c r="I1535" s="104" t="s">
        <v>638</v>
      </c>
      <c r="J1535" s="104"/>
      <c r="K1535" s="104"/>
      <c r="L1535" s="105" t="s">
        <v>639</v>
      </c>
    </row>
    <row r="1536" customFormat="false" ht="48" hidden="false" customHeight="true" outlineLevel="0" collapsed="false">
      <c r="A1536" s="99"/>
      <c r="B1536" s="100" t="n">
        <v>46090</v>
      </c>
      <c r="C1536" s="100" t="n">
        <v>46096</v>
      </c>
      <c r="D1536" s="99" t="s">
        <v>638</v>
      </c>
      <c r="E1536" s="99" t="n">
        <v>0</v>
      </c>
      <c r="F1536" s="101" t="n">
        <v>0</v>
      </c>
      <c r="G1536" s="102" t="n">
        <f aca="false">IFERROR(F1536/INDEX($G$5:$G$34,MATCH(LOOKUP(2,1/($A$39:A1536&lt;&gt;""),$A$39:A1536),$A$5:$A$34,0)),0)</f>
        <v>0</v>
      </c>
      <c r="H1536" s="103" t="str">
        <f aca="false">IF(G1536=0,"空闲",IF(G1536&lt;=0.6,"低负荷",IF(G1536&lt;=0.85,"正常",IF(G1536&lt;=1,"满负荷","超负荷"))))</f>
        <v>空闲</v>
      </c>
      <c r="I1536" s="104" t="s">
        <v>638</v>
      </c>
      <c r="J1536" s="104"/>
      <c r="K1536" s="104"/>
      <c r="L1536" s="105" t="s">
        <v>639</v>
      </c>
    </row>
    <row r="1537" customFormat="false" ht="48" hidden="false" customHeight="true" outlineLevel="0" collapsed="false">
      <c r="A1537" s="99"/>
      <c r="B1537" s="100" t="n">
        <v>46097</v>
      </c>
      <c r="C1537" s="100" t="n">
        <v>46103</v>
      </c>
      <c r="D1537" s="99" t="s">
        <v>638</v>
      </c>
      <c r="E1537" s="99" t="n">
        <v>0</v>
      </c>
      <c r="F1537" s="101" t="n">
        <v>0</v>
      </c>
      <c r="G1537" s="102" t="n">
        <f aca="false">IFERROR(F1537/INDEX($G$5:$G$34,MATCH(LOOKUP(2,1/($A$39:A1537&lt;&gt;""),$A$39:A1537),$A$5:$A$34,0)),0)</f>
        <v>0</v>
      </c>
      <c r="H1537" s="103" t="str">
        <f aca="false">IF(G1537=0,"空闲",IF(G1537&lt;=0.6,"低负荷",IF(G1537&lt;=0.85,"正常",IF(G1537&lt;=1,"满负荷","超负荷"))))</f>
        <v>空闲</v>
      </c>
      <c r="I1537" s="104" t="s">
        <v>638</v>
      </c>
      <c r="J1537" s="104"/>
      <c r="K1537" s="104"/>
      <c r="L1537" s="105" t="s">
        <v>639</v>
      </c>
    </row>
    <row r="1538" customFormat="false" ht="48" hidden="false" customHeight="true" outlineLevel="0" collapsed="false">
      <c r="A1538" s="99"/>
      <c r="B1538" s="100" t="n">
        <v>46104</v>
      </c>
      <c r="C1538" s="100" t="n">
        <v>46110</v>
      </c>
      <c r="D1538" s="99" t="s">
        <v>638</v>
      </c>
      <c r="E1538" s="99" t="n">
        <v>0</v>
      </c>
      <c r="F1538" s="101" t="n">
        <v>0</v>
      </c>
      <c r="G1538" s="102" t="n">
        <f aca="false">IFERROR(F1538/INDEX($G$5:$G$34,MATCH(LOOKUP(2,1/($A$39:A1538&lt;&gt;""),$A$39:A1538),$A$5:$A$34,0)),0)</f>
        <v>0</v>
      </c>
      <c r="H1538" s="103" t="str">
        <f aca="false">IF(G1538=0,"空闲",IF(G1538&lt;=0.6,"低负荷",IF(G1538&lt;=0.85,"正常",IF(G1538&lt;=1,"满负荷","超负荷"))))</f>
        <v>空闲</v>
      </c>
      <c r="I1538" s="104" t="s">
        <v>638</v>
      </c>
      <c r="J1538" s="104"/>
      <c r="K1538" s="104"/>
      <c r="L1538" s="105" t="s">
        <v>639</v>
      </c>
    </row>
    <row r="1539" customFormat="false" ht="48" hidden="false" customHeight="true" outlineLevel="0" collapsed="false">
      <c r="A1539" s="99"/>
      <c r="B1539" s="100" t="n">
        <v>46111</v>
      </c>
      <c r="C1539" s="100" t="n">
        <v>46117</v>
      </c>
      <c r="D1539" s="99" t="s">
        <v>638</v>
      </c>
      <c r="E1539" s="99" t="n">
        <v>0</v>
      </c>
      <c r="F1539" s="101" t="n">
        <v>0</v>
      </c>
      <c r="G1539" s="102" t="n">
        <f aca="false">IFERROR(F1539/INDEX($G$5:$G$34,MATCH(LOOKUP(2,1/($A$39:A1539&lt;&gt;""),$A$39:A1539),$A$5:$A$34,0)),0)</f>
        <v>0</v>
      </c>
      <c r="H1539" s="103" t="str">
        <f aca="false">IF(G1539=0,"空闲",IF(G1539&lt;=0.6,"低负荷",IF(G1539&lt;=0.85,"正常",IF(G1539&lt;=1,"满负荷","超负荷"))))</f>
        <v>空闲</v>
      </c>
      <c r="I1539" s="104" t="s">
        <v>638</v>
      </c>
      <c r="J1539" s="104"/>
      <c r="K1539" s="104"/>
      <c r="L1539" s="105" t="s">
        <v>639</v>
      </c>
    </row>
    <row r="1540" customFormat="false" ht="48" hidden="false" customHeight="true" outlineLevel="0" collapsed="false">
      <c r="A1540" s="99"/>
      <c r="B1540" s="100" t="n">
        <v>46118</v>
      </c>
      <c r="C1540" s="100" t="n">
        <v>46124</v>
      </c>
      <c r="D1540" s="99" t="s">
        <v>638</v>
      </c>
      <c r="E1540" s="99" t="n">
        <v>0</v>
      </c>
      <c r="F1540" s="101" t="n">
        <v>0</v>
      </c>
      <c r="G1540" s="102" t="n">
        <f aca="false">IFERROR(F1540/INDEX($G$5:$G$34,MATCH(LOOKUP(2,1/($A$39:A1540&lt;&gt;""),$A$39:A1540),$A$5:$A$34,0)),0)</f>
        <v>0</v>
      </c>
      <c r="H1540" s="103" t="str">
        <f aca="false">IF(G1540=0,"空闲",IF(G1540&lt;=0.6,"低负荷",IF(G1540&lt;=0.85,"正常",IF(G1540&lt;=1,"满负荷","超负荷"))))</f>
        <v>空闲</v>
      </c>
      <c r="I1540" s="104" t="s">
        <v>638</v>
      </c>
      <c r="J1540" s="104"/>
      <c r="K1540" s="104"/>
      <c r="L1540" s="105" t="s">
        <v>639</v>
      </c>
    </row>
    <row r="1541" customFormat="false" ht="48" hidden="false" customHeight="true" outlineLevel="0" collapsed="false">
      <c r="A1541" s="99"/>
      <c r="B1541" s="100" t="n">
        <v>46125</v>
      </c>
      <c r="C1541" s="100" t="n">
        <v>46131</v>
      </c>
      <c r="D1541" s="99" t="s">
        <v>638</v>
      </c>
      <c r="E1541" s="99" t="n">
        <v>0</v>
      </c>
      <c r="F1541" s="101" t="n">
        <v>0</v>
      </c>
      <c r="G1541" s="102" t="n">
        <f aca="false">IFERROR(F1541/INDEX($G$5:$G$34,MATCH(LOOKUP(2,1/($A$39:A1541&lt;&gt;""),$A$39:A1541),$A$5:$A$34,0)),0)</f>
        <v>0</v>
      </c>
      <c r="H1541" s="103" t="str">
        <f aca="false">IF(G1541=0,"空闲",IF(G1541&lt;=0.6,"低负荷",IF(G1541&lt;=0.85,"正常",IF(G1541&lt;=1,"满负荷","超负荷"))))</f>
        <v>空闲</v>
      </c>
      <c r="I1541" s="104" t="s">
        <v>638</v>
      </c>
      <c r="J1541" s="104"/>
      <c r="K1541" s="104"/>
      <c r="L1541" s="105" t="s">
        <v>639</v>
      </c>
    </row>
    <row r="1542" customFormat="false" ht="48" hidden="false" customHeight="true" outlineLevel="0" collapsed="false">
      <c r="A1542" s="99"/>
      <c r="B1542" s="100" t="n">
        <v>46132</v>
      </c>
      <c r="C1542" s="100" t="n">
        <v>46138</v>
      </c>
      <c r="D1542" s="99" t="s">
        <v>638</v>
      </c>
      <c r="E1542" s="99" t="n">
        <v>0</v>
      </c>
      <c r="F1542" s="101" t="n">
        <v>0</v>
      </c>
      <c r="G1542" s="102" t="n">
        <f aca="false">IFERROR(F1542/INDEX($G$5:$G$34,MATCH(LOOKUP(2,1/($A$39:A1542&lt;&gt;""),$A$39:A1542),$A$5:$A$34,0)),0)</f>
        <v>0</v>
      </c>
      <c r="H1542" s="103" t="str">
        <f aca="false">IF(G1542=0,"空闲",IF(G1542&lt;=0.6,"低负荷",IF(G1542&lt;=0.85,"正常",IF(G1542&lt;=1,"满负荷","超负荷"))))</f>
        <v>空闲</v>
      </c>
      <c r="I1542" s="104" t="s">
        <v>638</v>
      </c>
      <c r="J1542" s="104"/>
      <c r="K1542" s="104"/>
      <c r="L1542" s="105" t="s">
        <v>639</v>
      </c>
    </row>
    <row r="1543" customFormat="false" ht="48" hidden="false" customHeight="true" outlineLevel="0" collapsed="false">
      <c r="A1543" s="99"/>
      <c r="B1543" s="100" t="n">
        <v>46139</v>
      </c>
      <c r="C1543" s="100" t="n">
        <v>46145</v>
      </c>
      <c r="D1543" s="99" t="s">
        <v>638</v>
      </c>
      <c r="E1543" s="99" t="n">
        <v>0</v>
      </c>
      <c r="F1543" s="101" t="n">
        <v>0</v>
      </c>
      <c r="G1543" s="102" t="n">
        <f aca="false">IFERROR(F1543/INDEX($G$5:$G$34,MATCH(LOOKUP(2,1/($A$39:A1543&lt;&gt;""),$A$39:A1543),$A$5:$A$34,0)),0)</f>
        <v>0</v>
      </c>
      <c r="H1543" s="103" t="str">
        <f aca="false">IF(G1543=0,"空闲",IF(G1543&lt;=0.6,"低负荷",IF(G1543&lt;=0.85,"正常",IF(G1543&lt;=1,"满负荷","超负荷"))))</f>
        <v>空闲</v>
      </c>
      <c r="I1543" s="104" t="s">
        <v>638</v>
      </c>
      <c r="J1543" s="104"/>
      <c r="K1543" s="104"/>
      <c r="L1543" s="105" t="s">
        <v>639</v>
      </c>
    </row>
    <row r="1544" customFormat="false" ht="48" hidden="false" customHeight="true" outlineLevel="0" collapsed="false">
      <c r="A1544" s="99"/>
      <c r="B1544" s="100" t="n">
        <v>46146</v>
      </c>
      <c r="C1544" s="100" t="n">
        <v>46152</v>
      </c>
      <c r="D1544" s="99" t="s">
        <v>638</v>
      </c>
      <c r="E1544" s="99" t="n">
        <v>0</v>
      </c>
      <c r="F1544" s="101" t="n">
        <v>0</v>
      </c>
      <c r="G1544" s="102" t="n">
        <f aca="false">IFERROR(F1544/INDEX($G$5:$G$34,MATCH(LOOKUP(2,1/($A$39:A1544&lt;&gt;""),$A$39:A1544),$A$5:$A$34,0)),0)</f>
        <v>0</v>
      </c>
      <c r="H1544" s="103" t="str">
        <f aca="false">IF(G1544=0,"空闲",IF(G1544&lt;=0.6,"低负荷",IF(G1544&lt;=0.85,"正常",IF(G1544&lt;=1,"满负荷","超负荷"))))</f>
        <v>空闲</v>
      </c>
      <c r="I1544" s="104" t="s">
        <v>638</v>
      </c>
      <c r="J1544" s="104"/>
      <c r="K1544" s="104"/>
      <c r="L1544" s="105" t="s">
        <v>639</v>
      </c>
    </row>
    <row r="1545" customFormat="false" ht="48" hidden="false" customHeight="true" outlineLevel="0" collapsed="false">
      <c r="A1545" s="99"/>
      <c r="B1545" s="100" t="n">
        <v>46153</v>
      </c>
      <c r="C1545" s="100" t="n">
        <v>46159</v>
      </c>
      <c r="D1545" s="99" t="s">
        <v>638</v>
      </c>
      <c r="E1545" s="99" t="n">
        <v>0</v>
      </c>
      <c r="F1545" s="101" t="n">
        <v>0</v>
      </c>
      <c r="G1545" s="102" t="n">
        <f aca="false">IFERROR(F1545/INDEX($G$5:$G$34,MATCH(LOOKUP(2,1/($A$39:A1545&lt;&gt;""),$A$39:A1545),$A$5:$A$34,0)),0)</f>
        <v>0</v>
      </c>
      <c r="H1545" s="103" t="str">
        <f aca="false">IF(G1545=0,"空闲",IF(G1545&lt;=0.6,"低负荷",IF(G1545&lt;=0.85,"正常",IF(G1545&lt;=1,"满负荷","超负荷"))))</f>
        <v>空闲</v>
      </c>
      <c r="I1545" s="104" t="s">
        <v>638</v>
      </c>
      <c r="J1545" s="104"/>
      <c r="K1545" s="104"/>
      <c r="L1545" s="105" t="s">
        <v>639</v>
      </c>
    </row>
    <row r="1546" customFormat="false" ht="48" hidden="false" customHeight="true" outlineLevel="0" collapsed="false">
      <c r="A1546" s="99"/>
      <c r="B1546" s="100" t="n">
        <v>46160</v>
      </c>
      <c r="C1546" s="100" t="n">
        <v>46166</v>
      </c>
      <c r="D1546" s="99" t="s">
        <v>638</v>
      </c>
      <c r="E1546" s="99" t="n">
        <v>0</v>
      </c>
      <c r="F1546" s="101" t="n">
        <v>0</v>
      </c>
      <c r="G1546" s="102" t="n">
        <f aca="false">IFERROR(F1546/INDEX($G$5:$G$34,MATCH(LOOKUP(2,1/($A$39:A1546&lt;&gt;""),$A$39:A1546),$A$5:$A$34,0)),0)</f>
        <v>0</v>
      </c>
      <c r="H1546" s="103" t="str">
        <f aca="false">IF(G1546=0,"空闲",IF(G1546&lt;=0.6,"低负荷",IF(G1546&lt;=0.85,"正常",IF(G1546&lt;=1,"满负荷","超负荷"))))</f>
        <v>空闲</v>
      </c>
      <c r="I1546" s="104" t="s">
        <v>638</v>
      </c>
      <c r="J1546" s="104"/>
      <c r="K1546" s="104"/>
      <c r="L1546" s="105" t="s">
        <v>639</v>
      </c>
    </row>
    <row r="1547" customFormat="false" ht="48" hidden="false" customHeight="true" outlineLevel="0" collapsed="false">
      <c r="A1547" s="99"/>
      <c r="B1547" s="100" t="n">
        <v>46167</v>
      </c>
      <c r="C1547" s="100" t="n">
        <v>46173</v>
      </c>
      <c r="D1547" s="99" t="s">
        <v>638</v>
      </c>
      <c r="E1547" s="99" t="n">
        <v>0</v>
      </c>
      <c r="F1547" s="101" t="n">
        <v>0</v>
      </c>
      <c r="G1547" s="102" t="n">
        <f aca="false">IFERROR(F1547/INDEX($G$5:$G$34,MATCH(LOOKUP(2,1/($A$39:A1547&lt;&gt;""),$A$39:A1547),$A$5:$A$34,0)),0)</f>
        <v>0</v>
      </c>
      <c r="H1547" s="103" t="str">
        <f aca="false">IF(G1547=0,"空闲",IF(G1547&lt;=0.6,"低负荷",IF(G1547&lt;=0.85,"正常",IF(G1547&lt;=1,"满负荷","超负荷"))))</f>
        <v>空闲</v>
      </c>
      <c r="I1547" s="104" t="s">
        <v>638</v>
      </c>
      <c r="J1547" s="104"/>
      <c r="K1547" s="104"/>
      <c r="L1547" s="105" t="s">
        <v>639</v>
      </c>
    </row>
    <row r="1548" customFormat="false" ht="48" hidden="false" customHeight="true" outlineLevel="0" collapsed="false">
      <c r="A1548" s="99"/>
      <c r="B1548" s="100" t="n">
        <v>46174</v>
      </c>
      <c r="C1548" s="100" t="n">
        <v>46180</v>
      </c>
      <c r="D1548" s="99" t="s">
        <v>638</v>
      </c>
      <c r="E1548" s="99" t="n">
        <v>0</v>
      </c>
      <c r="F1548" s="101" t="n">
        <v>0</v>
      </c>
      <c r="G1548" s="102" t="n">
        <f aca="false">IFERROR(F1548/INDEX($G$5:$G$34,MATCH(LOOKUP(2,1/($A$39:A1548&lt;&gt;""),$A$39:A1548),$A$5:$A$34,0)),0)</f>
        <v>0</v>
      </c>
      <c r="H1548" s="103" t="str">
        <f aca="false">IF(G1548=0,"空闲",IF(G1548&lt;=0.6,"低负荷",IF(G1548&lt;=0.85,"正常",IF(G1548&lt;=1,"满负荷","超负荷"))))</f>
        <v>空闲</v>
      </c>
      <c r="I1548" s="104" t="s">
        <v>638</v>
      </c>
      <c r="J1548" s="104"/>
      <c r="K1548" s="104"/>
      <c r="L1548" s="105" t="s">
        <v>639</v>
      </c>
    </row>
    <row r="1549" customFormat="false" ht="48" hidden="false" customHeight="true" outlineLevel="0" collapsed="false">
      <c r="A1549" s="99"/>
      <c r="B1549" s="100" t="n">
        <v>46181</v>
      </c>
      <c r="C1549" s="100" t="n">
        <v>46187</v>
      </c>
      <c r="D1549" s="99" t="s">
        <v>638</v>
      </c>
      <c r="E1549" s="99" t="n">
        <v>0</v>
      </c>
      <c r="F1549" s="101" t="n">
        <v>0</v>
      </c>
      <c r="G1549" s="102" t="n">
        <f aca="false">IFERROR(F1549/INDEX($G$5:$G$34,MATCH(LOOKUP(2,1/($A$39:A1549&lt;&gt;""),$A$39:A1549),$A$5:$A$34,0)),0)</f>
        <v>0</v>
      </c>
      <c r="H1549" s="103" t="str">
        <f aca="false">IF(G1549=0,"空闲",IF(G1549&lt;=0.6,"低负荷",IF(G1549&lt;=0.85,"正常",IF(G1549&lt;=1,"满负荷","超负荷"))))</f>
        <v>空闲</v>
      </c>
      <c r="I1549" s="104" t="s">
        <v>638</v>
      </c>
      <c r="J1549" s="104"/>
      <c r="K1549" s="104"/>
      <c r="L1549" s="105" t="s">
        <v>639</v>
      </c>
    </row>
    <row r="1550" customFormat="false" ht="48" hidden="false" customHeight="true" outlineLevel="0" collapsed="false">
      <c r="A1550" s="99"/>
      <c r="B1550" s="100" t="n">
        <v>46188</v>
      </c>
      <c r="C1550" s="100" t="n">
        <v>46194</v>
      </c>
      <c r="D1550" s="99" t="s">
        <v>638</v>
      </c>
      <c r="E1550" s="99" t="n">
        <v>0</v>
      </c>
      <c r="F1550" s="101" t="n">
        <v>0</v>
      </c>
      <c r="G1550" s="102" t="n">
        <f aca="false">IFERROR(F1550/INDEX($G$5:$G$34,MATCH(LOOKUP(2,1/($A$39:A1550&lt;&gt;""),$A$39:A1550),$A$5:$A$34,0)),0)</f>
        <v>0</v>
      </c>
      <c r="H1550" s="103" t="str">
        <f aca="false">IF(G1550=0,"空闲",IF(G1550&lt;=0.6,"低负荷",IF(G1550&lt;=0.85,"正常",IF(G1550&lt;=1,"满负荷","超负荷"))))</f>
        <v>空闲</v>
      </c>
      <c r="I1550" s="104" t="s">
        <v>638</v>
      </c>
      <c r="J1550" s="104"/>
      <c r="K1550" s="104"/>
      <c r="L1550" s="105" t="s">
        <v>639</v>
      </c>
    </row>
    <row r="1551" customFormat="false" ht="48" hidden="false" customHeight="true" outlineLevel="0" collapsed="false">
      <c r="A1551" s="99"/>
      <c r="B1551" s="100" t="n">
        <v>46195</v>
      </c>
      <c r="C1551" s="100" t="n">
        <v>46201</v>
      </c>
      <c r="D1551" s="99" t="s">
        <v>638</v>
      </c>
      <c r="E1551" s="99" t="n">
        <v>0</v>
      </c>
      <c r="F1551" s="101" t="n">
        <v>0</v>
      </c>
      <c r="G1551" s="102" t="n">
        <f aca="false">IFERROR(F1551/INDEX($G$5:$G$34,MATCH(LOOKUP(2,1/($A$39:A1551&lt;&gt;""),$A$39:A1551),$A$5:$A$34,0)),0)</f>
        <v>0</v>
      </c>
      <c r="H1551" s="103" t="str">
        <f aca="false">IF(G1551=0,"空闲",IF(G1551&lt;=0.6,"低负荷",IF(G1551&lt;=0.85,"正常",IF(G1551&lt;=1,"满负荷","超负荷"))))</f>
        <v>空闲</v>
      </c>
      <c r="I1551" s="104" t="s">
        <v>638</v>
      </c>
      <c r="J1551" s="104"/>
      <c r="K1551" s="104"/>
      <c r="L1551" s="105" t="s">
        <v>639</v>
      </c>
    </row>
    <row r="1552" customFormat="false" ht="48" hidden="false" customHeight="true" outlineLevel="0" collapsed="false">
      <c r="A1552" s="99"/>
      <c r="B1552" s="100" t="n">
        <v>46202</v>
      </c>
      <c r="C1552" s="100" t="n">
        <v>46208</v>
      </c>
      <c r="D1552" s="99" t="s">
        <v>638</v>
      </c>
      <c r="E1552" s="99" t="n">
        <v>0</v>
      </c>
      <c r="F1552" s="101" t="n">
        <v>0</v>
      </c>
      <c r="G1552" s="102" t="n">
        <f aca="false">IFERROR(F1552/INDEX($G$5:$G$34,MATCH(LOOKUP(2,1/($A$39:A1552&lt;&gt;""),$A$39:A1552),$A$5:$A$34,0)),0)</f>
        <v>0</v>
      </c>
      <c r="H1552" s="103" t="str">
        <f aca="false">IF(G1552=0,"空闲",IF(G1552&lt;=0.6,"低负荷",IF(G1552&lt;=0.85,"正常",IF(G1552&lt;=1,"满负荷","超负荷"))))</f>
        <v>空闲</v>
      </c>
      <c r="I1552" s="104" t="s">
        <v>638</v>
      </c>
      <c r="J1552" s="104"/>
      <c r="K1552" s="104"/>
      <c r="L1552" s="105" t="s">
        <v>639</v>
      </c>
    </row>
    <row r="1553" customFormat="false" ht="48" hidden="false" customHeight="true" outlineLevel="0" collapsed="false">
      <c r="A1553" s="99"/>
      <c r="B1553" s="100" t="n">
        <v>46209</v>
      </c>
      <c r="C1553" s="100" t="n">
        <v>46215</v>
      </c>
      <c r="D1553" s="99" t="s">
        <v>638</v>
      </c>
      <c r="E1553" s="99" t="n">
        <v>0</v>
      </c>
      <c r="F1553" s="101" t="n">
        <v>0</v>
      </c>
      <c r="G1553" s="102" t="n">
        <f aca="false">IFERROR(F1553/INDEX($G$5:$G$34,MATCH(LOOKUP(2,1/($A$39:A1553&lt;&gt;""),$A$39:A1553),$A$5:$A$34,0)),0)</f>
        <v>0</v>
      </c>
      <c r="H1553" s="103" t="str">
        <f aca="false">IF(G1553=0,"空闲",IF(G1553&lt;=0.6,"低负荷",IF(G1553&lt;=0.85,"正常",IF(G1553&lt;=1,"满负荷","超负荷"))))</f>
        <v>空闲</v>
      </c>
      <c r="I1553" s="104" t="s">
        <v>638</v>
      </c>
      <c r="J1553" s="104"/>
      <c r="K1553" s="104"/>
      <c r="L1553" s="105" t="s">
        <v>639</v>
      </c>
    </row>
    <row r="1554" customFormat="false" ht="48" hidden="false" customHeight="true" outlineLevel="0" collapsed="false">
      <c r="A1554" s="99"/>
      <c r="B1554" s="100" t="n">
        <v>46216</v>
      </c>
      <c r="C1554" s="100" t="n">
        <v>46222</v>
      </c>
      <c r="D1554" s="99" t="s">
        <v>638</v>
      </c>
      <c r="E1554" s="99" t="n">
        <v>0</v>
      </c>
      <c r="F1554" s="101" t="n">
        <v>0</v>
      </c>
      <c r="G1554" s="102" t="n">
        <f aca="false">IFERROR(F1554/INDEX($G$5:$G$34,MATCH(LOOKUP(2,1/($A$39:A1554&lt;&gt;""),$A$39:A1554),$A$5:$A$34,0)),0)</f>
        <v>0</v>
      </c>
      <c r="H1554" s="103" t="str">
        <f aca="false">IF(G1554=0,"空闲",IF(G1554&lt;=0.6,"低负荷",IF(G1554&lt;=0.85,"正常",IF(G1554&lt;=1,"满负荷","超负荷"))))</f>
        <v>空闲</v>
      </c>
      <c r="I1554" s="104" t="s">
        <v>638</v>
      </c>
      <c r="J1554" s="104"/>
      <c r="K1554" s="104"/>
      <c r="L1554" s="105" t="s">
        <v>639</v>
      </c>
    </row>
    <row r="1555" customFormat="false" ht="48" hidden="false" customHeight="true" outlineLevel="0" collapsed="false">
      <c r="A1555" s="99"/>
      <c r="B1555" s="100" t="n">
        <v>46223</v>
      </c>
      <c r="C1555" s="100" t="n">
        <v>46229</v>
      </c>
      <c r="D1555" s="99" t="s">
        <v>638</v>
      </c>
      <c r="E1555" s="99" t="n">
        <v>0</v>
      </c>
      <c r="F1555" s="101" t="n">
        <v>0</v>
      </c>
      <c r="G1555" s="102" t="n">
        <f aca="false">IFERROR(F1555/INDEX($G$5:$G$34,MATCH(LOOKUP(2,1/($A$39:A1555&lt;&gt;""),$A$39:A1555),$A$5:$A$34,0)),0)</f>
        <v>0</v>
      </c>
      <c r="H1555" s="103" t="str">
        <f aca="false">IF(G1555=0,"空闲",IF(G1555&lt;=0.6,"低负荷",IF(G1555&lt;=0.85,"正常",IF(G1555&lt;=1,"满负荷","超负荷"))))</f>
        <v>空闲</v>
      </c>
      <c r="I1555" s="104" t="s">
        <v>638</v>
      </c>
      <c r="J1555" s="104"/>
      <c r="K1555" s="104"/>
      <c r="L1555" s="105" t="s">
        <v>639</v>
      </c>
    </row>
    <row r="1556" customFormat="false" ht="48" hidden="false" customHeight="true" outlineLevel="0" collapsed="false">
      <c r="A1556" s="99"/>
      <c r="B1556" s="100" t="n">
        <v>46230</v>
      </c>
      <c r="C1556" s="100" t="n">
        <v>46236</v>
      </c>
      <c r="D1556" s="99" t="s">
        <v>638</v>
      </c>
      <c r="E1556" s="99" t="n">
        <v>0</v>
      </c>
      <c r="F1556" s="101" t="n">
        <v>0</v>
      </c>
      <c r="G1556" s="102" t="n">
        <f aca="false">IFERROR(F1556/INDEX($G$5:$G$34,MATCH(LOOKUP(2,1/($A$39:A1556&lt;&gt;""),$A$39:A1556),$A$5:$A$34,0)),0)</f>
        <v>0</v>
      </c>
      <c r="H1556" s="103" t="str">
        <f aca="false">IF(G1556=0,"空闲",IF(G1556&lt;=0.6,"低负荷",IF(G1556&lt;=0.85,"正常",IF(G1556&lt;=1,"满负荷","超负荷"))))</f>
        <v>空闲</v>
      </c>
      <c r="I1556" s="104" t="s">
        <v>638</v>
      </c>
      <c r="J1556" s="104"/>
      <c r="K1556" s="104"/>
      <c r="L1556" s="105" t="s">
        <v>639</v>
      </c>
    </row>
    <row r="1557" customFormat="false" ht="48" hidden="false" customHeight="true" outlineLevel="0" collapsed="false">
      <c r="A1557" s="99"/>
      <c r="B1557" s="100" t="n">
        <v>46237</v>
      </c>
      <c r="C1557" s="100" t="n">
        <v>46243</v>
      </c>
      <c r="D1557" s="99" t="s">
        <v>638</v>
      </c>
      <c r="E1557" s="99" t="n">
        <v>0</v>
      </c>
      <c r="F1557" s="101" t="n">
        <v>0</v>
      </c>
      <c r="G1557" s="102" t="n">
        <f aca="false">IFERROR(F1557/INDEX($G$5:$G$34,MATCH(LOOKUP(2,1/($A$39:A1557&lt;&gt;""),$A$39:A1557),$A$5:$A$34,0)),0)</f>
        <v>0</v>
      </c>
      <c r="H1557" s="103" t="str">
        <f aca="false">IF(G1557=0,"空闲",IF(G1557&lt;=0.6,"低负荷",IF(G1557&lt;=0.85,"正常",IF(G1557&lt;=1,"满负荷","超负荷"))))</f>
        <v>空闲</v>
      </c>
      <c r="I1557" s="104" t="s">
        <v>638</v>
      </c>
      <c r="J1557" s="104"/>
      <c r="K1557" s="104"/>
      <c r="L1557" s="105" t="s">
        <v>639</v>
      </c>
    </row>
    <row r="1558" customFormat="false" ht="48" hidden="false" customHeight="true" outlineLevel="0" collapsed="false">
      <c r="A1558" s="99"/>
      <c r="B1558" s="100" t="n">
        <v>46244</v>
      </c>
      <c r="C1558" s="100" t="n">
        <v>46250</v>
      </c>
      <c r="D1558" s="99" t="s">
        <v>638</v>
      </c>
      <c r="E1558" s="99" t="n">
        <v>0</v>
      </c>
      <c r="F1558" s="101" t="n">
        <v>0</v>
      </c>
      <c r="G1558" s="102" t="n">
        <f aca="false">IFERROR(F1558/INDEX($G$5:$G$34,MATCH(LOOKUP(2,1/($A$39:A1558&lt;&gt;""),$A$39:A1558),$A$5:$A$34,0)),0)</f>
        <v>0</v>
      </c>
      <c r="H1558" s="103" t="str">
        <f aca="false">IF(G1558=0,"空闲",IF(G1558&lt;=0.6,"低负荷",IF(G1558&lt;=0.85,"正常",IF(G1558&lt;=1,"满负荷","超负荷"))))</f>
        <v>空闲</v>
      </c>
      <c r="I1558" s="104" t="s">
        <v>638</v>
      </c>
      <c r="J1558" s="104"/>
      <c r="K1558" s="104"/>
      <c r="L1558" s="105" t="s">
        <v>639</v>
      </c>
    </row>
    <row r="1559" customFormat="false" ht="48" hidden="false" customHeight="true" outlineLevel="0" collapsed="false">
      <c r="A1559" s="99"/>
      <c r="B1559" s="100" t="n">
        <v>46251</v>
      </c>
      <c r="C1559" s="100" t="n">
        <v>46257</v>
      </c>
      <c r="D1559" s="99" t="s">
        <v>638</v>
      </c>
      <c r="E1559" s="99" t="n">
        <v>0</v>
      </c>
      <c r="F1559" s="101" t="n">
        <v>0</v>
      </c>
      <c r="G1559" s="102" t="n">
        <f aca="false">IFERROR(F1559/INDEX($G$5:$G$34,MATCH(LOOKUP(2,1/($A$39:A1559&lt;&gt;""),$A$39:A1559),$A$5:$A$34,0)),0)</f>
        <v>0</v>
      </c>
      <c r="H1559" s="103" t="str">
        <f aca="false">IF(G1559=0,"空闲",IF(G1559&lt;=0.6,"低负荷",IF(G1559&lt;=0.85,"正常",IF(G1559&lt;=1,"满负荷","超负荷"))))</f>
        <v>空闲</v>
      </c>
      <c r="I1559" s="104" t="s">
        <v>638</v>
      </c>
      <c r="J1559" s="104"/>
      <c r="K1559" s="104"/>
      <c r="L1559" s="105" t="s">
        <v>639</v>
      </c>
    </row>
    <row r="1560" customFormat="false" ht="48" hidden="false" customHeight="true" outlineLevel="0" collapsed="false">
      <c r="A1560" s="99"/>
      <c r="B1560" s="100" t="n">
        <v>46258</v>
      </c>
      <c r="C1560" s="100" t="n">
        <v>46264</v>
      </c>
      <c r="D1560" s="99" t="s">
        <v>638</v>
      </c>
      <c r="E1560" s="99" t="n">
        <v>0</v>
      </c>
      <c r="F1560" s="101" t="n">
        <v>0</v>
      </c>
      <c r="G1560" s="102" t="n">
        <f aca="false">IFERROR(F1560/INDEX($G$5:$G$34,MATCH(LOOKUP(2,1/($A$39:A1560&lt;&gt;""),$A$39:A1560),$A$5:$A$34,0)),0)</f>
        <v>0</v>
      </c>
      <c r="H1560" s="103" t="str">
        <f aca="false">IF(G1560=0,"空闲",IF(G1560&lt;=0.6,"低负荷",IF(G1560&lt;=0.85,"正常",IF(G1560&lt;=1,"满负荷","超负荷"))))</f>
        <v>空闲</v>
      </c>
      <c r="I1560" s="104" t="s">
        <v>638</v>
      </c>
      <c r="J1560" s="104"/>
      <c r="K1560" s="104"/>
      <c r="L1560" s="105" t="s">
        <v>639</v>
      </c>
    </row>
    <row r="1561" customFormat="false" ht="48" hidden="false" customHeight="true" outlineLevel="0" collapsed="false">
      <c r="A1561" s="99"/>
      <c r="B1561" s="100" t="n">
        <v>46265</v>
      </c>
      <c r="C1561" s="100" t="n">
        <v>46271</v>
      </c>
      <c r="D1561" s="99" t="s">
        <v>638</v>
      </c>
      <c r="E1561" s="99" t="n">
        <v>0</v>
      </c>
      <c r="F1561" s="101" t="n">
        <v>0</v>
      </c>
      <c r="G1561" s="102" t="n">
        <f aca="false">IFERROR(F1561/INDEX($G$5:$G$34,MATCH(LOOKUP(2,1/($A$39:A1561&lt;&gt;""),$A$39:A1561),$A$5:$A$34,0)),0)</f>
        <v>0</v>
      </c>
      <c r="H1561" s="103" t="str">
        <f aca="false">IF(G1561=0,"空闲",IF(G1561&lt;=0.6,"低负荷",IF(G1561&lt;=0.85,"正常",IF(G1561&lt;=1,"满负荷","超负荷"))))</f>
        <v>空闲</v>
      </c>
      <c r="I1561" s="104" t="s">
        <v>638</v>
      </c>
      <c r="J1561" s="104"/>
      <c r="K1561" s="104"/>
      <c r="L1561" s="105" t="s">
        <v>639</v>
      </c>
    </row>
    <row r="1562" customFormat="false" ht="48" hidden="false" customHeight="true" outlineLevel="0" collapsed="false">
      <c r="A1562" s="99"/>
      <c r="B1562" s="100" t="n">
        <v>46272</v>
      </c>
      <c r="C1562" s="100" t="n">
        <v>46278</v>
      </c>
      <c r="D1562" s="99" t="s">
        <v>638</v>
      </c>
      <c r="E1562" s="99" t="n">
        <v>0</v>
      </c>
      <c r="F1562" s="101" t="n">
        <v>0</v>
      </c>
      <c r="G1562" s="102" t="n">
        <f aca="false">IFERROR(F1562/INDEX($G$5:$G$34,MATCH(LOOKUP(2,1/($A$39:A1562&lt;&gt;""),$A$39:A1562),$A$5:$A$34,0)),0)</f>
        <v>0</v>
      </c>
      <c r="H1562" s="103" t="str">
        <f aca="false">IF(G1562=0,"空闲",IF(G1562&lt;=0.6,"低负荷",IF(G1562&lt;=0.85,"正常",IF(G1562&lt;=1,"满负荷","超负荷"))))</f>
        <v>空闲</v>
      </c>
      <c r="I1562" s="104" t="s">
        <v>638</v>
      </c>
      <c r="J1562" s="104"/>
      <c r="K1562" s="104"/>
      <c r="L1562" s="105" t="s">
        <v>639</v>
      </c>
    </row>
    <row r="1563" customFormat="false" ht="48" hidden="false" customHeight="true" outlineLevel="0" collapsed="false">
      <c r="A1563" s="99"/>
      <c r="B1563" s="100" t="n">
        <v>46279</v>
      </c>
      <c r="C1563" s="100" t="n">
        <v>46285</v>
      </c>
      <c r="D1563" s="99" t="s">
        <v>638</v>
      </c>
      <c r="E1563" s="99" t="n">
        <v>0</v>
      </c>
      <c r="F1563" s="101" t="n">
        <v>0</v>
      </c>
      <c r="G1563" s="102" t="n">
        <f aca="false">IFERROR(F1563/INDEX($G$5:$G$34,MATCH(LOOKUP(2,1/($A$39:A1563&lt;&gt;""),$A$39:A1563),$A$5:$A$34,0)),0)</f>
        <v>0</v>
      </c>
      <c r="H1563" s="103" t="str">
        <f aca="false">IF(G1563=0,"空闲",IF(G1563&lt;=0.6,"低负荷",IF(G1563&lt;=0.85,"正常",IF(G1563&lt;=1,"满负荷","超负荷"))))</f>
        <v>空闲</v>
      </c>
      <c r="I1563" s="104" t="s">
        <v>638</v>
      </c>
      <c r="J1563" s="104"/>
      <c r="K1563" s="104"/>
      <c r="L1563" s="105" t="s">
        <v>639</v>
      </c>
    </row>
    <row r="1564" customFormat="false" ht="48" hidden="false" customHeight="true" outlineLevel="0" collapsed="false">
      <c r="A1564" s="99"/>
      <c r="B1564" s="100" t="n">
        <v>46286</v>
      </c>
      <c r="C1564" s="100" t="n">
        <v>46292</v>
      </c>
      <c r="D1564" s="99" t="s">
        <v>638</v>
      </c>
      <c r="E1564" s="99" t="n">
        <v>0</v>
      </c>
      <c r="F1564" s="101" t="n">
        <v>0</v>
      </c>
      <c r="G1564" s="102" t="n">
        <f aca="false">IFERROR(F1564/INDEX($G$5:$G$34,MATCH(LOOKUP(2,1/($A$39:A1564&lt;&gt;""),$A$39:A1564),$A$5:$A$34,0)),0)</f>
        <v>0</v>
      </c>
      <c r="H1564" s="103" t="str">
        <f aca="false">IF(G1564=0,"空闲",IF(G1564&lt;=0.6,"低负荷",IF(G1564&lt;=0.85,"正常",IF(G1564&lt;=1,"满负荷","超负荷"))))</f>
        <v>空闲</v>
      </c>
      <c r="I1564" s="104" t="s">
        <v>638</v>
      </c>
      <c r="J1564" s="104"/>
      <c r="K1564" s="104"/>
      <c r="L1564" s="105" t="s">
        <v>639</v>
      </c>
    </row>
    <row r="1565" customFormat="false" ht="48" hidden="false" customHeight="true" outlineLevel="0" collapsed="false">
      <c r="A1565" s="99"/>
      <c r="B1565" s="100" t="n">
        <v>46293</v>
      </c>
      <c r="C1565" s="100" t="n">
        <v>46299</v>
      </c>
      <c r="D1565" s="99" t="s">
        <v>638</v>
      </c>
      <c r="E1565" s="99" t="n">
        <v>0</v>
      </c>
      <c r="F1565" s="101" t="n">
        <v>0</v>
      </c>
      <c r="G1565" s="102" t="n">
        <f aca="false">IFERROR(F1565/INDEX($G$5:$G$34,MATCH(LOOKUP(2,1/($A$39:A1565&lt;&gt;""),$A$39:A1565),$A$5:$A$34,0)),0)</f>
        <v>0</v>
      </c>
      <c r="H1565" s="103" t="str">
        <f aca="false">IF(G1565=0,"空闲",IF(G1565&lt;=0.6,"低负荷",IF(G1565&lt;=0.85,"正常",IF(G1565&lt;=1,"满负荷","超负荷"))))</f>
        <v>空闲</v>
      </c>
      <c r="I1565" s="104" t="s">
        <v>638</v>
      </c>
      <c r="J1565" s="104"/>
      <c r="K1565" s="104"/>
      <c r="L1565" s="105" t="s">
        <v>639</v>
      </c>
    </row>
    <row r="1566" customFormat="false" ht="48" hidden="false" customHeight="true" outlineLevel="0" collapsed="false">
      <c r="A1566" s="99"/>
      <c r="B1566" s="100" t="n">
        <v>46300</v>
      </c>
      <c r="C1566" s="100" t="n">
        <v>46306</v>
      </c>
      <c r="D1566" s="99" t="s">
        <v>638</v>
      </c>
      <c r="E1566" s="99" t="n">
        <v>0</v>
      </c>
      <c r="F1566" s="101" t="n">
        <v>0</v>
      </c>
      <c r="G1566" s="102" t="n">
        <f aca="false">IFERROR(F1566/INDEX($G$5:$G$34,MATCH(LOOKUP(2,1/($A$39:A1566&lt;&gt;""),$A$39:A1566),$A$5:$A$34,0)),0)</f>
        <v>0</v>
      </c>
      <c r="H1566" s="103" t="str">
        <f aca="false">IF(G1566=0,"空闲",IF(G1566&lt;=0.6,"低负荷",IF(G1566&lt;=0.85,"正常",IF(G1566&lt;=1,"满负荷","超负荷"))))</f>
        <v>空闲</v>
      </c>
      <c r="I1566" s="104" t="s">
        <v>638</v>
      </c>
      <c r="J1566" s="104"/>
      <c r="K1566" s="104"/>
      <c r="L1566" s="105" t="s">
        <v>639</v>
      </c>
    </row>
    <row r="1567" customFormat="false" ht="48" hidden="false" customHeight="true" outlineLevel="0" collapsed="false">
      <c r="A1567" s="99"/>
      <c r="B1567" s="100" t="n">
        <v>46307</v>
      </c>
      <c r="C1567" s="100" t="n">
        <v>46313</v>
      </c>
      <c r="D1567" s="99" t="s">
        <v>638</v>
      </c>
      <c r="E1567" s="99" t="n">
        <v>0</v>
      </c>
      <c r="F1567" s="101" t="n">
        <v>0</v>
      </c>
      <c r="G1567" s="102" t="n">
        <f aca="false">IFERROR(F1567/INDEX($G$5:$G$34,MATCH(LOOKUP(2,1/($A$39:A1567&lt;&gt;""),$A$39:A1567),$A$5:$A$34,0)),0)</f>
        <v>0</v>
      </c>
      <c r="H1567" s="103" t="str">
        <f aca="false">IF(G1567=0,"空闲",IF(G1567&lt;=0.6,"低负荷",IF(G1567&lt;=0.85,"正常",IF(G1567&lt;=1,"满负荷","超负荷"))))</f>
        <v>空闲</v>
      </c>
      <c r="I1567" s="104" t="s">
        <v>638</v>
      </c>
      <c r="J1567" s="104"/>
      <c r="K1567" s="104"/>
      <c r="L1567" s="105" t="s">
        <v>639</v>
      </c>
    </row>
    <row r="1568" customFormat="false" ht="48" hidden="false" customHeight="true" outlineLevel="0" collapsed="false">
      <c r="A1568" s="99"/>
      <c r="B1568" s="100" t="n">
        <v>46314</v>
      </c>
      <c r="C1568" s="100" t="n">
        <v>46320</v>
      </c>
      <c r="D1568" s="99" t="s">
        <v>638</v>
      </c>
      <c r="E1568" s="99" t="n">
        <v>0</v>
      </c>
      <c r="F1568" s="101" t="n">
        <v>0</v>
      </c>
      <c r="G1568" s="102" t="n">
        <f aca="false">IFERROR(F1568/INDEX($G$5:$G$34,MATCH(LOOKUP(2,1/($A$39:A1568&lt;&gt;""),$A$39:A1568),$A$5:$A$34,0)),0)</f>
        <v>0</v>
      </c>
      <c r="H1568" s="103" t="str">
        <f aca="false">IF(G1568=0,"空闲",IF(G1568&lt;=0.6,"低负荷",IF(G1568&lt;=0.85,"正常",IF(G1568&lt;=1,"满负荷","超负荷"))))</f>
        <v>空闲</v>
      </c>
      <c r="I1568" s="104" t="s">
        <v>638</v>
      </c>
      <c r="J1568" s="104"/>
      <c r="K1568" s="104"/>
      <c r="L1568" s="105" t="s">
        <v>639</v>
      </c>
    </row>
    <row r="1569" customFormat="false" ht="48" hidden="false" customHeight="true" outlineLevel="0" collapsed="false">
      <c r="A1569" s="99"/>
      <c r="B1569" s="100" t="n">
        <v>46321</v>
      </c>
      <c r="C1569" s="100" t="n">
        <v>46327</v>
      </c>
      <c r="D1569" s="99" t="s">
        <v>638</v>
      </c>
      <c r="E1569" s="99" t="n">
        <v>0</v>
      </c>
      <c r="F1569" s="101" t="n">
        <v>0</v>
      </c>
      <c r="G1569" s="102" t="n">
        <f aca="false">IFERROR(F1569/INDEX($G$5:$G$34,MATCH(LOOKUP(2,1/($A$39:A1569&lt;&gt;""),$A$39:A1569),$A$5:$A$34,0)),0)</f>
        <v>0</v>
      </c>
      <c r="H1569" s="103" t="str">
        <f aca="false">IF(G1569=0,"空闲",IF(G1569&lt;=0.6,"低负荷",IF(G1569&lt;=0.85,"正常",IF(G1569&lt;=1,"满负荷","超负荷"))))</f>
        <v>空闲</v>
      </c>
      <c r="I1569" s="104" t="s">
        <v>638</v>
      </c>
      <c r="J1569" s="104"/>
      <c r="K1569" s="104"/>
      <c r="L1569" s="105" t="s">
        <v>639</v>
      </c>
    </row>
    <row r="1570" customFormat="false" ht="48" hidden="false" customHeight="true" outlineLevel="0" collapsed="false">
      <c r="A1570" s="99"/>
      <c r="B1570" s="100" t="n">
        <v>46328</v>
      </c>
      <c r="C1570" s="100" t="n">
        <v>46334</v>
      </c>
      <c r="D1570" s="99" t="s">
        <v>638</v>
      </c>
      <c r="E1570" s="99" t="n">
        <v>0</v>
      </c>
      <c r="F1570" s="101" t="n">
        <v>0</v>
      </c>
      <c r="G1570" s="102" t="n">
        <f aca="false">IFERROR(F1570/INDEX($G$5:$G$34,MATCH(LOOKUP(2,1/($A$39:A1570&lt;&gt;""),$A$39:A1570),$A$5:$A$34,0)),0)</f>
        <v>0</v>
      </c>
      <c r="H1570" s="103" t="str">
        <f aca="false">IF(G1570=0,"空闲",IF(G1570&lt;=0.6,"低负荷",IF(G1570&lt;=0.85,"正常",IF(G1570&lt;=1,"满负荷","超负荷"))))</f>
        <v>空闲</v>
      </c>
      <c r="I1570" s="104" t="s">
        <v>638</v>
      </c>
      <c r="J1570" s="104"/>
      <c r="K1570" s="104"/>
      <c r="L1570" s="105" t="s">
        <v>639</v>
      </c>
    </row>
    <row r="1571" customFormat="false" ht="48" hidden="false" customHeight="true" outlineLevel="0" collapsed="false">
      <c r="A1571" s="99"/>
      <c r="B1571" s="100" t="n">
        <v>46335</v>
      </c>
      <c r="C1571" s="100" t="n">
        <v>46341</v>
      </c>
      <c r="D1571" s="99" t="s">
        <v>638</v>
      </c>
      <c r="E1571" s="99" t="n">
        <v>0</v>
      </c>
      <c r="F1571" s="101" t="n">
        <v>0</v>
      </c>
      <c r="G1571" s="102" t="n">
        <f aca="false">IFERROR(F1571/INDEX($G$5:$G$34,MATCH(LOOKUP(2,1/($A$39:A1571&lt;&gt;""),$A$39:A1571),$A$5:$A$34,0)),0)</f>
        <v>0</v>
      </c>
      <c r="H1571" s="103" t="str">
        <f aca="false">IF(G1571=0,"空闲",IF(G1571&lt;=0.6,"低负荷",IF(G1571&lt;=0.85,"正常",IF(G1571&lt;=1,"满负荷","超负荷"))))</f>
        <v>空闲</v>
      </c>
      <c r="I1571" s="104" t="s">
        <v>638</v>
      </c>
      <c r="J1571" s="104"/>
      <c r="K1571" s="104"/>
      <c r="L1571" s="105" t="s">
        <v>639</v>
      </c>
    </row>
    <row r="1572" customFormat="false" ht="48" hidden="false" customHeight="true" outlineLevel="0" collapsed="false">
      <c r="A1572" s="99"/>
      <c r="B1572" s="100" t="n">
        <v>46342</v>
      </c>
      <c r="C1572" s="100" t="n">
        <v>46348</v>
      </c>
      <c r="D1572" s="99" t="s">
        <v>638</v>
      </c>
      <c r="E1572" s="99" t="n">
        <v>0</v>
      </c>
      <c r="F1572" s="101" t="n">
        <v>0</v>
      </c>
      <c r="G1572" s="102" t="n">
        <f aca="false">IFERROR(F1572/INDEX($G$5:$G$34,MATCH(LOOKUP(2,1/($A$39:A1572&lt;&gt;""),$A$39:A1572),$A$5:$A$34,0)),0)</f>
        <v>0</v>
      </c>
      <c r="H1572" s="103" t="str">
        <f aca="false">IF(G1572=0,"空闲",IF(G1572&lt;=0.6,"低负荷",IF(G1572&lt;=0.85,"正常",IF(G1572&lt;=1,"满负荷","超负荷"))))</f>
        <v>空闲</v>
      </c>
      <c r="I1572" s="104" t="s">
        <v>638</v>
      </c>
      <c r="J1572" s="104"/>
      <c r="K1572" s="104"/>
      <c r="L1572" s="105" t="s">
        <v>639</v>
      </c>
    </row>
    <row r="1573" customFormat="false" ht="48" hidden="false" customHeight="true" outlineLevel="0" collapsed="false">
      <c r="A1573" s="99"/>
      <c r="B1573" s="100" t="n">
        <v>46349</v>
      </c>
      <c r="C1573" s="100" t="n">
        <v>46355</v>
      </c>
      <c r="D1573" s="99" t="s">
        <v>640</v>
      </c>
      <c r="E1573" s="99" t="n">
        <v>1</v>
      </c>
      <c r="F1573" s="101" t="n">
        <v>40</v>
      </c>
      <c r="G1573" s="102" t="n">
        <f aca="false">IFERROR(F1573/INDEX($G$5:$G$34,MATCH(LOOKUP(2,1/($A$39:A1573&lt;&gt;""),$A$39:A1573),$A$5:$A$34,0)),0)</f>
        <v>1</v>
      </c>
      <c r="H1573" s="103" t="str">
        <f aca="false">IF(G1573=0,"空闲",IF(G1573&lt;=0.6,"低负荷",IF(G1573&lt;=0.85,"正常",IF(G1573&lt;=1,"满负荷","超负荷"))))</f>
        <v>满负荷</v>
      </c>
      <c r="I1573" s="106" t="s">
        <v>712</v>
      </c>
      <c r="J1573" s="106"/>
      <c r="K1573" s="106"/>
      <c r="L1573" s="105" t="s">
        <v>642</v>
      </c>
    </row>
    <row r="1574" customFormat="false" ht="48" hidden="false" customHeight="true" outlineLevel="0" collapsed="false">
      <c r="A1574" s="99"/>
      <c r="B1574" s="100" t="n">
        <v>46356</v>
      </c>
      <c r="C1574" s="100" t="n">
        <v>46362</v>
      </c>
      <c r="D1574" s="99" t="s">
        <v>640</v>
      </c>
      <c r="E1574" s="99" t="n">
        <v>1</v>
      </c>
      <c r="F1574" s="101" t="n">
        <v>40</v>
      </c>
      <c r="G1574" s="102" t="n">
        <f aca="false">IFERROR(F1574/INDEX($G$5:$G$34,MATCH(LOOKUP(2,1/($A$39:A1574&lt;&gt;""),$A$39:A1574),$A$5:$A$34,0)),0)</f>
        <v>1</v>
      </c>
      <c r="H1574" s="103" t="str">
        <f aca="false">IF(G1574=0,"空闲",IF(G1574&lt;=0.6,"低负荷",IF(G1574&lt;=0.85,"正常",IF(G1574&lt;=1,"满负荷","超负荷"))))</f>
        <v>满负荷</v>
      </c>
      <c r="I1574" s="106" t="s">
        <v>712</v>
      </c>
      <c r="J1574" s="106"/>
      <c r="K1574" s="106"/>
      <c r="L1574" s="105" t="s">
        <v>642</v>
      </c>
    </row>
    <row r="1575" customFormat="false" ht="48" hidden="false" customHeight="true" outlineLevel="0" collapsed="false">
      <c r="A1575" s="99"/>
      <c r="B1575" s="100" t="n">
        <v>46363</v>
      </c>
      <c r="C1575" s="100" t="n">
        <v>46369</v>
      </c>
      <c r="D1575" s="99" t="s">
        <v>640</v>
      </c>
      <c r="E1575" s="99" t="n">
        <v>5</v>
      </c>
      <c r="F1575" s="101" t="n">
        <v>40</v>
      </c>
      <c r="G1575" s="102" t="n">
        <f aca="false">IFERROR(F1575/INDEX($G$5:$G$34,MATCH(LOOKUP(2,1/($A$39:A1575&lt;&gt;""),$A$39:A1575),$A$5:$A$34,0)),0)</f>
        <v>1</v>
      </c>
      <c r="H1575" s="103" t="str">
        <f aca="false">IF(G1575=0,"空闲",IF(G1575&lt;=0.6,"低负荷",IF(G1575&lt;=0.85,"正常",IF(G1575&lt;=1,"满负荷","超负荷"))))</f>
        <v>满负荷</v>
      </c>
      <c r="I1575" s="106" t="s">
        <v>748</v>
      </c>
      <c r="J1575" s="106"/>
      <c r="K1575" s="106"/>
      <c r="L1575" s="105" t="s">
        <v>717</v>
      </c>
    </row>
    <row r="1576" customFormat="false" ht="48" hidden="false" customHeight="true" outlineLevel="0" collapsed="false">
      <c r="A1576" s="99"/>
      <c r="B1576" s="100" t="n">
        <v>46370</v>
      </c>
      <c r="C1576" s="100" t="n">
        <v>46376</v>
      </c>
      <c r="D1576" s="99" t="s">
        <v>640</v>
      </c>
      <c r="E1576" s="99" t="n">
        <v>5</v>
      </c>
      <c r="F1576" s="101" t="n">
        <v>40</v>
      </c>
      <c r="G1576" s="102" t="n">
        <f aca="false">IFERROR(F1576/INDEX($G$5:$G$34,MATCH(LOOKUP(2,1/($A$39:A1576&lt;&gt;""),$A$39:A1576),$A$5:$A$34,0)),0)</f>
        <v>1</v>
      </c>
      <c r="H1576" s="103" t="str">
        <f aca="false">IF(G1576=0,"空闲",IF(G1576&lt;=0.6,"低负荷",IF(G1576&lt;=0.85,"正常",IF(G1576&lt;=1,"满负荷","超负荷"))))</f>
        <v>满负荷</v>
      </c>
      <c r="I1576" s="106" t="s">
        <v>748</v>
      </c>
      <c r="J1576" s="106"/>
      <c r="K1576" s="106"/>
      <c r="L1576" s="105" t="s">
        <v>717</v>
      </c>
    </row>
    <row r="1577" customFormat="false" ht="48" hidden="false" customHeight="true" outlineLevel="0" collapsed="false">
      <c r="A1577" s="99"/>
      <c r="B1577" s="100" t="n">
        <v>46377</v>
      </c>
      <c r="C1577" s="100" t="n">
        <v>46383</v>
      </c>
      <c r="D1577" s="99" t="s">
        <v>640</v>
      </c>
      <c r="E1577" s="99" t="n">
        <v>5</v>
      </c>
      <c r="F1577" s="101" t="n">
        <v>40</v>
      </c>
      <c r="G1577" s="102" t="n">
        <f aca="false">IFERROR(F1577/INDEX($G$5:$G$34,MATCH(LOOKUP(2,1/($A$39:A1577&lt;&gt;""),$A$39:A1577),$A$5:$A$34,0)),0)</f>
        <v>1</v>
      </c>
      <c r="H1577" s="103" t="str">
        <f aca="false">IF(G1577=0,"空闲",IF(G1577&lt;=0.6,"低负荷",IF(G1577&lt;=0.85,"正常",IF(G1577&lt;=1,"满负荷","超负荷"))))</f>
        <v>满负荷</v>
      </c>
      <c r="I1577" s="106" t="s">
        <v>748</v>
      </c>
      <c r="J1577" s="106"/>
      <c r="K1577" s="106"/>
      <c r="L1577" s="105" t="s">
        <v>717</v>
      </c>
    </row>
    <row r="1578" customFormat="false" ht="48" hidden="false" customHeight="true" outlineLevel="0" collapsed="false">
      <c r="A1578" s="99"/>
      <c r="B1578" s="100" t="n">
        <v>46384</v>
      </c>
      <c r="C1578" s="100" t="n">
        <v>46390</v>
      </c>
      <c r="D1578" s="99" t="s">
        <v>640</v>
      </c>
      <c r="E1578" s="99" t="n">
        <v>5</v>
      </c>
      <c r="F1578" s="101" t="n">
        <v>40</v>
      </c>
      <c r="G1578" s="102" t="n">
        <f aca="false">IFERROR(F1578/INDEX($G$5:$G$34,MATCH(LOOKUP(2,1/($A$39:A1578&lt;&gt;""),$A$39:A1578),$A$5:$A$34,0)),0)</f>
        <v>1</v>
      </c>
      <c r="H1578" s="103" t="str">
        <f aca="false">IF(G1578=0,"空闲",IF(G1578&lt;=0.6,"低负荷",IF(G1578&lt;=0.85,"正常",IF(G1578&lt;=1,"满负荷","超负荷"))))</f>
        <v>满负荷</v>
      </c>
      <c r="I1578" s="106" t="s">
        <v>748</v>
      </c>
      <c r="J1578" s="106"/>
      <c r="K1578" s="106"/>
      <c r="L1578" s="105" t="s">
        <v>717</v>
      </c>
    </row>
    <row r="1579" customFormat="false" ht="48" hidden="false" customHeight="true" outlineLevel="0" collapsed="false">
      <c r="A1579" s="99"/>
      <c r="B1579" s="100" t="n">
        <v>46391</v>
      </c>
      <c r="C1579" s="100" t="n">
        <v>46397</v>
      </c>
      <c r="D1579" s="99" t="s">
        <v>640</v>
      </c>
      <c r="E1579" s="99" t="n">
        <v>5</v>
      </c>
      <c r="F1579" s="101" t="n">
        <v>40</v>
      </c>
      <c r="G1579" s="102" t="n">
        <f aca="false">IFERROR(F1579/INDEX($G$5:$G$34,MATCH(LOOKUP(2,1/($A$39:A1579&lt;&gt;""),$A$39:A1579),$A$5:$A$34,0)),0)</f>
        <v>1</v>
      </c>
      <c r="H1579" s="103" t="str">
        <f aca="false">IF(G1579=0,"空闲",IF(G1579&lt;=0.6,"低负荷",IF(G1579&lt;=0.85,"正常",IF(G1579&lt;=1,"满负荷","超负荷"))))</f>
        <v>满负荷</v>
      </c>
      <c r="I1579" s="106" t="s">
        <v>748</v>
      </c>
      <c r="J1579" s="106"/>
      <c r="K1579" s="106"/>
      <c r="L1579" s="105" t="s">
        <v>717</v>
      </c>
    </row>
    <row r="1580" customFormat="false" ht="48" hidden="false" customHeight="true" outlineLevel="0" collapsed="false">
      <c r="A1580" s="99"/>
      <c r="B1580" s="100" t="n">
        <v>46398</v>
      </c>
      <c r="C1580" s="100" t="n">
        <v>46404</v>
      </c>
      <c r="D1580" s="99" t="s">
        <v>640</v>
      </c>
      <c r="E1580" s="99" t="n">
        <v>5</v>
      </c>
      <c r="F1580" s="101" t="n">
        <v>40</v>
      </c>
      <c r="G1580" s="102" t="n">
        <f aca="false">IFERROR(F1580/INDEX($G$5:$G$34,MATCH(LOOKUP(2,1/($A$39:A1580&lt;&gt;""),$A$39:A1580),$A$5:$A$34,0)),0)</f>
        <v>1</v>
      </c>
      <c r="H1580" s="103" t="str">
        <f aca="false">IF(G1580=0,"空闲",IF(G1580&lt;=0.6,"低负荷",IF(G1580&lt;=0.85,"正常",IF(G1580&lt;=1,"满负荷","超负荷"))))</f>
        <v>满负荷</v>
      </c>
      <c r="I1580" s="106" t="s">
        <v>748</v>
      </c>
      <c r="J1580" s="106"/>
      <c r="K1580" s="106"/>
      <c r="L1580" s="105" t="s">
        <v>717</v>
      </c>
    </row>
    <row r="1581" customFormat="false" ht="48" hidden="false" customHeight="true" outlineLevel="0" collapsed="false">
      <c r="A1581" s="99"/>
      <c r="B1581" s="100" t="n">
        <v>46405</v>
      </c>
      <c r="C1581" s="100" t="n">
        <v>46411</v>
      </c>
      <c r="D1581" s="99" t="s">
        <v>640</v>
      </c>
      <c r="E1581" s="99" t="n">
        <v>5</v>
      </c>
      <c r="F1581" s="101" t="n">
        <v>40</v>
      </c>
      <c r="G1581" s="102" t="n">
        <f aca="false">IFERROR(F1581/INDEX($G$5:$G$34,MATCH(LOOKUP(2,1/($A$39:A1581&lt;&gt;""),$A$39:A1581),$A$5:$A$34,0)),0)</f>
        <v>1</v>
      </c>
      <c r="H1581" s="103" t="str">
        <f aca="false">IF(G1581=0,"空闲",IF(G1581&lt;=0.6,"低负荷",IF(G1581&lt;=0.85,"正常",IF(G1581&lt;=1,"满负荷","超负荷"))))</f>
        <v>满负荷</v>
      </c>
      <c r="I1581" s="106" t="s">
        <v>748</v>
      </c>
      <c r="J1581" s="106"/>
      <c r="K1581" s="106"/>
      <c r="L1581" s="105" t="s">
        <v>717</v>
      </c>
    </row>
    <row r="1582" customFormat="false" ht="48" hidden="false" customHeight="true" outlineLevel="0" collapsed="false">
      <c r="A1582" s="99"/>
      <c r="B1582" s="100" t="n">
        <v>46412</v>
      </c>
      <c r="C1582" s="100" t="n">
        <v>46418</v>
      </c>
      <c r="D1582" s="99" t="s">
        <v>640</v>
      </c>
      <c r="E1582" s="99" t="n">
        <v>5</v>
      </c>
      <c r="F1582" s="101" t="n">
        <v>40</v>
      </c>
      <c r="G1582" s="102" t="n">
        <f aca="false">IFERROR(F1582/INDEX($G$5:$G$34,MATCH(LOOKUP(2,1/($A$39:A1582&lt;&gt;""),$A$39:A1582),$A$5:$A$34,0)),0)</f>
        <v>1</v>
      </c>
      <c r="H1582" s="103" t="str">
        <f aca="false">IF(G1582=0,"空闲",IF(G1582&lt;=0.6,"低负荷",IF(G1582&lt;=0.85,"正常",IF(G1582&lt;=1,"满负荷","超负荷"))))</f>
        <v>满负荷</v>
      </c>
      <c r="I1582" s="106" t="s">
        <v>748</v>
      </c>
      <c r="J1582" s="106"/>
      <c r="K1582" s="106"/>
      <c r="L1582" s="105" t="s">
        <v>717</v>
      </c>
    </row>
    <row r="1583" customFormat="false" ht="48" hidden="false" customHeight="true" outlineLevel="0" collapsed="false">
      <c r="A1583" s="99"/>
      <c r="B1583" s="100" t="n">
        <v>46419</v>
      </c>
      <c r="C1583" s="100" t="n">
        <v>46425</v>
      </c>
      <c r="D1583" s="99" t="s">
        <v>640</v>
      </c>
      <c r="E1583" s="99" t="n">
        <v>5</v>
      </c>
      <c r="F1583" s="101" t="n">
        <v>40</v>
      </c>
      <c r="G1583" s="102" t="n">
        <f aca="false">IFERROR(F1583/INDEX($G$5:$G$34,MATCH(LOOKUP(2,1/($A$39:A1583&lt;&gt;""),$A$39:A1583),$A$5:$A$34,0)),0)</f>
        <v>1</v>
      </c>
      <c r="H1583" s="103" t="str">
        <f aca="false">IF(G1583=0,"空闲",IF(G1583&lt;=0.6,"低负荷",IF(G1583&lt;=0.85,"正常",IF(G1583&lt;=1,"满负荷","超负荷"))))</f>
        <v>满负荷</v>
      </c>
      <c r="I1583" s="106" t="s">
        <v>748</v>
      </c>
      <c r="J1583" s="106"/>
      <c r="K1583" s="106"/>
      <c r="L1583" s="105" t="s">
        <v>717</v>
      </c>
    </row>
    <row r="1584" customFormat="false" ht="48" hidden="false" customHeight="true" outlineLevel="0" collapsed="false">
      <c r="A1584" s="99"/>
      <c r="B1584" s="100" t="n">
        <v>46426</v>
      </c>
      <c r="C1584" s="100" t="n">
        <v>46432</v>
      </c>
      <c r="D1584" s="99" t="s">
        <v>640</v>
      </c>
      <c r="E1584" s="99" t="n">
        <v>5</v>
      </c>
      <c r="F1584" s="101" t="n">
        <v>40</v>
      </c>
      <c r="G1584" s="102" t="n">
        <f aca="false">IFERROR(F1584/INDEX($G$5:$G$34,MATCH(LOOKUP(2,1/($A$39:A1584&lt;&gt;""),$A$39:A1584),$A$5:$A$34,0)),0)</f>
        <v>1</v>
      </c>
      <c r="H1584" s="103" t="str">
        <f aca="false">IF(G1584=0,"空闲",IF(G1584&lt;=0.6,"低负荷",IF(G1584&lt;=0.85,"正常",IF(G1584&lt;=1,"满负荷","超负荷"))))</f>
        <v>满负荷</v>
      </c>
      <c r="I1584" s="106" t="s">
        <v>748</v>
      </c>
      <c r="J1584" s="106"/>
      <c r="K1584" s="106"/>
      <c r="L1584" s="105" t="s">
        <v>717</v>
      </c>
    </row>
    <row r="1585" customFormat="false" ht="48" hidden="false" customHeight="true" outlineLevel="0" collapsed="false">
      <c r="A1585" s="99"/>
      <c r="B1585" s="100" t="n">
        <v>46433</v>
      </c>
      <c r="C1585" s="100" t="n">
        <v>46439</v>
      </c>
      <c r="D1585" s="99" t="s">
        <v>640</v>
      </c>
      <c r="E1585" s="99" t="n">
        <v>1</v>
      </c>
      <c r="F1585" s="101" t="n">
        <v>40</v>
      </c>
      <c r="G1585" s="102" t="n">
        <f aca="false">IFERROR(F1585/INDEX($G$5:$G$34,MATCH(LOOKUP(2,1/($A$39:A1585&lt;&gt;""),$A$39:A1585),$A$5:$A$34,0)),0)</f>
        <v>1</v>
      </c>
      <c r="H1585" s="103" t="str">
        <f aca="false">IF(G1585=0,"空闲",IF(G1585&lt;=0.6,"低负荷",IF(G1585&lt;=0.85,"正常",IF(G1585&lt;=1,"满负荷","超负荷"))))</f>
        <v>满负荷</v>
      </c>
      <c r="I1585" s="106" t="s">
        <v>753</v>
      </c>
      <c r="J1585" s="106"/>
      <c r="K1585" s="106"/>
      <c r="L1585" s="105" t="s">
        <v>642</v>
      </c>
    </row>
    <row r="1586" customFormat="false" ht="48" hidden="false" customHeight="true" outlineLevel="0" collapsed="false">
      <c r="A1586" s="99"/>
      <c r="B1586" s="100" t="n">
        <v>46440</v>
      </c>
      <c r="C1586" s="100" t="n">
        <v>46446</v>
      </c>
      <c r="D1586" s="99" t="s">
        <v>640</v>
      </c>
      <c r="E1586" s="99" t="n">
        <v>1</v>
      </c>
      <c r="F1586" s="101" t="n">
        <v>40</v>
      </c>
      <c r="G1586" s="102" t="n">
        <f aca="false">IFERROR(F1586/INDEX($G$5:$G$34,MATCH(LOOKUP(2,1/($A$39:A1586&lt;&gt;""),$A$39:A1586),$A$5:$A$34,0)),0)</f>
        <v>1</v>
      </c>
      <c r="H1586" s="103" t="str">
        <f aca="false">IF(G1586=0,"空闲",IF(G1586&lt;=0.6,"低负荷",IF(G1586&lt;=0.85,"正常",IF(G1586&lt;=1,"满负荷","超负荷"))))</f>
        <v>满负荷</v>
      </c>
      <c r="I1586" s="106" t="s">
        <v>753</v>
      </c>
      <c r="J1586" s="106"/>
      <c r="K1586" s="106"/>
      <c r="L1586" s="105" t="s">
        <v>642</v>
      </c>
    </row>
    <row r="1587" customFormat="false" ht="48" hidden="false" customHeight="true" outlineLevel="0" collapsed="false">
      <c r="A1587" s="99"/>
      <c r="B1587" s="100" t="n">
        <v>46447</v>
      </c>
      <c r="C1587" s="100" t="n">
        <v>46453</v>
      </c>
      <c r="D1587" s="99" t="s">
        <v>640</v>
      </c>
      <c r="E1587" s="99" t="n">
        <v>1</v>
      </c>
      <c r="F1587" s="101" t="n">
        <v>40</v>
      </c>
      <c r="G1587" s="102" t="n">
        <f aca="false">IFERROR(F1587/INDEX($G$5:$G$34,MATCH(LOOKUP(2,1/($A$39:A1587&lt;&gt;""),$A$39:A1587),$A$5:$A$34,0)),0)</f>
        <v>1</v>
      </c>
      <c r="H1587" s="103" t="str">
        <f aca="false">IF(G1587=0,"空闲",IF(G1587&lt;=0.6,"低负荷",IF(G1587&lt;=0.85,"正常",IF(G1587&lt;=1,"满负荷","超负荷"))))</f>
        <v>满负荷</v>
      </c>
      <c r="I1587" s="106" t="s">
        <v>753</v>
      </c>
      <c r="J1587" s="106"/>
      <c r="K1587" s="106"/>
      <c r="L1587" s="105" t="s">
        <v>642</v>
      </c>
    </row>
    <row r="1588" customFormat="false" ht="48" hidden="false" customHeight="true" outlineLevel="0" collapsed="false">
      <c r="A1588" s="99"/>
      <c r="B1588" s="100" t="n">
        <v>46454</v>
      </c>
      <c r="C1588" s="100" t="n">
        <v>46460</v>
      </c>
      <c r="D1588" s="99" t="s">
        <v>638</v>
      </c>
      <c r="E1588" s="99" t="n">
        <v>0</v>
      </c>
      <c r="F1588" s="101" t="n">
        <v>0</v>
      </c>
      <c r="G1588" s="102" t="n">
        <f aca="false">IFERROR(F1588/INDEX($G$5:$G$34,MATCH(LOOKUP(2,1/($A$39:A1588&lt;&gt;""),$A$39:A1588),$A$5:$A$34,0)),0)</f>
        <v>0</v>
      </c>
      <c r="H1588" s="103" t="str">
        <f aca="false">IF(G1588=0,"空闲",IF(G1588&lt;=0.6,"低负荷",IF(G1588&lt;=0.85,"正常",IF(G1588&lt;=1,"满负荷","超负荷"))))</f>
        <v>空闲</v>
      </c>
      <c r="I1588" s="104" t="s">
        <v>638</v>
      </c>
      <c r="J1588" s="104"/>
      <c r="K1588" s="104"/>
      <c r="L1588" s="105" t="s">
        <v>639</v>
      </c>
    </row>
    <row r="1589" customFormat="false" ht="48" hidden="false" customHeight="true" outlineLevel="0" collapsed="false">
      <c r="A1589" s="99"/>
      <c r="B1589" s="100" t="n">
        <v>46461</v>
      </c>
      <c r="C1589" s="100" t="n">
        <v>46467</v>
      </c>
      <c r="D1589" s="99" t="s">
        <v>638</v>
      </c>
      <c r="E1589" s="99" t="n">
        <v>0</v>
      </c>
      <c r="F1589" s="101" t="n">
        <v>0</v>
      </c>
      <c r="G1589" s="102" t="n">
        <f aca="false">IFERROR(F1589/INDEX($G$5:$G$34,MATCH(LOOKUP(2,1/($A$39:A1589&lt;&gt;""),$A$39:A1589),$A$5:$A$34,0)),0)</f>
        <v>0</v>
      </c>
      <c r="H1589" s="103" t="str">
        <f aca="false">IF(G1589=0,"空闲",IF(G1589&lt;=0.6,"低负荷",IF(G1589&lt;=0.85,"正常",IF(G1589&lt;=1,"满负荷","超负荷"))))</f>
        <v>空闲</v>
      </c>
      <c r="I1589" s="104" t="s">
        <v>638</v>
      </c>
      <c r="J1589" s="104"/>
      <c r="K1589" s="104"/>
      <c r="L1589" s="105" t="s">
        <v>639</v>
      </c>
    </row>
    <row r="1590" customFormat="false" ht="48" hidden="false" customHeight="true" outlineLevel="0" collapsed="false">
      <c r="A1590" s="99"/>
      <c r="B1590" s="100" t="n">
        <v>46468</v>
      </c>
      <c r="C1590" s="100" t="n">
        <v>46474</v>
      </c>
      <c r="D1590" s="99" t="s">
        <v>638</v>
      </c>
      <c r="E1590" s="99" t="n">
        <v>0</v>
      </c>
      <c r="F1590" s="101" t="n">
        <v>0</v>
      </c>
      <c r="G1590" s="102" t="n">
        <f aca="false">IFERROR(F1590/INDEX($G$5:$G$34,MATCH(LOOKUP(2,1/($A$39:A1590&lt;&gt;""),$A$39:A1590),$A$5:$A$34,0)),0)</f>
        <v>0</v>
      </c>
      <c r="H1590" s="103" t="str">
        <f aca="false">IF(G1590=0,"空闲",IF(G1590&lt;=0.6,"低负荷",IF(G1590&lt;=0.85,"正常",IF(G1590&lt;=1,"满负荷","超负荷"))))</f>
        <v>空闲</v>
      </c>
      <c r="I1590" s="104" t="s">
        <v>638</v>
      </c>
      <c r="J1590" s="104"/>
      <c r="K1590" s="104"/>
      <c r="L1590" s="105" t="s">
        <v>639</v>
      </c>
    </row>
    <row r="1591" customFormat="false" ht="48" hidden="false" customHeight="true" outlineLevel="0" collapsed="false">
      <c r="A1591" s="99"/>
      <c r="B1591" s="100" t="n">
        <v>46475</v>
      </c>
      <c r="C1591" s="100" t="n">
        <v>46481</v>
      </c>
      <c r="D1591" s="99" t="s">
        <v>638</v>
      </c>
      <c r="E1591" s="99" t="n">
        <v>0</v>
      </c>
      <c r="F1591" s="101" t="n">
        <v>0</v>
      </c>
      <c r="G1591" s="102" t="n">
        <f aca="false">IFERROR(F1591/INDEX($G$5:$G$34,MATCH(LOOKUP(2,1/($A$39:A1591&lt;&gt;""),$A$39:A1591),$A$5:$A$34,0)),0)</f>
        <v>0</v>
      </c>
      <c r="H1591" s="103" t="str">
        <f aca="false">IF(G1591=0,"空闲",IF(G1591&lt;=0.6,"低负荷",IF(G1591&lt;=0.85,"正常",IF(G1591&lt;=1,"满负荷","超负荷"))))</f>
        <v>空闲</v>
      </c>
      <c r="I1591" s="104" t="s">
        <v>638</v>
      </c>
      <c r="J1591" s="104"/>
      <c r="K1591" s="104"/>
      <c r="L1591" s="105" t="s">
        <v>639</v>
      </c>
    </row>
    <row r="1592" customFormat="false" ht="48" hidden="false" customHeight="true" outlineLevel="0" collapsed="false">
      <c r="A1592" s="99"/>
      <c r="B1592" s="100" t="n">
        <v>46482</v>
      </c>
      <c r="C1592" s="100" t="n">
        <v>46488</v>
      </c>
      <c r="D1592" s="99" t="s">
        <v>638</v>
      </c>
      <c r="E1592" s="99" t="n">
        <v>0</v>
      </c>
      <c r="F1592" s="101" t="n">
        <v>0</v>
      </c>
      <c r="G1592" s="102" t="n">
        <f aca="false">IFERROR(F1592/INDEX($G$5:$G$34,MATCH(LOOKUP(2,1/($A$39:A1592&lt;&gt;""),$A$39:A1592),$A$5:$A$34,0)),0)</f>
        <v>0</v>
      </c>
      <c r="H1592" s="103" t="str">
        <f aca="false">IF(G1592=0,"空闲",IF(G1592&lt;=0.6,"低负荷",IF(G1592&lt;=0.85,"正常",IF(G1592&lt;=1,"满负荷","超负荷"))))</f>
        <v>空闲</v>
      </c>
      <c r="I1592" s="104" t="s">
        <v>638</v>
      </c>
      <c r="J1592" s="104"/>
      <c r="K1592" s="104"/>
      <c r="L1592" s="105" t="s">
        <v>639</v>
      </c>
    </row>
    <row r="1593" customFormat="false" ht="48" hidden="false" customHeight="true" outlineLevel="0" collapsed="false">
      <c r="A1593" s="99"/>
      <c r="B1593" s="100" t="n">
        <v>46489</v>
      </c>
      <c r="C1593" s="100" t="n">
        <v>46495</v>
      </c>
      <c r="D1593" s="99" t="s">
        <v>638</v>
      </c>
      <c r="E1593" s="99" t="n">
        <v>0</v>
      </c>
      <c r="F1593" s="101" t="n">
        <v>0</v>
      </c>
      <c r="G1593" s="102" t="n">
        <f aca="false">IFERROR(F1593/INDEX($G$5:$G$34,MATCH(LOOKUP(2,1/($A$39:A1593&lt;&gt;""),$A$39:A1593),$A$5:$A$34,0)),0)</f>
        <v>0</v>
      </c>
      <c r="H1593" s="103" t="str">
        <f aca="false">IF(G1593=0,"空闲",IF(G1593&lt;=0.6,"低负荷",IF(G1593&lt;=0.85,"正常",IF(G1593&lt;=1,"满负荷","超负荷"))))</f>
        <v>空闲</v>
      </c>
      <c r="I1593" s="104" t="s">
        <v>638</v>
      </c>
      <c r="J1593" s="104"/>
      <c r="K1593" s="104"/>
      <c r="L1593" s="105" t="s">
        <v>639</v>
      </c>
    </row>
    <row r="1594" customFormat="false" ht="48" hidden="false" customHeight="true" outlineLevel="0" collapsed="false">
      <c r="A1594" s="99"/>
      <c r="B1594" s="100" t="n">
        <v>46496</v>
      </c>
      <c r="C1594" s="100" t="n">
        <v>46502</v>
      </c>
      <c r="D1594" s="99" t="s">
        <v>638</v>
      </c>
      <c r="E1594" s="99" t="n">
        <v>0</v>
      </c>
      <c r="F1594" s="101" t="n">
        <v>0</v>
      </c>
      <c r="G1594" s="102" t="n">
        <f aca="false">IFERROR(F1594/INDEX($G$5:$G$34,MATCH(LOOKUP(2,1/($A$39:A1594&lt;&gt;""),$A$39:A1594),$A$5:$A$34,0)),0)</f>
        <v>0</v>
      </c>
      <c r="H1594" s="103" t="str">
        <f aca="false">IF(G1594=0,"空闲",IF(G1594&lt;=0.6,"低负荷",IF(G1594&lt;=0.85,"正常",IF(G1594&lt;=1,"满负荷","超负荷"))))</f>
        <v>空闲</v>
      </c>
      <c r="I1594" s="104" t="s">
        <v>638</v>
      </c>
      <c r="J1594" s="104"/>
      <c r="K1594" s="104"/>
      <c r="L1594" s="105" t="s">
        <v>639</v>
      </c>
    </row>
    <row r="1595" customFormat="false" ht="48" hidden="false" customHeight="true" outlineLevel="0" collapsed="false">
      <c r="A1595" s="99"/>
      <c r="B1595" s="100" t="n">
        <v>46503</v>
      </c>
      <c r="C1595" s="100" t="n">
        <v>46509</v>
      </c>
      <c r="D1595" s="99" t="s">
        <v>638</v>
      </c>
      <c r="E1595" s="99" t="n">
        <v>0</v>
      </c>
      <c r="F1595" s="101" t="n">
        <v>0</v>
      </c>
      <c r="G1595" s="102" t="n">
        <f aca="false">IFERROR(F1595/INDEX($G$5:$G$34,MATCH(LOOKUP(2,1/($A$39:A1595&lt;&gt;""),$A$39:A1595),$A$5:$A$34,0)),0)</f>
        <v>0</v>
      </c>
      <c r="H1595" s="103" t="str">
        <f aca="false">IF(G1595=0,"空闲",IF(G1595&lt;=0.6,"低负荷",IF(G1595&lt;=0.85,"正常",IF(G1595&lt;=1,"满负荷","超负荷"))))</f>
        <v>空闲</v>
      </c>
      <c r="I1595" s="104" t="s">
        <v>638</v>
      </c>
      <c r="J1595" s="104"/>
      <c r="K1595" s="104"/>
      <c r="L1595" s="105" t="s">
        <v>639</v>
      </c>
    </row>
    <row r="1596" customFormat="false" ht="48" hidden="false" customHeight="true" outlineLevel="0" collapsed="false">
      <c r="A1596" s="99"/>
      <c r="B1596" s="100" t="n">
        <v>46510</v>
      </c>
      <c r="C1596" s="100" t="n">
        <v>46516</v>
      </c>
      <c r="D1596" s="99" t="s">
        <v>638</v>
      </c>
      <c r="E1596" s="99" t="n">
        <v>0</v>
      </c>
      <c r="F1596" s="101" t="n">
        <v>0</v>
      </c>
      <c r="G1596" s="102" t="n">
        <f aca="false">IFERROR(F1596/INDEX($G$5:$G$34,MATCH(LOOKUP(2,1/($A$39:A1596&lt;&gt;""),$A$39:A1596),$A$5:$A$34,0)),0)</f>
        <v>0</v>
      </c>
      <c r="H1596" s="103" t="str">
        <f aca="false">IF(G1596=0,"空闲",IF(G1596&lt;=0.6,"低负荷",IF(G1596&lt;=0.85,"正常",IF(G1596&lt;=1,"满负荷","超负荷"))))</f>
        <v>空闲</v>
      </c>
      <c r="I1596" s="104" t="s">
        <v>638</v>
      </c>
      <c r="J1596" s="104"/>
      <c r="K1596" s="104"/>
      <c r="L1596" s="105" t="s">
        <v>639</v>
      </c>
    </row>
    <row r="1597" customFormat="false" ht="48" hidden="false" customHeight="true" outlineLevel="0" collapsed="false">
      <c r="A1597" s="99"/>
      <c r="B1597" s="100" t="n">
        <v>46517</v>
      </c>
      <c r="C1597" s="100" t="n">
        <v>46523</v>
      </c>
      <c r="D1597" s="99" t="s">
        <v>638</v>
      </c>
      <c r="E1597" s="99" t="n">
        <v>0</v>
      </c>
      <c r="F1597" s="101" t="n">
        <v>0</v>
      </c>
      <c r="G1597" s="102" t="n">
        <f aca="false">IFERROR(F1597/INDEX($G$5:$G$34,MATCH(LOOKUP(2,1/($A$39:A1597&lt;&gt;""),$A$39:A1597),$A$5:$A$34,0)),0)</f>
        <v>0</v>
      </c>
      <c r="H1597" s="103" t="str">
        <f aca="false">IF(G1597=0,"空闲",IF(G1597&lt;=0.6,"低负荷",IF(G1597&lt;=0.85,"正常",IF(G1597&lt;=1,"满负荷","超负荷"))))</f>
        <v>空闲</v>
      </c>
      <c r="I1597" s="104" t="s">
        <v>638</v>
      </c>
      <c r="J1597" s="104"/>
      <c r="K1597" s="104"/>
      <c r="L1597" s="105" t="s">
        <v>639</v>
      </c>
    </row>
    <row r="1598" customFormat="false" ht="48" hidden="false" customHeight="true" outlineLevel="0" collapsed="false">
      <c r="A1598" s="99"/>
      <c r="B1598" s="100" t="n">
        <v>46524</v>
      </c>
      <c r="C1598" s="100" t="n">
        <v>46530</v>
      </c>
      <c r="D1598" s="99" t="s">
        <v>638</v>
      </c>
      <c r="E1598" s="99" t="n">
        <v>0</v>
      </c>
      <c r="F1598" s="101" t="n">
        <v>0</v>
      </c>
      <c r="G1598" s="102" t="n">
        <f aca="false">IFERROR(F1598/INDEX($G$5:$G$34,MATCH(LOOKUP(2,1/($A$39:A1598&lt;&gt;""),$A$39:A1598),$A$5:$A$34,0)),0)</f>
        <v>0</v>
      </c>
      <c r="H1598" s="103" t="str">
        <f aca="false">IF(G1598=0,"空闲",IF(G1598&lt;=0.6,"低负荷",IF(G1598&lt;=0.85,"正常",IF(G1598&lt;=1,"满负荷","超负荷"))))</f>
        <v>空闲</v>
      </c>
      <c r="I1598" s="104" t="s">
        <v>638</v>
      </c>
      <c r="J1598" s="104"/>
      <c r="K1598" s="104"/>
      <c r="L1598" s="105" t="s">
        <v>639</v>
      </c>
    </row>
    <row r="1599" customFormat="false" ht="48" hidden="false" customHeight="true" outlineLevel="0" collapsed="false">
      <c r="A1599" s="99"/>
      <c r="B1599" s="100" t="n">
        <v>46531</v>
      </c>
      <c r="C1599" s="100" t="n">
        <v>46537</v>
      </c>
      <c r="D1599" s="99" t="s">
        <v>638</v>
      </c>
      <c r="E1599" s="99" t="n">
        <v>0</v>
      </c>
      <c r="F1599" s="101" t="n">
        <v>0</v>
      </c>
      <c r="G1599" s="102" t="n">
        <f aca="false">IFERROR(F1599/INDEX($G$5:$G$34,MATCH(LOOKUP(2,1/($A$39:A1599&lt;&gt;""),$A$39:A1599),$A$5:$A$34,0)),0)</f>
        <v>0</v>
      </c>
      <c r="H1599" s="103" t="str">
        <f aca="false">IF(G1599=0,"空闲",IF(G1599&lt;=0.6,"低负荷",IF(G1599&lt;=0.85,"正常",IF(G1599&lt;=1,"满负荷","超负荷"))))</f>
        <v>空闲</v>
      </c>
      <c r="I1599" s="104" t="s">
        <v>638</v>
      </c>
      <c r="J1599" s="104"/>
      <c r="K1599" s="104"/>
      <c r="L1599" s="105" t="s">
        <v>639</v>
      </c>
    </row>
    <row r="1600" customFormat="false" ht="48" hidden="false" customHeight="true" outlineLevel="0" collapsed="false">
      <c r="A1600" s="99"/>
      <c r="B1600" s="100" t="n">
        <v>46538</v>
      </c>
      <c r="C1600" s="100" t="n">
        <v>46544</v>
      </c>
      <c r="D1600" s="99" t="s">
        <v>638</v>
      </c>
      <c r="E1600" s="99" t="n">
        <v>0</v>
      </c>
      <c r="F1600" s="101" t="n">
        <v>0</v>
      </c>
      <c r="G1600" s="102" t="n">
        <f aca="false">IFERROR(F1600/INDEX($G$5:$G$34,MATCH(LOOKUP(2,1/($A$39:A1600&lt;&gt;""),$A$39:A1600),$A$5:$A$34,0)),0)</f>
        <v>0</v>
      </c>
      <c r="H1600" s="103" t="str">
        <f aca="false">IF(G1600=0,"空闲",IF(G1600&lt;=0.6,"低负荷",IF(G1600&lt;=0.85,"正常",IF(G1600&lt;=1,"满负荷","超负荷"))))</f>
        <v>空闲</v>
      </c>
      <c r="I1600" s="104" t="s">
        <v>638</v>
      </c>
      <c r="J1600" s="104"/>
      <c r="K1600" s="104"/>
      <c r="L1600" s="105" t="s">
        <v>639</v>
      </c>
    </row>
    <row r="1601" customFormat="false" ht="48" hidden="false" customHeight="true" outlineLevel="0" collapsed="false">
      <c r="A1601" s="99" t="s">
        <v>622</v>
      </c>
      <c r="B1601" s="100" t="n">
        <v>46048</v>
      </c>
      <c r="C1601" s="100" t="n">
        <v>46054</v>
      </c>
      <c r="D1601" s="99" t="s">
        <v>638</v>
      </c>
      <c r="E1601" s="99" t="n">
        <v>0</v>
      </c>
      <c r="F1601" s="101" t="n">
        <v>0</v>
      </c>
      <c r="G1601" s="102" t="n">
        <f aca="false">IFERROR(F1601/INDEX($G$5:$G$34,MATCH(LOOKUP(2,1/($A$39:A1601&lt;&gt;""),$A$39:A1601),$A$5:$A$34,0)),0)</f>
        <v>0</v>
      </c>
      <c r="H1601" s="103" t="str">
        <f aca="false">IF(G1601=0,"空闲",IF(G1601&lt;=0.6,"低负荷",IF(G1601&lt;=0.85,"正常",IF(G1601&lt;=1,"满负荷","超负荷"))))</f>
        <v>空闲</v>
      </c>
      <c r="I1601" s="104" t="s">
        <v>638</v>
      </c>
      <c r="J1601" s="104"/>
      <c r="K1601" s="104"/>
      <c r="L1601" s="105" t="s">
        <v>639</v>
      </c>
    </row>
    <row r="1602" customFormat="false" ht="48" hidden="false" customHeight="true" outlineLevel="0" collapsed="false">
      <c r="A1602" s="99"/>
      <c r="B1602" s="100" t="n">
        <v>46055</v>
      </c>
      <c r="C1602" s="100" t="n">
        <v>46061</v>
      </c>
      <c r="D1602" s="99" t="s">
        <v>638</v>
      </c>
      <c r="E1602" s="99" t="n">
        <v>0</v>
      </c>
      <c r="F1602" s="101" t="n">
        <v>0</v>
      </c>
      <c r="G1602" s="102" t="n">
        <f aca="false">IFERROR(F1602/INDEX($G$5:$G$34,MATCH(LOOKUP(2,1/($A$39:A1602&lt;&gt;""),$A$39:A1602),$A$5:$A$34,0)),0)</f>
        <v>0</v>
      </c>
      <c r="H1602" s="103" t="str">
        <f aca="false">IF(G1602=0,"空闲",IF(G1602&lt;=0.6,"低负荷",IF(G1602&lt;=0.85,"正常",IF(G1602&lt;=1,"满负荷","超负荷"))))</f>
        <v>空闲</v>
      </c>
      <c r="I1602" s="104" t="s">
        <v>638</v>
      </c>
      <c r="J1602" s="104"/>
      <c r="K1602" s="104"/>
      <c r="L1602" s="105" t="s">
        <v>639</v>
      </c>
    </row>
    <row r="1603" customFormat="false" ht="48" hidden="false" customHeight="true" outlineLevel="0" collapsed="false">
      <c r="A1603" s="99"/>
      <c r="B1603" s="100" t="n">
        <v>46062</v>
      </c>
      <c r="C1603" s="100" t="n">
        <v>46068</v>
      </c>
      <c r="D1603" s="99" t="s">
        <v>638</v>
      </c>
      <c r="E1603" s="99" t="n">
        <v>0</v>
      </c>
      <c r="F1603" s="101" t="n">
        <v>0</v>
      </c>
      <c r="G1603" s="102" t="n">
        <f aca="false">IFERROR(F1603/INDEX($G$5:$G$34,MATCH(LOOKUP(2,1/($A$39:A1603&lt;&gt;""),$A$39:A1603),$A$5:$A$34,0)),0)</f>
        <v>0</v>
      </c>
      <c r="H1603" s="103" t="str">
        <f aca="false">IF(G1603=0,"空闲",IF(G1603&lt;=0.6,"低负荷",IF(G1603&lt;=0.85,"正常",IF(G1603&lt;=1,"满负荷","超负荷"))))</f>
        <v>空闲</v>
      </c>
      <c r="I1603" s="104" t="s">
        <v>638</v>
      </c>
      <c r="J1603" s="104"/>
      <c r="K1603" s="104"/>
      <c r="L1603" s="105" t="s">
        <v>639</v>
      </c>
    </row>
    <row r="1604" customFormat="false" ht="48" hidden="false" customHeight="true" outlineLevel="0" collapsed="false">
      <c r="A1604" s="99"/>
      <c r="B1604" s="100" t="n">
        <v>46069</v>
      </c>
      <c r="C1604" s="100" t="n">
        <v>46075</v>
      </c>
      <c r="D1604" s="99" t="s">
        <v>638</v>
      </c>
      <c r="E1604" s="99" t="n">
        <v>0</v>
      </c>
      <c r="F1604" s="101" t="n">
        <v>0</v>
      </c>
      <c r="G1604" s="102" t="n">
        <f aca="false">IFERROR(F1604/INDEX($G$5:$G$34,MATCH(LOOKUP(2,1/($A$39:A1604&lt;&gt;""),$A$39:A1604),$A$5:$A$34,0)),0)</f>
        <v>0</v>
      </c>
      <c r="H1604" s="103" t="str">
        <f aca="false">IF(G1604=0,"空闲",IF(G1604&lt;=0.6,"低负荷",IF(G1604&lt;=0.85,"正常",IF(G1604&lt;=1,"满负荷","超负荷"))))</f>
        <v>空闲</v>
      </c>
      <c r="I1604" s="104" t="s">
        <v>638</v>
      </c>
      <c r="J1604" s="104"/>
      <c r="K1604" s="104"/>
      <c r="L1604" s="105" t="s">
        <v>639</v>
      </c>
    </row>
    <row r="1605" customFormat="false" ht="48" hidden="false" customHeight="true" outlineLevel="0" collapsed="false">
      <c r="A1605" s="99"/>
      <c r="B1605" s="100" t="n">
        <v>46076</v>
      </c>
      <c r="C1605" s="100" t="n">
        <v>46082</v>
      </c>
      <c r="D1605" s="99" t="s">
        <v>638</v>
      </c>
      <c r="E1605" s="99" t="n">
        <v>0</v>
      </c>
      <c r="F1605" s="101" t="n">
        <v>0</v>
      </c>
      <c r="G1605" s="102" t="n">
        <f aca="false">IFERROR(F1605/INDEX($G$5:$G$34,MATCH(LOOKUP(2,1/($A$39:A1605&lt;&gt;""),$A$39:A1605),$A$5:$A$34,0)),0)</f>
        <v>0</v>
      </c>
      <c r="H1605" s="103" t="str">
        <f aca="false">IF(G1605=0,"空闲",IF(G1605&lt;=0.6,"低负荷",IF(G1605&lt;=0.85,"正常",IF(G1605&lt;=1,"满负荷","超负荷"))))</f>
        <v>空闲</v>
      </c>
      <c r="I1605" s="104" t="s">
        <v>638</v>
      </c>
      <c r="J1605" s="104"/>
      <c r="K1605" s="104"/>
      <c r="L1605" s="105" t="s">
        <v>639</v>
      </c>
    </row>
    <row r="1606" customFormat="false" ht="48" hidden="false" customHeight="true" outlineLevel="0" collapsed="false">
      <c r="A1606" s="99"/>
      <c r="B1606" s="100" t="n">
        <v>46083</v>
      </c>
      <c r="C1606" s="100" t="n">
        <v>46089</v>
      </c>
      <c r="D1606" s="99" t="s">
        <v>638</v>
      </c>
      <c r="E1606" s="99" t="n">
        <v>0</v>
      </c>
      <c r="F1606" s="101" t="n">
        <v>0</v>
      </c>
      <c r="G1606" s="102" t="n">
        <f aca="false">IFERROR(F1606/INDEX($G$5:$G$34,MATCH(LOOKUP(2,1/($A$39:A1606&lt;&gt;""),$A$39:A1606),$A$5:$A$34,0)),0)</f>
        <v>0</v>
      </c>
      <c r="H1606" s="103" t="str">
        <f aca="false">IF(G1606=0,"空闲",IF(G1606&lt;=0.6,"低负荷",IF(G1606&lt;=0.85,"正常",IF(G1606&lt;=1,"满负荷","超负荷"))))</f>
        <v>空闲</v>
      </c>
      <c r="I1606" s="104" t="s">
        <v>638</v>
      </c>
      <c r="J1606" s="104"/>
      <c r="K1606" s="104"/>
      <c r="L1606" s="105" t="s">
        <v>639</v>
      </c>
    </row>
    <row r="1607" customFormat="false" ht="48" hidden="false" customHeight="true" outlineLevel="0" collapsed="false">
      <c r="A1607" s="99"/>
      <c r="B1607" s="100" t="n">
        <v>46090</v>
      </c>
      <c r="C1607" s="100" t="n">
        <v>46096</v>
      </c>
      <c r="D1607" s="99" t="s">
        <v>638</v>
      </c>
      <c r="E1607" s="99" t="n">
        <v>0</v>
      </c>
      <c r="F1607" s="101" t="n">
        <v>0</v>
      </c>
      <c r="G1607" s="102" t="n">
        <f aca="false">IFERROR(F1607/INDEX($G$5:$G$34,MATCH(LOOKUP(2,1/($A$39:A1607&lt;&gt;""),$A$39:A1607),$A$5:$A$34,0)),0)</f>
        <v>0</v>
      </c>
      <c r="H1607" s="103" t="str">
        <f aca="false">IF(G1607=0,"空闲",IF(G1607&lt;=0.6,"低负荷",IF(G1607&lt;=0.85,"正常",IF(G1607&lt;=1,"满负荷","超负荷"))))</f>
        <v>空闲</v>
      </c>
      <c r="I1607" s="104" t="s">
        <v>638</v>
      </c>
      <c r="J1607" s="104"/>
      <c r="K1607" s="104"/>
      <c r="L1607" s="105" t="s">
        <v>639</v>
      </c>
    </row>
    <row r="1608" customFormat="false" ht="48" hidden="false" customHeight="true" outlineLevel="0" collapsed="false">
      <c r="A1608" s="99"/>
      <c r="B1608" s="100" t="n">
        <v>46097</v>
      </c>
      <c r="C1608" s="100" t="n">
        <v>46103</v>
      </c>
      <c r="D1608" s="99" t="s">
        <v>638</v>
      </c>
      <c r="E1608" s="99" t="n">
        <v>0</v>
      </c>
      <c r="F1608" s="101" t="n">
        <v>0</v>
      </c>
      <c r="G1608" s="102" t="n">
        <f aca="false">IFERROR(F1608/INDEX($G$5:$G$34,MATCH(LOOKUP(2,1/($A$39:A1608&lt;&gt;""),$A$39:A1608),$A$5:$A$34,0)),0)</f>
        <v>0</v>
      </c>
      <c r="H1608" s="103" t="str">
        <f aca="false">IF(G1608=0,"空闲",IF(G1608&lt;=0.6,"低负荷",IF(G1608&lt;=0.85,"正常",IF(G1608&lt;=1,"满负荷","超负荷"))))</f>
        <v>空闲</v>
      </c>
      <c r="I1608" s="104" t="s">
        <v>638</v>
      </c>
      <c r="J1608" s="104"/>
      <c r="K1608" s="104"/>
      <c r="L1608" s="105" t="s">
        <v>639</v>
      </c>
    </row>
    <row r="1609" customFormat="false" ht="48" hidden="false" customHeight="true" outlineLevel="0" collapsed="false">
      <c r="A1609" s="99"/>
      <c r="B1609" s="100" t="n">
        <v>46104</v>
      </c>
      <c r="C1609" s="100" t="n">
        <v>46110</v>
      </c>
      <c r="D1609" s="99" t="s">
        <v>638</v>
      </c>
      <c r="E1609" s="99" t="n">
        <v>0</v>
      </c>
      <c r="F1609" s="101" t="n">
        <v>0</v>
      </c>
      <c r="G1609" s="102" t="n">
        <f aca="false">IFERROR(F1609/INDEX($G$5:$G$34,MATCH(LOOKUP(2,1/($A$39:A1609&lt;&gt;""),$A$39:A1609),$A$5:$A$34,0)),0)</f>
        <v>0</v>
      </c>
      <c r="H1609" s="103" t="str">
        <f aca="false">IF(G1609=0,"空闲",IF(G1609&lt;=0.6,"低负荷",IF(G1609&lt;=0.85,"正常",IF(G1609&lt;=1,"满负荷","超负荷"))))</f>
        <v>空闲</v>
      </c>
      <c r="I1609" s="104" t="s">
        <v>638</v>
      </c>
      <c r="J1609" s="104"/>
      <c r="K1609" s="104"/>
      <c r="L1609" s="105" t="s">
        <v>639</v>
      </c>
    </row>
    <row r="1610" customFormat="false" ht="48" hidden="false" customHeight="true" outlineLevel="0" collapsed="false">
      <c r="A1610" s="99"/>
      <c r="B1610" s="100" t="n">
        <v>46111</v>
      </c>
      <c r="C1610" s="100" t="n">
        <v>46117</v>
      </c>
      <c r="D1610" s="99" t="s">
        <v>638</v>
      </c>
      <c r="E1610" s="99" t="n">
        <v>0</v>
      </c>
      <c r="F1610" s="101" t="n">
        <v>0</v>
      </c>
      <c r="G1610" s="102" t="n">
        <f aca="false">IFERROR(F1610/INDEX($G$5:$G$34,MATCH(LOOKUP(2,1/($A$39:A1610&lt;&gt;""),$A$39:A1610),$A$5:$A$34,0)),0)</f>
        <v>0</v>
      </c>
      <c r="H1610" s="103" t="str">
        <f aca="false">IF(G1610=0,"空闲",IF(G1610&lt;=0.6,"低负荷",IF(G1610&lt;=0.85,"正常",IF(G1610&lt;=1,"满负荷","超负荷"))))</f>
        <v>空闲</v>
      </c>
      <c r="I1610" s="104" t="s">
        <v>638</v>
      </c>
      <c r="J1610" s="104"/>
      <c r="K1610" s="104"/>
      <c r="L1610" s="105" t="s">
        <v>639</v>
      </c>
    </row>
    <row r="1611" customFormat="false" ht="48" hidden="false" customHeight="true" outlineLevel="0" collapsed="false">
      <c r="A1611" s="99"/>
      <c r="B1611" s="100" t="n">
        <v>46118</v>
      </c>
      <c r="C1611" s="100" t="n">
        <v>46124</v>
      </c>
      <c r="D1611" s="99" t="s">
        <v>638</v>
      </c>
      <c r="E1611" s="99" t="n">
        <v>0</v>
      </c>
      <c r="F1611" s="101" t="n">
        <v>0</v>
      </c>
      <c r="G1611" s="102" t="n">
        <f aca="false">IFERROR(F1611/INDEX($G$5:$G$34,MATCH(LOOKUP(2,1/($A$39:A1611&lt;&gt;""),$A$39:A1611),$A$5:$A$34,0)),0)</f>
        <v>0</v>
      </c>
      <c r="H1611" s="103" t="str">
        <f aca="false">IF(G1611=0,"空闲",IF(G1611&lt;=0.6,"低负荷",IF(G1611&lt;=0.85,"正常",IF(G1611&lt;=1,"满负荷","超负荷"))))</f>
        <v>空闲</v>
      </c>
      <c r="I1611" s="104" t="s">
        <v>638</v>
      </c>
      <c r="J1611" s="104"/>
      <c r="K1611" s="104"/>
      <c r="L1611" s="105" t="s">
        <v>639</v>
      </c>
    </row>
    <row r="1612" customFormat="false" ht="48" hidden="false" customHeight="true" outlineLevel="0" collapsed="false">
      <c r="A1612" s="99"/>
      <c r="B1612" s="100" t="n">
        <v>46125</v>
      </c>
      <c r="C1612" s="100" t="n">
        <v>46131</v>
      </c>
      <c r="D1612" s="99" t="s">
        <v>638</v>
      </c>
      <c r="E1612" s="99" t="n">
        <v>0</v>
      </c>
      <c r="F1612" s="101" t="n">
        <v>0</v>
      </c>
      <c r="G1612" s="102" t="n">
        <f aca="false">IFERROR(F1612/INDEX($G$5:$G$34,MATCH(LOOKUP(2,1/($A$39:A1612&lt;&gt;""),$A$39:A1612),$A$5:$A$34,0)),0)</f>
        <v>0</v>
      </c>
      <c r="H1612" s="103" t="str">
        <f aca="false">IF(G1612=0,"空闲",IF(G1612&lt;=0.6,"低负荷",IF(G1612&lt;=0.85,"正常",IF(G1612&lt;=1,"满负荷","超负荷"))))</f>
        <v>空闲</v>
      </c>
      <c r="I1612" s="104" t="s">
        <v>638</v>
      </c>
      <c r="J1612" s="104"/>
      <c r="K1612" s="104"/>
      <c r="L1612" s="105" t="s">
        <v>639</v>
      </c>
    </row>
    <row r="1613" customFormat="false" ht="48" hidden="false" customHeight="true" outlineLevel="0" collapsed="false">
      <c r="A1613" s="99"/>
      <c r="B1613" s="100" t="n">
        <v>46132</v>
      </c>
      <c r="C1613" s="100" t="n">
        <v>46138</v>
      </c>
      <c r="D1613" s="99" t="s">
        <v>638</v>
      </c>
      <c r="E1613" s="99" t="n">
        <v>0</v>
      </c>
      <c r="F1613" s="101" t="n">
        <v>0</v>
      </c>
      <c r="G1613" s="102" t="n">
        <f aca="false">IFERROR(F1613/INDEX($G$5:$G$34,MATCH(LOOKUP(2,1/($A$39:A1613&lt;&gt;""),$A$39:A1613),$A$5:$A$34,0)),0)</f>
        <v>0</v>
      </c>
      <c r="H1613" s="103" t="str">
        <f aca="false">IF(G1613=0,"空闲",IF(G1613&lt;=0.6,"低负荷",IF(G1613&lt;=0.85,"正常",IF(G1613&lt;=1,"满负荷","超负荷"))))</f>
        <v>空闲</v>
      </c>
      <c r="I1613" s="104" t="s">
        <v>638</v>
      </c>
      <c r="J1613" s="104"/>
      <c r="K1613" s="104"/>
      <c r="L1613" s="105" t="s">
        <v>639</v>
      </c>
    </row>
    <row r="1614" customFormat="false" ht="48" hidden="false" customHeight="true" outlineLevel="0" collapsed="false">
      <c r="A1614" s="99"/>
      <c r="B1614" s="100" t="n">
        <v>46139</v>
      </c>
      <c r="C1614" s="100" t="n">
        <v>46145</v>
      </c>
      <c r="D1614" s="99" t="s">
        <v>638</v>
      </c>
      <c r="E1614" s="99" t="n">
        <v>0</v>
      </c>
      <c r="F1614" s="101" t="n">
        <v>0</v>
      </c>
      <c r="G1614" s="102" t="n">
        <f aca="false">IFERROR(F1614/INDEX($G$5:$G$34,MATCH(LOOKUP(2,1/($A$39:A1614&lt;&gt;""),$A$39:A1614),$A$5:$A$34,0)),0)</f>
        <v>0</v>
      </c>
      <c r="H1614" s="103" t="str">
        <f aca="false">IF(G1614=0,"空闲",IF(G1614&lt;=0.6,"低负荷",IF(G1614&lt;=0.85,"正常",IF(G1614&lt;=1,"满负荷","超负荷"))))</f>
        <v>空闲</v>
      </c>
      <c r="I1614" s="104" t="s">
        <v>638</v>
      </c>
      <c r="J1614" s="104"/>
      <c r="K1614" s="104"/>
      <c r="L1614" s="105" t="s">
        <v>639</v>
      </c>
    </row>
    <row r="1615" customFormat="false" ht="48" hidden="false" customHeight="true" outlineLevel="0" collapsed="false">
      <c r="A1615" s="99"/>
      <c r="B1615" s="100" t="n">
        <v>46146</v>
      </c>
      <c r="C1615" s="100" t="n">
        <v>46152</v>
      </c>
      <c r="D1615" s="99" t="s">
        <v>638</v>
      </c>
      <c r="E1615" s="99" t="n">
        <v>0</v>
      </c>
      <c r="F1615" s="101" t="n">
        <v>0</v>
      </c>
      <c r="G1615" s="102" t="n">
        <f aca="false">IFERROR(F1615/INDEX($G$5:$G$34,MATCH(LOOKUP(2,1/($A$39:A1615&lt;&gt;""),$A$39:A1615),$A$5:$A$34,0)),0)</f>
        <v>0</v>
      </c>
      <c r="H1615" s="103" t="str">
        <f aca="false">IF(G1615=0,"空闲",IF(G1615&lt;=0.6,"低负荷",IF(G1615&lt;=0.85,"正常",IF(G1615&lt;=1,"满负荷","超负荷"))))</f>
        <v>空闲</v>
      </c>
      <c r="I1615" s="104" t="s">
        <v>638</v>
      </c>
      <c r="J1615" s="104"/>
      <c r="K1615" s="104"/>
      <c r="L1615" s="105" t="s">
        <v>639</v>
      </c>
    </row>
    <row r="1616" customFormat="false" ht="48" hidden="false" customHeight="true" outlineLevel="0" collapsed="false">
      <c r="A1616" s="99"/>
      <c r="B1616" s="100" t="n">
        <v>46153</v>
      </c>
      <c r="C1616" s="100" t="n">
        <v>46159</v>
      </c>
      <c r="D1616" s="99" t="s">
        <v>638</v>
      </c>
      <c r="E1616" s="99" t="n">
        <v>0</v>
      </c>
      <c r="F1616" s="101" t="n">
        <v>0</v>
      </c>
      <c r="G1616" s="102" t="n">
        <f aca="false">IFERROR(F1616/INDEX($G$5:$G$34,MATCH(LOOKUP(2,1/($A$39:A1616&lt;&gt;""),$A$39:A1616),$A$5:$A$34,0)),0)</f>
        <v>0</v>
      </c>
      <c r="H1616" s="103" t="str">
        <f aca="false">IF(G1616=0,"空闲",IF(G1616&lt;=0.6,"低负荷",IF(G1616&lt;=0.85,"正常",IF(G1616&lt;=1,"满负荷","超负荷"))))</f>
        <v>空闲</v>
      </c>
      <c r="I1616" s="104" t="s">
        <v>638</v>
      </c>
      <c r="J1616" s="104"/>
      <c r="K1616" s="104"/>
      <c r="L1616" s="105" t="s">
        <v>639</v>
      </c>
    </row>
    <row r="1617" customFormat="false" ht="48" hidden="false" customHeight="true" outlineLevel="0" collapsed="false">
      <c r="A1617" s="99"/>
      <c r="B1617" s="100" t="n">
        <v>46160</v>
      </c>
      <c r="C1617" s="100" t="n">
        <v>46166</v>
      </c>
      <c r="D1617" s="99" t="s">
        <v>638</v>
      </c>
      <c r="E1617" s="99" t="n">
        <v>0</v>
      </c>
      <c r="F1617" s="101" t="n">
        <v>0</v>
      </c>
      <c r="G1617" s="102" t="n">
        <f aca="false">IFERROR(F1617/INDEX($G$5:$G$34,MATCH(LOOKUP(2,1/($A$39:A1617&lt;&gt;""),$A$39:A1617),$A$5:$A$34,0)),0)</f>
        <v>0</v>
      </c>
      <c r="H1617" s="103" t="str">
        <f aca="false">IF(G1617=0,"空闲",IF(G1617&lt;=0.6,"低负荷",IF(G1617&lt;=0.85,"正常",IF(G1617&lt;=1,"满负荷","超负荷"))))</f>
        <v>空闲</v>
      </c>
      <c r="I1617" s="104" t="s">
        <v>638</v>
      </c>
      <c r="J1617" s="104"/>
      <c r="K1617" s="104"/>
      <c r="L1617" s="105" t="s">
        <v>639</v>
      </c>
    </row>
    <row r="1618" customFormat="false" ht="48" hidden="false" customHeight="true" outlineLevel="0" collapsed="false">
      <c r="A1618" s="99"/>
      <c r="B1618" s="100" t="n">
        <v>46167</v>
      </c>
      <c r="C1618" s="100" t="n">
        <v>46173</v>
      </c>
      <c r="D1618" s="99" t="s">
        <v>638</v>
      </c>
      <c r="E1618" s="99" t="n">
        <v>0</v>
      </c>
      <c r="F1618" s="101" t="n">
        <v>0</v>
      </c>
      <c r="G1618" s="102" t="n">
        <f aca="false">IFERROR(F1618/INDEX($G$5:$G$34,MATCH(LOOKUP(2,1/($A$39:A1618&lt;&gt;""),$A$39:A1618),$A$5:$A$34,0)),0)</f>
        <v>0</v>
      </c>
      <c r="H1618" s="103" t="str">
        <f aca="false">IF(G1618=0,"空闲",IF(G1618&lt;=0.6,"低负荷",IF(G1618&lt;=0.85,"正常",IF(G1618&lt;=1,"满负荷","超负荷"))))</f>
        <v>空闲</v>
      </c>
      <c r="I1618" s="104" t="s">
        <v>638</v>
      </c>
      <c r="J1618" s="104"/>
      <c r="K1618" s="104"/>
      <c r="L1618" s="105" t="s">
        <v>639</v>
      </c>
    </row>
    <row r="1619" customFormat="false" ht="48" hidden="false" customHeight="true" outlineLevel="0" collapsed="false">
      <c r="A1619" s="99"/>
      <c r="B1619" s="100" t="n">
        <v>46174</v>
      </c>
      <c r="C1619" s="100" t="n">
        <v>46180</v>
      </c>
      <c r="D1619" s="99" t="s">
        <v>638</v>
      </c>
      <c r="E1619" s="99" t="n">
        <v>0</v>
      </c>
      <c r="F1619" s="101" t="n">
        <v>0</v>
      </c>
      <c r="G1619" s="102" t="n">
        <f aca="false">IFERROR(F1619/INDEX($G$5:$G$34,MATCH(LOOKUP(2,1/($A$39:A1619&lt;&gt;""),$A$39:A1619),$A$5:$A$34,0)),0)</f>
        <v>0</v>
      </c>
      <c r="H1619" s="103" t="str">
        <f aca="false">IF(G1619=0,"空闲",IF(G1619&lt;=0.6,"低负荷",IF(G1619&lt;=0.85,"正常",IF(G1619&lt;=1,"满负荷","超负荷"))))</f>
        <v>空闲</v>
      </c>
      <c r="I1619" s="104" t="s">
        <v>638</v>
      </c>
      <c r="J1619" s="104"/>
      <c r="K1619" s="104"/>
      <c r="L1619" s="105" t="s">
        <v>639</v>
      </c>
    </row>
    <row r="1620" customFormat="false" ht="48" hidden="false" customHeight="true" outlineLevel="0" collapsed="false">
      <c r="A1620" s="99"/>
      <c r="B1620" s="100" t="n">
        <v>46181</v>
      </c>
      <c r="C1620" s="100" t="n">
        <v>46187</v>
      </c>
      <c r="D1620" s="99" t="s">
        <v>638</v>
      </c>
      <c r="E1620" s="99" t="n">
        <v>0</v>
      </c>
      <c r="F1620" s="101" t="n">
        <v>0</v>
      </c>
      <c r="G1620" s="102" t="n">
        <f aca="false">IFERROR(F1620/INDEX($G$5:$G$34,MATCH(LOOKUP(2,1/($A$39:A1620&lt;&gt;""),$A$39:A1620),$A$5:$A$34,0)),0)</f>
        <v>0</v>
      </c>
      <c r="H1620" s="103" t="str">
        <f aca="false">IF(G1620=0,"空闲",IF(G1620&lt;=0.6,"低负荷",IF(G1620&lt;=0.85,"正常",IF(G1620&lt;=1,"满负荷","超负荷"))))</f>
        <v>空闲</v>
      </c>
      <c r="I1620" s="104" t="s">
        <v>638</v>
      </c>
      <c r="J1620" s="104"/>
      <c r="K1620" s="104"/>
      <c r="L1620" s="105" t="s">
        <v>639</v>
      </c>
    </row>
    <row r="1621" customFormat="false" ht="48" hidden="false" customHeight="true" outlineLevel="0" collapsed="false">
      <c r="A1621" s="99"/>
      <c r="B1621" s="100" t="n">
        <v>46188</v>
      </c>
      <c r="C1621" s="100" t="n">
        <v>46194</v>
      </c>
      <c r="D1621" s="99" t="s">
        <v>638</v>
      </c>
      <c r="E1621" s="99" t="n">
        <v>0</v>
      </c>
      <c r="F1621" s="101" t="n">
        <v>0</v>
      </c>
      <c r="G1621" s="102" t="n">
        <f aca="false">IFERROR(F1621/INDEX($G$5:$G$34,MATCH(LOOKUP(2,1/($A$39:A1621&lt;&gt;""),$A$39:A1621),$A$5:$A$34,0)),0)</f>
        <v>0</v>
      </c>
      <c r="H1621" s="103" t="str">
        <f aca="false">IF(G1621=0,"空闲",IF(G1621&lt;=0.6,"低负荷",IF(G1621&lt;=0.85,"正常",IF(G1621&lt;=1,"满负荷","超负荷"))))</f>
        <v>空闲</v>
      </c>
      <c r="I1621" s="104" t="s">
        <v>638</v>
      </c>
      <c r="J1621" s="104"/>
      <c r="K1621" s="104"/>
      <c r="L1621" s="105" t="s">
        <v>639</v>
      </c>
    </row>
    <row r="1622" customFormat="false" ht="48" hidden="false" customHeight="true" outlineLevel="0" collapsed="false">
      <c r="A1622" s="99"/>
      <c r="B1622" s="100" t="n">
        <v>46195</v>
      </c>
      <c r="C1622" s="100" t="n">
        <v>46201</v>
      </c>
      <c r="D1622" s="99" t="s">
        <v>638</v>
      </c>
      <c r="E1622" s="99" t="n">
        <v>0</v>
      </c>
      <c r="F1622" s="101" t="n">
        <v>0</v>
      </c>
      <c r="G1622" s="102" t="n">
        <f aca="false">IFERROR(F1622/INDEX($G$5:$G$34,MATCH(LOOKUP(2,1/($A$39:A1622&lt;&gt;""),$A$39:A1622),$A$5:$A$34,0)),0)</f>
        <v>0</v>
      </c>
      <c r="H1622" s="103" t="str">
        <f aca="false">IF(G1622=0,"空闲",IF(G1622&lt;=0.6,"低负荷",IF(G1622&lt;=0.85,"正常",IF(G1622&lt;=1,"满负荷","超负荷"))))</f>
        <v>空闲</v>
      </c>
      <c r="I1622" s="104" t="s">
        <v>638</v>
      </c>
      <c r="J1622" s="104"/>
      <c r="K1622" s="104"/>
      <c r="L1622" s="105" t="s">
        <v>639</v>
      </c>
    </row>
    <row r="1623" customFormat="false" ht="48" hidden="false" customHeight="true" outlineLevel="0" collapsed="false">
      <c r="A1623" s="99"/>
      <c r="B1623" s="100" t="n">
        <v>46202</v>
      </c>
      <c r="C1623" s="100" t="n">
        <v>46208</v>
      </c>
      <c r="D1623" s="99" t="s">
        <v>638</v>
      </c>
      <c r="E1623" s="99" t="n">
        <v>0</v>
      </c>
      <c r="F1623" s="101" t="n">
        <v>0</v>
      </c>
      <c r="G1623" s="102" t="n">
        <f aca="false">IFERROR(F1623/INDEX($G$5:$G$34,MATCH(LOOKUP(2,1/($A$39:A1623&lt;&gt;""),$A$39:A1623),$A$5:$A$34,0)),0)</f>
        <v>0</v>
      </c>
      <c r="H1623" s="103" t="str">
        <f aca="false">IF(G1623=0,"空闲",IF(G1623&lt;=0.6,"低负荷",IF(G1623&lt;=0.85,"正常",IF(G1623&lt;=1,"满负荷","超负荷"))))</f>
        <v>空闲</v>
      </c>
      <c r="I1623" s="104" t="s">
        <v>638</v>
      </c>
      <c r="J1623" s="104"/>
      <c r="K1623" s="104"/>
      <c r="L1623" s="105" t="s">
        <v>639</v>
      </c>
    </row>
    <row r="1624" customFormat="false" ht="48" hidden="false" customHeight="true" outlineLevel="0" collapsed="false">
      <c r="A1624" s="99"/>
      <c r="B1624" s="100" t="n">
        <v>46209</v>
      </c>
      <c r="C1624" s="100" t="n">
        <v>46215</v>
      </c>
      <c r="D1624" s="99" t="s">
        <v>638</v>
      </c>
      <c r="E1624" s="99" t="n">
        <v>0</v>
      </c>
      <c r="F1624" s="101" t="n">
        <v>0</v>
      </c>
      <c r="G1624" s="102" t="n">
        <f aca="false">IFERROR(F1624/INDEX($G$5:$G$34,MATCH(LOOKUP(2,1/($A$39:A1624&lt;&gt;""),$A$39:A1624),$A$5:$A$34,0)),0)</f>
        <v>0</v>
      </c>
      <c r="H1624" s="103" t="str">
        <f aca="false">IF(G1624=0,"空闲",IF(G1624&lt;=0.6,"低负荷",IF(G1624&lt;=0.85,"正常",IF(G1624&lt;=1,"满负荷","超负荷"))))</f>
        <v>空闲</v>
      </c>
      <c r="I1624" s="104" t="s">
        <v>638</v>
      </c>
      <c r="J1624" s="104"/>
      <c r="K1624" s="104"/>
      <c r="L1624" s="105" t="s">
        <v>639</v>
      </c>
    </row>
    <row r="1625" customFormat="false" ht="48" hidden="false" customHeight="true" outlineLevel="0" collapsed="false">
      <c r="A1625" s="99"/>
      <c r="B1625" s="100" t="n">
        <v>46216</v>
      </c>
      <c r="C1625" s="100" t="n">
        <v>46222</v>
      </c>
      <c r="D1625" s="99" t="s">
        <v>638</v>
      </c>
      <c r="E1625" s="99" t="n">
        <v>0</v>
      </c>
      <c r="F1625" s="101" t="n">
        <v>0</v>
      </c>
      <c r="G1625" s="102" t="n">
        <f aca="false">IFERROR(F1625/INDEX($G$5:$G$34,MATCH(LOOKUP(2,1/($A$39:A1625&lt;&gt;""),$A$39:A1625),$A$5:$A$34,0)),0)</f>
        <v>0</v>
      </c>
      <c r="H1625" s="103" t="str">
        <f aca="false">IF(G1625=0,"空闲",IF(G1625&lt;=0.6,"低负荷",IF(G1625&lt;=0.85,"正常",IF(G1625&lt;=1,"满负荷","超负荷"))))</f>
        <v>空闲</v>
      </c>
      <c r="I1625" s="104" t="s">
        <v>638</v>
      </c>
      <c r="J1625" s="104"/>
      <c r="K1625" s="104"/>
      <c r="L1625" s="105" t="s">
        <v>639</v>
      </c>
    </row>
    <row r="1626" customFormat="false" ht="48" hidden="false" customHeight="true" outlineLevel="0" collapsed="false">
      <c r="A1626" s="99"/>
      <c r="B1626" s="100" t="n">
        <v>46223</v>
      </c>
      <c r="C1626" s="100" t="n">
        <v>46229</v>
      </c>
      <c r="D1626" s="99" t="s">
        <v>638</v>
      </c>
      <c r="E1626" s="99" t="n">
        <v>0</v>
      </c>
      <c r="F1626" s="101" t="n">
        <v>0</v>
      </c>
      <c r="G1626" s="102" t="n">
        <f aca="false">IFERROR(F1626/INDEX($G$5:$G$34,MATCH(LOOKUP(2,1/($A$39:A1626&lt;&gt;""),$A$39:A1626),$A$5:$A$34,0)),0)</f>
        <v>0</v>
      </c>
      <c r="H1626" s="103" t="str">
        <f aca="false">IF(G1626=0,"空闲",IF(G1626&lt;=0.6,"低负荷",IF(G1626&lt;=0.85,"正常",IF(G1626&lt;=1,"满负荷","超负荷"))))</f>
        <v>空闲</v>
      </c>
      <c r="I1626" s="104" t="s">
        <v>638</v>
      </c>
      <c r="J1626" s="104"/>
      <c r="K1626" s="104"/>
      <c r="L1626" s="105" t="s">
        <v>639</v>
      </c>
    </row>
    <row r="1627" customFormat="false" ht="48" hidden="false" customHeight="true" outlineLevel="0" collapsed="false">
      <c r="A1627" s="99"/>
      <c r="B1627" s="100" t="n">
        <v>46230</v>
      </c>
      <c r="C1627" s="100" t="n">
        <v>46236</v>
      </c>
      <c r="D1627" s="99" t="s">
        <v>638</v>
      </c>
      <c r="E1627" s="99" t="n">
        <v>0</v>
      </c>
      <c r="F1627" s="101" t="n">
        <v>0</v>
      </c>
      <c r="G1627" s="102" t="n">
        <f aca="false">IFERROR(F1627/INDEX($G$5:$G$34,MATCH(LOOKUP(2,1/($A$39:A1627&lt;&gt;""),$A$39:A1627),$A$5:$A$34,0)),0)</f>
        <v>0</v>
      </c>
      <c r="H1627" s="103" t="str">
        <f aca="false">IF(G1627=0,"空闲",IF(G1627&lt;=0.6,"低负荷",IF(G1627&lt;=0.85,"正常",IF(G1627&lt;=1,"满负荷","超负荷"))))</f>
        <v>空闲</v>
      </c>
      <c r="I1627" s="104" t="s">
        <v>638</v>
      </c>
      <c r="J1627" s="104"/>
      <c r="K1627" s="104"/>
      <c r="L1627" s="105" t="s">
        <v>639</v>
      </c>
    </row>
    <row r="1628" customFormat="false" ht="48" hidden="false" customHeight="true" outlineLevel="0" collapsed="false">
      <c r="A1628" s="99"/>
      <c r="B1628" s="100" t="n">
        <v>46237</v>
      </c>
      <c r="C1628" s="100" t="n">
        <v>46243</v>
      </c>
      <c r="D1628" s="99" t="s">
        <v>638</v>
      </c>
      <c r="E1628" s="99" t="n">
        <v>0</v>
      </c>
      <c r="F1628" s="101" t="n">
        <v>0</v>
      </c>
      <c r="G1628" s="102" t="n">
        <f aca="false">IFERROR(F1628/INDEX($G$5:$G$34,MATCH(LOOKUP(2,1/($A$39:A1628&lt;&gt;""),$A$39:A1628),$A$5:$A$34,0)),0)</f>
        <v>0</v>
      </c>
      <c r="H1628" s="103" t="str">
        <f aca="false">IF(G1628=0,"空闲",IF(G1628&lt;=0.6,"低负荷",IF(G1628&lt;=0.85,"正常",IF(G1628&lt;=1,"满负荷","超负荷"))))</f>
        <v>空闲</v>
      </c>
      <c r="I1628" s="104" t="s">
        <v>638</v>
      </c>
      <c r="J1628" s="104"/>
      <c r="K1628" s="104"/>
      <c r="L1628" s="105" t="s">
        <v>639</v>
      </c>
    </row>
    <row r="1629" customFormat="false" ht="48" hidden="false" customHeight="true" outlineLevel="0" collapsed="false">
      <c r="A1629" s="99"/>
      <c r="B1629" s="100" t="n">
        <v>46244</v>
      </c>
      <c r="C1629" s="100" t="n">
        <v>46250</v>
      </c>
      <c r="D1629" s="99" t="s">
        <v>638</v>
      </c>
      <c r="E1629" s="99" t="n">
        <v>0</v>
      </c>
      <c r="F1629" s="101" t="n">
        <v>0</v>
      </c>
      <c r="G1629" s="102" t="n">
        <f aca="false">IFERROR(F1629/INDEX($G$5:$G$34,MATCH(LOOKUP(2,1/($A$39:A1629&lt;&gt;""),$A$39:A1629),$A$5:$A$34,0)),0)</f>
        <v>0</v>
      </c>
      <c r="H1629" s="103" t="str">
        <f aca="false">IF(G1629=0,"空闲",IF(G1629&lt;=0.6,"低负荷",IF(G1629&lt;=0.85,"正常",IF(G1629&lt;=1,"满负荷","超负荷"))))</f>
        <v>空闲</v>
      </c>
      <c r="I1629" s="104" t="s">
        <v>638</v>
      </c>
      <c r="J1629" s="104"/>
      <c r="K1629" s="104"/>
      <c r="L1629" s="105" t="s">
        <v>639</v>
      </c>
    </row>
    <row r="1630" customFormat="false" ht="48" hidden="false" customHeight="true" outlineLevel="0" collapsed="false">
      <c r="A1630" s="99"/>
      <c r="B1630" s="100" t="n">
        <v>46251</v>
      </c>
      <c r="C1630" s="100" t="n">
        <v>46257</v>
      </c>
      <c r="D1630" s="99" t="s">
        <v>638</v>
      </c>
      <c r="E1630" s="99" t="n">
        <v>0</v>
      </c>
      <c r="F1630" s="101" t="n">
        <v>0</v>
      </c>
      <c r="G1630" s="102" t="n">
        <f aca="false">IFERROR(F1630/INDEX($G$5:$G$34,MATCH(LOOKUP(2,1/($A$39:A1630&lt;&gt;""),$A$39:A1630),$A$5:$A$34,0)),0)</f>
        <v>0</v>
      </c>
      <c r="H1630" s="103" t="str">
        <f aca="false">IF(G1630=0,"空闲",IF(G1630&lt;=0.6,"低负荷",IF(G1630&lt;=0.85,"正常",IF(G1630&lt;=1,"满负荷","超负荷"))))</f>
        <v>空闲</v>
      </c>
      <c r="I1630" s="104" t="s">
        <v>638</v>
      </c>
      <c r="J1630" s="104"/>
      <c r="K1630" s="104"/>
      <c r="L1630" s="105" t="s">
        <v>639</v>
      </c>
    </row>
    <row r="1631" customFormat="false" ht="48" hidden="false" customHeight="true" outlineLevel="0" collapsed="false">
      <c r="A1631" s="99"/>
      <c r="B1631" s="100" t="n">
        <v>46258</v>
      </c>
      <c r="C1631" s="100" t="n">
        <v>46264</v>
      </c>
      <c r="D1631" s="99" t="s">
        <v>638</v>
      </c>
      <c r="E1631" s="99" t="n">
        <v>0</v>
      </c>
      <c r="F1631" s="101" t="n">
        <v>0</v>
      </c>
      <c r="G1631" s="102" t="n">
        <f aca="false">IFERROR(F1631/INDEX($G$5:$G$34,MATCH(LOOKUP(2,1/($A$39:A1631&lt;&gt;""),$A$39:A1631),$A$5:$A$34,0)),0)</f>
        <v>0</v>
      </c>
      <c r="H1631" s="103" t="str">
        <f aca="false">IF(G1631=0,"空闲",IF(G1631&lt;=0.6,"低负荷",IF(G1631&lt;=0.85,"正常",IF(G1631&lt;=1,"满负荷","超负荷"))))</f>
        <v>空闲</v>
      </c>
      <c r="I1631" s="104" t="s">
        <v>638</v>
      </c>
      <c r="J1631" s="104"/>
      <c r="K1631" s="104"/>
      <c r="L1631" s="105" t="s">
        <v>639</v>
      </c>
    </row>
    <row r="1632" customFormat="false" ht="48" hidden="false" customHeight="true" outlineLevel="0" collapsed="false">
      <c r="A1632" s="99"/>
      <c r="B1632" s="100" t="n">
        <v>46265</v>
      </c>
      <c r="C1632" s="100" t="n">
        <v>46271</v>
      </c>
      <c r="D1632" s="99" t="s">
        <v>638</v>
      </c>
      <c r="E1632" s="99" t="n">
        <v>0</v>
      </c>
      <c r="F1632" s="101" t="n">
        <v>0</v>
      </c>
      <c r="G1632" s="102" t="n">
        <f aca="false">IFERROR(F1632/INDEX($G$5:$G$34,MATCH(LOOKUP(2,1/($A$39:A1632&lt;&gt;""),$A$39:A1632),$A$5:$A$34,0)),0)</f>
        <v>0</v>
      </c>
      <c r="H1632" s="103" t="str">
        <f aca="false">IF(G1632=0,"空闲",IF(G1632&lt;=0.6,"低负荷",IF(G1632&lt;=0.85,"正常",IF(G1632&lt;=1,"满负荷","超负荷"))))</f>
        <v>空闲</v>
      </c>
      <c r="I1632" s="104" t="s">
        <v>638</v>
      </c>
      <c r="J1632" s="104"/>
      <c r="K1632" s="104"/>
      <c r="L1632" s="105" t="s">
        <v>639</v>
      </c>
    </row>
    <row r="1633" customFormat="false" ht="48" hidden="false" customHeight="true" outlineLevel="0" collapsed="false">
      <c r="A1633" s="99"/>
      <c r="B1633" s="100" t="n">
        <v>46272</v>
      </c>
      <c r="C1633" s="100" t="n">
        <v>46278</v>
      </c>
      <c r="D1633" s="99" t="s">
        <v>638</v>
      </c>
      <c r="E1633" s="99" t="n">
        <v>0</v>
      </c>
      <c r="F1633" s="101" t="n">
        <v>0</v>
      </c>
      <c r="G1633" s="102" t="n">
        <f aca="false">IFERROR(F1633/INDEX($G$5:$G$34,MATCH(LOOKUP(2,1/($A$39:A1633&lt;&gt;""),$A$39:A1633),$A$5:$A$34,0)),0)</f>
        <v>0</v>
      </c>
      <c r="H1633" s="103" t="str">
        <f aca="false">IF(G1633=0,"空闲",IF(G1633&lt;=0.6,"低负荷",IF(G1633&lt;=0.85,"正常",IF(G1633&lt;=1,"满负荷","超负荷"))))</f>
        <v>空闲</v>
      </c>
      <c r="I1633" s="104" t="s">
        <v>638</v>
      </c>
      <c r="J1633" s="104"/>
      <c r="K1633" s="104"/>
      <c r="L1633" s="105" t="s">
        <v>639</v>
      </c>
    </row>
    <row r="1634" customFormat="false" ht="48" hidden="false" customHeight="true" outlineLevel="0" collapsed="false">
      <c r="A1634" s="99"/>
      <c r="B1634" s="100" t="n">
        <v>46279</v>
      </c>
      <c r="C1634" s="100" t="n">
        <v>46285</v>
      </c>
      <c r="D1634" s="99" t="s">
        <v>638</v>
      </c>
      <c r="E1634" s="99" t="n">
        <v>0</v>
      </c>
      <c r="F1634" s="101" t="n">
        <v>0</v>
      </c>
      <c r="G1634" s="102" t="n">
        <f aca="false">IFERROR(F1634/INDEX($G$5:$G$34,MATCH(LOOKUP(2,1/($A$39:A1634&lt;&gt;""),$A$39:A1634),$A$5:$A$34,0)),0)</f>
        <v>0</v>
      </c>
      <c r="H1634" s="103" t="str">
        <f aca="false">IF(G1634=0,"空闲",IF(G1634&lt;=0.6,"低负荷",IF(G1634&lt;=0.85,"正常",IF(G1634&lt;=1,"满负荷","超负荷"))))</f>
        <v>空闲</v>
      </c>
      <c r="I1634" s="104" t="s">
        <v>638</v>
      </c>
      <c r="J1634" s="104"/>
      <c r="K1634" s="104"/>
      <c r="L1634" s="105" t="s">
        <v>639</v>
      </c>
    </row>
    <row r="1635" customFormat="false" ht="48" hidden="false" customHeight="true" outlineLevel="0" collapsed="false">
      <c r="A1635" s="99"/>
      <c r="B1635" s="100" t="n">
        <v>46286</v>
      </c>
      <c r="C1635" s="100" t="n">
        <v>46292</v>
      </c>
      <c r="D1635" s="99" t="s">
        <v>638</v>
      </c>
      <c r="E1635" s="99" t="n">
        <v>0</v>
      </c>
      <c r="F1635" s="101" t="n">
        <v>0</v>
      </c>
      <c r="G1635" s="102" t="n">
        <f aca="false">IFERROR(F1635/INDEX($G$5:$G$34,MATCH(LOOKUP(2,1/($A$39:A1635&lt;&gt;""),$A$39:A1635),$A$5:$A$34,0)),0)</f>
        <v>0</v>
      </c>
      <c r="H1635" s="103" t="str">
        <f aca="false">IF(G1635=0,"空闲",IF(G1635&lt;=0.6,"低负荷",IF(G1635&lt;=0.85,"正常",IF(G1635&lt;=1,"满负荷","超负荷"))))</f>
        <v>空闲</v>
      </c>
      <c r="I1635" s="104" t="s">
        <v>638</v>
      </c>
      <c r="J1635" s="104"/>
      <c r="K1635" s="104"/>
      <c r="L1635" s="105" t="s">
        <v>639</v>
      </c>
    </row>
    <row r="1636" customFormat="false" ht="48" hidden="false" customHeight="true" outlineLevel="0" collapsed="false">
      <c r="A1636" s="99"/>
      <c r="B1636" s="100" t="n">
        <v>46293</v>
      </c>
      <c r="C1636" s="100" t="n">
        <v>46299</v>
      </c>
      <c r="D1636" s="99" t="s">
        <v>638</v>
      </c>
      <c r="E1636" s="99" t="n">
        <v>0</v>
      </c>
      <c r="F1636" s="101" t="n">
        <v>0</v>
      </c>
      <c r="G1636" s="102" t="n">
        <f aca="false">IFERROR(F1636/INDEX($G$5:$G$34,MATCH(LOOKUP(2,1/($A$39:A1636&lt;&gt;""),$A$39:A1636),$A$5:$A$34,0)),0)</f>
        <v>0</v>
      </c>
      <c r="H1636" s="103" t="str">
        <f aca="false">IF(G1636=0,"空闲",IF(G1636&lt;=0.6,"低负荷",IF(G1636&lt;=0.85,"正常",IF(G1636&lt;=1,"满负荷","超负荷"))))</f>
        <v>空闲</v>
      </c>
      <c r="I1636" s="104" t="s">
        <v>638</v>
      </c>
      <c r="J1636" s="104"/>
      <c r="K1636" s="104"/>
      <c r="L1636" s="105" t="s">
        <v>639</v>
      </c>
    </row>
    <row r="1637" customFormat="false" ht="48" hidden="false" customHeight="true" outlineLevel="0" collapsed="false">
      <c r="A1637" s="99"/>
      <c r="B1637" s="100" t="n">
        <v>46300</v>
      </c>
      <c r="C1637" s="100" t="n">
        <v>46306</v>
      </c>
      <c r="D1637" s="99" t="s">
        <v>638</v>
      </c>
      <c r="E1637" s="99" t="n">
        <v>0</v>
      </c>
      <c r="F1637" s="101" t="n">
        <v>0</v>
      </c>
      <c r="G1637" s="102" t="n">
        <f aca="false">IFERROR(F1637/INDEX($G$5:$G$34,MATCH(LOOKUP(2,1/($A$39:A1637&lt;&gt;""),$A$39:A1637),$A$5:$A$34,0)),0)</f>
        <v>0</v>
      </c>
      <c r="H1637" s="103" t="str">
        <f aca="false">IF(G1637=0,"空闲",IF(G1637&lt;=0.6,"低负荷",IF(G1637&lt;=0.85,"正常",IF(G1637&lt;=1,"满负荷","超负荷"))))</f>
        <v>空闲</v>
      </c>
      <c r="I1637" s="104" t="s">
        <v>638</v>
      </c>
      <c r="J1637" s="104"/>
      <c r="K1637" s="104"/>
      <c r="L1637" s="105" t="s">
        <v>639</v>
      </c>
    </row>
    <row r="1638" customFormat="false" ht="48" hidden="false" customHeight="true" outlineLevel="0" collapsed="false">
      <c r="A1638" s="99"/>
      <c r="B1638" s="100" t="n">
        <v>46307</v>
      </c>
      <c r="C1638" s="100" t="n">
        <v>46313</v>
      </c>
      <c r="D1638" s="99" t="s">
        <v>638</v>
      </c>
      <c r="E1638" s="99" t="n">
        <v>0</v>
      </c>
      <c r="F1638" s="101" t="n">
        <v>0</v>
      </c>
      <c r="G1638" s="102" t="n">
        <f aca="false">IFERROR(F1638/INDEX($G$5:$G$34,MATCH(LOOKUP(2,1/($A$39:A1638&lt;&gt;""),$A$39:A1638),$A$5:$A$34,0)),0)</f>
        <v>0</v>
      </c>
      <c r="H1638" s="103" t="str">
        <f aca="false">IF(G1638=0,"空闲",IF(G1638&lt;=0.6,"低负荷",IF(G1638&lt;=0.85,"正常",IF(G1638&lt;=1,"满负荷","超负荷"))))</f>
        <v>空闲</v>
      </c>
      <c r="I1638" s="104" t="s">
        <v>638</v>
      </c>
      <c r="J1638" s="104"/>
      <c r="K1638" s="104"/>
      <c r="L1638" s="105" t="s">
        <v>639</v>
      </c>
    </row>
    <row r="1639" customFormat="false" ht="48" hidden="false" customHeight="true" outlineLevel="0" collapsed="false">
      <c r="A1639" s="99"/>
      <c r="B1639" s="100" t="n">
        <v>46314</v>
      </c>
      <c r="C1639" s="100" t="n">
        <v>46320</v>
      </c>
      <c r="D1639" s="99" t="s">
        <v>638</v>
      </c>
      <c r="E1639" s="99" t="n">
        <v>0</v>
      </c>
      <c r="F1639" s="101" t="n">
        <v>0</v>
      </c>
      <c r="G1639" s="102" t="n">
        <f aca="false">IFERROR(F1639/INDEX($G$5:$G$34,MATCH(LOOKUP(2,1/($A$39:A1639&lt;&gt;""),$A$39:A1639),$A$5:$A$34,0)),0)</f>
        <v>0</v>
      </c>
      <c r="H1639" s="103" t="str">
        <f aca="false">IF(G1639=0,"空闲",IF(G1639&lt;=0.6,"低负荷",IF(G1639&lt;=0.85,"正常",IF(G1639&lt;=1,"满负荷","超负荷"))))</f>
        <v>空闲</v>
      </c>
      <c r="I1639" s="104" t="s">
        <v>638</v>
      </c>
      <c r="J1639" s="104"/>
      <c r="K1639" s="104"/>
      <c r="L1639" s="105" t="s">
        <v>639</v>
      </c>
    </row>
    <row r="1640" customFormat="false" ht="48" hidden="false" customHeight="true" outlineLevel="0" collapsed="false">
      <c r="A1640" s="99"/>
      <c r="B1640" s="100" t="n">
        <v>46321</v>
      </c>
      <c r="C1640" s="100" t="n">
        <v>46327</v>
      </c>
      <c r="D1640" s="99" t="s">
        <v>638</v>
      </c>
      <c r="E1640" s="99" t="n">
        <v>0</v>
      </c>
      <c r="F1640" s="101" t="n">
        <v>0</v>
      </c>
      <c r="G1640" s="102" t="n">
        <f aca="false">IFERROR(F1640/INDEX($G$5:$G$34,MATCH(LOOKUP(2,1/($A$39:A1640&lt;&gt;""),$A$39:A1640),$A$5:$A$34,0)),0)</f>
        <v>0</v>
      </c>
      <c r="H1640" s="103" t="str">
        <f aca="false">IF(G1640=0,"空闲",IF(G1640&lt;=0.6,"低负荷",IF(G1640&lt;=0.85,"正常",IF(G1640&lt;=1,"满负荷","超负荷"))))</f>
        <v>空闲</v>
      </c>
      <c r="I1640" s="104" t="s">
        <v>638</v>
      </c>
      <c r="J1640" s="104"/>
      <c r="K1640" s="104"/>
      <c r="L1640" s="105" t="s">
        <v>639</v>
      </c>
    </row>
    <row r="1641" customFormat="false" ht="48" hidden="false" customHeight="true" outlineLevel="0" collapsed="false">
      <c r="A1641" s="99"/>
      <c r="B1641" s="100" t="n">
        <v>46328</v>
      </c>
      <c r="C1641" s="100" t="n">
        <v>46334</v>
      </c>
      <c r="D1641" s="99" t="s">
        <v>638</v>
      </c>
      <c r="E1641" s="99" t="n">
        <v>0</v>
      </c>
      <c r="F1641" s="101" t="n">
        <v>0</v>
      </c>
      <c r="G1641" s="102" t="n">
        <f aca="false">IFERROR(F1641/INDEX($G$5:$G$34,MATCH(LOOKUP(2,1/($A$39:A1641&lt;&gt;""),$A$39:A1641),$A$5:$A$34,0)),0)</f>
        <v>0</v>
      </c>
      <c r="H1641" s="103" t="str">
        <f aca="false">IF(G1641=0,"空闲",IF(G1641&lt;=0.6,"低负荷",IF(G1641&lt;=0.85,"正常",IF(G1641&lt;=1,"满负荷","超负荷"))))</f>
        <v>空闲</v>
      </c>
      <c r="I1641" s="104" t="s">
        <v>638</v>
      </c>
      <c r="J1641" s="104"/>
      <c r="K1641" s="104"/>
      <c r="L1641" s="105" t="s">
        <v>639</v>
      </c>
    </row>
    <row r="1642" customFormat="false" ht="48" hidden="false" customHeight="true" outlineLevel="0" collapsed="false">
      <c r="A1642" s="99"/>
      <c r="B1642" s="100" t="n">
        <v>46335</v>
      </c>
      <c r="C1642" s="100" t="n">
        <v>46341</v>
      </c>
      <c r="D1642" s="99" t="s">
        <v>638</v>
      </c>
      <c r="E1642" s="99" t="n">
        <v>0</v>
      </c>
      <c r="F1642" s="101" t="n">
        <v>0</v>
      </c>
      <c r="G1642" s="102" t="n">
        <f aca="false">IFERROR(F1642/INDEX($G$5:$G$34,MATCH(LOOKUP(2,1/($A$39:A1642&lt;&gt;""),$A$39:A1642),$A$5:$A$34,0)),0)</f>
        <v>0</v>
      </c>
      <c r="H1642" s="103" t="str">
        <f aca="false">IF(G1642=0,"空闲",IF(G1642&lt;=0.6,"低负荷",IF(G1642&lt;=0.85,"正常",IF(G1642&lt;=1,"满负荷","超负荷"))))</f>
        <v>空闲</v>
      </c>
      <c r="I1642" s="104" t="s">
        <v>638</v>
      </c>
      <c r="J1642" s="104"/>
      <c r="K1642" s="104"/>
      <c r="L1642" s="105" t="s">
        <v>639</v>
      </c>
    </row>
    <row r="1643" customFormat="false" ht="48" hidden="false" customHeight="true" outlineLevel="0" collapsed="false">
      <c r="A1643" s="99"/>
      <c r="B1643" s="100" t="n">
        <v>46342</v>
      </c>
      <c r="C1643" s="100" t="n">
        <v>46348</v>
      </c>
      <c r="D1643" s="99" t="s">
        <v>638</v>
      </c>
      <c r="E1643" s="99" t="n">
        <v>0</v>
      </c>
      <c r="F1643" s="101" t="n">
        <v>0</v>
      </c>
      <c r="G1643" s="102" t="n">
        <f aca="false">IFERROR(F1643/INDEX($G$5:$G$34,MATCH(LOOKUP(2,1/($A$39:A1643&lt;&gt;""),$A$39:A1643),$A$5:$A$34,0)),0)</f>
        <v>0</v>
      </c>
      <c r="H1643" s="103" t="str">
        <f aca="false">IF(G1643=0,"空闲",IF(G1643&lt;=0.6,"低负荷",IF(G1643&lt;=0.85,"正常",IF(G1643&lt;=1,"满负荷","超负荷"))))</f>
        <v>空闲</v>
      </c>
      <c r="I1643" s="104" t="s">
        <v>638</v>
      </c>
      <c r="J1643" s="104"/>
      <c r="K1643" s="104"/>
      <c r="L1643" s="105" t="s">
        <v>639</v>
      </c>
    </row>
    <row r="1644" customFormat="false" ht="48" hidden="false" customHeight="true" outlineLevel="0" collapsed="false">
      <c r="A1644" s="99"/>
      <c r="B1644" s="100" t="n">
        <v>46349</v>
      </c>
      <c r="C1644" s="100" t="n">
        <v>46355</v>
      </c>
      <c r="D1644" s="99" t="s">
        <v>640</v>
      </c>
      <c r="E1644" s="99" t="n">
        <v>1</v>
      </c>
      <c r="F1644" s="101" t="n">
        <v>40</v>
      </c>
      <c r="G1644" s="102" t="n">
        <f aca="false">IFERROR(F1644/INDEX($G$5:$G$34,MATCH(LOOKUP(2,1/($A$39:A1644&lt;&gt;""),$A$39:A1644),$A$5:$A$34,0)),0)</f>
        <v>1</v>
      </c>
      <c r="H1644" s="103" t="str">
        <f aca="false">IF(G1644=0,"空闲",IF(G1644&lt;=0.6,"低负荷",IF(G1644&lt;=0.85,"正常",IF(G1644&lt;=1,"满负荷","超负荷"))))</f>
        <v>满负荷</v>
      </c>
      <c r="I1644" s="106" t="s">
        <v>712</v>
      </c>
      <c r="J1644" s="106"/>
      <c r="K1644" s="106"/>
      <c r="L1644" s="105" t="s">
        <v>642</v>
      </c>
    </row>
    <row r="1645" customFormat="false" ht="48" hidden="false" customHeight="true" outlineLevel="0" collapsed="false">
      <c r="A1645" s="99"/>
      <c r="B1645" s="100" t="n">
        <v>46356</v>
      </c>
      <c r="C1645" s="100" t="n">
        <v>46362</v>
      </c>
      <c r="D1645" s="99" t="s">
        <v>640</v>
      </c>
      <c r="E1645" s="99" t="n">
        <v>1</v>
      </c>
      <c r="F1645" s="101" t="n">
        <v>40</v>
      </c>
      <c r="G1645" s="102" t="n">
        <f aca="false">IFERROR(F1645/INDEX($G$5:$G$34,MATCH(LOOKUP(2,1/($A$39:A1645&lt;&gt;""),$A$39:A1645),$A$5:$A$34,0)),0)</f>
        <v>1</v>
      </c>
      <c r="H1645" s="103" t="str">
        <f aca="false">IF(G1645=0,"空闲",IF(G1645&lt;=0.6,"低负荷",IF(G1645&lt;=0.85,"正常",IF(G1645&lt;=1,"满负荷","超负荷"))))</f>
        <v>满负荷</v>
      </c>
      <c r="I1645" s="106" t="s">
        <v>712</v>
      </c>
      <c r="J1645" s="106"/>
      <c r="K1645" s="106"/>
      <c r="L1645" s="105" t="s">
        <v>642</v>
      </c>
    </row>
    <row r="1646" customFormat="false" ht="48" hidden="false" customHeight="true" outlineLevel="0" collapsed="false">
      <c r="A1646" s="99"/>
      <c r="B1646" s="100" t="n">
        <v>46363</v>
      </c>
      <c r="C1646" s="100" t="n">
        <v>46369</v>
      </c>
      <c r="D1646" s="99" t="s">
        <v>640</v>
      </c>
      <c r="E1646" s="99" t="n">
        <v>4</v>
      </c>
      <c r="F1646" s="101" t="n">
        <v>40</v>
      </c>
      <c r="G1646" s="102" t="n">
        <f aca="false">IFERROR(F1646/INDEX($G$5:$G$34,MATCH(LOOKUP(2,1/($A$39:A1646&lt;&gt;""),$A$39:A1646),$A$5:$A$34,0)),0)</f>
        <v>1</v>
      </c>
      <c r="H1646" s="103" t="str">
        <f aca="false">IF(G1646=0,"空闲",IF(G1646&lt;=0.6,"低负荷",IF(G1646&lt;=0.85,"正常",IF(G1646&lt;=1,"满负荷","超负荷"))))</f>
        <v>满负荷</v>
      </c>
      <c r="I1646" s="106" t="s">
        <v>754</v>
      </c>
      <c r="J1646" s="106"/>
      <c r="K1646" s="106"/>
      <c r="L1646" s="105" t="s">
        <v>715</v>
      </c>
    </row>
    <row r="1647" customFormat="false" ht="48" hidden="false" customHeight="true" outlineLevel="0" collapsed="false">
      <c r="A1647" s="99"/>
      <c r="B1647" s="100" t="n">
        <v>46370</v>
      </c>
      <c r="C1647" s="100" t="n">
        <v>46376</v>
      </c>
      <c r="D1647" s="99" t="s">
        <v>640</v>
      </c>
      <c r="E1647" s="99" t="n">
        <v>5</v>
      </c>
      <c r="F1647" s="101" t="n">
        <v>40</v>
      </c>
      <c r="G1647" s="102" t="n">
        <f aca="false">IFERROR(F1647/INDEX($G$5:$G$34,MATCH(LOOKUP(2,1/($A$39:A1647&lt;&gt;""),$A$39:A1647),$A$5:$A$34,0)),0)</f>
        <v>1</v>
      </c>
      <c r="H1647" s="103" t="str">
        <f aca="false">IF(G1647=0,"空闲",IF(G1647&lt;=0.6,"低负荷",IF(G1647&lt;=0.85,"正常",IF(G1647&lt;=1,"满负荷","超负荷"))))</f>
        <v>满负荷</v>
      </c>
      <c r="I1647" s="106" t="s">
        <v>755</v>
      </c>
      <c r="J1647" s="106"/>
      <c r="K1647" s="106"/>
      <c r="L1647" s="105" t="s">
        <v>717</v>
      </c>
    </row>
    <row r="1648" customFormat="false" ht="48" hidden="false" customHeight="true" outlineLevel="0" collapsed="false">
      <c r="A1648" s="99"/>
      <c r="B1648" s="100" t="n">
        <v>46377</v>
      </c>
      <c r="C1648" s="100" t="n">
        <v>46383</v>
      </c>
      <c r="D1648" s="99" t="s">
        <v>640</v>
      </c>
      <c r="E1648" s="99" t="n">
        <v>5</v>
      </c>
      <c r="F1648" s="101" t="n">
        <v>40</v>
      </c>
      <c r="G1648" s="102" t="n">
        <f aca="false">IFERROR(F1648/INDEX($G$5:$G$34,MATCH(LOOKUP(2,1/($A$39:A1648&lt;&gt;""),$A$39:A1648),$A$5:$A$34,0)),0)</f>
        <v>1</v>
      </c>
      <c r="H1648" s="103" t="str">
        <f aca="false">IF(G1648=0,"空闲",IF(G1648&lt;=0.6,"低负荷",IF(G1648&lt;=0.85,"正常",IF(G1648&lt;=1,"满负荷","超负荷"))))</f>
        <v>满负荷</v>
      </c>
      <c r="I1648" s="106" t="s">
        <v>755</v>
      </c>
      <c r="J1648" s="106"/>
      <c r="K1648" s="106"/>
      <c r="L1648" s="105" t="s">
        <v>717</v>
      </c>
    </row>
    <row r="1649" customFormat="false" ht="48" hidden="false" customHeight="true" outlineLevel="0" collapsed="false">
      <c r="A1649" s="99"/>
      <c r="B1649" s="100" t="n">
        <v>46384</v>
      </c>
      <c r="C1649" s="100" t="n">
        <v>46390</v>
      </c>
      <c r="D1649" s="99" t="s">
        <v>640</v>
      </c>
      <c r="E1649" s="99" t="n">
        <v>5</v>
      </c>
      <c r="F1649" s="101" t="n">
        <v>40</v>
      </c>
      <c r="G1649" s="102" t="n">
        <f aca="false">IFERROR(F1649/INDEX($G$5:$G$34,MATCH(LOOKUP(2,1/($A$39:A1649&lt;&gt;""),$A$39:A1649),$A$5:$A$34,0)),0)</f>
        <v>1</v>
      </c>
      <c r="H1649" s="103" t="str">
        <f aca="false">IF(G1649=0,"空闲",IF(G1649&lt;=0.6,"低负荷",IF(G1649&lt;=0.85,"正常",IF(G1649&lt;=1,"满负荷","超负荷"))))</f>
        <v>满负荷</v>
      </c>
      <c r="I1649" s="106" t="s">
        <v>755</v>
      </c>
      <c r="J1649" s="106"/>
      <c r="K1649" s="106"/>
      <c r="L1649" s="105" t="s">
        <v>717</v>
      </c>
    </row>
    <row r="1650" customFormat="false" ht="48" hidden="false" customHeight="true" outlineLevel="0" collapsed="false">
      <c r="A1650" s="99"/>
      <c r="B1650" s="100" t="n">
        <v>46391</v>
      </c>
      <c r="C1650" s="100" t="n">
        <v>46397</v>
      </c>
      <c r="D1650" s="99" t="s">
        <v>640</v>
      </c>
      <c r="E1650" s="99" t="n">
        <v>5</v>
      </c>
      <c r="F1650" s="101" t="n">
        <v>40</v>
      </c>
      <c r="G1650" s="102" t="n">
        <f aca="false">IFERROR(F1650/INDEX($G$5:$G$34,MATCH(LOOKUP(2,1/($A$39:A1650&lt;&gt;""),$A$39:A1650),$A$5:$A$34,0)),0)</f>
        <v>1</v>
      </c>
      <c r="H1650" s="103" t="str">
        <f aca="false">IF(G1650=0,"空闲",IF(G1650&lt;=0.6,"低负荷",IF(G1650&lt;=0.85,"正常",IF(G1650&lt;=1,"满负荷","超负荷"))))</f>
        <v>满负荷</v>
      </c>
      <c r="I1650" s="106" t="s">
        <v>755</v>
      </c>
      <c r="J1650" s="106"/>
      <c r="K1650" s="106"/>
      <c r="L1650" s="105" t="s">
        <v>717</v>
      </c>
    </row>
    <row r="1651" customFormat="false" ht="48" hidden="false" customHeight="true" outlineLevel="0" collapsed="false">
      <c r="A1651" s="99"/>
      <c r="B1651" s="100" t="n">
        <v>46398</v>
      </c>
      <c r="C1651" s="100" t="n">
        <v>46404</v>
      </c>
      <c r="D1651" s="99" t="s">
        <v>640</v>
      </c>
      <c r="E1651" s="99" t="n">
        <v>5</v>
      </c>
      <c r="F1651" s="101" t="n">
        <v>40</v>
      </c>
      <c r="G1651" s="102" t="n">
        <f aca="false">IFERROR(F1651/INDEX($G$5:$G$34,MATCH(LOOKUP(2,1/($A$39:A1651&lt;&gt;""),$A$39:A1651),$A$5:$A$34,0)),0)</f>
        <v>1</v>
      </c>
      <c r="H1651" s="103" t="str">
        <f aca="false">IF(G1651=0,"空闲",IF(G1651&lt;=0.6,"低负荷",IF(G1651&lt;=0.85,"正常",IF(G1651&lt;=1,"满负荷","超负荷"))))</f>
        <v>满负荷</v>
      </c>
      <c r="I1651" s="106" t="s">
        <v>755</v>
      </c>
      <c r="J1651" s="106"/>
      <c r="K1651" s="106"/>
      <c r="L1651" s="105" t="s">
        <v>717</v>
      </c>
    </row>
    <row r="1652" customFormat="false" ht="48" hidden="false" customHeight="true" outlineLevel="0" collapsed="false">
      <c r="A1652" s="99"/>
      <c r="B1652" s="100" t="n">
        <v>46405</v>
      </c>
      <c r="C1652" s="100" t="n">
        <v>46411</v>
      </c>
      <c r="D1652" s="99" t="s">
        <v>640</v>
      </c>
      <c r="E1652" s="99" t="n">
        <v>5</v>
      </c>
      <c r="F1652" s="101" t="n">
        <v>40</v>
      </c>
      <c r="G1652" s="102" t="n">
        <f aca="false">IFERROR(F1652/INDEX($G$5:$G$34,MATCH(LOOKUP(2,1/($A$39:A1652&lt;&gt;""),$A$39:A1652),$A$5:$A$34,0)),0)</f>
        <v>1</v>
      </c>
      <c r="H1652" s="103" t="str">
        <f aca="false">IF(G1652=0,"空闲",IF(G1652&lt;=0.6,"低负荷",IF(G1652&lt;=0.85,"正常",IF(G1652&lt;=1,"满负荷","超负荷"))))</f>
        <v>满负荷</v>
      </c>
      <c r="I1652" s="106" t="s">
        <v>755</v>
      </c>
      <c r="J1652" s="106"/>
      <c r="K1652" s="106"/>
      <c r="L1652" s="105" t="s">
        <v>717</v>
      </c>
    </row>
    <row r="1653" customFormat="false" ht="48" hidden="false" customHeight="true" outlineLevel="0" collapsed="false">
      <c r="A1653" s="99"/>
      <c r="B1653" s="100" t="n">
        <v>46412</v>
      </c>
      <c r="C1653" s="100" t="n">
        <v>46418</v>
      </c>
      <c r="D1653" s="99" t="s">
        <v>640</v>
      </c>
      <c r="E1653" s="99" t="n">
        <v>5</v>
      </c>
      <c r="F1653" s="101" t="n">
        <v>40</v>
      </c>
      <c r="G1653" s="102" t="n">
        <f aca="false">IFERROR(F1653/INDEX($G$5:$G$34,MATCH(LOOKUP(2,1/($A$39:A1653&lt;&gt;""),$A$39:A1653),$A$5:$A$34,0)),0)</f>
        <v>1</v>
      </c>
      <c r="H1653" s="103" t="str">
        <f aca="false">IF(G1653=0,"空闲",IF(G1653&lt;=0.6,"低负荷",IF(G1653&lt;=0.85,"正常",IF(G1653&lt;=1,"满负荷","超负荷"))))</f>
        <v>满负荷</v>
      </c>
      <c r="I1653" s="106" t="s">
        <v>755</v>
      </c>
      <c r="J1653" s="106"/>
      <c r="K1653" s="106"/>
      <c r="L1653" s="105" t="s">
        <v>717</v>
      </c>
    </row>
    <row r="1654" customFormat="false" ht="48" hidden="false" customHeight="true" outlineLevel="0" collapsed="false">
      <c r="A1654" s="99"/>
      <c r="B1654" s="100" t="n">
        <v>46419</v>
      </c>
      <c r="C1654" s="100" t="n">
        <v>46425</v>
      </c>
      <c r="D1654" s="99" t="s">
        <v>640</v>
      </c>
      <c r="E1654" s="99" t="n">
        <v>5</v>
      </c>
      <c r="F1654" s="101" t="n">
        <v>40</v>
      </c>
      <c r="G1654" s="102" t="n">
        <f aca="false">IFERROR(F1654/INDEX($G$5:$G$34,MATCH(LOOKUP(2,1/($A$39:A1654&lt;&gt;""),$A$39:A1654),$A$5:$A$34,0)),0)</f>
        <v>1</v>
      </c>
      <c r="H1654" s="103" t="str">
        <f aca="false">IF(G1654=0,"空闲",IF(G1654&lt;=0.6,"低负荷",IF(G1654&lt;=0.85,"正常",IF(G1654&lt;=1,"满负荷","超负荷"))))</f>
        <v>满负荷</v>
      </c>
      <c r="I1654" s="106" t="s">
        <v>755</v>
      </c>
      <c r="J1654" s="106"/>
      <c r="K1654" s="106"/>
      <c r="L1654" s="105" t="s">
        <v>717</v>
      </c>
    </row>
    <row r="1655" customFormat="false" ht="48" hidden="false" customHeight="true" outlineLevel="0" collapsed="false">
      <c r="A1655" s="99"/>
      <c r="B1655" s="100" t="n">
        <v>46426</v>
      </c>
      <c r="C1655" s="100" t="n">
        <v>46432</v>
      </c>
      <c r="D1655" s="99" t="s">
        <v>640</v>
      </c>
      <c r="E1655" s="99" t="n">
        <v>5</v>
      </c>
      <c r="F1655" s="101" t="n">
        <v>40</v>
      </c>
      <c r="G1655" s="102" t="n">
        <f aca="false">IFERROR(F1655/INDEX($G$5:$G$34,MATCH(LOOKUP(2,1/($A$39:A1655&lt;&gt;""),$A$39:A1655),$A$5:$A$34,0)),0)</f>
        <v>1</v>
      </c>
      <c r="H1655" s="103" t="str">
        <f aca="false">IF(G1655=0,"空闲",IF(G1655&lt;=0.6,"低负荷",IF(G1655&lt;=0.85,"正常",IF(G1655&lt;=1,"满负荷","超负荷"))))</f>
        <v>满负荷</v>
      </c>
      <c r="I1655" s="106" t="s">
        <v>755</v>
      </c>
      <c r="J1655" s="106"/>
      <c r="K1655" s="106"/>
      <c r="L1655" s="105" t="s">
        <v>717</v>
      </c>
    </row>
    <row r="1656" customFormat="false" ht="48" hidden="false" customHeight="true" outlineLevel="0" collapsed="false">
      <c r="A1656" s="99"/>
      <c r="B1656" s="100" t="n">
        <v>46433</v>
      </c>
      <c r="C1656" s="100" t="n">
        <v>46439</v>
      </c>
      <c r="D1656" s="99" t="s">
        <v>640</v>
      </c>
      <c r="E1656" s="99" t="n">
        <v>1</v>
      </c>
      <c r="F1656" s="101" t="n">
        <v>40</v>
      </c>
      <c r="G1656" s="102" t="n">
        <f aca="false">IFERROR(F1656/INDEX($G$5:$G$34,MATCH(LOOKUP(2,1/($A$39:A1656&lt;&gt;""),$A$39:A1656),$A$5:$A$34,0)),0)</f>
        <v>1</v>
      </c>
      <c r="H1656" s="103" t="str">
        <f aca="false">IF(G1656=0,"空闲",IF(G1656&lt;=0.6,"低负荷",IF(G1656&lt;=0.85,"正常",IF(G1656&lt;=1,"满负荷","超负荷"))))</f>
        <v>满负荷</v>
      </c>
      <c r="I1656" s="106" t="s">
        <v>753</v>
      </c>
      <c r="J1656" s="106"/>
      <c r="K1656" s="106"/>
      <c r="L1656" s="105" t="s">
        <v>642</v>
      </c>
    </row>
    <row r="1657" customFormat="false" ht="48" hidden="false" customHeight="true" outlineLevel="0" collapsed="false">
      <c r="A1657" s="99"/>
      <c r="B1657" s="100" t="n">
        <v>46440</v>
      </c>
      <c r="C1657" s="100" t="n">
        <v>46446</v>
      </c>
      <c r="D1657" s="99" t="s">
        <v>640</v>
      </c>
      <c r="E1657" s="99" t="n">
        <v>1</v>
      </c>
      <c r="F1657" s="101" t="n">
        <v>40</v>
      </c>
      <c r="G1657" s="102" t="n">
        <f aca="false">IFERROR(F1657/INDEX($G$5:$G$34,MATCH(LOOKUP(2,1/($A$39:A1657&lt;&gt;""),$A$39:A1657),$A$5:$A$34,0)),0)</f>
        <v>1</v>
      </c>
      <c r="H1657" s="103" t="str">
        <f aca="false">IF(G1657=0,"空闲",IF(G1657&lt;=0.6,"低负荷",IF(G1657&lt;=0.85,"正常",IF(G1657&lt;=1,"满负荷","超负荷"))))</f>
        <v>满负荷</v>
      </c>
      <c r="I1657" s="106" t="s">
        <v>753</v>
      </c>
      <c r="J1657" s="106"/>
      <c r="K1657" s="106"/>
      <c r="L1657" s="105" t="s">
        <v>642</v>
      </c>
    </row>
    <row r="1658" customFormat="false" ht="48" hidden="false" customHeight="true" outlineLevel="0" collapsed="false">
      <c r="A1658" s="99"/>
      <c r="B1658" s="100" t="n">
        <v>46447</v>
      </c>
      <c r="C1658" s="100" t="n">
        <v>46453</v>
      </c>
      <c r="D1658" s="99" t="s">
        <v>640</v>
      </c>
      <c r="E1658" s="99" t="n">
        <v>1</v>
      </c>
      <c r="F1658" s="101" t="n">
        <v>40</v>
      </c>
      <c r="G1658" s="102" t="n">
        <f aca="false">IFERROR(F1658/INDEX($G$5:$G$34,MATCH(LOOKUP(2,1/($A$39:A1658&lt;&gt;""),$A$39:A1658),$A$5:$A$34,0)),0)</f>
        <v>1</v>
      </c>
      <c r="H1658" s="103" t="str">
        <f aca="false">IF(G1658=0,"空闲",IF(G1658&lt;=0.6,"低负荷",IF(G1658&lt;=0.85,"正常",IF(G1658&lt;=1,"满负荷","超负荷"))))</f>
        <v>满负荷</v>
      </c>
      <c r="I1658" s="106" t="s">
        <v>753</v>
      </c>
      <c r="J1658" s="106"/>
      <c r="K1658" s="106"/>
      <c r="L1658" s="105" t="s">
        <v>642</v>
      </c>
    </row>
    <row r="1659" customFormat="false" ht="48" hidden="false" customHeight="true" outlineLevel="0" collapsed="false">
      <c r="A1659" s="99"/>
      <c r="B1659" s="100" t="n">
        <v>46454</v>
      </c>
      <c r="C1659" s="100" t="n">
        <v>46460</v>
      </c>
      <c r="D1659" s="99" t="s">
        <v>638</v>
      </c>
      <c r="E1659" s="99" t="n">
        <v>0</v>
      </c>
      <c r="F1659" s="101" t="n">
        <v>0</v>
      </c>
      <c r="G1659" s="102" t="n">
        <f aca="false">IFERROR(F1659/INDEX($G$5:$G$34,MATCH(LOOKUP(2,1/($A$39:A1659&lt;&gt;""),$A$39:A1659),$A$5:$A$34,0)),0)</f>
        <v>0</v>
      </c>
      <c r="H1659" s="103" t="str">
        <f aca="false">IF(G1659=0,"空闲",IF(G1659&lt;=0.6,"低负荷",IF(G1659&lt;=0.85,"正常",IF(G1659&lt;=1,"满负荷","超负荷"))))</f>
        <v>空闲</v>
      </c>
      <c r="I1659" s="104" t="s">
        <v>638</v>
      </c>
      <c r="J1659" s="104"/>
      <c r="K1659" s="104"/>
      <c r="L1659" s="105" t="s">
        <v>639</v>
      </c>
    </row>
    <row r="1660" customFormat="false" ht="48" hidden="false" customHeight="true" outlineLevel="0" collapsed="false">
      <c r="A1660" s="99"/>
      <c r="B1660" s="100" t="n">
        <v>46461</v>
      </c>
      <c r="C1660" s="100" t="n">
        <v>46467</v>
      </c>
      <c r="D1660" s="99" t="s">
        <v>638</v>
      </c>
      <c r="E1660" s="99" t="n">
        <v>0</v>
      </c>
      <c r="F1660" s="101" t="n">
        <v>0</v>
      </c>
      <c r="G1660" s="102" t="n">
        <f aca="false">IFERROR(F1660/INDEX($G$5:$G$34,MATCH(LOOKUP(2,1/($A$39:A1660&lt;&gt;""),$A$39:A1660),$A$5:$A$34,0)),0)</f>
        <v>0</v>
      </c>
      <c r="H1660" s="103" t="str">
        <f aca="false">IF(G1660=0,"空闲",IF(G1660&lt;=0.6,"低负荷",IF(G1660&lt;=0.85,"正常",IF(G1660&lt;=1,"满负荷","超负荷"))))</f>
        <v>空闲</v>
      </c>
      <c r="I1660" s="104" t="s">
        <v>638</v>
      </c>
      <c r="J1660" s="104"/>
      <c r="K1660" s="104"/>
      <c r="L1660" s="105" t="s">
        <v>639</v>
      </c>
    </row>
    <row r="1661" customFormat="false" ht="48" hidden="false" customHeight="true" outlineLevel="0" collapsed="false">
      <c r="A1661" s="99"/>
      <c r="B1661" s="100" t="n">
        <v>46468</v>
      </c>
      <c r="C1661" s="100" t="n">
        <v>46474</v>
      </c>
      <c r="D1661" s="99" t="s">
        <v>638</v>
      </c>
      <c r="E1661" s="99" t="n">
        <v>0</v>
      </c>
      <c r="F1661" s="101" t="n">
        <v>0</v>
      </c>
      <c r="G1661" s="102" t="n">
        <f aca="false">IFERROR(F1661/INDEX($G$5:$G$34,MATCH(LOOKUP(2,1/($A$39:A1661&lt;&gt;""),$A$39:A1661),$A$5:$A$34,0)),0)</f>
        <v>0</v>
      </c>
      <c r="H1661" s="103" t="str">
        <f aca="false">IF(G1661=0,"空闲",IF(G1661&lt;=0.6,"低负荷",IF(G1661&lt;=0.85,"正常",IF(G1661&lt;=1,"满负荷","超负荷"))))</f>
        <v>空闲</v>
      </c>
      <c r="I1661" s="104" t="s">
        <v>638</v>
      </c>
      <c r="J1661" s="104"/>
      <c r="K1661" s="104"/>
      <c r="L1661" s="105" t="s">
        <v>639</v>
      </c>
    </row>
    <row r="1662" customFormat="false" ht="48" hidden="false" customHeight="true" outlineLevel="0" collapsed="false">
      <c r="A1662" s="99"/>
      <c r="B1662" s="100" t="n">
        <v>46475</v>
      </c>
      <c r="C1662" s="100" t="n">
        <v>46481</v>
      </c>
      <c r="D1662" s="99" t="s">
        <v>638</v>
      </c>
      <c r="E1662" s="99" t="n">
        <v>0</v>
      </c>
      <c r="F1662" s="101" t="n">
        <v>0</v>
      </c>
      <c r="G1662" s="102" t="n">
        <f aca="false">IFERROR(F1662/INDEX($G$5:$G$34,MATCH(LOOKUP(2,1/($A$39:A1662&lt;&gt;""),$A$39:A1662),$A$5:$A$34,0)),0)</f>
        <v>0</v>
      </c>
      <c r="H1662" s="103" t="str">
        <f aca="false">IF(G1662=0,"空闲",IF(G1662&lt;=0.6,"低负荷",IF(G1662&lt;=0.85,"正常",IF(G1662&lt;=1,"满负荷","超负荷"))))</f>
        <v>空闲</v>
      </c>
      <c r="I1662" s="104" t="s">
        <v>638</v>
      </c>
      <c r="J1662" s="104"/>
      <c r="K1662" s="104"/>
      <c r="L1662" s="105" t="s">
        <v>639</v>
      </c>
    </row>
    <row r="1663" customFormat="false" ht="48" hidden="false" customHeight="true" outlineLevel="0" collapsed="false">
      <c r="A1663" s="99"/>
      <c r="B1663" s="100" t="n">
        <v>46482</v>
      </c>
      <c r="C1663" s="100" t="n">
        <v>46488</v>
      </c>
      <c r="D1663" s="99" t="s">
        <v>638</v>
      </c>
      <c r="E1663" s="99" t="n">
        <v>0</v>
      </c>
      <c r="F1663" s="101" t="n">
        <v>0</v>
      </c>
      <c r="G1663" s="102" t="n">
        <f aca="false">IFERROR(F1663/INDEX($G$5:$G$34,MATCH(LOOKUP(2,1/($A$39:A1663&lt;&gt;""),$A$39:A1663),$A$5:$A$34,0)),0)</f>
        <v>0</v>
      </c>
      <c r="H1663" s="103" t="str">
        <f aca="false">IF(G1663=0,"空闲",IF(G1663&lt;=0.6,"低负荷",IF(G1663&lt;=0.85,"正常",IF(G1663&lt;=1,"满负荷","超负荷"))))</f>
        <v>空闲</v>
      </c>
      <c r="I1663" s="104" t="s">
        <v>638</v>
      </c>
      <c r="J1663" s="104"/>
      <c r="K1663" s="104"/>
      <c r="L1663" s="105" t="s">
        <v>639</v>
      </c>
    </row>
    <row r="1664" customFormat="false" ht="48" hidden="false" customHeight="true" outlineLevel="0" collapsed="false">
      <c r="A1664" s="99"/>
      <c r="B1664" s="100" t="n">
        <v>46489</v>
      </c>
      <c r="C1664" s="100" t="n">
        <v>46495</v>
      </c>
      <c r="D1664" s="99" t="s">
        <v>638</v>
      </c>
      <c r="E1664" s="99" t="n">
        <v>0</v>
      </c>
      <c r="F1664" s="101" t="n">
        <v>0</v>
      </c>
      <c r="G1664" s="102" t="n">
        <f aca="false">IFERROR(F1664/INDEX($G$5:$G$34,MATCH(LOOKUP(2,1/($A$39:A1664&lt;&gt;""),$A$39:A1664),$A$5:$A$34,0)),0)</f>
        <v>0</v>
      </c>
      <c r="H1664" s="103" t="str">
        <f aca="false">IF(G1664=0,"空闲",IF(G1664&lt;=0.6,"低负荷",IF(G1664&lt;=0.85,"正常",IF(G1664&lt;=1,"满负荷","超负荷"))))</f>
        <v>空闲</v>
      </c>
      <c r="I1664" s="104" t="s">
        <v>638</v>
      </c>
      <c r="J1664" s="104"/>
      <c r="K1664" s="104"/>
      <c r="L1664" s="105" t="s">
        <v>639</v>
      </c>
    </row>
    <row r="1665" customFormat="false" ht="48" hidden="false" customHeight="true" outlineLevel="0" collapsed="false">
      <c r="A1665" s="99"/>
      <c r="B1665" s="100" t="n">
        <v>46496</v>
      </c>
      <c r="C1665" s="100" t="n">
        <v>46502</v>
      </c>
      <c r="D1665" s="99" t="s">
        <v>638</v>
      </c>
      <c r="E1665" s="99" t="n">
        <v>0</v>
      </c>
      <c r="F1665" s="101" t="n">
        <v>0</v>
      </c>
      <c r="G1665" s="102" t="n">
        <f aca="false">IFERROR(F1665/INDEX($G$5:$G$34,MATCH(LOOKUP(2,1/($A$39:A1665&lt;&gt;""),$A$39:A1665),$A$5:$A$34,0)),0)</f>
        <v>0</v>
      </c>
      <c r="H1665" s="103" t="str">
        <f aca="false">IF(G1665=0,"空闲",IF(G1665&lt;=0.6,"低负荷",IF(G1665&lt;=0.85,"正常",IF(G1665&lt;=1,"满负荷","超负荷"))))</f>
        <v>空闲</v>
      </c>
      <c r="I1665" s="104" t="s">
        <v>638</v>
      </c>
      <c r="J1665" s="104"/>
      <c r="K1665" s="104"/>
      <c r="L1665" s="105" t="s">
        <v>639</v>
      </c>
    </row>
    <row r="1666" customFormat="false" ht="48" hidden="false" customHeight="true" outlineLevel="0" collapsed="false">
      <c r="A1666" s="99"/>
      <c r="B1666" s="100" t="n">
        <v>46503</v>
      </c>
      <c r="C1666" s="100" t="n">
        <v>46509</v>
      </c>
      <c r="D1666" s="99" t="s">
        <v>638</v>
      </c>
      <c r="E1666" s="99" t="n">
        <v>0</v>
      </c>
      <c r="F1666" s="101" t="n">
        <v>0</v>
      </c>
      <c r="G1666" s="102" t="n">
        <f aca="false">IFERROR(F1666/INDEX($G$5:$G$34,MATCH(LOOKUP(2,1/($A$39:A1666&lt;&gt;""),$A$39:A1666),$A$5:$A$34,0)),0)</f>
        <v>0</v>
      </c>
      <c r="H1666" s="103" t="str">
        <f aca="false">IF(G1666=0,"空闲",IF(G1666&lt;=0.6,"低负荷",IF(G1666&lt;=0.85,"正常",IF(G1666&lt;=1,"满负荷","超负荷"))))</f>
        <v>空闲</v>
      </c>
      <c r="I1666" s="104" t="s">
        <v>638</v>
      </c>
      <c r="J1666" s="104"/>
      <c r="K1666" s="104"/>
      <c r="L1666" s="105" t="s">
        <v>639</v>
      </c>
    </row>
    <row r="1667" customFormat="false" ht="48" hidden="false" customHeight="true" outlineLevel="0" collapsed="false">
      <c r="A1667" s="99"/>
      <c r="B1667" s="100" t="n">
        <v>46510</v>
      </c>
      <c r="C1667" s="100" t="n">
        <v>46516</v>
      </c>
      <c r="D1667" s="99" t="s">
        <v>638</v>
      </c>
      <c r="E1667" s="99" t="n">
        <v>0</v>
      </c>
      <c r="F1667" s="101" t="n">
        <v>0</v>
      </c>
      <c r="G1667" s="102" t="n">
        <f aca="false">IFERROR(F1667/INDEX($G$5:$G$34,MATCH(LOOKUP(2,1/($A$39:A1667&lt;&gt;""),$A$39:A1667),$A$5:$A$34,0)),0)</f>
        <v>0</v>
      </c>
      <c r="H1667" s="103" t="str">
        <f aca="false">IF(G1667=0,"空闲",IF(G1667&lt;=0.6,"低负荷",IF(G1667&lt;=0.85,"正常",IF(G1667&lt;=1,"满负荷","超负荷"))))</f>
        <v>空闲</v>
      </c>
      <c r="I1667" s="104" t="s">
        <v>638</v>
      </c>
      <c r="J1667" s="104"/>
      <c r="K1667" s="104"/>
      <c r="L1667" s="105" t="s">
        <v>639</v>
      </c>
    </row>
    <row r="1668" customFormat="false" ht="48" hidden="false" customHeight="true" outlineLevel="0" collapsed="false">
      <c r="A1668" s="99"/>
      <c r="B1668" s="100" t="n">
        <v>46517</v>
      </c>
      <c r="C1668" s="100" t="n">
        <v>46523</v>
      </c>
      <c r="D1668" s="99" t="s">
        <v>638</v>
      </c>
      <c r="E1668" s="99" t="n">
        <v>0</v>
      </c>
      <c r="F1668" s="101" t="n">
        <v>0</v>
      </c>
      <c r="G1668" s="102" t="n">
        <f aca="false">IFERROR(F1668/INDEX($G$5:$G$34,MATCH(LOOKUP(2,1/($A$39:A1668&lt;&gt;""),$A$39:A1668),$A$5:$A$34,0)),0)</f>
        <v>0</v>
      </c>
      <c r="H1668" s="103" t="str">
        <f aca="false">IF(G1668=0,"空闲",IF(G1668&lt;=0.6,"低负荷",IF(G1668&lt;=0.85,"正常",IF(G1668&lt;=1,"满负荷","超负荷"))))</f>
        <v>空闲</v>
      </c>
      <c r="I1668" s="104" t="s">
        <v>638</v>
      </c>
      <c r="J1668" s="104"/>
      <c r="K1668" s="104"/>
      <c r="L1668" s="105" t="s">
        <v>639</v>
      </c>
    </row>
    <row r="1669" customFormat="false" ht="48" hidden="false" customHeight="true" outlineLevel="0" collapsed="false">
      <c r="A1669" s="99"/>
      <c r="B1669" s="100" t="n">
        <v>46524</v>
      </c>
      <c r="C1669" s="100" t="n">
        <v>46530</v>
      </c>
      <c r="D1669" s="99" t="s">
        <v>638</v>
      </c>
      <c r="E1669" s="99" t="n">
        <v>0</v>
      </c>
      <c r="F1669" s="101" t="n">
        <v>0</v>
      </c>
      <c r="G1669" s="102" t="n">
        <f aca="false">IFERROR(F1669/INDEX($G$5:$G$34,MATCH(LOOKUP(2,1/($A$39:A1669&lt;&gt;""),$A$39:A1669),$A$5:$A$34,0)),0)</f>
        <v>0</v>
      </c>
      <c r="H1669" s="103" t="str">
        <f aca="false">IF(G1669=0,"空闲",IF(G1669&lt;=0.6,"低负荷",IF(G1669&lt;=0.85,"正常",IF(G1669&lt;=1,"满负荷","超负荷"))))</f>
        <v>空闲</v>
      </c>
      <c r="I1669" s="104" t="s">
        <v>638</v>
      </c>
      <c r="J1669" s="104"/>
      <c r="K1669" s="104"/>
      <c r="L1669" s="105" t="s">
        <v>639</v>
      </c>
    </row>
    <row r="1670" customFormat="false" ht="48" hidden="false" customHeight="true" outlineLevel="0" collapsed="false">
      <c r="A1670" s="99"/>
      <c r="B1670" s="100" t="n">
        <v>46531</v>
      </c>
      <c r="C1670" s="100" t="n">
        <v>46537</v>
      </c>
      <c r="D1670" s="99" t="s">
        <v>638</v>
      </c>
      <c r="E1670" s="99" t="n">
        <v>0</v>
      </c>
      <c r="F1670" s="101" t="n">
        <v>0</v>
      </c>
      <c r="G1670" s="102" t="n">
        <f aca="false">IFERROR(F1670/INDEX($G$5:$G$34,MATCH(LOOKUP(2,1/($A$39:A1670&lt;&gt;""),$A$39:A1670),$A$5:$A$34,0)),0)</f>
        <v>0</v>
      </c>
      <c r="H1670" s="103" t="str">
        <f aca="false">IF(G1670=0,"空闲",IF(G1670&lt;=0.6,"低负荷",IF(G1670&lt;=0.85,"正常",IF(G1670&lt;=1,"满负荷","超负荷"))))</f>
        <v>空闲</v>
      </c>
      <c r="I1670" s="104" t="s">
        <v>638</v>
      </c>
      <c r="J1670" s="104"/>
      <c r="K1670" s="104"/>
      <c r="L1670" s="105" t="s">
        <v>639</v>
      </c>
    </row>
    <row r="1671" customFormat="false" ht="48" hidden="false" customHeight="true" outlineLevel="0" collapsed="false">
      <c r="A1671" s="99"/>
      <c r="B1671" s="100" t="n">
        <v>46538</v>
      </c>
      <c r="C1671" s="100" t="n">
        <v>46544</v>
      </c>
      <c r="D1671" s="99" t="s">
        <v>638</v>
      </c>
      <c r="E1671" s="99" t="n">
        <v>0</v>
      </c>
      <c r="F1671" s="101" t="n">
        <v>0</v>
      </c>
      <c r="G1671" s="102" t="n">
        <f aca="false">IFERROR(F1671/INDEX($G$5:$G$34,MATCH(LOOKUP(2,1/($A$39:A1671&lt;&gt;""),$A$39:A1671),$A$5:$A$34,0)),0)</f>
        <v>0</v>
      </c>
      <c r="H1671" s="103" t="str">
        <f aca="false">IF(G1671=0,"空闲",IF(G1671&lt;=0.6,"低负荷",IF(G1671&lt;=0.85,"正常",IF(G1671&lt;=1,"满负荷","超负荷"))))</f>
        <v>空闲</v>
      </c>
      <c r="I1671" s="104" t="s">
        <v>638</v>
      </c>
      <c r="J1671" s="104"/>
      <c r="K1671" s="104"/>
      <c r="L1671" s="105" t="s">
        <v>639</v>
      </c>
    </row>
    <row r="1672" customFormat="false" ht="48" hidden="false" customHeight="true" outlineLevel="0" collapsed="false">
      <c r="A1672" s="99" t="s">
        <v>623</v>
      </c>
      <c r="B1672" s="100" t="n">
        <v>46048</v>
      </c>
      <c r="C1672" s="100" t="n">
        <v>46054</v>
      </c>
      <c r="D1672" s="99" t="s">
        <v>638</v>
      </c>
      <c r="E1672" s="99" t="n">
        <v>0</v>
      </c>
      <c r="F1672" s="101" t="n">
        <v>0</v>
      </c>
      <c r="G1672" s="102" t="n">
        <f aca="false">IFERROR(F1672/INDEX($G$5:$G$34,MATCH(LOOKUP(2,1/($A$39:A1672&lt;&gt;""),$A$39:A1672),$A$5:$A$34,0)),0)</f>
        <v>0</v>
      </c>
      <c r="H1672" s="103" t="str">
        <f aca="false">IF(G1672=0,"空闲",IF(G1672&lt;=0.6,"低负荷",IF(G1672&lt;=0.85,"正常",IF(G1672&lt;=1,"满负荷","超负荷"))))</f>
        <v>空闲</v>
      </c>
      <c r="I1672" s="104" t="s">
        <v>638</v>
      </c>
      <c r="J1672" s="104"/>
      <c r="K1672" s="104"/>
      <c r="L1672" s="105" t="s">
        <v>639</v>
      </c>
    </row>
    <row r="1673" customFormat="false" ht="48" hidden="false" customHeight="true" outlineLevel="0" collapsed="false">
      <c r="A1673" s="99"/>
      <c r="B1673" s="100" t="n">
        <v>46055</v>
      </c>
      <c r="C1673" s="100" t="n">
        <v>46061</v>
      </c>
      <c r="D1673" s="99" t="s">
        <v>638</v>
      </c>
      <c r="E1673" s="99" t="n">
        <v>0</v>
      </c>
      <c r="F1673" s="101" t="n">
        <v>0</v>
      </c>
      <c r="G1673" s="102" t="n">
        <f aca="false">IFERROR(F1673/INDEX($G$5:$G$34,MATCH(LOOKUP(2,1/($A$39:A1673&lt;&gt;""),$A$39:A1673),$A$5:$A$34,0)),0)</f>
        <v>0</v>
      </c>
      <c r="H1673" s="103" t="str">
        <f aca="false">IF(G1673=0,"空闲",IF(G1673&lt;=0.6,"低负荷",IF(G1673&lt;=0.85,"正常",IF(G1673&lt;=1,"满负荷","超负荷"))))</f>
        <v>空闲</v>
      </c>
      <c r="I1673" s="104" t="s">
        <v>638</v>
      </c>
      <c r="J1673" s="104"/>
      <c r="K1673" s="104"/>
      <c r="L1673" s="105" t="s">
        <v>639</v>
      </c>
    </row>
    <row r="1674" customFormat="false" ht="48" hidden="false" customHeight="true" outlineLevel="0" collapsed="false">
      <c r="A1674" s="99"/>
      <c r="B1674" s="100" t="n">
        <v>46062</v>
      </c>
      <c r="C1674" s="100" t="n">
        <v>46068</v>
      </c>
      <c r="D1674" s="99" t="s">
        <v>638</v>
      </c>
      <c r="E1674" s="99" t="n">
        <v>0</v>
      </c>
      <c r="F1674" s="101" t="n">
        <v>0</v>
      </c>
      <c r="G1674" s="102" t="n">
        <f aca="false">IFERROR(F1674/INDEX($G$5:$G$34,MATCH(LOOKUP(2,1/($A$39:A1674&lt;&gt;""),$A$39:A1674),$A$5:$A$34,0)),0)</f>
        <v>0</v>
      </c>
      <c r="H1674" s="103" t="str">
        <f aca="false">IF(G1674=0,"空闲",IF(G1674&lt;=0.6,"低负荷",IF(G1674&lt;=0.85,"正常",IF(G1674&lt;=1,"满负荷","超负荷"))))</f>
        <v>空闲</v>
      </c>
      <c r="I1674" s="104" t="s">
        <v>638</v>
      </c>
      <c r="J1674" s="104"/>
      <c r="K1674" s="104"/>
      <c r="L1674" s="105" t="s">
        <v>639</v>
      </c>
    </row>
    <row r="1675" customFormat="false" ht="48" hidden="false" customHeight="true" outlineLevel="0" collapsed="false">
      <c r="A1675" s="99"/>
      <c r="B1675" s="100" t="n">
        <v>46069</v>
      </c>
      <c r="C1675" s="100" t="n">
        <v>46075</v>
      </c>
      <c r="D1675" s="99" t="s">
        <v>638</v>
      </c>
      <c r="E1675" s="99" t="n">
        <v>0</v>
      </c>
      <c r="F1675" s="101" t="n">
        <v>0</v>
      </c>
      <c r="G1675" s="102" t="n">
        <f aca="false">IFERROR(F1675/INDEX($G$5:$G$34,MATCH(LOOKUP(2,1/($A$39:A1675&lt;&gt;""),$A$39:A1675),$A$5:$A$34,0)),0)</f>
        <v>0</v>
      </c>
      <c r="H1675" s="103" t="str">
        <f aca="false">IF(G1675=0,"空闲",IF(G1675&lt;=0.6,"低负荷",IF(G1675&lt;=0.85,"正常",IF(G1675&lt;=1,"满负荷","超负荷"))))</f>
        <v>空闲</v>
      </c>
      <c r="I1675" s="104" t="s">
        <v>638</v>
      </c>
      <c r="J1675" s="104"/>
      <c r="K1675" s="104"/>
      <c r="L1675" s="105" t="s">
        <v>639</v>
      </c>
    </row>
    <row r="1676" customFormat="false" ht="48" hidden="false" customHeight="true" outlineLevel="0" collapsed="false">
      <c r="A1676" s="99"/>
      <c r="B1676" s="100" t="n">
        <v>46076</v>
      </c>
      <c r="C1676" s="100" t="n">
        <v>46082</v>
      </c>
      <c r="D1676" s="99" t="s">
        <v>638</v>
      </c>
      <c r="E1676" s="99" t="n">
        <v>0</v>
      </c>
      <c r="F1676" s="101" t="n">
        <v>0</v>
      </c>
      <c r="G1676" s="102" t="n">
        <f aca="false">IFERROR(F1676/INDEX($G$5:$G$34,MATCH(LOOKUP(2,1/($A$39:A1676&lt;&gt;""),$A$39:A1676),$A$5:$A$34,0)),0)</f>
        <v>0</v>
      </c>
      <c r="H1676" s="103" t="str">
        <f aca="false">IF(G1676=0,"空闲",IF(G1676&lt;=0.6,"低负荷",IF(G1676&lt;=0.85,"正常",IF(G1676&lt;=1,"满负荷","超负荷"))))</f>
        <v>空闲</v>
      </c>
      <c r="I1676" s="104" t="s">
        <v>638</v>
      </c>
      <c r="J1676" s="104"/>
      <c r="K1676" s="104"/>
      <c r="L1676" s="105" t="s">
        <v>639</v>
      </c>
    </row>
    <row r="1677" customFormat="false" ht="48" hidden="false" customHeight="true" outlineLevel="0" collapsed="false">
      <c r="A1677" s="99"/>
      <c r="B1677" s="100" t="n">
        <v>46083</v>
      </c>
      <c r="C1677" s="100" t="n">
        <v>46089</v>
      </c>
      <c r="D1677" s="99" t="s">
        <v>638</v>
      </c>
      <c r="E1677" s="99" t="n">
        <v>0</v>
      </c>
      <c r="F1677" s="101" t="n">
        <v>0</v>
      </c>
      <c r="G1677" s="102" t="n">
        <f aca="false">IFERROR(F1677/INDEX($G$5:$G$34,MATCH(LOOKUP(2,1/($A$39:A1677&lt;&gt;""),$A$39:A1677),$A$5:$A$34,0)),0)</f>
        <v>0</v>
      </c>
      <c r="H1677" s="103" t="str">
        <f aca="false">IF(G1677=0,"空闲",IF(G1677&lt;=0.6,"低负荷",IF(G1677&lt;=0.85,"正常",IF(G1677&lt;=1,"满负荷","超负荷"))))</f>
        <v>空闲</v>
      </c>
      <c r="I1677" s="104" t="s">
        <v>638</v>
      </c>
      <c r="J1677" s="104"/>
      <c r="K1677" s="104"/>
      <c r="L1677" s="105" t="s">
        <v>639</v>
      </c>
    </row>
    <row r="1678" customFormat="false" ht="48" hidden="false" customHeight="true" outlineLevel="0" collapsed="false">
      <c r="A1678" s="99"/>
      <c r="B1678" s="100" t="n">
        <v>46090</v>
      </c>
      <c r="C1678" s="100" t="n">
        <v>46096</v>
      </c>
      <c r="D1678" s="99" t="s">
        <v>638</v>
      </c>
      <c r="E1678" s="99" t="n">
        <v>0</v>
      </c>
      <c r="F1678" s="101" t="n">
        <v>0</v>
      </c>
      <c r="G1678" s="102" t="n">
        <f aca="false">IFERROR(F1678/INDEX($G$5:$G$34,MATCH(LOOKUP(2,1/($A$39:A1678&lt;&gt;""),$A$39:A1678),$A$5:$A$34,0)),0)</f>
        <v>0</v>
      </c>
      <c r="H1678" s="103" t="str">
        <f aca="false">IF(G1678=0,"空闲",IF(G1678&lt;=0.6,"低负荷",IF(G1678&lt;=0.85,"正常",IF(G1678&lt;=1,"满负荷","超负荷"))))</f>
        <v>空闲</v>
      </c>
      <c r="I1678" s="104" t="s">
        <v>638</v>
      </c>
      <c r="J1678" s="104"/>
      <c r="K1678" s="104"/>
      <c r="L1678" s="105" t="s">
        <v>639</v>
      </c>
    </row>
    <row r="1679" customFormat="false" ht="48" hidden="false" customHeight="true" outlineLevel="0" collapsed="false">
      <c r="A1679" s="99"/>
      <c r="B1679" s="100" t="n">
        <v>46097</v>
      </c>
      <c r="C1679" s="100" t="n">
        <v>46103</v>
      </c>
      <c r="D1679" s="99" t="s">
        <v>638</v>
      </c>
      <c r="E1679" s="99" t="n">
        <v>0</v>
      </c>
      <c r="F1679" s="101" t="n">
        <v>0</v>
      </c>
      <c r="G1679" s="102" t="n">
        <f aca="false">IFERROR(F1679/INDEX($G$5:$G$34,MATCH(LOOKUP(2,1/($A$39:A1679&lt;&gt;""),$A$39:A1679),$A$5:$A$34,0)),0)</f>
        <v>0</v>
      </c>
      <c r="H1679" s="103" t="str">
        <f aca="false">IF(G1679=0,"空闲",IF(G1679&lt;=0.6,"低负荷",IF(G1679&lt;=0.85,"正常",IF(G1679&lt;=1,"满负荷","超负荷"))))</f>
        <v>空闲</v>
      </c>
      <c r="I1679" s="104" t="s">
        <v>638</v>
      </c>
      <c r="J1679" s="104"/>
      <c r="K1679" s="104"/>
      <c r="L1679" s="105" t="s">
        <v>639</v>
      </c>
    </row>
    <row r="1680" customFormat="false" ht="48" hidden="false" customHeight="true" outlineLevel="0" collapsed="false">
      <c r="A1680" s="99"/>
      <c r="B1680" s="100" t="n">
        <v>46104</v>
      </c>
      <c r="C1680" s="100" t="n">
        <v>46110</v>
      </c>
      <c r="D1680" s="99" t="s">
        <v>638</v>
      </c>
      <c r="E1680" s="99" t="n">
        <v>0</v>
      </c>
      <c r="F1680" s="101" t="n">
        <v>0</v>
      </c>
      <c r="G1680" s="102" t="n">
        <f aca="false">IFERROR(F1680/INDEX($G$5:$G$34,MATCH(LOOKUP(2,1/($A$39:A1680&lt;&gt;""),$A$39:A1680),$A$5:$A$34,0)),0)</f>
        <v>0</v>
      </c>
      <c r="H1680" s="103" t="str">
        <f aca="false">IF(G1680=0,"空闲",IF(G1680&lt;=0.6,"低负荷",IF(G1680&lt;=0.85,"正常",IF(G1680&lt;=1,"满负荷","超负荷"))))</f>
        <v>空闲</v>
      </c>
      <c r="I1680" s="104" t="s">
        <v>638</v>
      </c>
      <c r="J1680" s="104"/>
      <c r="K1680" s="104"/>
      <c r="L1680" s="105" t="s">
        <v>639</v>
      </c>
    </row>
    <row r="1681" customFormat="false" ht="48" hidden="false" customHeight="true" outlineLevel="0" collapsed="false">
      <c r="A1681" s="99"/>
      <c r="B1681" s="100" t="n">
        <v>46111</v>
      </c>
      <c r="C1681" s="100" t="n">
        <v>46117</v>
      </c>
      <c r="D1681" s="99" t="s">
        <v>638</v>
      </c>
      <c r="E1681" s="99" t="n">
        <v>0</v>
      </c>
      <c r="F1681" s="101" t="n">
        <v>0</v>
      </c>
      <c r="G1681" s="102" t="n">
        <f aca="false">IFERROR(F1681/INDEX($G$5:$G$34,MATCH(LOOKUP(2,1/($A$39:A1681&lt;&gt;""),$A$39:A1681),$A$5:$A$34,0)),0)</f>
        <v>0</v>
      </c>
      <c r="H1681" s="103" t="str">
        <f aca="false">IF(G1681=0,"空闲",IF(G1681&lt;=0.6,"低负荷",IF(G1681&lt;=0.85,"正常",IF(G1681&lt;=1,"满负荷","超负荷"))))</f>
        <v>空闲</v>
      </c>
      <c r="I1681" s="104" t="s">
        <v>638</v>
      </c>
      <c r="J1681" s="104"/>
      <c r="K1681" s="104"/>
      <c r="L1681" s="105" t="s">
        <v>639</v>
      </c>
    </row>
    <row r="1682" customFormat="false" ht="48" hidden="false" customHeight="true" outlineLevel="0" collapsed="false">
      <c r="A1682" s="99"/>
      <c r="B1682" s="100" t="n">
        <v>46118</v>
      </c>
      <c r="C1682" s="100" t="n">
        <v>46124</v>
      </c>
      <c r="D1682" s="99" t="s">
        <v>638</v>
      </c>
      <c r="E1682" s="99" t="n">
        <v>0</v>
      </c>
      <c r="F1682" s="101" t="n">
        <v>0</v>
      </c>
      <c r="G1682" s="102" t="n">
        <f aca="false">IFERROR(F1682/INDEX($G$5:$G$34,MATCH(LOOKUP(2,1/($A$39:A1682&lt;&gt;""),$A$39:A1682),$A$5:$A$34,0)),0)</f>
        <v>0</v>
      </c>
      <c r="H1682" s="103" t="str">
        <f aca="false">IF(G1682=0,"空闲",IF(G1682&lt;=0.6,"低负荷",IF(G1682&lt;=0.85,"正常",IF(G1682&lt;=1,"满负荷","超负荷"))))</f>
        <v>空闲</v>
      </c>
      <c r="I1682" s="104" t="s">
        <v>638</v>
      </c>
      <c r="J1682" s="104"/>
      <c r="K1682" s="104"/>
      <c r="L1682" s="105" t="s">
        <v>639</v>
      </c>
    </row>
    <row r="1683" customFormat="false" ht="48" hidden="false" customHeight="true" outlineLevel="0" collapsed="false">
      <c r="A1683" s="99"/>
      <c r="B1683" s="100" t="n">
        <v>46125</v>
      </c>
      <c r="C1683" s="100" t="n">
        <v>46131</v>
      </c>
      <c r="D1683" s="99" t="s">
        <v>638</v>
      </c>
      <c r="E1683" s="99" t="n">
        <v>0</v>
      </c>
      <c r="F1683" s="101" t="n">
        <v>0</v>
      </c>
      <c r="G1683" s="102" t="n">
        <f aca="false">IFERROR(F1683/INDEX($G$5:$G$34,MATCH(LOOKUP(2,1/($A$39:A1683&lt;&gt;""),$A$39:A1683),$A$5:$A$34,0)),0)</f>
        <v>0</v>
      </c>
      <c r="H1683" s="103" t="str">
        <f aca="false">IF(G1683=0,"空闲",IF(G1683&lt;=0.6,"低负荷",IF(G1683&lt;=0.85,"正常",IF(G1683&lt;=1,"满负荷","超负荷"))))</f>
        <v>空闲</v>
      </c>
      <c r="I1683" s="104" t="s">
        <v>638</v>
      </c>
      <c r="J1683" s="104"/>
      <c r="K1683" s="104"/>
      <c r="L1683" s="105" t="s">
        <v>639</v>
      </c>
    </row>
    <row r="1684" customFormat="false" ht="48" hidden="false" customHeight="true" outlineLevel="0" collapsed="false">
      <c r="A1684" s="99"/>
      <c r="B1684" s="100" t="n">
        <v>46132</v>
      </c>
      <c r="C1684" s="100" t="n">
        <v>46138</v>
      </c>
      <c r="D1684" s="99" t="s">
        <v>638</v>
      </c>
      <c r="E1684" s="99" t="n">
        <v>0</v>
      </c>
      <c r="F1684" s="101" t="n">
        <v>0</v>
      </c>
      <c r="G1684" s="102" t="n">
        <f aca="false">IFERROR(F1684/INDEX($G$5:$G$34,MATCH(LOOKUP(2,1/($A$39:A1684&lt;&gt;""),$A$39:A1684),$A$5:$A$34,0)),0)</f>
        <v>0</v>
      </c>
      <c r="H1684" s="103" t="str">
        <f aca="false">IF(G1684=0,"空闲",IF(G1684&lt;=0.6,"低负荷",IF(G1684&lt;=0.85,"正常",IF(G1684&lt;=1,"满负荷","超负荷"))))</f>
        <v>空闲</v>
      </c>
      <c r="I1684" s="104" t="s">
        <v>638</v>
      </c>
      <c r="J1684" s="104"/>
      <c r="K1684" s="104"/>
      <c r="L1684" s="105" t="s">
        <v>639</v>
      </c>
    </row>
    <row r="1685" customFormat="false" ht="48" hidden="false" customHeight="true" outlineLevel="0" collapsed="false">
      <c r="A1685" s="99"/>
      <c r="B1685" s="100" t="n">
        <v>46139</v>
      </c>
      <c r="C1685" s="100" t="n">
        <v>46145</v>
      </c>
      <c r="D1685" s="99" t="s">
        <v>638</v>
      </c>
      <c r="E1685" s="99" t="n">
        <v>0</v>
      </c>
      <c r="F1685" s="101" t="n">
        <v>0</v>
      </c>
      <c r="G1685" s="102" t="n">
        <f aca="false">IFERROR(F1685/INDEX($G$5:$G$34,MATCH(LOOKUP(2,1/($A$39:A1685&lt;&gt;""),$A$39:A1685),$A$5:$A$34,0)),0)</f>
        <v>0</v>
      </c>
      <c r="H1685" s="103" t="str">
        <f aca="false">IF(G1685=0,"空闲",IF(G1685&lt;=0.6,"低负荷",IF(G1685&lt;=0.85,"正常",IF(G1685&lt;=1,"满负荷","超负荷"))))</f>
        <v>空闲</v>
      </c>
      <c r="I1685" s="104" t="s">
        <v>638</v>
      </c>
      <c r="J1685" s="104"/>
      <c r="K1685" s="104"/>
      <c r="L1685" s="105" t="s">
        <v>639</v>
      </c>
    </row>
    <row r="1686" customFormat="false" ht="48" hidden="false" customHeight="true" outlineLevel="0" collapsed="false">
      <c r="A1686" s="99"/>
      <c r="B1686" s="100" t="n">
        <v>46146</v>
      </c>
      <c r="C1686" s="100" t="n">
        <v>46152</v>
      </c>
      <c r="D1686" s="99" t="s">
        <v>638</v>
      </c>
      <c r="E1686" s="99" t="n">
        <v>0</v>
      </c>
      <c r="F1686" s="101" t="n">
        <v>0</v>
      </c>
      <c r="G1686" s="102" t="n">
        <f aca="false">IFERROR(F1686/INDEX($G$5:$G$34,MATCH(LOOKUP(2,1/($A$39:A1686&lt;&gt;""),$A$39:A1686),$A$5:$A$34,0)),0)</f>
        <v>0</v>
      </c>
      <c r="H1686" s="103" t="str">
        <f aca="false">IF(G1686=0,"空闲",IF(G1686&lt;=0.6,"低负荷",IF(G1686&lt;=0.85,"正常",IF(G1686&lt;=1,"满负荷","超负荷"))))</f>
        <v>空闲</v>
      </c>
      <c r="I1686" s="104" t="s">
        <v>638</v>
      </c>
      <c r="J1686" s="104"/>
      <c r="K1686" s="104"/>
      <c r="L1686" s="105" t="s">
        <v>639</v>
      </c>
    </row>
    <row r="1687" customFormat="false" ht="48" hidden="false" customHeight="true" outlineLevel="0" collapsed="false">
      <c r="A1687" s="99"/>
      <c r="B1687" s="100" t="n">
        <v>46153</v>
      </c>
      <c r="C1687" s="100" t="n">
        <v>46159</v>
      </c>
      <c r="D1687" s="99" t="s">
        <v>638</v>
      </c>
      <c r="E1687" s="99" t="n">
        <v>0</v>
      </c>
      <c r="F1687" s="101" t="n">
        <v>0</v>
      </c>
      <c r="G1687" s="102" t="n">
        <f aca="false">IFERROR(F1687/INDEX($G$5:$G$34,MATCH(LOOKUP(2,1/($A$39:A1687&lt;&gt;""),$A$39:A1687),$A$5:$A$34,0)),0)</f>
        <v>0</v>
      </c>
      <c r="H1687" s="103" t="str">
        <f aca="false">IF(G1687=0,"空闲",IF(G1687&lt;=0.6,"低负荷",IF(G1687&lt;=0.85,"正常",IF(G1687&lt;=1,"满负荷","超负荷"))))</f>
        <v>空闲</v>
      </c>
      <c r="I1687" s="104" t="s">
        <v>638</v>
      </c>
      <c r="J1687" s="104"/>
      <c r="K1687" s="104"/>
      <c r="L1687" s="105" t="s">
        <v>639</v>
      </c>
    </row>
    <row r="1688" customFormat="false" ht="48" hidden="false" customHeight="true" outlineLevel="0" collapsed="false">
      <c r="A1688" s="99"/>
      <c r="B1688" s="100" t="n">
        <v>46160</v>
      </c>
      <c r="C1688" s="100" t="n">
        <v>46166</v>
      </c>
      <c r="D1688" s="99" t="s">
        <v>638</v>
      </c>
      <c r="E1688" s="99" t="n">
        <v>0</v>
      </c>
      <c r="F1688" s="101" t="n">
        <v>0</v>
      </c>
      <c r="G1688" s="102" t="n">
        <f aca="false">IFERROR(F1688/INDEX($G$5:$G$34,MATCH(LOOKUP(2,1/($A$39:A1688&lt;&gt;""),$A$39:A1688),$A$5:$A$34,0)),0)</f>
        <v>0</v>
      </c>
      <c r="H1688" s="103" t="str">
        <f aca="false">IF(G1688=0,"空闲",IF(G1688&lt;=0.6,"低负荷",IF(G1688&lt;=0.85,"正常",IF(G1688&lt;=1,"满负荷","超负荷"))))</f>
        <v>空闲</v>
      </c>
      <c r="I1688" s="104" t="s">
        <v>638</v>
      </c>
      <c r="J1688" s="104"/>
      <c r="K1688" s="104"/>
      <c r="L1688" s="105" t="s">
        <v>639</v>
      </c>
    </row>
    <row r="1689" customFormat="false" ht="48" hidden="false" customHeight="true" outlineLevel="0" collapsed="false">
      <c r="A1689" s="99"/>
      <c r="B1689" s="100" t="n">
        <v>46167</v>
      </c>
      <c r="C1689" s="100" t="n">
        <v>46173</v>
      </c>
      <c r="D1689" s="99" t="s">
        <v>638</v>
      </c>
      <c r="E1689" s="99" t="n">
        <v>0</v>
      </c>
      <c r="F1689" s="101" t="n">
        <v>0</v>
      </c>
      <c r="G1689" s="102" t="n">
        <f aca="false">IFERROR(F1689/INDEX($G$5:$G$34,MATCH(LOOKUP(2,1/($A$39:A1689&lt;&gt;""),$A$39:A1689),$A$5:$A$34,0)),0)</f>
        <v>0</v>
      </c>
      <c r="H1689" s="103" t="str">
        <f aca="false">IF(G1689=0,"空闲",IF(G1689&lt;=0.6,"低负荷",IF(G1689&lt;=0.85,"正常",IF(G1689&lt;=1,"满负荷","超负荷"))))</f>
        <v>空闲</v>
      </c>
      <c r="I1689" s="104" t="s">
        <v>638</v>
      </c>
      <c r="J1689" s="104"/>
      <c r="K1689" s="104"/>
      <c r="L1689" s="105" t="s">
        <v>639</v>
      </c>
    </row>
    <row r="1690" customFormat="false" ht="48" hidden="false" customHeight="true" outlineLevel="0" collapsed="false">
      <c r="A1690" s="99"/>
      <c r="B1690" s="100" t="n">
        <v>46174</v>
      </c>
      <c r="C1690" s="100" t="n">
        <v>46180</v>
      </c>
      <c r="D1690" s="99" t="s">
        <v>638</v>
      </c>
      <c r="E1690" s="99" t="n">
        <v>0</v>
      </c>
      <c r="F1690" s="101" t="n">
        <v>0</v>
      </c>
      <c r="G1690" s="102" t="n">
        <f aca="false">IFERROR(F1690/INDEX($G$5:$G$34,MATCH(LOOKUP(2,1/($A$39:A1690&lt;&gt;""),$A$39:A1690),$A$5:$A$34,0)),0)</f>
        <v>0</v>
      </c>
      <c r="H1690" s="103" t="str">
        <f aca="false">IF(G1690=0,"空闲",IF(G1690&lt;=0.6,"低负荷",IF(G1690&lt;=0.85,"正常",IF(G1690&lt;=1,"满负荷","超负荷"))))</f>
        <v>空闲</v>
      </c>
      <c r="I1690" s="104" t="s">
        <v>638</v>
      </c>
      <c r="J1690" s="104"/>
      <c r="K1690" s="104"/>
      <c r="L1690" s="105" t="s">
        <v>639</v>
      </c>
    </row>
    <row r="1691" customFormat="false" ht="48" hidden="false" customHeight="true" outlineLevel="0" collapsed="false">
      <c r="A1691" s="99"/>
      <c r="B1691" s="100" t="n">
        <v>46181</v>
      </c>
      <c r="C1691" s="100" t="n">
        <v>46187</v>
      </c>
      <c r="D1691" s="99" t="s">
        <v>638</v>
      </c>
      <c r="E1691" s="99" t="n">
        <v>0</v>
      </c>
      <c r="F1691" s="101" t="n">
        <v>0</v>
      </c>
      <c r="G1691" s="102" t="n">
        <f aca="false">IFERROR(F1691/INDEX($G$5:$G$34,MATCH(LOOKUP(2,1/($A$39:A1691&lt;&gt;""),$A$39:A1691),$A$5:$A$34,0)),0)</f>
        <v>0</v>
      </c>
      <c r="H1691" s="103" t="str">
        <f aca="false">IF(G1691=0,"空闲",IF(G1691&lt;=0.6,"低负荷",IF(G1691&lt;=0.85,"正常",IF(G1691&lt;=1,"满负荷","超负荷"))))</f>
        <v>空闲</v>
      </c>
      <c r="I1691" s="104" t="s">
        <v>638</v>
      </c>
      <c r="J1691" s="104"/>
      <c r="K1691" s="104"/>
      <c r="L1691" s="105" t="s">
        <v>639</v>
      </c>
    </row>
    <row r="1692" customFormat="false" ht="48" hidden="false" customHeight="true" outlineLevel="0" collapsed="false">
      <c r="A1692" s="99"/>
      <c r="B1692" s="100" t="n">
        <v>46188</v>
      </c>
      <c r="C1692" s="100" t="n">
        <v>46194</v>
      </c>
      <c r="D1692" s="99" t="s">
        <v>638</v>
      </c>
      <c r="E1692" s="99" t="n">
        <v>0</v>
      </c>
      <c r="F1692" s="101" t="n">
        <v>0</v>
      </c>
      <c r="G1692" s="102" t="n">
        <f aca="false">IFERROR(F1692/INDEX($G$5:$G$34,MATCH(LOOKUP(2,1/($A$39:A1692&lt;&gt;""),$A$39:A1692),$A$5:$A$34,0)),0)</f>
        <v>0</v>
      </c>
      <c r="H1692" s="103" t="str">
        <f aca="false">IF(G1692=0,"空闲",IF(G1692&lt;=0.6,"低负荷",IF(G1692&lt;=0.85,"正常",IF(G1692&lt;=1,"满负荷","超负荷"))))</f>
        <v>空闲</v>
      </c>
      <c r="I1692" s="104" t="s">
        <v>638</v>
      </c>
      <c r="J1692" s="104"/>
      <c r="K1692" s="104"/>
      <c r="L1692" s="105" t="s">
        <v>639</v>
      </c>
    </row>
    <row r="1693" customFormat="false" ht="48" hidden="false" customHeight="true" outlineLevel="0" collapsed="false">
      <c r="A1693" s="99"/>
      <c r="B1693" s="100" t="n">
        <v>46195</v>
      </c>
      <c r="C1693" s="100" t="n">
        <v>46201</v>
      </c>
      <c r="D1693" s="99" t="s">
        <v>638</v>
      </c>
      <c r="E1693" s="99" t="n">
        <v>0</v>
      </c>
      <c r="F1693" s="101" t="n">
        <v>0</v>
      </c>
      <c r="G1693" s="102" t="n">
        <f aca="false">IFERROR(F1693/INDEX($G$5:$G$34,MATCH(LOOKUP(2,1/($A$39:A1693&lt;&gt;""),$A$39:A1693),$A$5:$A$34,0)),0)</f>
        <v>0</v>
      </c>
      <c r="H1693" s="103" t="str">
        <f aca="false">IF(G1693=0,"空闲",IF(G1693&lt;=0.6,"低负荷",IF(G1693&lt;=0.85,"正常",IF(G1693&lt;=1,"满负荷","超负荷"))))</f>
        <v>空闲</v>
      </c>
      <c r="I1693" s="104" t="s">
        <v>638</v>
      </c>
      <c r="J1693" s="104"/>
      <c r="K1693" s="104"/>
      <c r="L1693" s="105" t="s">
        <v>639</v>
      </c>
    </row>
    <row r="1694" customFormat="false" ht="48" hidden="false" customHeight="true" outlineLevel="0" collapsed="false">
      <c r="A1694" s="99"/>
      <c r="B1694" s="100" t="n">
        <v>46202</v>
      </c>
      <c r="C1694" s="100" t="n">
        <v>46208</v>
      </c>
      <c r="D1694" s="99" t="s">
        <v>638</v>
      </c>
      <c r="E1694" s="99" t="n">
        <v>0</v>
      </c>
      <c r="F1694" s="101" t="n">
        <v>0</v>
      </c>
      <c r="G1694" s="102" t="n">
        <f aca="false">IFERROR(F1694/INDEX($G$5:$G$34,MATCH(LOOKUP(2,1/($A$39:A1694&lt;&gt;""),$A$39:A1694),$A$5:$A$34,0)),0)</f>
        <v>0</v>
      </c>
      <c r="H1694" s="103" t="str">
        <f aca="false">IF(G1694=0,"空闲",IF(G1694&lt;=0.6,"低负荷",IF(G1694&lt;=0.85,"正常",IF(G1694&lt;=1,"满负荷","超负荷"))))</f>
        <v>空闲</v>
      </c>
      <c r="I1694" s="104" t="s">
        <v>638</v>
      </c>
      <c r="J1694" s="104"/>
      <c r="K1694" s="104"/>
      <c r="L1694" s="105" t="s">
        <v>639</v>
      </c>
    </row>
    <row r="1695" customFormat="false" ht="48" hidden="false" customHeight="true" outlineLevel="0" collapsed="false">
      <c r="A1695" s="99"/>
      <c r="B1695" s="100" t="n">
        <v>46209</v>
      </c>
      <c r="C1695" s="100" t="n">
        <v>46215</v>
      </c>
      <c r="D1695" s="99" t="s">
        <v>638</v>
      </c>
      <c r="E1695" s="99" t="n">
        <v>0</v>
      </c>
      <c r="F1695" s="101" t="n">
        <v>0</v>
      </c>
      <c r="G1695" s="102" t="n">
        <f aca="false">IFERROR(F1695/INDEX($G$5:$G$34,MATCH(LOOKUP(2,1/($A$39:A1695&lt;&gt;""),$A$39:A1695),$A$5:$A$34,0)),0)</f>
        <v>0</v>
      </c>
      <c r="H1695" s="103" t="str">
        <f aca="false">IF(G1695=0,"空闲",IF(G1695&lt;=0.6,"低负荷",IF(G1695&lt;=0.85,"正常",IF(G1695&lt;=1,"满负荷","超负荷"))))</f>
        <v>空闲</v>
      </c>
      <c r="I1695" s="104" t="s">
        <v>638</v>
      </c>
      <c r="J1695" s="104"/>
      <c r="K1695" s="104"/>
      <c r="L1695" s="105" t="s">
        <v>639</v>
      </c>
    </row>
    <row r="1696" customFormat="false" ht="48" hidden="false" customHeight="true" outlineLevel="0" collapsed="false">
      <c r="A1696" s="99"/>
      <c r="B1696" s="100" t="n">
        <v>46216</v>
      </c>
      <c r="C1696" s="100" t="n">
        <v>46222</v>
      </c>
      <c r="D1696" s="99" t="s">
        <v>638</v>
      </c>
      <c r="E1696" s="99" t="n">
        <v>0</v>
      </c>
      <c r="F1696" s="101" t="n">
        <v>0</v>
      </c>
      <c r="G1696" s="102" t="n">
        <f aca="false">IFERROR(F1696/INDEX($G$5:$G$34,MATCH(LOOKUP(2,1/($A$39:A1696&lt;&gt;""),$A$39:A1696),$A$5:$A$34,0)),0)</f>
        <v>0</v>
      </c>
      <c r="H1696" s="103" t="str">
        <f aca="false">IF(G1696=0,"空闲",IF(G1696&lt;=0.6,"低负荷",IF(G1696&lt;=0.85,"正常",IF(G1696&lt;=1,"满负荷","超负荷"))))</f>
        <v>空闲</v>
      </c>
      <c r="I1696" s="104" t="s">
        <v>638</v>
      </c>
      <c r="J1696" s="104"/>
      <c r="K1696" s="104"/>
      <c r="L1696" s="105" t="s">
        <v>639</v>
      </c>
    </row>
    <row r="1697" customFormat="false" ht="48" hidden="false" customHeight="true" outlineLevel="0" collapsed="false">
      <c r="A1697" s="99"/>
      <c r="B1697" s="100" t="n">
        <v>46223</v>
      </c>
      <c r="C1697" s="100" t="n">
        <v>46229</v>
      </c>
      <c r="D1697" s="99" t="s">
        <v>638</v>
      </c>
      <c r="E1697" s="99" t="n">
        <v>0</v>
      </c>
      <c r="F1697" s="101" t="n">
        <v>0</v>
      </c>
      <c r="G1697" s="102" t="n">
        <f aca="false">IFERROR(F1697/INDEX($G$5:$G$34,MATCH(LOOKUP(2,1/($A$39:A1697&lt;&gt;""),$A$39:A1697),$A$5:$A$34,0)),0)</f>
        <v>0</v>
      </c>
      <c r="H1697" s="103" t="str">
        <f aca="false">IF(G1697=0,"空闲",IF(G1697&lt;=0.6,"低负荷",IF(G1697&lt;=0.85,"正常",IF(G1697&lt;=1,"满负荷","超负荷"))))</f>
        <v>空闲</v>
      </c>
      <c r="I1697" s="104" t="s">
        <v>638</v>
      </c>
      <c r="J1697" s="104"/>
      <c r="K1697" s="104"/>
      <c r="L1697" s="105" t="s">
        <v>639</v>
      </c>
    </row>
    <row r="1698" customFormat="false" ht="48" hidden="false" customHeight="true" outlineLevel="0" collapsed="false">
      <c r="A1698" s="99"/>
      <c r="B1698" s="100" t="n">
        <v>46230</v>
      </c>
      <c r="C1698" s="100" t="n">
        <v>46236</v>
      </c>
      <c r="D1698" s="99" t="s">
        <v>638</v>
      </c>
      <c r="E1698" s="99" t="n">
        <v>0</v>
      </c>
      <c r="F1698" s="101" t="n">
        <v>0</v>
      </c>
      <c r="G1698" s="102" t="n">
        <f aca="false">IFERROR(F1698/INDEX($G$5:$G$34,MATCH(LOOKUP(2,1/($A$39:A1698&lt;&gt;""),$A$39:A1698),$A$5:$A$34,0)),0)</f>
        <v>0</v>
      </c>
      <c r="H1698" s="103" t="str">
        <f aca="false">IF(G1698=0,"空闲",IF(G1698&lt;=0.6,"低负荷",IF(G1698&lt;=0.85,"正常",IF(G1698&lt;=1,"满负荷","超负荷"))))</f>
        <v>空闲</v>
      </c>
      <c r="I1698" s="104" t="s">
        <v>638</v>
      </c>
      <c r="J1698" s="104"/>
      <c r="K1698" s="104"/>
      <c r="L1698" s="105" t="s">
        <v>639</v>
      </c>
    </row>
    <row r="1699" customFormat="false" ht="48" hidden="false" customHeight="true" outlineLevel="0" collapsed="false">
      <c r="A1699" s="99"/>
      <c r="B1699" s="100" t="n">
        <v>46237</v>
      </c>
      <c r="C1699" s="100" t="n">
        <v>46243</v>
      </c>
      <c r="D1699" s="99" t="s">
        <v>638</v>
      </c>
      <c r="E1699" s="99" t="n">
        <v>0</v>
      </c>
      <c r="F1699" s="101" t="n">
        <v>0</v>
      </c>
      <c r="G1699" s="102" t="n">
        <f aca="false">IFERROR(F1699/INDEX($G$5:$G$34,MATCH(LOOKUP(2,1/($A$39:A1699&lt;&gt;""),$A$39:A1699),$A$5:$A$34,0)),0)</f>
        <v>0</v>
      </c>
      <c r="H1699" s="103" t="str">
        <f aca="false">IF(G1699=0,"空闲",IF(G1699&lt;=0.6,"低负荷",IF(G1699&lt;=0.85,"正常",IF(G1699&lt;=1,"满负荷","超负荷"))))</f>
        <v>空闲</v>
      </c>
      <c r="I1699" s="104" t="s">
        <v>638</v>
      </c>
      <c r="J1699" s="104"/>
      <c r="K1699" s="104"/>
      <c r="L1699" s="105" t="s">
        <v>639</v>
      </c>
    </row>
    <row r="1700" customFormat="false" ht="48" hidden="false" customHeight="true" outlineLevel="0" collapsed="false">
      <c r="A1700" s="99"/>
      <c r="B1700" s="100" t="n">
        <v>46244</v>
      </c>
      <c r="C1700" s="100" t="n">
        <v>46250</v>
      </c>
      <c r="D1700" s="99" t="s">
        <v>638</v>
      </c>
      <c r="E1700" s="99" t="n">
        <v>0</v>
      </c>
      <c r="F1700" s="101" t="n">
        <v>0</v>
      </c>
      <c r="G1700" s="102" t="n">
        <f aca="false">IFERROR(F1700/INDEX($G$5:$G$34,MATCH(LOOKUP(2,1/($A$39:A1700&lt;&gt;""),$A$39:A1700),$A$5:$A$34,0)),0)</f>
        <v>0</v>
      </c>
      <c r="H1700" s="103" t="str">
        <f aca="false">IF(G1700=0,"空闲",IF(G1700&lt;=0.6,"低负荷",IF(G1700&lt;=0.85,"正常",IF(G1700&lt;=1,"满负荷","超负荷"))))</f>
        <v>空闲</v>
      </c>
      <c r="I1700" s="104" t="s">
        <v>638</v>
      </c>
      <c r="J1700" s="104"/>
      <c r="K1700" s="104"/>
      <c r="L1700" s="105" t="s">
        <v>639</v>
      </c>
    </row>
    <row r="1701" customFormat="false" ht="48" hidden="false" customHeight="true" outlineLevel="0" collapsed="false">
      <c r="A1701" s="99"/>
      <c r="B1701" s="100" t="n">
        <v>46251</v>
      </c>
      <c r="C1701" s="100" t="n">
        <v>46257</v>
      </c>
      <c r="D1701" s="99" t="s">
        <v>638</v>
      </c>
      <c r="E1701" s="99" t="n">
        <v>0</v>
      </c>
      <c r="F1701" s="101" t="n">
        <v>0</v>
      </c>
      <c r="G1701" s="102" t="n">
        <f aca="false">IFERROR(F1701/INDEX($G$5:$G$34,MATCH(LOOKUP(2,1/($A$39:A1701&lt;&gt;""),$A$39:A1701),$A$5:$A$34,0)),0)</f>
        <v>0</v>
      </c>
      <c r="H1701" s="103" t="str">
        <f aca="false">IF(G1701=0,"空闲",IF(G1701&lt;=0.6,"低负荷",IF(G1701&lt;=0.85,"正常",IF(G1701&lt;=1,"满负荷","超负荷"))))</f>
        <v>空闲</v>
      </c>
      <c r="I1701" s="104" t="s">
        <v>638</v>
      </c>
      <c r="J1701" s="104"/>
      <c r="K1701" s="104"/>
      <c r="L1701" s="105" t="s">
        <v>639</v>
      </c>
    </row>
    <row r="1702" customFormat="false" ht="48" hidden="false" customHeight="true" outlineLevel="0" collapsed="false">
      <c r="A1702" s="99"/>
      <c r="B1702" s="100" t="n">
        <v>46258</v>
      </c>
      <c r="C1702" s="100" t="n">
        <v>46264</v>
      </c>
      <c r="D1702" s="99" t="s">
        <v>638</v>
      </c>
      <c r="E1702" s="99" t="n">
        <v>0</v>
      </c>
      <c r="F1702" s="101" t="n">
        <v>0</v>
      </c>
      <c r="G1702" s="102" t="n">
        <f aca="false">IFERROR(F1702/INDEX($G$5:$G$34,MATCH(LOOKUP(2,1/($A$39:A1702&lt;&gt;""),$A$39:A1702),$A$5:$A$34,0)),0)</f>
        <v>0</v>
      </c>
      <c r="H1702" s="103" t="str">
        <f aca="false">IF(G1702=0,"空闲",IF(G1702&lt;=0.6,"低负荷",IF(G1702&lt;=0.85,"正常",IF(G1702&lt;=1,"满负荷","超负荷"))))</f>
        <v>空闲</v>
      </c>
      <c r="I1702" s="104" t="s">
        <v>638</v>
      </c>
      <c r="J1702" s="104"/>
      <c r="K1702" s="104"/>
      <c r="L1702" s="105" t="s">
        <v>639</v>
      </c>
    </row>
    <row r="1703" customFormat="false" ht="48" hidden="false" customHeight="true" outlineLevel="0" collapsed="false">
      <c r="A1703" s="99"/>
      <c r="B1703" s="100" t="n">
        <v>46265</v>
      </c>
      <c r="C1703" s="100" t="n">
        <v>46271</v>
      </c>
      <c r="D1703" s="99" t="s">
        <v>638</v>
      </c>
      <c r="E1703" s="99" t="n">
        <v>0</v>
      </c>
      <c r="F1703" s="101" t="n">
        <v>0</v>
      </c>
      <c r="G1703" s="102" t="n">
        <f aca="false">IFERROR(F1703/INDEX($G$5:$G$34,MATCH(LOOKUP(2,1/($A$39:A1703&lt;&gt;""),$A$39:A1703),$A$5:$A$34,0)),0)</f>
        <v>0</v>
      </c>
      <c r="H1703" s="103" t="str">
        <f aca="false">IF(G1703=0,"空闲",IF(G1703&lt;=0.6,"低负荷",IF(G1703&lt;=0.85,"正常",IF(G1703&lt;=1,"满负荷","超负荷"))))</f>
        <v>空闲</v>
      </c>
      <c r="I1703" s="104" t="s">
        <v>638</v>
      </c>
      <c r="J1703" s="104"/>
      <c r="K1703" s="104"/>
      <c r="L1703" s="105" t="s">
        <v>639</v>
      </c>
    </row>
    <row r="1704" customFormat="false" ht="48" hidden="false" customHeight="true" outlineLevel="0" collapsed="false">
      <c r="A1704" s="99"/>
      <c r="B1704" s="100" t="n">
        <v>46272</v>
      </c>
      <c r="C1704" s="100" t="n">
        <v>46278</v>
      </c>
      <c r="D1704" s="99" t="s">
        <v>638</v>
      </c>
      <c r="E1704" s="99" t="n">
        <v>0</v>
      </c>
      <c r="F1704" s="101" t="n">
        <v>0</v>
      </c>
      <c r="G1704" s="102" t="n">
        <f aca="false">IFERROR(F1704/INDEX($G$5:$G$34,MATCH(LOOKUP(2,1/($A$39:A1704&lt;&gt;""),$A$39:A1704),$A$5:$A$34,0)),0)</f>
        <v>0</v>
      </c>
      <c r="H1704" s="103" t="str">
        <f aca="false">IF(G1704=0,"空闲",IF(G1704&lt;=0.6,"低负荷",IF(G1704&lt;=0.85,"正常",IF(G1704&lt;=1,"满负荷","超负荷"))))</f>
        <v>空闲</v>
      </c>
      <c r="I1704" s="104" t="s">
        <v>638</v>
      </c>
      <c r="J1704" s="104"/>
      <c r="K1704" s="104"/>
      <c r="L1704" s="105" t="s">
        <v>639</v>
      </c>
    </row>
    <row r="1705" customFormat="false" ht="48" hidden="false" customHeight="true" outlineLevel="0" collapsed="false">
      <c r="A1705" s="99"/>
      <c r="B1705" s="100" t="n">
        <v>46279</v>
      </c>
      <c r="C1705" s="100" t="n">
        <v>46285</v>
      </c>
      <c r="D1705" s="99" t="s">
        <v>638</v>
      </c>
      <c r="E1705" s="99" t="n">
        <v>0</v>
      </c>
      <c r="F1705" s="101" t="n">
        <v>0</v>
      </c>
      <c r="G1705" s="102" t="n">
        <f aca="false">IFERROR(F1705/INDEX($G$5:$G$34,MATCH(LOOKUP(2,1/($A$39:A1705&lt;&gt;""),$A$39:A1705),$A$5:$A$34,0)),0)</f>
        <v>0</v>
      </c>
      <c r="H1705" s="103" t="str">
        <f aca="false">IF(G1705=0,"空闲",IF(G1705&lt;=0.6,"低负荷",IF(G1705&lt;=0.85,"正常",IF(G1705&lt;=1,"满负荷","超负荷"))))</f>
        <v>空闲</v>
      </c>
      <c r="I1705" s="104" t="s">
        <v>638</v>
      </c>
      <c r="J1705" s="104"/>
      <c r="K1705" s="104"/>
      <c r="L1705" s="105" t="s">
        <v>639</v>
      </c>
    </row>
    <row r="1706" customFormat="false" ht="48" hidden="false" customHeight="true" outlineLevel="0" collapsed="false">
      <c r="A1706" s="99"/>
      <c r="B1706" s="100" t="n">
        <v>46286</v>
      </c>
      <c r="C1706" s="100" t="n">
        <v>46292</v>
      </c>
      <c r="D1706" s="99" t="s">
        <v>638</v>
      </c>
      <c r="E1706" s="99" t="n">
        <v>0</v>
      </c>
      <c r="F1706" s="101" t="n">
        <v>0</v>
      </c>
      <c r="G1706" s="102" t="n">
        <f aca="false">IFERROR(F1706/INDEX($G$5:$G$34,MATCH(LOOKUP(2,1/($A$39:A1706&lt;&gt;""),$A$39:A1706),$A$5:$A$34,0)),0)</f>
        <v>0</v>
      </c>
      <c r="H1706" s="103" t="str">
        <f aca="false">IF(G1706=0,"空闲",IF(G1706&lt;=0.6,"低负荷",IF(G1706&lt;=0.85,"正常",IF(G1706&lt;=1,"满负荷","超负荷"))))</f>
        <v>空闲</v>
      </c>
      <c r="I1706" s="104" t="s">
        <v>638</v>
      </c>
      <c r="J1706" s="104"/>
      <c r="K1706" s="104"/>
      <c r="L1706" s="105" t="s">
        <v>639</v>
      </c>
    </row>
    <row r="1707" customFormat="false" ht="48" hidden="false" customHeight="true" outlineLevel="0" collapsed="false">
      <c r="A1707" s="99"/>
      <c r="B1707" s="100" t="n">
        <v>46293</v>
      </c>
      <c r="C1707" s="100" t="n">
        <v>46299</v>
      </c>
      <c r="D1707" s="99" t="s">
        <v>638</v>
      </c>
      <c r="E1707" s="99" t="n">
        <v>0</v>
      </c>
      <c r="F1707" s="101" t="n">
        <v>0</v>
      </c>
      <c r="G1707" s="102" t="n">
        <f aca="false">IFERROR(F1707/INDEX($G$5:$G$34,MATCH(LOOKUP(2,1/($A$39:A1707&lt;&gt;""),$A$39:A1707),$A$5:$A$34,0)),0)</f>
        <v>0</v>
      </c>
      <c r="H1707" s="103" t="str">
        <f aca="false">IF(G1707=0,"空闲",IF(G1707&lt;=0.6,"低负荷",IF(G1707&lt;=0.85,"正常",IF(G1707&lt;=1,"满负荷","超负荷"))))</f>
        <v>空闲</v>
      </c>
      <c r="I1707" s="104" t="s">
        <v>638</v>
      </c>
      <c r="J1707" s="104"/>
      <c r="K1707" s="104"/>
      <c r="L1707" s="105" t="s">
        <v>639</v>
      </c>
    </row>
    <row r="1708" customFormat="false" ht="48" hidden="false" customHeight="true" outlineLevel="0" collapsed="false">
      <c r="A1708" s="99"/>
      <c r="B1708" s="100" t="n">
        <v>46300</v>
      </c>
      <c r="C1708" s="100" t="n">
        <v>46306</v>
      </c>
      <c r="D1708" s="99" t="s">
        <v>638</v>
      </c>
      <c r="E1708" s="99" t="n">
        <v>0</v>
      </c>
      <c r="F1708" s="101" t="n">
        <v>0</v>
      </c>
      <c r="G1708" s="102" t="n">
        <f aca="false">IFERROR(F1708/INDEX($G$5:$G$34,MATCH(LOOKUP(2,1/($A$39:A1708&lt;&gt;""),$A$39:A1708),$A$5:$A$34,0)),0)</f>
        <v>0</v>
      </c>
      <c r="H1708" s="103" t="str">
        <f aca="false">IF(G1708=0,"空闲",IF(G1708&lt;=0.6,"低负荷",IF(G1708&lt;=0.85,"正常",IF(G1708&lt;=1,"满负荷","超负荷"))))</f>
        <v>空闲</v>
      </c>
      <c r="I1708" s="104" t="s">
        <v>638</v>
      </c>
      <c r="J1708" s="104"/>
      <c r="K1708" s="104"/>
      <c r="L1708" s="105" t="s">
        <v>639</v>
      </c>
    </row>
    <row r="1709" customFormat="false" ht="48" hidden="false" customHeight="true" outlineLevel="0" collapsed="false">
      <c r="A1709" s="99"/>
      <c r="B1709" s="100" t="n">
        <v>46307</v>
      </c>
      <c r="C1709" s="100" t="n">
        <v>46313</v>
      </c>
      <c r="D1709" s="99" t="s">
        <v>638</v>
      </c>
      <c r="E1709" s="99" t="n">
        <v>0</v>
      </c>
      <c r="F1709" s="101" t="n">
        <v>0</v>
      </c>
      <c r="G1709" s="102" t="n">
        <f aca="false">IFERROR(F1709/INDEX($G$5:$G$34,MATCH(LOOKUP(2,1/($A$39:A1709&lt;&gt;""),$A$39:A1709),$A$5:$A$34,0)),0)</f>
        <v>0</v>
      </c>
      <c r="H1709" s="103" t="str">
        <f aca="false">IF(G1709=0,"空闲",IF(G1709&lt;=0.6,"低负荷",IF(G1709&lt;=0.85,"正常",IF(G1709&lt;=1,"满负荷","超负荷"))))</f>
        <v>空闲</v>
      </c>
      <c r="I1709" s="104" t="s">
        <v>638</v>
      </c>
      <c r="J1709" s="104"/>
      <c r="K1709" s="104"/>
      <c r="L1709" s="105" t="s">
        <v>639</v>
      </c>
    </row>
    <row r="1710" customFormat="false" ht="48" hidden="false" customHeight="true" outlineLevel="0" collapsed="false">
      <c r="A1710" s="99"/>
      <c r="B1710" s="100" t="n">
        <v>46314</v>
      </c>
      <c r="C1710" s="100" t="n">
        <v>46320</v>
      </c>
      <c r="D1710" s="99" t="s">
        <v>638</v>
      </c>
      <c r="E1710" s="99" t="n">
        <v>0</v>
      </c>
      <c r="F1710" s="101" t="n">
        <v>0</v>
      </c>
      <c r="G1710" s="102" t="n">
        <f aca="false">IFERROR(F1710/INDEX($G$5:$G$34,MATCH(LOOKUP(2,1/($A$39:A1710&lt;&gt;""),$A$39:A1710),$A$5:$A$34,0)),0)</f>
        <v>0</v>
      </c>
      <c r="H1710" s="103" t="str">
        <f aca="false">IF(G1710=0,"空闲",IF(G1710&lt;=0.6,"低负荷",IF(G1710&lt;=0.85,"正常",IF(G1710&lt;=1,"满负荷","超负荷"))))</f>
        <v>空闲</v>
      </c>
      <c r="I1710" s="104" t="s">
        <v>638</v>
      </c>
      <c r="J1710" s="104"/>
      <c r="K1710" s="104"/>
      <c r="L1710" s="105" t="s">
        <v>639</v>
      </c>
    </row>
    <row r="1711" customFormat="false" ht="48" hidden="false" customHeight="true" outlineLevel="0" collapsed="false">
      <c r="A1711" s="99"/>
      <c r="B1711" s="100" t="n">
        <v>46321</v>
      </c>
      <c r="C1711" s="100" t="n">
        <v>46327</v>
      </c>
      <c r="D1711" s="99" t="s">
        <v>638</v>
      </c>
      <c r="E1711" s="99" t="n">
        <v>0</v>
      </c>
      <c r="F1711" s="101" t="n">
        <v>0</v>
      </c>
      <c r="G1711" s="102" t="n">
        <f aca="false">IFERROR(F1711/INDEX($G$5:$G$34,MATCH(LOOKUP(2,1/($A$39:A1711&lt;&gt;""),$A$39:A1711),$A$5:$A$34,0)),0)</f>
        <v>0</v>
      </c>
      <c r="H1711" s="103" t="str">
        <f aca="false">IF(G1711=0,"空闲",IF(G1711&lt;=0.6,"低负荷",IF(G1711&lt;=0.85,"正常",IF(G1711&lt;=1,"满负荷","超负荷"))))</f>
        <v>空闲</v>
      </c>
      <c r="I1711" s="104" t="s">
        <v>638</v>
      </c>
      <c r="J1711" s="104"/>
      <c r="K1711" s="104"/>
      <c r="L1711" s="105" t="s">
        <v>639</v>
      </c>
    </row>
    <row r="1712" customFormat="false" ht="48" hidden="false" customHeight="true" outlineLevel="0" collapsed="false">
      <c r="A1712" s="99"/>
      <c r="B1712" s="100" t="n">
        <v>46328</v>
      </c>
      <c r="C1712" s="100" t="n">
        <v>46334</v>
      </c>
      <c r="D1712" s="99" t="s">
        <v>638</v>
      </c>
      <c r="E1712" s="99" t="n">
        <v>0</v>
      </c>
      <c r="F1712" s="101" t="n">
        <v>0</v>
      </c>
      <c r="G1712" s="102" t="n">
        <f aca="false">IFERROR(F1712/INDEX($G$5:$G$34,MATCH(LOOKUP(2,1/($A$39:A1712&lt;&gt;""),$A$39:A1712),$A$5:$A$34,0)),0)</f>
        <v>0</v>
      </c>
      <c r="H1712" s="103" t="str">
        <f aca="false">IF(G1712=0,"空闲",IF(G1712&lt;=0.6,"低负荷",IF(G1712&lt;=0.85,"正常",IF(G1712&lt;=1,"满负荷","超负荷"))))</f>
        <v>空闲</v>
      </c>
      <c r="I1712" s="104" t="s">
        <v>638</v>
      </c>
      <c r="J1712" s="104"/>
      <c r="K1712" s="104"/>
      <c r="L1712" s="105" t="s">
        <v>639</v>
      </c>
    </row>
    <row r="1713" customFormat="false" ht="48" hidden="false" customHeight="true" outlineLevel="0" collapsed="false">
      <c r="A1713" s="99"/>
      <c r="B1713" s="100" t="n">
        <v>46335</v>
      </c>
      <c r="C1713" s="100" t="n">
        <v>46341</v>
      </c>
      <c r="D1713" s="99" t="s">
        <v>638</v>
      </c>
      <c r="E1713" s="99" t="n">
        <v>0</v>
      </c>
      <c r="F1713" s="101" t="n">
        <v>0</v>
      </c>
      <c r="G1713" s="102" t="n">
        <f aca="false">IFERROR(F1713/INDEX($G$5:$G$34,MATCH(LOOKUP(2,1/($A$39:A1713&lt;&gt;""),$A$39:A1713),$A$5:$A$34,0)),0)</f>
        <v>0</v>
      </c>
      <c r="H1713" s="103" t="str">
        <f aca="false">IF(G1713=0,"空闲",IF(G1713&lt;=0.6,"低负荷",IF(G1713&lt;=0.85,"正常",IF(G1713&lt;=1,"满负荷","超负荷"))))</f>
        <v>空闲</v>
      </c>
      <c r="I1713" s="104" t="s">
        <v>638</v>
      </c>
      <c r="J1713" s="104"/>
      <c r="K1713" s="104"/>
      <c r="L1713" s="105" t="s">
        <v>639</v>
      </c>
    </row>
    <row r="1714" customFormat="false" ht="48" hidden="false" customHeight="true" outlineLevel="0" collapsed="false">
      <c r="A1714" s="99"/>
      <c r="B1714" s="100" t="n">
        <v>46342</v>
      </c>
      <c r="C1714" s="100" t="n">
        <v>46348</v>
      </c>
      <c r="D1714" s="99" t="s">
        <v>638</v>
      </c>
      <c r="E1714" s="99" t="n">
        <v>0</v>
      </c>
      <c r="F1714" s="101" t="n">
        <v>0</v>
      </c>
      <c r="G1714" s="102" t="n">
        <f aca="false">IFERROR(F1714/INDEX($G$5:$G$34,MATCH(LOOKUP(2,1/($A$39:A1714&lt;&gt;""),$A$39:A1714),$A$5:$A$34,0)),0)</f>
        <v>0</v>
      </c>
      <c r="H1714" s="103" t="str">
        <f aca="false">IF(G1714=0,"空闲",IF(G1714&lt;=0.6,"低负荷",IF(G1714&lt;=0.85,"正常",IF(G1714&lt;=1,"满负荷","超负荷"))))</f>
        <v>空闲</v>
      </c>
      <c r="I1714" s="104" t="s">
        <v>638</v>
      </c>
      <c r="J1714" s="104"/>
      <c r="K1714" s="104"/>
      <c r="L1714" s="105" t="s">
        <v>639</v>
      </c>
    </row>
    <row r="1715" customFormat="false" ht="48" hidden="false" customHeight="true" outlineLevel="0" collapsed="false">
      <c r="A1715" s="99"/>
      <c r="B1715" s="100" t="n">
        <v>46349</v>
      </c>
      <c r="C1715" s="100" t="n">
        <v>46355</v>
      </c>
      <c r="D1715" s="99" t="s">
        <v>640</v>
      </c>
      <c r="E1715" s="99" t="n">
        <v>1</v>
      </c>
      <c r="F1715" s="101" t="n">
        <v>40</v>
      </c>
      <c r="G1715" s="102" t="n">
        <f aca="false">IFERROR(F1715/INDEX($G$5:$G$34,MATCH(LOOKUP(2,1/($A$39:A1715&lt;&gt;""),$A$39:A1715),$A$5:$A$34,0)),0)</f>
        <v>1</v>
      </c>
      <c r="H1715" s="103" t="str">
        <f aca="false">IF(G1715=0,"空闲",IF(G1715&lt;=0.6,"低负荷",IF(G1715&lt;=0.85,"正常",IF(G1715&lt;=1,"满负荷","超负荷"))))</f>
        <v>满负荷</v>
      </c>
      <c r="I1715" s="106" t="s">
        <v>712</v>
      </c>
      <c r="J1715" s="106"/>
      <c r="K1715" s="106"/>
      <c r="L1715" s="105" t="s">
        <v>642</v>
      </c>
    </row>
    <row r="1716" customFormat="false" ht="48" hidden="false" customHeight="true" outlineLevel="0" collapsed="false">
      <c r="A1716" s="99"/>
      <c r="B1716" s="100" t="n">
        <v>46356</v>
      </c>
      <c r="C1716" s="100" t="n">
        <v>46362</v>
      </c>
      <c r="D1716" s="99" t="s">
        <v>640</v>
      </c>
      <c r="E1716" s="99" t="n">
        <v>1</v>
      </c>
      <c r="F1716" s="101" t="n">
        <v>40</v>
      </c>
      <c r="G1716" s="102" t="n">
        <f aca="false">IFERROR(F1716/INDEX($G$5:$G$34,MATCH(LOOKUP(2,1/($A$39:A1716&lt;&gt;""),$A$39:A1716),$A$5:$A$34,0)),0)</f>
        <v>1</v>
      </c>
      <c r="H1716" s="103" t="str">
        <f aca="false">IF(G1716=0,"空闲",IF(G1716&lt;=0.6,"低负荷",IF(G1716&lt;=0.85,"正常",IF(G1716&lt;=1,"满负荷","超负荷"))))</f>
        <v>满负荷</v>
      </c>
      <c r="I1716" s="106" t="s">
        <v>712</v>
      </c>
      <c r="J1716" s="106"/>
      <c r="K1716" s="106"/>
      <c r="L1716" s="105" t="s">
        <v>642</v>
      </c>
    </row>
    <row r="1717" customFormat="false" ht="48" hidden="false" customHeight="true" outlineLevel="0" collapsed="false">
      <c r="A1717" s="99"/>
      <c r="B1717" s="100" t="n">
        <v>46363</v>
      </c>
      <c r="C1717" s="100" t="n">
        <v>46369</v>
      </c>
      <c r="D1717" s="99" t="s">
        <v>640</v>
      </c>
      <c r="E1717" s="99" t="n">
        <v>4</v>
      </c>
      <c r="F1717" s="101" t="n">
        <v>40</v>
      </c>
      <c r="G1717" s="102" t="n">
        <f aca="false">IFERROR(F1717/INDEX($G$5:$G$34,MATCH(LOOKUP(2,1/($A$39:A1717&lt;&gt;""),$A$39:A1717),$A$5:$A$34,0)),0)</f>
        <v>1</v>
      </c>
      <c r="H1717" s="103" t="str">
        <f aca="false">IF(G1717=0,"空闲",IF(G1717&lt;=0.6,"低负荷",IF(G1717&lt;=0.85,"正常",IF(G1717&lt;=1,"满负荷","超负荷"))))</f>
        <v>满负荷</v>
      </c>
      <c r="I1717" s="106" t="s">
        <v>754</v>
      </c>
      <c r="J1717" s="106"/>
      <c r="K1717" s="106"/>
      <c r="L1717" s="105" t="s">
        <v>715</v>
      </c>
    </row>
    <row r="1718" customFormat="false" ht="48" hidden="false" customHeight="true" outlineLevel="0" collapsed="false">
      <c r="A1718" s="99"/>
      <c r="B1718" s="100" t="n">
        <v>46370</v>
      </c>
      <c r="C1718" s="100" t="n">
        <v>46376</v>
      </c>
      <c r="D1718" s="99" t="s">
        <v>640</v>
      </c>
      <c r="E1718" s="99" t="n">
        <v>5</v>
      </c>
      <c r="F1718" s="101" t="n">
        <v>40</v>
      </c>
      <c r="G1718" s="102" t="n">
        <f aca="false">IFERROR(F1718/INDEX($G$5:$G$34,MATCH(LOOKUP(2,1/($A$39:A1718&lt;&gt;""),$A$39:A1718),$A$5:$A$34,0)),0)</f>
        <v>1</v>
      </c>
      <c r="H1718" s="103" t="str">
        <f aca="false">IF(G1718=0,"空闲",IF(G1718&lt;=0.6,"低负荷",IF(G1718&lt;=0.85,"正常",IF(G1718&lt;=1,"满负荷","超负荷"))))</f>
        <v>满负荷</v>
      </c>
      <c r="I1718" s="106" t="s">
        <v>755</v>
      </c>
      <c r="J1718" s="106"/>
      <c r="K1718" s="106"/>
      <c r="L1718" s="105" t="s">
        <v>717</v>
      </c>
    </row>
    <row r="1719" customFormat="false" ht="48" hidden="false" customHeight="true" outlineLevel="0" collapsed="false">
      <c r="A1719" s="99"/>
      <c r="B1719" s="100" t="n">
        <v>46377</v>
      </c>
      <c r="C1719" s="100" t="n">
        <v>46383</v>
      </c>
      <c r="D1719" s="99" t="s">
        <v>640</v>
      </c>
      <c r="E1719" s="99" t="n">
        <v>5</v>
      </c>
      <c r="F1719" s="101" t="n">
        <v>40</v>
      </c>
      <c r="G1719" s="102" t="n">
        <f aca="false">IFERROR(F1719/INDEX($G$5:$G$34,MATCH(LOOKUP(2,1/($A$39:A1719&lt;&gt;""),$A$39:A1719),$A$5:$A$34,0)),0)</f>
        <v>1</v>
      </c>
      <c r="H1719" s="103" t="str">
        <f aca="false">IF(G1719=0,"空闲",IF(G1719&lt;=0.6,"低负荷",IF(G1719&lt;=0.85,"正常",IF(G1719&lt;=1,"满负荷","超负荷"))))</f>
        <v>满负荷</v>
      </c>
      <c r="I1719" s="106" t="s">
        <v>755</v>
      </c>
      <c r="J1719" s="106"/>
      <c r="K1719" s="106"/>
      <c r="L1719" s="105" t="s">
        <v>717</v>
      </c>
    </row>
    <row r="1720" customFormat="false" ht="48" hidden="false" customHeight="true" outlineLevel="0" collapsed="false">
      <c r="A1720" s="99"/>
      <c r="B1720" s="100" t="n">
        <v>46384</v>
      </c>
      <c r="C1720" s="100" t="n">
        <v>46390</v>
      </c>
      <c r="D1720" s="99" t="s">
        <v>640</v>
      </c>
      <c r="E1720" s="99" t="n">
        <v>5</v>
      </c>
      <c r="F1720" s="101" t="n">
        <v>40</v>
      </c>
      <c r="G1720" s="102" t="n">
        <f aca="false">IFERROR(F1720/INDEX($G$5:$G$34,MATCH(LOOKUP(2,1/($A$39:A1720&lt;&gt;""),$A$39:A1720),$A$5:$A$34,0)),0)</f>
        <v>1</v>
      </c>
      <c r="H1720" s="103" t="str">
        <f aca="false">IF(G1720=0,"空闲",IF(G1720&lt;=0.6,"低负荷",IF(G1720&lt;=0.85,"正常",IF(G1720&lt;=1,"满负荷","超负荷"))))</f>
        <v>满负荷</v>
      </c>
      <c r="I1720" s="106" t="s">
        <v>755</v>
      </c>
      <c r="J1720" s="106"/>
      <c r="K1720" s="106"/>
      <c r="L1720" s="105" t="s">
        <v>717</v>
      </c>
    </row>
    <row r="1721" customFormat="false" ht="48" hidden="false" customHeight="true" outlineLevel="0" collapsed="false">
      <c r="A1721" s="99"/>
      <c r="B1721" s="100" t="n">
        <v>46391</v>
      </c>
      <c r="C1721" s="100" t="n">
        <v>46397</v>
      </c>
      <c r="D1721" s="99" t="s">
        <v>640</v>
      </c>
      <c r="E1721" s="99" t="n">
        <v>5</v>
      </c>
      <c r="F1721" s="101" t="n">
        <v>40</v>
      </c>
      <c r="G1721" s="102" t="n">
        <f aca="false">IFERROR(F1721/INDEX($G$5:$G$34,MATCH(LOOKUP(2,1/($A$39:A1721&lt;&gt;""),$A$39:A1721),$A$5:$A$34,0)),0)</f>
        <v>1</v>
      </c>
      <c r="H1721" s="103" t="str">
        <f aca="false">IF(G1721=0,"空闲",IF(G1721&lt;=0.6,"低负荷",IF(G1721&lt;=0.85,"正常",IF(G1721&lt;=1,"满负荷","超负荷"))))</f>
        <v>满负荷</v>
      </c>
      <c r="I1721" s="106" t="s">
        <v>755</v>
      </c>
      <c r="J1721" s="106"/>
      <c r="K1721" s="106"/>
      <c r="L1721" s="105" t="s">
        <v>717</v>
      </c>
    </row>
    <row r="1722" customFormat="false" ht="48" hidden="false" customHeight="true" outlineLevel="0" collapsed="false">
      <c r="A1722" s="99"/>
      <c r="B1722" s="100" t="n">
        <v>46398</v>
      </c>
      <c r="C1722" s="100" t="n">
        <v>46404</v>
      </c>
      <c r="D1722" s="99" t="s">
        <v>640</v>
      </c>
      <c r="E1722" s="99" t="n">
        <v>5</v>
      </c>
      <c r="F1722" s="101" t="n">
        <v>40</v>
      </c>
      <c r="G1722" s="102" t="n">
        <f aca="false">IFERROR(F1722/INDEX($G$5:$G$34,MATCH(LOOKUP(2,1/($A$39:A1722&lt;&gt;""),$A$39:A1722),$A$5:$A$34,0)),0)</f>
        <v>1</v>
      </c>
      <c r="H1722" s="103" t="str">
        <f aca="false">IF(G1722=0,"空闲",IF(G1722&lt;=0.6,"低负荷",IF(G1722&lt;=0.85,"正常",IF(G1722&lt;=1,"满负荷","超负荷"))))</f>
        <v>满负荷</v>
      </c>
      <c r="I1722" s="106" t="s">
        <v>755</v>
      </c>
      <c r="J1722" s="106"/>
      <c r="K1722" s="106"/>
      <c r="L1722" s="105" t="s">
        <v>717</v>
      </c>
    </row>
    <row r="1723" customFormat="false" ht="48" hidden="false" customHeight="true" outlineLevel="0" collapsed="false">
      <c r="A1723" s="99"/>
      <c r="B1723" s="100" t="n">
        <v>46405</v>
      </c>
      <c r="C1723" s="100" t="n">
        <v>46411</v>
      </c>
      <c r="D1723" s="99" t="s">
        <v>640</v>
      </c>
      <c r="E1723" s="99" t="n">
        <v>5</v>
      </c>
      <c r="F1723" s="101" t="n">
        <v>40</v>
      </c>
      <c r="G1723" s="102" t="n">
        <f aca="false">IFERROR(F1723/INDEX($G$5:$G$34,MATCH(LOOKUP(2,1/($A$39:A1723&lt;&gt;""),$A$39:A1723),$A$5:$A$34,0)),0)</f>
        <v>1</v>
      </c>
      <c r="H1723" s="103" t="str">
        <f aca="false">IF(G1723=0,"空闲",IF(G1723&lt;=0.6,"低负荷",IF(G1723&lt;=0.85,"正常",IF(G1723&lt;=1,"满负荷","超负荷"))))</f>
        <v>满负荷</v>
      </c>
      <c r="I1723" s="106" t="s">
        <v>755</v>
      </c>
      <c r="J1723" s="106"/>
      <c r="K1723" s="106"/>
      <c r="L1723" s="105" t="s">
        <v>717</v>
      </c>
    </row>
    <row r="1724" customFormat="false" ht="48" hidden="false" customHeight="true" outlineLevel="0" collapsed="false">
      <c r="A1724" s="99"/>
      <c r="B1724" s="100" t="n">
        <v>46412</v>
      </c>
      <c r="C1724" s="100" t="n">
        <v>46418</v>
      </c>
      <c r="D1724" s="99" t="s">
        <v>640</v>
      </c>
      <c r="E1724" s="99" t="n">
        <v>5</v>
      </c>
      <c r="F1724" s="101" t="n">
        <v>40</v>
      </c>
      <c r="G1724" s="102" t="n">
        <f aca="false">IFERROR(F1724/INDEX($G$5:$G$34,MATCH(LOOKUP(2,1/($A$39:A1724&lt;&gt;""),$A$39:A1724),$A$5:$A$34,0)),0)</f>
        <v>1</v>
      </c>
      <c r="H1724" s="103" t="str">
        <f aca="false">IF(G1724=0,"空闲",IF(G1724&lt;=0.6,"低负荷",IF(G1724&lt;=0.85,"正常",IF(G1724&lt;=1,"满负荷","超负荷"))))</f>
        <v>满负荷</v>
      </c>
      <c r="I1724" s="106" t="s">
        <v>755</v>
      </c>
      <c r="J1724" s="106"/>
      <c r="K1724" s="106"/>
      <c r="L1724" s="105" t="s">
        <v>717</v>
      </c>
    </row>
    <row r="1725" customFormat="false" ht="48" hidden="false" customHeight="true" outlineLevel="0" collapsed="false">
      <c r="A1725" s="99"/>
      <c r="B1725" s="100" t="n">
        <v>46419</v>
      </c>
      <c r="C1725" s="100" t="n">
        <v>46425</v>
      </c>
      <c r="D1725" s="99" t="s">
        <v>640</v>
      </c>
      <c r="E1725" s="99" t="n">
        <v>5</v>
      </c>
      <c r="F1725" s="101" t="n">
        <v>40</v>
      </c>
      <c r="G1725" s="102" t="n">
        <f aca="false">IFERROR(F1725/INDEX($G$5:$G$34,MATCH(LOOKUP(2,1/($A$39:A1725&lt;&gt;""),$A$39:A1725),$A$5:$A$34,0)),0)</f>
        <v>1</v>
      </c>
      <c r="H1725" s="103" t="str">
        <f aca="false">IF(G1725=0,"空闲",IF(G1725&lt;=0.6,"低负荷",IF(G1725&lt;=0.85,"正常",IF(G1725&lt;=1,"满负荷","超负荷"))))</f>
        <v>满负荷</v>
      </c>
      <c r="I1725" s="106" t="s">
        <v>755</v>
      </c>
      <c r="J1725" s="106"/>
      <c r="K1725" s="106"/>
      <c r="L1725" s="105" t="s">
        <v>717</v>
      </c>
    </row>
    <row r="1726" customFormat="false" ht="48" hidden="false" customHeight="true" outlineLevel="0" collapsed="false">
      <c r="A1726" s="99"/>
      <c r="B1726" s="100" t="n">
        <v>46426</v>
      </c>
      <c r="C1726" s="100" t="n">
        <v>46432</v>
      </c>
      <c r="D1726" s="99" t="s">
        <v>640</v>
      </c>
      <c r="E1726" s="99" t="n">
        <v>5</v>
      </c>
      <c r="F1726" s="101" t="n">
        <v>40</v>
      </c>
      <c r="G1726" s="102" t="n">
        <f aca="false">IFERROR(F1726/INDEX($G$5:$G$34,MATCH(LOOKUP(2,1/($A$39:A1726&lt;&gt;""),$A$39:A1726),$A$5:$A$34,0)),0)</f>
        <v>1</v>
      </c>
      <c r="H1726" s="103" t="str">
        <f aca="false">IF(G1726=0,"空闲",IF(G1726&lt;=0.6,"低负荷",IF(G1726&lt;=0.85,"正常",IF(G1726&lt;=1,"满负荷","超负荷"))))</f>
        <v>满负荷</v>
      </c>
      <c r="I1726" s="106" t="s">
        <v>755</v>
      </c>
      <c r="J1726" s="106"/>
      <c r="K1726" s="106"/>
      <c r="L1726" s="105" t="s">
        <v>717</v>
      </c>
    </row>
    <row r="1727" customFormat="false" ht="48" hidden="false" customHeight="true" outlineLevel="0" collapsed="false">
      <c r="A1727" s="99"/>
      <c r="B1727" s="100" t="n">
        <v>46433</v>
      </c>
      <c r="C1727" s="100" t="n">
        <v>46439</v>
      </c>
      <c r="D1727" s="99" t="s">
        <v>638</v>
      </c>
      <c r="E1727" s="99" t="n">
        <v>0</v>
      </c>
      <c r="F1727" s="101" t="n">
        <v>0</v>
      </c>
      <c r="G1727" s="102" t="n">
        <f aca="false">IFERROR(F1727/INDEX($G$5:$G$34,MATCH(LOOKUP(2,1/($A$39:A1727&lt;&gt;""),$A$39:A1727),$A$5:$A$34,0)),0)</f>
        <v>0</v>
      </c>
      <c r="H1727" s="103" t="str">
        <f aca="false">IF(G1727=0,"空闲",IF(G1727&lt;=0.6,"低负荷",IF(G1727&lt;=0.85,"正常",IF(G1727&lt;=1,"满负荷","超负荷"))))</f>
        <v>空闲</v>
      </c>
      <c r="I1727" s="104" t="s">
        <v>638</v>
      </c>
      <c r="J1727" s="104"/>
      <c r="K1727" s="104"/>
      <c r="L1727" s="105" t="s">
        <v>639</v>
      </c>
    </row>
    <row r="1728" customFormat="false" ht="48" hidden="false" customHeight="true" outlineLevel="0" collapsed="false">
      <c r="A1728" s="99"/>
      <c r="B1728" s="100" t="n">
        <v>46440</v>
      </c>
      <c r="C1728" s="100" t="n">
        <v>46446</v>
      </c>
      <c r="D1728" s="99" t="s">
        <v>638</v>
      </c>
      <c r="E1728" s="99" t="n">
        <v>0</v>
      </c>
      <c r="F1728" s="101" t="n">
        <v>0</v>
      </c>
      <c r="G1728" s="102" t="n">
        <f aca="false">IFERROR(F1728/INDEX($G$5:$G$34,MATCH(LOOKUP(2,1/($A$39:A1728&lt;&gt;""),$A$39:A1728),$A$5:$A$34,0)),0)</f>
        <v>0</v>
      </c>
      <c r="H1728" s="103" t="str">
        <f aca="false">IF(G1728=0,"空闲",IF(G1728&lt;=0.6,"低负荷",IF(G1728&lt;=0.85,"正常",IF(G1728&lt;=1,"满负荷","超负荷"))))</f>
        <v>空闲</v>
      </c>
      <c r="I1728" s="104" t="s">
        <v>638</v>
      </c>
      <c r="J1728" s="104"/>
      <c r="K1728" s="104"/>
      <c r="L1728" s="105" t="s">
        <v>639</v>
      </c>
    </row>
    <row r="1729" customFormat="false" ht="48" hidden="false" customHeight="true" outlineLevel="0" collapsed="false">
      <c r="A1729" s="99"/>
      <c r="B1729" s="100" t="n">
        <v>46447</v>
      </c>
      <c r="C1729" s="100" t="n">
        <v>46453</v>
      </c>
      <c r="D1729" s="99" t="s">
        <v>640</v>
      </c>
      <c r="E1729" s="99" t="n">
        <v>1</v>
      </c>
      <c r="F1729" s="101" t="n">
        <v>40</v>
      </c>
      <c r="G1729" s="102" t="n">
        <f aca="false">IFERROR(F1729/INDEX($G$5:$G$34,MATCH(LOOKUP(2,1/($A$39:A1729&lt;&gt;""),$A$39:A1729),$A$5:$A$34,0)),0)</f>
        <v>1</v>
      </c>
      <c r="H1729" s="103" t="str">
        <f aca="false">IF(G1729=0,"空闲",IF(G1729&lt;=0.6,"低负荷",IF(G1729&lt;=0.85,"正常",IF(G1729&lt;=1,"满负荷","超负荷"))))</f>
        <v>满负荷</v>
      </c>
      <c r="I1729" s="106" t="s">
        <v>756</v>
      </c>
      <c r="J1729" s="106"/>
      <c r="K1729" s="106"/>
      <c r="L1729" s="105" t="s">
        <v>642</v>
      </c>
    </row>
    <row r="1730" customFormat="false" ht="48" hidden="false" customHeight="true" outlineLevel="0" collapsed="false">
      <c r="A1730" s="99"/>
      <c r="B1730" s="100" t="n">
        <v>46454</v>
      </c>
      <c r="C1730" s="100" t="n">
        <v>46460</v>
      </c>
      <c r="D1730" s="99" t="s">
        <v>640</v>
      </c>
      <c r="E1730" s="99" t="n">
        <v>1</v>
      </c>
      <c r="F1730" s="101" t="n">
        <v>40</v>
      </c>
      <c r="G1730" s="102" t="n">
        <f aca="false">IFERROR(F1730/INDEX($G$5:$G$34,MATCH(LOOKUP(2,1/($A$39:A1730&lt;&gt;""),$A$39:A1730),$A$5:$A$34,0)),0)</f>
        <v>1</v>
      </c>
      <c r="H1730" s="103" t="str">
        <f aca="false">IF(G1730=0,"空闲",IF(G1730&lt;=0.6,"低负荷",IF(G1730&lt;=0.85,"正常",IF(G1730&lt;=1,"满负荷","超负荷"))))</f>
        <v>满负荷</v>
      </c>
      <c r="I1730" s="106" t="s">
        <v>756</v>
      </c>
      <c r="J1730" s="106"/>
      <c r="K1730" s="106"/>
      <c r="L1730" s="105" t="s">
        <v>642</v>
      </c>
    </row>
    <row r="1731" customFormat="false" ht="48" hidden="false" customHeight="true" outlineLevel="0" collapsed="false">
      <c r="A1731" s="99"/>
      <c r="B1731" s="100" t="n">
        <v>46461</v>
      </c>
      <c r="C1731" s="100" t="n">
        <v>46467</v>
      </c>
      <c r="D1731" s="99" t="s">
        <v>640</v>
      </c>
      <c r="E1731" s="99" t="n">
        <v>1</v>
      </c>
      <c r="F1731" s="101" t="n">
        <v>40</v>
      </c>
      <c r="G1731" s="102" t="n">
        <f aca="false">IFERROR(F1731/INDEX($G$5:$G$34,MATCH(LOOKUP(2,1/($A$39:A1731&lt;&gt;""),$A$39:A1731),$A$5:$A$34,0)),0)</f>
        <v>1</v>
      </c>
      <c r="H1731" s="103" t="str">
        <f aca="false">IF(G1731=0,"空闲",IF(G1731&lt;=0.6,"低负荷",IF(G1731&lt;=0.85,"正常",IF(G1731&lt;=1,"满负荷","超负荷"))))</f>
        <v>满负荷</v>
      </c>
      <c r="I1731" s="106" t="s">
        <v>756</v>
      </c>
      <c r="J1731" s="106"/>
      <c r="K1731" s="106"/>
      <c r="L1731" s="105" t="s">
        <v>642</v>
      </c>
    </row>
    <row r="1732" customFormat="false" ht="48" hidden="false" customHeight="true" outlineLevel="0" collapsed="false">
      <c r="A1732" s="99"/>
      <c r="B1732" s="100" t="n">
        <v>46468</v>
      </c>
      <c r="C1732" s="100" t="n">
        <v>46474</v>
      </c>
      <c r="D1732" s="99" t="s">
        <v>638</v>
      </c>
      <c r="E1732" s="99" t="n">
        <v>0</v>
      </c>
      <c r="F1732" s="101" t="n">
        <v>0</v>
      </c>
      <c r="G1732" s="102" t="n">
        <f aca="false">IFERROR(F1732/INDEX($G$5:$G$34,MATCH(LOOKUP(2,1/($A$39:A1732&lt;&gt;""),$A$39:A1732),$A$5:$A$34,0)),0)</f>
        <v>0</v>
      </c>
      <c r="H1732" s="103" t="str">
        <f aca="false">IF(G1732=0,"空闲",IF(G1732&lt;=0.6,"低负荷",IF(G1732&lt;=0.85,"正常",IF(G1732&lt;=1,"满负荷","超负荷"))))</f>
        <v>空闲</v>
      </c>
      <c r="I1732" s="104" t="s">
        <v>638</v>
      </c>
      <c r="J1732" s="104"/>
      <c r="K1732" s="104"/>
      <c r="L1732" s="105" t="s">
        <v>639</v>
      </c>
    </row>
    <row r="1733" customFormat="false" ht="48" hidden="false" customHeight="true" outlineLevel="0" collapsed="false">
      <c r="A1733" s="99"/>
      <c r="B1733" s="100" t="n">
        <v>46475</v>
      </c>
      <c r="C1733" s="100" t="n">
        <v>46481</v>
      </c>
      <c r="D1733" s="99" t="s">
        <v>638</v>
      </c>
      <c r="E1733" s="99" t="n">
        <v>0</v>
      </c>
      <c r="F1733" s="101" t="n">
        <v>0</v>
      </c>
      <c r="G1733" s="102" t="n">
        <f aca="false">IFERROR(F1733/INDEX($G$5:$G$34,MATCH(LOOKUP(2,1/($A$39:A1733&lt;&gt;""),$A$39:A1733),$A$5:$A$34,0)),0)</f>
        <v>0</v>
      </c>
      <c r="H1733" s="103" t="str">
        <f aca="false">IF(G1733=0,"空闲",IF(G1733&lt;=0.6,"低负荷",IF(G1733&lt;=0.85,"正常",IF(G1733&lt;=1,"满负荷","超负荷"))))</f>
        <v>空闲</v>
      </c>
      <c r="I1733" s="104" t="s">
        <v>638</v>
      </c>
      <c r="J1733" s="104"/>
      <c r="K1733" s="104"/>
      <c r="L1733" s="105" t="s">
        <v>639</v>
      </c>
    </row>
    <row r="1734" customFormat="false" ht="48" hidden="false" customHeight="true" outlineLevel="0" collapsed="false">
      <c r="A1734" s="99"/>
      <c r="B1734" s="100" t="n">
        <v>46482</v>
      </c>
      <c r="C1734" s="100" t="n">
        <v>46488</v>
      </c>
      <c r="D1734" s="99" t="s">
        <v>638</v>
      </c>
      <c r="E1734" s="99" t="n">
        <v>0</v>
      </c>
      <c r="F1734" s="101" t="n">
        <v>0</v>
      </c>
      <c r="G1734" s="102" t="n">
        <f aca="false">IFERROR(F1734/INDEX($G$5:$G$34,MATCH(LOOKUP(2,1/($A$39:A1734&lt;&gt;""),$A$39:A1734),$A$5:$A$34,0)),0)</f>
        <v>0</v>
      </c>
      <c r="H1734" s="103" t="str">
        <f aca="false">IF(G1734=0,"空闲",IF(G1734&lt;=0.6,"低负荷",IF(G1734&lt;=0.85,"正常",IF(G1734&lt;=1,"满负荷","超负荷"))))</f>
        <v>空闲</v>
      </c>
      <c r="I1734" s="104" t="s">
        <v>638</v>
      </c>
      <c r="J1734" s="104"/>
      <c r="K1734" s="104"/>
      <c r="L1734" s="105" t="s">
        <v>639</v>
      </c>
    </row>
    <row r="1735" customFormat="false" ht="48" hidden="false" customHeight="true" outlineLevel="0" collapsed="false">
      <c r="A1735" s="99"/>
      <c r="B1735" s="100" t="n">
        <v>46489</v>
      </c>
      <c r="C1735" s="100" t="n">
        <v>46495</v>
      </c>
      <c r="D1735" s="99" t="s">
        <v>638</v>
      </c>
      <c r="E1735" s="99" t="n">
        <v>0</v>
      </c>
      <c r="F1735" s="101" t="n">
        <v>0</v>
      </c>
      <c r="G1735" s="102" t="n">
        <f aca="false">IFERROR(F1735/INDEX($G$5:$G$34,MATCH(LOOKUP(2,1/($A$39:A1735&lt;&gt;""),$A$39:A1735),$A$5:$A$34,0)),0)</f>
        <v>0</v>
      </c>
      <c r="H1735" s="103" t="str">
        <f aca="false">IF(G1735=0,"空闲",IF(G1735&lt;=0.6,"低负荷",IF(G1735&lt;=0.85,"正常",IF(G1735&lt;=1,"满负荷","超负荷"))))</f>
        <v>空闲</v>
      </c>
      <c r="I1735" s="104" t="s">
        <v>638</v>
      </c>
      <c r="J1735" s="104"/>
      <c r="K1735" s="104"/>
      <c r="L1735" s="105" t="s">
        <v>639</v>
      </c>
    </row>
    <row r="1736" customFormat="false" ht="48" hidden="false" customHeight="true" outlineLevel="0" collapsed="false">
      <c r="A1736" s="99"/>
      <c r="B1736" s="100" t="n">
        <v>46496</v>
      </c>
      <c r="C1736" s="100" t="n">
        <v>46502</v>
      </c>
      <c r="D1736" s="99" t="s">
        <v>638</v>
      </c>
      <c r="E1736" s="99" t="n">
        <v>0</v>
      </c>
      <c r="F1736" s="101" t="n">
        <v>0</v>
      </c>
      <c r="G1736" s="102" t="n">
        <f aca="false">IFERROR(F1736/INDEX($G$5:$G$34,MATCH(LOOKUP(2,1/($A$39:A1736&lt;&gt;""),$A$39:A1736),$A$5:$A$34,0)),0)</f>
        <v>0</v>
      </c>
      <c r="H1736" s="103" t="str">
        <f aca="false">IF(G1736=0,"空闲",IF(G1736&lt;=0.6,"低负荷",IF(G1736&lt;=0.85,"正常",IF(G1736&lt;=1,"满负荷","超负荷"))))</f>
        <v>空闲</v>
      </c>
      <c r="I1736" s="104" t="s">
        <v>638</v>
      </c>
      <c r="J1736" s="104"/>
      <c r="K1736" s="104"/>
      <c r="L1736" s="105" t="s">
        <v>639</v>
      </c>
    </row>
    <row r="1737" customFormat="false" ht="48" hidden="false" customHeight="true" outlineLevel="0" collapsed="false">
      <c r="A1737" s="99"/>
      <c r="B1737" s="100" t="n">
        <v>46503</v>
      </c>
      <c r="C1737" s="100" t="n">
        <v>46509</v>
      </c>
      <c r="D1737" s="99" t="s">
        <v>638</v>
      </c>
      <c r="E1737" s="99" t="n">
        <v>0</v>
      </c>
      <c r="F1737" s="101" t="n">
        <v>0</v>
      </c>
      <c r="G1737" s="102" t="n">
        <f aca="false">IFERROR(F1737/INDEX($G$5:$G$34,MATCH(LOOKUP(2,1/($A$39:A1737&lt;&gt;""),$A$39:A1737),$A$5:$A$34,0)),0)</f>
        <v>0</v>
      </c>
      <c r="H1737" s="103" t="str">
        <f aca="false">IF(G1737=0,"空闲",IF(G1737&lt;=0.6,"低负荷",IF(G1737&lt;=0.85,"正常",IF(G1737&lt;=1,"满负荷","超负荷"))))</f>
        <v>空闲</v>
      </c>
      <c r="I1737" s="104" t="s">
        <v>638</v>
      </c>
      <c r="J1737" s="104"/>
      <c r="K1737" s="104"/>
      <c r="L1737" s="105" t="s">
        <v>639</v>
      </c>
    </row>
    <row r="1738" customFormat="false" ht="48" hidden="false" customHeight="true" outlineLevel="0" collapsed="false">
      <c r="A1738" s="99"/>
      <c r="B1738" s="100" t="n">
        <v>46510</v>
      </c>
      <c r="C1738" s="100" t="n">
        <v>46516</v>
      </c>
      <c r="D1738" s="99" t="s">
        <v>638</v>
      </c>
      <c r="E1738" s="99" t="n">
        <v>0</v>
      </c>
      <c r="F1738" s="101" t="n">
        <v>0</v>
      </c>
      <c r="G1738" s="102" t="n">
        <f aca="false">IFERROR(F1738/INDEX($G$5:$G$34,MATCH(LOOKUP(2,1/($A$39:A1738&lt;&gt;""),$A$39:A1738),$A$5:$A$34,0)),0)</f>
        <v>0</v>
      </c>
      <c r="H1738" s="103" t="str">
        <f aca="false">IF(G1738=0,"空闲",IF(G1738&lt;=0.6,"低负荷",IF(G1738&lt;=0.85,"正常",IF(G1738&lt;=1,"满负荷","超负荷"))))</f>
        <v>空闲</v>
      </c>
      <c r="I1738" s="104" t="s">
        <v>638</v>
      </c>
      <c r="J1738" s="104"/>
      <c r="K1738" s="104"/>
      <c r="L1738" s="105" t="s">
        <v>639</v>
      </c>
    </row>
    <row r="1739" customFormat="false" ht="48" hidden="false" customHeight="true" outlineLevel="0" collapsed="false">
      <c r="A1739" s="99"/>
      <c r="B1739" s="100" t="n">
        <v>46517</v>
      </c>
      <c r="C1739" s="100" t="n">
        <v>46523</v>
      </c>
      <c r="D1739" s="99" t="s">
        <v>638</v>
      </c>
      <c r="E1739" s="99" t="n">
        <v>0</v>
      </c>
      <c r="F1739" s="101" t="n">
        <v>0</v>
      </c>
      <c r="G1739" s="102" t="n">
        <f aca="false">IFERROR(F1739/INDEX($G$5:$G$34,MATCH(LOOKUP(2,1/($A$39:A1739&lt;&gt;""),$A$39:A1739),$A$5:$A$34,0)),0)</f>
        <v>0</v>
      </c>
      <c r="H1739" s="103" t="str">
        <f aca="false">IF(G1739=0,"空闲",IF(G1739&lt;=0.6,"低负荷",IF(G1739&lt;=0.85,"正常",IF(G1739&lt;=1,"满负荷","超负荷"))))</f>
        <v>空闲</v>
      </c>
      <c r="I1739" s="104" t="s">
        <v>638</v>
      </c>
      <c r="J1739" s="104"/>
      <c r="K1739" s="104"/>
      <c r="L1739" s="105" t="s">
        <v>639</v>
      </c>
    </row>
    <row r="1740" customFormat="false" ht="48" hidden="false" customHeight="true" outlineLevel="0" collapsed="false">
      <c r="A1740" s="99"/>
      <c r="B1740" s="100" t="n">
        <v>46524</v>
      </c>
      <c r="C1740" s="100" t="n">
        <v>46530</v>
      </c>
      <c r="D1740" s="99" t="s">
        <v>638</v>
      </c>
      <c r="E1740" s="99" t="n">
        <v>0</v>
      </c>
      <c r="F1740" s="101" t="n">
        <v>0</v>
      </c>
      <c r="G1740" s="102" t="n">
        <f aca="false">IFERROR(F1740/INDEX($G$5:$G$34,MATCH(LOOKUP(2,1/($A$39:A1740&lt;&gt;""),$A$39:A1740),$A$5:$A$34,0)),0)</f>
        <v>0</v>
      </c>
      <c r="H1740" s="103" t="str">
        <f aca="false">IF(G1740=0,"空闲",IF(G1740&lt;=0.6,"低负荷",IF(G1740&lt;=0.85,"正常",IF(G1740&lt;=1,"满负荷","超负荷"))))</f>
        <v>空闲</v>
      </c>
      <c r="I1740" s="104" t="s">
        <v>638</v>
      </c>
      <c r="J1740" s="104"/>
      <c r="K1740" s="104"/>
      <c r="L1740" s="105" t="s">
        <v>639</v>
      </c>
    </row>
    <row r="1741" customFormat="false" ht="48" hidden="false" customHeight="true" outlineLevel="0" collapsed="false">
      <c r="A1741" s="99"/>
      <c r="B1741" s="100" t="n">
        <v>46531</v>
      </c>
      <c r="C1741" s="100" t="n">
        <v>46537</v>
      </c>
      <c r="D1741" s="99" t="s">
        <v>638</v>
      </c>
      <c r="E1741" s="99" t="n">
        <v>0</v>
      </c>
      <c r="F1741" s="101" t="n">
        <v>0</v>
      </c>
      <c r="G1741" s="102" t="n">
        <f aca="false">IFERROR(F1741/INDEX($G$5:$G$34,MATCH(LOOKUP(2,1/($A$39:A1741&lt;&gt;""),$A$39:A1741),$A$5:$A$34,0)),0)</f>
        <v>0</v>
      </c>
      <c r="H1741" s="103" t="str">
        <f aca="false">IF(G1741=0,"空闲",IF(G1741&lt;=0.6,"低负荷",IF(G1741&lt;=0.85,"正常",IF(G1741&lt;=1,"满负荷","超负荷"))))</f>
        <v>空闲</v>
      </c>
      <c r="I1741" s="104" t="s">
        <v>638</v>
      </c>
      <c r="J1741" s="104"/>
      <c r="K1741" s="104"/>
      <c r="L1741" s="105" t="s">
        <v>639</v>
      </c>
    </row>
    <row r="1742" customFormat="false" ht="48" hidden="false" customHeight="true" outlineLevel="0" collapsed="false">
      <c r="A1742" s="99"/>
      <c r="B1742" s="100" t="n">
        <v>46538</v>
      </c>
      <c r="C1742" s="100" t="n">
        <v>46544</v>
      </c>
      <c r="D1742" s="99" t="s">
        <v>638</v>
      </c>
      <c r="E1742" s="99" t="n">
        <v>0</v>
      </c>
      <c r="F1742" s="101" t="n">
        <v>0</v>
      </c>
      <c r="G1742" s="102" t="n">
        <f aca="false">IFERROR(F1742/INDEX($G$5:$G$34,MATCH(LOOKUP(2,1/($A$39:A1742&lt;&gt;""),$A$39:A1742),$A$5:$A$34,0)),0)</f>
        <v>0</v>
      </c>
      <c r="H1742" s="103" t="str">
        <f aca="false">IF(G1742=0,"空闲",IF(G1742&lt;=0.6,"低负荷",IF(G1742&lt;=0.85,"正常",IF(G1742&lt;=1,"满负荷","超负荷"))))</f>
        <v>空闲</v>
      </c>
      <c r="I1742" s="104" t="s">
        <v>638</v>
      </c>
      <c r="J1742" s="104"/>
      <c r="K1742" s="104"/>
      <c r="L1742" s="105" t="s">
        <v>639</v>
      </c>
    </row>
    <row r="1743" customFormat="false" ht="48" hidden="false" customHeight="true" outlineLevel="0" collapsed="false">
      <c r="A1743" s="99" t="s">
        <v>624</v>
      </c>
      <c r="B1743" s="100" t="n">
        <v>46048</v>
      </c>
      <c r="C1743" s="100" t="n">
        <v>46054</v>
      </c>
      <c r="D1743" s="99" t="s">
        <v>638</v>
      </c>
      <c r="E1743" s="99" t="n">
        <v>0</v>
      </c>
      <c r="F1743" s="101" t="n">
        <v>0</v>
      </c>
      <c r="G1743" s="102" t="n">
        <f aca="false">IFERROR(F1743/INDEX($G$5:$G$34,MATCH(LOOKUP(2,1/($A$39:A1743&lt;&gt;""),$A$39:A1743),$A$5:$A$34,0)),0)</f>
        <v>0</v>
      </c>
      <c r="H1743" s="103" t="str">
        <f aca="false">IF(G1743=0,"空闲",IF(G1743&lt;=0.6,"低负荷",IF(G1743&lt;=0.85,"正常",IF(G1743&lt;=1,"满负荷","超负荷"))))</f>
        <v>空闲</v>
      </c>
      <c r="I1743" s="104" t="s">
        <v>638</v>
      </c>
      <c r="J1743" s="104"/>
      <c r="K1743" s="104"/>
      <c r="L1743" s="105" t="s">
        <v>639</v>
      </c>
    </row>
    <row r="1744" customFormat="false" ht="48" hidden="false" customHeight="true" outlineLevel="0" collapsed="false">
      <c r="A1744" s="99"/>
      <c r="B1744" s="100" t="n">
        <v>46055</v>
      </c>
      <c r="C1744" s="100" t="n">
        <v>46061</v>
      </c>
      <c r="D1744" s="99" t="s">
        <v>638</v>
      </c>
      <c r="E1744" s="99" t="n">
        <v>0</v>
      </c>
      <c r="F1744" s="101" t="n">
        <v>0</v>
      </c>
      <c r="G1744" s="102" t="n">
        <f aca="false">IFERROR(F1744/INDEX($G$5:$G$34,MATCH(LOOKUP(2,1/($A$39:A1744&lt;&gt;""),$A$39:A1744),$A$5:$A$34,0)),0)</f>
        <v>0</v>
      </c>
      <c r="H1744" s="103" t="str">
        <f aca="false">IF(G1744=0,"空闲",IF(G1744&lt;=0.6,"低负荷",IF(G1744&lt;=0.85,"正常",IF(G1744&lt;=1,"满负荷","超负荷"))))</f>
        <v>空闲</v>
      </c>
      <c r="I1744" s="104" t="s">
        <v>638</v>
      </c>
      <c r="J1744" s="104"/>
      <c r="K1744" s="104"/>
      <c r="L1744" s="105" t="s">
        <v>639</v>
      </c>
    </row>
    <row r="1745" customFormat="false" ht="48" hidden="false" customHeight="true" outlineLevel="0" collapsed="false">
      <c r="A1745" s="99"/>
      <c r="B1745" s="100" t="n">
        <v>46062</v>
      </c>
      <c r="C1745" s="100" t="n">
        <v>46068</v>
      </c>
      <c r="D1745" s="99" t="s">
        <v>638</v>
      </c>
      <c r="E1745" s="99" t="n">
        <v>0</v>
      </c>
      <c r="F1745" s="101" t="n">
        <v>0</v>
      </c>
      <c r="G1745" s="102" t="n">
        <f aca="false">IFERROR(F1745/INDEX($G$5:$G$34,MATCH(LOOKUP(2,1/($A$39:A1745&lt;&gt;""),$A$39:A1745),$A$5:$A$34,0)),0)</f>
        <v>0</v>
      </c>
      <c r="H1745" s="103" t="str">
        <f aca="false">IF(G1745=0,"空闲",IF(G1745&lt;=0.6,"低负荷",IF(G1745&lt;=0.85,"正常",IF(G1745&lt;=1,"满负荷","超负荷"))))</f>
        <v>空闲</v>
      </c>
      <c r="I1745" s="104" t="s">
        <v>638</v>
      </c>
      <c r="J1745" s="104"/>
      <c r="K1745" s="104"/>
      <c r="L1745" s="105" t="s">
        <v>639</v>
      </c>
    </row>
    <row r="1746" customFormat="false" ht="48" hidden="false" customHeight="true" outlineLevel="0" collapsed="false">
      <c r="A1746" s="99"/>
      <c r="B1746" s="100" t="n">
        <v>46069</v>
      </c>
      <c r="C1746" s="100" t="n">
        <v>46075</v>
      </c>
      <c r="D1746" s="99" t="s">
        <v>638</v>
      </c>
      <c r="E1746" s="99" t="n">
        <v>0</v>
      </c>
      <c r="F1746" s="101" t="n">
        <v>0</v>
      </c>
      <c r="G1746" s="102" t="n">
        <f aca="false">IFERROR(F1746/INDEX($G$5:$G$34,MATCH(LOOKUP(2,1/($A$39:A1746&lt;&gt;""),$A$39:A1746),$A$5:$A$34,0)),0)</f>
        <v>0</v>
      </c>
      <c r="H1746" s="103" t="str">
        <f aca="false">IF(G1746=0,"空闲",IF(G1746&lt;=0.6,"低负荷",IF(G1746&lt;=0.85,"正常",IF(G1746&lt;=1,"满负荷","超负荷"))))</f>
        <v>空闲</v>
      </c>
      <c r="I1746" s="104" t="s">
        <v>638</v>
      </c>
      <c r="J1746" s="104"/>
      <c r="K1746" s="104"/>
      <c r="L1746" s="105" t="s">
        <v>639</v>
      </c>
    </row>
    <row r="1747" customFormat="false" ht="48" hidden="false" customHeight="true" outlineLevel="0" collapsed="false">
      <c r="A1747" s="99"/>
      <c r="B1747" s="100" t="n">
        <v>46076</v>
      </c>
      <c r="C1747" s="100" t="n">
        <v>46082</v>
      </c>
      <c r="D1747" s="99" t="s">
        <v>638</v>
      </c>
      <c r="E1747" s="99" t="n">
        <v>0</v>
      </c>
      <c r="F1747" s="101" t="n">
        <v>0</v>
      </c>
      <c r="G1747" s="102" t="n">
        <f aca="false">IFERROR(F1747/INDEX($G$5:$G$34,MATCH(LOOKUP(2,1/($A$39:A1747&lt;&gt;""),$A$39:A1747),$A$5:$A$34,0)),0)</f>
        <v>0</v>
      </c>
      <c r="H1747" s="103" t="str">
        <f aca="false">IF(G1747=0,"空闲",IF(G1747&lt;=0.6,"低负荷",IF(G1747&lt;=0.85,"正常",IF(G1747&lt;=1,"满负荷","超负荷"))))</f>
        <v>空闲</v>
      </c>
      <c r="I1747" s="104" t="s">
        <v>638</v>
      </c>
      <c r="J1747" s="104"/>
      <c r="K1747" s="104"/>
      <c r="L1747" s="105" t="s">
        <v>639</v>
      </c>
    </row>
    <row r="1748" customFormat="false" ht="48" hidden="false" customHeight="true" outlineLevel="0" collapsed="false">
      <c r="A1748" s="99"/>
      <c r="B1748" s="100" t="n">
        <v>46083</v>
      </c>
      <c r="C1748" s="100" t="n">
        <v>46089</v>
      </c>
      <c r="D1748" s="99" t="s">
        <v>638</v>
      </c>
      <c r="E1748" s="99" t="n">
        <v>0</v>
      </c>
      <c r="F1748" s="101" t="n">
        <v>0</v>
      </c>
      <c r="G1748" s="102" t="n">
        <f aca="false">IFERROR(F1748/INDEX($G$5:$G$34,MATCH(LOOKUP(2,1/($A$39:A1748&lt;&gt;""),$A$39:A1748),$A$5:$A$34,0)),0)</f>
        <v>0</v>
      </c>
      <c r="H1748" s="103" t="str">
        <f aca="false">IF(G1748=0,"空闲",IF(G1748&lt;=0.6,"低负荷",IF(G1748&lt;=0.85,"正常",IF(G1748&lt;=1,"满负荷","超负荷"))))</f>
        <v>空闲</v>
      </c>
      <c r="I1748" s="104" t="s">
        <v>638</v>
      </c>
      <c r="J1748" s="104"/>
      <c r="K1748" s="104"/>
      <c r="L1748" s="105" t="s">
        <v>639</v>
      </c>
    </row>
    <row r="1749" customFormat="false" ht="48" hidden="false" customHeight="true" outlineLevel="0" collapsed="false">
      <c r="A1749" s="99"/>
      <c r="B1749" s="100" t="n">
        <v>46090</v>
      </c>
      <c r="C1749" s="100" t="n">
        <v>46096</v>
      </c>
      <c r="D1749" s="99" t="s">
        <v>638</v>
      </c>
      <c r="E1749" s="99" t="n">
        <v>0</v>
      </c>
      <c r="F1749" s="101" t="n">
        <v>0</v>
      </c>
      <c r="G1749" s="102" t="n">
        <f aca="false">IFERROR(F1749/INDEX($G$5:$G$34,MATCH(LOOKUP(2,1/($A$39:A1749&lt;&gt;""),$A$39:A1749),$A$5:$A$34,0)),0)</f>
        <v>0</v>
      </c>
      <c r="H1749" s="103" t="str">
        <f aca="false">IF(G1749=0,"空闲",IF(G1749&lt;=0.6,"低负荷",IF(G1749&lt;=0.85,"正常",IF(G1749&lt;=1,"满负荷","超负荷"))))</f>
        <v>空闲</v>
      </c>
      <c r="I1749" s="104" t="s">
        <v>638</v>
      </c>
      <c r="J1749" s="104"/>
      <c r="K1749" s="104"/>
      <c r="L1749" s="105" t="s">
        <v>639</v>
      </c>
    </row>
    <row r="1750" customFormat="false" ht="48" hidden="false" customHeight="true" outlineLevel="0" collapsed="false">
      <c r="A1750" s="99"/>
      <c r="B1750" s="100" t="n">
        <v>46097</v>
      </c>
      <c r="C1750" s="100" t="n">
        <v>46103</v>
      </c>
      <c r="D1750" s="99" t="s">
        <v>638</v>
      </c>
      <c r="E1750" s="99" t="n">
        <v>0</v>
      </c>
      <c r="F1750" s="101" t="n">
        <v>0</v>
      </c>
      <c r="G1750" s="102" t="n">
        <f aca="false">IFERROR(F1750/INDEX($G$5:$G$34,MATCH(LOOKUP(2,1/($A$39:A1750&lt;&gt;""),$A$39:A1750),$A$5:$A$34,0)),0)</f>
        <v>0</v>
      </c>
      <c r="H1750" s="103" t="str">
        <f aca="false">IF(G1750=0,"空闲",IF(G1750&lt;=0.6,"低负荷",IF(G1750&lt;=0.85,"正常",IF(G1750&lt;=1,"满负荷","超负荷"))))</f>
        <v>空闲</v>
      </c>
      <c r="I1750" s="104" t="s">
        <v>638</v>
      </c>
      <c r="J1750" s="104"/>
      <c r="K1750" s="104"/>
      <c r="L1750" s="105" t="s">
        <v>639</v>
      </c>
    </row>
    <row r="1751" customFormat="false" ht="48" hidden="false" customHeight="true" outlineLevel="0" collapsed="false">
      <c r="A1751" s="99"/>
      <c r="B1751" s="100" t="n">
        <v>46104</v>
      </c>
      <c r="C1751" s="100" t="n">
        <v>46110</v>
      </c>
      <c r="D1751" s="99" t="s">
        <v>638</v>
      </c>
      <c r="E1751" s="99" t="n">
        <v>0</v>
      </c>
      <c r="F1751" s="101" t="n">
        <v>0</v>
      </c>
      <c r="G1751" s="102" t="n">
        <f aca="false">IFERROR(F1751/INDEX($G$5:$G$34,MATCH(LOOKUP(2,1/($A$39:A1751&lt;&gt;""),$A$39:A1751),$A$5:$A$34,0)),0)</f>
        <v>0</v>
      </c>
      <c r="H1751" s="103" t="str">
        <f aca="false">IF(G1751=0,"空闲",IF(G1751&lt;=0.6,"低负荷",IF(G1751&lt;=0.85,"正常",IF(G1751&lt;=1,"满负荷","超负荷"))))</f>
        <v>空闲</v>
      </c>
      <c r="I1751" s="104" t="s">
        <v>638</v>
      </c>
      <c r="J1751" s="104"/>
      <c r="K1751" s="104"/>
      <c r="L1751" s="105" t="s">
        <v>639</v>
      </c>
    </row>
    <row r="1752" customFormat="false" ht="48" hidden="false" customHeight="true" outlineLevel="0" collapsed="false">
      <c r="A1752" s="99"/>
      <c r="B1752" s="100" t="n">
        <v>46111</v>
      </c>
      <c r="C1752" s="100" t="n">
        <v>46117</v>
      </c>
      <c r="D1752" s="99" t="s">
        <v>638</v>
      </c>
      <c r="E1752" s="99" t="n">
        <v>0</v>
      </c>
      <c r="F1752" s="101" t="n">
        <v>0</v>
      </c>
      <c r="G1752" s="102" t="n">
        <f aca="false">IFERROR(F1752/INDEX($G$5:$G$34,MATCH(LOOKUP(2,1/($A$39:A1752&lt;&gt;""),$A$39:A1752),$A$5:$A$34,0)),0)</f>
        <v>0</v>
      </c>
      <c r="H1752" s="103" t="str">
        <f aca="false">IF(G1752=0,"空闲",IF(G1752&lt;=0.6,"低负荷",IF(G1752&lt;=0.85,"正常",IF(G1752&lt;=1,"满负荷","超负荷"))))</f>
        <v>空闲</v>
      </c>
      <c r="I1752" s="104" t="s">
        <v>638</v>
      </c>
      <c r="J1752" s="104"/>
      <c r="K1752" s="104"/>
      <c r="L1752" s="105" t="s">
        <v>639</v>
      </c>
    </row>
    <row r="1753" customFormat="false" ht="48" hidden="false" customHeight="true" outlineLevel="0" collapsed="false">
      <c r="A1753" s="99"/>
      <c r="B1753" s="100" t="n">
        <v>46118</v>
      </c>
      <c r="C1753" s="100" t="n">
        <v>46124</v>
      </c>
      <c r="D1753" s="99" t="s">
        <v>638</v>
      </c>
      <c r="E1753" s="99" t="n">
        <v>0</v>
      </c>
      <c r="F1753" s="101" t="n">
        <v>0</v>
      </c>
      <c r="G1753" s="102" t="n">
        <f aca="false">IFERROR(F1753/INDEX($G$5:$G$34,MATCH(LOOKUP(2,1/($A$39:A1753&lt;&gt;""),$A$39:A1753),$A$5:$A$34,0)),0)</f>
        <v>0</v>
      </c>
      <c r="H1753" s="103" t="str">
        <f aca="false">IF(G1753=0,"空闲",IF(G1753&lt;=0.6,"低负荷",IF(G1753&lt;=0.85,"正常",IF(G1753&lt;=1,"满负荷","超负荷"))))</f>
        <v>空闲</v>
      </c>
      <c r="I1753" s="104" t="s">
        <v>638</v>
      </c>
      <c r="J1753" s="104"/>
      <c r="K1753" s="104"/>
      <c r="L1753" s="105" t="s">
        <v>639</v>
      </c>
    </row>
    <row r="1754" customFormat="false" ht="48" hidden="false" customHeight="true" outlineLevel="0" collapsed="false">
      <c r="A1754" s="99"/>
      <c r="B1754" s="100" t="n">
        <v>46125</v>
      </c>
      <c r="C1754" s="100" t="n">
        <v>46131</v>
      </c>
      <c r="D1754" s="99" t="s">
        <v>638</v>
      </c>
      <c r="E1754" s="99" t="n">
        <v>0</v>
      </c>
      <c r="F1754" s="101" t="n">
        <v>0</v>
      </c>
      <c r="G1754" s="102" t="n">
        <f aca="false">IFERROR(F1754/INDEX($G$5:$G$34,MATCH(LOOKUP(2,1/($A$39:A1754&lt;&gt;""),$A$39:A1754),$A$5:$A$34,0)),0)</f>
        <v>0</v>
      </c>
      <c r="H1754" s="103" t="str">
        <f aca="false">IF(G1754=0,"空闲",IF(G1754&lt;=0.6,"低负荷",IF(G1754&lt;=0.85,"正常",IF(G1754&lt;=1,"满负荷","超负荷"))))</f>
        <v>空闲</v>
      </c>
      <c r="I1754" s="104" t="s">
        <v>638</v>
      </c>
      <c r="J1754" s="104"/>
      <c r="K1754" s="104"/>
      <c r="L1754" s="105" t="s">
        <v>639</v>
      </c>
    </row>
    <row r="1755" customFormat="false" ht="48" hidden="false" customHeight="true" outlineLevel="0" collapsed="false">
      <c r="A1755" s="99"/>
      <c r="B1755" s="100" t="n">
        <v>46132</v>
      </c>
      <c r="C1755" s="100" t="n">
        <v>46138</v>
      </c>
      <c r="D1755" s="99" t="s">
        <v>638</v>
      </c>
      <c r="E1755" s="99" t="n">
        <v>0</v>
      </c>
      <c r="F1755" s="101" t="n">
        <v>0</v>
      </c>
      <c r="G1755" s="102" t="n">
        <f aca="false">IFERROR(F1755/INDEX($G$5:$G$34,MATCH(LOOKUP(2,1/($A$39:A1755&lt;&gt;""),$A$39:A1755),$A$5:$A$34,0)),0)</f>
        <v>0</v>
      </c>
      <c r="H1755" s="103" t="str">
        <f aca="false">IF(G1755=0,"空闲",IF(G1755&lt;=0.6,"低负荷",IF(G1755&lt;=0.85,"正常",IF(G1755&lt;=1,"满负荷","超负荷"))))</f>
        <v>空闲</v>
      </c>
      <c r="I1755" s="104" t="s">
        <v>638</v>
      </c>
      <c r="J1755" s="104"/>
      <c r="K1755" s="104"/>
      <c r="L1755" s="105" t="s">
        <v>639</v>
      </c>
    </row>
    <row r="1756" customFormat="false" ht="48" hidden="false" customHeight="true" outlineLevel="0" collapsed="false">
      <c r="A1756" s="99"/>
      <c r="B1756" s="100" t="n">
        <v>46139</v>
      </c>
      <c r="C1756" s="100" t="n">
        <v>46145</v>
      </c>
      <c r="D1756" s="99" t="s">
        <v>638</v>
      </c>
      <c r="E1756" s="99" t="n">
        <v>0</v>
      </c>
      <c r="F1756" s="101" t="n">
        <v>0</v>
      </c>
      <c r="G1756" s="102" t="n">
        <f aca="false">IFERROR(F1756/INDEX($G$5:$G$34,MATCH(LOOKUP(2,1/($A$39:A1756&lt;&gt;""),$A$39:A1756),$A$5:$A$34,0)),0)</f>
        <v>0</v>
      </c>
      <c r="H1756" s="103" t="str">
        <f aca="false">IF(G1756=0,"空闲",IF(G1756&lt;=0.6,"低负荷",IF(G1756&lt;=0.85,"正常",IF(G1756&lt;=1,"满负荷","超负荷"))))</f>
        <v>空闲</v>
      </c>
      <c r="I1756" s="104" t="s">
        <v>638</v>
      </c>
      <c r="J1756" s="104"/>
      <c r="K1756" s="104"/>
      <c r="L1756" s="105" t="s">
        <v>639</v>
      </c>
    </row>
    <row r="1757" customFormat="false" ht="48" hidden="false" customHeight="true" outlineLevel="0" collapsed="false">
      <c r="A1757" s="99"/>
      <c r="B1757" s="100" t="n">
        <v>46146</v>
      </c>
      <c r="C1757" s="100" t="n">
        <v>46152</v>
      </c>
      <c r="D1757" s="99" t="s">
        <v>638</v>
      </c>
      <c r="E1757" s="99" t="n">
        <v>0</v>
      </c>
      <c r="F1757" s="101" t="n">
        <v>0</v>
      </c>
      <c r="G1757" s="102" t="n">
        <f aca="false">IFERROR(F1757/INDEX($G$5:$G$34,MATCH(LOOKUP(2,1/($A$39:A1757&lt;&gt;""),$A$39:A1757),$A$5:$A$34,0)),0)</f>
        <v>0</v>
      </c>
      <c r="H1757" s="103" t="str">
        <f aca="false">IF(G1757=0,"空闲",IF(G1757&lt;=0.6,"低负荷",IF(G1757&lt;=0.85,"正常",IF(G1757&lt;=1,"满负荷","超负荷"))))</f>
        <v>空闲</v>
      </c>
      <c r="I1757" s="104" t="s">
        <v>638</v>
      </c>
      <c r="J1757" s="104"/>
      <c r="K1757" s="104"/>
      <c r="L1757" s="105" t="s">
        <v>639</v>
      </c>
    </row>
    <row r="1758" customFormat="false" ht="48" hidden="false" customHeight="true" outlineLevel="0" collapsed="false">
      <c r="A1758" s="99"/>
      <c r="B1758" s="100" t="n">
        <v>46153</v>
      </c>
      <c r="C1758" s="100" t="n">
        <v>46159</v>
      </c>
      <c r="D1758" s="99" t="s">
        <v>638</v>
      </c>
      <c r="E1758" s="99" t="n">
        <v>0</v>
      </c>
      <c r="F1758" s="101" t="n">
        <v>0</v>
      </c>
      <c r="G1758" s="102" t="n">
        <f aca="false">IFERROR(F1758/INDEX($G$5:$G$34,MATCH(LOOKUP(2,1/($A$39:A1758&lt;&gt;""),$A$39:A1758),$A$5:$A$34,0)),0)</f>
        <v>0</v>
      </c>
      <c r="H1758" s="103" t="str">
        <f aca="false">IF(G1758=0,"空闲",IF(G1758&lt;=0.6,"低负荷",IF(G1758&lt;=0.85,"正常",IF(G1758&lt;=1,"满负荷","超负荷"))))</f>
        <v>空闲</v>
      </c>
      <c r="I1758" s="104" t="s">
        <v>638</v>
      </c>
      <c r="J1758" s="104"/>
      <c r="K1758" s="104"/>
      <c r="L1758" s="105" t="s">
        <v>639</v>
      </c>
    </row>
    <row r="1759" customFormat="false" ht="48" hidden="false" customHeight="true" outlineLevel="0" collapsed="false">
      <c r="A1759" s="99"/>
      <c r="B1759" s="100" t="n">
        <v>46160</v>
      </c>
      <c r="C1759" s="100" t="n">
        <v>46166</v>
      </c>
      <c r="D1759" s="99" t="s">
        <v>638</v>
      </c>
      <c r="E1759" s="99" t="n">
        <v>0</v>
      </c>
      <c r="F1759" s="101" t="n">
        <v>0</v>
      </c>
      <c r="G1759" s="102" t="n">
        <f aca="false">IFERROR(F1759/INDEX($G$5:$G$34,MATCH(LOOKUP(2,1/($A$39:A1759&lt;&gt;""),$A$39:A1759),$A$5:$A$34,0)),0)</f>
        <v>0</v>
      </c>
      <c r="H1759" s="103" t="str">
        <f aca="false">IF(G1759=0,"空闲",IF(G1759&lt;=0.6,"低负荷",IF(G1759&lt;=0.85,"正常",IF(G1759&lt;=1,"满负荷","超负荷"))))</f>
        <v>空闲</v>
      </c>
      <c r="I1759" s="104" t="s">
        <v>638</v>
      </c>
      <c r="J1759" s="104"/>
      <c r="K1759" s="104"/>
      <c r="L1759" s="105" t="s">
        <v>639</v>
      </c>
    </row>
    <row r="1760" customFormat="false" ht="48" hidden="false" customHeight="true" outlineLevel="0" collapsed="false">
      <c r="A1760" s="99"/>
      <c r="B1760" s="100" t="n">
        <v>46167</v>
      </c>
      <c r="C1760" s="100" t="n">
        <v>46173</v>
      </c>
      <c r="D1760" s="99" t="s">
        <v>638</v>
      </c>
      <c r="E1760" s="99" t="n">
        <v>0</v>
      </c>
      <c r="F1760" s="101" t="n">
        <v>0</v>
      </c>
      <c r="G1760" s="102" t="n">
        <f aca="false">IFERROR(F1760/INDEX($G$5:$G$34,MATCH(LOOKUP(2,1/($A$39:A1760&lt;&gt;""),$A$39:A1760),$A$5:$A$34,0)),0)</f>
        <v>0</v>
      </c>
      <c r="H1760" s="103" t="str">
        <f aca="false">IF(G1760=0,"空闲",IF(G1760&lt;=0.6,"低负荷",IF(G1760&lt;=0.85,"正常",IF(G1760&lt;=1,"满负荷","超负荷"))))</f>
        <v>空闲</v>
      </c>
      <c r="I1760" s="104" t="s">
        <v>638</v>
      </c>
      <c r="J1760" s="104"/>
      <c r="K1760" s="104"/>
      <c r="L1760" s="105" t="s">
        <v>639</v>
      </c>
    </row>
    <row r="1761" customFormat="false" ht="48" hidden="false" customHeight="true" outlineLevel="0" collapsed="false">
      <c r="A1761" s="99"/>
      <c r="B1761" s="100" t="n">
        <v>46174</v>
      </c>
      <c r="C1761" s="100" t="n">
        <v>46180</v>
      </c>
      <c r="D1761" s="99" t="s">
        <v>638</v>
      </c>
      <c r="E1761" s="99" t="n">
        <v>0</v>
      </c>
      <c r="F1761" s="101" t="n">
        <v>0</v>
      </c>
      <c r="G1761" s="102" t="n">
        <f aca="false">IFERROR(F1761/INDEX($G$5:$G$34,MATCH(LOOKUP(2,1/($A$39:A1761&lt;&gt;""),$A$39:A1761),$A$5:$A$34,0)),0)</f>
        <v>0</v>
      </c>
      <c r="H1761" s="103" t="str">
        <f aca="false">IF(G1761=0,"空闲",IF(G1761&lt;=0.6,"低负荷",IF(G1761&lt;=0.85,"正常",IF(G1761&lt;=1,"满负荷","超负荷"))))</f>
        <v>空闲</v>
      </c>
      <c r="I1761" s="104" t="s">
        <v>638</v>
      </c>
      <c r="J1761" s="104"/>
      <c r="K1761" s="104"/>
      <c r="L1761" s="105" t="s">
        <v>639</v>
      </c>
    </row>
    <row r="1762" customFormat="false" ht="48" hidden="false" customHeight="true" outlineLevel="0" collapsed="false">
      <c r="A1762" s="99"/>
      <c r="B1762" s="100" t="n">
        <v>46181</v>
      </c>
      <c r="C1762" s="100" t="n">
        <v>46187</v>
      </c>
      <c r="D1762" s="99" t="s">
        <v>638</v>
      </c>
      <c r="E1762" s="99" t="n">
        <v>0</v>
      </c>
      <c r="F1762" s="101" t="n">
        <v>0</v>
      </c>
      <c r="G1762" s="102" t="n">
        <f aca="false">IFERROR(F1762/INDEX($G$5:$G$34,MATCH(LOOKUP(2,1/($A$39:A1762&lt;&gt;""),$A$39:A1762),$A$5:$A$34,0)),0)</f>
        <v>0</v>
      </c>
      <c r="H1762" s="103" t="str">
        <f aca="false">IF(G1762=0,"空闲",IF(G1762&lt;=0.6,"低负荷",IF(G1762&lt;=0.85,"正常",IF(G1762&lt;=1,"满负荷","超负荷"))))</f>
        <v>空闲</v>
      </c>
      <c r="I1762" s="104" t="s">
        <v>638</v>
      </c>
      <c r="J1762" s="104"/>
      <c r="K1762" s="104"/>
      <c r="L1762" s="105" t="s">
        <v>639</v>
      </c>
    </row>
    <row r="1763" customFormat="false" ht="48" hidden="false" customHeight="true" outlineLevel="0" collapsed="false">
      <c r="A1763" s="99"/>
      <c r="B1763" s="100" t="n">
        <v>46188</v>
      </c>
      <c r="C1763" s="100" t="n">
        <v>46194</v>
      </c>
      <c r="D1763" s="99" t="s">
        <v>638</v>
      </c>
      <c r="E1763" s="99" t="n">
        <v>0</v>
      </c>
      <c r="F1763" s="101" t="n">
        <v>0</v>
      </c>
      <c r="G1763" s="102" t="n">
        <f aca="false">IFERROR(F1763/INDEX($G$5:$G$34,MATCH(LOOKUP(2,1/($A$39:A1763&lt;&gt;""),$A$39:A1763),$A$5:$A$34,0)),0)</f>
        <v>0</v>
      </c>
      <c r="H1763" s="103" t="str">
        <f aca="false">IF(G1763=0,"空闲",IF(G1763&lt;=0.6,"低负荷",IF(G1763&lt;=0.85,"正常",IF(G1763&lt;=1,"满负荷","超负荷"))))</f>
        <v>空闲</v>
      </c>
      <c r="I1763" s="104" t="s">
        <v>638</v>
      </c>
      <c r="J1763" s="104"/>
      <c r="K1763" s="104"/>
      <c r="L1763" s="105" t="s">
        <v>639</v>
      </c>
    </row>
    <row r="1764" customFormat="false" ht="48" hidden="false" customHeight="true" outlineLevel="0" collapsed="false">
      <c r="A1764" s="99"/>
      <c r="B1764" s="100" t="n">
        <v>46195</v>
      </c>
      <c r="C1764" s="100" t="n">
        <v>46201</v>
      </c>
      <c r="D1764" s="99" t="s">
        <v>638</v>
      </c>
      <c r="E1764" s="99" t="n">
        <v>0</v>
      </c>
      <c r="F1764" s="101" t="n">
        <v>0</v>
      </c>
      <c r="G1764" s="102" t="n">
        <f aca="false">IFERROR(F1764/INDEX($G$5:$G$34,MATCH(LOOKUP(2,1/($A$39:A1764&lt;&gt;""),$A$39:A1764),$A$5:$A$34,0)),0)</f>
        <v>0</v>
      </c>
      <c r="H1764" s="103" t="str">
        <f aca="false">IF(G1764=0,"空闲",IF(G1764&lt;=0.6,"低负荷",IF(G1764&lt;=0.85,"正常",IF(G1764&lt;=1,"满负荷","超负荷"))))</f>
        <v>空闲</v>
      </c>
      <c r="I1764" s="104" t="s">
        <v>638</v>
      </c>
      <c r="J1764" s="104"/>
      <c r="K1764" s="104"/>
      <c r="L1764" s="105" t="s">
        <v>639</v>
      </c>
    </row>
    <row r="1765" customFormat="false" ht="48" hidden="false" customHeight="true" outlineLevel="0" collapsed="false">
      <c r="A1765" s="99"/>
      <c r="B1765" s="100" t="n">
        <v>46202</v>
      </c>
      <c r="C1765" s="100" t="n">
        <v>46208</v>
      </c>
      <c r="D1765" s="99" t="s">
        <v>638</v>
      </c>
      <c r="E1765" s="99" t="n">
        <v>0</v>
      </c>
      <c r="F1765" s="101" t="n">
        <v>0</v>
      </c>
      <c r="G1765" s="102" t="n">
        <f aca="false">IFERROR(F1765/INDEX($G$5:$G$34,MATCH(LOOKUP(2,1/($A$39:A1765&lt;&gt;""),$A$39:A1765),$A$5:$A$34,0)),0)</f>
        <v>0</v>
      </c>
      <c r="H1765" s="103" t="str">
        <f aca="false">IF(G1765=0,"空闲",IF(G1765&lt;=0.6,"低负荷",IF(G1765&lt;=0.85,"正常",IF(G1765&lt;=1,"满负荷","超负荷"))))</f>
        <v>空闲</v>
      </c>
      <c r="I1765" s="104" t="s">
        <v>638</v>
      </c>
      <c r="J1765" s="104"/>
      <c r="K1765" s="104"/>
      <c r="L1765" s="105" t="s">
        <v>639</v>
      </c>
    </row>
    <row r="1766" customFormat="false" ht="48" hidden="false" customHeight="true" outlineLevel="0" collapsed="false">
      <c r="A1766" s="99"/>
      <c r="B1766" s="100" t="n">
        <v>46209</v>
      </c>
      <c r="C1766" s="100" t="n">
        <v>46215</v>
      </c>
      <c r="D1766" s="99" t="s">
        <v>638</v>
      </c>
      <c r="E1766" s="99" t="n">
        <v>0</v>
      </c>
      <c r="F1766" s="101" t="n">
        <v>0</v>
      </c>
      <c r="G1766" s="102" t="n">
        <f aca="false">IFERROR(F1766/INDEX($G$5:$G$34,MATCH(LOOKUP(2,1/($A$39:A1766&lt;&gt;""),$A$39:A1766),$A$5:$A$34,0)),0)</f>
        <v>0</v>
      </c>
      <c r="H1766" s="103" t="str">
        <f aca="false">IF(G1766=0,"空闲",IF(G1766&lt;=0.6,"低负荷",IF(G1766&lt;=0.85,"正常",IF(G1766&lt;=1,"满负荷","超负荷"))))</f>
        <v>空闲</v>
      </c>
      <c r="I1766" s="104" t="s">
        <v>638</v>
      </c>
      <c r="J1766" s="104"/>
      <c r="K1766" s="104"/>
      <c r="L1766" s="105" t="s">
        <v>639</v>
      </c>
    </row>
    <row r="1767" customFormat="false" ht="48" hidden="false" customHeight="true" outlineLevel="0" collapsed="false">
      <c r="A1767" s="99"/>
      <c r="B1767" s="100" t="n">
        <v>46216</v>
      </c>
      <c r="C1767" s="100" t="n">
        <v>46222</v>
      </c>
      <c r="D1767" s="99" t="s">
        <v>638</v>
      </c>
      <c r="E1767" s="99" t="n">
        <v>0</v>
      </c>
      <c r="F1767" s="101" t="n">
        <v>0</v>
      </c>
      <c r="G1767" s="102" t="n">
        <f aca="false">IFERROR(F1767/INDEX($G$5:$G$34,MATCH(LOOKUP(2,1/($A$39:A1767&lt;&gt;""),$A$39:A1767),$A$5:$A$34,0)),0)</f>
        <v>0</v>
      </c>
      <c r="H1767" s="103" t="str">
        <f aca="false">IF(G1767=0,"空闲",IF(G1767&lt;=0.6,"低负荷",IF(G1767&lt;=0.85,"正常",IF(G1767&lt;=1,"满负荷","超负荷"))))</f>
        <v>空闲</v>
      </c>
      <c r="I1767" s="104" t="s">
        <v>638</v>
      </c>
      <c r="J1767" s="104"/>
      <c r="K1767" s="104"/>
      <c r="L1767" s="105" t="s">
        <v>639</v>
      </c>
    </row>
    <row r="1768" customFormat="false" ht="48" hidden="false" customHeight="true" outlineLevel="0" collapsed="false">
      <c r="A1768" s="99"/>
      <c r="B1768" s="100" t="n">
        <v>46223</v>
      </c>
      <c r="C1768" s="100" t="n">
        <v>46229</v>
      </c>
      <c r="D1768" s="99" t="s">
        <v>638</v>
      </c>
      <c r="E1768" s="99" t="n">
        <v>0</v>
      </c>
      <c r="F1768" s="101" t="n">
        <v>0</v>
      </c>
      <c r="G1768" s="102" t="n">
        <f aca="false">IFERROR(F1768/INDEX($G$5:$G$34,MATCH(LOOKUP(2,1/($A$39:A1768&lt;&gt;""),$A$39:A1768),$A$5:$A$34,0)),0)</f>
        <v>0</v>
      </c>
      <c r="H1768" s="103" t="str">
        <f aca="false">IF(G1768=0,"空闲",IF(G1768&lt;=0.6,"低负荷",IF(G1768&lt;=0.85,"正常",IF(G1768&lt;=1,"满负荷","超负荷"))))</f>
        <v>空闲</v>
      </c>
      <c r="I1768" s="104" t="s">
        <v>638</v>
      </c>
      <c r="J1768" s="104"/>
      <c r="K1768" s="104"/>
      <c r="L1768" s="105" t="s">
        <v>639</v>
      </c>
    </row>
    <row r="1769" customFormat="false" ht="48" hidden="false" customHeight="true" outlineLevel="0" collapsed="false">
      <c r="A1769" s="99"/>
      <c r="B1769" s="100" t="n">
        <v>46230</v>
      </c>
      <c r="C1769" s="100" t="n">
        <v>46236</v>
      </c>
      <c r="D1769" s="99" t="s">
        <v>638</v>
      </c>
      <c r="E1769" s="99" t="n">
        <v>0</v>
      </c>
      <c r="F1769" s="101" t="n">
        <v>0</v>
      </c>
      <c r="G1769" s="102" t="n">
        <f aca="false">IFERROR(F1769/INDEX($G$5:$G$34,MATCH(LOOKUP(2,1/($A$39:A1769&lt;&gt;""),$A$39:A1769),$A$5:$A$34,0)),0)</f>
        <v>0</v>
      </c>
      <c r="H1769" s="103" t="str">
        <f aca="false">IF(G1769=0,"空闲",IF(G1769&lt;=0.6,"低负荷",IF(G1769&lt;=0.85,"正常",IF(G1769&lt;=1,"满负荷","超负荷"))))</f>
        <v>空闲</v>
      </c>
      <c r="I1769" s="104" t="s">
        <v>638</v>
      </c>
      <c r="J1769" s="104"/>
      <c r="K1769" s="104"/>
      <c r="L1769" s="105" t="s">
        <v>639</v>
      </c>
    </row>
    <row r="1770" customFormat="false" ht="48" hidden="false" customHeight="true" outlineLevel="0" collapsed="false">
      <c r="A1770" s="99"/>
      <c r="B1770" s="100" t="n">
        <v>46237</v>
      </c>
      <c r="C1770" s="100" t="n">
        <v>46243</v>
      </c>
      <c r="D1770" s="99" t="s">
        <v>638</v>
      </c>
      <c r="E1770" s="99" t="n">
        <v>0</v>
      </c>
      <c r="F1770" s="101" t="n">
        <v>0</v>
      </c>
      <c r="G1770" s="102" t="n">
        <f aca="false">IFERROR(F1770/INDEX($G$5:$G$34,MATCH(LOOKUP(2,1/($A$39:A1770&lt;&gt;""),$A$39:A1770),$A$5:$A$34,0)),0)</f>
        <v>0</v>
      </c>
      <c r="H1770" s="103" t="str">
        <f aca="false">IF(G1770=0,"空闲",IF(G1770&lt;=0.6,"低负荷",IF(G1770&lt;=0.85,"正常",IF(G1770&lt;=1,"满负荷","超负荷"))))</f>
        <v>空闲</v>
      </c>
      <c r="I1770" s="104" t="s">
        <v>638</v>
      </c>
      <c r="J1770" s="104"/>
      <c r="K1770" s="104"/>
      <c r="L1770" s="105" t="s">
        <v>639</v>
      </c>
    </row>
    <row r="1771" customFormat="false" ht="48" hidden="false" customHeight="true" outlineLevel="0" collapsed="false">
      <c r="A1771" s="99"/>
      <c r="B1771" s="100" t="n">
        <v>46244</v>
      </c>
      <c r="C1771" s="100" t="n">
        <v>46250</v>
      </c>
      <c r="D1771" s="99" t="s">
        <v>638</v>
      </c>
      <c r="E1771" s="99" t="n">
        <v>0</v>
      </c>
      <c r="F1771" s="101" t="n">
        <v>0</v>
      </c>
      <c r="G1771" s="102" t="n">
        <f aca="false">IFERROR(F1771/INDEX($G$5:$G$34,MATCH(LOOKUP(2,1/($A$39:A1771&lt;&gt;""),$A$39:A1771),$A$5:$A$34,0)),0)</f>
        <v>0</v>
      </c>
      <c r="H1771" s="103" t="str">
        <f aca="false">IF(G1771=0,"空闲",IF(G1771&lt;=0.6,"低负荷",IF(G1771&lt;=0.85,"正常",IF(G1771&lt;=1,"满负荷","超负荷"))))</f>
        <v>空闲</v>
      </c>
      <c r="I1771" s="104" t="s">
        <v>638</v>
      </c>
      <c r="J1771" s="104"/>
      <c r="K1771" s="104"/>
      <c r="L1771" s="105" t="s">
        <v>639</v>
      </c>
    </row>
    <row r="1772" customFormat="false" ht="48" hidden="false" customHeight="true" outlineLevel="0" collapsed="false">
      <c r="A1772" s="99"/>
      <c r="B1772" s="100" t="n">
        <v>46251</v>
      </c>
      <c r="C1772" s="100" t="n">
        <v>46257</v>
      </c>
      <c r="D1772" s="99" t="s">
        <v>638</v>
      </c>
      <c r="E1772" s="99" t="n">
        <v>0</v>
      </c>
      <c r="F1772" s="101" t="n">
        <v>0</v>
      </c>
      <c r="G1772" s="102" t="n">
        <f aca="false">IFERROR(F1772/INDEX($G$5:$G$34,MATCH(LOOKUP(2,1/($A$39:A1772&lt;&gt;""),$A$39:A1772),$A$5:$A$34,0)),0)</f>
        <v>0</v>
      </c>
      <c r="H1772" s="103" t="str">
        <f aca="false">IF(G1772=0,"空闲",IF(G1772&lt;=0.6,"低负荷",IF(G1772&lt;=0.85,"正常",IF(G1772&lt;=1,"满负荷","超负荷"))))</f>
        <v>空闲</v>
      </c>
      <c r="I1772" s="104" t="s">
        <v>638</v>
      </c>
      <c r="J1772" s="104"/>
      <c r="K1772" s="104"/>
      <c r="L1772" s="105" t="s">
        <v>639</v>
      </c>
    </row>
    <row r="1773" customFormat="false" ht="48" hidden="false" customHeight="true" outlineLevel="0" collapsed="false">
      <c r="A1773" s="99"/>
      <c r="B1773" s="100" t="n">
        <v>46258</v>
      </c>
      <c r="C1773" s="100" t="n">
        <v>46264</v>
      </c>
      <c r="D1773" s="99" t="s">
        <v>638</v>
      </c>
      <c r="E1773" s="99" t="n">
        <v>0</v>
      </c>
      <c r="F1773" s="101" t="n">
        <v>0</v>
      </c>
      <c r="G1773" s="102" t="n">
        <f aca="false">IFERROR(F1773/INDEX($G$5:$G$34,MATCH(LOOKUP(2,1/($A$39:A1773&lt;&gt;""),$A$39:A1773),$A$5:$A$34,0)),0)</f>
        <v>0</v>
      </c>
      <c r="H1773" s="103" t="str">
        <f aca="false">IF(G1773=0,"空闲",IF(G1773&lt;=0.6,"低负荷",IF(G1773&lt;=0.85,"正常",IF(G1773&lt;=1,"满负荷","超负荷"))))</f>
        <v>空闲</v>
      </c>
      <c r="I1773" s="104" t="s">
        <v>638</v>
      </c>
      <c r="J1773" s="104"/>
      <c r="K1773" s="104"/>
      <c r="L1773" s="105" t="s">
        <v>639</v>
      </c>
    </row>
    <row r="1774" customFormat="false" ht="48" hidden="false" customHeight="true" outlineLevel="0" collapsed="false">
      <c r="A1774" s="99"/>
      <c r="B1774" s="100" t="n">
        <v>46265</v>
      </c>
      <c r="C1774" s="100" t="n">
        <v>46271</v>
      </c>
      <c r="D1774" s="99" t="s">
        <v>638</v>
      </c>
      <c r="E1774" s="99" t="n">
        <v>0</v>
      </c>
      <c r="F1774" s="101" t="n">
        <v>0</v>
      </c>
      <c r="G1774" s="102" t="n">
        <f aca="false">IFERROR(F1774/INDEX($G$5:$G$34,MATCH(LOOKUP(2,1/($A$39:A1774&lt;&gt;""),$A$39:A1774),$A$5:$A$34,0)),0)</f>
        <v>0</v>
      </c>
      <c r="H1774" s="103" t="str">
        <f aca="false">IF(G1774=0,"空闲",IF(G1774&lt;=0.6,"低负荷",IF(G1774&lt;=0.85,"正常",IF(G1774&lt;=1,"满负荷","超负荷"))))</f>
        <v>空闲</v>
      </c>
      <c r="I1774" s="104" t="s">
        <v>638</v>
      </c>
      <c r="J1774" s="104"/>
      <c r="K1774" s="104"/>
      <c r="L1774" s="105" t="s">
        <v>639</v>
      </c>
    </row>
    <row r="1775" customFormat="false" ht="48" hidden="false" customHeight="true" outlineLevel="0" collapsed="false">
      <c r="A1775" s="99"/>
      <c r="B1775" s="100" t="n">
        <v>46272</v>
      </c>
      <c r="C1775" s="100" t="n">
        <v>46278</v>
      </c>
      <c r="D1775" s="99" t="s">
        <v>638</v>
      </c>
      <c r="E1775" s="99" t="n">
        <v>0</v>
      </c>
      <c r="F1775" s="101" t="n">
        <v>0</v>
      </c>
      <c r="G1775" s="102" t="n">
        <f aca="false">IFERROR(F1775/INDEX($G$5:$G$34,MATCH(LOOKUP(2,1/($A$39:A1775&lt;&gt;""),$A$39:A1775),$A$5:$A$34,0)),0)</f>
        <v>0</v>
      </c>
      <c r="H1775" s="103" t="str">
        <f aca="false">IF(G1775=0,"空闲",IF(G1775&lt;=0.6,"低负荷",IF(G1775&lt;=0.85,"正常",IF(G1775&lt;=1,"满负荷","超负荷"))))</f>
        <v>空闲</v>
      </c>
      <c r="I1775" s="104" t="s">
        <v>638</v>
      </c>
      <c r="J1775" s="104"/>
      <c r="K1775" s="104"/>
      <c r="L1775" s="105" t="s">
        <v>639</v>
      </c>
    </row>
    <row r="1776" customFormat="false" ht="48" hidden="false" customHeight="true" outlineLevel="0" collapsed="false">
      <c r="A1776" s="99"/>
      <c r="B1776" s="100" t="n">
        <v>46279</v>
      </c>
      <c r="C1776" s="100" t="n">
        <v>46285</v>
      </c>
      <c r="D1776" s="99" t="s">
        <v>638</v>
      </c>
      <c r="E1776" s="99" t="n">
        <v>0</v>
      </c>
      <c r="F1776" s="101" t="n">
        <v>0</v>
      </c>
      <c r="G1776" s="102" t="n">
        <f aca="false">IFERROR(F1776/INDEX($G$5:$G$34,MATCH(LOOKUP(2,1/($A$39:A1776&lt;&gt;""),$A$39:A1776),$A$5:$A$34,0)),0)</f>
        <v>0</v>
      </c>
      <c r="H1776" s="103" t="str">
        <f aca="false">IF(G1776=0,"空闲",IF(G1776&lt;=0.6,"低负荷",IF(G1776&lt;=0.85,"正常",IF(G1776&lt;=1,"满负荷","超负荷"))))</f>
        <v>空闲</v>
      </c>
      <c r="I1776" s="104" t="s">
        <v>638</v>
      </c>
      <c r="J1776" s="104"/>
      <c r="K1776" s="104"/>
      <c r="L1776" s="105" t="s">
        <v>639</v>
      </c>
    </row>
    <row r="1777" customFormat="false" ht="48" hidden="false" customHeight="true" outlineLevel="0" collapsed="false">
      <c r="A1777" s="99"/>
      <c r="B1777" s="100" t="n">
        <v>46286</v>
      </c>
      <c r="C1777" s="100" t="n">
        <v>46292</v>
      </c>
      <c r="D1777" s="99" t="s">
        <v>638</v>
      </c>
      <c r="E1777" s="99" t="n">
        <v>0</v>
      </c>
      <c r="F1777" s="101" t="n">
        <v>0</v>
      </c>
      <c r="G1777" s="102" t="n">
        <f aca="false">IFERROR(F1777/INDEX($G$5:$G$34,MATCH(LOOKUP(2,1/($A$39:A1777&lt;&gt;""),$A$39:A1777),$A$5:$A$34,0)),0)</f>
        <v>0</v>
      </c>
      <c r="H1777" s="103" t="str">
        <f aca="false">IF(G1777=0,"空闲",IF(G1777&lt;=0.6,"低负荷",IF(G1777&lt;=0.85,"正常",IF(G1777&lt;=1,"满负荷","超负荷"))))</f>
        <v>空闲</v>
      </c>
      <c r="I1777" s="104" t="s">
        <v>638</v>
      </c>
      <c r="J1777" s="104"/>
      <c r="K1777" s="104"/>
      <c r="L1777" s="105" t="s">
        <v>639</v>
      </c>
    </row>
    <row r="1778" customFormat="false" ht="48" hidden="false" customHeight="true" outlineLevel="0" collapsed="false">
      <c r="A1778" s="99"/>
      <c r="B1778" s="100" t="n">
        <v>46293</v>
      </c>
      <c r="C1778" s="100" t="n">
        <v>46299</v>
      </c>
      <c r="D1778" s="99" t="s">
        <v>638</v>
      </c>
      <c r="E1778" s="99" t="n">
        <v>0</v>
      </c>
      <c r="F1778" s="101" t="n">
        <v>0</v>
      </c>
      <c r="G1778" s="102" t="n">
        <f aca="false">IFERROR(F1778/INDEX($G$5:$G$34,MATCH(LOOKUP(2,1/($A$39:A1778&lt;&gt;""),$A$39:A1778),$A$5:$A$34,0)),0)</f>
        <v>0</v>
      </c>
      <c r="H1778" s="103" t="str">
        <f aca="false">IF(G1778=0,"空闲",IF(G1778&lt;=0.6,"低负荷",IF(G1778&lt;=0.85,"正常",IF(G1778&lt;=1,"满负荷","超负荷"))))</f>
        <v>空闲</v>
      </c>
      <c r="I1778" s="104" t="s">
        <v>638</v>
      </c>
      <c r="J1778" s="104"/>
      <c r="K1778" s="104"/>
      <c r="L1778" s="105" t="s">
        <v>639</v>
      </c>
    </row>
    <row r="1779" customFormat="false" ht="48" hidden="false" customHeight="true" outlineLevel="0" collapsed="false">
      <c r="A1779" s="99"/>
      <c r="B1779" s="100" t="n">
        <v>46300</v>
      </c>
      <c r="C1779" s="100" t="n">
        <v>46306</v>
      </c>
      <c r="D1779" s="99" t="s">
        <v>638</v>
      </c>
      <c r="E1779" s="99" t="n">
        <v>0</v>
      </c>
      <c r="F1779" s="101" t="n">
        <v>0</v>
      </c>
      <c r="G1779" s="102" t="n">
        <f aca="false">IFERROR(F1779/INDEX($G$5:$G$34,MATCH(LOOKUP(2,1/($A$39:A1779&lt;&gt;""),$A$39:A1779),$A$5:$A$34,0)),0)</f>
        <v>0</v>
      </c>
      <c r="H1779" s="103" t="str">
        <f aca="false">IF(G1779=0,"空闲",IF(G1779&lt;=0.6,"低负荷",IF(G1779&lt;=0.85,"正常",IF(G1779&lt;=1,"满负荷","超负荷"))))</f>
        <v>空闲</v>
      </c>
      <c r="I1779" s="104" t="s">
        <v>638</v>
      </c>
      <c r="J1779" s="104"/>
      <c r="K1779" s="104"/>
      <c r="L1779" s="105" t="s">
        <v>639</v>
      </c>
    </row>
    <row r="1780" customFormat="false" ht="48" hidden="false" customHeight="true" outlineLevel="0" collapsed="false">
      <c r="A1780" s="99"/>
      <c r="B1780" s="100" t="n">
        <v>46307</v>
      </c>
      <c r="C1780" s="100" t="n">
        <v>46313</v>
      </c>
      <c r="D1780" s="99" t="s">
        <v>638</v>
      </c>
      <c r="E1780" s="99" t="n">
        <v>0</v>
      </c>
      <c r="F1780" s="101" t="n">
        <v>0</v>
      </c>
      <c r="G1780" s="102" t="n">
        <f aca="false">IFERROR(F1780/INDEX($G$5:$G$34,MATCH(LOOKUP(2,1/($A$39:A1780&lt;&gt;""),$A$39:A1780),$A$5:$A$34,0)),0)</f>
        <v>0</v>
      </c>
      <c r="H1780" s="103" t="str">
        <f aca="false">IF(G1780=0,"空闲",IF(G1780&lt;=0.6,"低负荷",IF(G1780&lt;=0.85,"正常",IF(G1780&lt;=1,"满负荷","超负荷"))))</f>
        <v>空闲</v>
      </c>
      <c r="I1780" s="104" t="s">
        <v>638</v>
      </c>
      <c r="J1780" s="104"/>
      <c r="K1780" s="104"/>
      <c r="L1780" s="105" t="s">
        <v>639</v>
      </c>
    </row>
    <row r="1781" customFormat="false" ht="48" hidden="false" customHeight="true" outlineLevel="0" collapsed="false">
      <c r="A1781" s="99"/>
      <c r="B1781" s="100" t="n">
        <v>46314</v>
      </c>
      <c r="C1781" s="100" t="n">
        <v>46320</v>
      </c>
      <c r="D1781" s="99" t="s">
        <v>638</v>
      </c>
      <c r="E1781" s="99" t="n">
        <v>0</v>
      </c>
      <c r="F1781" s="101" t="n">
        <v>0</v>
      </c>
      <c r="G1781" s="102" t="n">
        <f aca="false">IFERROR(F1781/INDEX($G$5:$G$34,MATCH(LOOKUP(2,1/($A$39:A1781&lt;&gt;""),$A$39:A1781),$A$5:$A$34,0)),0)</f>
        <v>0</v>
      </c>
      <c r="H1781" s="103" t="str">
        <f aca="false">IF(G1781=0,"空闲",IF(G1781&lt;=0.6,"低负荷",IF(G1781&lt;=0.85,"正常",IF(G1781&lt;=1,"满负荷","超负荷"))))</f>
        <v>空闲</v>
      </c>
      <c r="I1781" s="104" t="s">
        <v>638</v>
      </c>
      <c r="J1781" s="104"/>
      <c r="K1781" s="104"/>
      <c r="L1781" s="105" t="s">
        <v>639</v>
      </c>
    </row>
    <row r="1782" customFormat="false" ht="48" hidden="false" customHeight="true" outlineLevel="0" collapsed="false">
      <c r="A1782" s="99"/>
      <c r="B1782" s="100" t="n">
        <v>46321</v>
      </c>
      <c r="C1782" s="100" t="n">
        <v>46327</v>
      </c>
      <c r="D1782" s="99" t="s">
        <v>638</v>
      </c>
      <c r="E1782" s="99" t="n">
        <v>0</v>
      </c>
      <c r="F1782" s="101" t="n">
        <v>0</v>
      </c>
      <c r="G1782" s="102" t="n">
        <f aca="false">IFERROR(F1782/INDEX($G$5:$G$34,MATCH(LOOKUP(2,1/($A$39:A1782&lt;&gt;""),$A$39:A1782),$A$5:$A$34,0)),0)</f>
        <v>0</v>
      </c>
      <c r="H1782" s="103" t="str">
        <f aca="false">IF(G1782=0,"空闲",IF(G1782&lt;=0.6,"低负荷",IF(G1782&lt;=0.85,"正常",IF(G1782&lt;=1,"满负荷","超负荷"))))</f>
        <v>空闲</v>
      </c>
      <c r="I1782" s="104" t="s">
        <v>638</v>
      </c>
      <c r="J1782" s="104"/>
      <c r="K1782" s="104"/>
      <c r="L1782" s="105" t="s">
        <v>639</v>
      </c>
    </row>
    <row r="1783" customFormat="false" ht="48" hidden="false" customHeight="true" outlineLevel="0" collapsed="false">
      <c r="A1783" s="99"/>
      <c r="B1783" s="100" t="n">
        <v>46328</v>
      </c>
      <c r="C1783" s="100" t="n">
        <v>46334</v>
      </c>
      <c r="D1783" s="99" t="s">
        <v>638</v>
      </c>
      <c r="E1783" s="99" t="n">
        <v>0</v>
      </c>
      <c r="F1783" s="101" t="n">
        <v>0</v>
      </c>
      <c r="G1783" s="102" t="n">
        <f aca="false">IFERROR(F1783/INDEX($G$5:$G$34,MATCH(LOOKUP(2,1/($A$39:A1783&lt;&gt;""),$A$39:A1783),$A$5:$A$34,0)),0)</f>
        <v>0</v>
      </c>
      <c r="H1783" s="103" t="str">
        <f aca="false">IF(G1783=0,"空闲",IF(G1783&lt;=0.6,"低负荷",IF(G1783&lt;=0.85,"正常",IF(G1783&lt;=1,"满负荷","超负荷"))))</f>
        <v>空闲</v>
      </c>
      <c r="I1783" s="104" t="s">
        <v>638</v>
      </c>
      <c r="J1783" s="104"/>
      <c r="K1783" s="104"/>
      <c r="L1783" s="105" t="s">
        <v>639</v>
      </c>
    </row>
    <row r="1784" customFormat="false" ht="48" hidden="false" customHeight="true" outlineLevel="0" collapsed="false">
      <c r="A1784" s="99"/>
      <c r="B1784" s="100" t="n">
        <v>46335</v>
      </c>
      <c r="C1784" s="100" t="n">
        <v>46341</v>
      </c>
      <c r="D1784" s="99" t="s">
        <v>638</v>
      </c>
      <c r="E1784" s="99" t="n">
        <v>0</v>
      </c>
      <c r="F1784" s="101" t="n">
        <v>0</v>
      </c>
      <c r="G1784" s="102" t="n">
        <f aca="false">IFERROR(F1784/INDEX($G$5:$G$34,MATCH(LOOKUP(2,1/($A$39:A1784&lt;&gt;""),$A$39:A1784),$A$5:$A$34,0)),0)</f>
        <v>0</v>
      </c>
      <c r="H1784" s="103" t="str">
        <f aca="false">IF(G1784=0,"空闲",IF(G1784&lt;=0.6,"低负荷",IF(G1784&lt;=0.85,"正常",IF(G1784&lt;=1,"满负荷","超负荷"))))</f>
        <v>空闲</v>
      </c>
      <c r="I1784" s="104" t="s">
        <v>638</v>
      </c>
      <c r="J1784" s="104"/>
      <c r="K1784" s="104"/>
      <c r="L1784" s="105" t="s">
        <v>639</v>
      </c>
    </row>
    <row r="1785" customFormat="false" ht="48" hidden="false" customHeight="true" outlineLevel="0" collapsed="false">
      <c r="A1785" s="99"/>
      <c r="B1785" s="100" t="n">
        <v>46342</v>
      </c>
      <c r="C1785" s="100" t="n">
        <v>46348</v>
      </c>
      <c r="D1785" s="99" t="s">
        <v>638</v>
      </c>
      <c r="E1785" s="99" t="n">
        <v>0</v>
      </c>
      <c r="F1785" s="101" t="n">
        <v>0</v>
      </c>
      <c r="G1785" s="102" t="n">
        <f aca="false">IFERROR(F1785/INDEX($G$5:$G$34,MATCH(LOOKUP(2,1/($A$39:A1785&lt;&gt;""),$A$39:A1785),$A$5:$A$34,0)),0)</f>
        <v>0</v>
      </c>
      <c r="H1785" s="103" t="str">
        <f aca="false">IF(G1785=0,"空闲",IF(G1785&lt;=0.6,"低负荷",IF(G1785&lt;=0.85,"正常",IF(G1785&lt;=1,"满负荷","超负荷"))))</f>
        <v>空闲</v>
      </c>
      <c r="I1785" s="104" t="s">
        <v>638</v>
      </c>
      <c r="J1785" s="104"/>
      <c r="K1785" s="104"/>
      <c r="L1785" s="105" t="s">
        <v>639</v>
      </c>
    </row>
    <row r="1786" customFormat="false" ht="48" hidden="false" customHeight="true" outlineLevel="0" collapsed="false">
      <c r="A1786" s="99"/>
      <c r="B1786" s="100" t="n">
        <v>46349</v>
      </c>
      <c r="C1786" s="100" t="n">
        <v>46355</v>
      </c>
      <c r="D1786" s="99" t="s">
        <v>640</v>
      </c>
      <c r="E1786" s="99" t="n">
        <v>1</v>
      </c>
      <c r="F1786" s="101" t="n">
        <v>40</v>
      </c>
      <c r="G1786" s="102" t="n">
        <f aca="false">IFERROR(F1786/INDEX($G$5:$G$34,MATCH(LOOKUP(2,1/($A$39:A1786&lt;&gt;""),$A$39:A1786),$A$5:$A$34,0)),0)</f>
        <v>1</v>
      </c>
      <c r="H1786" s="103" t="str">
        <f aca="false">IF(G1786=0,"空闲",IF(G1786&lt;=0.6,"低负荷",IF(G1786&lt;=0.85,"正常",IF(G1786&lt;=1,"满负荷","超负荷"))))</f>
        <v>满负荷</v>
      </c>
      <c r="I1786" s="106" t="s">
        <v>712</v>
      </c>
      <c r="J1786" s="106"/>
      <c r="K1786" s="106"/>
      <c r="L1786" s="105" t="s">
        <v>642</v>
      </c>
    </row>
    <row r="1787" customFormat="false" ht="48" hidden="false" customHeight="true" outlineLevel="0" collapsed="false">
      <c r="A1787" s="99"/>
      <c r="B1787" s="100" t="n">
        <v>46356</v>
      </c>
      <c r="C1787" s="100" t="n">
        <v>46362</v>
      </c>
      <c r="D1787" s="99" t="s">
        <v>640</v>
      </c>
      <c r="E1787" s="99" t="n">
        <v>1</v>
      </c>
      <c r="F1787" s="101" t="n">
        <v>40</v>
      </c>
      <c r="G1787" s="102" t="n">
        <f aca="false">IFERROR(F1787/INDEX($G$5:$G$34,MATCH(LOOKUP(2,1/($A$39:A1787&lt;&gt;""),$A$39:A1787),$A$5:$A$34,0)),0)</f>
        <v>1</v>
      </c>
      <c r="H1787" s="103" t="str">
        <f aca="false">IF(G1787=0,"空闲",IF(G1787&lt;=0.6,"低负荷",IF(G1787&lt;=0.85,"正常",IF(G1787&lt;=1,"满负荷","超负荷"))))</f>
        <v>满负荷</v>
      </c>
      <c r="I1787" s="106" t="s">
        <v>712</v>
      </c>
      <c r="J1787" s="106"/>
      <c r="K1787" s="106"/>
      <c r="L1787" s="105" t="s">
        <v>642</v>
      </c>
    </row>
    <row r="1788" customFormat="false" ht="48" hidden="false" customHeight="true" outlineLevel="0" collapsed="false">
      <c r="A1788" s="99"/>
      <c r="B1788" s="100" t="n">
        <v>46363</v>
      </c>
      <c r="C1788" s="100" t="n">
        <v>46369</v>
      </c>
      <c r="D1788" s="99" t="s">
        <v>640</v>
      </c>
      <c r="E1788" s="99" t="n">
        <v>4</v>
      </c>
      <c r="F1788" s="101" t="n">
        <v>40</v>
      </c>
      <c r="G1788" s="102" t="n">
        <f aca="false">IFERROR(F1788/INDEX($G$5:$G$34,MATCH(LOOKUP(2,1/($A$39:A1788&lt;&gt;""),$A$39:A1788),$A$5:$A$34,0)),0)</f>
        <v>1</v>
      </c>
      <c r="H1788" s="103" t="str">
        <f aca="false">IF(G1788=0,"空闲",IF(G1788&lt;=0.6,"低负荷",IF(G1788&lt;=0.85,"正常",IF(G1788&lt;=1,"满负荷","超负荷"))))</f>
        <v>满负荷</v>
      </c>
      <c r="I1788" s="106" t="s">
        <v>754</v>
      </c>
      <c r="J1788" s="106"/>
      <c r="K1788" s="106"/>
      <c r="L1788" s="105" t="s">
        <v>715</v>
      </c>
    </row>
    <row r="1789" customFormat="false" ht="48" hidden="false" customHeight="true" outlineLevel="0" collapsed="false">
      <c r="A1789" s="99"/>
      <c r="B1789" s="100" t="n">
        <v>46370</v>
      </c>
      <c r="C1789" s="100" t="n">
        <v>46376</v>
      </c>
      <c r="D1789" s="99" t="s">
        <v>640</v>
      </c>
      <c r="E1789" s="99" t="n">
        <v>5</v>
      </c>
      <c r="F1789" s="101" t="n">
        <v>40</v>
      </c>
      <c r="G1789" s="102" t="n">
        <f aca="false">IFERROR(F1789/INDEX($G$5:$G$34,MATCH(LOOKUP(2,1/($A$39:A1789&lt;&gt;""),$A$39:A1789),$A$5:$A$34,0)),0)</f>
        <v>1</v>
      </c>
      <c r="H1789" s="103" t="str">
        <f aca="false">IF(G1789=0,"空闲",IF(G1789&lt;=0.6,"低负荷",IF(G1789&lt;=0.85,"正常",IF(G1789&lt;=1,"满负荷","超负荷"))))</f>
        <v>满负荷</v>
      </c>
      <c r="I1789" s="106" t="s">
        <v>755</v>
      </c>
      <c r="J1789" s="106"/>
      <c r="K1789" s="106"/>
      <c r="L1789" s="105" t="s">
        <v>717</v>
      </c>
    </row>
    <row r="1790" customFormat="false" ht="48" hidden="false" customHeight="true" outlineLevel="0" collapsed="false">
      <c r="A1790" s="99"/>
      <c r="B1790" s="100" t="n">
        <v>46377</v>
      </c>
      <c r="C1790" s="100" t="n">
        <v>46383</v>
      </c>
      <c r="D1790" s="99" t="s">
        <v>640</v>
      </c>
      <c r="E1790" s="99" t="n">
        <v>5</v>
      </c>
      <c r="F1790" s="101" t="n">
        <v>40</v>
      </c>
      <c r="G1790" s="102" t="n">
        <f aca="false">IFERROR(F1790/INDEX($G$5:$G$34,MATCH(LOOKUP(2,1/($A$39:A1790&lt;&gt;""),$A$39:A1790),$A$5:$A$34,0)),0)</f>
        <v>1</v>
      </c>
      <c r="H1790" s="103" t="str">
        <f aca="false">IF(G1790=0,"空闲",IF(G1790&lt;=0.6,"低负荷",IF(G1790&lt;=0.85,"正常",IF(G1790&lt;=1,"满负荷","超负荷"))))</f>
        <v>满负荷</v>
      </c>
      <c r="I1790" s="106" t="s">
        <v>755</v>
      </c>
      <c r="J1790" s="106"/>
      <c r="K1790" s="106"/>
      <c r="L1790" s="105" t="s">
        <v>717</v>
      </c>
    </row>
    <row r="1791" customFormat="false" ht="48" hidden="false" customHeight="true" outlineLevel="0" collapsed="false">
      <c r="A1791" s="99"/>
      <c r="B1791" s="100" t="n">
        <v>46384</v>
      </c>
      <c r="C1791" s="100" t="n">
        <v>46390</v>
      </c>
      <c r="D1791" s="99" t="s">
        <v>640</v>
      </c>
      <c r="E1791" s="99" t="n">
        <v>5</v>
      </c>
      <c r="F1791" s="101" t="n">
        <v>40</v>
      </c>
      <c r="G1791" s="102" t="n">
        <f aca="false">IFERROR(F1791/INDEX($G$5:$G$34,MATCH(LOOKUP(2,1/($A$39:A1791&lt;&gt;""),$A$39:A1791),$A$5:$A$34,0)),0)</f>
        <v>1</v>
      </c>
      <c r="H1791" s="103" t="str">
        <f aca="false">IF(G1791=0,"空闲",IF(G1791&lt;=0.6,"低负荷",IF(G1791&lt;=0.85,"正常",IF(G1791&lt;=1,"满负荷","超负荷"))))</f>
        <v>满负荷</v>
      </c>
      <c r="I1791" s="106" t="s">
        <v>755</v>
      </c>
      <c r="J1791" s="106"/>
      <c r="K1791" s="106"/>
      <c r="L1791" s="105" t="s">
        <v>717</v>
      </c>
    </row>
    <row r="1792" customFormat="false" ht="48" hidden="false" customHeight="true" outlineLevel="0" collapsed="false">
      <c r="A1792" s="99"/>
      <c r="B1792" s="100" t="n">
        <v>46391</v>
      </c>
      <c r="C1792" s="100" t="n">
        <v>46397</v>
      </c>
      <c r="D1792" s="99" t="s">
        <v>640</v>
      </c>
      <c r="E1792" s="99" t="n">
        <v>5</v>
      </c>
      <c r="F1792" s="101" t="n">
        <v>40</v>
      </c>
      <c r="G1792" s="102" t="n">
        <f aca="false">IFERROR(F1792/INDEX($G$5:$G$34,MATCH(LOOKUP(2,1/($A$39:A1792&lt;&gt;""),$A$39:A1792),$A$5:$A$34,0)),0)</f>
        <v>1</v>
      </c>
      <c r="H1792" s="103" t="str">
        <f aca="false">IF(G1792=0,"空闲",IF(G1792&lt;=0.6,"低负荷",IF(G1792&lt;=0.85,"正常",IF(G1792&lt;=1,"满负荷","超负荷"))))</f>
        <v>满负荷</v>
      </c>
      <c r="I1792" s="106" t="s">
        <v>755</v>
      </c>
      <c r="J1792" s="106"/>
      <c r="K1792" s="106"/>
      <c r="L1792" s="105" t="s">
        <v>717</v>
      </c>
    </row>
    <row r="1793" customFormat="false" ht="48" hidden="false" customHeight="true" outlineLevel="0" collapsed="false">
      <c r="A1793" s="99"/>
      <c r="B1793" s="100" t="n">
        <v>46398</v>
      </c>
      <c r="C1793" s="100" t="n">
        <v>46404</v>
      </c>
      <c r="D1793" s="99" t="s">
        <v>640</v>
      </c>
      <c r="E1793" s="99" t="n">
        <v>5</v>
      </c>
      <c r="F1793" s="101" t="n">
        <v>40</v>
      </c>
      <c r="G1793" s="102" t="n">
        <f aca="false">IFERROR(F1793/INDEX($G$5:$G$34,MATCH(LOOKUP(2,1/($A$39:A1793&lt;&gt;""),$A$39:A1793),$A$5:$A$34,0)),0)</f>
        <v>1</v>
      </c>
      <c r="H1793" s="103" t="str">
        <f aca="false">IF(G1793=0,"空闲",IF(G1793&lt;=0.6,"低负荷",IF(G1793&lt;=0.85,"正常",IF(G1793&lt;=1,"满负荷","超负荷"))))</f>
        <v>满负荷</v>
      </c>
      <c r="I1793" s="106" t="s">
        <v>755</v>
      </c>
      <c r="J1793" s="106"/>
      <c r="K1793" s="106"/>
      <c r="L1793" s="105" t="s">
        <v>717</v>
      </c>
    </row>
    <row r="1794" customFormat="false" ht="48" hidden="false" customHeight="true" outlineLevel="0" collapsed="false">
      <c r="A1794" s="99"/>
      <c r="B1794" s="100" t="n">
        <v>46405</v>
      </c>
      <c r="C1794" s="100" t="n">
        <v>46411</v>
      </c>
      <c r="D1794" s="99" t="s">
        <v>640</v>
      </c>
      <c r="E1794" s="99" t="n">
        <v>5</v>
      </c>
      <c r="F1794" s="101" t="n">
        <v>40</v>
      </c>
      <c r="G1794" s="102" t="n">
        <f aca="false">IFERROR(F1794/INDEX($G$5:$G$34,MATCH(LOOKUP(2,1/($A$39:A1794&lt;&gt;""),$A$39:A1794),$A$5:$A$34,0)),0)</f>
        <v>1</v>
      </c>
      <c r="H1794" s="103" t="str">
        <f aca="false">IF(G1794=0,"空闲",IF(G1794&lt;=0.6,"低负荷",IF(G1794&lt;=0.85,"正常",IF(G1794&lt;=1,"满负荷","超负荷"))))</f>
        <v>满负荷</v>
      </c>
      <c r="I1794" s="106" t="s">
        <v>755</v>
      </c>
      <c r="J1794" s="106"/>
      <c r="K1794" s="106"/>
      <c r="L1794" s="105" t="s">
        <v>717</v>
      </c>
    </row>
    <row r="1795" customFormat="false" ht="48" hidden="false" customHeight="true" outlineLevel="0" collapsed="false">
      <c r="A1795" s="99"/>
      <c r="B1795" s="100" t="n">
        <v>46412</v>
      </c>
      <c r="C1795" s="100" t="n">
        <v>46418</v>
      </c>
      <c r="D1795" s="99" t="s">
        <v>640</v>
      </c>
      <c r="E1795" s="99" t="n">
        <v>5</v>
      </c>
      <c r="F1795" s="101" t="n">
        <v>40</v>
      </c>
      <c r="G1795" s="102" t="n">
        <f aca="false">IFERROR(F1795/INDEX($G$5:$G$34,MATCH(LOOKUP(2,1/($A$39:A1795&lt;&gt;""),$A$39:A1795),$A$5:$A$34,0)),0)</f>
        <v>1</v>
      </c>
      <c r="H1795" s="103" t="str">
        <f aca="false">IF(G1795=0,"空闲",IF(G1795&lt;=0.6,"低负荷",IF(G1795&lt;=0.85,"正常",IF(G1795&lt;=1,"满负荷","超负荷"))))</f>
        <v>满负荷</v>
      </c>
      <c r="I1795" s="106" t="s">
        <v>755</v>
      </c>
      <c r="J1795" s="106"/>
      <c r="K1795" s="106"/>
      <c r="L1795" s="105" t="s">
        <v>717</v>
      </c>
    </row>
    <row r="1796" customFormat="false" ht="48" hidden="false" customHeight="true" outlineLevel="0" collapsed="false">
      <c r="A1796" s="99"/>
      <c r="B1796" s="100" t="n">
        <v>46419</v>
      </c>
      <c r="C1796" s="100" t="n">
        <v>46425</v>
      </c>
      <c r="D1796" s="99" t="s">
        <v>640</v>
      </c>
      <c r="E1796" s="99" t="n">
        <v>5</v>
      </c>
      <c r="F1796" s="101" t="n">
        <v>40</v>
      </c>
      <c r="G1796" s="102" t="n">
        <f aca="false">IFERROR(F1796/INDEX($G$5:$G$34,MATCH(LOOKUP(2,1/($A$39:A1796&lt;&gt;""),$A$39:A1796),$A$5:$A$34,0)),0)</f>
        <v>1</v>
      </c>
      <c r="H1796" s="103" t="str">
        <f aca="false">IF(G1796=0,"空闲",IF(G1796&lt;=0.6,"低负荷",IF(G1796&lt;=0.85,"正常",IF(G1796&lt;=1,"满负荷","超负荷"))))</f>
        <v>满负荷</v>
      </c>
      <c r="I1796" s="106" t="s">
        <v>755</v>
      </c>
      <c r="J1796" s="106"/>
      <c r="K1796" s="106"/>
      <c r="L1796" s="105" t="s">
        <v>717</v>
      </c>
    </row>
    <row r="1797" customFormat="false" ht="48" hidden="false" customHeight="true" outlineLevel="0" collapsed="false">
      <c r="A1797" s="99"/>
      <c r="B1797" s="100" t="n">
        <v>46426</v>
      </c>
      <c r="C1797" s="100" t="n">
        <v>46432</v>
      </c>
      <c r="D1797" s="99" t="s">
        <v>640</v>
      </c>
      <c r="E1797" s="99" t="n">
        <v>5</v>
      </c>
      <c r="F1797" s="101" t="n">
        <v>40</v>
      </c>
      <c r="G1797" s="102" t="n">
        <f aca="false">IFERROR(F1797/INDEX($G$5:$G$34,MATCH(LOOKUP(2,1/($A$39:A1797&lt;&gt;""),$A$39:A1797),$A$5:$A$34,0)),0)</f>
        <v>1</v>
      </c>
      <c r="H1797" s="103" t="str">
        <f aca="false">IF(G1797=0,"空闲",IF(G1797&lt;=0.6,"低负荷",IF(G1797&lt;=0.85,"正常",IF(G1797&lt;=1,"满负荷","超负荷"))))</f>
        <v>满负荷</v>
      </c>
      <c r="I1797" s="106" t="s">
        <v>755</v>
      </c>
      <c r="J1797" s="106"/>
      <c r="K1797" s="106"/>
      <c r="L1797" s="105" t="s">
        <v>717</v>
      </c>
    </row>
    <row r="1798" customFormat="false" ht="48" hidden="false" customHeight="true" outlineLevel="0" collapsed="false">
      <c r="A1798" s="99"/>
      <c r="B1798" s="100" t="n">
        <v>46433</v>
      </c>
      <c r="C1798" s="100" t="n">
        <v>46439</v>
      </c>
      <c r="D1798" s="99" t="s">
        <v>638</v>
      </c>
      <c r="E1798" s="99" t="n">
        <v>0</v>
      </c>
      <c r="F1798" s="101" t="n">
        <v>0</v>
      </c>
      <c r="G1798" s="102" t="n">
        <f aca="false">IFERROR(F1798/INDEX($G$5:$G$34,MATCH(LOOKUP(2,1/($A$39:A1798&lt;&gt;""),$A$39:A1798),$A$5:$A$34,0)),0)</f>
        <v>0</v>
      </c>
      <c r="H1798" s="103" t="str">
        <f aca="false">IF(G1798=0,"空闲",IF(G1798&lt;=0.6,"低负荷",IF(G1798&lt;=0.85,"正常",IF(G1798&lt;=1,"满负荷","超负荷"))))</f>
        <v>空闲</v>
      </c>
      <c r="I1798" s="104" t="s">
        <v>638</v>
      </c>
      <c r="J1798" s="104"/>
      <c r="K1798" s="104"/>
      <c r="L1798" s="105" t="s">
        <v>639</v>
      </c>
    </row>
    <row r="1799" customFormat="false" ht="48" hidden="false" customHeight="true" outlineLevel="0" collapsed="false">
      <c r="A1799" s="99"/>
      <c r="B1799" s="100" t="n">
        <v>46440</v>
      </c>
      <c r="C1799" s="100" t="n">
        <v>46446</v>
      </c>
      <c r="D1799" s="99" t="s">
        <v>638</v>
      </c>
      <c r="E1799" s="99" t="n">
        <v>0</v>
      </c>
      <c r="F1799" s="101" t="n">
        <v>0</v>
      </c>
      <c r="G1799" s="102" t="n">
        <f aca="false">IFERROR(F1799/INDEX($G$5:$G$34,MATCH(LOOKUP(2,1/($A$39:A1799&lt;&gt;""),$A$39:A1799),$A$5:$A$34,0)),0)</f>
        <v>0</v>
      </c>
      <c r="H1799" s="103" t="str">
        <f aca="false">IF(G1799=0,"空闲",IF(G1799&lt;=0.6,"低负荷",IF(G1799&lt;=0.85,"正常",IF(G1799&lt;=1,"满负荷","超负荷"))))</f>
        <v>空闲</v>
      </c>
      <c r="I1799" s="104" t="s">
        <v>638</v>
      </c>
      <c r="J1799" s="104"/>
      <c r="K1799" s="104"/>
      <c r="L1799" s="105" t="s">
        <v>639</v>
      </c>
    </row>
    <row r="1800" customFormat="false" ht="48" hidden="false" customHeight="true" outlineLevel="0" collapsed="false">
      <c r="A1800" s="99"/>
      <c r="B1800" s="100" t="n">
        <v>46447</v>
      </c>
      <c r="C1800" s="100" t="n">
        <v>46453</v>
      </c>
      <c r="D1800" s="99" t="s">
        <v>640</v>
      </c>
      <c r="E1800" s="99" t="n">
        <v>1</v>
      </c>
      <c r="F1800" s="101" t="n">
        <v>40</v>
      </c>
      <c r="G1800" s="102" t="n">
        <f aca="false">IFERROR(F1800/INDEX($G$5:$G$34,MATCH(LOOKUP(2,1/($A$39:A1800&lt;&gt;""),$A$39:A1800),$A$5:$A$34,0)),0)</f>
        <v>1</v>
      </c>
      <c r="H1800" s="103" t="str">
        <f aca="false">IF(G1800=0,"空闲",IF(G1800&lt;=0.6,"低负荷",IF(G1800&lt;=0.85,"正常",IF(G1800&lt;=1,"满负荷","超负荷"))))</f>
        <v>满负荷</v>
      </c>
      <c r="I1800" s="106" t="s">
        <v>756</v>
      </c>
      <c r="J1800" s="106"/>
      <c r="K1800" s="106"/>
      <c r="L1800" s="105" t="s">
        <v>642</v>
      </c>
    </row>
    <row r="1801" customFormat="false" ht="48" hidden="false" customHeight="true" outlineLevel="0" collapsed="false">
      <c r="A1801" s="99"/>
      <c r="B1801" s="100" t="n">
        <v>46454</v>
      </c>
      <c r="C1801" s="100" t="n">
        <v>46460</v>
      </c>
      <c r="D1801" s="99" t="s">
        <v>640</v>
      </c>
      <c r="E1801" s="99" t="n">
        <v>1</v>
      </c>
      <c r="F1801" s="101" t="n">
        <v>40</v>
      </c>
      <c r="G1801" s="102" t="n">
        <f aca="false">IFERROR(F1801/INDEX($G$5:$G$34,MATCH(LOOKUP(2,1/($A$39:A1801&lt;&gt;""),$A$39:A1801),$A$5:$A$34,0)),0)</f>
        <v>1</v>
      </c>
      <c r="H1801" s="103" t="str">
        <f aca="false">IF(G1801=0,"空闲",IF(G1801&lt;=0.6,"低负荷",IF(G1801&lt;=0.85,"正常",IF(G1801&lt;=1,"满负荷","超负荷"))))</f>
        <v>满负荷</v>
      </c>
      <c r="I1801" s="106" t="s">
        <v>756</v>
      </c>
      <c r="J1801" s="106"/>
      <c r="K1801" s="106"/>
      <c r="L1801" s="105" t="s">
        <v>642</v>
      </c>
    </row>
    <row r="1802" customFormat="false" ht="48" hidden="false" customHeight="true" outlineLevel="0" collapsed="false">
      <c r="A1802" s="99"/>
      <c r="B1802" s="100" t="n">
        <v>46461</v>
      </c>
      <c r="C1802" s="100" t="n">
        <v>46467</v>
      </c>
      <c r="D1802" s="99" t="s">
        <v>640</v>
      </c>
      <c r="E1802" s="99" t="n">
        <v>1</v>
      </c>
      <c r="F1802" s="101" t="n">
        <v>40</v>
      </c>
      <c r="G1802" s="102" t="n">
        <f aca="false">IFERROR(F1802/INDEX($G$5:$G$34,MATCH(LOOKUP(2,1/($A$39:A1802&lt;&gt;""),$A$39:A1802),$A$5:$A$34,0)),0)</f>
        <v>1</v>
      </c>
      <c r="H1802" s="103" t="str">
        <f aca="false">IF(G1802=0,"空闲",IF(G1802&lt;=0.6,"低负荷",IF(G1802&lt;=0.85,"正常",IF(G1802&lt;=1,"满负荷","超负荷"))))</f>
        <v>满负荷</v>
      </c>
      <c r="I1802" s="106" t="s">
        <v>756</v>
      </c>
      <c r="J1802" s="106"/>
      <c r="K1802" s="106"/>
      <c r="L1802" s="105" t="s">
        <v>642</v>
      </c>
    </row>
    <row r="1803" customFormat="false" ht="48" hidden="false" customHeight="true" outlineLevel="0" collapsed="false">
      <c r="A1803" s="99"/>
      <c r="B1803" s="100" t="n">
        <v>46468</v>
      </c>
      <c r="C1803" s="100" t="n">
        <v>46474</v>
      </c>
      <c r="D1803" s="99" t="s">
        <v>638</v>
      </c>
      <c r="E1803" s="99" t="n">
        <v>0</v>
      </c>
      <c r="F1803" s="101" t="n">
        <v>0</v>
      </c>
      <c r="G1803" s="102" t="n">
        <f aca="false">IFERROR(F1803/INDEX($G$5:$G$34,MATCH(LOOKUP(2,1/($A$39:A1803&lt;&gt;""),$A$39:A1803),$A$5:$A$34,0)),0)</f>
        <v>0</v>
      </c>
      <c r="H1803" s="103" t="str">
        <f aca="false">IF(G1803=0,"空闲",IF(G1803&lt;=0.6,"低负荷",IF(G1803&lt;=0.85,"正常",IF(G1803&lt;=1,"满负荷","超负荷"))))</f>
        <v>空闲</v>
      </c>
      <c r="I1803" s="104" t="s">
        <v>638</v>
      </c>
      <c r="J1803" s="104"/>
      <c r="K1803" s="104"/>
      <c r="L1803" s="105" t="s">
        <v>639</v>
      </c>
    </row>
    <row r="1804" customFormat="false" ht="48" hidden="false" customHeight="true" outlineLevel="0" collapsed="false">
      <c r="A1804" s="99"/>
      <c r="B1804" s="100" t="n">
        <v>46475</v>
      </c>
      <c r="C1804" s="100" t="n">
        <v>46481</v>
      </c>
      <c r="D1804" s="99" t="s">
        <v>638</v>
      </c>
      <c r="E1804" s="99" t="n">
        <v>0</v>
      </c>
      <c r="F1804" s="101" t="n">
        <v>0</v>
      </c>
      <c r="G1804" s="102" t="n">
        <f aca="false">IFERROR(F1804/INDEX($G$5:$G$34,MATCH(LOOKUP(2,1/($A$39:A1804&lt;&gt;""),$A$39:A1804),$A$5:$A$34,0)),0)</f>
        <v>0</v>
      </c>
      <c r="H1804" s="103" t="str">
        <f aca="false">IF(G1804=0,"空闲",IF(G1804&lt;=0.6,"低负荷",IF(G1804&lt;=0.85,"正常",IF(G1804&lt;=1,"满负荷","超负荷"))))</f>
        <v>空闲</v>
      </c>
      <c r="I1804" s="104" t="s">
        <v>638</v>
      </c>
      <c r="J1804" s="104"/>
      <c r="K1804" s="104"/>
      <c r="L1804" s="105" t="s">
        <v>639</v>
      </c>
    </row>
    <row r="1805" customFormat="false" ht="48" hidden="false" customHeight="true" outlineLevel="0" collapsed="false">
      <c r="A1805" s="99"/>
      <c r="B1805" s="100" t="n">
        <v>46482</v>
      </c>
      <c r="C1805" s="100" t="n">
        <v>46488</v>
      </c>
      <c r="D1805" s="99" t="s">
        <v>638</v>
      </c>
      <c r="E1805" s="99" t="n">
        <v>0</v>
      </c>
      <c r="F1805" s="101" t="n">
        <v>0</v>
      </c>
      <c r="G1805" s="102" t="n">
        <f aca="false">IFERROR(F1805/INDEX($G$5:$G$34,MATCH(LOOKUP(2,1/($A$39:A1805&lt;&gt;""),$A$39:A1805),$A$5:$A$34,0)),0)</f>
        <v>0</v>
      </c>
      <c r="H1805" s="103" t="str">
        <f aca="false">IF(G1805=0,"空闲",IF(G1805&lt;=0.6,"低负荷",IF(G1805&lt;=0.85,"正常",IF(G1805&lt;=1,"满负荷","超负荷"))))</f>
        <v>空闲</v>
      </c>
      <c r="I1805" s="104" t="s">
        <v>638</v>
      </c>
      <c r="J1805" s="104"/>
      <c r="K1805" s="104"/>
      <c r="L1805" s="105" t="s">
        <v>639</v>
      </c>
    </row>
    <row r="1806" customFormat="false" ht="48" hidden="false" customHeight="true" outlineLevel="0" collapsed="false">
      <c r="A1806" s="99"/>
      <c r="B1806" s="100" t="n">
        <v>46489</v>
      </c>
      <c r="C1806" s="100" t="n">
        <v>46495</v>
      </c>
      <c r="D1806" s="99" t="s">
        <v>638</v>
      </c>
      <c r="E1806" s="99" t="n">
        <v>0</v>
      </c>
      <c r="F1806" s="101" t="n">
        <v>0</v>
      </c>
      <c r="G1806" s="102" t="n">
        <f aca="false">IFERROR(F1806/INDEX($G$5:$G$34,MATCH(LOOKUP(2,1/($A$39:A1806&lt;&gt;""),$A$39:A1806),$A$5:$A$34,0)),0)</f>
        <v>0</v>
      </c>
      <c r="H1806" s="103" t="str">
        <f aca="false">IF(G1806=0,"空闲",IF(G1806&lt;=0.6,"低负荷",IF(G1806&lt;=0.85,"正常",IF(G1806&lt;=1,"满负荷","超负荷"))))</f>
        <v>空闲</v>
      </c>
      <c r="I1806" s="104" t="s">
        <v>638</v>
      </c>
      <c r="J1806" s="104"/>
      <c r="K1806" s="104"/>
      <c r="L1806" s="105" t="s">
        <v>639</v>
      </c>
    </row>
    <row r="1807" customFormat="false" ht="48" hidden="false" customHeight="true" outlineLevel="0" collapsed="false">
      <c r="A1807" s="99"/>
      <c r="B1807" s="100" t="n">
        <v>46496</v>
      </c>
      <c r="C1807" s="100" t="n">
        <v>46502</v>
      </c>
      <c r="D1807" s="99" t="s">
        <v>638</v>
      </c>
      <c r="E1807" s="99" t="n">
        <v>0</v>
      </c>
      <c r="F1807" s="101" t="n">
        <v>0</v>
      </c>
      <c r="G1807" s="102" t="n">
        <f aca="false">IFERROR(F1807/INDEX($G$5:$G$34,MATCH(LOOKUP(2,1/($A$39:A1807&lt;&gt;""),$A$39:A1807),$A$5:$A$34,0)),0)</f>
        <v>0</v>
      </c>
      <c r="H1807" s="103" t="str">
        <f aca="false">IF(G1807=0,"空闲",IF(G1807&lt;=0.6,"低负荷",IF(G1807&lt;=0.85,"正常",IF(G1807&lt;=1,"满负荷","超负荷"))))</f>
        <v>空闲</v>
      </c>
      <c r="I1807" s="104" t="s">
        <v>638</v>
      </c>
      <c r="J1807" s="104"/>
      <c r="K1807" s="104"/>
      <c r="L1807" s="105" t="s">
        <v>639</v>
      </c>
    </row>
    <row r="1808" customFormat="false" ht="48" hidden="false" customHeight="true" outlineLevel="0" collapsed="false">
      <c r="A1808" s="99"/>
      <c r="B1808" s="100" t="n">
        <v>46503</v>
      </c>
      <c r="C1808" s="100" t="n">
        <v>46509</v>
      </c>
      <c r="D1808" s="99" t="s">
        <v>638</v>
      </c>
      <c r="E1808" s="99" t="n">
        <v>0</v>
      </c>
      <c r="F1808" s="101" t="n">
        <v>0</v>
      </c>
      <c r="G1808" s="102" t="n">
        <f aca="false">IFERROR(F1808/INDEX($G$5:$G$34,MATCH(LOOKUP(2,1/($A$39:A1808&lt;&gt;""),$A$39:A1808),$A$5:$A$34,0)),0)</f>
        <v>0</v>
      </c>
      <c r="H1808" s="103" t="str">
        <f aca="false">IF(G1808=0,"空闲",IF(G1808&lt;=0.6,"低负荷",IF(G1808&lt;=0.85,"正常",IF(G1808&lt;=1,"满负荷","超负荷"))))</f>
        <v>空闲</v>
      </c>
      <c r="I1808" s="104" t="s">
        <v>638</v>
      </c>
      <c r="J1808" s="104"/>
      <c r="K1808" s="104"/>
      <c r="L1808" s="105" t="s">
        <v>639</v>
      </c>
    </row>
    <row r="1809" customFormat="false" ht="48" hidden="false" customHeight="true" outlineLevel="0" collapsed="false">
      <c r="A1809" s="99"/>
      <c r="B1809" s="100" t="n">
        <v>46510</v>
      </c>
      <c r="C1809" s="100" t="n">
        <v>46516</v>
      </c>
      <c r="D1809" s="99" t="s">
        <v>638</v>
      </c>
      <c r="E1809" s="99" t="n">
        <v>0</v>
      </c>
      <c r="F1809" s="101" t="n">
        <v>0</v>
      </c>
      <c r="G1809" s="102" t="n">
        <f aca="false">IFERROR(F1809/INDEX($G$5:$G$34,MATCH(LOOKUP(2,1/($A$39:A1809&lt;&gt;""),$A$39:A1809),$A$5:$A$34,0)),0)</f>
        <v>0</v>
      </c>
      <c r="H1809" s="103" t="str">
        <f aca="false">IF(G1809=0,"空闲",IF(G1809&lt;=0.6,"低负荷",IF(G1809&lt;=0.85,"正常",IF(G1809&lt;=1,"满负荷","超负荷"))))</f>
        <v>空闲</v>
      </c>
      <c r="I1809" s="104" t="s">
        <v>638</v>
      </c>
      <c r="J1809" s="104"/>
      <c r="K1809" s="104"/>
      <c r="L1809" s="105" t="s">
        <v>639</v>
      </c>
    </row>
    <row r="1810" customFormat="false" ht="48" hidden="false" customHeight="true" outlineLevel="0" collapsed="false">
      <c r="A1810" s="99"/>
      <c r="B1810" s="100" t="n">
        <v>46517</v>
      </c>
      <c r="C1810" s="100" t="n">
        <v>46523</v>
      </c>
      <c r="D1810" s="99" t="s">
        <v>638</v>
      </c>
      <c r="E1810" s="99" t="n">
        <v>0</v>
      </c>
      <c r="F1810" s="101" t="n">
        <v>0</v>
      </c>
      <c r="G1810" s="102" t="n">
        <f aca="false">IFERROR(F1810/INDEX($G$5:$G$34,MATCH(LOOKUP(2,1/($A$39:A1810&lt;&gt;""),$A$39:A1810),$A$5:$A$34,0)),0)</f>
        <v>0</v>
      </c>
      <c r="H1810" s="103" t="str">
        <f aca="false">IF(G1810=0,"空闲",IF(G1810&lt;=0.6,"低负荷",IF(G1810&lt;=0.85,"正常",IF(G1810&lt;=1,"满负荷","超负荷"))))</f>
        <v>空闲</v>
      </c>
      <c r="I1810" s="104" t="s">
        <v>638</v>
      </c>
      <c r="J1810" s="104"/>
      <c r="K1810" s="104"/>
      <c r="L1810" s="105" t="s">
        <v>639</v>
      </c>
    </row>
    <row r="1811" customFormat="false" ht="48" hidden="false" customHeight="true" outlineLevel="0" collapsed="false">
      <c r="A1811" s="99"/>
      <c r="B1811" s="100" t="n">
        <v>46524</v>
      </c>
      <c r="C1811" s="100" t="n">
        <v>46530</v>
      </c>
      <c r="D1811" s="99" t="s">
        <v>638</v>
      </c>
      <c r="E1811" s="99" t="n">
        <v>0</v>
      </c>
      <c r="F1811" s="101" t="n">
        <v>0</v>
      </c>
      <c r="G1811" s="102" t="n">
        <f aca="false">IFERROR(F1811/INDEX($G$5:$G$34,MATCH(LOOKUP(2,1/($A$39:A1811&lt;&gt;""),$A$39:A1811),$A$5:$A$34,0)),0)</f>
        <v>0</v>
      </c>
      <c r="H1811" s="103" t="str">
        <f aca="false">IF(G1811=0,"空闲",IF(G1811&lt;=0.6,"低负荷",IF(G1811&lt;=0.85,"正常",IF(G1811&lt;=1,"满负荷","超负荷"))))</f>
        <v>空闲</v>
      </c>
      <c r="I1811" s="104" t="s">
        <v>638</v>
      </c>
      <c r="J1811" s="104"/>
      <c r="K1811" s="104"/>
      <c r="L1811" s="105" t="s">
        <v>639</v>
      </c>
    </row>
    <row r="1812" customFormat="false" ht="48" hidden="false" customHeight="true" outlineLevel="0" collapsed="false">
      <c r="A1812" s="99"/>
      <c r="B1812" s="100" t="n">
        <v>46531</v>
      </c>
      <c r="C1812" s="100" t="n">
        <v>46537</v>
      </c>
      <c r="D1812" s="99" t="s">
        <v>638</v>
      </c>
      <c r="E1812" s="99" t="n">
        <v>0</v>
      </c>
      <c r="F1812" s="101" t="n">
        <v>0</v>
      </c>
      <c r="G1812" s="102" t="n">
        <f aca="false">IFERROR(F1812/INDEX($G$5:$G$34,MATCH(LOOKUP(2,1/($A$39:A1812&lt;&gt;""),$A$39:A1812),$A$5:$A$34,0)),0)</f>
        <v>0</v>
      </c>
      <c r="H1812" s="103" t="str">
        <f aca="false">IF(G1812=0,"空闲",IF(G1812&lt;=0.6,"低负荷",IF(G1812&lt;=0.85,"正常",IF(G1812&lt;=1,"满负荷","超负荷"))))</f>
        <v>空闲</v>
      </c>
      <c r="I1812" s="104" t="s">
        <v>638</v>
      </c>
      <c r="J1812" s="104"/>
      <c r="K1812" s="104"/>
      <c r="L1812" s="105" t="s">
        <v>639</v>
      </c>
    </row>
    <row r="1813" customFormat="false" ht="48" hidden="false" customHeight="true" outlineLevel="0" collapsed="false">
      <c r="A1813" s="99"/>
      <c r="B1813" s="100" t="n">
        <v>46538</v>
      </c>
      <c r="C1813" s="100" t="n">
        <v>46544</v>
      </c>
      <c r="D1813" s="99" t="s">
        <v>638</v>
      </c>
      <c r="E1813" s="99" t="n">
        <v>0</v>
      </c>
      <c r="F1813" s="101" t="n">
        <v>0</v>
      </c>
      <c r="G1813" s="102" t="n">
        <f aca="false">IFERROR(F1813/INDEX($G$5:$G$34,MATCH(LOOKUP(2,1/($A$39:A1813&lt;&gt;""),$A$39:A1813),$A$5:$A$34,0)),0)</f>
        <v>0</v>
      </c>
      <c r="H1813" s="103" t="str">
        <f aca="false">IF(G1813=0,"空闲",IF(G1813&lt;=0.6,"低负荷",IF(G1813&lt;=0.85,"正常",IF(G1813&lt;=1,"满负荷","超负荷"))))</f>
        <v>空闲</v>
      </c>
      <c r="I1813" s="104" t="s">
        <v>638</v>
      </c>
      <c r="J1813" s="104"/>
      <c r="K1813" s="104"/>
      <c r="L1813" s="105" t="s">
        <v>639</v>
      </c>
    </row>
    <row r="1814" customFormat="false" ht="48" hidden="false" customHeight="true" outlineLevel="0" collapsed="false">
      <c r="A1814" s="99" t="s">
        <v>625</v>
      </c>
      <c r="B1814" s="100" t="n">
        <v>46048</v>
      </c>
      <c r="C1814" s="100" t="n">
        <v>46054</v>
      </c>
      <c r="D1814" s="99" t="s">
        <v>638</v>
      </c>
      <c r="E1814" s="99" t="n">
        <v>0</v>
      </c>
      <c r="F1814" s="101" t="n">
        <v>0</v>
      </c>
      <c r="G1814" s="102" t="n">
        <f aca="false">IFERROR(F1814/INDEX($G$5:$G$34,MATCH(LOOKUP(2,1/($A$39:A1814&lt;&gt;""),$A$39:A1814),$A$5:$A$34,0)),0)</f>
        <v>0</v>
      </c>
      <c r="H1814" s="103" t="str">
        <f aca="false">IF(G1814=0,"空闲",IF(G1814&lt;=0.6,"低负荷",IF(G1814&lt;=0.85,"正常",IF(G1814&lt;=1,"满负荷","超负荷"))))</f>
        <v>空闲</v>
      </c>
      <c r="I1814" s="104" t="s">
        <v>638</v>
      </c>
      <c r="J1814" s="104"/>
      <c r="K1814" s="104"/>
      <c r="L1814" s="105" t="s">
        <v>639</v>
      </c>
    </row>
    <row r="1815" customFormat="false" ht="48" hidden="false" customHeight="true" outlineLevel="0" collapsed="false">
      <c r="A1815" s="99"/>
      <c r="B1815" s="100" t="n">
        <v>46055</v>
      </c>
      <c r="C1815" s="100" t="n">
        <v>46061</v>
      </c>
      <c r="D1815" s="99" t="s">
        <v>638</v>
      </c>
      <c r="E1815" s="99" t="n">
        <v>0</v>
      </c>
      <c r="F1815" s="101" t="n">
        <v>0</v>
      </c>
      <c r="G1815" s="102" t="n">
        <f aca="false">IFERROR(F1815/INDEX($G$5:$G$34,MATCH(LOOKUP(2,1/($A$39:A1815&lt;&gt;""),$A$39:A1815),$A$5:$A$34,0)),0)</f>
        <v>0</v>
      </c>
      <c r="H1815" s="103" t="str">
        <f aca="false">IF(G1815=0,"空闲",IF(G1815&lt;=0.6,"低负荷",IF(G1815&lt;=0.85,"正常",IF(G1815&lt;=1,"满负荷","超负荷"))))</f>
        <v>空闲</v>
      </c>
      <c r="I1815" s="104" t="s">
        <v>638</v>
      </c>
      <c r="J1815" s="104"/>
      <c r="K1815" s="104"/>
      <c r="L1815" s="105" t="s">
        <v>639</v>
      </c>
    </row>
    <row r="1816" customFormat="false" ht="48" hidden="false" customHeight="true" outlineLevel="0" collapsed="false">
      <c r="A1816" s="99"/>
      <c r="B1816" s="100" t="n">
        <v>46062</v>
      </c>
      <c r="C1816" s="100" t="n">
        <v>46068</v>
      </c>
      <c r="D1816" s="99" t="s">
        <v>638</v>
      </c>
      <c r="E1816" s="99" t="n">
        <v>0</v>
      </c>
      <c r="F1816" s="101" t="n">
        <v>0</v>
      </c>
      <c r="G1816" s="102" t="n">
        <f aca="false">IFERROR(F1816/INDEX($G$5:$G$34,MATCH(LOOKUP(2,1/($A$39:A1816&lt;&gt;""),$A$39:A1816),$A$5:$A$34,0)),0)</f>
        <v>0</v>
      </c>
      <c r="H1816" s="103" t="str">
        <f aca="false">IF(G1816=0,"空闲",IF(G1816&lt;=0.6,"低负荷",IF(G1816&lt;=0.85,"正常",IF(G1816&lt;=1,"满负荷","超负荷"))))</f>
        <v>空闲</v>
      </c>
      <c r="I1816" s="104" t="s">
        <v>638</v>
      </c>
      <c r="J1816" s="104"/>
      <c r="K1816" s="104"/>
      <c r="L1816" s="105" t="s">
        <v>639</v>
      </c>
    </row>
    <row r="1817" customFormat="false" ht="48" hidden="false" customHeight="true" outlineLevel="0" collapsed="false">
      <c r="A1817" s="99"/>
      <c r="B1817" s="100" t="n">
        <v>46069</v>
      </c>
      <c r="C1817" s="100" t="n">
        <v>46075</v>
      </c>
      <c r="D1817" s="99" t="s">
        <v>638</v>
      </c>
      <c r="E1817" s="99" t="n">
        <v>0</v>
      </c>
      <c r="F1817" s="101" t="n">
        <v>0</v>
      </c>
      <c r="G1817" s="102" t="n">
        <f aca="false">IFERROR(F1817/INDEX($G$5:$G$34,MATCH(LOOKUP(2,1/($A$39:A1817&lt;&gt;""),$A$39:A1817),$A$5:$A$34,0)),0)</f>
        <v>0</v>
      </c>
      <c r="H1817" s="103" t="str">
        <f aca="false">IF(G1817=0,"空闲",IF(G1817&lt;=0.6,"低负荷",IF(G1817&lt;=0.85,"正常",IF(G1817&lt;=1,"满负荷","超负荷"))))</f>
        <v>空闲</v>
      </c>
      <c r="I1817" s="104" t="s">
        <v>638</v>
      </c>
      <c r="J1817" s="104"/>
      <c r="K1817" s="104"/>
      <c r="L1817" s="105" t="s">
        <v>639</v>
      </c>
    </row>
    <row r="1818" customFormat="false" ht="48" hidden="false" customHeight="true" outlineLevel="0" collapsed="false">
      <c r="A1818" s="99"/>
      <c r="B1818" s="100" t="n">
        <v>46076</v>
      </c>
      <c r="C1818" s="100" t="n">
        <v>46082</v>
      </c>
      <c r="D1818" s="99" t="s">
        <v>638</v>
      </c>
      <c r="E1818" s="99" t="n">
        <v>0</v>
      </c>
      <c r="F1818" s="101" t="n">
        <v>0</v>
      </c>
      <c r="G1818" s="102" t="n">
        <f aca="false">IFERROR(F1818/INDEX($G$5:$G$34,MATCH(LOOKUP(2,1/($A$39:A1818&lt;&gt;""),$A$39:A1818),$A$5:$A$34,0)),0)</f>
        <v>0</v>
      </c>
      <c r="H1818" s="103" t="str">
        <f aca="false">IF(G1818=0,"空闲",IF(G1818&lt;=0.6,"低负荷",IF(G1818&lt;=0.85,"正常",IF(G1818&lt;=1,"满负荷","超负荷"))))</f>
        <v>空闲</v>
      </c>
      <c r="I1818" s="104" t="s">
        <v>638</v>
      </c>
      <c r="J1818" s="104"/>
      <c r="K1818" s="104"/>
      <c r="L1818" s="105" t="s">
        <v>639</v>
      </c>
    </row>
    <row r="1819" customFormat="false" ht="48" hidden="false" customHeight="true" outlineLevel="0" collapsed="false">
      <c r="A1819" s="99"/>
      <c r="B1819" s="100" t="n">
        <v>46083</v>
      </c>
      <c r="C1819" s="100" t="n">
        <v>46089</v>
      </c>
      <c r="D1819" s="99" t="s">
        <v>638</v>
      </c>
      <c r="E1819" s="99" t="n">
        <v>0</v>
      </c>
      <c r="F1819" s="101" t="n">
        <v>0</v>
      </c>
      <c r="G1819" s="102" t="n">
        <f aca="false">IFERROR(F1819/INDEX($G$5:$G$34,MATCH(LOOKUP(2,1/($A$39:A1819&lt;&gt;""),$A$39:A1819),$A$5:$A$34,0)),0)</f>
        <v>0</v>
      </c>
      <c r="H1819" s="103" t="str">
        <f aca="false">IF(G1819=0,"空闲",IF(G1819&lt;=0.6,"低负荷",IF(G1819&lt;=0.85,"正常",IF(G1819&lt;=1,"满负荷","超负荷"))))</f>
        <v>空闲</v>
      </c>
      <c r="I1819" s="104" t="s">
        <v>638</v>
      </c>
      <c r="J1819" s="104"/>
      <c r="K1819" s="104"/>
      <c r="L1819" s="105" t="s">
        <v>639</v>
      </c>
    </row>
    <row r="1820" customFormat="false" ht="48" hidden="false" customHeight="true" outlineLevel="0" collapsed="false">
      <c r="A1820" s="99"/>
      <c r="B1820" s="100" t="n">
        <v>46090</v>
      </c>
      <c r="C1820" s="100" t="n">
        <v>46096</v>
      </c>
      <c r="D1820" s="99" t="s">
        <v>638</v>
      </c>
      <c r="E1820" s="99" t="n">
        <v>0</v>
      </c>
      <c r="F1820" s="101" t="n">
        <v>0</v>
      </c>
      <c r="G1820" s="102" t="n">
        <f aca="false">IFERROR(F1820/INDEX($G$5:$G$34,MATCH(LOOKUP(2,1/($A$39:A1820&lt;&gt;""),$A$39:A1820),$A$5:$A$34,0)),0)</f>
        <v>0</v>
      </c>
      <c r="H1820" s="103" t="str">
        <f aca="false">IF(G1820=0,"空闲",IF(G1820&lt;=0.6,"低负荷",IF(G1820&lt;=0.85,"正常",IF(G1820&lt;=1,"满负荷","超负荷"))))</f>
        <v>空闲</v>
      </c>
      <c r="I1820" s="104" t="s">
        <v>638</v>
      </c>
      <c r="J1820" s="104"/>
      <c r="K1820" s="104"/>
      <c r="L1820" s="105" t="s">
        <v>639</v>
      </c>
    </row>
    <row r="1821" customFormat="false" ht="48" hidden="false" customHeight="true" outlineLevel="0" collapsed="false">
      <c r="A1821" s="99"/>
      <c r="B1821" s="100" t="n">
        <v>46097</v>
      </c>
      <c r="C1821" s="100" t="n">
        <v>46103</v>
      </c>
      <c r="D1821" s="99" t="s">
        <v>638</v>
      </c>
      <c r="E1821" s="99" t="n">
        <v>0</v>
      </c>
      <c r="F1821" s="101" t="n">
        <v>0</v>
      </c>
      <c r="G1821" s="102" t="n">
        <f aca="false">IFERROR(F1821/INDEX($G$5:$G$34,MATCH(LOOKUP(2,1/($A$39:A1821&lt;&gt;""),$A$39:A1821),$A$5:$A$34,0)),0)</f>
        <v>0</v>
      </c>
      <c r="H1821" s="103" t="str">
        <f aca="false">IF(G1821=0,"空闲",IF(G1821&lt;=0.6,"低负荷",IF(G1821&lt;=0.85,"正常",IF(G1821&lt;=1,"满负荷","超负荷"))))</f>
        <v>空闲</v>
      </c>
      <c r="I1821" s="104" t="s">
        <v>638</v>
      </c>
      <c r="J1821" s="104"/>
      <c r="K1821" s="104"/>
      <c r="L1821" s="105" t="s">
        <v>639</v>
      </c>
    </row>
    <row r="1822" customFormat="false" ht="48" hidden="false" customHeight="true" outlineLevel="0" collapsed="false">
      <c r="A1822" s="99"/>
      <c r="B1822" s="100" t="n">
        <v>46104</v>
      </c>
      <c r="C1822" s="100" t="n">
        <v>46110</v>
      </c>
      <c r="D1822" s="99" t="s">
        <v>638</v>
      </c>
      <c r="E1822" s="99" t="n">
        <v>0</v>
      </c>
      <c r="F1822" s="101" t="n">
        <v>0</v>
      </c>
      <c r="G1822" s="102" t="n">
        <f aca="false">IFERROR(F1822/INDEX($G$5:$G$34,MATCH(LOOKUP(2,1/($A$39:A1822&lt;&gt;""),$A$39:A1822),$A$5:$A$34,0)),0)</f>
        <v>0</v>
      </c>
      <c r="H1822" s="103" t="str">
        <f aca="false">IF(G1822=0,"空闲",IF(G1822&lt;=0.6,"低负荷",IF(G1822&lt;=0.85,"正常",IF(G1822&lt;=1,"满负荷","超负荷"))))</f>
        <v>空闲</v>
      </c>
      <c r="I1822" s="104" t="s">
        <v>638</v>
      </c>
      <c r="J1822" s="104"/>
      <c r="K1822" s="104"/>
      <c r="L1822" s="105" t="s">
        <v>639</v>
      </c>
    </row>
    <row r="1823" customFormat="false" ht="48" hidden="false" customHeight="true" outlineLevel="0" collapsed="false">
      <c r="A1823" s="99"/>
      <c r="B1823" s="100" t="n">
        <v>46111</v>
      </c>
      <c r="C1823" s="100" t="n">
        <v>46117</v>
      </c>
      <c r="D1823" s="99" t="s">
        <v>638</v>
      </c>
      <c r="E1823" s="99" t="n">
        <v>0</v>
      </c>
      <c r="F1823" s="101" t="n">
        <v>0</v>
      </c>
      <c r="G1823" s="102" t="n">
        <f aca="false">IFERROR(F1823/INDEX($G$5:$G$34,MATCH(LOOKUP(2,1/($A$39:A1823&lt;&gt;""),$A$39:A1823),$A$5:$A$34,0)),0)</f>
        <v>0</v>
      </c>
      <c r="H1823" s="103" t="str">
        <f aca="false">IF(G1823=0,"空闲",IF(G1823&lt;=0.6,"低负荷",IF(G1823&lt;=0.85,"正常",IF(G1823&lt;=1,"满负荷","超负荷"))))</f>
        <v>空闲</v>
      </c>
      <c r="I1823" s="104" t="s">
        <v>638</v>
      </c>
      <c r="J1823" s="104"/>
      <c r="K1823" s="104"/>
      <c r="L1823" s="105" t="s">
        <v>639</v>
      </c>
    </row>
    <row r="1824" customFormat="false" ht="48" hidden="false" customHeight="true" outlineLevel="0" collapsed="false">
      <c r="A1824" s="99"/>
      <c r="B1824" s="100" t="n">
        <v>46118</v>
      </c>
      <c r="C1824" s="100" t="n">
        <v>46124</v>
      </c>
      <c r="D1824" s="99" t="s">
        <v>638</v>
      </c>
      <c r="E1824" s="99" t="n">
        <v>0</v>
      </c>
      <c r="F1824" s="101" t="n">
        <v>0</v>
      </c>
      <c r="G1824" s="102" t="n">
        <f aca="false">IFERROR(F1824/INDEX($G$5:$G$34,MATCH(LOOKUP(2,1/($A$39:A1824&lt;&gt;""),$A$39:A1824),$A$5:$A$34,0)),0)</f>
        <v>0</v>
      </c>
      <c r="H1824" s="103" t="str">
        <f aca="false">IF(G1824=0,"空闲",IF(G1824&lt;=0.6,"低负荷",IF(G1824&lt;=0.85,"正常",IF(G1824&lt;=1,"满负荷","超负荷"))))</f>
        <v>空闲</v>
      </c>
      <c r="I1824" s="104" t="s">
        <v>638</v>
      </c>
      <c r="J1824" s="104"/>
      <c r="K1824" s="104"/>
      <c r="L1824" s="105" t="s">
        <v>639</v>
      </c>
    </row>
    <row r="1825" customFormat="false" ht="48" hidden="false" customHeight="true" outlineLevel="0" collapsed="false">
      <c r="A1825" s="99"/>
      <c r="B1825" s="100" t="n">
        <v>46125</v>
      </c>
      <c r="C1825" s="100" t="n">
        <v>46131</v>
      </c>
      <c r="D1825" s="99" t="s">
        <v>638</v>
      </c>
      <c r="E1825" s="99" t="n">
        <v>0</v>
      </c>
      <c r="F1825" s="101" t="n">
        <v>0</v>
      </c>
      <c r="G1825" s="102" t="n">
        <f aca="false">IFERROR(F1825/INDEX($G$5:$G$34,MATCH(LOOKUP(2,1/($A$39:A1825&lt;&gt;""),$A$39:A1825),$A$5:$A$34,0)),0)</f>
        <v>0</v>
      </c>
      <c r="H1825" s="103" t="str">
        <f aca="false">IF(G1825=0,"空闲",IF(G1825&lt;=0.6,"低负荷",IF(G1825&lt;=0.85,"正常",IF(G1825&lt;=1,"满负荷","超负荷"))))</f>
        <v>空闲</v>
      </c>
      <c r="I1825" s="104" t="s">
        <v>638</v>
      </c>
      <c r="J1825" s="104"/>
      <c r="K1825" s="104"/>
      <c r="L1825" s="105" t="s">
        <v>639</v>
      </c>
    </row>
    <row r="1826" customFormat="false" ht="48" hidden="false" customHeight="true" outlineLevel="0" collapsed="false">
      <c r="A1826" s="99"/>
      <c r="B1826" s="100" t="n">
        <v>46132</v>
      </c>
      <c r="C1826" s="100" t="n">
        <v>46138</v>
      </c>
      <c r="D1826" s="99" t="s">
        <v>638</v>
      </c>
      <c r="E1826" s="99" t="n">
        <v>0</v>
      </c>
      <c r="F1826" s="101" t="n">
        <v>0</v>
      </c>
      <c r="G1826" s="102" t="n">
        <f aca="false">IFERROR(F1826/INDEX($G$5:$G$34,MATCH(LOOKUP(2,1/($A$39:A1826&lt;&gt;""),$A$39:A1826),$A$5:$A$34,0)),0)</f>
        <v>0</v>
      </c>
      <c r="H1826" s="103" t="str">
        <f aca="false">IF(G1826=0,"空闲",IF(G1826&lt;=0.6,"低负荷",IF(G1826&lt;=0.85,"正常",IF(G1826&lt;=1,"满负荷","超负荷"))))</f>
        <v>空闲</v>
      </c>
      <c r="I1826" s="104" t="s">
        <v>638</v>
      </c>
      <c r="J1826" s="104"/>
      <c r="K1826" s="104"/>
      <c r="L1826" s="105" t="s">
        <v>639</v>
      </c>
    </row>
    <row r="1827" customFormat="false" ht="48" hidden="false" customHeight="true" outlineLevel="0" collapsed="false">
      <c r="A1827" s="99"/>
      <c r="B1827" s="100" t="n">
        <v>46139</v>
      </c>
      <c r="C1827" s="100" t="n">
        <v>46145</v>
      </c>
      <c r="D1827" s="99" t="s">
        <v>638</v>
      </c>
      <c r="E1827" s="99" t="n">
        <v>0</v>
      </c>
      <c r="F1827" s="101" t="n">
        <v>0</v>
      </c>
      <c r="G1827" s="102" t="n">
        <f aca="false">IFERROR(F1827/INDEX($G$5:$G$34,MATCH(LOOKUP(2,1/($A$39:A1827&lt;&gt;""),$A$39:A1827),$A$5:$A$34,0)),0)</f>
        <v>0</v>
      </c>
      <c r="H1827" s="103" t="str">
        <f aca="false">IF(G1827=0,"空闲",IF(G1827&lt;=0.6,"低负荷",IF(G1827&lt;=0.85,"正常",IF(G1827&lt;=1,"满负荷","超负荷"))))</f>
        <v>空闲</v>
      </c>
      <c r="I1827" s="104" t="s">
        <v>638</v>
      </c>
      <c r="J1827" s="104"/>
      <c r="K1827" s="104"/>
      <c r="L1827" s="105" t="s">
        <v>639</v>
      </c>
    </row>
    <row r="1828" customFormat="false" ht="48" hidden="false" customHeight="true" outlineLevel="0" collapsed="false">
      <c r="A1828" s="99"/>
      <c r="B1828" s="100" t="n">
        <v>46146</v>
      </c>
      <c r="C1828" s="100" t="n">
        <v>46152</v>
      </c>
      <c r="D1828" s="99" t="s">
        <v>638</v>
      </c>
      <c r="E1828" s="99" t="n">
        <v>0</v>
      </c>
      <c r="F1828" s="101" t="n">
        <v>0</v>
      </c>
      <c r="G1828" s="102" t="n">
        <f aca="false">IFERROR(F1828/INDEX($G$5:$G$34,MATCH(LOOKUP(2,1/($A$39:A1828&lt;&gt;""),$A$39:A1828),$A$5:$A$34,0)),0)</f>
        <v>0</v>
      </c>
      <c r="H1828" s="103" t="str">
        <f aca="false">IF(G1828=0,"空闲",IF(G1828&lt;=0.6,"低负荷",IF(G1828&lt;=0.85,"正常",IF(G1828&lt;=1,"满负荷","超负荷"))))</f>
        <v>空闲</v>
      </c>
      <c r="I1828" s="104" t="s">
        <v>638</v>
      </c>
      <c r="J1828" s="104"/>
      <c r="K1828" s="104"/>
      <c r="L1828" s="105" t="s">
        <v>639</v>
      </c>
    </row>
    <row r="1829" customFormat="false" ht="48" hidden="false" customHeight="true" outlineLevel="0" collapsed="false">
      <c r="A1829" s="99"/>
      <c r="B1829" s="100" t="n">
        <v>46153</v>
      </c>
      <c r="C1829" s="100" t="n">
        <v>46159</v>
      </c>
      <c r="D1829" s="99" t="s">
        <v>638</v>
      </c>
      <c r="E1829" s="99" t="n">
        <v>0</v>
      </c>
      <c r="F1829" s="101" t="n">
        <v>0</v>
      </c>
      <c r="G1829" s="102" t="n">
        <f aca="false">IFERROR(F1829/INDEX($G$5:$G$34,MATCH(LOOKUP(2,1/($A$39:A1829&lt;&gt;""),$A$39:A1829),$A$5:$A$34,0)),0)</f>
        <v>0</v>
      </c>
      <c r="H1829" s="103" t="str">
        <f aca="false">IF(G1829=0,"空闲",IF(G1829&lt;=0.6,"低负荷",IF(G1829&lt;=0.85,"正常",IF(G1829&lt;=1,"满负荷","超负荷"))))</f>
        <v>空闲</v>
      </c>
      <c r="I1829" s="104" t="s">
        <v>638</v>
      </c>
      <c r="J1829" s="104"/>
      <c r="K1829" s="104"/>
      <c r="L1829" s="105" t="s">
        <v>639</v>
      </c>
    </row>
    <row r="1830" customFormat="false" ht="48" hidden="false" customHeight="true" outlineLevel="0" collapsed="false">
      <c r="A1830" s="99"/>
      <c r="B1830" s="100" t="n">
        <v>46160</v>
      </c>
      <c r="C1830" s="100" t="n">
        <v>46166</v>
      </c>
      <c r="D1830" s="99" t="s">
        <v>638</v>
      </c>
      <c r="E1830" s="99" t="n">
        <v>0</v>
      </c>
      <c r="F1830" s="101" t="n">
        <v>0</v>
      </c>
      <c r="G1830" s="102" t="n">
        <f aca="false">IFERROR(F1830/INDEX($G$5:$G$34,MATCH(LOOKUP(2,1/($A$39:A1830&lt;&gt;""),$A$39:A1830),$A$5:$A$34,0)),0)</f>
        <v>0</v>
      </c>
      <c r="H1830" s="103" t="str">
        <f aca="false">IF(G1830=0,"空闲",IF(G1830&lt;=0.6,"低负荷",IF(G1830&lt;=0.85,"正常",IF(G1830&lt;=1,"满负荷","超负荷"))))</f>
        <v>空闲</v>
      </c>
      <c r="I1830" s="104" t="s">
        <v>638</v>
      </c>
      <c r="J1830" s="104"/>
      <c r="K1830" s="104"/>
      <c r="L1830" s="105" t="s">
        <v>639</v>
      </c>
    </row>
    <row r="1831" customFormat="false" ht="48" hidden="false" customHeight="true" outlineLevel="0" collapsed="false">
      <c r="A1831" s="99"/>
      <c r="B1831" s="100" t="n">
        <v>46167</v>
      </c>
      <c r="C1831" s="100" t="n">
        <v>46173</v>
      </c>
      <c r="D1831" s="99" t="s">
        <v>638</v>
      </c>
      <c r="E1831" s="99" t="n">
        <v>0</v>
      </c>
      <c r="F1831" s="101" t="n">
        <v>0</v>
      </c>
      <c r="G1831" s="102" t="n">
        <f aca="false">IFERROR(F1831/INDEX($G$5:$G$34,MATCH(LOOKUP(2,1/($A$39:A1831&lt;&gt;""),$A$39:A1831),$A$5:$A$34,0)),0)</f>
        <v>0</v>
      </c>
      <c r="H1831" s="103" t="str">
        <f aca="false">IF(G1831=0,"空闲",IF(G1831&lt;=0.6,"低负荷",IF(G1831&lt;=0.85,"正常",IF(G1831&lt;=1,"满负荷","超负荷"))))</f>
        <v>空闲</v>
      </c>
      <c r="I1831" s="104" t="s">
        <v>638</v>
      </c>
      <c r="J1831" s="104"/>
      <c r="K1831" s="104"/>
      <c r="L1831" s="105" t="s">
        <v>639</v>
      </c>
    </row>
    <row r="1832" customFormat="false" ht="48" hidden="false" customHeight="true" outlineLevel="0" collapsed="false">
      <c r="A1832" s="99"/>
      <c r="B1832" s="100" t="n">
        <v>46174</v>
      </c>
      <c r="C1832" s="100" t="n">
        <v>46180</v>
      </c>
      <c r="D1832" s="99" t="s">
        <v>638</v>
      </c>
      <c r="E1832" s="99" t="n">
        <v>0</v>
      </c>
      <c r="F1832" s="101" t="n">
        <v>0</v>
      </c>
      <c r="G1832" s="102" t="n">
        <f aca="false">IFERROR(F1832/INDEX($G$5:$G$34,MATCH(LOOKUP(2,1/($A$39:A1832&lt;&gt;""),$A$39:A1832),$A$5:$A$34,0)),0)</f>
        <v>0</v>
      </c>
      <c r="H1832" s="103" t="str">
        <f aca="false">IF(G1832=0,"空闲",IF(G1832&lt;=0.6,"低负荷",IF(G1832&lt;=0.85,"正常",IF(G1832&lt;=1,"满负荷","超负荷"))))</f>
        <v>空闲</v>
      </c>
      <c r="I1832" s="104" t="s">
        <v>638</v>
      </c>
      <c r="J1832" s="104"/>
      <c r="K1832" s="104"/>
      <c r="L1832" s="105" t="s">
        <v>639</v>
      </c>
    </row>
    <row r="1833" customFormat="false" ht="48" hidden="false" customHeight="true" outlineLevel="0" collapsed="false">
      <c r="A1833" s="99"/>
      <c r="B1833" s="100" t="n">
        <v>46181</v>
      </c>
      <c r="C1833" s="100" t="n">
        <v>46187</v>
      </c>
      <c r="D1833" s="99" t="s">
        <v>638</v>
      </c>
      <c r="E1833" s="99" t="n">
        <v>0</v>
      </c>
      <c r="F1833" s="101" t="n">
        <v>0</v>
      </c>
      <c r="G1833" s="102" t="n">
        <f aca="false">IFERROR(F1833/INDEX($G$5:$G$34,MATCH(LOOKUP(2,1/($A$39:A1833&lt;&gt;""),$A$39:A1833),$A$5:$A$34,0)),0)</f>
        <v>0</v>
      </c>
      <c r="H1833" s="103" t="str">
        <f aca="false">IF(G1833=0,"空闲",IF(G1833&lt;=0.6,"低负荷",IF(G1833&lt;=0.85,"正常",IF(G1833&lt;=1,"满负荷","超负荷"))))</f>
        <v>空闲</v>
      </c>
      <c r="I1833" s="104" t="s">
        <v>638</v>
      </c>
      <c r="J1833" s="104"/>
      <c r="K1833" s="104"/>
      <c r="L1833" s="105" t="s">
        <v>639</v>
      </c>
    </row>
    <row r="1834" customFormat="false" ht="48" hidden="false" customHeight="true" outlineLevel="0" collapsed="false">
      <c r="A1834" s="99"/>
      <c r="B1834" s="100" t="n">
        <v>46188</v>
      </c>
      <c r="C1834" s="100" t="n">
        <v>46194</v>
      </c>
      <c r="D1834" s="99" t="s">
        <v>638</v>
      </c>
      <c r="E1834" s="99" t="n">
        <v>0</v>
      </c>
      <c r="F1834" s="101" t="n">
        <v>0</v>
      </c>
      <c r="G1834" s="102" t="n">
        <f aca="false">IFERROR(F1834/INDEX($G$5:$G$34,MATCH(LOOKUP(2,1/($A$39:A1834&lt;&gt;""),$A$39:A1834),$A$5:$A$34,0)),0)</f>
        <v>0</v>
      </c>
      <c r="H1834" s="103" t="str">
        <f aca="false">IF(G1834=0,"空闲",IF(G1834&lt;=0.6,"低负荷",IF(G1834&lt;=0.85,"正常",IF(G1834&lt;=1,"满负荷","超负荷"))))</f>
        <v>空闲</v>
      </c>
      <c r="I1834" s="104" t="s">
        <v>638</v>
      </c>
      <c r="J1834" s="104"/>
      <c r="K1834" s="104"/>
      <c r="L1834" s="105" t="s">
        <v>639</v>
      </c>
    </row>
    <row r="1835" customFormat="false" ht="48" hidden="false" customHeight="true" outlineLevel="0" collapsed="false">
      <c r="A1835" s="99"/>
      <c r="B1835" s="100" t="n">
        <v>46195</v>
      </c>
      <c r="C1835" s="100" t="n">
        <v>46201</v>
      </c>
      <c r="D1835" s="99" t="s">
        <v>638</v>
      </c>
      <c r="E1835" s="99" t="n">
        <v>0</v>
      </c>
      <c r="F1835" s="101" t="n">
        <v>0</v>
      </c>
      <c r="G1835" s="102" t="n">
        <f aca="false">IFERROR(F1835/INDEX($G$5:$G$34,MATCH(LOOKUP(2,1/($A$39:A1835&lt;&gt;""),$A$39:A1835),$A$5:$A$34,0)),0)</f>
        <v>0</v>
      </c>
      <c r="H1835" s="103" t="str">
        <f aca="false">IF(G1835=0,"空闲",IF(G1835&lt;=0.6,"低负荷",IF(G1835&lt;=0.85,"正常",IF(G1835&lt;=1,"满负荷","超负荷"))))</f>
        <v>空闲</v>
      </c>
      <c r="I1835" s="104" t="s">
        <v>638</v>
      </c>
      <c r="J1835" s="104"/>
      <c r="K1835" s="104"/>
      <c r="L1835" s="105" t="s">
        <v>639</v>
      </c>
    </row>
    <row r="1836" customFormat="false" ht="48" hidden="false" customHeight="true" outlineLevel="0" collapsed="false">
      <c r="A1836" s="99"/>
      <c r="B1836" s="100" t="n">
        <v>46202</v>
      </c>
      <c r="C1836" s="100" t="n">
        <v>46208</v>
      </c>
      <c r="D1836" s="99" t="s">
        <v>638</v>
      </c>
      <c r="E1836" s="99" t="n">
        <v>0</v>
      </c>
      <c r="F1836" s="101" t="n">
        <v>0</v>
      </c>
      <c r="G1836" s="102" t="n">
        <f aca="false">IFERROR(F1836/INDEX($G$5:$G$34,MATCH(LOOKUP(2,1/($A$39:A1836&lt;&gt;""),$A$39:A1836),$A$5:$A$34,0)),0)</f>
        <v>0</v>
      </c>
      <c r="H1836" s="103" t="str">
        <f aca="false">IF(G1836=0,"空闲",IF(G1836&lt;=0.6,"低负荷",IF(G1836&lt;=0.85,"正常",IF(G1836&lt;=1,"满负荷","超负荷"))))</f>
        <v>空闲</v>
      </c>
      <c r="I1836" s="104" t="s">
        <v>638</v>
      </c>
      <c r="J1836" s="104"/>
      <c r="K1836" s="104"/>
      <c r="L1836" s="105" t="s">
        <v>639</v>
      </c>
    </row>
    <row r="1837" customFormat="false" ht="48" hidden="false" customHeight="true" outlineLevel="0" collapsed="false">
      <c r="A1837" s="99"/>
      <c r="B1837" s="100" t="n">
        <v>46209</v>
      </c>
      <c r="C1837" s="100" t="n">
        <v>46215</v>
      </c>
      <c r="D1837" s="99" t="s">
        <v>638</v>
      </c>
      <c r="E1837" s="99" t="n">
        <v>0</v>
      </c>
      <c r="F1837" s="101" t="n">
        <v>0</v>
      </c>
      <c r="G1837" s="102" t="n">
        <f aca="false">IFERROR(F1837/INDEX($G$5:$G$34,MATCH(LOOKUP(2,1/($A$39:A1837&lt;&gt;""),$A$39:A1837),$A$5:$A$34,0)),0)</f>
        <v>0</v>
      </c>
      <c r="H1837" s="103" t="str">
        <f aca="false">IF(G1837=0,"空闲",IF(G1837&lt;=0.6,"低负荷",IF(G1837&lt;=0.85,"正常",IF(G1837&lt;=1,"满负荷","超负荷"))))</f>
        <v>空闲</v>
      </c>
      <c r="I1837" s="104" t="s">
        <v>638</v>
      </c>
      <c r="J1837" s="104"/>
      <c r="K1837" s="104"/>
      <c r="L1837" s="105" t="s">
        <v>639</v>
      </c>
    </row>
    <row r="1838" customFormat="false" ht="48" hidden="false" customHeight="true" outlineLevel="0" collapsed="false">
      <c r="A1838" s="99"/>
      <c r="B1838" s="100" t="n">
        <v>46216</v>
      </c>
      <c r="C1838" s="100" t="n">
        <v>46222</v>
      </c>
      <c r="D1838" s="99" t="s">
        <v>638</v>
      </c>
      <c r="E1838" s="99" t="n">
        <v>0</v>
      </c>
      <c r="F1838" s="101" t="n">
        <v>0</v>
      </c>
      <c r="G1838" s="102" t="n">
        <f aca="false">IFERROR(F1838/INDEX($G$5:$G$34,MATCH(LOOKUP(2,1/($A$39:A1838&lt;&gt;""),$A$39:A1838),$A$5:$A$34,0)),0)</f>
        <v>0</v>
      </c>
      <c r="H1838" s="103" t="str">
        <f aca="false">IF(G1838=0,"空闲",IF(G1838&lt;=0.6,"低负荷",IF(G1838&lt;=0.85,"正常",IF(G1838&lt;=1,"满负荷","超负荷"))))</f>
        <v>空闲</v>
      </c>
      <c r="I1838" s="104" t="s">
        <v>638</v>
      </c>
      <c r="J1838" s="104"/>
      <c r="K1838" s="104"/>
      <c r="L1838" s="105" t="s">
        <v>639</v>
      </c>
    </row>
    <row r="1839" customFormat="false" ht="48" hidden="false" customHeight="true" outlineLevel="0" collapsed="false">
      <c r="A1839" s="99"/>
      <c r="B1839" s="100" t="n">
        <v>46223</v>
      </c>
      <c r="C1839" s="100" t="n">
        <v>46229</v>
      </c>
      <c r="D1839" s="99" t="s">
        <v>638</v>
      </c>
      <c r="E1839" s="99" t="n">
        <v>0</v>
      </c>
      <c r="F1839" s="101" t="n">
        <v>0</v>
      </c>
      <c r="G1839" s="102" t="n">
        <f aca="false">IFERROR(F1839/INDEX($G$5:$G$34,MATCH(LOOKUP(2,1/($A$39:A1839&lt;&gt;""),$A$39:A1839),$A$5:$A$34,0)),0)</f>
        <v>0</v>
      </c>
      <c r="H1839" s="103" t="str">
        <f aca="false">IF(G1839=0,"空闲",IF(G1839&lt;=0.6,"低负荷",IF(G1839&lt;=0.85,"正常",IF(G1839&lt;=1,"满负荷","超负荷"))))</f>
        <v>空闲</v>
      </c>
      <c r="I1839" s="104" t="s">
        <v>638</v>
      </c>
      <c r="J1839" s="104"/>
      <c r="K1839" s="104"/>
      <c r="L1839" s="105" t="s">
        <v>639</v>
      </c>
    </row>
    <row r="1840" customFormat="false" ht="48" hidden="false" customHeight="true" outlineLevel="0" collapsed="false">
      <c r="A1840" s="99"/>
      <c r="B1840" s="100" t="n">
        <v>46230</v>
      </c>
      <c r="C1840" s="100" t="n">
        <v>46236</v>
      </c>
      <c r="D1840" s="99" t="s">
        <v>638</v>
      </c>
      <c r="E1840" s="99" t="n">
        <v>0</v>
      </c>
      <c r="F1840" s="101" t="n">
        <v>0</v>
      </c>
      <c r="G1840" s="102" t="n">
        <f aca="false">IFERROR(F1840/INDEX($G$5:$G$34,MATCH(LOOKUP(2,1/($A$39:A1840&lt;&gt;""),$A$39:A1840),$A$5:$A$34,0)),0)</f>
        <v>0</v>
      </c>
      <c r="H1840" s="103" t="str">
        <f aca="false">IF(G1840=0,"空闲",IF(G1840&lt;=0.6,"低负荷",IF(G1840&lt;=0.85,"正常",IF(G1840&lt;=1,"满负荷","超负荷"))))</f>
        <v>空闲</v>
      </c>
      <c r="I1840" s="104" t="s">
        <v>638</v>
      </c>
      <c r="J1840" s="104"/>
      <c r="K1840" s="104"/>
      <c r="L1840" s="105" t="s">
        <v>639</v>
      </c>
    </row>
    <row r="1841" customFormat="false" ht="48" hidden="false" customHeight="true" outlineLevel="0" collapsed="false">
      <c r="A1841" s="99"/>
      <c r="B1841" s="100" t="n">
        <v>46237</v>
      </c>
      <c r="C1841" s="100" t="n">
        <v>46243</v>
      </c>
      <c r="D1841" s="99" t="s">
        <v>638</v>
      </c>
      <c r="E1841" s="99" t="n">
        <v>0</v>
      </c>
      <c r="F1841" s="101" t="n">
        <v>0</v>
      </c>
      <c r="G1841" s="102" t="n">
        <f aca="false">IFERROR(F1841/INDEX($G$5:$G$34,MATCH(LOOKUP(2,1/($A$39:A1841&lt;&gt;""),$A$39:A1841),$A$5:$A$34,0)),0)</f>
        <v>0</v>
      </c>
      <c r="H1841" s="103" t="str">
        <f aca="false">IF(G1841=0,"空闲",IF(G1841&lt;=0.6,"低负荷",IF(G1841&lt;=0.85,"正常",IF(G1841&lt;=1,"满负荷","超负荷"))))</f>
        <v>空闲</v>
      </c>
      <c r="I1841" s="104" t="s">
        <v>638</v>
      </c>
      <c r="J1841" s="104"/>
      <c r="K1841" s="104"/>
      <c r="L1841" s="105" t="s">
        <v>639</v>
      </c>
    </row>
    <row r="1842" customFormat="false" ht="48" hidden="false" customHeight="true" outlineLevel="0" collapsed="false">
      <c r="A1842" s="99"/>
      <c r="B1842" s="100" t="n">
        <v>46244</v>
      </c>
      <c r="C1842" s="100" t="n">
        <v>46250</v>
      </c>
      <c r="D1842" s="99" t="s">
        <v>638</v>
      </c>
      <c r="E1842" s="99" t="n">
        <v>0</v>
      </c>
      <c r="F1842" s="101" t="n">
        <v>0</v>
      </c>
      <c r="G1842" s="102" t="n">
        <f aca="false">IFERROR(F1842/INDEX($G$5:$G$34,MATCH(LOOKUP(2,1/($A$39:A1842&lt;&gt;""),$A$39:A1842),$A$5:$A$34,0)),0)</f>
        <v>0</v>
      </c>
      <c r="H1842" s="103" t="str">
        <f aca="false">IF(G1842=0,"空闲",IF(G1842&lt;=0.6,"低负荷",IF(G1842&lt;=0.85,"正常",IF(G1842&lt;=1,"满负荷","超负荷"))))</f>
        <v>空闲</v>
      </c>
      <c r="I1842" s="104" t="s">
        <v>638</v>
      </c>
      <c r="J1842" s="104"/>
      <c r="K1842" s="104"/>
      <c r="L1842" s="105" t="s">
        <v>639</v>
      </c>
    </row>
    <row r="1843" customFormat="false" ht="48" hidden="false" customHeight="true" outlineLevel="0" collapsed="false">
      <c r="A1843" s="99"/>
      <c r="B1843" s="100" t="n">
        <v>46251</v>
      </c>
      <c r="C1843" s="100" t="n">
        <v>46257</v>
      </c>
      <c r="D1843" s="99" t="s">
        <v>638</v>
      </c>
      <c r="E1843" s="99" t="n">
        <v>0</v>
      </c>
      <c r="F1843" s="101" t="n">
        <v>0</v>
      </c>
      <c r="G1843" s="102" t="n">
        <f aca="false">IFERROR(F1843/INDEX($G$5:$G$34,MATCH(LOOKUP(2,1/($A$39:A1843&lt;&gt;""),$A$39:A1843),$A$5:$A$34,0)),0)</f>
        <v>0</v>
      </c>
      <c r="H1843" s="103" t="str">
        <f aca="false">IF(G1843=0,"空闲",IF(G1843&lt;=0.6,"低负荷",IF(G1843&lt;=0.85,"正常",IF(G1843&lt;=1,"满负荷","超负荷"))))</f>
        <v>空闲</v>
      </c>
      <c r="I1843" s="104" t="s">
        <v>638</v>
      </c>
      <c r="J1843" s="104"/>
      <c r="K1843" s="104"/>
      <c r="L1843" s="105" t="s">
        <v>639</v>
      </c>
    </row>
    <row r="1844" customFormat="false" ht="48" hidden="false" customHeight="true" outlineLevel="0" collapsed="false">
      <c r="A1844" s="99"/>
      <c r="B1844" s="100" t="n">
        <v>46258</v>
      </c>
      <c r="C1844" s="100" t="n">
        <v>46264</v>
      </c>
      <c r="D1844" s="99" t="s">
        <v>638</v>
      </c>
      <c r="E1844" s="99" t="n">
        <v>0</v>
      </c>
      <c r="F1844" s="101" t="n">
        <v>0</v>
      </c>
      <c r="G1844" s="102" t="n">
        <f aca="false">IFERROR(F1844/INDEX($G$5:$G$34,MATCH(LOOKUP(2,1/($A$39:A1844&lt;&gt;""),$A$39:A1844),$A$5:$A$34,0)),0)</f>
        <v>0</v>
      </c>
      <c r="H1844" s="103" t="str">
        <f aca="false">IF(G1844=0,"空闲",IF(G1844&lt;=0.6,"低负荷",IF(G1844&lt;=0.85,"正常",IF(G1844&lt;=1,"满负荷","超负荷"))))</f>
        <v>空闲</v>
      </c>
      <c r="I1844" s="104" t="s">
        <v>638</v>
      </c>
      <c r="J1844" s="104"/>
      <c r="K1844" s="104"/>
      <c r="L1844" s="105" t="s">
        <v>639</v>
      </c>
    </row>
    <row r="1845" customFormat="false" ht="48" hidden="false" customHeight="true" outlineLevel="0" collapsed="false">
      <c r="A1845" s="99"/>
      <c r="B1845" s="100" t="n">
        <v>46265</v>
      </c>
      <c r="C1845" s="100" t="n">
        <v>46271</v>
      </c>
      <c r="D1845" s="99" t="s">
        <v>638</v>
      </c>
      <c r="E1845" s="99" t="n">
        <v>0</v>
      </c>
      <c r="F1845" s="101" t="n">
        <v>0</v>
      </c>
      <c r="G1845" s="102" t="n">
        <f aca="false">IFERROR(F1845/INDEX($G$5:$G$34,MATCH(LOOKUP(2,1/($A$39:A1845&lt;&gt;""),$A$39:A1845),$A$5:$A$34,0)),0)</f>
        <v>0</v>
      </c>
      <c r="H1845" s="103" t="str">
        <f aca="false">IF(G1845=0,"空闲",IF(G1845&lt;=0.6,"低负荷",IF(G1845&lt;=0.85,"正常",IF(G1845&lt;=1,"满负荷","超负荷"))))</f>
        <v>空闲</v>
      </c>
      <c r="I1845" s="104" t="s">
        <v>638</v>
      </c>
      <c r="J1845" s="104"/>
      <c r="K1845" s="104"/>
      <c r="L1845" s="105" t="s">
        <v>639</v>
      </c>
    </row>
    <row r="1846" customFormat="false" ht="48" hidden="false" customHeight="true" outlineLevel="0" collapsed="false">
      <c r="A1846" s="99"/>
      <c r="B1846" s="100" t="n">
        <v>46272</v>
      </c>
      <c r="C1846" s="100" t="n">
        <v>46278</v>
      </c>
      <c r="D1846" s="99" t="s">
        <v>638</v>
      </c>
      <c r="E1846" s="99" t="n">
        <v>0</v>
      </c>
      <c r="F1846" s="101" t="n">
        <v>0</v>
      </c>
      <c r="G1846" s="102" t="n">
        <f aca="false">IFERROR(F1846/INDEX($G$5:$G$34,MATCH(LOOKUP(2,1/($A$39:A1846&lt;&gt;""),$A$39:A1846),$A$5:$A$34,0)),0)</f>
        <v>0</v>
      </c>
      <c r="H1846" s="103" t="str">
        <f aca="false">IF(G1846=0,"空闲",IF(G1846&lt;=0.6,"低负荷",IF(G1846&lt;=0.85,"正常",IF(G1846&lt;=1,"满负荷","超负荷"))))</f>
        <v>空闲</v>
      </c>
      <c r="I1846" s="104" t="s">
        <v>638</v>
      </c>
      <c r="J1846" s="104"/>
      <c r="K1846" s="104"/>
      <c r="L1846" s="105" t="s">
        <v>639</v>
      </c>
    </row>
    <row r="1847" customFormat="false" ht="48" hidden="false" customHeight="true" outlineLevel="0" collapsed="false">
      <c r="A1847" s="99"/>
      <c r="B1847" s="100" t="n">
        <v>46279</v>
      </c>
      <c r="C1847" s="100" t="n">
        <v>46285</v>
      </c>
      <c r="D1847" s="99" t="s">
        <v>638</v>
      </c>
      <c r="E1847" s="99" t="n">
        <v>0</v>
      </c>
      <c r="F1847" s="101" t="n">
        <v>0</v>
      </c>
      <c r="G1847" s="102" t="n">
        <f aca="false">IFERROR(F1847/INDEX($G$5:$G$34,MATCH(LOOKUP(2,1/($A$39:A1847&lt;&gt;""),$A$39:A1847),$A$5:$A$34,0)),0)</f>
        <v>0</v>
      </c>
      <c r="H1847" s="103" t="str">
        <f aca="false">IF(G1847=0,"空闲",IF(G1847&lt;=0.6,"低负荷",IF(G1847&lt;=0.85,"正常",IF(G1847&lt;=1,"满负荷","超负荷"))))</f>
        <v>空闲</v>
      </c>
      <c r="I1847" s="104" t="s">
        <v>638</v>
      </c>
      <c r="J1847" s="104"/>
      <c r="K1847" s="104"/>
      <c r="L1847" s="105" t="s">
        <v>639</v>
      </c>
    </row>
    <row r="1848" customFormat="false" ht="48" hidden="false" customHeight="true" outlineLevel="0" collapsed="false">
      <c r="A1848" s="99"/>
      <c r="B1848" s="100" t="n">
        <v>46286</v>
      </c>
      <c r="C1848" s="100" t="n">
        <v>46292</v>
      </c>
      <c r="D1848" s="99" t="s">
        <v>638</v>
      </c>
      <c r="E1848" s="99" t="n">
        <v>0</v>
      </c>
      <c r="F1848" s="101" t="n">
        <v>0</v>
      </c>
      <c r="G1848" s="102" t="n">
        <f aca="false">IFERROR(F1848/INDEX($G$5:$G$34,MATCH(LOOKUP(2,1/($A$39:A1848&lt;&gt;""),$A$39:A1848),$A$5:$A$34,0)),0)</f>
        <v>0</v>
      </c>
      <c r="H1848" s="103" t="str">
        <f aca="false">IF(G1848=0,"空闲",IF(G1848&lt;=0.6,"低负荷",IF(G1848&lt;=0.85,"正常",IF(G1848&lt;=1,"满负荷","超负荷"))))</f>
        <v>空闲</v>
      </c>
      <c r="I1848" s="104" t="s">
        <v>638</v>
      </c>
      <c r="J1848" s="104"/>
      <c r="K1848" s="104"/>
      <c r="L1848" s="105" t="s">
        <v>639</v>
      </c>
    </row>
    <row r="1849" customFormat="false" ht="48" hidden="false" customHeight="true" outlineLevel="0" collapsed="false">
      <c r="A1849" s="99"/>
      <c r="B1849" s="100" t="n">
        <v>46293</v>
      </c>
      <c r="C1849" s="100" t="n">
        <v>46299</v>
      </c>
      <c r="D1849" s="99" t="s">
        <v>638</v>
      </c>
      <c r="E1849" s="99" t="n">
        <v>0</v>
      </c>
      <c r="F1849" s="101" t="n">
        <v>0</v>
      </c>
      <c r="G1849" s="102" t="n">
        <f aca="false">IFERROR(F1849/INDEX($G$5:$G$34,MATCH(LOOKUP(2,1/($A$39:A1849&lt;&gt;""),$A$39:A1849),$A$5:$A$34,0)),0)</f>
        <v>0</v>
      </c>
      <c r="H1849" s="103" t="str">
        <f aca="false">IF(G1849=0,"空闲",IF(G1849&lt;=0.6,"低负荷",IF(G1849&lt;=0.85,"正常",IF(G1849&lt;=1,"满负荷","超负荷"))))</f>
        <v>空闲</v>
      </c>
      <c r="I1849" s="104" t="s">
        <v>638</v>
      </c>
      <c r="J1849" s="104"/>
      <c r="K1849" s="104"/>
      <c r="L1849" s="105" t="s">
        <v>639</v>
      </c>
    </row>
    <row r="1850" customFormat="false" ht="48" hidden="false" customHeight="true" outlineLevel="0" collapsed="false">
      <c r="A1850" s="99"/>
      <c r="B1850" s="100" t="n">
        <v>46300</v>
      </c>
      <c r="C1850" s="100" t="n">
        <v>46306</v>
      </c>
      <c r="D1850" s="99" t="s">
        <v>638</v>
      </c>
      <c r="E1850" s="99" t="n">
        <v>0</v>
      </c>
      <c r="F1850" s="101" t="n">
        <v>0</v>
      </c>
      <c r="G1850" s="102" t="n">
        <f aca="false">IFERROR(F1850/INDEX($G$5:$G$34,MATCH(LOOKUP(2,1/($A$39:A1850&lt;&gt;""),$A$39:A1850),$A$5:$A$34,0)),0)</f>
        <v>0</v>
      </c>
      <c r="H1850" s="103" t="str">
        <f aca="false">IF(G1850=0,"空闲",IF(G1850&lt;=0.6,"低负荷",IF(G1850&lt;=0.85,"正常",IF(G1850&lt;=1,"满负荷","超负荷"))))</f>
        <v>空闲</v>
      </c>
      <c r="I1850" s="104" t="s">
        <v>638</v>
      </c>
      <c r="J1850" s="104"/>
      <c r="K1850" s="104"/>
      <c r="L1850" s="105" t="s">
        <v>639</v>
      </c>
    </row>
    <row r="1851" customFormat="false" ht="48" hidden="false" customHeight="true" outlineLevel="0" collapsed="false">
      <c r="A1851" s="99"/>
      <c r="B1851" s="100" t="n">
        <v>46307</v>
      </c>
      <c r="C1851" s="100" t="n">
        <v>46313</v>
      </c>
      <c r="D1851" s="99" t="s">
        <v>638</v>
      </c>
      <c r="E1851" s="99" t="n">
        <v>0</v>
      </c>
      <c r="F1851" s="101" t="n">
        <v>0</v>
      </c>
      <c r="G1851" s="102" t="n">
        <f aca="false">IFERROR(F1851/INDEX($G$5:$G$34,MATCH(LOOKUP(2,1/($A$39:A1851&lt;&gt;""),$A$39:A1851),$A$5:$A$34,0)),0)</f>
        <v>0</v>
      </c>
      <c r="H1851" s="103" t="str">
        <f aca="false">IF(G1851=0,"空闲",IF(G1851&lt;=0.6,"低负荷",IF(G1851&lt;=0.85,"正常",IF(G1851&lt;=1,"满负荷","超负荷"))))</f>
        <v>空闲</v>
      </c>
      <c r="I1851" s="104" t="s">
        <v>638</v>
      </c>
      <c r="J1851" s="104"/>
      <c r="K1851" s="104"/>
      <c r="L1851" s="105" t="s">
        <v>639</v>
      </c>
    </row>
    <row r="1852" customFormat="false" ht="48" hidden="false" customHeight="true" outlineLevel="0" collapsed="false">
      <c r="A1852" s="99"/>
      <c r="B1852" s="100" t="n">
        <v>46314</v>
      </c>
      <c r="C1852" s="100" t="n">
        <v>46320</v>
      </c>
      <c r="D1852" s="99" t="s">
        <v>638</v>
      </c>
      <c r="E1852" s="99" t="n">
        <v>0</v>
      </c>
      <c r="F1852" s="101" t="n">
        <v>0</v>
      </c>
      <c r="G1852" s="102" t="n">
        <f aca="false">IFERROR(F1852/INDEX($G$5:$G$34,MATCH(LOOKUP(2,1/($A$39:A1852&lt;&gt;""),$A$39:A1852),$A$5:$A$34,0)),0)</f>
        <v>0</v>
      </c>
      <c r="H1852" s="103" t="str">
        <f aca="false">IF(G1852=0,"空闲",IF(G1852&lt;=0.6,"低负荷",IF(G1852&lt;=0.85,"正常",IF(G1852&lt;=1,"满负荷","超负荷"))))</f>
        <v>空闲</v>
      </c>
      <c r="I1852" s="104" t="s">
        <v>638</v>
      </c>
      <c r="J1852" s="104"/>
      <c r="K1852" s="104"/>
      <c r="L1852" s="105" t="s">
        <v>639</v>
      </c>
    </row>
    <row r="1853" customFormat="false" ht="48" hidden="false" customHeight="true" outlineLevel="0" collapsed="false">
      <c r="A1853" s="99"/>
      <c r="B1853" s="100" t="n">
        <v>46321</v>
      </c>
      <c r="C1853" s="100" t="n">
        <v>46327</v>
      </c>
      <c r="D1853" s="99" t="s">
        <v>638</v>
      </c>
      <c r="E1853" s="99" t="n">
        <v>0</v>
      </c>
      <c r="F1853" s="101" t="n">
        <v>0</v>
      </c>
      <c r="G1853" s="102" t="n">
        <f aca="false">IFERROR(F1853/INDEX($G$5:$G$34,MATCH(LOOKUP(2,1/($A$39:A1853&lt;&gt;""),$A$39:A1853),$A$5:$A$34,0)),0)</f>
        <v>0</v>
      </c>
      <c r="H1853" s="103" t="str">
        <f aca="false">IF(G1853=0,"空闲",IF(G1853&lt;=0.6,"低负荷",IF(G1853&lt;=0.85,"正常",IF(G1853&lt;=1,"满负荷","超负荷"))))</f>
        <v>空闲</v>
      </c>
      <c r="I1853" s="104" t="s">
        <v>638</v>
      </c>
      <c r="J1853" s="104"/>
      <c r="K1853" s="104"/>
      <c r="L1853" s="105" t="s">
        <v>639</v>
      </c>
    </row>
    <row r="1854" customFormat="false" ht="48" hidden="false" customHeight="true" outlineLevel="0" collapsed="false">
      <c r="A1854" s="99"/>
      <c r="B1854" s="100" t="n">
        <v>46328</v>
      </c>
      <c r="C1854" s="100" t="n">
        <v>46334</v>
      </c>
      <c r="D1854" s="99" t="s">
        <v>638</v>
      </c>
      <c r="E1854" s="99" t="n">
        <v>0</v>
      </c>
      <c r="F1854" s="101" t="n">
        <v>0</v>
      </c>
      <c r="G1854" s="102" t="n">
        <f aca="false">IFERROR(F1854/INDEX($G$5:$G$34,MATCH(LOOKUP(2,1/($A$39:A1854&lt;&gt;""),$A$39:A1854),$A$5:$A$34,0)),0)</f>
        <v>0</v>
      </c>
      <c r="H1854" s="103" t="str">
        <f aca="false">IF(G1854=0,"空闲",IF(G1854&lt;=0.6,"低负荷",IF(G1854&lt;=0.85,"正常",IF(G1854&lt;=1,"满负荷","超负荷"))))</f>
        <v>空闲</v>
      </c>
      <c r="I1854" s="104" t="s">
        <v>638</v>
      </c>
      <c r="J1854" s="104"/>
      <c r="K1854" s="104"/>
      <c r="L1854" s="105" t="s">
        <v>639</v>
      </c>
    </row>
    <row r="1855" customFormat="false" ht="48" hidden="false" customHeight="true" outlineLevel="0" collapsed="false">
      <c r="A1855" s="99"/>
      <c r="B1855" s="100" t="n">
        <v>46335</v>
      </c>
      <c r="C1855" s="100" t="n">
        <v>46341</v>
      </c>
      <c r="D1855" s="99" t="s">
        <v>638</v>
      </c>
      <c r="E1855" s="99" t="n">
        <v>0</v>
      </c>
      <c r="F1855" s="101" t="n">
        <v>0</v>
      </c>
      <c r="G1855" s="102" t="n">
        <f aca="false">IFERROR(F1855/INDEX($G$5:$G$34,MATCH(LOOKUP(2,1/($A$39:A1855&lt;&gt;""),$A$39:A1855),$A$5:$A$34,0)),0)</f>
        <v>0</v>
      </c>
      <c r="H1855" s="103" t="str">
        <f aca="false">IF(G1855=0,"空闲",IF(G1855&lt;=0.6,"低负荷",IF(G1855&lt;=0.85,"正常",IF(G1855&lt;=1,"满负荷","超负荷"))))</f>
        <v>空闲</v>
      </c>
      <c r="I1855" s="104" t="s">
        <v>638</v>
      </c>
      <c r="J1855" s="104"/>
      <c r="K1855" s="104"/>
      <c r="L1855" s="105" t="s">
        <v>639</v>
      </c>
    </row>
    <row r="1856" customFormat="false" ht="48" hidden="false" customHeight="true" outlineLevel="0" collapsed="false">
      <c r="A1856" s="99"/>
      <c r="B1856" s="100" t="n">
        <v>46342</v>
      </c>
      <c r="C1856" s="100" t="n">
        <v>46348</v>
      </c>
      <c r="D1856" s="99" t="s">
        <v>638</v>
      </c>
      <c r="E1856" s="99" t="n">
        <v>0</v>
      </c>
      <c r="F1856" s="101" t="n">
        <v>0</v>
      </c>
      <c r="G1856" s="102" t="n">
        <f aca="false">IFERROR(F1856/INDEX($G$5:$G$34,MATCH(LOOKUP(2,1/($A$39:A1856&lt;&gt;""),$A$39:A1856),$A$5:$A$34,0)),0)</f>
        <v>0</v>
      </c>
      <c r="H1856" s="103" t="str">
        <f aca="false">IF(G1856=0,"空闲",IF(G1856&lt;=0.6,"低负荷",IF(G1856&lt;=0.85,"正常",IF(G1856&lt;=1,"满负荷","超负荷"))))</f>
        <v>空闲</v>
      </c>
      <c r="I1856" s="104" t="s">
        <v>638</v>
      </c>
      <c r="J1856" s="104"/>
      <c r="K1856" s="104"/>
      <c r="L1856" s="105" t="s">
        <v>639</v>
      </c>
    </row>
    <row r="1857" customFormat="false" ht="48" hidden="false" customHeight="true" outlineLevel="0" collapsed="false">
      <c r="A1857" s="99"/>
      <c r="B1857" s="100" t="n">
        <v>46349</v>
      </c>
      <c r="C1857" s="100" t="n">
        <v>46355</v>
      </c>
      <c r="D1857" s="99" t="s">
        <v>640</v>
      </c>
      <c r="E1857" s="99" t="n">
        <v>1</v>
      </c>
      <c r="F1857" s="101" t="n">
        <v>40</v>
      </c>
      <c r="G1857" s="102" t="n">
        <f aca="false">IFERROR(F1857/INDEX($G$5:$G$34,MATCH(LOOKUP(2,1/($A$39:A1857&lt;&gt;""),$A$39:A1857),$A$5:$A$34,0)),0)</f>
        <v>1</v>
      </c>
      <c r="H1857" s="103" t="str">
        <f aca="false">IF(G1857=0,"空闲",IF(G1857&lt;=0.6,"低负荷",IF(G1857&lt;=0.85,"正常",IF(G1857&lt;=1,"满负荷","超负荷"))))</f>
        <v>满负荷</v>
      </c>
      <c r="I1857" s="106" t="s">
        <v>712</v>
      </c>
      <c r="J1857" s="106"/>
      <c r="K1857" s="106"/>
      <c r="L1857" s="105" t="s">
        <v>642</v>
      </c>
    </row>
    <row r="1858" customFormat="false" ht="48" hidden="false" customHeight="true" outlineLevel="0" collapsed="false">
      <c r="A1858" s="99"/>
      <c r="B1858" s="100" t="n">
        <v>46356</v>
      </c>
      <c r="C1858" s="100" t="n">
        <v>46362</v>
      </c>
      <c r="D1858" s="99" t="s">
        <v>640</v>
      </c>
      <c r="E1858" s="99" t="n">
        <v>1</v>
      </c>
      <c r="F1858" s="101" t="n">
        <v>40</v>
      </c>
      <c r="G1858" s="102" t="n">
        <f aca="false">IFERROR(F1858/INDEX($G$5:$G$34,MATCH(LOOKUP(2,1/($A$39:A1858&lt;&gt;""),$A$39:A1858),$A$5:$A$34,0)),0)</f>
        <v>1</v>
      </c>
      <c r="H1858" s="103" t="str">
        <f aca="false">IF(G1858=0,"空闲",IF(G1858&lt;=0.6,"低负荷",IF(G1858&lt;=0.85,"正常",IF(G1858&lt;=1,"满负荷","超负荷"))))</f>
        <v>满负荷</v>
      </c>
      <c r="I1858" s="106" t="s">
        <v>712</v>
      </c>
      <c r="J1858" s="106"/>
      <c r="K1858" s="106"/>
      <c r="L1858" s="105" t="s">
        <v>642</v>
      </c>
    </row>
    <row r="1859" customFormat="false" ht="48" hidden="false" customHeight="true" outlineLevel="0" collapsed="false">
      <c r="A1859" s="99"/>
      <c r="B1859" s="100" t="n">
        <v>46363</v>
      </c>
      <c r="C1859" s="100" t="n">
        <v>46369</v>
      </c>
      <c r="D1859" s="99" t="s">
        <v>640</v>
      </c>
      <c r="E1859" s="99" t="n">
        <v>4</v>
      </c>
      <c r="F1859" s="101" t="n">
        <v>40</v>
      </c>
      <c r="G1859" s="102" t="n">
        <f aca="false">IFERROR(F1859/INDEX($G$5:$G$34,MATCH(LOOKUP(2,1/($A$39:A1859&lt;&gt;""),$A$39:A1859),$A$5:$A$34,0)),0)</f>
        <v>1</v>
      </c>
      <c r="H1859" s="103" t="str">
        <f aca="false">IF(G1859=0,"空闲",IF(G1859&lt;=0.6,"低负荷",IF(G1859&lt;=0.85,"正常",IF(G1859&lt;=1,"满负荷","超负荷"))))</f>
        <v>满负荷</v>
      </c>
      <c r="I1859" s="106" t="s">
        <v>754</v>
      </c>
      <c r="J1859" s="106"/>
      <c r="K1859" s="106"/>
      <c r="L1859" s="105" t="s">
        <v>715</v>
      </c>
    </row>
    <row r="1860" customFormat="false" ht="48" hidden="false" customHeight="true" outlineLevel="0" collapsed="false">
      <c r="A1860" s="99"/>
      <c r="B1860" s="100" t="n">
        <v>46370</v>
      </c>
      <c r="C1860" s="100" t="n">
        <v>46376</v>
      </c>
      <c r="D1860" s="99" t="s">
        <v>640</v>
      </c>
      <c r="E1860" s="99" t="n">
        <v>5</v>
      </c>
      <c r="F1860" s="101" t="n">
        <v>40</v>
      </c>
      <c r="G1860" s="102" t="n">
        <f aca="false">IFERROR(F1860/INDEX($G$5:$G$34,MATCH(LOOKUP(2,1/($A$39:A1860&lt;&gt;""),$A$39:A1860),$A$5:$A$34,0)),0)</f>
        <v>1</v>
      </c>
      <c r="H1860" s="103" t="str">
        <f aca="false">IF(G1860=0,"空闲",IF(G1860&lt;=0.6,"低负荷",IF(G1860&lt;=0.85,"正常",IF(G1860&lt;=1,"满负荷","超负荷"))))</f>
        <v>满负荷</v>
      </c>
      <c r="I1860" s="106" t="s">
        <v>755</v>
      </c>
      <c r="J1860" s="106"/>
      <c r="K1860" s="106"/>
      <c r="L1860" s="105" t="s">
        <v>717</v>
      </c>
    </row>
    <row r="1861" customFormat="false" ht="48" hidden="false" customHeight="true" outlineLevel="0" collapsed="false">
      <c r="A1861" s="99"/>
      <c r="B1861" s="100" t="n">
        <v>46377</v>
      </c>
      <c r="C1861" s="100" t="n">
        <v>46383</v>
      </c>
      <c r="D1861" s="99" t="s">
        <v>640</v>
      </c>
      <c r="E1861" s="99" t="n">
        <v>5</v>
      </c>
      <c r="F1861" s="101" t="n">
        <v>40</v>
      </c>
      <c r="G1861" s="102" t="n">
        <f aca="false">IFERROR(F1861/INDEX($G$5:$G$34,MATCH(LOOKUP(2,1/($A$39:A1861&lt;&gt;""),$A$39:A1861),$A$5:$A$34,0)),0)</f>
        <v>1</v>
      </c>
      <c r="H1861" s="103" t="str">
        <f aca="false">IF(G1861=0,"空闲",IF(G1861&lt;=0.6,"低负荷",IF(G1861&lt;=0.85,"正常",IF(G1861&lt;=1,"满负荷","超负荷"))))</f>
        <v>满负荷</v>
      </c>
      <c r="I1861" s="106" t="s">
        <v>755</v>
      </c>
      <c r="J1861" s="106"/>
      <c r="K1861" s="106"/>
      <c r="L1861" s="105" t="s">
        <v>717</v>
      </c>
    </row>
    <row r="1862" customFormat="false" ht="48" hidden="false" customHeight="true" outlineLevel="0" collapsed="false">
      <c r="A1862" s="99"/>
      <c r="B1862" s="100" t="n">
        <v>46384</v>
      </c>
      <c r="C1862" s="100" t="n">
        <v>46390</v>
      </c>
      <c r="D1862" s="99" t="s">
        <v>640</v>
      </c>
      <c r="E1862" s="99" t="n">
        <v>5</v>
      </c>
      <c r="F1862" s="101" t="n">
        <v>40</v>
      </c>
      <c r="G1862" s="102" t="n">
        <f aca="false">IFERROR(F1862/INDEX($G$5:$G$34,MATCH(LOOKUP(2,1/($A$39:A1862&lt;&gt;""),$A$39:A1862),$A$5:$A$34,0)),0)</f>
        <v>1</v>
      </c>
      <c r="H1862" s="103" t="str">
        <f aca="false">IF(G1862=0,"空闲",IF(G1862&lt;=0.6,"低负荷",IF(G1862&lt;=0.85,"正常",IF(G1862&lt;=1,"满负荷","超负荷"))))</f>
        <v>满负荷</v>
      </c>
      <c r="I1862" s="106" t="s">
        <v>755</v>
      </c>
      <c r="J1862" s="106"/>
      <c r="K1862" s="106"/>
      <c r="L1862" s="105" t="s">
        <v>717</v>
      </c>
    </row>
    <row r="1863" customFormat="false" ht="48" hidden="false" customHeight="true" outlineLevel="0" collapsed="false">
      <c r="A1863" s="99"/>
      <c r="B1863" s="100" t="n">
        <v>46391</v>
      </c>
      <c r="C1863" s="100" t="n">
        <v>46397</v>
      </c>
      <c r="D1863" s="99" t="s">
        <v>640</v>
      </c>
      <c r="E1863" s="99" t="n">
        <v>5</v>
      </c>
      <c r="F1863" s="101" t="n">
        <v>40</v>
      </c>
      <c r="G1863" s="102" t="n">
        <f aca="false">IFERROR(F1863/INDEX($G$5:$G$34,MATCH(LOOKUP(2,1/($A$39:A1863&lt;&gt;""),$A$39:A1863),$A$5:$A$34,0)),0)</f>
        <v>1</v>
      </c>
      <c r="H1863" s="103" t="str">
        <f aca="false">IF(G1863=0,"空闲",IF(G1863&lt;=0.6,"低负荷",IF(G1863&lt;=0.85,"正常",IF(G1863&lt;=1,"满负荷","超负荷"))))</f>
        <v>满负荷</v>
      </c>
      <c r="I1863" s="106" t="s">
        <v>755</v>
      </c>
      <c r="J1863" s="106"/>
      <c r="K1863" s="106"/>
      <c r="L1863" s="105" t="s">
        <v>717</v>
      </c>
    </row>
    <row r="1864" customFormat="false" ht="48" hidden="false" customHeight="true" outlineLevel="0" collapsed="false">
      <c r="A1864" s="99"/>
      <c r="B1864" s="100" t="n">
        <v>46398</v>
      </c>
      <c r="C1864" s="100" t="n">
        <v>46404</v>
      </c>
      <c r="D1864" s="99" t="s">
        <v>640</v>
      </c>
      <c r="E1864" s="99" t="n">
        <v>5</v>
      </c>
      <c r="F1864" s="101" t="n">
        <v>40</v>
      </c>
      <c r="G1864" s="102" t="n">
        <f aca="false">IFERROR(F1864/INDEX($G$5:$G$34,MATCH(LOOKUP(2,1/($A$39:A1864&lt;&gt;""),$A$39:A1864),$A$5:$A$34,0)),0)</f>
        <v>1</v>
      </c>
      <c r="H1864" s="103" t="str">
        <f aca="false">IF(G1864=0,"空闲",IF(G1864&lt;=0.6,"低负荷",IF(G1864&lt;=0.85,"正常",IF(G1864&lt;=1,"满负荷","超负荷"))))</f>
        <v>满负荷</v>
      </c>
      <c r="I1864" s="106" t="s">
        <v>755</v>
      </c>
      <c r="J1864" s="106"/>
      <c r="K1864" s="106"/>
      <c r="L1864" s="105" t="s">
        <v>717</v>
      </c>
    </row>
    <row r="1865" customFormat="false" ht="48" hidden="false" customHeight="true" outlineLevel="0" collapsed="false">
      <c r="A1865" s="99"/>
      <c r="B1865" s="100" t="n">
        <v>46405</v>
      </c>
      <c r="C1865" s="100" t="n">
        <v>46411</v>
      </c>
      <c r="D1865" s="99" t="s">
        <v>640</v>
      </c>
      <c r="E1865" s="99" t="n">
        <v>5</v>
      </c>
      <c r="F1865" s="101" t="n">
        <v>40</v>
      </c>
      <c r="G1865" s="102" t="n">
        <f aca="false">IFERROR(F1865/INDEX($G$5:$G$34,MATCH(LOOKUP(2,1/($A$39:A1865&lt;&gt;""),$A$39:A1865),$A$5:$A$34,0)),0)</f>
        <v>1</v>
      </c>
      <c r="H1865" s="103" t="str">
        <f aca="false">IF(G1865=0,"空闲",IF(G1865&lt;=0.6,"低负荷",IF(G1865&lt;=0.85,"正常",IF(G1865&lt;=1,"满负荷","超负荷"))))</f>
        <v>满负荷</v>
      </c>
      <c r="I1865" s="106" t="s">
        <v>755</v>
      </c>
      <c r="J1865" s="106"/>
      <c r="K1865" s="106"/>
      <c r="L1865" s="105" t="s">
        <v>717</v>
      </c>
    </row>
    <row r="1866" customFormat="false" ht="48" hidden="false" customHeight="true" outlineLevel="0" collapsed="false">
      <c r="A1866" s="99"/>
      <c r="B1866" s="100" t="n">
        <v>46412</v>
      </c>
      <c r="C1866" s="100" t="n">
        <v>46418</v>
      </c>
      <c r="D1866" s="99" t="s">
        <v>640</v>
      </c>
      <c r="E1866" s="99" t="n">
        <v>5</v>
      </c>
      <c r="F1866" s="101" t="n">
        <v>40</v>
      </c>
      <c r="G1866" s="102" t="n">
        <f aca="false">IFERROR(F1866/INDEX($G$5:$G$34,MATCH(LOOKUP(2,1/($A$39:A1866&lt;&gt;""),$A$39:A1866),$A$5:$A$34,0)),0)</f>
        <v>1</v>
      </c>
      <c r="H1866" s="103" t="str">
        <f aca="false">IF(G1866=0,"空闲",IF(G1866&lt;=0.6,"低负荷",IF(G1866&lt;=0.85,"正常",IF(G1866&lt;=1,"满负荷","超负荷"))))</f>
        <v>满负荷</v>
      </c>
      <c r="I1866" s="106" t="s">
        <v>755</v>
      </c>
      <c r="J1866" s="106"/>
      <c r="K1866" s="106"/>
      <c r="L1866" s="105" t="s">
        <v>717</v>
      </c>
    </row>
    <row r="1867" customFormat="false" ht="48" hidden="false" customHeight="true" outlineLevel="0" collapsed="false">
      <c r="A1867" s="99"/>
      <c r="B1867" s="100" t="n">
        <v>46419</v>
      </c>
      <c r="C1867" s="100" t="n">
        <v>46425</v>
      </c>
      <c r="D1867" s="99" t="s">
        <v>640</v>
      </c>
      <c r="E1867" s="99" t="n">
        <v>5</v>
      </c>
      <c r="F1867" s="101" t="n">
        <v>40</v>
      </c>
      <c r="G1867" s="102" t="n">
        <f aca="false">IFERROR(F1867/INDEX($G$5:$G$34,MATCH(LOOKUP(2,1/($A$39:A1867&lt;&gt;""),$A$39:A1867),$A$5:$A$34,0)),0)</f>
        <v>1</v>
      </c>
      <c r="H1867" s="103" t="str">
        <f aca="false">IF(G1867=0,"空闲",IF(G1867&lt;=0.6,"低负荷",IF(G1867&lt;=0.85,"正常",IF(G1867&lt;=1,"满负荷","超负荷"))))</f>
        <v>满负荷</v>
      </c>
      <c r="I1867" s="106" t="s">
        <v>755</v>
      </c>
      <c r="J1867" s="106"/>
      <c r="K1867" s="106"/>
      <c r="L1867" s="105" t="s">
        <v>717</v>
      </c>
    </row>
    <row r="1868" customFormat="false" ht="48" hidden="false" customHeight="true" outlineLevel="0" collapsed="false">
      <c r="A1868" s="99"/>
      <c r="B1868" s="100" t="n">
        <v>46426</v>
      </c>
      <c r="C1868" s="100" t="n">
        <v>46432</v>
      </c>
      <c r="D1868" s="99" t="s">
        <v>640</v>
      </c>
      <c r="E1868" s="99" t="n">
        <v>5</v>
      </c>
      <c r="F1868" s="101" t="n">
        <v>40</v>
      </c>
      <c r="G1868" s="102" t="n">
        <f aca="false">IFERROR(F1868/INDEX($G$5:$G$34,MATCH(LOOKUP(2,1/($A$39:A1868&lt;&gt;""),$A$39:A1868),$A$5:$A$34,0)),0)</f>
        <v>1</v>
      </c>
      <c r="H1868" s="103" t="str">
        <f aca="false">IF(G1868=0,"空闲",IF(G1868&lt;=0.6,"低负荷",IF(G1868&lt;=0.85,"正常",IF(G1868&lt;=1,"满负荷","超负荷"))))</f>
        <v>满负荷</v>
      </c>
      <c r="I1868" s="106" t="s">
        <v>755</v>
      </c>
      <c r="J1868" s="106"/>
      <c r="K1868" s="106"/>
      <c r="L1868" s="105" t="s">
        <v>717</v>
      </c>
    </row>
    <row r="1869" customFormat="false" ht="48" hidden="false" customHeight="true" outlineLevel="0" collapsed="false">
      <c r="A1869" s="99"/>
      <c r="B1869" s="100" t="n">
        <v>46433</v>
      </c>
      <c r="C1869" s="100" t="n">
        <v>46439</v>
      </c>
      <c r="D1869" s="99" t="s">
        <v>638</v>
      </c>
      <c r="E1869" s="99" t="n">
        <v>0</v>
      </c>
      <c r="F1869" s="101" t="n">
        <v>0</v>
      </c>
      <c r="G1869" s="102" t="n">
        <f aca="false">IFERROR(F1869/INDEX($G$5:$G$34,MATCH(LOOKUP(2,1/($A$39:A1869&lt;&gt;""),$A$39:A1869),$A$5:$A$34,0)),0)</f>
        <v>0</v>
      </c>
      <c r="H1869" s="103" t="str">
        <f aca="false">IF(G1869=0,"空闲",IF(G1869&lt;=0.6,"低负荷",IF(G1869&lt;=0.85,"正常",IF(G1869&lt;=1,"满负荷","超负荷"))))</f>
        <v>空闲</v>
      </c>
      <c r="I1869" s="104" t="s">
        <v>638</v>
      </c>
      <c r="J1869" s="104"/>
      <c r="K1869" s="104"/>
      <c r="L1869" s="105" t="s">
        <v>639</v>
      </c>
    </row>
    <row r="1870" customFormat="false" ht="48" hidden="false" customHeight="true" outlineLevel="0" collapsed="false">
      <c r="A1870" s="99"/>
      <c r="B1870" s="100" t="n">
        <v>46440</v>
      </c>
      <c r="C1870" s="100" t="n">
        <v>46446</v>
      </c>
      <c r="D1870" s="99" t="s">
        <v>638</v>
      </c>
      <c r="E1870" s="99" t="n">
        <v>0</v>
      </c>
      <c r="F1870" s="101" t="n">
        <v>0</v>
      </c>
      <c r="G1870" s="102" t="n">
        <f aca="false">IFERROR(F1870/INDEX($G$5:$G$34,MATCH(LOOKUP(2,1/($A$39:A1870&lt;&gt;""),$A$39:A1870),$A$5:$A$34,0)),0)</f>
        <v>0</v>
      </c>
      <c r="H1870" s="103" t="str">
        <f aca="false">IF(G1870=0,"空闲",IF(G1870&lt;=0.6,"低负荷",IF(G1870&lt;=0.85,"正常",IF(G1870&lt;=1,"满负荷","超负荷"))))</f>
        <v>空闲</v>
      </c>
      <c r="I1870" s="104" t="s">
        <v>638</v>
      </c>
      <c r="J1870" s="104"/>
      <c r="K1870" s="104"/>
      <c r="L1870" s="105" t="s">
        <v>639</v>
      </c>
    </row>
    <row r="1871" customFormat="false" ht="48" hidden="false" customHeight="true" outlineLevel="0" collapsed="false">
      <c r="A1871" s="99"/>
      <c r="B1871" s="100" t="n">
        <v>46447</v>
      </c>
      <c r="C1871" s="100" t="n">
        <v>46453</v>
      </c>
      <c r="D1871" s="99" t="s">
        <v>640</v>
      </c>
      <c r="E1871" s="99" t="n">
        <v>1</v>
      </c>
      <c r="F1871" s="101" t="n">
        <v>40</v>
      </c>
      <c r="G1871" s="102" t="n">
        <f aca="false">IFERROR(F1871/INDEX($G$5:$G$34,MATCH(LOOKUP(2,1/($A$39:A1871&lt;&gt;""),$A$39:A1871),$A$5:$A$34,0)),0)</f>
        <v>1</v>
      </c>
      <c r="H1871" s="103" t="str">
        <f aca="false">IF(G1871=0,"空闲",IF(G1871&lt;=0.6,"低负荷",IF(G1871&lt;=0.85,"正常",IF(G1871&lt;=1,"满负荷","超负荷"))))</f>
        <v>满负荷</v>
      </c>
      <c r="I1871" s="106" t="s">
        <v>741</v>
      </c>
      <c r="J1871" s="106"/>
      <c r="K1871" s="106"/>
      <c r="L1871" s="105" t="s">
        <v>642</v>
      </c>
    </row>
    <row r="1872" customFormat="false" ht="48" hidden="false" customHeight="true" outlineLevel="0" collapsed="false">
      <c r="A1872" s="99"/>
      <c r="B1872" s="100" t="n">
        <v>46454</v>
      </c>
      <c r="C1872" s="100" t="n">
        <v>46460</v>
      </c>
      <c r="D1872" s="99" t="s">
        <v>638</v>
      </c>
      <c r="E1872" s="99" t="n">
        <v>0</v>
      </c>
      <c r="F1872" s="101" t="n">
        <v>0</v>
      </c>
      <c r="G1872" s="102" t="n">
        <f aca="false">IFERROR(F1872/INDEX($G$5:$G$34,MATCH(LOOKUP(2,1/($A$39:A1872&lt;&gt;""),$A$39:A1872),$A$5:$A$34,0)),0)</f>
        <v>0</v>
      </c>
      <c r="H1872" s="103" t="str">
        <f aca="false">IF(G1872=0,"空闲",IF(G1872&lt;=0.6,"低负荷",IF(G1872&lt;=0.85,"正常",IF(G1872&lt;=1,"满负荷","超负荷"))))</f>
        <v>空闲</v>
      </c>
      <c r="I1872" s="104" t="s">
        <v>638</v>
      </c>
      <c r="J1872" s="104"/>
      <c r="K1872" s="104"/>
      <c r="L1872" s="105" t="s">
        <v>639</v>
      </c>
    </row>
    <row r="1873" customFormat="false" ht="48" hidden="false" customHeight="true" outlineLevel="0" collapsed="false">
      <c r="A1873" s="99"/>
      <c r="B1873" s="100" t="n">
        <v>46461</v>
      </c>
      <c r="C1873" s="100" t="n">
        <v>46467</v>
      </c>
      <c r="D1873" s="99" t="s">
        <v>638</v>
      </c>
      <c r="E1873" s="99" t="n">
        <v>0</v>
      </c>
      <c r="F1873" s="101" t="n">
        <v>0</v>
      </c>
      <c r="G1873" s="102" t="n">
        <f aca="false">IFERROR(F1873/INDEX($G$5:$G$34,MATCH(LOOKUP(2,1/($A$39:A1873&lt;&gt;""),$A$39:A1873),$A$5:$A$34,0)),0)</f>
        <v>0</v>
      </c>
      <c r="H1873" s="103" t="str">
        <f aca="false">IF(G1873=0,"空闲",IF(G1873&lt;=0.6,"低负荷",IF(G1873&lt;=0.85,"正常",IF(G1873&lt;=1,"满负荷","超负荷"))))</f>
        <v>空闲</v>
      </c>
      <c r="I1873" s="104" t="s">
        <v>638</v>
      </c>
      <c r="J1873" s="104"/>
      <c r="K1873" s="104"/>
      <c r="L1873" s="105" t="s">
        <v>639</v>
      </c>
    </row>
    <row r="1874" customFormat="false" ht="48" hidden="false" customHeight="true" outlineLevel="0" collapsed="false">
      <c r="A1874" s="99"/>
      <c r="B1874" s="100" t="n">
        <v>46468</v>
      </c>
      <c r="C1874" s="100" t="n">
        <v>46474</v>
      </c>
      <c r="D1874" s="99" t="s">
        <v>638</v>
      </c>
      <c r="E1874" s="99" t="n">
        <v>0</v>
      </c>
      <c r="F1874" s="101" t="n">
        <v>0</v>
      </c>
      <c r="G1874" s="102" t="n">
        <f aca="false">IFERROR(F1874/INDEX($G$5:$G$34,MATCH(LOOKUP(2,1/($A$39:A1874&lt;&gt;""),$A$39:A1874),$A$5:$A$34,0)),0)</f>
        <v>0</v>
      </c>
      <c r="H1874" s="103" t="str">
        <f aca="false">IF(G1874=0,"空闲",IF(G1874&lt;=0.6,"低负荷",IF(G1874&lt;=0.85,"正常",IF(G1874&lt;=1,"满负荷","超负荷"))))</f>
        <v>空闲</v>
      </c>
      <c r="I1874" s="104" t="s">
        <v>638</v>
      </c>
      <c r="J1874" s="104"/>
      <c r="K1874" s="104"/>
      <c r="L1874" s="105" t="s">
        <v>639</v>
      </c>
    </row>
    <row r="1875" customFormat="false" ht="48" hidden="false" customHeight="true" outlineLevel="0" collapsed="false">
      <c r="A1875" s="99"/>
      <c r="B1875" s="100" t="n">
        <v>46475</v>
      </c>
      <c r="C1875" s="100" t="n">
        <v>46481</v>
      </c>
      <c r="D1875" s="99" t="s">
        <v>638</v>
      </c>
      <c r="E1875" s="99" t="n">
        <v>0</v>
      </c>
      <c r="F1875" s="101" t="n">
        <v>0</v>
      </c>
      <c r="G1875" s="102" t="n">
        <f aca="false">IFERROR(F1875/INDEX($G$5:$G$34,MATCH(LOOKUP(2,1/($A$39:A1875&lt;&gt;""),$A$39:A1875),$A$5:$A$34,0)),0)</f>
        <v>0</v>
      </c>
      <c r="H1875" s="103" t="str">
        <f aca="false">IF(G1875=0,"空闲",IF(G1875&lt;=0.6,"低负荷",IF(G1875&lt;=0.85,"正常",IF(G1875&lt;=1,"满负荷","超负荷"))))</f>
        <v>空闲</v>
      </c>
      <c r="I1875" s="104" t="s">
        <v>638</v>
      </c>
      <c r="J1875" s="104"/>
      <c r="K1875" s="104"/>
      <c r="L1875" s="105" t="s">
        <v>639</v>
      </c>
    </row>
    <row r="1876" customFormat="false" ht="48" hidden="false" customHeight="true" outlineLevel="0" collapsed="false">
      <c r="A1876" s="99"/>
      <c r="B1876" s="100" t="n">
        <v>46482</v>
      </c>
      <c r="C1876" s="100" t="n">
        <v>46488</v>
      </c>
      <c r="D1876" s="99" t="s">
        <v>638</v>
      </c>
      <c r="E1876" s="99" t="n">
        <v>0</v>
      </c>
      <c r="F1876" s="101" t="n">
        <v>0</v>
      </c>
      <c r="G1876" s="102" t="n">
        <f aca="false">IFERROR(F1876/INDEX($G$5:$G$34,MATCH(LOOKUP(2,1/($A$39:A1876&lt;&gt;""),$A$39:A1876),$A$5:$A$34,0)),0)</f>
        <v>0</v>
      </c>
      <c r="H1876" s="103" t="str">
        <f aca="false">IF(G1876=0,"空闲",IF(G1876&lt;=0.6,"低负荷",IF(G1876&lt;=0.85,"正常",IF(G1876&lt;=1,"满负荷","超负荷"))))</f>
        <v>空闲</v>
      </c>
      <c r="I1876" s="104" t="s">
        <v>638</v>
      </c>
      <c r="J1876" s="104"/>
      <c r="K1876" s="104"/>
      <c r="L1876" s="105" t="s">
        <v>639</v>
      </c>
    </row>
    <row r="1877" customFormat="false" ht="48" hidden="false" customHeight="true" outlineLevel="0" collapsed="false">
      <c r="A1877" s="99"/>
      <c r="B1877" s="100" t="n">
        <v>46489</v>
      </c>
      <c r="C1877" s="100" t="n">
        <v>46495</v>
      </c>
      <c r="D1877" s="99" t="s">
        <v>638</v>
      </c>
      <c r="E1877" s="99" t="n">
        <v>0</v>
      </c>
      <c r="F1877" s="101" t="n">
        <v>0</v>
      </c>
      <c r="G1877" s="102" t="n">
        <f aca="false">IFERROR(F1877/INDEX($G$5:$G$34,MATCH(LOOKUP(2,1/($A$39:A1877&lt;&gt;""),$A$39:A1877),$A$5:$A$34,0)),0)</f>
        <v>0</v>
      </c>
      <c r="H1877" s="103" t="str">
        <f aca="false">IF(G1877=0,"空闲",IF(G1877&lt;=0.6,"低负荷",IF(G1877&lt;=0.85,"正常",IF(G1877&lt;=1,"满负荷","超负荷"))))</f>
        <v>空闲</v>
      </c>
      <c r="I1877" s="104" t="s">
        <v>638</v>
      </c>
      <c r="J1877" s="104"/>
      <c r="K1877" s="104"/>
      <c r="L1877" s="105" t="s">
        <v>639</v>
      </c>
    </row>
    <row r="1878" customFormat="false" ht="48" hidden="false" customHeight="true" outlineLevel="0" collapsed="false">
      <c r="A1878" s="99"/>
      <c r="B1878" s="100" t="n">
        <v>46496</v>
      </c>
      <c r="C1878" s="100" t="n">
        <v>46502</v>
      </c>
      <c r="D1878" s="99" t="s">
        <v>638</v>
      </c>
      <c r="E1878" s="99" t="n">
        <v>0</v>
      </c>
      <c r="F1878" s="101" t="n">
        <v>0</v>
      </c>
      <c r="G1878" s="102" t="n">
        <f aca="false">IFERROR(F1878/INDEX($G$5:$G$34,MATCH(LOOKUP(2,1/($A$39:A1878&lt;&gt;""),$A$39:A1878),$A$5:$A$34,0)),0)</f>
        <v>0</v>
      </c>
      <c r="H1878" s="103" t="str">
        <f aca="false">IF(G1878=0,"空闲",IF(G1878&lt;=0.6,"低负荷",IF(G1878&lt;=0.85,"正常",IF(G1878&lt;=1,"满负荷","超负荷"))))</f>
        <v>空闲</v>
      </c>
      <c r="I1878" s="104" t="s">
        <v>638</v>
      </c>
      <c r="J1878" s="104"/>
      <c r="K1878" s="104"/>
      <c r="L1878" s="105" t="s">
        <v>639</v>
      </c>
    </row>
    <row r="1879" customFormat="false" ht="48" hidden="false" customHeight="true" outlineLevel="0" collapsed="false">
      <c r="A1879" s="99"/>
      <c r="B1879" s="100" t="n">
        <v>46503</v>
      </c>
      <c r="C1879" s="100" t="n">
        <v>46509</v>
      </c>
      <c r="D1879" s="99" t="s">
        <v>638</v>
      </c>
      <c r="E1879" s="99" t="n">
        <v>0</v>
      </c>
      <c r="F1879" s="101" t="n">
        <v>0</v>
      </c>
      <c r="G1879" s="102" t="n">
        <f aca="false">IFERROR(F1879/INDEX($G$5:$G$34,MATCH(LOOKUP(2,1/($A$39:A1879&lt;&gt;""),$A$39:A1879),$A$5:$A$34,0)),0)</f>
        <v>0</v>
      </c>
      <c r="H1879" s="103" t="str">
        <f aca="false">IF(G1879=0,"空闲",IF(G1879&lt;=0.6,"低负荷",IF(G1879&lt;=0.85,"正常",IF(G1879&lt;=1,"满负荷","超负荷"))))</f>
        <v>空闲</v>
      </c>
      <c r="I1879" s="104" t="s">
        <v>638</v>
      </c>
      <c r="J1879" s="104"/>
      <c r="K1879" s="104"/>
      <c r="L1879" s="105" t="s">
        <v>639</v>
      </c>
    </row>
    <row r="1880" customFormat="false" ht="48" hidden="false" customHeight="true" outlineLevel="0" collapsed="false">
      <c r="A1880" s="99"/>
      <c r="B1880" s="100" t="n">
        <v>46510</v>
      </c>
      <c r="C1880" s="100" t="n">
        <v>46516</v>
      </c>
      <c r="D1880" s="99" t="s">
        <v>638</v>
      </c>
      <c r="E1880" s="99" t="n">
        <v>0</v>
      </c>
      <c r="F1880" s="101" t="n">
        <v>0</v>
      </c>
      <c r="G1880" s="102" t="n">
        <f aca="false">IFERROR(F1880/INDEX($G$5:$G$34,MATCH(LOOKUP(2,1/($A$39:A1880&lt;&gt;""),$A$39:A1880),$A$5:$A$34,0)),0)</f>
        <v>0</v>
      </c>
      <c r="H1880" s="103" t="str">
        <f aca="false">IF(G1880=0,"空闲",IF(G1880&lt;=0.6,"低负荷",IF(G1880&lt;=0.85,"正常",IF(G1880&lt;=1,"满负荷","超负荷"))))</f>
        <v>空闲</v>
      </c>
      <c r="I1880" s="104" t="s">
        <v>638</v>
      </c>
      <c r="J1880" s="104"/>
      <c r="K1880" s="104"/>
      <c r="L1880" s="105" t="s">
        <v>639</v>
      </c>
    </row>
    <row r="1881" customFormat="false" ht="48" hidden="false" customHeight="true" outlineLevel="0" collapsed="false">
      <c r="A1881" s="99"/>
      <c r="B1881" s="100" t="n">
        <v>46517</v>
      </c>
      <c r="C1881" s="100" t="n">
        <v>46523</v>
      </c>
      <c r="D1881" s="99" t="s">
        <v>638</v>
      </c>
      <c r="E1881" s="99" t="n">
        <v>0</v>
      </c>
      <c r="F1881" s="101" t="n">
        <v>0</v>
      </c>
      <c r="G1881" s="102" t="n">
        <f aca="false">IFERROR(F1881/INDEX($G$5:$G$34,MATCH(LOOKUP(2,1/($A$39:A1881&lt;&gt;""),$A$39:A1881),$A$5:$A$34,0)),0)</f>
        <v>0</v>
      </c>
      <c r="H1881" s="103" t="str">
        <f aca="false">IF(G1881=0,"空闲",IF(G1881&lt;=0.6,"低负荷",IF(G1881&lt;=0.85,"正常",IF(G1881&lt;=1,"满负荷","超负荷"))))</f>
        <v>空闲</v>
      </c>
      <c r="I1881" s="104" t="s">
        <v>638</v>
      </c>
      <c r="J1881" s="104"/>
      <c r="K1881" s="104"/>
      <c r="L1881" s="105" t="s">
        <v>639</v>
      </c>
    </row>
    <row r="1882" customFormat="false" ht="48" hidden="false" customHeight="true" outlineLevel="0" collapsed="false">
      <c r="A1882" s="99"/>
      <c r="B1882" s="100" t="n">
        <v>46524</v>
      </c>
      <c r="C1882" s="100" t="n">
        <v>46530</v>
      </c>
      <c r="D1882" s="99" t="s">
        <v>638</v>
      </c>
      <c r="E1882" s="99" t="n">
        <v>0</v>
      </c>
      <c r="F1882" s="101" t="n">
        <v>0</v>
      </c>
      <c r="G1882" s="102" t="n">
        <f aca="false">IFERROR(F1882/INDEX($G$5:$G$34,MATCH(LOOKUP(2,1/($A$39:A1882&lt;&gt;""),$A$39:A1882),$A$5:$A$34,0)),0)</f>
        <v>0</v>
      </c>
      <c r="H1882" s="103" t="str">
        <f aca="false">IF(G1882=0,"空闲",IF(G1882&lt;=0.6,"低负荷",IF(G1882&lt;=0.85,"正常",IF(G1882&lt;=1,"满负荷","超负荷"))))</f>
        <v>空闲</v>
      </c>
      <c r="I1882" s="104" t="s">
        <v>638</v>
      </c>
      <c r="J1882" s="104"/>
      <c r="K1882" s="104"/>
      <c r="L1882" s="105" t="s">
        <v>639</v>
      </c>
    </row>
    <row r="1883" customFormat="false" ht="48" hidden="false" customHeight="true" outlineLevel="0" collapsed="false">
      <c r="A1883" s="99"/>
      <c r="B1883" s="100" t="n">
        <v>46531</v>
      </c>
      <c r="C1883" s="100" t="n">
        <v>46537</v>
      </c>
      <c r="D1883" s="99" t="s">
        <v>638</v>
      </c>
      <c r="E1883" s="99" t="n">
        <v>0</v>
      </c>
      <c r="F1883" s="101" t="n">
        <v>0</v>
      </c>
      <c r="G1883" s="102" t="n">
        <f aca="false">IFERROR(F1883/INDEX($G$5:$G$34,MATCH(LOOKUP(2,1/($A$39:A1883&lt;&gt;""),$A$39:A1883),$A$5:$A$34,0)),0)</f>
        <v>0</v>
      </c>
      <c r="H1883" s="103" t="str">
        <f aca="false">IF(G1883=0,"空闲",IF(G1883&lt;=0.6,"低负荷",IF(G1883&lt;=0.85,"正常",IF(G1883&lt;=1,"满负荷","超负荷"))))</f>
        <v>空闲</v>
      </c>
      <c r="I1883" s="104" t="s">
        <v>638</v>
      </c>
      <c r="J1883" s="104"/>
      <c r="K1883" s="104"/>
      <c r="L1883" s="105" t="s">
        <v>639</v>
      </c>
    </row>
    <row r="1884" customFormat="false" ht="48" hidden="false" customHeight="true" outlineLevel="0" collapsed="false">
      <c r="A1884" s="99"/>
      <c r="B1884" s="100" t="n">
        <v>46538</v>
      </c>
      <c r="C1884" s="100" t="n">
        <v>46544</v>
      </c>
      <c r="D1884" s="99" t="s">
        <v>638</v>
      </c>
      <c r="E1884" s="99" t="n">
        <v>0</v>
      </c>
      <c r="F1884" s="101" t="n">
        <v>0</v>
      </c>
      <c r="G1884" s="102" t="n">
        <f aca="false">IFERROR(F1884/INDEX($G$5:$G$34,MATCH(LOOKUP(2,1/($A$39:A1884&lt;&gt;""),$A$39:A1884),$A$5:$A$34,0)),0)</f>
        <v>0</v>
      </c>
      <c r="H1884" s="103" t="str">
        <f aca="false">IF(G1884=0,"空闲",IF(G1884&lt;=0.6,"低负荷",IF(G1884&lt;=0.85,"正常",IF(G1884&lt;=1,"满负荷","超负荷"))))</f>
        <v>空闲</v>
      </c>
      <c r="I1884" s="104" t="s">
        <v>638</v>
      </c>
      <c r="J1884" s="104"/>
      <c r="K1884" s="104"/>
      <c r="L1884" s="105" t="s">
        <v>639</v>
      </c>
    </row>
    <row r="1885" customFormat="false" ht="48" hidden="false" customHeight="true" outlineLevel="0" collapsed="false">
      <c r="A1885" s="99" t="s">
        <v>494</v>
      </c>
      <c r="B1885" s="100" t="n">
        <v>46048</v>
      </c>
      <c r="C1885" s="100" t="n">
        <v>46054</v>
      </c>
      <c r="D1885" s="99" t="s">
        <v>638</v>
      </c>
      <c r="E1885" s="99" t="n">
        <v>0</v>
      </c>
      <c r="F1885" s="101" t="n">
        <v>0</v>
      </c>
      <c r="G1885" s="102" t="n">
        <f aca="false">IFERROR(F1885/INDEX($G$5:$G$34,MATCH(LOOKUP(2,1/($A$39:A1885&lt;&gt;""),$A$39:A1885),$A$5:$A$34,0)),0)</f>
        <v>0</v>
      </c>
      <c r="H1885" s="103" t="str">
        <f aca="false">IF(G1885=0,"空闲",IF(G1885&lt;=0.6,"低负荷",IF(G1885&lt;=0.85,"正常",IF(G1885&lt;=1,"满负荷","超负荷"))))</f>
        <v>空闲</v>
      </c>
      <c r="I1885" s="104" t="s">
        <v>638</v>
      </c>
      <c r="J1885" s="104"/>
      <c r="K1885" s="104"/>
      <c r="L1885" s="105" t="s">
        <v>639</v>
      </c>
    </row>
    <row r="1886" customFormat="false" ht="48" hidden="false" customHeight="true" outlineLevel="0" collapsed="false">
      <c r="A1886" s="99"/>
      <c r="B1886" s="100" t="n">
        <v>46055</v>
      </c>
      <c r="C1886" s="100" t="n">
        <v>46061</v>
      </c>
      <c r="D1886" s="99" t="s">
        <v>638</v>
      </c>
      <c r="E1886" s="99" t="n">
        <v>0</v>
      </c>
      <c r="F1886" s="101" t="n">
        <v>0</v>
      </c>
      <c r="G1886" s="102" t="n">
        <f aca="false">IFERROR(F1886/INDEX($G$5:$G$34,MATCH(LOOKUP(2,1/($A$39:A1886&lt;&gt;""),$A$39:A1886),$A$5:$A$34,0)),0)</f>
        <v>0</v>
      </c>
      <c r="H1886" s="103" t="str">
        <f aca="false">IF(G1886=0,"空闲",IF(G1886&lt;=0.6,"低负荷",IF(G1886&lt;=0.85,"正常",IF(G1886&lt;=1,"满负荷","超负荷"))))</f>
        <v>空闲</v>
      </c>
      <c r="I1886" s="104" t="s">
        <v>638</v>
      </c>
      <c r="J1886" s="104"/>
      <c r="K1886" s="104"/>
      <c r="L1886" s="105" t="s">
        <v>639</v>
      </c>
    </row>
    <row r="1887" customFormat="false" ht="48" hidden="false" customHeight="true" outlineLevel="0" collapsed="false">
      <c r="A1887" s="99"/>
      <c r="B1887" s="100" t="n">
        <v>46062</v>
      </c>
      <c r="C1887" s="100" t="n">
        <v>46068</v>
      </c>
      <c r="D1887" s="99" t="s">
        <v>638</v>
      </c>
      <c r="E1887" s="99" t="n">
        <v>0</v>
      </c>
      <c r="F1887" s="101" t="n">
        <v>0</v>
      </c>
      <c r="G1887" s="102" t="n">
        <f aca="false">IFERROR(F1887/INDEX($G$5:$G$34,MATCH(LOOKUP(2,1/($A$39:A1887&lt;&gt;""),$A$39:A1887),$A$5:$A$34,0)),0)</f>
        <v>0</v>
      </c>
      <c r="H1887" s="103" t="str">
        <f aca="false">IF(G1887=0,"空闲",IF(G1887&lt;=0.6,"低负荷",IF(G1887&lt;=0.85,"正常",IF(G1887&lt;=1,"满负荷","超负荷"))))</f>
        <v>空闲</v>
      </c>
      <c r="I1887" s="104" t="s">
        <v>638</v>
      </c>
      <c r="J1887" s="104"/>
      <c r="K1887" s="104"/>
      <c r="L1887" s="105" t="s">
        <v>639</v>
      </c>
    </row>
    <row r="1888" customFormat="false" ht="48" hidden="false" customHeight="true" outlineLevel="0" collapsed="false">
      <c r="A1888" s="99"/>
      <c r="B1888" s="100" t="n">
        <v>46069</v>
      </c>
      <c r="C1888" s="100" t="n">
        <v>46075</v>
      </c>
      <c r="D1888" s="99" t="s">
        <v>638</v>
      </c>
      <c r="E1888" s="99" t="n">
        <v>0</v>
      </c>
      <c r="F1888" s="101" t="n">
        <v>0</v>
      </c>
      <c r="G1888" s="102" t="n">
        <f aca="false">IFERROR(F1888/INDEX($G$5:$G$34,MATCH(LOOKUP(2,1/($A$39:A1888&lt;&gt;""),$A$39:A1888),$A$5:$A$34,0)),0)</f>
        <v>0</v>
      </c>
      <c r="H1888" s="103" t="str">
        <f aca="false">IF(G1888=0,"空闲",IF(G1888&lt;=0.6,"低负荷",IF(G1888&lt;=0.85,"正常",IF(G1888&lt;=1,"满负荷","超负荷"))))</f>
        <v>空闲</v>
      </c>
      <c r="I1888" s="104" t="s">
        <v>638</v>
      </c>
      <c r="J1888" s="104"/>
      <c r="K1888" s="104"/>
      <c r="L1888" s="105" t="s">
        <v>639</v>
      </c>
    </row>
    <row r="1889" customFormat="false" ht="48" hidden="false" customHeight="true" outlineLevel="0" collapsed="false">
      <c r="A1889" s="99"/>
      <c r="B1889" s="100" t="n">
        <v>46076</v>
      </c>
      <c r="C1889" s="100" t="n">
        <v>46082</v>
      </c>
      <c r="D1889" s="99" t="s">
        <v>638</v>
      </c>
      <c r="E1889" s="99" t="n">
        <v>0</v>
      </c>
      <c r="F1889" s="101" t="n">
        <v>0</v>
      </c>
      <c r="G1889" s="102" t="n">
        <f aca="false">IFERROR(F1889/INDEX($G$5:$G$34,MATCH(LOOKUP(2,1/($A$39:A1889&lt;&gt;""),$A$39:A1889),$A$5:$A$34,0)),0)</f>
        <v>0</v>
      </c>
      <c r="H1889" s="103" t="str">
        <f aca="false">IF(G1889=0,"空闲",IF(G1889&lt;=0.6,"低负荷",IF(G1889&lt;=0.85,"正常",IF(G1889&lt;=1,"满负荷","超负荷"))))</f>
        <v>空闲</v>
      </c>
      <c r="I1889" s="104" t="s">
        <v>638</v>
      </c>
      <c r="J1889" s="104"/>
      <c r="K1889" s="104"/>
      <c r="L1889" s="105" t="s">
        <v>639</v>
      </c>
    </row>
    <row r="1890" customFormat="false" ht="48" hidden="false" customHeight="true" outlineLevel="0" collapsed="false">
      <c r="A1890" s="99"/>
      <c r="B1890" s="100" t="n">
        <v>46083</v>
      </c>
      <c r="C1890" s="100" t="n">
        <v>46089</v>
      </c>
      <c r="D1890" s="99" t="s">
        <v>638</v>
      </c>
      <c r="E1890" s="99" t="n">
        <v>0</v>
      </c>
      <c r="F1890" s="101" t="n">
        <v>0</v>
      </c>
      <c r="G1890" s="102" t="n">
        <f aca="false">IFERROR(F1890/INDEX($G$5:$G$34,MATCH(LOOKUP(2,1/($A$39:A1890&lt;&gt;""),$A$39:A1890),$A$5:$A$34,0)),0)</f>
        <v>0</v>
      </c>
      <c r="H1890" s="103" t="str">
        <f aca="false">IF(G1890=0,"空闲",IF(G1890&lt;=0.6,"低负荷",IF(G1890&lt;=0.85,"正常",IF(G1890&lt;=1,"满负荷","超负荷"))))</f>
        <v>空闲</v>
      </c>
      <c r="I1890" s="104" t="s">
        <v>638</v>
      </c>
      <c r="J1890" s="104"/>
      <c r="K1890" s="104"/>
      <c r="L1890" s="105" t="s">
        <v>639</v>
      </c>
    </row>
    <row r="1891" customFormat="false" ht="48" hidden="false" customHeight="true" outlineLevel="0" collapsed="false">
      <c r="A1891" s="99"/>
      <c r="B1891" s="100" t="n">
        <v>46090</v>
      </c>
      <c r="C1891" s="100" t="n">
        <v>46096</v>
      </c>
      <c r="D1891" s="99" t="s">
        <v>638</v>
      </c>
      <c r="E1891" s="99" t="n">
        <v>0</v>
      </c>
      <c r="F1891" s="101" t="n">
        <v>0</v>
      </c>
      <c r="G1891" s="102" t="n">
        <f aca="false">IFERROR(F1891/INDEX($G$5:$G$34,MATCH(LOOKUP(2,1/($A$39:A1891&lt;&gt;""),$A$39:A1891),$A$5:$A$34,0)),0)</f>
        <v>0</v>
      </c>
      <c r="H1891" s="103" t="str">
        <f aca="false">IF(G1891=0,"空闲",IF(G1891&lt;=0.6,"低负荷",IF(G1891&lt;=0.85,"正常",IF(G1891&lt;=1,"满负荷","超负荷"))))</f>
        <v>空闲</v>
      </c>
      <c r="I1891" s="104" t="s">
        <v>638</v>
      </c>
      <c r="J1891" s="104"/>
      <c r="K1891" s="104"/>
      <c r="L1891" s="105" t="s">
        <v>639</v>
      </c>
    </row>
    <row r="1892" customFormat="false" ht="48" hidden="false" customHeight="true" outlineLevel="0" collapsed="false">
      <c r="A1892" s="99"/>
      <c r="B1892" s="100" t="n">
        <v>46097</v>
      </c>
      <c r="C1892" s="100" t="n">
        <v>46103</v>
      </c>
      <c r="D1892" s="99" t="s">
        <v>638</v>
      </c>
      <c r="E1892" s="99" t="n">
        <v>0</v>
      </c>
      <c r="F1892" s="101" t="n">
        <v>0</v>
      </c>
      <c r="G1892" s="102" t="n">
        <f aca="false">IFERROR(F1892/INDEX($G$5:$G$34,MATCH(LOOKUP(2,1/($A$39:A1892&lt;&gt;""),$A$39:A1892),$A$5:$A$34,0)),0)</f>
        <v>0</v>
      </c>
      <c r="H1892" s="103" t="str">
        <f aca="false">IF(G1892=0,"空闲",IF(G1892&lt;=0.6,"低负荷",IF(G1892&lt;=0.85,"正常",IF(G1892&lt;=1,"满负荷","超负荷"))))</f>
        <v>空闲</v>
      </c>
      <c r="I1892" s="104" t="s">
        <v>638</v>
      </c>
      <c r="J1892" s="104"/>
      <c r="K1892" s="104"/>
      <c r="L1892" s="105" t="s">
        <v>639</v>
      </c>
    </row>
    <row r="1893" customFormat="false" ht="48" hidden="false" customHeight="true" outlineLevel="0" collapsed="false">
      <c r="A1893" s="99"/>
      <c r="B1893" s="100" t="n">
        <v>46104</v>
      </c>
      <c r="C1893" s="100" t="n">
        <v>46110</v>
      </c>
      <c r="D1893" s="99" t="s">
        <v>638</v>
      </c>
      <c r="E1893" s="99" t="n">
        <v>0</v>
      </c>
      <c r="F1893" s="101" t="n">
        <v>0</v>
      </c>
      <c r="G1893" s="102" t="n">
        <f aca="false">IFERROR(F1893/INDEX($G$5:$G$34,MATCH(LOOKUP(2,1/($A$39:A1893&lt;&gt;""),$A$39:A1893),$A$5:$A$34,0)),0)</f>
        <v>0</v>
      </c>
      <c r="H1893" s="103" t="str">
        <f aca="false">IF(G1893=0,"空闲",IF(G1893&lt;=0.6,"低负荷",IF(G1893&lt;=0.85,"正常",IF(G1893&lt;=1,"满负荷","超负荷"))))</f>
        <v>空闲</v>
      </c>
      <c r="I1893" s="104" t="s">
        <v>638</v>
      </c>
      <c r="J1893" s="104"/>
      <c r="K1893" s="104"/>
      <c r="L1893" s="105" t="s">
        <v>639</v>
      </c>
    </row>
    <row r="1894" customFormat="false" ht="48" hidden="false" customHeight="true" outlineLevel="0" collapsed="false">
      <c r="A1894" s="99"/>
      <c r="B1894" s="100" t="n">
        <v>46111</v>
      </c>
      <c r="C1894" s="100" t="n">
        <v>46117</v>
      </c>
      <c r="D1894" s="99" t="s">
        <v>638</v>
      </c>
      <c r="E1894" s="99" t="n">
        <v>0</v>
      </c>
      <c r="F1894" s="101" t="n">
        <v>0</v>
      </c>
      <c r="G1894" s="102" t="n">
        <f aca="false">IFERROR(F1894/INDEX($G$5:$G$34,MATCH(LOOKUP(2,1/($A$39:A1894&lt;&gt;""),$A$39:A1894),$A$5:$A$34,0)),0)</f>
        <v>0</v>
      </c>
      <c r="H1894" s="103" t="str">
        <f aca="false">IF(G1894=0,"空闲",IF(G1894&lt;=0.6,"低负荷",IF(G1894&lt;=0.85,"正常",IF(G1894&lt;=1,"满负荷","超负荷"))))</f>
        <v>空闲</v>
      </c>
      <c r="I1894" s="104" t="s">
        <v>638</v>
      </c>
      <c r="J1894" s="104"/>
      <c r="K1894" s="104"/>
      <c r="L1894" s="105" t="s">
        <v>639</v>
      </c>
    </row>
    <row r="1895" customFormat="false" ht="48" hidden="false" customHeight="true" outlineLevel="0" collapsed="false">
      <c r="A1895" s="99"/>
      <c r="B1895" s="100" t="n">
        <v>46118</v>
      </c>
      <c r="C1895" s="100" t="n">
        <v>46124</v>
      </c>
      <c r="D1895" s="99" t="s">
        <v>638</v>
      </c>
      <c r="E1895" s="99" t="n">
        <v>0</v>
      </c>
      <c r="F1895" s="101" t="n">
        <v>0</v>
      </c>
      <c r="G1895" s="102" t="n">
        <f aca="false">IFERROR(F1895/INDEX($G$5:$G$34,MATCH(LOOKUP(2,1/($A$39:A1895&lt;&gt;""),$A$39:A1895),$A$5:$A$34,0)),0)</f>
        <v>0</v>
      </c>
      <c r="H1895" s="103" t="str">
        <f aca="false">IF(G1895=0,"空闲",IF(G1895&lt;=0.6,"低负荷",IF(G1895&lt;=0.85,"正常",IF(G1895&lt;=1,"满负荷","超负荷"))))</f>
        <v>空闲</v>
      </c>
      <c r="I1895" s="104" t="s">
        <v>638</v>
      </c>
      <c r="J1895" s="104"/>
      <c r="K1895" s="104"/>
      <c r="L1895" s="105" t="s">
        <v>639</v>
      </c>
    </row>
    <row r="1896" customFormat="false" ht="48" hidden="false" customHeight="true" outlineLevel="0" collapsed="false">
      <c r="A1896" s="99"/>
      <c r="B1896" s="100" t="n">
        <v>46125</v>
      </c>
      <c r="C1896" s="100" t="n">
        <v>46131</v>
      </c>
      <c r="D1896" s="99" t="s">
        <v>638</v>
      </c>
      <c r="E1896" s="99" t="n">
        <v>0</v>
      </c>
      <c r="F1896" s="101" t="n">
        <v>0</v>
      </c>
      <c r="G1896" s="102" t="n">
        <f aca="false">IFERROR(F1896/INDEX($G$5:$G$34,MATCH(LOOKUP(2,1/($A$39:A1896&lt;&gt;""),$A$39:A1896),$A$5:$A$34,0)),0)</f>
        <v>0</v>
      </c>
      <c r="H1896" s="103" t="str">
        <f aca="false">IF(G1896=0,"空闲",IF(G1896&lt;=0.6,"低负荷",IF(G1896&lt;=0.85,"正常",IF(G1896&lt;=1,"满负荷","超负荷"))))</f>
        <v>空闲</v>
      </c>
      <c r="I1896" s="104" t="s">
        <v>638</v>
      </c>
      <c r="J1896" s="104"/>
      <c r="K1896" s="104"/>
      <c r="L1896" s="105" t="s">
        <v>639</v>
      </c>
    </row>
    <row r="1897" customFormat="false" ht="48" hidden="false" customHeight="true" outlineLevel="0" collapsed="false">
      <c r="A1897" s="99"/>
      <c r="B1897" s="100" t="n">
        <v>46132</v>
      </c>
      <c r="C1897" s="100" t="n">
        <v>46138</v>
      </c>
      <c r="D1897" s="99" t="s">
        <v>638</v>
      </c>
      <c r="E1897" s="99" t="n">
        <v>0</v>
      </c>
      <c r="F1897" s="101" t="n">
        <v>0</v>
      </c>
      <c r="G1897" s="102" t="n">
        <f aca="false">IFERROR(F1897/INDEX($G$5:$G$34,MATCH(LOOKUP(2,1/($A$39:A1897&lt;&gt;""),$A$39:A1897),$A$5:$A$34,0)),0)</f>
        <v>0</v>
      </c>
      <c r="H1897" s="103" t="str">
        <f aca="false">IF(G1897=0,"空闲",IF(G1897&lt;=0.6,"低负荷",IF(G1897&lt;=0.85,"正常",IF(G1897&lt;=1,"满负荷","超负荷"))))</f>
        <v>空闲</v>
      </c>
      <c r="I1897" s="104" t="s">
        <v>638</v>
      </c>
      <c r="J1897" s="104"/>
      <c r="K1897" s="104"/>
      <c r="L1897" s="105" t="s">
        <v>639</v>
      </c>
    </row>
    <row r="1898" customFormat="false" ht="48" hidden="false" customHeight="true" outlineLevel="0" collapsed="false">
      <c r="A1898" s="99"/>
      <c r="B1898" s="100" t="n">
        <v>46139</v>
      </c>
      <c r="C1898" s="100" t="n">
        <v>46145</v>
      </c>
      <c r="D1898" s="99" t="s">
        <v>638</v>
      </c>
      <c r="E1898" s="99" t="n">
        <v>0</v>
      </c>
      <c r="F1898" s="101" t="n">
        <v>0</v>
      </c>
      <c r="G1898" s="102" t="n">
        <f aca="false">IFERROR(F1898/INDEX($G$5:$G$34,MATCH(LOOKUP(2,1/($A$39:A1898&lt;&gt;""),$A$39:A1898),$A$5:$A$34,0)),0)</f>
        <v>0</v>
      </c>
      <c r="H1898" s="103" t="str">
        <f aca="false">IF(G1898=0,"空闲",IF(G1898&lt;=0.6,"低负荷",IF(G1898&lt;=0.85,"正常",IF(G1898&lt;=1,"满负荷","超负荷"))))</f>
        <v>空闲</v>
      </c>
      <c r="I1898" s="104" t="s">
        <v>638</v>
      </c>
      <c r="J1898" s="104"/>
      <c r="K1898" s="104"/>
      <c r="L1898" s="105" t="s">
        <v>639</v>
      </c>
    </row>
    <row r="1899" customFormat="false" ht="48" hidden="false" customHeight="true" outlineLevel="0" collapsed="false">
      <c r="A1899" s="99"/>
      <c r="B1899" s="100" t="n">
        <v>46146</v>
      </c>
      <c r="C1899" s="100" t="n">
        <v>46152</v>
      </c>
      <c r="D1899" s="99" t="s">
        <v>638</v>
      </c>
      <c r="E1899" s="99" t="n">
        <v>0</v>
      </c>
      <c r="F1899" s="101" t="n">
        <v>0</v>
      </c>
      <c r="G1899" s="102" t="n">
        <f aca="false">IFERROR(F1899/INDEX($G$5:$G$34,MATCH(LOOKUP(2,1/($A$39:A1899&lt;&gt;""),$A$39:A1899),$A$5:$A$34,0)),0)</f>
        <v>0</v>
      </c>
      <c r="H1899" s="103" t="str">
        <f aca="false">IF(G1899=0,"空闲",IF(G1899&lt;=0.6,"低负荷",IF(G1899&lt;=0.85,"正常",IF(G1899&lt;=1,"满负荷","超负荷"))))</f>
        <v>空闲</v>
      </c>
      <c r="I1899" s="104" t="s">
        <v>638</v>
      </c>
      <c r="J1899" s="104"/>
      <c r="K1899" s="104"/>
      <c r="L1899" s="105" t="s">
        <v>639</v>
      </c>
    </row>
    <row r="1900" customFormat="false" ht="48" hidden="false" customHeight="true" outlineLevel="0" collapsed="false">
      <c r="A1900" s="99"/>
      <c r="B1900" s="100" t="n">
        <v>46153</v>
      </c>
      <c r="C1900" s="100" t="n">
        <v>46159</v>
      </c>
      <c r="D1900" s="99" t="s">
        <v>638</v>
      </c>
      <c r="E1900" s="99" t="n">
        <v>0</v>
      </c>
      <c r="F1900" s="101" t="n">
        <v>0</v>
      </c>
      <c r="G1900" s="102" t="n">
        <f aca="false">IFERROR(F1900/INDEX($G$5:$G$34,MATCH(LOOKUP(2,1/($A$39:A1900&lt;&gt;""),$A$39:A1900),$A$5:$A$34,0)),0)</f>
        <v>0</v>
      </c>
      <c r="H1900" s="103" t="str">
        <f aca="false">IF(G1900=0,"空闲",IF(G1900&lt;=0.6,"低负荷",IF(G1900&lt;=0.85,"正常",IF(G1900&lt;=1,"满负荷","超负荷"))))</f>
        <v>空闲</v>
      </c>
      <c r="I1900" s="104" t="s">
        <v>638</v>
      </c>
      <c r="J1900" s="104"/>
      <c r="K1900" s="104"/>
      <c r="L1900" s="105" t="s">
        <v>639</v>
      </c>
    </row>
    <row r="1901" customFormat="false" ht="48" hidden="false" customHeight="true" outlineLevel="0" collapsed="false">
      <c r="A1901" s="99"/>
      <c r="B1901" s="100" t="n">
        <v>46160</v>
      </c>
      <c r="C1901" s="100" t="n">
        <v>46166</v>
      </c>
      <c r="D1901" s="99" t="s">
        <v>638</v>
      </c>
      <c r="E1901" s="99" t="n">
        <v>0</v>
      </c>
      <c r="F1901" s="101" t="n">
        <v>0</v>
      </c>
      <c r="G1901" s="102" t="n">
        <f aca="false">IFERROR(F1901/INDEX($G$5:$G$34,MATCH(LOOKUP(2,1/($A$39:A1901&lt;&gt;""),$A$39:A1901),$A$5:$A$34,0)),0)</f>
        <v>0</v>
      </c>
      <c r="H1901" s="103" t="str">
        <f aca="false">IF(G1901=0,"空闲",IF(G1901&lt;=0.6,"低负荷",IF(G1901&lt;=0.85,"正常",IF(G1901&lt;=1,"满负荷","超负荷"))))</f>
        <v>空闲</v>
      </c>
      <c r="I1901" s="104" t="s">
        <v>638</v>
      </c>
      <c r="J1901" s="104"/>
      <c r="K1901" s="104"/>
      <c r="L1901" s="105" t="s">
        <v>639</v>
      </c>
    </row>
    <row r="1902" customFormat="false" ht="48" hidden="false" customHeight="true" outlineLevel="0" collapsed="false">
      <c r="A1902" s="99"/>
      <c r="B1902" s="100" t="n">
        <v>46167</v>
      </c>
      <c r="C1902" s="100" t="n">
        <v>46173</v>
      </c>
      <c r="D1902" s="99" t="s">
        <v>638</v>
      </c>
      <c r="E1902" s="99" t="n">
        <v>0</v>
      </c>
      <c r="F1902" s="101" t="n">
        <v>0</v>
      </c>
      <c r="G1902" s="102" t="n">
        <f aca="false">IFERROR(F1902/INDEX($G$5:$G$34,MATCH(LOOKUP(2,1/($A$39:A1902&lt;&gt;""),$A$39:A1902),$A$5:$A$34,0)),0)</f>
        <v>0</v>
      </c>
      <c r="H1902" s="103" t="str">
        <f aca="false">IF(G1902=0,"空闲",IF(G1902&lt;=0.6,"低负荷",IF(G1902&lt;=0.85,"正常",IF(G1902&lt;=1,"满负荷","超负荷"))))</f>
        <v>空闲</v>
      </c>
      <c r="I1902" s="104" t="s">
        <v>638</v>
      </c>
      <c r="J1902" s="104"/>
      <c r="K1902" s="104"/>
      <c r="L1902" s="105" t="s">
        <v>639</v>
      </c>
    </row>
    <row r="1903" customFormat="false" ht="48" hidden="false" customHeight="true" outlineLevel="0" collapsed="false">
      <c r="A1903" s="99"/>
      <c r="B1903" s="100" t="n">
        <v>46174</v>
      </c>
      <c r="C1903" s="100" t="n">
        <v>46180</v>
      </c>
      <c r="D1903" s="99" t="s">
        <v>638</v>
      </c>
      <c r="E1903" s="99" t="n">
        <v>0</v>
      </c>
      <c r="F1903" s="101" t="n">
        <v>0</v>
      </c>
      <c r="G1903" s="102" t="n">
        <f aca="false">IFERROR(F1903/INDEX($G$5:$G$34,MATCH(LOOKUP(2,1/($A$39:A1903&lt;&gt;""),$A$39:A1903),$A$5:$A$34,0)),0)</f>
        <v>0</v>
      </c>
      <c r="H1903" s="103" t="str">
        <f aca="false">IF(G1903=0,"空闲",IF(G1903&lt;=0.6,"低负荷",IF(G1903&lt;=0.85,"正常",IF(G1903&lt;=1,"满负荷","超负荷"))))</f>
        <v>空闲</v>
      </c>
      <c r="I1903" s="104" t="s">
        <v>638</v>
      </c>
      <c r="J1903" s="104"/>
      <c r="K1903" s="104"/>
      <c r="L1903" s="105" t="s">
        <v>639</v>
      </c>
    </row>
    <row r="1904" customFormat="false" ht="48" hidden="false" customHeight="true" outlineLevel="0" collapsed="false">
      <c r="A1904" s="99"/>
      <c r="B1904" s="100" t="n">
        <v>46181</v>
      </c>
      <c r="C1904" s="100" t="n">
        <v>46187</v>
      </c>
      <c r="D1904" s="99" t="s">
        <v>638</v>
      </c>
      <c r="E1904" s="99" t="n">
        <v>0</v>
      </c>
      <c r="F1904" s="101" t="n">
        <v>0</v>
      </c>
      <c r="G1904" s="102" t="n">
        <f aca="false">IFERROR(F1904/INDEX($G$5:$G$34,MATCH(LOOKUP(2,1/($A$39:A1904&lt;&gt;""),$A$39:A1904),$A$5:$A$34,0)),0)</f>
        <v>0</v>
      </c>
      <c r="H1904" s="103" t="str">
        <f aca="false">IF(G1904=0,"空闲",IF(G1904&lt;=0.6,"低负荷",IF(G1904&lt;=0.85,"正常",IF(G1904&lt;=1,"满负荷","超负荷"))))</f>
        <v>空闲</v>
      </c>
      <c r="I1904" s="104" t="s">
        <v>638</v>
      </c>
      <c r="J1904" s="104"/>
      <c r="K1904" s="104"/>
      <c r="L1904" s="105" t="s">
        <v>639</v>
      </c>
    </row>
    <row r="1905" customFormat="false" ht="48" hidden="false" customHeight="true" outlineLevel="0" collapsed="false">
      <c r="A1905" s="99"/>
      <c r="B1905" s="100" t="n">
        <v>46188</v>
      </c>
      <c r="C1905" s="100" t="n">
        <v>46194</v>
      </c>
      <c r="D1905" s="99" t="s">
        <v>638</v>
      </c>
      <c r="E1905" s="99" t="n">
        <v>0</v>
      </c>
      <c r="F1905" s="101" t="n">
        <v>0</v>
      </c>
      <c r="G1905" s="102" t="n">
        <f aca="false">IFERROR(F1905/INDEX($G$5:$G$34,MATCH(LOOKUP(2,1/($A$39:A1905&lt;&gt;""),$A$39:A1905),$A$5:$A$34,0)),0)</f>
        <v>0</v>
      </c>
      <c r="H1905" s="103" t="str">
        <f aca="false">IF(G1905=0,"空闲",IF(G1905&lt;=0.6,"低负荷",IF(G1905&lt;=0.85,"正常",IF(G1905&lt;=1,"满负荷","超负荷"))))</f>
        <v>空闲</v>
      </c>
      <c r="I1905" s="104" t="s">
        <v>638</v>
      </c>
      <c r="J1905" s="104"/>
      <c r="K1905" s="104"/>
      <c r="L1905" s="105" t="s">
        <v>639</v>
      </c>
    </row>
    <row r="1906" customFormat="false" ht="48" hidden="false" customHeight="true" outlineLevel="0" collapsed="false">
      <c r="A1906" s="99"/>
      <c r="B1906" s="100" t="n">
        <v>46195</v>
      </c>
      <c r="C1906" s="100" t="n">
        <v>46201</v>
      </c>
      <c r="D1906" s="99" t="s">
        <v>638</v>
      </c>
      <c r="E1906" s="99" t="n">
        <v>0</v>
      </c>
      <c r="F1906" s="101" t="n">
        <v>0</v>
      </c>
      <c r="G1906" s="102" t="n">
        <f aca="false">IFERROR(F1906/INDEX($G$5:$G$34,MATCH(LOOKUP(2,1/($A$39:A1906&lt;&gt;""),$A$39:A1906),$A$5:$A$34,0)),0)</f>
        <v>0</v>
      </c>
      <c r="H1906" s="103" t="str">
        <f aca="false">IF(G1906=0,"空闲",IF(G1906&lt;=0.6,"低负荷",IF(G1906&lt;=0.85,"正常",IF(G1906&lt;=1,"满负荷","超负荷"))))</f>
        <v>空闲</v>
      </c>
      <c r="I1906" s="104" t="s">
        <v>638</v>
      </c>
      <c r="J1906" s="104"/>
      <c r="K1906" s="104"/>
      <c r="L1906" s="105" t="s">
        <v>639</v>
      </c>
    </row>
    <row r="1907" customFormat="false" ht="48" hidden="false" customHeight="true" outlineLevel="0" collapsed="false">
      <c r="A1907" s="99"/>
      <c r="B1907" s="100" t="n">
        <v>46202</v>
      </c>
      <c r="C1907" s="100" t="n">
        <v>46208</v>
      </c>
      <c r="D1907" s="99" t="s">
        <v>638</v>
      </c>
      <c r="E1907" s="99" t="n">
        <v>0</v>
      </c>
      <c r="F1907" s="101" t="n">
        <v>0</v>
      </c>
      <c r="G1907" s="102" t="n">
        <f aca="false">IFERROR(F1907/INDEX($G$5:$G$34,MATCH(LOOKUP(2,1/($A$39:A1907&lt;&gt;""),$A$39:A1907),$A$5:$A$34,0)),0)</f>
        <v>0</v>
      </c>
      <c r="H1907" s="103" t="str">
        <f aca="false">IF(G1907=0,"空闲",IF(G1907&lt;=0.6,"低负荷",IF(G1907&lt;=0.85,"正常",IF(G1907&lt;=1,"满负荷","超负荷"))))</f>
        <v>空闲</v>
      </c>
      <c r="I1907" s="104" t="s">
        <v>638</v>
      </c>
      <c r="J1907" s="104"/>
      <c r="K1907" s="104"/>
      <c r="L1907" s="105" t="s">
        <v>639</v>
      </c>
    </row>
    <row r="1908" customFormat="false" ht="48" hidden="false" customHeight="true" outlineLevel="0" collapsed="false">
      <c r="A1908" s="99"/>
      <c r="B1908" s="100" t="n">
        <v>46209</v>
      </c>
      <c r="C1908" s="100" t="n">
        <v>46215</v>
      </c>
      <c r="D1908" s="99" t="s">
        <v>638</v>
      </c>
      <c r="E1908" s="99" t="n">
        <v>0</v>
      </c>
      <c r="F1908" s="101" t="n">
        <v>0</v>
      </c>
      <c r="G1908" s="102" t="n">
        <f aca="false">IFERROR(F1908/INDEX($G$5:$G$34,MATCH(LOOKUP(2,1/($A$39:A1908&lt;&gt;""),$A$39:A1908),$A$5:$A$34,0)),0)</f>
        <v>0</v>
      </c>
      <c r="H1908" s="103" t="str">
        <f aca="false">IF(G1908=0,"空闲",IF(G1908&lt;=0.6,"低负荷",IF(G1908&lt;=0.85,"正常",IF(G1908&lt;=1,"满负荷","超负荷"))))</f>
        <v>空闲</v>
      </c>
      <c r="I1908" s="104" t="s">
        <v>638</v>
      </c>
      <c r="J1908" s="104"/>
      <c r="K1908" s="104"/>
      <c r="L1908" s="105" t="s">
        <v>639</v>
      </c>
    </row>
    <row r="1909" customFormat="false" ht="48" hidden="false" customHeight="true" outlineLevel="0" collapsed="false">
      <c r="A1909" s="99"/>
      <c r="B1909" s="100" t="n">
        <v>46216</v>
      </c>
      <c r="C1909" s="100" t="n">
        <v>46222</v>
      </c>
      <c r="D1909" s="99" t="s">
        <v>638</v>
      </c>
      <c r="E1909" s="99" t="n">
        <v>0</v>
      </c>
      <c r="F1909" s="101" t="n">
        <v>0</v>
      </c>
      <c r="G1909" s="102" t="n">
        <f aca="false">IFERROR(F1909/INDEX($G$5:$G$34,MATCH(LOOKUP(2,1/($A$39:A1909&lt;&gt;""),$A$39:A1909),$A$5:$A$34,0)),0)</f>
        <v>0</v>
      </c>
      <c r="H1909" s="103" t="str">
        <f aca="false">IF(G1909=0,"空闲",IF(G1909&lt;=0.6,"低负荷",IF(G1909&lt;=0.85,"正常",IF(G1909&lt;=1,"满负荷","超负荷"))))</f>
        <v>空闲</v>
      </c>
      <c r="I1909" s="104" t="s">
        <v>638</v>
      </c>
      <c r="J1909" s="104"/>
      <c r="K1909" s="104"/>
      <c r="L1909" s="105" t="s">
        <v>639</v>
      </c>
    </row>
    <row r="1910" customFormat="false" ht="48" hidden="false" customHeight="true" outlineLevel="0" collapsed="false">
      <c r="A1910" s="99"/>
      <c r="B1910" s="100" t="n">
        <v>46223</v>
      </c>
      <c r="C1910" s="100" t="n">
        <v>46229</v>
      </c>
      <c r="D1910" s="99" t="s">
        <v>638</v>
      </c>
      <c r="E1910" s="99" t="n">
        <v>0</v>
      </c>
      <c r="F1910" s="101" t="n">
        <v>0</v>
      </c>
      <c r="G1910" s="102" t="n">
        <f aca="false">IFERROR(F1910/INDEX($G$5:$G$34,MATCH(LOOKUP(2,1/($A$39:A1910&lt;&gt;""),$A$39:A1910),$A$5:$A$34,0)),0)</f>
        <v>0</v>
      </c>
      <c r="H1910" s="103" t="str">
        <f aca="false">IF(G1910=0,"空闲",IF(G1910&lt;=0.6,"低负荷",IF(G1910&lt;=0.85,"正常",IF(G1910&lt;=1,"满负荷","超负荷"))))</f>
        <v>空闲</v>
      </c>
      <c r="I1910" s="104" t="s">
        <v>638</v>
      </c>
      <c r="J1910" s="104"/>
      <c r="K1910" s="104"/>
      <c r="L1910" s="105" t="s">
        <v>639</v>
      </c>
    </row>
    <row r="1911" customFormat="false" ht="48" hidden="false" customHeight="true" outlineLevel="0" collapsed="false">
      <c r="A1911" s="99"/>
      <c r="B1911" s="100" t="n">
        <v>46230</v>
      </c>
      <c r="C1911" s="100" t="n">
        <v>46236</v>
      </c>
      <c r="D1911" s="99" t="s">
        <v>638</v>
      </c>
      <c r="E1911" s="99" t="n">
        <v>0</v>
      </c>
      <c r="F1911" s="101" t="n">
        <v>0</v>
      </c>
      <c r="G1911" s="102" t="n">
        <f aca="false">IFERROR(F1911/INDEX($G$5:$G$34,MATCH(LOOKUP(2,1/($A$39:A1911&lt;&gt;""),$A$39:A1911),$A$5:$A$34,0)),0)</f>
        <v>0</v>
      </c>
      <c r="H1911" s="103" t="str">
        <f aca="false">IF(G1911=0,"空闲",IF(G1911&lt;=0.6,"低负荷",IF(G1911&lt;=0.85,"正常",IF(G1911&lt;=1,"满负荷","超负荷"))))</f>
        <v>空闲</v>
      </c>
      <c r="I1911" s="104" t="s">
        <v>638</v>
      </c>
      <c r="J1911" s="104"/>
      <c r="K1911" s="104"/>
      <c r="L1911" s="105" t="s">
        <v>639</v>
      </c>
    </row>
    <row r="1912" customFormat="false" ht="48" hidden="false" customHeight="true" outlineLevel="0" collapsed="false">
      <c r="A1912" s="99"/>
      <c r="B1912" s="100" t="n">
        <v>46237</v>
      </c>
      <c r="C1912" s="100" t="n">
        <v>46243</v>
      </c>
      <c r="D1912" s="99" t="s">
        <v>640</v>
      </c>
      <c r="E1912" s="99" t="n">
        <v>1</v>
      </c>
      <c r="F1912" s="101" t="n">
        <v>40</v>
      </c>
      <c r="G1912" s="102" t="n">
        <f aca="false">IFERROR(F1912/INDEX($G$5:$G$34,MATCH(LOOKUP(2,1/($A$39:A1912&lt;&gt;""),$A$39:A1912),$A$5:$A$34,0)),0)</f>
        <v>1</v>
      </c>
      <c r="H1912" s="103" t="str">
        <f aca="false">IF(G1912=0,"空闲",IF(G1912&lt;=0.6,"低负荷",IF(G1912&lt;=0.85,"正常",IF(G1912&lt;=1,"满负荷","超负荷"))))</f>
        <v>满负荷</v>
      </c>
      <c r="I1912" s="106" t="s">
        <v>757</v>
      </c>
      <c r="J1912" s="106"/>
      <c r="K1912" s="106"/>
      <c r="L1912" s="105" t="s">
        <v>642</v>
      </c>
    </row>
    <row r="1913" customFormat="false" ht="48" hidden="false" customHeight="true" outlineLevel="0" collapsed="false">
      <c r="A1913" s="99"/>
      <c r="B1913" s="100" t="n">
        <v>46244</v>
      </c>
      <c r="C1913" s="100" t="n">
        <v>46250</v>
      </c>
      <c r="D1913" s="99" t="s">
        <v>640</v>
      </c>
      <c r="E1913" s="99" t="n">
        <v>1</v>
      </c>
      <c r="F1913" s="101" t="n">
        <v>40</v>
      </c>
      <c r="G1913" s="102" t="n">
        <f aca="false">IFERROR(F1913/INDEX($G$5:$G$34,MATCH(LOOKUP(2,1/($A$39:A1913&lt;&gt;""),$A$39:A1913),$A$5:$A$34,0)),0)</f>
        <v>1</v>
      </c>
      <c r="H1913" s="103" t="str">
        <f aca="false">IF(G1913=0,"空闲",IF(G1913&lt;=0.6,"低负荷",IF(G1913&lt;=0.85,"正常",IF(G1913&lt;=1,"满负荷","超负荷"))))</f>
        <v>满负荷</v>
      </c>
      <c r="I1913" s="106" t="s">
        <v>757</v>
      </c>
      <c r="J1913" s="106"/>
      <c r="K1913" s="106"/>
      <c r="L1913" s="105" t="s">
        <v>642</v>
      </c>
    </row>
    <row r="1914" customFormat="false" ht="48" hidden="false" customHeight="true" outlineLevel="0" collapsed="false">
      <c r="A1914" s="99"/>
      <c r="B1914" s="100" t="n">
        <v>46251</v>
      </c>
      <c r="C1914" s="100" t="n">
        <v>46257</v>
      </c>
      <c r="D1914" s="99" t="s">
        <v>640</v>
      </c>
      <c r="E1914" s="99" t="n">
        <v>1</v>
      </c>
      <c r="F1914" s="101" t="n">
        <v>40</v>
      </c>
      <c r="G1914" s="102" t="n">
        <f aca="false">IFERROR(F1914/INDEX($G$5:$G$34,MATCH(LOOKUP(2,1/($A$39:A1914&lt;&gt;""),$A$39:A1914),$A$5:$A$34,0)),0)</f>
        <v>1</v>
      </c>
      <c r="H1914" s="103" t="str">
        <f aca="false">IF(G1914=0,"空闲",IF(G1914&lt;=0.6,"低负荷",IF(G1914&lt;=0.85,"正常",IF(G1914&lt;=1,"满负荷","超负荷"))))</f>
        <v>满负荷</v>
      </c>
      <c r="I1914" s="106" t="s">
        <v>757</v>
      </c>
      <c r="J1914" s="106"/>
      <c r="K1914" s="106"/>
      <c r="L1914" s="105" t="s">
        <v>642</v>
      </c>
    </row>
    <row r="1915" customFormat="false" ht="48" hidden="false" customHeight="true" outlineLevel="0" collapsed="false">
      <c r="A1915" s="99"/>
      <c r="B1915" s="100" t="n">
        <v>46258</v>
      </c>
      <c r="C1915" s="100" t="n">
        <v>46264</v>
      </c>
      <c r="D1915" s="99" t="s">
        <v>638</v>
      </c>
      <c r="E1915" s="99" t="n">
        <v>0</v>
      </c>
      <c r="F1915" s="101" t="n">
        <v>0</v>
      </c>
      <c r="G1915" s="102" t="n">
        <f aca="false">IFERROR(F1915/INDEX($G$5:$G$34,MATCH(LOOKUP(2,1/($A$39:A1915&lt;&gt;""),$A$39:A1915),$A$5:$A$34,0)),0)</f>
        <v>0</v>
      </c>
      <c r="H1915" s="103" t="str">
        <f aca="false">IF(G1915=0,"空闲",IF(G1915&lt;=0.6,"低负荷",IF(G1915&lt;=0.85,"正常",IF(G1915&lt;=1,"满负荷","超负荷"))))</f>
        <v>空闲</v>
      </c>
      <c r="I1915" s="104" t="s">
        <v>638</v>
      </c>
      <c r="J1915" s="104"/>
      <c r="K1915" s="104"/>
      <c r="L1915" s="105" t="s">
        <v>639</v>
      </c>
    </row>
    <row r="1916" customFormat="false" ht="48" hidden="false" customHeight="true" outlineLevel="0" collapsed="false">
      <c r="A1916" s="99"/>
      <c r="B1916" s="100" t="n">
        <v>46265</v>
      </c>
      <c r="C1916" s="100" t="n">
        <v>46271</v>
      </c>
      <c r="D1916" s="99" t="s">
        <v>638</v>
      </c>
      <c r="E1916" s="99" t="n">
        <v>0</v>
      </c>
      <c r="F1916" s="101" t="n">
        <v>0</v>
      </c>
      <c r="G1916" s="102" t="n">
        <f aca="false">IFERROR(F1916/INDEX($G$5:$G$34,MATCH(LOOKUP(2,1/($A$39:A1916&lt;&gt;""),$A$39:A1916),$A$5:$A$34,0)),0)</f>
        <v>0</v>
      </c>
      <c r="H1916" s="103" t="str">
        <f aca="false">IF(G1916=0,"空闲",IF(G1916&lt;=0.6,"低负荷",IF(G1916&lt;=0.85,"正常",IF(G1916&lt;=1,"满负荷","超负荷"))))</f>
        <v>空闲</v>
      </c>
      <c r="I1916" s="104" t="s">
        <v>638</v>
      </c>
      <c r="J1916" s="104"/>
      <c r="K1916" s="104"/>
      <c r="L1916" s="105" t="s">
        <v>639</v>
      </c>
    </row>
    <row r="1917" customFormat="false" ht="48" hidden="false" customHeight="true" outlineLevel="0" collapsed="false">
      <c r="A1917" s="99"/>
      <c r="B1917" s="100" t="n">
        <v>46272</v>
      </c>
      <c r="C1917" s="100" t="n">
        <v>46278</v>
      </c>
      <c r="D1917" s="99" t="s">
        <v>638</v>
      </c>
      <c r="E1917" s="99" t="n">
        <v>0</v>
      </c>
      <c r="F1917" s="101" t="n">
        <v>0</v>
      </c>
      <c r="G1917" s="102" t="n">
        <f aca="false">IFERROR(F1917/INDEX($G$5:$G$34,MATCH(LOOKUP(2,1/($A$39:A1917&lt;&gt;""),$A$39:A1917),$A$5:$A$34,0)),0)</f>
        <v>0</v>
      </c>
      <c r="H1917" s="103" t="str">
        <f aca="false">IF(G1917=0,"空闲",IF(G1917&lt;=0.6,"低负荷",IF(G1917&lt;=0.85,"正常",IF(G1917&lt;=1,"满负荷","超负荷"))))</f>
        <v>空闲</v>
      </c>
      <c r="I1917" s="104" t="s">
        <v>638</v>
      </c>
      <c r="J1917" s="104"/>
      <c r="K1917" s="104"/>
      <c r="L1917" s="105" t="s">
        <v>639</v>
      </c>
    </row>
    <row r="1918" customFormat="false" ht="48" hidden="false" customHeight="true" outlineLevel="0" collapsed="false">
      <c r="A1918" s="99"/>
      <c r="B1918" s="100" t="n">
        <v>46279</v>
      </c>
      <c r="C1918" s="100" t="n">
        <v>46285</v>
      </c>
      <c r="D1918" s="99" t="s">
        <v>640</v>
      </c>
      <c r="E1918" s="99" t="n">
        <v>1</v>
      </c>
      <c r="F1918" s="101" t="n">
        <v>40</v>
      </c>
      <c r="G1918" s="102" t="n">
        <f aca="false">IFERROR(F1918/INDEX($G$5:$G$34,MATCH(LOOKUP(2,1/($A$39:A1918&lt;&gt;""),$A$39:A1918),$A$5:$A$34,0)),0)</f>
        <v>1</v>
      </c>
      <c r="H1918" s="103" t="str">
        <f aca="false">IF(G1918=0,"空闲",IF(G1918&lt;=0.6,"低负荷",IF(G1918&lt;=0.85,"正常",IF(G1918&lt;=1,"满负荷","超负荷"))))</f>
        <v>满负荷</v>
      </c>
      <c r="I1918" s="106" t="s">
        <v>758</v>
      </c>
      <c r="J1918" s="106"/>
      <c r="K1918" s="106"/>
      <c r="L1918" s="105" t="s">
        <v>642</v>
      </c>
    </row>
    <row r="1919" customFormat="false" ht="48" hidden="false" customHeight="true" outlineLevel="0" collapsed="false">
      <c r="A1919" s="99"/>
      <c r="B1919" s="100" t="n">
        <v>46286</v>
      </c>
      <c r="C1919" s="100" t="n">
        <v>46292</v>
      </c>
      <c r="D1919" s="99" t="s">
        <v>638</v>
      </c>
      <c r="E1919" s="99" t="n">
        <v>0</v>
      </c>
      <c r="F1919" s="101" t="n">
        <v>0</v>
      </c>
      <c r="G1919" s="102" t="n">
        <f aca="false">IFERROR(F1919/INDEX($G$5:$G$34,MATCH(LOOKUP(2,1/($A$39:A1919&lt;&gt;""),$A$39:A1919),$A$5:$A$34,0)),0)</f>
        <v>0</v>
      </c>
      <c r="H1919" s="103" t="str">
        <f aca="false">IF(G1919=0,"空闲",IF(G1919&lt;=0.6,"低负荷",IF(G1919&lt;=0.85,"正常",IF(G1919&lt;=1,"满负荷","超负荷"))))</f>
        <v>空闲</v>
      </c>
      <c r="I1919" s="104" t="s">
        <v>638</v>
      </c>
      <c r="J1919" s="104"/>
      <c r="K1919" s="104"/>
      <c r="L1919" s="105" t="s">
        <v>639</v>
      </c>
    </row>
    <row r="1920" customFormat="false" ht="48" hidden="false" customHeight="true" outlineLevel="0" collapsed="false">
      <c r="A1920" s="99"/>
      <c r="B1920" s="100" t="n">
        <v>46293</v>
      </c>
      <c r="C1920" s="100" t="n">
        <v>46299</v>
      </c>
      <c r="D1920" s="99" t="s">
        <v>638</v>
      </c>
      <c r="E1920" s="99" t="n">
        <v>0</v>
      </c>
      <c r="F1920" s="101" t="n">
        <v>0</v>
      </c>
      <c r="G1920" s="102" t="n">
        <f aca="false">IFERROR(F1920/INDEX($G$5:$G$34,MATCH(LOOKUP(2,1/($A$39:A1920&lt;&gt;""),$A$39:A1920),$A$5:$A$34,0)),0)</f>
        <v>0</v>
      </c>
      <c r="H1920" s="103" t="str">
        <f aca="false">IF(G1920=0,"空闲",IF(G1920&lt;=0.6,"低负荷",IF(G1920&lt;=0.85,"正常",IF(G1920&lt;=1,"满负荷","超负荷"))))</f>
        <v>空闲</v>
      </c>
      <c r="I1920" s="104" t="s">
        <v>638</v>
      </c>
      <c r="J1920" s="104"/>
      <c r="K1920" s="104"/>
      <c r="L1920" s="105" t="s">
        <v>639</v>
      </c>
    </row>
    <row r="1921" customFormat="false" ht="48" hidden="false" customHeight="true" outlineLevel="0" collapsed="false">
      <c r="A1921" s="99"/>
      <c r="B1921" s="100" t="n">
        <v>46300</v>
      </c>
      <c r="C1921" s="100" t="n">
        <v>46306</v>
      </c>
      <c r="D1921" s="99" t="s">
        <v>638</v>
      </c>
      <c r="E1921" s="99" t="n">
        <v>0</v>
      </c>
      <c r="F1921" s="101" t="n">
        <v>0</v>
      </c>
      <c r="G1921" s="102" t="n">
        <f aca="false">IFERROR(F1921/INDEX($G$5:$G$34,MATCH(LOOKUP(2,1/($A$39:A1921&lt;&gt;""),$A$39:A1921),$A$5:$A$34,0)),0)</f>
        <v>0</v>
      </c>
      <c r="H1921" s="103" t="str">
        <f aca="false">IF(G1921=0,"空闲",IF(G1921&lt;=0.6,"低负荷",IF(G1921&lt;=0.85,"正常",IF(G1921&lt;=1,"满负荷","超负荷"))))</f>
        <v>空闲</v>
      </c>
      <c r="I1921" s="104" t="s">
        <v>638</v>
      </c>
      <c r="J1921" s="104"/>
      <c r="K1921" s="104"/>
      <c r="L1921" s="105" t="s">
        <v>639</v>
      </c>
    </row>
    <row r="1922" customFormat="false" ht="48" hidden="false" customHeight="true" outlineLevel="0" collapsed="false">
      <c r="A1922" s="99"/>
      <c r="B1922" s="100" t="n">
        <v>46307</v>
      </c>
      <c r="C1922" s="100" t="n">
        <v>46313</v>
      </c>
      <c r="D1922" s="99" t="s">
        <v>638</v>
      </c>
      <c r="E1922" s="99" t="n">
        <v>0</v>
      </c>
      <c r="F1922" s="101" t="n">
        <v>0</v>
      </c>
      <c r="G1922" s="102" t="n">
        <f aca="false">IFERROR(F1922/INDEX($G$5:$G$34,MATCH(LOOKUP(2,1/($A$39:A1922&lt;&gt;""),$A$39:A1922),$A$5:$A$34,0)),0)</f>
        <v>0</v>
      </c>
      <c r="H1922" s="103" t="str">
        <f aca="false">IF(G1922=0,"空闲",IF(G1922&lt;=0.6,"低负荷",IF(G1922&lt;=0.85,"正常",IF(G1922&lt;=1,"满负荷","超负荷"))))</f>
        <v>空闲</v>
      </c>
      <c r="I1922" s="104" t="s">
        <v>638</v>
      </c>
      <c r="J1922" s="104"/>
      <c r="K1922" s="104"/>
      <c r="L1922" s="105" t="s">
        <v>639</v>
      </c>
    </row>
    <row r="1923" customFormat="false" ht="48" hidden="false" customHeight="true" outlineLevel="0" collapsed="false">
      <c r="A1923" s="99"/>
      <c r="B1923" s="100" t="n">
        <v>46314</v>
      </c>
      <c r="C1923" s="100" t="n">
        <v>46320</v>
      </c>
      <c r="D1923" s="99" t="s">
        <v>638</v>
      </c>
      <c r="E1923" s="99" t="n">
        <v>0</v>
      </c>
      <c r="F1923" s="101" t="n">
        <v>0</v>
      </c>
      <c r="G1923" s="102" t="n">
        <f aca="false">IFERROR(F1923/INDEX($G$5:$G$34,MATCH(LOOKUP(2,1/($A$39:A1923&lt;&gt;""),$A$39:A1923),$A$5:$A$34,0)),0)</f>
        <v>0</v>
      </c>
      <c r="H1923" s="103" t="str">
        <f aca="false">IF(G1923=0,"空闲",IF(G1923&lt;=0.6,"低负荷",IF(G1923&lt;=0.85,"正常",IF(G1923&lt;=1,"满负荷","超负荷"))))</f>
        <v>空闲</v>
      </c>
      <c r="I1923" s="104" t="s">
        <v>638</v>
      </c>
      <c r="J1923" s="104"/>
      <c r="K1923" s="104"/>
      <c r="L1923" s="105" t="s">
        <v>639</v>
      </c>
    </row>
    <row r="1924" customFormat="false" ht="48" hidden="false" customHeight="true" outlineLevel="0" collapsed="false">
      <c r="A1924" s="99"/>
      <c r="B1924" s="100" t="n">
        <v>46321</v>
      </c>
      <c r="C1924" s="100" t="n">
        <v>46327</v>
      </c>
      <c r="D1924" s="99" t="s">
        <v>638</v>
      </c>
      <c r="E1924" s="99" t="n">
        <v>0</v>
      </c>
      <c r="F1924" s="101" t="n">
        <v>0</v>
      </c>
      <c r="G1924" s="102" t="n">
        <f aca="false">IFERROR(F1924/INDEX($G$5:$G$34,MATCH(LOOKUP(2,1/($A$39:A1924&lt;&gt;""),$A$39:A1924),$A$5:$A$34,0)),0)</f>
        <v>0</v>
      </c>
      <c r="H1924" s="103" t="str">
        <f aca="false">IF(G1924=0,"空闲",IF(G1924&lt;=0.6,"低负荷",IF(G1924&lt;=0.85,"正常",IF(G1924&lt;=1,"满负荷","超负荷"))))</f>
        <v>空闲</v>
      </c>
      <c r="I1924" s="104" t="s">
        <v>638</v>
      </c>
      <c r="J1924" s="104"/>
      <c r="K1924" s="104"/>
      <c r="L1924" s="105" t="s">
        <v>639</v>
      </c>
    </row>
    <row r="1925" customFormat="false" ht="48" hidden="false" customHeight="true" outlineLevel="0" collapsed="false">
      <c r="A1925" s="99"/>
      <c r="B1925" s="100" t="n">
        <v>46328</v>
      </c>
      <c r="C1925" s="100" t="n">
        <v>46334</v>
      </c>
      <c r="D1925" s="99" t="s">
        <v>638</v>
      </c>
      <c r="E1925" s="99" t="n">
        <v>0</v>
      </c>
      <c r="F1925" s="101" t="n">
        <v>0</v>
      </c>
      <c r="G1925" s="102" t="n">
        <f aca="false">IFERROR(F1925/INDEX($G$5:$G$34,MATCH(LOOKUP(2,1/($A$39:A1925&lt;&gt;""),$A$39:A1925),$A$5:$A$34,0)),0)</f>
        <v>0</v>
      </c>
      <c r="H1925" s="103" t="str">
        <f aca="false">IF(G1925=0,"空闲",IF(G1925&lt;=0.6,"低负荷",IF(G1925&lt;=0.85,"正常",IF(G1925&lt;=1,"满负荷","超负荷"))))</f>
        <v>空闲</v>
      </c>
      <c r="I1925" s="104" t="s">
        <v>638</v>
      </c>
      <c r="J1925" s="104"/>
      <c r="K1925" s="104"/>
      <c r="L1925" s="105" t="s">
        <v>639</v>
      </c>
    </row>
    <row r="1926" customFormat="false" ht="48" hidden="false" customHeight="true" outlineLevel="0" collapsed="false">
      <c r="A1926" s="99"/>
      <c r="B1926" s="100" t="n">
        <v>46335</v>
      </c>
      <c r="C1926" s="100" t="n">
        <v>46341</v>
      </c>
      <c r="D1926" s="99" t="s">
        <v>638</v>
      </c>
      <c r="E1926" s="99" t="n">
        <v>0</v>
      </c>
      <c r="F1926" s="101" t="n">
        <v>0</v>
      </c>
      <c r="G1926" s="102" t="n">
        <f aca="false">IFERROR(F1926/INDEX($G$5:$G$34,MATCH(LOOKUP(2,1/($A$39:A1926&lt;&gt;""),$A$39:A1926),$A$5:$A$34,0)),0)</f>
        <v>0</v>
      </c>
      <c r="H1926" s="103" t="str">
        <f aca="false">IF(G1926=0,"空闲",IF(G1926&lt;=0.6,"低负荷",IF(G1926&lt;=0.85,"正常",IF(G1926&lt;=1,"满负荷","超负荷"))))</f>
        <v>空闲</v>
      </c>
      <c r="I1926" s="104" t="s">
        <v>638</v>
      </c>
      <c r="J1926" s="104"/>
      <c r="K1926" s="104"/>
      <c r="L1926" s="105" t="s">
        <v>639</v>
      </c>
    </row>
    <row r="1927" customFormat="false" ht="48" hidden="false" customHeight="true" outlineLevel="0" collapsed="false">
      <c r="A1927" s="99"/>
      <c r="B1927" s="100" t="n">
        <v>46342</v>
      </c>
      <c r="C1927" s="100" t="n">
        <v>46348</v>
      </c>
      <c r="D1927" s="99" t="s">
        <v>638</v>
      </c>
      <c r="E1927" s="99" t="n">
        <v>0</v>
      </c>
      <c r="F1927" s="101" t="n">
        <v>0</v>
      </c>
      <c r="G1927" s="102" t="n">
        <f aca="false">IFERROR(F1927/INDEX($G$5:$G$34,MATCH(LOOKUP(2,1/($A$39:A1927&lt;&gt;""),$A$39:A1927),$A$5:$A$34,0)),0)</f>
        <v>0</v>
      </c>
      <c r="H1927" s="103" t="str">
        <f aca="false">IF(G1927=0,"空闲",IF(G1927&lt;=0.6,"低负荷",IF(G1927&lt;=0.85,"正常",IF(G1927&lt;=1,"满负荷","超负荷"))))</f>
        <v>空闲</v>
      </c>
      <c r="I1927" s="104" t="s">
        <v>638</v>
      </c>
      <c r="J1927" s="104"/>
      <c r="K1927" s="104"/>
      <c r="L1927" s="105" t="s">
        <v>639</v>
      </c>
    </row>
    <row r="1928" customFormat="false" ht="48" hidden="false" customHeight="true" outlineLevel="0" collapsed="false">
      <c r="A1928" s="99"/>
      <c r="B1928" s="100" t="n">
        <v>46349</v>
      </c>
      <c r="C1928" s="100" t="n">
        <v>46355</v>
      </c>
      <c r="D1928" s="99" t="s">
        <v>638</v>
      </c>
      <c r="E1928" s="99" t="n">
        <v>0</v>
      </c>
      <c r="F1928" s="101" t="n">
        <v>0</v>
      </c>
      <c r="G1928" s="102" t="n">
        <f aca="false">IFERROR(F1928/INDEX($G$5:$G$34,MATCH(LOOKUP(2,1/($A$39:A1928&lt;&gt;""),$A$39:A1928),$A$5:$A$34,0)),0)</f>
        <v>0</v>
      </c>
      <c r="H1928" s="103" t="str">
        <f aca="false">IF(G1928=0,"空闲",IF(G1928&lt;=0.6,"低负荷",IF(G1928&lt;=0.85,"正常",IF(G1928&lt;=1,"满负荷","超负荷"))))</f>
        <v>空闲</v>
      </c>
      <c r="I1928" s="104" t="s">
        <v>638</v>
      </c>
      <c r="J1928" s="104"/>
      <c r="K1928" s="104"/>
      <c r="L1928" s="105" t="s">
        <v>639</v>
      </c>
    </row>
    <row r="1929" customFormat="false" ht="48" hidden="false" customHeight="true" outlineLevel="0" collapsed="false">
      <c r="A1929" s="99"/>
      <c r="B1929" s="100" t="n">
        <v>46356</v>
      </c>
      <c r="C1929" s="100" t="n">
        <v>46362</v>
      </c>
      <c r="D1929" s="99" t="s">
        <v>638</v>
      </c>
      <c r="E1929" s="99" t="n">
        <v>0</v>
      </c>
      <c r="F1929" s="101" t="n">
        <v>0</v>
      </c>
      <c r="G1929" s="102" t="n">
        <f aca="false">IFERROR(F1929/INDEX($G$5:$G$34,MATCH(LOOKUP(2,1/($A$39:A1929&lt;&gt;""),$A$39:A1929),$A$5:$A$34,0)),0)</f>
        <v>0</v>
      </c>
      <c r="H1929" s="103" t="str">
        <f aca="false">IF(G1929=0,"空闲",IF(G1929&lt;=0.6,"低负荷",IF(G1929&lt;=0.85,"正常",IF(G1929&lt;=1,"满负荷","超负荷"))))</f>
        <v>空闲</v>
      </c>
      <c r="I1929" s="104" t="s">
        <v>638</v>
      </c>
      <c r="J1929" s="104"/>
      <c r="K1929" s="104"/>
      <c r="L1929" s="105" t="s">
        <v>639</v>
      </c>
    </row>
    <row r="1930" customFormat="false" ht="48" hidden="false" customHeight="true" outlineLevel="0" collapsed="false">
      <c r="A1930" s="99"/>
      <c r="B1930" s="100" t="n">
        <v>46363</v>
      </c>
      <c r="C1930" s="100" t="n">
        <v>46369</v>
      </c>
      <c r="D1930" s="99" t="s">
        <v>638</v>
      </c>
      <c r="E1930" s="99" t="n">
        <v>0</v>
      </c>
      <c r="F1930" s="101" t="n">
        <v>0</v>
      </c>
      <c r="G1930" s="102" t="n">
        <f aca="false">IFERROR(F1930/INDEX($G$5:$G$34,MATCH(LOOKUP(2,1/($A$39:A1930&lt;&gt;""),$A$39:A1930),$A$5:$A$34,0)),0)</f>
        <v>0</v>
      </c>
      <c r="H1930" s="103" t="str">
        <f aca="false">IF(G1930=0,"空闲",IF(G1930&lt;=0.6,"低负荷",IF(G1930&lt;=0.85,"正常",IF(G1930&lt;=1,"满负荷","超负荷"))))</f>
        <v>空闲</v>
      </c>
      <c r="I1930" s="104" t="s">
        <v>638</v>
      </c>
      <c r="J1930" s="104"/>
      <c r="K1930" s="104"/>
      <c r="L1930" s="105" t="s">
        <v>639</v>
      </c>
    </row>
    <row r="1931" customFormat="false" ht="48" hidden="false" customHeight="true" outlineLevel="0" collapsed="false">
      <c r="A1931" s="99"/>
      <c r="B1931" s="100" t="n">
        <v>46370</v>
      </c>
      <c r="C1931" s="100" t="n">
        <v>46376</v>
      </c>
      <c r="D1931" s="99" t="s">
        <v>638</v>
      </c>
      <c r="E1931" s="99" t="n">
        <v>0</v>
      </c>
      <c r="F1931" s="101" t="n">
        <v>0</v>
      </c>
      <c r="G1931" s="102" t="n">
        <f aca="false">IFERROR(F1931/INDEX($G$5:$G$34,MATCH(LOOKUP(2,1/($A$39:A1931&lt;&gt;""),$A$39:A1931),$A$5:$A$34,0)),0)</f>
        <v>0</v>
      </c>
      <c r="H1931" s="103" t="str">
        <f aca="false">IF(G1931=0,"空闲",IF(G1931&lt;=0.6,"低负荷",IF(G1931&lt;=0.85,"正常",IF(G1931&lt;=1,"满负荷","超负荷"))))</f>
        <v>空闲</v>
      </c>
      <c r="I1931" s="104" t="s">
        <v>638</v>
      </c>
      <c r="J1931" s="104"/>
      <c r="K1931" s="104"/>
      <c r="L1931" s="105" t="s">
        <v>639</v>
      </c>
    </row>
    <row r="1932" customFormat="false" ht="48" hidden="false" customHeight="true" outlineLevel="0" collapsed="false">
      <c r="A1932" s="99"/>
      <c r="B1932" s="100" t="n">
        <v>46377</v>
      </c>
      <c r="C1932" s="100" t="n">
        <v>46383</v>
      </c>
      <c r="D1932" s="99" t="s">
        <v>638</v>
      </c>
      <c r="E1932" s="99" t="n">
        <v>0</v>
      </c>
      <c r="F1932" s="101" t="n">
        <v>0</v>
      </c>
      <c r="G1932" s="102" t="n">
        <f aca="false">IFERROR(F1932/INDEX($G$5:$G$34,MATCH(LOOKUP(2,1/($A$39:A1932&lt;&gt;""),$A$39:A1932),$A$5:$A$34,0)),0)</f>
        <v>0</v>
      </c>
      <c r="H1932" s="103" t="str">
        <f aca="false">IF(G1932=0,"空闲",IF(G1932&lt;=0.6,"低负荷",IF(G1932&lt;=0.85,"正常",IF(G1932&lt;=1,"满负荷","超负荷"))))</f>
        <v>空闲</v>
      </c>
      <c r="I1932" s="104" t="s">
        <v>638</v>
      </c>
      <c r="J1932" s="104"/>
      <c r="K1932" s="104"/>
      <c r="L1932" s="105" t="s">
        <v>639</v>
      </c>
    </row>
    <row r="1933" customFormat="false" ht="48" hidden="false" customHeight="true" outlineLevel="0" collapsed="false">
      <c r="A1933" s="99"/>
      <c r="B1933" s="100" t="n">
        <v>46384</v>
      </c>
      <c r="C1933" s="100" t="n">
        <v>46390</v>
      </c>
      <c r="D1933" s="99" t="s">
        <v>638</v>
      </c>
      <c r="E1933" s="99" t="n">
        <v>0</v>
      </c>
      <c r="F1933" s="101" t="n">
        <v>0</v>
      </c>
      <c r="G1933" s="102" t="n">
        <f aca="false">IFERROR(F1933/INDEX($G$5:$G$34,MATCH(LOOKUP(2,1/($A$39:A1933&lt;&gt;""),$A$39:A1933),$A$5:$A$34,0)),0)</f>
        <v>0</v>
      </c>
      <c r="H1933" s="103" t="str">
        <f aca="false">IF(G1933=0,"空闲",IF(G1933&lt;=0.6,"低负荷",IF(G1933&lt;=0.85,"正常",IF(G1933&lt;=1,"满负荷","超负荷"))))</f>
        <v>空闲</v>
      </c>
      <c r="I1933" s="104" t="s">
        <v>638</v>
      </c>
      <c r="J1933" s="104"/>
      <c r="K1933" s="104"/>
      <c r="L1933" s="105" t="s">
        <v>639</v>
      </c>
    </row>
    <row r="1934" customFormat="false" ht="48" hidden="false" customHeight="true" outlineLevel="0" collapsed="false">
      <c r="A1934" s="99"/>
      <c r="B1934" s="100" t="n">
        <v>46391</v>
      </c>
      <c r="C1934" s="100" t="n">
        <v>46397</v>
      </c>
      <c r="D1934" s="99" t="s">
        <v>638</v>
      </c>
      <c r="E1934" s="99" t="n">
        <v>0</v>
      </c>
      <c r="F1934" s="101" t="n">
        <v>0</v>
      </c>
      <c r="G1934" s="102" t="n">
        <f aca="false">IFERROR(F1934/INDEX($G$5:$G$34,MATCH(LOOKUP(2,1/($A$39:A1934&lt;&gt;""),$A$39:A1934),$A$5:$A$34,0)),0)</f>
        <v>0</v>
      </c>
      <c r="H1934" s="103" t="str">
        <f aca="false">IF(G1934=0,"空闲",IF(G1934&lt;=0.6,"低负荷",IF(G1934&lt;=0.85,"正常",IF(G1934&lt;=1,"满负荷","超负荷"))))</f>
        <v>空闲</v>
      </c>
      <c r="I1934" s="104" t="s">
        <v>638</v>
      </c>
      <c r="J1934" s="104"/>
      <c r="K1934" s="104"/>
      <c r="L1934" s="105" t="s">
        <v>639</v>
      </c>
    </row>
    <row r="1935" customFormat="false" ht="48" hidden="false" customHeight="true" outlineLevel="0" collapsed="false">
      <c r="A1935" s="99"/>
      <c r="B1935" s="100" t="n">
        <v>46398</v>
      </c>
      <c r="C1935" s="100" t="n">
        <v>46404</v>
      </c>
      <c r="D1935" s="99" t="s">
        <v>638</v>
      </c>
      <c r="E1935" s="99" t="n">
        <v>0</v>
      </c>
      <c r="F1935" s="101" t="n">
        <v>0</v>
      </c>
      <c r="G1935" s="102" t="n">
        <f aca="false">IFERROR(F1935/INDEX($G$5:$G$34,MATCH(LOOKUP(2,1/($A$39:A1935&lt;&gt;""),$A$39:A1935),$A$5:$A$34,0)),0)</f>
        <v>0</v>
      </c>
      <c r="H1935" s="103" t="str">
        <f aca="false">IF(G1935=0,"空闲",IF(G1935&lt;=0.6,"低负荷",IF(G1935&lt;=0.85,"正常",IF(G1935&lt;=1,"满负荷","超负荷"))))</f>
        <v>空闲</v>
      </c>
      <c r="I1935" s="104" t="s">
        <v>638</v>
      </c>
      <c r="J1935" s="104"/>
      <c r="K1935" s="104"/>
      <c r="L1935" s="105" t="s">
        <v>639</v>
      </c>
    </row>
    <row r="1936" customFormat="false" ht="48" hidden="false" customHeight="true" outlineLevel="0" collapsed="false">
      <c r="A1936" s="99"/>
      <c r="B1936" s="100" t="n">
        <v>46405</v>
      </c>
      <c r="C1936" s="100" t="n">
        <v>46411</v>
      </c>
      <c r="D1936" s="99" t="s">
        <v>638</v>
      </c>
      <c r="E1936" s="99" t="n">
        <v>0</v>
      </c>
      <c r="F1936" s="101" t="n">
        <v>0</v>
      </c>
      <c r="G1936" s="102" t="n">
        <f aca="false">IFERROR(F1936/INDEX($G$5:$G$34,MATCH(LOOKUP(2,1/($A$39:A1936&lt;&gt;""),$A$39:A1936),$A$5:$A$34,0)),0)</f>
        <v>0</v>
      </c>
      <c r="H1936" s="103" t="str">
        <f aca="false">IF(G1936=0,"空闲",IF(G1936&lt;=0.6,"低负荷",IF(G1936&lt;=0.85,"正常",IF(G1936&lt;=1,"满负荷","超负荷"))))</f>
        <v>空闲</v>
      </c>
      <c r="I1936" s="104" t="s">
        <v>638</v>
      </c>
      <c r="J1936" s="104"/>
      <c r="K1936" s="104"/>
      <c r="L1936" s="105" t="s">
        <v>639</v>
      </c>
    </row>
    <row r="1937" customFormat="false" ht="48" hidden="false" customHeight="true" outlineLevel="0" collapsed="false">
      <c r="A1937" s="99"/>
      <c r="B1937" s="100" t="n">
        <v>46412</v>
      </c>
      <c r="C1937" s="100" t="n">
        <v>46418</v>
      </c>
      <c r="D1937" s="99" t="s">
        <v>638</v>
      </c>
      <c r="E1937" s="99" t="n">
        <v>0</v>
      </c>
      <c r="F1937" s="101" t="n">
        <v>0</v>
      </c>
      <c r="G1937" s="102" t="n">
        <f aca="false">IFERROR(F1937/INDEX($G$5:$G$34,MATCH(LOOKUP(2,1/($A$39:A1937&lt;&gt;""),$A$39:A1937),$A$5:$A$34,0)),0)</f>
        <v>0</v>
      </c>
      <c r="H1937" s="103" t="str">
        <f aca="false">IF(G1937=0,"空闲",IF(G1937&lt;=0.6,"低负荷",IF(G1937&lt;=0.85,"正常",IF(G1937&lt;=1,"满负荷","超负荷"))))</f>
        <v>空闲</v>
      </c>
      <c r="I1937" s="104" t="s">
        <v>638</v>
      </c>
      <c r="J1937" s="104"/>
      <c r="K1937" s="104"/>
      <c r="L1937" s="105" t="s">
        <v>639</v>
      </c>
    </row>
    <row r="1938" customFormat="false" ht="48" hidden="false" customHeight="true" outlineLevel="0" collapsed="false">
      <c r="A1938" s="99"/>
      <c r="B1938" s="100" t="n">
        <v>46419</v>
      </c>
      <c r="C1938" s="100" t="n">
        <v>46425</v>
      </c>
      <c r="D1938" s="99" t="s">
        <v>638</v>
      </c>
      <c r="E1938" s="99" t="n">
        <v>0</v>
      </c>
      <c r="F1938" s="101" t="n">
        <v>0</v>
      </c>
      <c r="G1938" s="102" t="n">
        <f aca="false">IFERROR(F1938/INDEX($G$5:$G$34,MATCH(LOOKUP(2,1/($A$39:A1938&lt;&gt;""),$A$39:A1938),$A$5:$A$34,0)),0)</f>
        <v>0</v>
      </c>
      <c r="H1938" s="103" t="str">
        <f aca="false">IF(G1938=0,"空闲",IF(G1938&lt;=0.6,"低负荷",IF(G1938&lt;=0.85,"正常",IF(G1938&lt;=1,"满负荷","超负荷"))))</f>
        <v>空闲</v>
      </c>
      <c r="I1938" s="104" t="s">
        <v>638</v>
      </c>
      <c r="J1938" s="104"/>
      <c r="K1938" s="104"/>
      <c r="L1938" s="105" t="s">
        <v>639</v>
      </c>
    </row>
    <row r="1939" customFormat="false" ht="48" hidden="false" customHeight="true" outlineLevel="0" collapsed="false">
      <c r="A1939" s="99"/>
      <c r="B1939" s="100" t="n">
        <v>46426</v>
      </c>
      <c r="C1939" s="100" t="n">
        <v>46432</v>
      </c>
      <c r="D1939" s="99" t="s">
        <v>638</v>
      </c>
      <c r="E1939" s="99" t="n">
        <v>0</v>
      </c>
      <c r="F1939" s="101" t="n">
        <v>0</v>
      </c>
      <c r="G1939" s="102" t="n">
        <f aca="false">IFERROR(F1939/INDEX($G$5:$G$34,MATCH(LOOKUP(2,1/($A$39:A1939&lt;&gt;""),$A$39:A1939),$A$5:$A$34,0)),0)</f>
        <v>0</v>
      </c>
      <c r="H1939" s="103" t="str">
        <f aca="false">IF(G1939=0,"空闲",IF(G1939&lt;=0.6,"低负荷",IF(G1939&lt;=0.85,"正常",IF(G1939&lt;=1,"满负荷","超负荷"))))</f>
        <v>空闲</v>
      </c>
      <c r="I1939" s="104" t="s">
        <v>638</v>
      </c>
      <c r="J1939" s="104"/>
      <c r="K1939" s="104"/>
      <c r="L1939" s="105" t="s">
        <v>639</v>
      </c>
    </row>
    <row r="1940" customFormat="false" ht="48" hidden="false" customHeight="true" outlineLevel="0" collapsed="false">
      <c r="A1940" s="99"/>
      <c r="B1940" s="100" t="n">
        <v>46433</v>
      </c>
      <c r="C1940" s="100" t="n">
        <v>46439</v>
      </c>
      <c r="D1940" s="99" t="s">
        <v>638</v>
      </c>
      <c r="E1940" s="99" t="n">
        <v>0</v>
      </c>
      <c r="F1940" s="101" t="n">
        <v>0</v>
      </c>
      <c r="G1940" s="102" t="n">
        <f aca="false">IFERROR(F1940/INDEX($G$5:$G$34,MATCH(LOOKUP(2,1/($A$39:A1940&lt;&gt;""),$A$39:A1940),$A$5:$A$34,0)),0)</f>
        <v>0</v>
      </c>
      <c r="H1940" s="103" t="str">
        <f aca="false">IF(G1940=0,"空闲",IF(G1940&lt;=0.6,"低负荷",IF(G1940&lt;=0.85,"正常",IF(G1940&lt;=1,"满负荷","超负荷"))))</f>
        <v>空闲</v>
      </c>
      <c r="I1940" s="104" t="s">
        <v>638</v>
      </c>
      <c r="J1940" s="104"/>
      <c r="K1940" s="104"/>
      <c r="L1940" s="105" t="s">
        <v>639</v>
      </c>
    </row>
    <row r="1941" customFormat="false" ht="48" hidden="false" customHeight="true" outlineLevel="0" collapsed="false">
      <c r="A1941" s="99"/>
      <c r="B1941" s="100" t="n">
        <v>46440</v>
      </c>
      <c r="C1941" s="100" t="n">
        <v>46446</v>
      </c>
      <c r="D1941" s="99" t="s">
        <v>638</v>
      </c>
      <c r="E1941" s="99" t="n">
        <v>0</v>
      </c>
      <c r="F1941" s="101" t="n">
        <v>0</v>
      </c>
      <c r="G1941" s="102" t="n">
        <f aca="false">IFERROR(F1941/INDEX($G$5:$G$34,MATCH(LOOKUP(2,1/($A$39:A1941&lt;&gt;""),$A$39:A1941),$A$5:$A$34,0)),0)</f>
        <v>0</v>
      </c>
      <c r="H1941" s="103" t="str">
        <f aca="false">IF(G1941=0,"空闲",IF(G1941&lt;=0.6,"低负荷",IF(G1941&lt;=0.85,"正常",IF(G1941&lt;=1,"满负荷","超负荷"))))</f>
        <v>空闲</v>
      </c>
      <c r="I1941" s="104" t="s">
        <v>638</v>
      </c>
      <c r="J1941" s="104"/>
      <c r="K1941" s="104"/>
      <c r="L1941" s="105" t="s">
        <v>639</v>
      </c>
    </row>
    <row r="1942" customFormat="false" ht="48" hidden="false" customHeight="true" outlineLevel="0" collapsed="false">
      <c r="A1942" s="99"/>
      <c r="B1942" s="100" t="n">
        <v>46447</v>
      </c>
      <c r="C1942" s="100" t="n">
        <v>46453</v>
      </c>
      <c r="D1942" s="99" t="s">
        <v>640</v>
      </c>
      <c r="E1942" s="99" t="n">
        <v>8</v>
      </c>
      <c r="F1942" s="101" t="n">
        <v>40</v>
      </c>
      <c r="G1942" s="102" t="n">
        <f aca="false">IFERROR(F1942/INDEX($G$5:$G$34,MATCH(LOOKUP(2,1/($A$39:A1942&lt;&gt;""),$A$39:A1942),$A$5:$A$34,0)),0)</f>
        <v>1</v>
      </c>
      <c r="H1942" s="103" t="str">
        <f aca="false">IF(G1942=0,"空闲",IF(G1942&lt;=0.6,"低负荷",IF(G1942&lt;=0.85,"正常",IF(G1942&lt;=1,"满负荷","超负荷"))))</f>
        <v>满负荷</v>
      </c>
      <c r="I1942" s="106" t="s">
        <v>759</v>
      </c>
      <c r="J1942" s="106"/>
      <c r="K1942" s="106"/>
      <c r="L1942" s="105" t="s">
        <v>674</v>
      </c>
    </row>
    <row r="1943" customFormat="false" ht="48" hidden="false" customHeight="true" outlineLevel="0" collapsed="false">
      <c r="A1943" s="99"/>
      <c r="B1943" s="100" t="n">
        <v>46454</v>
      </c>
      <c r="C1943" s="100" t="n">
        <v>46460</v>
      </c>
      <c r="D1943" s="99" t="s">
        <v>640</v>
      </c>
      <c r="E1943" s="99" t="n">
        <v>7</v>
      </c>
      <c r="F1943" s="101" t="n">
        <v>40</v>
      </c>
      <c r="G1943" s="102" t="n">
        <f aca="false">IFERROR(F1943/INDEX($G$5:$G$34,MATCH(LOOKUP(2,1/($A$39:A1943&lt;&gt;""),$A$39:A1943),$A$5:$A$34,0)),0)</f>
        <v>1</v>
      </c>
      <c r="H1943" s="103" t="str">
        <f aca="false">IF(G1943=0,"空闲",IF(G1943&lt;=0.6,"低负荷",IF(G1943&lt;=0.85,"正常",IF(G1943&lt;=1,"满负荷","超负荷"))))</f>
        <v>满负荷</v>
      </c>
      <c r="I1943" s="106" t="s">
        <v>760</v>
      </c>
      <c r="J1943" s="106"/>
      <c r="K1943" s="106"/>
      <c r="L1943" s="105" t="s">
        <v>672</v>
      </c>
    </row>
    <row r="1944" customFormat="false" ht="48" hidden="false" customHeight="true" outlineLevel="0" collapsed="false">
      <c r="A1944" s="99"/>
      <c r="B1944" s="100" t="n">
        <v>46461</v>
      </c>
      <c r="C1944" s="100" t="n">
        <v>46467</v>
      </c>
      <c r="D1944" s="99" t="s">
        <v>640</v>
      </c>
      <c r="E1944" s="99" t="n">
        <v>7</v>
      </c>
      <c r="F1944" s="101" t="n">
        <v>40</v>
      </c>
      <c r="G1944" s="102" t="n">
        <f aca="false">IFERROR(F1944/INDEX($G$5:$G$34,MATCH(LOOKUP(2,1/($A$39:A1944&lt;&gt;""),$A$39:A1944),$A$5:$A$34,0)),0)</f>
        <v>1</v>
      </c>
      <c r="H1944" s="103" t="str">
        <f aca="false">IF(G1944=0,"空闲",IF(G1944&lt;=0.6,"低负荷",IF(G1944&lt;=0.85,"正常",IF(G1944&lt;=1,"满负荷","超负荷"))))</f>
        <v>满负荷</v>
      </c>
      <c r="I1944" s="106" t="s">
        <v>760</v>
      </c>
      <c r="J1944" s="106"/>
      <c r="K1944" s="106"/>
      <c r="L1944" s="105" t="s">
        <v>672</v>
      </c>
    </row>
    <row r="1945" customFormat="false" ht="48" hidden="false" customHeight="true" outlineLevel="0" collapsed="false">
      <c r="A1945" s="99"/>
      <c r="B1945" s="100" t="n">
        <v>46468</v>
      </c>
      <c r="C1945" s="100" t="n">
        <v>46474</v>
      </c>
      <c r="D1945" s="99" t="s">
        <v>640</v>
      </c>
      <c r="E1945" s="99" t="n">
        <v>7</v>
      </c>
      <c r="F1945" s="101" t="n">
        <v>40</v>
      </c>
      <c r="G1945" s="102" t="n">
        <f aca="false">IFERROR(F1945/INDEX($G$5:$G$34,MATCH(LOOKUP(2,1/($A$39:A1945&lt;&gt;""),$A$39:A1945),$A$5:$A$34,0)),0)</f>
        <v>1</v>
      </c>
      <c r="H1945" s="103" t="str">
        <f aca="false">IF(G1945=0,"空闲",IF(G1945&lt;=0.6,"低负荷",IF(G1945&lt;=0.85,"正常",IF(G1945&lt;=1,"满负荷","超负荷"))))</f>
        <v>满负荷</v>
      </c>
      <c r="I1945" s="106" t="s">
        <v>760</v>
      </c>
      <c r="J1945" s="106"/>
      <c r="K1945" s="106"/>
      <c r="L1945" s="105" t="s">
        <v>672</v>
      </c>
    </row>
    <row r="1946" customFormat="false" ht="48" hidden="false" customHeight="true" outlineLevel="0" collapsed="false">
      <c r="A1946" s="99"/>
      <c r="B1946" s="100" t="n">
        <v>46475</v>
      </c>
      <c r="C1946" s="100" t="n">
        <v>46481</v>
      </c>
      <c r="D1946" s="99" t="s">
        <v>640</v>
      </c>
      <c r="E1946" s="99" t="n">
        <v>7</v>
      </c>
      <c r="F1946" s="101" t="n">
        <v>40</v>
      </c>
      <c r="G1946" s="102" t="n">
        <f aca="false">IFERROR(F1946/INDEX($G$5:$G$34,MATCH(LOOKUP(2,1/($A$39:A1946&lt;&gt;""),$A$39:A1946),$A$5:$A$34,0)),0)</f>
        <v>1</v>
      </c>
      <c r="H1946" s="103" t="str">
        <f aca="false">IF(G1946=0,"空闲",IF(G1946&lt;=0.6,"低负荷",IF(G1946&lt;=0.85,"正常",IF(G1946&lt;=1,"满负荷","超负荷"))))</f>
        <v>满负荷</v>
      </c>
      <c r="I1946" s="106" t="s">
        <v>760</v>
      </c>
      <c r="J1946" s="106"/>
      <c r="K1946" s="106"/>
      <c r="L1946" s="105" t="s">
        <v>672</v>
      </c>
    </row>
    <row r="1947" customFormat="false" ht="48" hidden="false" customHeight="true" outlineLevel="0" collapsed="false">
      <c r="A1947" s="99"/>
      <c r="B1947" s="100" t="n">
        <v>46482</v>
      </c>
      <c r="C1947" s="100" t="n">
        <v>46488</v>
      </c>
      <c r="D1947" s="99" t="s">
        <v>640</v>
      </c>
      <c r="E1947" s="99" t="n">
        <v>8</v>
      </c>
      <c r="F1947" s="101" t="n">
        <v>40</v>
      </c>
      <c r="G1947" s="102" t="n">
        <f aca="false">IFERROR(F1947/INDEX($G$5:$G$34,MATCH(LOOKUP(2,1/($A$39:A1947&lt;&gt;""),$A$39:A1947),$A$5:$A$34,0)),0)</f>
        <v>1</v>
      </c>
      <c r="H1947" s="103" t="str">
        <f aca="false">IF(G1947=0,"空闲",IF(G1947&lt;=0.6,"低负荷",IF(G1947&lt;=0.85,"正常",IF(G1947&lt;=1,"满负荷","超负荷"))))</f>
        <v>满负荷</v>
      </c>
      <c r="I1947" s="106" t="s">
        <v>761</v>
      </c>
      <c r="J1947" s="106"/>
      <c r="K1947" s="106"/>
      <c r="L1947" s="105" t="s">
        <v>674</v>
      </c>
    </row>
    <row r="1948" customFormat="false" ht="48" hidden="false" customHeight="true" outlineLevel="0" collapsed="false">
      <c r="A1948" s="99"/>
      <c r="B1948" s="100" t="n">
        <v>46489</v>
      </c>
      <c r="C1948" s="100" t="n">
        <v>46495</v>
      </c>
      <c r="D1948" s="99" t="s">
        <v>640</v>
      </c>
      <c r="E1948" s="99" t="n">
        <v>8</v>
      </c>
      <c r="F1948" s="101" t="n">
        <v>40</v>
      </c>
      <c r="G1948" s="102" t="n">
        <f aca="false">IFERROR(F1948/INDEX($G$5:$G$34,MATCH(LOOKUP(2,1/($A$39:A1948&lt;&gt;""),$A$39:A1948),$A$5:$A$34,0)),0)</f>
        <v>1</v>
      </c>
      <c r="H1948" s="103" t="str">
        <f aca="false">IF(G1948=0,"空闲",IF(G1948&lt;=0.6,"低负荷",IF(G1948&lt;=0.85,"正常",IF(G1948&lt;=1,"满负荷","超负荷"))))</f>
        <v>满负荷</v>
      </c>
      <c r="I1948" s="106" t="s">
        <v>761</v>
      </c>
      <c r="J1948" s="106"/>
      <c r="K1948" s="106"/>
      <c r="L1948" s="105" t="s">
        <v>674</v>
      </c>
    </row>
    <row r="1949" customFormat="false" ht="48" hidden="false" customHeight="true" outlineLevel="0" collapsed="false">
      <c r="A1949" s="99"/>
      <c r="B1949" s="100" t="n">
        <v>46496</v>
      </c>
      <c r="C1949" s="100" t="n">
        <v>46502</v>
      </c>
      <c r="D1949" s="99" t="s">
        <v>638</v>
      </c>
      <c r="E1949" s="99" t="n">
        <v>0</v>
      </c>
      <c r="F1949" s="101" t="n">
        <v>0</v>
      </c>
      <c r="G1949" s="102" t="n">
        <f aca="false">IFERROR(F1949/INDEX($G$5:$G$34,MATCH(LOOKUP(2,1/($A$39:A1949&lt;&gt;""),$A$39:A1949),$A$5:$A$34,0)),0)</f>
        <v>0</v>
      </c>
      <c r="H1949" s="103" t="str">
        <f aca="false">IF(G1949=0,"空闲",IF(G1949&lt;=0.6,"低负荷",IF(G1949&lt;=0.85,"正常",IF(G1949&lt;=1,"满负荷","超负荷"))))</f>
        <v>空闲</v>
      </c>
      <c r="I1949" s="104" t="s">
        <v>638</v>
      </c>
      <c r="J1949" s="104"/>
      <c r="K1949" s="104"/>
      <c r="L1949" s="105" t="s">
        <v>639</v>
      </c>
    </row>
    <row r="1950" customFormat="false" ht="48" hidden="false" customHeight="true" outlineLevel="0" collapsed="false">
      <c r="A1950" s="99"/>
      <c r="B1950" s="100" t="n">
        <v>46503</v>
      </c>
      <c r="C1950" s="100" t="n">
        <v>46509</v>
      </c>
      <c r="D1950" s="99" t="s">
        <v>638</v>
      </c>
      <c r="E1950" s="99" t="n">
        <v>0</v>
      </c>
      <c r="F1950" s="101" t="n">
        <v>0</v>
      </c>
      <c r="G1950" s="102" t="n">
        <f aca="false">IFERROR(F1950/INDEX($G$5:$G$34,MATCH(LOOKUP(2,1/($A$39:A1950&lt;&gt;""),$A$39:A1950),$A$5:$A$34,0)),0)</f>
        <v>0</v>
      </c>
      <c r="H1950" s="103" t="str">
        <f aca="false">IF(G1950=0,"空闲",IF(G1950&lt;=0.6,"低负荷",IF(G1950&lt;=0.85,"正常",IF(G1950&lt;=1,"满负荷","超负荷"))))</f>
        <v>空闲</v>
      </c>
      <c r="I1950" s="104" t="s">
        <v>638</v>
      </c>
      <c r="J1950" s="104"/>
      <c r="K1950" s="104"/>
      <c r="L1950" s="105" t="s">
        <v>639</v>
      </c>
    </row>
    <row r="1951" customFormat="false" ht="48" hidden="false" customHeight="true" outlineLevel="0" collapsed="false">
      <c r="A1951" s="99"/>
      <c r="B1951" s="100" t="n">
        <v>46510</v>
      </c>
      <c r="C1951" s="100" t="n">
        <v>46516</v>
      </c>
      <c r="D1951" s="99" t="s">
        <v>638</v>
      </c>
      <c r="E1951" s="99" t="n">
        <v>0</v>
      </c>
      <c r="F1951" s="101" t="n">
        <v>0</v>
      </c>
      <c r="G1951" s="102" t="n">
        <f aca="false">IFERROR(F1951/INDEX($G$5:$G$34,MATCH(LOOKUP(2,1/($A$39:A1951&lt;&gt;""),$A$39:A1951),$A$5:$A$34,0)),0)</f>
        <v>0</v>
      </c>
      <c r="H1951" s="103" t="str">
        <f aca="false">IF(G1951=0,"空闲",IF(G1951&lt;=0.6,"低负荷",IF(G1951&lt;=0.85,"正常",IF(G1951&lt;=1,"满负荷","超负荷"))))</f>
        <v>空闲</v>
      </c>
      <c r="I1951" s="104" t="s">
        <v>638</v>
      </c>
      <c r="J1951" s="104"/>
      <c r="K1951" s="104"/>
      <c r="L1951" s="105" t="s">
        <v>639</v>
      </c>
    </row>
    <row r="1952" customFormat="false" ht="48" hidden="false" customHeight="true" outlineLevel="0" collapsed="false">
      <c r="A1952" s="99"/>
      <c r="B1952" s="100" t="n">
        <v>46517</v>
      </c>
      <c r="C1952" s="100" t="n">
        <v>46523</v>
      </c>
      <c r="D1952" s="99" t="s">
        <v>638</v>
      </c>
      <c r="E1952" s="99" t="n">
        <v>0</v>
      </c>
      <c r="F1952" s="101" t="n">
        <v>0</v>
      </c>
      <c r="G1952" s="102" t="n">
        <f aca="false">IFERROR(F1952/INDEX($G$5:$G$34,MATCH(LOOKUP(2,1/($A$39:A1952&lt;&gt;""),$A$39:A1952),$A$5:$A$34,0)),0)</f>
        <v>0</v>
      </c>
      <c r="H1952" s="103" t="str">
        <f aca="false">IF(G1952=0,"空闲",IF(G1952&lt;=0.6,"低负荷",IF(G1952&lt;=0.85,"正常",IF(G1952&lt;=1,"满负荷","超负荷"))))</f>
        <v>空闲</v>
      </c>
      <c r="I1952" s="104" t="s">
        <v>638</v>
      </c>
      <c r="J1952" s="104"/>
      <c r="K1952" s="104"/>
      <c r="L1952" s="105" t="s">
        <v>639</v>
      </c>
    </row>
    <row r="1953" customFormat="false" ht="48" hidden="false" customHeight="true" outlineLevel="0" collapsed="false">
      <c r="A1953" s="99"/>
      <c r="B1953" s="100" t="n">
        <v>46524</v>
      </c>
      <c r="C1953" s="100" t="n">
        <v>46530</v>
      </c>
      <c r="D1953" s="99" t="s">
        <v>638</v>
      </c>
      <c r="E1953" s="99" t="n">
        <v>0</v>
      </c>
      <c r="F1953" s="101" t="n">
        <v>0</v>
      </c>
      <c r="G1953" s="102" t="n">
        <f aca="false">IFERROR(F1953/INDEX($G$5:$G$34,MATCH(LOOKUP(2,1/($A$39:A1953&lt;&gt;""),$A$39:A1953),$A$5:$A$34,0)),0)</f>
        <v>0</v>
      </c>
      <c r="H1953" s="103" t="str">
        <f aca="false">IF(G1953=0,"空闲",IF(G1953&lt;=0.6,"低负荷",IF(G1953&lt;=0.85,"正常",IF(G1953&lt;=1,"满负荷","超负荷"))))</f>
        <v>空闲</v>
      </c>
      <c r="I1953" s="104" t="s">
        <v>638</v>
      </c>
      <c r="J1953" s="104"/>
      <c r="K1953" s="104"/>
      <c r="L1953" s="105" t="s">
        <v>639</v>
      </c>
    </row>
    <row r="1954" customFormat="false" ht="48" hidden="false" customHeight="true" outlineLevel="0" collapsed="false">
      <c r="A1954" s="99"/>
      <c r="B1954" s="100" t="n">
        <v>46531</v>
      </c>
      <c r="C1954" s="100" t="n">
        <v>46537</v>
      </c>
      <c r="D1954" s="99" t="s">
        <v>638</v>
      </c>
      <c r="E1954" s="99" t="n">
        <v>0</v>
      </c>
      <c r="F1954" s="101" t="n">
        <v>0</v>
      </c>
      <c r="G1954" s="102" t="n">
        <f aca="false">IFERROR(F1954/INDEX($G$5:$G$34,MATCH(LOOKUP(2,1/($A$39:A1954&lt;&gt;""),$A$39:A1954),$A$5:$A$34,0)),0)</f>
        <v>0</v>
      </c>
      <c r="H1954" s="103" t="str">
        <f aca="false">IF(G1954=0,"空闲",IF(G1954&lt;=0.6,"低负荷",IF(G1954&lt;=0.85,"正常",IF(G1954&lt;=1,"满负荷","超负荷"))))</f>
        <v>空闲</v>
      </c>
      <c r="I1954" s="104" t="s">
        <v>638</v>
      </c>
      <c r="J1954" s="104"/>
      <c r="K1954" s="104"/>
      <c r="L1954" s="105" t="s">
        <v>639</v>
      </c>
    </row>
    <row r="1955" customFormat="false" ht="48" hidden="false" customHeight="true" outlineLevel="0" collapsed="false">
      <c r="A1955" s="99"/>
      <c r="B1955" s="100" t="n">
        <v>46538</v>
      </c>
      <c r="C1955" s="100" t="n">
        <v>46544</v>
      </c>
      <c r="D1955" s="99" t="s">
        <v>640</v>
      </c>
      <c r="E1955" s="99" t="n">
        <v>1</v>
      </c>
      <c r="F1955" s="101" t="n">
        <v>40</v>
      </c>
      <c r="G1955" s="102" t="n">
        <f aca="false">IFERROR(F1955/INDEX($G$5:$G$34,MATCH(LOOKUP(2,1/($A$39:A1955&lt;&gt;""),$A$39:A1955),$A$5:$A$34,0)),0)</f>
        <v>1</v>
      </c>
      <c r="H1955" s="103" t="str">
        <f aca="false">IF(G1955=0,"空闲",IF(G1955&lt;=0.6,"低负荷",IF(G1955&lt;=0.85,"正常",IF(G1955&lt;=1,"满负荷","超负荷"))))</f>
        <v>满负荷</v>
      </c>
      <c r="I1955" s="106" t="s">
        <v>762</v>
      </c>
      <c r="J1955" s="106"/>
      <c r="K1955" s="106"/>
      <c r="L1955" s="105" t="s">
        <v>642</v>
      </c>
    </row>
    <row r="1956" customFormat="false" ht="48" hidden="false" customHeight="true" outlineLevel="0" collapsed="false">
      <c r="A1956" s="99" t="s">
        <v>508</v>
      </c>
      <c r="B1956" s="100" t="n">
        <v>46048</v>
      </c>
      <c r="C1956" s="100" t="n">
        <v>46054</v>
      </c>
      <c r="D1956" s="99" t="s">
        <v>638</v>
      </c>
      <c r="E1956" s="99" t="n">
        <v>0</v>
      </c>
      <c r="F1956" s="101" t="n">
        <v>0</v>
      </c>
      <c r="G1956" s="102" t="n">
        <f aca="false">IFERROR(F1956/INDEX($G$5:$G$34,MATCH(LOOKUP(2,1/($A$39:A1956&lt;&gt;""),$A$39:A1956),$A$5:$A$34,0)),0)</f>
        <v>0</v>
      </c>
      <c r="H1956" s="103" t="str">
        <f aca="false">IF(G1956=0,"空闲",IF(G1956&lt;=0.6,"低负荷",IF(G1956&lt;=0.85,"正常",IF(G1956&lt;=1,"满负荷","超负荷"))))</f>
        <v>空闲</v>
      </c>
      <c r="I1956" s="104" t="s">
        <v>638</v>
      </c>
      <c r="J1956" s="104"/>
      <c r="K1956" s="104"/>
      <c r="L1956" s="105" t="s">
        <v>639</v>
      </c>
    </row>
    <row r="1957" customFormat="false" ht="48" hidden="false" customHeight="true" outlineLevel="0" collapsed="false">
      <c r="A1957" s="99"/>
      <c r="B1957" s="100" t="n">
        <v>46055</v>
      </c>
      <c r="C1957" s="100" t="n">
        <v>46061</v>
      </c>
      <c r="D1957" s="99" t="s">
        <v>638</v>
      </c>
      <c r="E1957" s="99" t="n">
        <v>0</v>
      </c>
      <c r="F1957" s="101" t="n">
        <v>0</v>
      </c>
      <c r="G1957" s="102" t="n">
        <f aca="false">IFERROR(F1957/INDEX($G$5:$G$34,MATCH(LOOKUP(2,1/($A$39:A1957&lt;&gt;""),$A$39:A1957),$A$5:$A$34,0)),0)</f>
        <v>0</v>
      </c>
      <c r="H1957" s="103" t="str">
        <f aca="false">IF(G1957=0,"空闲",IF(G1957&lt;=0.6,"低负荷",IF(G1957&lt;=0.85,"正常",IF(G1957&lt;=1,"满负荷","超负荷"))))</f>
        <v>空闲</v>
      </c>
      <c r="I1957" s="104" t="s">
        <v>638</v>
      </c>
      <c r="J1957" s="104"/>
      <c r="K1957" s="104"/>
      <c r="L1957" s="105" t="s">
        <v>639</v>
      </c>
    </row>
    <row r="1958" customFormat="false" ht="48" hidden="false" customHeight="true" outlineLevel="0" collapsed="false">
      <c r="A1958" s="99"/>
      <c r="B1958" s="100" t="n">
        <v>46062</v>
      </c>
      <c r="C1958" s="100" t="n">
        <v>46068</v>
      </c>
      <c r="D1958" s="99" t="s">
        <v>638</v>
      </c>
      <c r="E1958" s="99" t="n">
        <v>0</v>
      </c>
      <c r="F1958" s="101" t="n">
        <v>0</v>
      </c>
      <c r="G1958" s="102" t="n">
        <f aca="false">IFERROR(F1958/INDEX($G$5:$G$34,MATCH(LOOKUP(2,1/($A$39:A1958&lt;&gt;""),$A$39:A1958),$A$5:$A$34,0)),0)</f>
        <v>0</v>
      </c>
      <c r="H1958" s="103" t="str">
        <f aca="false">IF(G1958=0,"空闲",IF(G1958&lt;=0.6,"低负荷",IF(G1958&lt;=0.85,"正常",IF(G1958&lt;=1,"满负荷","超负荷"))))</f>
        <v>空闲</v>
      </c>
      <c r="I1958" s="104" t="s">
        <v>638</v>
      </c>
      <c r="J1958" s="104"/>
      <c r="K1958" s="104"/>
      <c r="L1958" s="105" t="s">
        <v>639</v>
      </c>
    </row>
    <row r="1959" customFormat="false" ht="48" hidden="false" customHeight="true" outlineLevel="0" collapsed="false">
      <c r="A1959" s="99"/>
      <c r="B1959" s="100" t="n">
        <v>46069</v>
      </c>
      <c r="C1959" s="100" t="n">
        <v>46075</v>
      </c>
      <c r="D1959" s="99" t="s">
        <v>638</v>
      </c>
      <c r="E1959" s="99" t="n">
        <v>0</v>
      </c>
      <c r="F1959" s="101" t="n">
        <v>0</v>
      </c>
      <c r="G1959" s="102" t="n">
        <f aca="false">IFERROR(F1959/INDEX($G$5:$G$34,MATCH(LOOKUP(2,1/($A$39:A1959&lt;&gt;""),$A$39:A1959),$A$5:$A$34,0)),0)</f>
        <v>0</v>
      </c>
      <c r="H1959" s="103" t="str">
        <f aca="false">IF(G1959=0,"空闲",IF(G1959&lt;=0.6,"低负荷",IF(G1959&lt;=0.85,"正常",IF(G1959&lt;=1,"满负荷","超负荷"))))</f>
        <v>空闲</v>
      </c>
      <c r="I1959" s="104" t="s">
        <v>638</v>
      </c>
      <c r="J1959" s="104"/>
      <c r="K1959" s="104"/>
      <c r="L1959" s="105" t="s">
        <v>639</v>
      </c>
    </row>
    <row r="1960" customFormat="false" ht="48" hidden="false" customHeight="true" outlineLevel="0" collapsed="false">
      <c r="A1960" s="99"/>
      <c r="B1960" s="100" t="n">
        <v>46076</v>
      </c>
      <c r="C1960" s="100" t="n">
        <v>46082</v>
      </c>
      <c r="D1960" s="99" t="s">
        <v>638</v>
      </c>
      <c r="E1960" s="99" t="n">
        <v>0</v>
      </c>
      <c r="F1960" s="101" t="n">
        <v>0</v>
      </c>
      <c r="G1960" s="102" t="n">
        <f aca="false">IFERROR(F1960/INDEX($G$5:$G$34,MATCH(LOOKUP(2,1/($A$39:A1960&lt;&gt;""),$A$39:A1960),$A$5:$A$34,0)),0)</f>
        <v>0</v>
      </c>
      <c r="H1960" s="103" t="str">
        <f aca="false">IF(G1960=0,"空闲",IF(G1960&lt;=0.6,"低负荷",IF(G1960&lt;=0.85,"正常",IF(G1960&lt;=1,"满负荷","超负荷"))))</f>
        <v>空闲</v>
      </c>
      <c r="I1960" s="104" t="s">
        <v>638</v>
      </c>
      <c r="J1960" s="104"/>
      <c r="K1960" s="104"/>
      <c r="L1960" s="105" t="s">
        <v>639</v>
      </c>
    </row>
    <row r="1961" customFormat="false" ht="48" hidden="false" customHeight="true" outlineLevel="0" collapsed="false">
      <c r="A1961" s="99"/>
      <c r="B1961" s="100" t="n">
        <v>46083</v>
      </c>
      <c r="C1961" s="100" t="n">
        <v>46089</v>
      </c>
      <c r="D1961" s="99" t="s">
        <v>638</v>
      </c>
      <c r="E1961" s="99" t="n">
        <v>0</v>
      </c>
      <c r="F1961" s="101" t="n">
        <v>0</v>
      </c>
      <c r="G1961" s="102" t="n">
        <f aca="false">IFERROR(F1961/INDEX($G$5:$G$34,MATCH(LOOKUP(2,1/($A$39:A1961&lt;&gt;""),$A$39:A1961),$A$5:$A$34,0)),0)</f>
        <v>0</v>
      </c>
      <c r="H1961" s="103" t="str">
        <f aca="false">IF(G1961=0,"空闲",IF(G1961&lt;=0.6,"低负荷",IF(G1961&lt;=0.85,"正常",IF(G1961&lt;=1,"满负荷","超负荷"))))</f>
        <v>空闲</v>
      </c>
      <c r="I1961" s="104" t="s">
        <v>638</v>
      </c>
      <c r="J1961" s="104"/>
      <c r="K1961" s="104"/>
      <c r="L1961" s="105" t="s">
        <v>639</v>
      </c>
    </row>
    <row r="1962" customFormat="false" ht="48" hidden="false" customHeight="true" outlineLevel="0" collapsed="false">
      <c r="A1962" s="99"/>
      <c r="B1962" s="100" t="n">
        <v>46090</v>
      </c>
      <c r="C1962" s="100" t="n">
        <v>46096</v>
      </c>
      <c r="D1962" s="99" t="s">
        <v>638</v>
      </c>
      <c r="E1962" s="99" t="n">
        <v>0</v>
      </c>
      <c r="F1962" s="101" t="n">
        <v>0</v>
      </c>
      <c r="G1962" s="102" t="n">
        <f aca="false">IFERROR(F1962/INDEX($G$5:$G$34,MATCH(LOOKUP(2,1/($A$39:A1962&lt;&gt;""),$A$39:A1962),$A$5:$A$34,0)),0)</f>
        <v>0</v>
      </c>
      <c r="H1962" s="103" t="str">
        <f aca="false">IF(G1962=0,"空闲",IF(G1962&lt;=0.6,"低负荷",IF(G1962&lt;=0.85,"正常",IF(G1962&lt;=1,"满负荷","超负荷"))))</f>
        <v>空闲</v>
      </c>
      <c r="I1962" s="104" t="s">
        <v>638</v>
      </c>
      <c r="J1962" s="104"/>
      <c r="K1962" s="104"/>
      <c r="L1962" s="105" t="s">
        <v>639</v>
      </c>
    </row>
    <row r="1963" customFormat="false" ht="48" hidden="false" customHeight="true" outlineLevel="0" collapsed="false">
      <c r="A1963" s="99"/>
      <c r="B1963" s="100" t="n">
        <v>46097</v>
      </c>
      <c r="C1963" s="100" t="n">
        <v>46103</v>
      </c>
      <c r="D1963" s="99" t="s">
        <v>638</v>
      </c>
      <c r="E1963" s="99" t="n">
        <v>0</v>
      </c>
      <c r="F1963" s="101" t="n">
        <v>0</v>
      </c>
      <c r="G1963" s="102" t="n">
        <f aca="false">IFERROR(F1963/INDEX($G$5:$G$34,MATCH(LOOKUP(2,1/($A$39:A1963&lt;&gt;""),$A$39:A1963),$A$5:$A$34,0)),0)</f>
        <v>0</v>
      </c>
      <c r="H1963" s="103" t="str">
        <f aca="false">IF(G1963=0,"空闲",IF(G1963&lt;=0.6,"低负荷",IF(G1963&lt;=0.85,"正常",IF(G1963&lt;=1,"满负荷","超负荷"))))</f>
        <v>空闲</v>
      </c>
      <c r="I1963" s="104" t="s">
        <v>638</v>
      </c>
      <c r="J1963" s="104"/>
      <c r="K1963" s="104"/>
      <c r="L1963" s="105" t="s">
        <v>639</v>
      </c>
    </row>
    <row r="1964" customFormat="false" ht="48" hidden="false" customHeight="true" outlineLevel="0" collapsed="false">
      <c r="A1964" s="99"/>
      <c r="B1964" s="100" t="n">
        <v>46104</v>
      </c>
      <c r="C1964" s="100" t="n">
        <v>46110</v>
      </c>
      <c r="D1964" s="99" t="s">
        <v>638</v>
      </c>
      <c r="E1964" s="99" t="n">
        <v>0</v>
      </c>
      <c r="F1964" s="101" t="n">
        <v>0</v>
      </c>
      <c r="G1964" s="102" t="n">
        <f aca="false">IFERROR(F1964/INDEX($G$5:$G$34,MATCH(LOOKUP(2,1/($A$39:A1964&lt;&gt;""),$A$39:A1964),$A$5:$A$34,0)),0)</f>
        <v>0</v>
      </c>
      <c r="H1964" s="103" t="str">
        <f aca="false">IF(G1964=0,"空闲",IF(G1964&lt;=0.6,"低负荷",IF(G1964&lt;=0.85,"正常",IF(G1964&lt;=1,"满负荷","超负荷"))))</f>
        <v>空闲</v>
      </c>
      <c r="I1964" s="104" t="s">
        <v>638</v>
      </c>
      <c r="J1964" s="104"/>
      <c r="K1964" s="104"/>
      <c r="L1964" s="105" t="s">
        <v>639</v>
      </c>
    </row>
    <row r="1965" customFormat="false" ht="48" hidden="false" customHeight="true" outlineLevel="0" collapsed="false">
      <c r="A1965" s="99"/>
      <c r="B1965" s="100" t="n">
        <v>46111</v>
      </c>
      <c r="C1965" s="100" t="n">
        <v>46117</v>
      </c>
      <c r="D1965" s="99" t="s">
        <v>638</v>
      </c>
      <c r="E1965" s="99" t="n">
        <v>0</v>
      </c>
      <c r="F1965" s="101" t="n">
        <v>0</v>
      </c>
      <c r="G1965" s="102" t="n">
        <f aca="false">IFERROR(F1965/INDEX($G$5:$G$34,MATCH(LOOKUP(2,1/($A$39:A1965&lt;&gt;""),$A$39:A1965),$A$5:$A$34,0)),0)</f>
        <v>0</v>
      </c>
      <c r="H1965" s="103" t="str">
        <f aca="false">IF(G1965=0,"空闲",IF(G1965&lt;=0.6,"低负荷",IF(G1965&lt;=0.85,"正常",IF(G1965&lt;=1,"满负荷","超负荷"))))</f>
        <v>空闲</v>
      </c>
      <c r="I1965" s="104" t="s">
        <v>638</v>
      </c>
      <c r="J1965" s="104"/>
      <c r="K1965" s="104"/>
      <c r="L1965" s="105" t="s">
        <v>639</v>
      </c>
    </row>
    <row r="1966" customFormat="false" ht="48" hidden="false" customHeight="true" outlineLevel="0" collapsed="false">
      <c r="A1966" s="99"/>
      <c r="B1966" s="100" t="n">
        <v>46118</v>
      </c>
      <c r="C1966" s="100" t="n">
        <v>46124</v>
      </c>
      <c r="D1966" s="99" t="s">
        <v>638</v>
      </c>
      <c r="E1966" s="99" t="n">
        <v>0</v>
      </c>
      <c r="F1966" s="101" t="n">
        <v>0</v>
      </c>
      <c r="G1966" s="102" t="n">
        <f aca="false">IFERROR(F1966/INDEX($G$5:$G$34,MATCH(LOOKUP(2,1/($A$39:A1966&lt;&gt;""),$A$39:A1966),$A$5:$A$34,0)),0)</f>
        <v>0</v>
      </c>
      <c r="H1966" s="103" t="str">
        <f aca="false">IF(G1966=0,"空闲",IF(G1966&lt;=0.6,"低负荷",IF(G1966&lt;=0.85,"正常",IF(G1966&lt;=1,"满负荷","超负荷"))))</f>
        <v>空闲</v>
      </c>
      <c r="I1966" s="104" t="s">
        <v>638</v>
      </c>
      <c r="J1966" s="104"/>
      <c r="K1966" s="104"/>
      <c r="L1966" s="105" t="s">
        <v>639</v>
      </c>
    </row>
    <row r="1967" customFormat="false" ht="48" hidden="false" customHeight="true" outlineLevel="0" collapsed="false">
      <c r="A1967" s="99"/>
      <c r="B1967" s="100" t="n">
        <v>46125</v>
      </c>
      <c r="C1967" s="100" t="n">
        <v>46131</v>
      </c>
      <c r="D1967" s="99" t="s">
        <v>638</v>
      </c>
      <c r="E1967" s="99" t="n">
        <v>0</v>
      </c>
      <c r="F1967" s="101" t="n">
        <v>0</v>
      </c>
      <c r="G1967" s="102" t="n">
        <f aca="false">IFERROR(F1967/INDEX($G$5:$G$34,MATCH(LOOKUP(2,1/($A$39:A1967&lt;&gt;""),$A$39:A1967),$A$5:$A$34,0)),0)</f>
        <v>0</v>
      </c>
      <c r="H1967" s="103" t="str">
        <f aca="false">IF(G1967=0,"空闲",IF(G1967&lt;=0.6,"低负荷",IF(G1967&lt;=0.85,"正常",IF(G1967&lt;=1,"满负荷","超负荷"))))</f>
        <v>空闲</v>
      </c>
      <c r="I1967" s="104" t="s">
        <v>638</v>
      </c>
      <c r="J1967" s="104"/>
      <c r="K1967" s="104"/>
      <c r="L1967" s="105" t="s">
        <v>639</v>
      </c>
    </row>
    <row r="1968" customFormat="false" ht="48" hidden="false" customHeight="true" outlineLevel="0" collapsed="false">
      <c r="A1968" s="99"/>
      <c r="B1968" s="100" t="n">
        <v>46132</v>
      </c>
      <c r="C1968" s="100" t="n">
        <v>46138</v>
      </c>
      <c r="D1968" s="99" t="s">
        <v>638</v>
      </c>
      <c r="E1968" s="99" t="n">
        <v>0</v>
      </c>
      <c r="F1968" s="101" t="n">
        <v>0</v>
      </c>
      <c r="G1968" s="102" t="n">
        <f aca="false">IFERROR(F1968/INDEX($G$5:$G$34,MATCH(LOOKUP(2,1/($A$39:A1968&lt;&gt;""),$A$39:A1968),$A$5:$A$34,0)),0)</f>
        <v>0</v>
      </c>
      <c r="H1968" s="103" t="str">
        <f aca="false">IF(G1968=0,"空闲",IF(G1968&lt;=0.6,"低负荷",IF(G1968&lt;=0.85,"正常",IF(G1968&lt;=1,"满负荷","超负荷"))))</f>
        <v>空闲</v>
      </c>
      <c r="I1968" s="104" t="s">
        <v>638</v>
      </c>
      <c r="J1968" s="104"/>
      <c r="K1968" s="104"/>
      <c r="L1968" s="105" t="s">
        <v>639</v>
      </c>
    </row>
    <row r="1969" customFormat="false" ht="48" hidden="false" customHeight="true" outlineLevel="0" collapsed="false">
      <c r="A1969" s="99"/>
      <c r="B1969" s="100" t="n">
        <v>46139</v>
      </c>
      <c r="C1969" s="100" t="n">
        <v>46145</v>
      </c>
      <c r="D1969" s="99" t="s">
        <v>638</v>
      </c>
      <c r="E1969" s="99" t="n">
        <v>0</v>
      </c>
      <c r="F1969" s="101" t="n">
        <v>0</v>
      </c>
      <c r="G1969" s="102" t="n">
        <f aca="false">IFERROR(F1969/INDEX($G$5:$G$34,MATCH(LOOKUP(2,1/($A$39:A1969&lt;&gt;""),$A$39:A1969),$A$5:$A$34,0)),0)</f>
        <v>0</v>
      </c>
      <c r="H1969" s="103" t="str">
        <f aca="false">IF(G1969=0,"空闲",IF(G1969&lt;=0.6,"低负荷",IF(G1969&lt;=0.85,"正常",IF(G1969&lt;=1,"满负荷","超负荷"))))</f>
        <v>空闲</v>
      </c>
      <c r="I1969" s="104" t="s">
        <v>638</v>
      </c>
      <c r="J1969" s="104"/>
      <c r="K1969" s="104"/>
      <c r="L1969" s="105" t="s">
        <v>639</v>
      </c>
    </row>
    <row r="1970" customFormat="false" ht="48" hidden="false" customHeight="true" outlineLevel="0" collapsed="false">
      <c r="A1970" s="99"/>
      <c r="B1970" s="100" t="n">
        <v>46146</v>
      </c>
      <c r="C1970" s="100" t="n">
        <v>46152</v>
      </c>
      <c r="D1970" s="99" t="s">
        <v>638</v>
      </c>
      <c r="E1970" s="99" t="n">
        <v>0</v>
      </c>
      <c r="F1970" s="101" t="n">
        <v>0</v>
      </c>
      <c r="G1970" s="102" t="n">
        <f aca="false">IFERROR(F1970/INDEX($G$5:$G$34,MATCH(LOOKUP(2,1/($A$39:A1970&lt;&gt;""),$A$39:A1970),$A$5:$A$34,0)),0)</f>
        <v>0</v>
      </c>
      <c r="H1970" s="103" t="str">
        <f aca="false">IF(G1970=0,"空闲",IF(G1970&lt;=0.6,"低负荷",IF(G1970&lt;=0.85,"正常",IF(G1970&lt;=1,"满负荷","超负荷"))))</f>
        <v>空闲</v>
      </c>
      <c r="I1970" s="104" t="s">
        <v>638</v>
      </c>
      <c r="J1970" s="104"/>
      <c r="K1970" s="104"/>
      <c r="L1970" s="105" t="s">
        <v>639</v>
      </c>
    </row>
    <row r="1971" customFormat="false" ht="48" hidden="false" customHeight="true" outlineLevel="0" collapsed="false">
      <c r="A1971" s="99"/>
      <c r="B1971" s="100" t="n">
        <v>46153</v>
      </c>
      <c r="C1971" s="100" t="n">
        <v>46159</v>
      </c>
      <c r="D1971" s="99" t="s">
        <v>638</v>
      </c>
      <c r="E1971" s="99" t="n">
        <v>0</v>
      </c>
      <c r="F1971" s="101" t="n">
        <v>0</v>
      </c>
      <c r="G1971" s="102" t="n">
        <f aca="false">IFERROR(F1971/INDEX($G$5:$G$34,MATCH(LOOKUP(2,1/($A$39:A1971&lt;&gt;""),$A$39:A1971),$A$5:$A$34,0)),0)</f>
        <v>0</v>
      </c>
      <c r="H1971" s="103" t="str">
        <f aca="false">IF(G1971=0,"空闲",IF(G1971&lt;=0.6,"低负荷",IF(G1971&lt;=0.85,"正常",IF(G1971&lt;=1,"满负荷","超负荷"))))</f>
        <v>空闲</v>
      </c>
      <c r="I1971" s="104" t="s">
        <v>638</v>
      </c>
      <c r="J1971" s="104"/>
      <c r="K1971" s="104"/>
      <c r="L1971" s="105" t="s">
        <v>639</v>
      </c>
    </row>
    <row r="1972" customFormat="false" ht="48" hidden="false" customHeight="true" outlineLevel="0" collapsed="false">
      <c r="A1972" s="99"/>
      <c r="B1972" s="100" t="n">
        <v>46160</v>
      </c>
      <c r="C1972" s="100" t="n">
        <v>46166</v>
      </c>
      <c r="D1972" s="99" t="s">
        <v>638</v>
      </c>
      <c r="E1972" s="99" t="n">
        <v>0</v>
      </c>
      <c r="F1972" s="101" t="n">
        <v>0</v>
      </c>
      <c r="G1972" s="102" t="n">
        <f aca="false">IFERROR(F1972/INDEX($G$5:$G$34,MATCH(LOOKUP(2,1/($A$39:A1972&lt;&gt;""),$A$39:A1972),$A$5:$A$34,0)),0)</f>
        <v>0</v>
      </c>
      <c r="H1972" s="103" t="str">
        <f aca="false">IF(G1972=0,"空闲",IF(G1972&lt;=0.6,"低负荷",IF(G1972&lt;=0.85,"正常",IF(G1972&lt;=1,"满负荷","超负荷"))))</f>
        <v>空闲</v>
      </c>
      <c r="I1972" s="104" t="s">
        <v>638</v>
      </c>
      <c r="J1972" s="104"/>
      <c r="K1972" s="104"/>
      <c r="L1972" s="105" t="s">
        <v>639</v>
      </c>
    </row>
    <row r="1973" customFormat="false" ht="48" hidden="false" customHeight="true" outlineLevel="0" collapsed="false">
      <c r="A1973" s="99"/>
      <c r="B1973" s="100" t="n">
        <v>46167</v>
      </c>
      <c r="C1973" s="100" t="n">
        <v>46173</v>
      </c>
      <c r="D1973" s="99" t="s">
        <v>638</v>
      </c>
      <c r="E1973" s="99" t="n">
        <v>0</v>
      </c>
      <c r="F1973" s="101" t="n">
        <v>0</v>
      </c>
      <c r="G1973" s="102" t="n">
        <f aca="false">IFERROR(F1973/INDEX($G$5:$G$34,MATCH(LOOKUP(2,1/($A$39:A1973&lt;&gt;""),$A$39:A1973),$A$5:$A$34,0)),0)</f>
        <v>0</v>
      </c>
      <c r="H1973" s="103" t="str">
        <f aca="false">IF(G1973=0,"空闲",IF(G1973&lt;=0.6,"低负荷",IF(G1973&lt;=0.85,"正常",IF(G1973&lt;=1,"满负荷","超负荷"))))</f>
        <v>空闲</v>
      </c>
      <c r="I1973" s="104" t="s">
        <v>638</v>
      </c>
      <c r="J1973" s="104"/>
      <c r="K1973" s="104"/>
      <c r="L1973" s="105" t="s">
        <v>639</v>
      </c>
    </row>
    <row r="1974" customFormat="false" ht="48" hidden="false" customHeight="true" outlineLevel="0" collapsed="false">
      <c r="A1974" s="99"/>
      <c r="B1974" s="100" t="n">
        <v>46174</v>
      </c>
      <c r="C1974" s="100" t="n">
        <v>46180</v>
      </c>
      <c r="D1974" s="99" t="s">
        <v>638</v>
      </c>
      <c r="E1974" s="99" t="n">
        <v>0</v>
      </c>
      <c r="F1974" s="101" t="n">
        <v>0</v>
      </c>
      <c r="G1974" s="102" t="n">
        <f aca="false">IFERROR(F1974/INDEX($G$5:$G$34,MATCH(LOOKUP(2,1/($A$39:A1974&lt;&gt;""),$A$39:A1974),$A$5:$A$34,0)),0)</f>
        <v>0</v>
      </c>
      <c r="H1974" s="103" t="str">
        <f aca="false">IF(G1974=0,"空闲",IF(G1974&lt;=0.6,"低负荷",IF(G1974&lt;=0.85,"正常",IF(G1974&lt;=1,"满负荷","超负荷"))))</f>
        <v>空闲</v>
      </c>
      <c r="I1974" s="104" t="s">
        <v>638</v>
      </c>
      <c r="J1974" s="104"/>
      <c r="K1974" s="104"/>
      <c r="L1974" s="105" t="s">
        <v>639</v>
      </c>
    </row>
    <row r="1975" customFormat="false" ht="48" hidden="false" customHeight="true" outlineLevel="0" collapsed="false">
      <c r="A1975" s="99"/>
      <c r="B1975" s="100" t="n">
        <v>46181</v>
      </c>
      <c r="C1975" s="100" t="n">
        <v>46187</v>
      </c>
      <c r="D1975" s="99" t="s">
        <v>638</v>
      </c>
      <c r="E1975" s="99" t="n">
        <v>0</v>
      </c>
      <c r="F1975" s="101" t="n">
        <v>0</v>
      </c>
      <c r="G1975" s="102" t="n">
        <f aca="false">IFERROR(F1975/INDEX($G$5:$G$34,MATCH(LOOKUP(2,1/($A$39:A1975&lt;&gt;""),$A$39:A1975),$A$5:$A$34,0)),0)</f>
        <v>0</v>
      </c>
      <c r="H1975" s="103" t="str">
        <f aca="false">IF(G1975=0,"空闲",IF(G1975&lt;=0.6,"低负荷",IF(G1975&lt;=0.85,"正常",IF(G1975&lt;=1,"满负荷","超负荷"))))</f>
        <v>空闲</v>
      </c>
      <c r="I1975" s="104" t="s">
        <v>638</v>
      </c>
      <c r="J1975" s="104"/>
      <c r="K1975" s="104"/>
      <c r="L1975" s="105" t="s">
        <v>639</v>
      </c>
    </row>
    <row r="1976" customFormat="false" ht="48" hidden="false" customHeight="true" outlineLevel="0" collapsed="false">
      <c r="A1976" s="99"/>
      <c r="B1976" s="100" t="n">
        <v>46188</v>
      </c>
      <c r="C1976" s="100" t="n">
        <v>46194</v>
      </c>
      <c r="D1976" s="99" t="s">
        <v>638</v>
      </c>
      <c r="E1976" s="99" t="n">
        <v>0</v>
      </c>
      <c r="F1976" s="101" t="n">
        <v>0</v>
      </c>
      <c r="G1976" s="102" t="n">
        <f aca="false">IFERROR(F1976/INDEX($G$5:$G$34,MATCH(LOOKUP(2,1/($A$39:A1976&lt;&gt;""),$A$39:A1976),$A$5:$A$34,0)),0)</f>
        <v>0</v>
      </c>
      <c r="H1976" s="103" t="str">
        <f aca="false">IF(G1976=0,"空闲",IF(G1976&lt;=0.6,"低负荷",IF(G1976&lt;=0.85,"正常",IF(G1976&lt;=1,"满负荷","超负荷"))))</f>
        <v>空闲</v>
      </c>
      <c r="I1976" s="104" t="s">
        <v>638</v>
      </c>
      <c r="J1976" s="104"/>
      <c r="K1976" s="104"/>
      <c r="L1976" s="105" t="s">
        <v>639</v>
      </c>
    </row>
    <row r="1977" customFormat="false" ht="48" hidden="false" customHeight="true" outlineLevel="0" collapsed="false">
      <c r="A1977" s="99"/>
      <c r="B1977" s="100" t="n">
        <v>46195</v>
      </c>
      <c r="C1977" s="100" t="n">
        <v>46201</v>
      </c>
      <c r="D1977" s="99" t="s">
        <v>638</v>
      </c>
      <c r="E1977" s="99" t="n">
        <v>0</v>
      </c>
      <c r="F1977" s="101" t="n">
        <v>0</v>
      </c>
      <c r="G1977" s="102" t="n">
        <f aca="false">IFERROR(F1977/INDEX($G$5:$G$34,MATCH(LOOKUP(2,1/($A$39:A1977&lt;&gt;""),$A$39:A1977),$A$5:$A$34,0)),0)</f>
        <v>0</v>
      </c>
      <c r="H1977" s="103" t="str">
        <f aca="false">IF(G1977=0,"空闲",IF(G1977&lt;=0.6,"低负荷",IF(G1977&lt;=0.85,"正常",IF(G1977&lt;=1,"满负荷","超负荷"))))</f>
        <v>空闲</v>
      </c>
      <c r="I1977" s="104" t="s">
        <v>638</v>
      </c>
      <c r="J1977" s="104"/>
      <c r="K1977" s="104"/>
      <c r="L1977" s="105" t="s">
        <v>639</v>
      </c>
    </row>
    <row r="1978" customFormat="false" ht="48" hidden="false" customHeight="true" outlineLevel="0" collapsed="false">
      <c r="A1978" s="99"/>
      <c r="B1978" s="100" t="n">
        <v>46202</v>
      </c>
      <c r="C1978" s="100" t="n">
        <v>46208</v>
      </c>
      <c r="D1978" s="99" t="s">
        <v>638</v>
      </c>
      <c r="E1978" s="99" t="n">
        <v>0</v>
      </c>
      <c r="F1978" s="101" t="n">
        <v>0</v>
      </c>
      <c r="G1978" s="102" t="n">
        <f aca="false">IFERROR(F1978/INDEX($G$5:$G$34,MATCH(LOOKUP(2,1/($A$39:A1978&lt;&gt;""),$A$39:A1978),$A$5:$A$34,0)),0)</f>
        <v>0</v>
      </c>
      <c r="H1978" s="103" t="str">
        <f aca="false">IF(G1978=0,"空闲",IF(G1978&lt;=0.6,"低负荷",IF(G1978&lt;=0.85,"正常",IF(G1978&lt;=1,"满负荷","超负荷"))))</f>
        <v>空闲</v>
      </c>
      <c r="I1978" s="104" t="s">
        <v>638</v>
      </c>
      <c r="J1978" s="104"/>
      <c r="K1978" s="104"/>
      <c r="L1978" s="105" t="s">
        <v>639</v>
      </c>
    </row>
    <row r="1979" customFormat="false" ht="48" hidden="false" customHeight="true" outlineLevel="0" collapsed="false">
      <c r="A1979" s="99"/>
      <c r="B1979" s="100" t="n">
        <v>46209</v>
      </c>
      <c r="C1979" s="100" t="n">
        <v>46215</v>
      </c>
      <c r="D1979" s="99" t="s">
        <v>638</v>
      </c>
      <c r="E1979" s="99" t="n">
        <v>0</v>
      </c>
      <c r="F1979" s="101" t="n">
        <v>0</v>
      </c>
      <c r="G1979" s="102" t="n">
        <f aca="false">IFERROR(F1979/INDEX($G$5:$G$34,MATCH(LOOKUP(2,1/($A$39:A1979&lt;&gt;""),$A$39:A1979),$A$5:$A$34,0)),0)</f>
        <v>0</v>
      </c>
      <c r="H1979" s="103" t="str">
        <f aca="false">IF(G1979=0,"空闲",IF(G1979&lt;=0.6,"低负荷",IF(G1979&lt;=0.85,"正常",IF(G1979&lt;=1,"满负荷","超负荷"))))</f>
        <v>空闲</v>
      </c>
      <c r="I1979" s="104" t="s">
        <v>638</v>
      </c>
      <c r="J1979" s="104"/>
      <c r="K1979" s="104"/>
      <c r="L1979" s="105" t="s">
        <v>639</v>
      </c>
    </row>
    <row r="1980" customFormat="false" ht="48" hidden="false" customHeight="true" outlineLevel="0" collapsed="false">
      <c r="A1980" s="99"/>
      <c r="B1980" s="100" t="n">
        <v>46216</v>
      </c>
      <c r="C1980" s="100" t="n">
        <v>46222</v>
      </c>
      <c r="D1980" s="99" t="s">
        <v>638</v>
      </c>
      <c r="E1980" s="99" t="n">
        <v>0</v>
      </c>
      <c r="F1980" s="101" t="n">
        <v>0</v>
      </c>
      <c r="G1980" s="102" t="n">
        <f aca="false">IFERROR(F1980/INDEX($G$5:$G$34,MATCH(LOOKUP(2,1/($A$39:A1980&lt;&gt;""),$A$39:A1980),$A$5:$A$34,0)),0)</f>
        <v>0</v>
      </c>
      <c r="H1980" s="103" t="str">
        <f aca="false">IF(G1980=0,"空闲",IF(G1980&lt;=0.6,"低负荷",IF(G1980&lt;=0.85,"正常",IF(G1980&lt;=1,"满负荷","超负荷"))))</f>
        <v>空闲</v>
      </c>
      <c r="I1980" s="104" t="s">
        <v>638</v>
      </c>
      <c r="J1980" s="104"/>
      <c r="K1980" s="104"/>
      <c r="L1980" s="105" t="s">
        <v>639</v>
      </c>
    </row>
    <row r="1981" customFormat="false" ht="48" hidden="false" customHeight="true" outlineLevel="0" collapsed="false">
      <c r="A1981" s="99"/>
      <c r="B1981" s="100" t="n">
        <v>46223</v>
      </c>
      <c r="C1981" s="100" t="n">
        <v>46229</v>
      </c>
      <c r="D1981" s="99" t="s">
        <v>638</v>
      </c>
      <c r="E1981" s="99" t="n">
        <v>0</v>
      </c>
      <c r="F1981" s="101" t="n">
        <v>0</v>
      </c>
      <c r="G1981" s="102" t="n">
        <f aca="false">IFERROR(F1981/INDEX($G$5:$G$34,MATCH(LOOKUP(2,1/($A$39:A1981&lt;&gt;""),$A$39:A1981),$A$5:$A$34,0)),0)</f>
        <v>0</v>
      </c>
      <c r="H1981" s="103" t="str">
        <f aca="false">IF(G1981=0,"空闲",IF(G1981&lt;=0.6,"低负荷",IF(G1981&lt;=0.85,"正常",IF(G1981&lt;=1,"满负荷","超负荷"))))</f>
        <v>空闲</v>
      </c>
      <c r="I1981" s="104" t="s">
        <v>638</v>
      </c>
      <c r="J1981" s="104"/>
      <c r="K1981" s="104"/>
      <c r="L1981" s="105" t="s">
        <v>639</v>
      </c>
    </row>
    <row r="1982" customFormat="false" ht="48" hidden="false" customHeight="true" outlineLevel="0" collapsed="false">
      <c r="A1982" s="99"/>
      <c r="B1982" s="100" t="n">
        <v>46230</v>
      </c>
      <c r="C1982" s="100" t="n">
        <v>46236</v>
      </c>
      <c r="D1982" s="99" t="s">
        <v>638</v>
      </c>
      <c r="E1982" s="99" t="n">
        <v>0</v>
      </c>
      <c r="F1982" s="101" t="n">
        <v>0</v>
      </c>
      <c r="G1982" s="102" t="n">
        <f aca="false">IFERROR(F1982/INDEX($G$5:$G$34,MATCH(LOOKUP(2,1/($A$39:A1982&lt;&gt;""),$A$39:A1982),$A$5:$A$34,0)),0)</f>
        <v>0</v>
      </c>
      <c r="H1982" s="103" t="str">
        <f aca="false">IF(G1982=0,"空闲",IF(G1982&lt;=0.6,"低负荷",IF(G1982&lt;=0.85,"正常",IF(G1982&lt;=1,"满负荷","超负荷"))))</f>
        <v>空闲</v>
      </c>
      <c r="I1982" s="104" t="s">
        <v>638</v>
      </c>
      <c r="J1982" s="104"/>
      <c r="K1982" s="104"/>
      <c r="L1982" s="105" t="s">
        <v>639</v>
      </c>
    </row>
    <row r="1983" customFormat="false" ht="48" hidden="false" customHeight="true" outlineLevel="0" collapsed="false">
      <c r="A1983" s="99"/>
      <c r="B1983" s="100" t="n">
        <v>46237</v>
      </c>
      <c r="C1983" s="100" t="n">
        <v>46243</v>
      </c>
      <c r="D1983" s="99" t="s">
        <v>638</v>
      </c>
      <c r="E1983" s="99" t="n">
        <v>0</v>
      </c>
      <c r="F1983" s="101" t="n">
        <v>0</v>
      </c>
      <c r="G1983" s="102" t="n">
        <f aca="false">IFERROR(F1983/INDEX($G$5:$G$34,MATCH(LOOKUP(2,1/($A$39:A1983&lt;&gt;""),$A$39:A1983),$A$5:$A$34,0)),0)</f>
        <v>0</v>
      </c>
      <c r="H1983" s="103" t="str">
        <f aca="false">IF(G1983=0,"空闲",IF(G1983&lt;=0.6,"低负荷",IF(G1983&lt;=0.85,"正常",IF(G1983&lt;=1,"满负荷","超负荷"))))</f>
        <v>空闲</v>
      </c>
      <c r="I1983" s="104" t="s">
        <v>638</v>
      </c>
      <c r="J1983" s="104"/>
      <c r="K1983" s="104"/>
      <c r="L1983" s="105" t="s">
        <v>639</v>
      </c>
    </row>
    <row r="1984" customFormat="false" ht="48" hidden="false" customHeight="true" outlineLevel="0" collapsed="false">
      <c r="A1984" s="99"/>
      <c r="B1984" s="100" t="n">
        <v>46244</v>
      </c>
      <c r="C1984" s="100" t="n">
        <v>46250</v>
      </c>
      <c r="D1984" s="99" t="s">
        <v>638</v>
      </c>
      <c r="E1984" s="99" t="n">
        <v>0</v>
      </c>
      <c r="F1984" s="101" t="n">
        <v>0</v>
      </c>
      <c r="G1984" s="102" t="n">
        <f aca="false">IFERROR(F1984/INDEX($G$5:$G$34,MATCH(LOOKUP(2,1/($A$39:A1984&lt;&gt;""),$A$39:A1984),$A$5:$A$34,0)),0)</f>
        <v>0</v>
      </c>
      <c r="H1984" s="103" t="str">
        <f aca="false">IF(G1984=0,"空闲",IF(G1984&lt;=0.6,"低负荷",IF(G1984&lt;=0.85,"正常",IF(G1984&lt;=1,"满负荷","超负荷"))))</f>
        <v>空闲</v>
      </c>
      <c r="I1984" s="104" t="s">
        <v>638</v>
      </c>
      <c r="J1984" s="104"/>
      <c r="K1984" s="104"/>
      <c r="L1984" s="105" t="s">
        <v>639</v>
      </c>
    </row>
    <row r="1985" customFormat="false" ht="48" hidden="false" customHeight="true" outlineLevel="0" collapsed="false">
      <c r="A1985" s="99"/>
      <c r="B1985" s="100" t="n">
        <v>46251</v>
      </c>
      <c r="C1985" s="100" t="n">
        <v>46257</v>
      </c>
      <c r="D1985" s="99" t="s">
        <v>638</v>
      </c>
      <c r="E1985" s="99" t="n">
        <v>0</v>
      </c>
      <c r="F1985" s="101" t="n">
        <v>0</v>
      </c>
      <c r="G1985" s="102" t="n">
        <f aca="false">IFERROR(F1985/INDEX($G$5:$G$34,MATCH(LOOKUP(2,1/($A$39:A1985&lt;&gt;""),$A$39:A1985),$A$5:$A$34,0)),0)</f>
        <v>0</v>
      </c>
      <c r="H1985" s="103" t="str">
        <f aca="false">IF(G1985=0,"空闲",IF(G1985&lt;=0.6,"低负荷",IF(G1985&lt;=0.85,"正常",IF(G1985&lt;=1,"满负荷","超负荷"))))</f>
        <v>空闲</v>
      </c>
      <c r="I1985" s="104" t="s">
        <v>638</v>
      </c>
      <c r="J1985" s="104"/>
      <c r="K1985" s="104"/>
      <c r="L1985" s="105" t="s">
        <v>639</v>
      </c>
    </row>
    <row r="1986" customFormat="false" ht="48" hidden="false" customHeight="true" outlineLevel="0" collapsed="false">
      <c r="A1986" s="99"/>
      <c r="B1986" s="100" t="n">
        <v>46258</v>
      </c>
      <c r="C1986" s="100" t="n">
        <v>46264</v>
      </c>
      <c r="D1986" s="99" t="s">
        <v>640</v>
      </c>
      <c r="E1986" s="99" t="n">
        <v>1</v>
      </c>
      <c r="F1986" s="101" t="n">
        <v>40</v>
      </c>
      <c r="G1986" s="102" t="n">
        <f aca="false">IFERROR(F1986/INDEX($G$5:$G$34,MATCH(LOOKUP(2,1/($A$39:A1986&lt;&gt;""),$A$39:A1986),$A$5:$A$34,0)),0)</f>
        <v>1</v>
      </c>
      <c r="H1986" s="103" t="str">
        <f aca="false">IF(G1986=0,"空闲",IF(G1986&lt;=0.6,"低负荷",IF(G1986&lt;=0.85,"正常",IF(G1986&lt;=1,"满负荷","超负荷"))))</f>
        <v>满负荷</v>
      </c>
      <c r="I1986" s="106" t="s">
        <v>763</v>
      </c>
      <c r="J1986" s="106"/>
      <c r="K1986" s="106"/>
      <c r="L1986" s="105" t="s">
        <v>642</v>
      </c>
    </row>
    <row r="1987" customFormat="false" ht="48" hidden="false" customHeight="true" outlineLevel="0" collapsed="false">
      <c r="A1987" s="99"/>
      <c r="B1987" s="100" t="n">
        <v>46265</v>
      </c>
      <c r="C1987" s="100" t="n">
        <v>46271</v>
      </c>
      <c r="D1987" s="99" t="s">
        <v>638</v>
      </c>
      <c r="E1987" s="99" t="n">
        <v>0</v>
      </c>
      <c r="F1987" s="101" t="n">
        <v>0</v>
      </c>
      <c r="G1987" s="102" t="n">
        <f aca="false">IFERROR(F1987/INDEX($G$5:$G$34,MATCH(LOOKUP(2,1/($A$39:A1987&lt;&gt;""),$A$39:A1987),$A$5:$A$34,0)),0)</f>
        <v>0</v>
      </c>
      <c r="H1987" s="103" t="str">
        <f aca="false">IF(G1987=0,"空闲",IF(G1987&lt;=0.6,"低负荷",IF(G1987&lt;=0.85,"正常",IF(G1987&lt;=1,"满负荷","超负荷"))))</f>
        <v>空闲</v>
      </c>
      <c r="I1987" s="104" t="s">
        <v>638</v>
      </c>
      <c r="J1987" s="104"/>
      <c r="K1987" s="104"/>
      <c r="L1987" s="105" t="s">
        <v>639</v>
      </c>
    </row>
    <row r="1988" customFormat="false" ht="48" hidden="false" customHeight="true" outlineLevel="0" collapsed="false">
      <c r="A1988" s="99"/>
      <c r="B1988" s="100" t="n">
        <v>46272</v>
      </c>
      <c r="C1988" s="100" t="n">
        <v>46278</v>
      </c>
      <c r="D1988" s="99" t="s">
        <v>638</v>
      </c>
      <c r="E1988" s="99" t="n">
        <v>0</v>
      </c>
      <c r="F1988" s="101" t="n">
        <v>0</v>
      </c>
      <c r="G1988" s="102" t="n">
        <f aca="false">IFERROR(F1988/INDEX($G$5:$G$34,MATCH(LOOKUP(2,1/($A$39:A1988&lt;&gt;""),$A$39:A1988),$A$5:$A$34,0)),0)</f>
        <v>0</v>
      </c>
      <c r="H1988" s="103" t="str">
        <f aca="false">IF(G1988=0,"空闲",IF(G1988&lt;=0.6,"低负荷",IF(G1988&lt;=0.85,"正常",IF(G1988&lt;=1,"满负荷","超负荷"))))</f>
        <v>空闲</v>
      </c>
      <c r="I1988" s="104" t="s">
        <v>638</v>
      </c>
      <c r="J1988" s="104"/>
      <c r="K1988" s="104"/>
      <c r="L1988" s="105" t="s">
        <v>639</v>
      </c>
    </row>
    <row r="1989" customFormat="false" ht="48" hidden="false" customHeight="true" outlineLevel="0" collapsed="false">
      <c r="A1989" s="99"/>
      <c r="B1989" s="100" t="n">
        <v>46279</v>
      </c>
      <c r="C1989" s="100" t="n">
        <v>46285</v>
      </c>
      <c r="D1989" s="99" t="s">
        <v>638</v>
      </c>
      <c r="E1989" s="99" t="n">
        <v>0</v>
      </c>
      <c r="F1989" s="101" t="n">
        <v>0</v>
      </c>
      <c r="G1989" s="102" t="n">
        <f aca="false">IFERROR(F1989/INDEX($G$5:$G$34,MATCH(LOOKUP(2,1/($A$39:A1989&lt;&gt;""),$A$39:A1989),$A$5:$A$34,0)),0)</f>
        <v>0</v>
      </c>
      <c r="H1989" s="103" t="str">
        <f aca="false">IF(G1989=0,"空闲",IF(G1989&lt;=0.6,"低负荷",IF(G1989&lt;=0.85,"正常",IF(G1989&lt;=1,"满负荷","超负荷"))))</f>
        <v>空闲</v>
      </c>
      <c r="I1989" s="104" t="s">
        <v>638</v>
      </c>
      <c r="J1989" s="104"/>
      <c r="K1989" s="104"/>
      <c r="L1989" s="105" t="s">
        <v>639</v>
      </c>
    </row>
    <row r="1990" customFormat="false" ht="48" hidden="false" customHeight="true" outlineLevel="0" collapsed="false">
      <c r="A1990" s="99"/>
      <c r="B1990" s="100" t="n">
        <v>46286</v>
      </c>
      <c r="C1990" s="100" t="n">
        <v>46292</v>
      </c>
      <c r="D1990" s="99" t="s">
        <v>638</v>
      </c>
      <c r="E1990" s="99" t="n">
        <v>0</v>
      </c>
      <c r="F1990" s="101" t="n">
        <v>0</v>
      </c>
      <c r="G1990" s="102" t="n">
        <f aca="false">IFERROR(F1990/INDEX($G$5:$G$34,MATCH(LOOKUP(2,1/($A$39:A1990&lt;&gt;""),$A$39:A1990),$A$5:$A$34,0)),0)</f>
        <v>0</v>
      </c>
      <c r="H1990" s="103" t="str">
        <f aca="false">IF(G1990=0,"空闲",IF(G1990&lt;=0.6,"低负荷",IF(G1990&lt;=0.85,"正常",IF(G1990&lt;=1,"满负荷","超负荷"))))</f>
        <v>空闲</v>
      </c>
      <c r="I1990" s="104" t="s">
        <v>638</v>
      </c>
      <c r="J1990" s="104"/>
      <c r="K1990" s="104"/>
      <c r="L1990" s="105" t="s">
        <v>639</v>
      </c>
    </row>
    <row r="1991" customFormat="false" ht="48" hidden="false" customHeight="true" outlineLevel="0" collapsed="false">
      <c r="A1991" s="99"/>
      <c r="B1991" s="100" t="n">
        <v>46293</v>
      </c>
      <c r="C1991" s="100" t="n">
        <v>46299</v>
      </c>
      <c r="D1991" s="99" t="s">
        <v>638</v>
      </c>
      <c r="E1991" s="99" t="n">
        <v>0</v>
      </c>
      <c r="F1991" s="101" t="n">
        <v>0</v>
      </c>
      <c r="G1991" s="102" t="n">
        <f aca="false">IFERROR(F1991/INDEX($G$5:$G$34,MATCH(LOOKUP(2,1/($A$39:A1991&lt;&gt;""),$A$39:A1991),$A$5:$A$34,0)),0)</f>
        <v>0</v>
      </c>
      <c r="H1991" s="103" t="str">
        <f aca="false">IF(G1991=0,"空闲",IF(G1991&lt;=0.6,"低负荷",IF(G1991&lt;=0.85,"正常",IF(G1991&lt;=1,"满负荷","超负荷"))))</f>
        <v>空闲</v>
      </c>
      <c r="I1991" s="104" t="s">
        <v>638</v>
      </c>
      <c r="J1991" s="104"/>
      <c r="K1991" s="104"/>
      <c r="L1991" s="105" t="s">
        <v>639</v>
      </c>
    </row>
    <row r="1992" customFormat="false" ht="48" hidden="false" customHeight="true" outlineLevel="0" collapsed="false">
      <c r="A1992" s="99"/>
      <c r="B1992" s="100" t="n">
        <v>46300</v>
      </c>
      <c r="C1992" s="100" t="n">
        <v>46306</v>
      </c>
      <c r="D1992" s="99" t="s">
        <v>638</v>
      </c>
      <c r="E1992" s="99" t="n">
        <v>0</v>
      </c>
      <c r="F1992" s="101" t="n">
        <v>0</v>
      </c>
      <c r="G1992" s="102" t="n">
        <f aca="false">IFERROR(F1992/INDEX($G$5:$G$34,MATCH(LOOKUP(2,1/($A$39:A1992&lt;&gt;""),$A$39:A1992),$A$5:$A$34,0)),0)</f>
        <v>0</v>
      </c>
      <c r="H1992" s="103" t="str">
        <f aca="false">IF(G1992=0,"空闲",IF(G1992&lt;=0.6,"低负荷",IF(G1992&lt;=0.85,"正常",IF(G1992&lt;=1,"满负荷","超负荷"))))</f>
        <v>空闲</v>
      </c>
      <c r="I1992" s="104" t="s">
        <v>638</v>
      </c>
      <c r="J1992" s="104"/>
      <c r="K1992" s="104"/>
      <c r="L1992" s="105" t="s">
        <v>639</v>
      </c>
    </row>
    <row r="1993" customFormat="false" ht="48" hidden="false" customHeight="true" outlineLevel="0" collapsed="false">
      <c r="A1993" s="99"/>
      <c r="B1993" s="100" t="n">
        <v>46307</v>
      </c>
      <c r="C1993" s="100" t="n">
        <v>46313</v>
      </c>
      <c r="D1993" s="99" t="s">
        <v>638</v>
      </c>
      <c r="E1993" s="99" t="n">
        <v>0</v>
      </c>
      <c r="F1993" s="101" t="n">
        <v>0</v>
      </c>
      <c r="G1993" s="102" t="n">
        <f aca="false">IFERROR(F1993/INDEX($G$5:$G$34,MATCH(LOOKUP(2,1/($A$39:A1993&lt;&gt;""),$A$39:A1993),$A$5:$A$34,0)),0)</f>
        <v>0</v>
      </c>
      <c r="H1993" s="103" t="str">
        <f aca="false">IF(G1993=0,"空闲",IF(G1993&lt;=0.6,"低负荷",IF(G1993&lt;=0.85,"正常",IF(G1993&lt;=1,"满负荷","超负荷"))))</f>
        <v>空闲</v>
      </c>
      <c r="I1993" s="104" t="s">
        <v>638</v>
      </c>
      <c r="J1993" s="104"/>
      <c r="K1993" s="104"/>
      <c r="L1993" s="105" t="s">
        <v>639</v>
      </c>
    </row>
    <row r="1994" customFormat="false" ht="48" hidden="false" customHeight="true" outlineLevel="0" collapsed="false">
      <c r="A1994" s="99"/>
      <c r="B1994" s="100" t="n">
        <v>46314</v>
      </c>
      <c r="C1994" s="100" t="n">
        <v>46320</v>
      </c>
      <c r="D1994" s="99" t="s">
        <v>638</v>
      </c>
      <c r="E1994" s="99" t="n">
        <v>0</v>
      </c>
      <c r="F1994" s="101" t="n">
        <v>0</v>
      </c>
      <c r="G1994" s="102" t="n">
        <f aca="false">IFERROR(F1994/INDEX($G$5:$G$34,MATCH(LOOKUP(2,1/($A$39:A1994&lt;&gt;""),$A$39:A1994),$A$5:$A$34,0)),0)</f>
        <v>0</v>
      </c>
      <c r="H1994" s="103" t="str">
        <f aca="false">IF(G1994=0,"空闲",IF(G1994&lt;=0.6,"低负荷",IF(G1994&lt;=0.85,"正常",IF(G1994&lt;=1,"满负荷","超负荷"))))</f>
        <v>空闲</v>
      </c>
      <c r="I1994" s="104" t="s">
        <v>638</v>
      </c>
      <c r="J1994" s="104"/>
      <c r="K1994" s="104"/>
      <c r="L1994" s="105" t="s">
        <v>639</v>
      </c>
    </row>
    <row r="1995" customFormat="false" ht="48" hidden="false" customHeight="true" outlineLevel="0" collapsed="false">
      <c r="A1995" s="99"/>
      <c r="B1995" s="100" t="n">
        <v>46321</v>
      </c>
      <c r="C1995" s="100" t="n">
        <v>46327</v>
      </c>
      <c r="D1995" s="99" t="s">
        <v>638</v>
      </c>
      <c r="E1995" s="99" t="n">
        <v>0</v>
      </c>
      <c r="F1995" s="101" t="n">
        <v>0</v>
      </c>
      <c r="G1995" s="102" t="n">
        <f aca="false">IFERROR(F1995/INDEX($G$5:$G$34,MATCH(LOOKUP(2,1/($A$39:A1995&lt;&gt;""),$A$39:A1995),$A$5:$A$34,0)),0)</f>
        <v>0</v>
      </c>
      <c r="H1995" s="103" t="str">
        <f aca="false">IF(G1995=0,"空闲",IF(G1995&lt;=0.6,"低负荷",IF(G1995&lt;=0.85,"正常",IF(G1995&lt;=1,"满负荷","超负荷"))))</f>
        <v>空闲</v>
      </c>
      <c r="I1995" s="104" t="s">
        <v>638</v>
      </c>
      <c r="J1995" s="104"/>
      <c r="K1995" s="104"/>
      <c r="L1995" s="105" t="s">
        <v>639</v>
      </c>
    </row>
    <row r="1996" customFormat="false" ht="48" hidden="false" customHeight="true" outlineLevel="0" collapsed="false">
      <c r="A1996" s="99"/>
      <c r="B1996" s="100" t="n">
        <v>46328</v>
      </c>
      <c r="C1996" s="100" t="n">
        <v>46334</v>
      </c>
      <c r="D1996" s="99" t="s">
        <v>638</v>
      </c>
      <c r="E1996" s="99" t="n">
        <v>0</v>
      </c>
      <c r="F1996" s="101" t="n">
        <v>0</v>
      </c>
      <c r="G1996" s="102" t="n">
        <f aca="false">IFERROR(F1996/INDEX($G$5:$G$34,MATCH(LOOKUP(2,1/($A$39:A1996&lt;&gt;""),$A$39:A1996),$A$5:$A$34,0)),0)</f>
        <v>0</v>
      </c>
      <c r="H1996" s="103" t="str">
        <f aca="false">IF(G1996=0,"空闲",IF(G1996&lt;=0.6,"低负荷",IF(G1996&lt;=0.85,"正常",IF(G1996&lt;=1,"满负荷","超负荷"))))</f>
        <v>空闲</v>
      </c>
      <c r="I1996" s="104" t="s">
        <v>638</v>
      </c>
      <c r="J1996" s="104"/>
      <c r="K1996" s="104"/>
      <c r="L1996" s="105" t="s">
        <v>639</v>
      </c>
    </row>
    <row r="1997" customFormat="false" ht="48" hidden="false" customHeight="true" outlineLevel="0" collapsed="false">
      <c r="A1997" s="99"/>
      <c r="B1997" s="100" t="n">
        <v>46335</v>
      </c>
      <c r="C1997" s="100" t="n">
        <v>46341</v>
      </c>
      <c r="D1997" s="99" t="s">
        <v>638</v>
      </c>
      <c r="E1997" s="99" t="n">
        <v>0</v>
      </c>
      <c r="F1997" s="101" t="n">
        <v>0</v>
      </c>
      <c r="G1997" s="102" t="n">
        <f aca="false">IFERROR(F1997/INDEX($G$5:$G$34,MATCH(LOOKUP(2,1/($A$39:A1997&lt;&gt;""),$A$39:A1997),$A$5:$A$34,0)),0)</f>
        <v>0</v>
      </c>
      <c r="H1997" s="103" t="str">
        <f aca="false">IF(G1997=0,"空闲",IF(G1997&lt;=0.6,"低负荷",IF(G1997&lt;=0.85,"正常",IF(G1997&lt;=1,"满负荷","超负荷"))))</f>
        <v>空闲</v>
      </c>
      <c r="I1997" s="104" t="s">
        <v>638</v>
      </c>
      <c r="J1997" s="104"/>
      <c r="K1997" s="104"/>
      <c r="L1997" s="105" t="s">
        <v>639</v>
      </c>
    </row>
    <row r="1998" customFormat="false" ht="48" hidden="false" customHeight="true" outlineLevel="0" collapsed="false">
      <c r="A1998" s="99"/>
      <c r="B1998" s="100" t="n">
        <v>46342</v>
      </c>
      <c r="C1998" s="100" t="n">
        <v>46348</v>
      </c>
      <c r="D1998" s="99" t="s">
        <v>638</v>
      </c>
      <c r="E1998" s="99" t="n">
        <v>0</v>
      </c>
      <c r="F1998" s="101" t="n">
        <v>0</v>
      </c>
      <c r="G1998" s="102" t="n">
        <f aca="false">IFERROR(F1998/INDEX($G$5:$G$34,MATCH(LOOKUP(2,1/($A$39:A1998&lt;&gt;""),$A$39:A1998),$A$5:$A$34,0)),0)</f>
        <v>0</v>
      </c>
      <c r="H1998" s="103" t="str">
        <f aca="false">IF(G1998=0,"空闲",IF(G1998&lt;=0.6,"低负荷",IF(G1998&lt;=0.85,"正常",IF(G1998&lt;=1,"满负荷","超负荷"))))</f>
        <v>空闲</v>
      </c>
      <c r="I1998" s="104" t="s">
        <v>638</v>
      </c>
      <c r="J1998" s="104"/>
      <c r="K1998" s="104"/>
      <c r="L1998" s="105" t="s">
        <v>639</v>
      </c>
    </row>
    <row r="1999" customFormat="false" ht="48" hidden="false" customHeight="true" outlineLevel="0" collapsed="false">
      <c r="A1999" s="99"/>
      <c r="B1999" s="100" t="n">
        <v>46349</v>
      </c>
      <c r="C1999" s="100" t="n">
        <v>46355</v>
      </c>
      <c r="D1999" s="99" t="s">
        <v>638</v>
      </c>
      <c r="E1999" s="99" t="n">
        <v>0</v>
      </c>
      <c r="F1999" s="101" t="n">
        <v>0</v>
      </c>
      <c r="G1999" s="102" t="n">
        <f aca="false">IFERROR(F1999/INDEX($G$5:$G$34,MATCH(LOOKUP(2,1/($A$39:A1999&lt;&gt;""),$A$39:A1999),$A$5:$A$34,0)),0)</f>
        <v>0</v>
      </c>
      <c r="H1999" s="103" t="str">
        <f aca="false">IF(G1999=0,"空闲",IF(G1999&lt;=0.6,"低负荷",IF(G1999&lt;=0.85,"正常",IF(G1999&lt;=1,"满负荷","超负荷"))))</f>
        <v>空闲</v>
      </c>
      <c r="I1999" s="104" t="s">
        <v>638</v>
      </c>
      <c r="J1999" s="104"/>
      <c r="K1999" s="104"/>
      <c r="L1999" s="105" t="s">
        <v>639</v>
      </c>
    </row>
    <row r="2000" customFormat="false" ht="48" hidden="false" customHeight="true" outlineLevel="0" collapsed="false">
      <c r="A2000" s="99"/>
      <c r="B2000" s="100" t="n">
        <v>46356</v>
      </c>
      <c r="C2000" s="100" t="n">
        <v>46362</v>
      </c>
      <c r="D2000" s="99" t="s">
        <v>638</v>
      </c>
      <c r="E2000" s="99" t="n">
        <v>0</v>
      </c>
      <c r="F2000" s="101" t="n">
        <v>0</v>
      </c>
      <c r="G2000" s="102" t="n">
        <f aca="false">IFERROR(F2000/INDEX($G$5:$G$34,MATCH(LOOKUP(2,1/($A$39:A2000&lt;&gt;""),$A$39:A2000),$A$5:$A$34,0)),0)</f>
        <v>0</v>
      </c>
      <c r="H2000" s="103" t="str">
        <f aca="false">IF(G2000=0,"空闲",IF(G2000&lt;=0.6,"低负荷",IF(G2000&lt;=0.85,"正常",IF(G2000&lt;=1,"满负荷","超负荷"))))</f>
        <v>空闲</v>
      </c>
      <c r="I2000" s="104" t="s">
        <v>638</v>
      </c>
      <c r="J2000" s="104"/>
      <c r="K2000" s="104"/>
      <c r="L2000" s="105" t="s">
        <v>639</v>
      </c>
    </row>
    <row r="2001" customFormat="false" ht="48" hidden="false" customHeight="true" outlineLevel="0" collapsed="false">
      <c r="A2001" s="99"/>
      <c r="B2001" s="100" t="n">
        <v>46363</v>
      </c>
      <c r="C2001" s="100" t="n">
        <v>46369</v>
      </c>
      <c r="D2001" s="99" t="s">
        <v>638</v>
      </c>
      <c r="E2001" s="99" t="n">
        <v>0</v>
      </c>
      <c r="F2001" s="101" t="n">
        <v>0</v>
      </c>
      <c r="G2001" s="102" t="n">
        <f aca="false">IFERROR(F2001/INDEX($G$5:$G$34,MATCH(LOOKUP(2,1/($A$39:A2001&lt;&gt;""),$A$39:A2001),$A$5:$A$34,0)),0)</f>
        <v>0</v>
      </c>
      <c r="H2001" s="103" t="str">
        <f aca="false">IF(G2001=0,"空闲",IF(G2001&lt;=0.6,"低负荷",IF(G2001&lt;=0.85,"正常",IF(G2001&lt;=1,"满负荷","超负荷"))))</f>
        <v>空闲</v>
      </c>
      <c r="I2001" s="104" t="s">
        <v>638</v>
      </c>
      <c r="J2001" s="104"/>
      <c r="K2001" s="104"/>
      <c r="L2001" s="105" t="s">
        <v>639</v>
      </c>
    </row>
    <row r="2002" customFormat="false" ht="48" hidden="false" customHeight="true" outlineLevel="0" collapsed="false">
      <c r="A2002" s="99"/>
      <c r="B2002" s="100" t="n">
        <v>46370</v>
      </c>
      <c r="C2002" s="100" t="n">
        <v>46376</v>
      </c>
      <c r="D2002" s="99" t="s">
        <v>638</v>
      </c>
      <c r="E2002" s="99" t="n">
        <v>0</v>
      </c>
      <c r="F2002" s="101" t="n">
        <v>0</v>
      </c>
      <c r="G2002" s="102" t="n">
        <f aca="false">IFERROR(F2002/INDEX($G$5:$G$34,MATCH(LOOKUP(2,1/($A$39:A2002&lt;&gt;""),$A$39:A2002),$A$5:$A$34,0)),0)</f>
        <v>0</v>
      </c>
      <c r="H2002" s="103" t="str">
        <f aca="false">IF(G2002=0,"空闲",IF(G2002&lt;=0.6,"低负荷",IF(G2002&lt;=0.85,"正常",IF(G2002&lt;=1,"满负荷","超负荷"))))</f>
        <v>空闲</v>
      </c>
      <c r="I2002" s="104" t="s">
        <v>638</v>
      </c>
      <c r="J2002" s="104"/>
      <c r="K2002" s="104"/>
      <c r="L2002" s="105" t="s">
        <v>639</v>
      </c>
    </row>
    <row r="2003" customFormat="false" ht="48" hidden="false" customHeight="true" outlineLevel="0" collapsed="false">
      <c r="A2003" s="99"/>
      <c r="B2003" s="100" t="n">
        <v>46377</v>
      </c>
      <c r="C2003" s="100" t="n">
        <v>46383</v>
      </c>
      <c r="D2003" s="99" t="s">
        <v>638</v>
      </c>
      <c r="E2003" s="99" t="n">
        <v>0</v>
      </c>
      <c r="F2003" s="101" t="n">
        <v>0</v>
      </c>
      <c r="G2003" s="102" t="n">
        <f aca="false">IFERROR(F2003/INDEX($G$5:$G$34,MATCH(LOOKUP(2,1/($A$39:A2003&lt;&gt;""),$A$39:A2003),$A$5:$A$34,0)),0)</f>
        <v>0</v>
      </c>
      <c r="H2003" s="103" t="str">
        <f aca="false">IF(G2003=0,"空闲",IF(G2003&lt;=0.6,"低负荷",IF(G2003&lt;=0.85,"正常",IF(G2003&lt;=1,"满负荷","超负荷"))))</f>
        <v>空闲</v>
      </c>
      <c r="I2003" s="104" t="s">
        <v>638</v>
      </c>
      <c r="J2003" s="104"/>
      <c r="K2003" s="104"/>
      <c r="L2003" s="105" t="s">
        <v>639</v>
      </c>
    </row>
    <row r="2004" customFormat="false" ht="48" hidden="false" customHeight="true" outlineLevel="0" collapsed="false">
      <c r="A2004" s="99"/>
      <c r="B2004" s="100" t="n">
        <v>46384</v>
      </c>
      <c r="C2004" s="100" t="n">
        <v>46390</v>
      </c>
      <c r="D2004" s="99" t="s">
        <v>638</v>
      </c>
      <c r="E2004" s="99" t="n">
        <v>0</v>
      </c>
      <c r="F2004" s="101" t="n">
        <v>0</v>
      </c>
      <c r="G2004" s="102" t="n">
        <f aca="false">IFERROR(F2004/INDEX($G$5:$G$34,MATCH(LOOKUP(2,1/($A$39:A2004&lt;&gt;""),$A$39:A2004),$A$5:$A$34,0)),0)</f>
        <v>0</v>
      </c>
      <c r="H2004" s="103" t="str">
        <f aca="false">IF(G2004=0,"空闲",IF(G2004&lt;=0.6,"低负荷",IF(G2004&lt;=0.85,"正常",IF(G2004&lt;=1,"满负荷","超负荷"))))</f>
        <v>空闲</v>
      </c>
      <c r="I2004" s="104" t="s">
        <v>638</v>
      </c>
      <c r="J2004" s="104"/>
      <c r="K2004" s="104"/>
      <c r="L2004" s="105" t="s">
        <v>639</v>
      </c>
    </row>
    <row r="2005" customFormat="false" ht="48" hidden="false" customHeight="true" outlineLevel="0" collapsed="false">
      <c r="A2005" s="99"/>
      <c r="B2005" s="100" t="n">
        <v>46391</v>
      </c>
      <c r="C2005" s="100" t="n">
        <v>46397</v>
      </c>
      <c r="D2005" s="99" t="s">
        <v>638</v>
      </c>
      <c r="E2005" s="99" t="n">
        <v>0</v>
      </c>
      <c r="F2005" s="101" t="n">
        <v>0</v>
      </c>
      <c r="G2005" s="102" t="n">
        <f aca="false">IFERROR(F2005/INDEX($G$5:$G$34,MATCH(LOOKUP(2,1/($A$39:A2005&lt;&gt;""),$A$39:A2005),$A$5:$A$34,0)),0)</f>
        <v>0</v>
      </c>
      <c r="H2005" s="103" t="str">
        <f aca="false">IF(G2005=0,"空闲",IF(G2005&lt;=0.6,"低负荷",IF(G2005&lt;=0.85,"正常",IF(G2005&lt;=1,"满负荷","超负荷"))))</f>
        <v>空闲</v>
      </c>
      <c r="I2005" s="104" t="s">
        <v>638</v>
      </c>
      <c r="J2005" s="104"/>
      <c r="K2005" s="104"/>
      <c r="L2005" s="105" t="s">
        <v>639</v>
      </c>
    </row>
    <row r="2006" customFormat="false" ht="48" hidden="false" customHeight="true" outlineLevel="0" collapsed="false">
      <c r="A2006" s="99"/>
      <c r="B2006" s="100" t="n">
        <v>46398</v>
      </c>
      <c r="C2006" s="100" t="n">
        <v>46404</v>
      </c>
      <c r="D2006" s="99" t="s">
        <v>638</v>
      </c>
      <c r="E2006" s="99" t="n">
        <v>0</v>
      </c>
      <c r="F2006" s="101" t="n">
        <v>0</v>
      </c>
      <c r="G2006" s="102" t="n">
        <f aca="false">IFERROR(F2006/INDEX($G$5:$G$34,MATCH(LOOKUP(2,1/($A$39:A2006&lt;&gt;""),$A$39:A2006),$A$5:$A$34,0)),0)</f>
        <v>0</v>
      </c>
      <c r="H2006" s="103" t="str">
        <f aca="false">IF(G2006=0,"空闲",IF(G2006&lt;=0.6,"低负荷",IF(G2006&lt;=0.85,"正常",IF(G2006&lt;=1,"满负荷","超负荷"))))</f>
        <v>空闲</v>
      </c>
      <c r="I2006" s="104" t="s">
        <v>638</v>
      </c>
      <c r="J2006" s="104"/>
      <c r="K2006" s="104"/>
      <c r="L2006" s="105" t="s">
        <v>639</v>
      </c>
    </row>
    <row r="2007" customFormat="false" ht="48" hidden="false" customHeight="true" outlineLevel="0" collapsed="false">
      <c r="A2007" s="99"/>
      <c r="B2007" s="100" t="n">
        <v>46405</v>
      </c>
      <c r="C2007" s="100" t="n">
        <v>46411</v>
      </c>
      <c r="D2007" s="99" t="s">
        <v>638</v>
      </c>
      <c r="E2007" s="99" t="n">
        <v>0</v>
      </c>
      <c r="F2007" s="101" t="n">
        <v>0</v>
      </c>
      <c r="G2007" s="102" t="n">
        <f aca="false">IFERROR(F2007/INDEX($G$5:$G$34,MATCH(LOOKUP(2,1/($A$39:A2007&lt;&gt;""),$A$39:A2007),$A$5:$A$34,0)),0)</f>
        <v>0</v>
      </c>
      <c r="H2007" s="103" t="str">
        <f aca="false">IF(G2007=0,"空闲",IF(G2007&lt;=0.6,"低负荷",IF(G2007&lt;=0.85,"正常",IF(G2007&lt;=1,"满负荷","超负荷"))))</f>
        <v>空闲</v>
      </c>
      <c r="I2007" s="104" t="s">
        <v>638</v>
      </c>
      <c r="J2007" s="104"/>
      <c r="K2007" s="104"/>
      <c r="L2007" s="105" t="s">
        <v>639</v>
      </c>
    </row>
    <row r="2008" customFormat="false" ht="48" hidden="false" customHeight="true" outlineLevel="0" collapsed="false">
      <c r="A2008" s="99"/>
      <c r="B2008" s="100" t="n">
        <v>46412</v>
      </c>
      <c r="C2008" s="100" t="n">
        <v>46418</v>
      </c>
      <c r="D2008" s="99" t="s">
        <v>638</v>
      </c>
      <c r="E2008" s="99" t="n">
        <v>0</v>
      </c>
      <c r="F2008" s="101" t="n">
        <v>0</v>
      </c>
      <c r="G2008" s="102" t="n">
        <f aca="false">IFERROR(F2008/INDEX($G$5:$G$34,MATCH(LOOKUP(2,1/($A$39:A2008&lt;&gt;""),$A$39:A2008),$A$5:$A$34,0)),0)</f>
        <v>0</v>
      </c>
      <c r="H2008" s="103" t="str">
        <f aca="false">IF(G2008=0,"空闲",IF(G2008&lt;=0.6,"低负荷",IF(G2008&lt;=0.85,"正常",IF(G2008&lt;=1,"满负荷","超负荷"))))</f>
        <v>空闲</v>
      </c>
      <c r="I2008" s="104" t="s">
        <v>638</v>
      </c>
      <c r="J2008" s="104"/>
      <c r="K2008" s="104"/>
      <c r="L2008" s="105" t="s">
        <v>639</v>
      </c>
    </row>
    <row r="2009" customFormat="false" ht="48" hidden="false" customHeight="true" outlineLevel="0" collapsed="false">
      <c r="A2009" s="99"/>
      <c r="B2009" s="100" t="n">
        <v>46419</v>
      </c>
      <c r="C2009" s="100" t="n">
        <v>46425</v>
      </c>
      <c r="D2009" s="99" t="s">
        <v>638</v>
      </c>
      <c r="E2009" s="99" t="n">
        <v>0</v>
      </c>
      <c r="F2009" s="101" t="n">
        <v>0</v>
      </c>
      <c r="G2009" s="102" t="n">
        <f aca="false">IFERROR(F2009/INDEX($G$5:$G$34,MATCH(LOOKUP(2,1/($A$39:A2009&lt;&gt;""),$A$39:A2009),$A$5:$A$34,0)),0)</f>
        <v>0</v>
      </c>
      <c r="H2009" s="103" t="str">
        <f aca="false">IF(G2009=0,"空闲",IF(G2009&lt;=0.6,"低负荷",IF(G2009&lt;=0.85,"正常",IF(G2009&lt;=1,"满负荷","超负荷"))))</f>
        <v>空闲</v>
      </c>
      <c r="I2009" s="104" t="s">
        <v>638</v>
      </c>
      <c r="J2009" s="104"/>
      <c r="K2009" s="104"/>
      <c r="L2009" s="105" t="s">
        <v>639</v>
      </c>
    </row>
    <row r="2010" customFormat="false" ht="48" hidden="false" customHeight="true" outlineLevel="0" collapsed="false">
      <c r="A2010" s="99"/>
      <c r="B2010" s="100" t="n">
        <v>46426</v>
      </c>
      <c r="C2010" s="100" t="n">
        <v>46432</v>
      </c>
      <c r="D2010" s="99" t="s">
        <v>638</v>
      </c>
      <c r="E2010" s="99" t="n">
        <v>0</v>
      </c>
      <c r="F2010" s="101" t="n">
        <v>0</v>
      </c>
      <c r="G2010" s="102" t="n">
        <f aca="false">IFERROR(F2010/INDEX($G$5:$G$34,MATCH(LOOKUP(2,1/($A$39:A2010&lt;&gt;""),$A$39:A2010),$A$5:$A$34,0)),0)</f>
        <v>0</v>
      </c>
      <c r="H2010" s="103" t="str">
        <f aca="false">IF(G2010=0,"空闲",IF(G2010&lt;=0.6,"低负荷",IF(G2010&lt;=0.85,"正常",IF(G2010&lt;=1,"满负荷","超负荷"))))</f>
        <v>空闲</v>
      </c>
      <c r="I2010" s="104" t="s">
        <v>638</v>
      </c>
      <c r="J2010" s="104"/>
      <c r="K2010" s="104"/>
      <c r="L2010" s="105" t="s">
        <v>639</v>
      </c>
    </row>
    <row r="2011" customFormat="false" ht="48" hidden="false" customHeight="true" outlineLevel="0" collapsed="false">
      <c r="A2011" s="99"/>
      <c r="B2011" s="100" t="n">
        <v>46433</v>
      </c>
      <c r="C2011" s="100" t="n">
        <v>46439</v>
      </c>
      <c r="D2011" s="99" t="s">
        <v>640</v>
      </c>
      <c r="E2011" s="99" t="n">
        <v>1</v>
      </c>
      <c r="F2011" s="101" t="n">
        <v>40</v>
      </c>
      <c r="G2011" s="102" t="n">
        <f aca="false">IFERROR(F2011/INDEX($G$5:$G$34,MATCH(LOOKUP(2,1/($A$39:A2011&lt;&gt;""),$A$39:A2011),$A$5:$A$34,0)),0)</f>
        <v>1</v>
      </c>
      <c r="H2011" s="103" t="str">
        <f aca="false">IF(G2011=0,"空闲",IF(G2011&lt;=0.6,"低负荷",IF(G2011&lt;=0.85,"正常",IF(G2011&lt;=1,"满负荷","超负荷"))))</f>
        <v>满负荷</v>
      </c>
      <c r="I2011" s="106" t="s">
        <v>764</v>
      </c>
      <c r="J2011" s="106"/>
      <c r="K2011" s="106"/>
      <c r="L2011" s="105" t="s">
        <v>642</v>
      </c>
    </row>
    <row r="2012" customFormat="false" ht="48" hidden="false" customHeight="true" outlineLevel="0" collapsed="false">
      <c r="A2012" s="99"/>
      <c r="B2012" s="100" t="n">
        <v>46440</v>
      </c>
      <c r="C2012" s="100" t="n">
        <v>46446</v>
      </c>
      <c r="D2012" s="99" t="s">
        <v>640</v>
      </c>
      <c r="E2012" s="99" t="n">
        <v>1</v>
      </c>
      <c r="F2012" s="101" t="n">
        <v>40</v>
      </c>
      <c r="G2012" s="102" t="n">
        <f aca="false">IFERROR(F2012/INDEX($G$5:$G$34,MATCH(LOOKUP(2,1/($A$39:A2012&lt;&gt;""),$A$39:A2012),$A$5:$A$34,0)),0)</f>
        <v>1</v>
      </c>
      <c r="H2012" s="103" t="str">
        <f aca="false">IF(G2012=0,"空闲",IF(G2012&lt;=0.6,"低负荷",IF(G2012&lt;=0.85,"正常",IF(G2012&lt;=1,"满负荷","超负荷"))))</f>
        <v>满负荷</v>
      </c>
      <c r="I2012" s="106" t="s">
        <v>764</v>
      </c>
      <c r="J2012" s="106"/>
      <c r="K2012" s="106"/>
      <c r="L2012" s="105" t="s">
        <v>642</v>
      </c>
    </row>
    <row r="2013" customFormat="false" ht="48" hidden="false" customHeight="true" outlineLevel="0" collapsed="false">
      <c r="A2013" s="99"/>
      <c r="B2013" s="100" t="n">
        <v>46447</v>
      </c>
      <c r="C2013" s="100" t="n">
        <v>46453</v>
      </c>
      <c r="D2013" s="99" t="s">
        <v>640</v>
      </c>
      <c r="E2013" s="99" t="n">
        <v>7</v>
      </c>
      <c r="F2013" s="101" t="n">
        <v>40</v>
      </c>
      <c r="G2013" s="102" t="n">
        <f aca="false">IFERROR(F2013/INDEX($G$5:$G$34,MATCH(LOOKUP(2,1/($A$39:A2013&lt;&gt;""),$A$39:A2013),$A$5:$A$34,0)),0)</f>
        <v>1</v>
      </c>
      <c r="H2013" s="103" t="str">
        <f aca="false">IF(G2013=0,"空闲",IF(G2013&lt;=0.6,"低负荷",IF(G2013&lt;=0.85,"正常",IF(G2013&lt;=1,"满负荷","超负荷"))))</f>
        <v>满负荷</v>
      </c>
      <c r="I2013" s="106" t="s">
        <v>765</v>
      </c>
      <c r="J2013" s="106"/>
      <c r="K2013" s="106"/>
      <c r="L2013" s="105" t="s">
        <v>672</v>
      </c>
    </row>
    <row r="2014" customFormat="false" ht="48" hidden="false" customHeight="true" outlineLevel="0" collapsed="false">
      <c r="A2014" s="99"/>
      <c r="B2014" s="100" t="n">
        <v>46454</v>
      </c>
      <c r="C2014" s="100" t="n">
        <v>46460</v>
      </c>
      <c r="D2014" s="99" t="s">
        <v>640</v>
      </c>
      <c r="E2014" s="99" t="n">
        <v>8</v>
      </c>
      <c r="F2014" s="101" t="n">
        <v>40</v>
      </c>
      <c r="G2014" s="102" t="n">
        <f aca="false">IFERROR(F2014/INDEX($G$5:$G$34,MATCH(LOOKUP(2,1/($A$39:A2014&lt;&gt;""),$A$39:A2014),$A$5:$A$34,0)),0)</f>
        <v>1</v>
      </c>
      <c r="H2014" s="103" t="str">
        <f aca="false">IF(G2014=0,"空闲",IF(G2014&lt;=0.6,"低负荷",IF(G2014&lt;=0.85,"正常",IF(G2014&lt;=1,"满负荷","超负荷"))))</f>
        <v>满负荷</v>
      </c>
      <c r="I2014" s="106" t="s">
        <v>766</v>
      </c>
      <c r="J2014" s="106"/>
      <c r="K2014" s="106"/>
      <c r="L2014" s="105" t="s">
        <v>674</v>
      </c>
    </row>
    <row r="2015" customFormat="false" ht="48" hidden="false" customHeight="true" outlineLevel="0" collapsed="false">
      <c r="A2015" s="99"/>
      <c r="B2015" s="100" t="n">
        <v>46461</v>
      </c>
      <c r="C2015" s="100" t="n">
        <v>46467</v>
      </c>
      <c r="D2015" s="99" t="s">
        <v>640</v>
      </c>
      <c r="E2015" s="99" t="n">
        <v>8</v>
      </c>
      <c r="F2015" s="101" t="n">
        <v>40</v>
      </c>
      <c r="G2015" s="102" t="n">
        <f aca="false">IFERROR(F2015/INDEX($G$5:$G$34,MATCH(LOOKUP(2,1/($A$39:A2015&lt;&gt;""),$A$39:A2015),$A$5:$A$34,0)),0)</f>
        <v>1</v>
      </c>
      <c r="H2015" s="103" t="str">
        <f aca="false">IF(G2015=0,"空闲",IF(G2015&lt;=0.6,"低负荷",IF(G2015&lt;=0.85,"正常",IF(G2015&lt;=1,"满负荷","超负荷"))))</f>
        <v>满负荷</v>
      </c>
      <c r="I2015" s="106" t="s">
        <v>766</v>
      </c>
      <c r="J2015" s="106"/>
      <c r="K2015" s="106"/>
      <c r="L2015" s="105" t="s">
        <v>674</v>
      </c>
    </row>
    <row r="2016" customFormat="false" ht="48" hidden="false" customHeight="true" outlineLevel="0" collapsed="false">
      <c r="A2016" s="99"/>
      <c r="B2016" s="100" t="n">
        <v>46468</v>
      </c>
      <c r="C2016" s="100" t="n">
        <v>46474</v>
      </c>
      <c r="D2016" s="99" t="s">
        <v>640</v>
      </c>
      <c r="E2016" s="99" t="n">
        <v>8</v>
      </c>
      <c r="F2016" s="101" t="n">
        <v>40</v>
      </c>
      <c r="G2016" s="102" t="n">
        <f aca="false">IFERROR(F2016/INDEX($G$5:$G$34,MATCH(LOOKUP(2,1/($A$39:A2016&lt;&gt;""),$A$39:A2016),$A$5:$A$34,0)),0)</f>
        <v>1</v>
      </c>
      <c r="H2016" s="103" t="str">
        <f aca="false">IF(G2016=0,"空闲",IF(G2016&lt;=0.6,"低负荷",IF(G2016&lt;=0.85,"正常",IF(G2016&lt;=1,"满负荷","超负荷"))))</f>
        <v>满负荷</v>
      </c>
      <c r="I2016" s="106" t="s">
        <v>767</v>
      </c>
      <c r="J2016" s="106"/>
      <c r="K2016" s="106"/>
      <c r="L2016" s="105" t="s">
        <v>674</v>
      </c>
    </row>
    <row r="2017" customFormat="false" ht="48" hidden="false" customHeight="true" outlineLevel="0" collapsed="false">
      <c r="A2017" s="99"/>
      <c r="B2017" s="100" t="n">
        <v>46475</v>
      </c>
      <c r="C2017" s="100" t="n">
        <v>46481</v>
      </c>
      <c r="D2017" s="99" t="s">
        <v>640</v>
      </c>
      <c r="E2017" s="99" t="n">
        <v>8</v>
      </c>
      <c r="F2017" s="101" t="n">
        <v>40</v>
      </c>
      <c r="G2017" s="102" t="n">
        <f aca="false">IFERROR(F2017/INDEX($G$5:$G$34,MATCH(LOOKUP(2,1/($A$39:A2017&lt;&gt;""),$A$39:A2017),$A$5:$A$34,0)),0)</f>
        <v>1</v>
      </c>
      <c r="H2017" s="103" t="str">
        <f aca="false">IF(G2017=0,"空闲",IF(G2017&lt;=0.6,"低负荷",IF(G2017&lt;=0.85,"正常",IF(G2017&lt;=1,"满负荷","超负荷"))))</f>
        <v>满负荷</v>
      </c>
      <c r="I2017" s="106" t="s">
        <v>767</v>
      </c>
      <c r="J2017" s="106"/>
      <c r="K2017" s="106"/>
      <c r="L2017" s="105" t="s">
        <v>674</v>
      </c>
    </row>
    <row r="2018" customFormat="false" ht="48" hidden="false" customHeight="true" outlineLevel="0" collapsed="false">
      <c r="A2018" s="99"/>
      <c r="B2018" s="100" t="n">
        <v>46482</v>
      </c>
      <c r="C2018" s="100" t="n">
        <v>46488</v>
      </c>
      <c r="D2018" s="99" t="s">
        <v>640</v>
      </c>
      <c r="E2018" s="99" t="n">
        <v>7</v>
      </c>
      <c r="F2018" s="101" t="n">
        <v>40</v>
      </c>
      <c r="G2018" s="102" t="n">
        <f aca="false">IFERROR(F2018/INDEX($G$5:$G$34,MATCH(LOOKUP(2,1/($A$39:A2018&lt;&gt;""),$A$39:A2018),$A$5:$A$34,0)),0)</f>
        <v>1</v>
      </c>
      <c r="H2018" s="103" t="str">
        <f aca="false">IF(G2018=0,"空闲",IF(G2018&lt;=0.6,"低负荷",IF(G2018&lt;=0.85,"正常",IF(G2018&lt;=1,"满负荷","超负荷"))))</f>
        <v>满负荷</v>
      </c>
      <c r="I2018" s="106" t="s">
        <v>765</v>
      </c>
      <c r="J2018" s="106"/>
      <c r="K2018" s="106"/>
      <c r="L2018" s="105" t="s">
        <v>672</v>
      </c>
    </row>
    <row r="2019" customFormat="false" ht="48" hidden="false" customHeight="true" outlineLevel="0" collapsed="false">
      <c r="A2019" s="99"/>
      <c r="B2019" s="100" t="n">
        <v>46489</v>
      </c>
      <c r="C2019" s="100" t="n">
        <v>46495</v>
      </c>
      <c r="D2019" s="99" t="s">
        <v>640</v>
      </c>
      <c r="E2019" s="99" t="n">
        <v>7</v>
      </c>
      <c r="F2019" s="101" t="n">
        <v>40</v>
      </c>
      <c r="G2019" s="102" t="n">
        <f aca="false">IFERROR(F2019/INDEX($G$5:$G$34,MATCH(LOOKUP(2,1/($A$39:A2019&lt;&gt;""),$A$39:A2019),$A$5:$A$34,0)),0)</f>
        <v>1</v>
      </c>
      <c r="H2019" s="103" t="str">
        <f aca="false">IF(G2019=0,"空闲",IF(G2019&lt;=0.6,"低负荷",IF(G2019&lt;=0.85,"正常",IF(G2019&lt;=1,"满负荷","超负荷"))))</f>
        <v>满负荷</v>
      </c>
      <c r="I2019" s="106" t="s">
        <v>765</v>
      </c>
      <c r="J2019" s="106"/>
      <c r="K2019" s="106"/>
      <c r="L2019" s="105" t="s">
        <v>672</v>
      </c>
    </row>
    <row r="2020" customFormat="false" ht="48" hidden="false" customHeight="true" outlineLevel="0" collapsed="false">
      <c r="A2020" s="99"/>
      <c r="B2020" s="100" t="n">
        <v>46496</v>
      </c>
      <c r="C2020" s="100" t="n">
        <v>46502</v>
      </c>
      <c r="D2020" s="99" t="s">
        <v>638</v>
      </c>
      <c r="E2020" s="99" t="n">
        <v>0</v>
      </c>
      <c r="F2020" s="101" t="n">
        <v>0</v>
      </c>
      <c r="G2020" s="102" t="n">
        <f aca="false">IFERROR(F2020/INDEX($G$5:$G$34,MATCH(LOOKUP(2,1/($A$39:A2020&lt;&gt;""),$A$39:A2020),$A$5:$A$34,0)),0)</f>
        <v>0</v>
      </c>
      <c r="H2020" s="103" t="str">
        <f aca="false">IF(G2020=0,"空闲",IF(G2020&lt;=0.6,"低负荷",IF(G2020&lt;=0.85,"正常",IF(G2020&lt;=1,"满负荷","超负荷"))))</f>
        <v>空闲</v>
      </c>
      <c r="I2020" s="104" t="s">
        <v>638</v>
      </c>
      <c r="J2020" s="104"/>
      <c r="K2020" s="104"/>
      <c r="L2020" s="105" t="s">
        <v>639</v>
      </c>
    </row>
    <row r="2021" customFormat="false" ht="48" hidden="false" customHeight="true" outlineLevel="0" collapsed="false">
      <c r="A2021" s="99"/>
      <c r="B2021" s="100" t="n">
        <v>46503</v>
      </c>
      <c r="C2021" s="100" t="n">
        <v>46509</v>
      </c>
      <c r="D2021" s="99" t="s">
        <v>638</v>
      </c>
      <c r="E2021" s="99" t="n">
        <v>0</v>
      </c>
      <c r="F2021" s="101" t="n">
        <v>0</v>
      </c>
      <c r="G2021" s="102" t="n">
        <f aca="false">IFERROR(F2021/INDEX($G$5:$G$34,MATCH(LOOKUP(2,1/($A$39:A2021&lt;&gt;""),$A$39:A2021),$A$5:$A$34,0)),0)</f>
        <v>0</v>
      </c>
      <c r="H2021" s="103" t="str">
        <f aca="false">IF(G2021=0,"空闲",IF(G2021&lt;=0.6,"低负荷",IF(G2021&lt;=0.85,"正常",IF(G2021&lt;=1,"满负荷","超负荷"))))</f>
        <v>空闲</v>
      </c>
      <c r="I2021" s="104" t="s">
        <v>638</v>
      </c>
      <c r="J2021" s="104"/>
      <c r="K2021" s="104"/>
      <c r="L2021" s="105" t="s">
        <v>639</v>
      </c>
    </row>
    <row r="2022" customFormat="false" ht="48" hidden="false" customHeight="true" outlineLevel="0" collapsed="false">
      <c r="A2022" s="99"/>
      <c r="B2022" s="100" t="n">
        <v>46510</v>
      </c>
      <c r="C2022" s="100" t="n">
        <v>46516</v>
      </c>
      <c r="D2022" s="99" t="s">
        <v>638</v>
      </c>
      <c r="E2022" s="99" t="n">
        <v>0</v>
      </c>
      <c r="F2022" s="101" t="n">
        <v>0</v>
      </c>
      <c r="G2022" s="102" t="n">
        <f aca="false">IFERROR(F2022/INDEX($G$5:$G$34,MATCH(LOOKUP(2,1/($A$39:A2022&lt;&gt;""),$A$39:A2022),$A$5:$A$34,0)),0)</f>
        <v>0</v>
      </c>
      <c r="H2022" s="103" t="str">
        <f aca="false">IF(G2022=0,"空闲",IF(G2022&lt;=0.6,"低负荷",IF(G2022&lt;=0.85,"正常",IF(G2022&lt;=1,"满负荷","超负荷"))))</f>
        <v>空闲</v>
      </c>
      <c r="I2022" s="104" t="s">
        <v>638</v>
      </c>
      <c r="J2022" s="104"/>
      <c r="K2022" s="104"/>
      <c r="L2022" s="105" t="s">
        <v>639</v>
      </c>
    </row>
    <row r="2023" customFormat="false" ht="48" hidden="false" customHeight="true" outlineLevel="0" collapsed="false">
      <c r="A2023" s="99"/>
      <c r="B2023" s="100" t="n">
        <v>46517</v>
      </c>
      <c r="C2023" s="100" t="n">
        <v>46523</v>
      </c>
      <c r="D2023" s="99" t="s">
        <v>638</v>
      </c>
      <c r="E2023" s="99" t="n">
        <v>0</v>
      </c>
      <c r="F2023" s="101" t="n">
        <v>0</v>
      </c>
      <c r="G2023" s="102" t="n">
        <f aca="false">IFERROR(F2023/INDEX($G$5:$G$34,MATCH(LOOKUP(2,1/($A$39:A2023&lt;&gt;""),$A$39:A2023),$A$5:$A$34,0)),0)</f>
        <v>0</v>
      </c>
      <c r="H2023" s="103" t="str">
        <f aca="false">IF(G2023=0,"空闲",IF(G2023&lt;=0.6,"低负荷",IF(G2023&lt;=0.85,"正常",IF(G2023&lt;=1,"满负荷","超负荷"))))</f>
        <v>空闲</v>
      </c>
      <c r="I2023" s="104" t="s">
        <v>638</v>
      </c>
      <c r="J2023" s="104"/>
      <c r="K2023" s="104"/>
      <c r="L2023" s="105" t="s">
        <v>639</v>
      </c>
    </row>
    <row r="2024" customFormat="false" ht="48" hidden="false" customHeight="true" outlineLevel="0" collapsed="false">
      <c r="A2024" s="99"/>
      <c r="B2024" s="100" t="n">
        <v>46524</v>
      </c>
      <c r="C2024" s="100" t="n">
        <v>46530</v>
      </c>
      <c r="D2024" s="99" t="s">
        <v>638</v>
      </c>
      <c r="E2024" s="99" t="n">
        <v>0</v>
      </c>
      <c r="F2024" s="101" t="n">
        <v>0</v>
      </c>
      <c r="G2024" s="102" t="n">
        <f aca="false">IFERROR(F2024/INDEX($G$5:$G$34,MATCH(LOOKUP(2,1/($A$39:A2024&lt;&gt;""),$A$39:A2024),$A$5:$A$34,0)),0)</f>
        <v>0</v>
      </c>
      <c r="H2024" s="103" t="str">
        <f aca="false">IF(G2024=0,"空闲",IF(G2024&lt;=0.6,"低负荷",IF(G2024&lt;=0.85,"正常",IF(G2024&lt;=1,"满负荷","超负荷"))))</f>
        <v>空闲</v>
      </c>
      <c r="I2024" s="104" t="s">
        <v>638</v>
      </c>
      <c r="J2024" s="104"/>
      <c r="K2024" s="104"/>
      <c r="L2024" s="105" t="s">
        <v>639</v>
      </c>
    </row>
    <row r="2025" customFormat="false" ht="48" hidden="false" customHeight="true" outlineLevel="0" collapsed="false">
      <c r="A2025" s="99"/>
      <c r="B2025" s="100" t="n">
        <v>46531</v>
      </c>
      <c r="C2025" s="100" t="n">
        <v>46537</v>
      </c>
      <c r="D2025" s="99" t="s">
        <v>638</v>
      </c>
      <c r="E2025" s="99" t="n">
        <v>0</v>
      </c>
      <c r="F2025" s="101" t="n">
        <v>0</v>
      </c>
      <c r="G2025" s="102" t="n">
        <f aca="false">IFERROR(F2025/INDEX($G$5:$G$34,MATCH(LOOKUP(2,1/($A$39:A2025&lt;&gt;""),$A$39:A2025),$A$5:$A$34,0)),0)</f>
        <v>0</v>
      </c>
      <c r="H2025" s="103" t="str">
        <f aca="false">IF(G2025=0,"空闲",IF(G2025&lt;=0.6,"低负荷",IF(G2025&lt;=0.85,"正常",IF(G2025&lt;=1,"满负荷","超负荷"))))</f>
        <v>空闲</v>
      </c>
      <c r="I2025" s="104" t="s">
        <v>638</v>
      </c>
      <c r="J2025" s="104"/>
      <c r="K2025" s="104"/>
      <c r="L2025" s="105" t="s">
        <v>639</v>
      </c>
    </row>
    <row r="2026" customFormat="false" ht="48" hidden="false" customHeight="true" outlineLevel="0" collapsed="false">
      <c r="A2026" s="99"/>
      <c r="B2026" s="100" t="n">
        <v>46538</v>
      </c>
      <c r="C2026" s="100" t="n">
        <v>46544</v>
      </c>
      <c r="D2026" s="99" t="s">
        <v>638</v>
      </c>
      <c r="E2026" s="99" t="n">
        <v>0</v>
      </c>
      <c r="F2026" s="101" t="n">
        <v>0</v>
      </c>
      <c r="G2026" s="102" t="n">
        <f aca="false">IFERROR(F2026/INDEX($G$5:$G$34,MATCH(LOOKUP(2,1/($A$39:A2026&lt;&gt;""),$A$39:A2026),$A$5:$A$34,0)),0)</f>
        <v>0</v>
      </c>
      <c r="H2026" s="103" t="str">
        <f aca="false">IF(G2026=0,"空闲",IF(G2026&lt;=0.6,"低负荷",IF(G2026&lt;=0.85,"正常",IF(G2026&lt;=1,"满负荷","超负荷"))))</f>
        <v>空闲</v>
      </c>
      <c r="I2026" s="104" t="s">
        <v>638</v>
      </c>
      <c r="J2026" s="104"/>
      <c r="K2026" s="104"/>
      <c r="L2026" s="105" t="s">
        <v>639</v>
      </c>
    </row>
    <row r="2027" customFormat="false" ht="48" hidden="false" customHeight="true" outlineLevel="0" collapsed="false">
      <c r="A2027" s="99" t="s">
        <v>522</v>
      </c>
      <c r="B2027" s="100" t="n">
        <v>46048</v>
      </c>
      <c r="C2027" s="100" t="n">
        <v>46054</v>
      </c>
      <c r="D2027" s="99" t="s">
        <v>638</v>
      </c>
      <c r="E2027" s="99" t="n">
        <v>0</v>
      </c>
      <c r="F2027" s="101" t="n">
        <v>0</v>
      </c>
      <c r="G2027" s="102" t="n">
        <f aca="false">IFERROR(F2027/INDEX($G$5:$G$34,MATCH(LOOKUP(2,1/($A$39:A2027&lt;&gt;""),$A$39:A2027),$A$5:$A$34,0)),0)</f>
        <v>0</v>
      </c>
      <c r="H2027" s="103" t="str">
        <f aca="false">IF(G2027=0,"空闲",IF(G2027&lt;=0.6,"低负荷",IF(G2027&lt;=0.85,"正常",IF(G2027&lt;=1,"满负荷","超负荷"))))</f>
        <v>空闲</v>
      </c>
      <c r="I2027" s="104" t="s">
        <v>638</v>
      </c>
      <c r="J2027" s="104"/>
      <c r="K2027" s="104"/>
      <c r="L2027" s="105" t="s">
        <v>639</v>
      </c>
    </row>
    <row r="2028" customFormat="false" ht="48" hidden="false" customHeight="true" outlineLevel="0" collapsed="false">
      <c r="A2028" s="99"/>
      <c r="B2028" s="100" t="n">
        <v>46055</v>
      </c>
      <c r="C2028" s="100" t="n">
        <v>46061</v>
      </c>
      <c r="D2028" s="99" t="s">
        <v>638</v>
      </c>
      <c r="E2028" s="99" t="n">
        <v>0</v>
      </c>
      <c r="F2028" s="101" t="n">
        <v>0</v>
      </c>
      <c r="G2028" s="102" t="n">
        <f aca="false">IFERROR(F2028/INDEX($G$5:$G$34,MATCH(LOOKUP(2,1/($A$39:A2028&lt;&gt;""),$A$39:A2028),$A$5:$A$34,0)),0)</f>
        <v>0</v>
      </c>
      <c r="H2028" s="103" t="str">
        <f aca="false">IF(G2028=0,"空闲",IF(G2028&lt;=0.6,"低负荷",IF(G2028&lt;=0.85,"正常",IF(G2028&lt;=1,"满负荷","超负荷"))))</f>
        <v>空闲</v>
      </c>
      <c r="I2028" s="104" t="s">
        <v>638</v>
      </c>
      <c r="J2028" s="104"/>
      <c r="K2028" s="104"/>
      <c r="L2028" s="105" t="s">
        <v>639</v>
      </c>
    </row>
    <row r="2029" customFormat="false" ht="48" hidden="false" customHeight="true" outlineLevel="0" collapsed="false">
      <c r="A2029" s="99"/>
      <c r="B2029" s="100" t="n">
        <v>46062</v>
      </c>
      <c r="C2029" s="100" t="n">
        <v>46068</v>
      </c>
      <c r="D2029" s="99" t="s">
        <v>638</v>
      </c>
      <c r="E2029" s="99" t="n">
        <v>0</v>
      </c>
      <c r="F2029" s="101" t="n">
        <v>0</v>
      </c>
      <c r="G2029" s="102" t="n">
        <f aca="false">IFERROR(F2029/INDEX($G$5:$G$34,MATCH(LOOKUP(2,1/($A$39:A2029&lt;&gt;""),$A$39:A2029),$A$5:$A$34,0)),0)</f>
        <v>0</v>
      </c>
      <c r="H2029" s="103" t="str">
        <f aca="false">IF(G2029=0,"空闲",IF(G2029&lt;=0.6,"低负荷",IF(G2029&lt;=0.85,"正常",IF(G2029&lt;=1,"满负荷","超负荷"))))</f>
        <v>空闲</v>
      </c>
      <c r="I2029" s="104" t="s">
        <v>638</v>
      </c>
      <c r="J2029" s="104"/>
      <c r="K2029" s="104"/>
      <c r="L2029" s="105" t="s">
        <v>639</v>
      </c>
    </row>
    <row r="2030" customFormat="false" ht="48" hidden="false" customHeight="true" outlineLevel="0" collapsed="false">
      <c r="A2030" s="99"/>
      <c r="B2030" s="100" t="n">
        <v>46069</v>
      </c>
      <c r="C2030" s="100" t="n">
        <v>46075</v>
      </c>
      <c r="D2030" s="99" t="s">
        <v>638</v>
      </c>
      <c r="E2030" s="99" t="n">
        <v>0</v>
      </c>
      <c r="F2030" s="101" t="n">
        <v>0</v>
      </c>
      <c r="G2030" s="102" t="n">
        <f aca="false">IFERROR(F2030/INDEX($G$5:$G$34,MATCH(LOOKUP(2,1/($A$39:A2030&lt;&gt;""),$A$39:A2030),$A$5:$A$34,0)),0)</f>
        <v>0</v>
      </c>
      <c r="H2030" s="103" t="str">
        <f aca="false">IF(G2030=0,"空闲",IF(G2030&lt;=0.6,"低负荷",IF(G2030&lt;=0.85,"正常",IF(G2030&lt;=1,"满负荷","超负荷"))))</f>
        <v>空闲</v>
      </c>
      <c r="I2030" s="104" t="s">
        <v>638</v>
      </c>
      <c r="J2030" s="104"/>
      <c r="K2030" s="104"/>
      <c r="L2030" s="105" t="s">
        <v>639</v>
      </c>
    </row>
    <row r="2031" customFormat="false" ht="48" hidden="false" customHeight="true" outlineLevel="0" collapsed="false">
      <c r="A2031" s="99"/>
      <c r="B2031" s="100" t="n">
        <v>46076</v>
      </c>
      <c r="C2031" s="100" t="n">
        <v>46082</v>
      </c>
      <c r="D2031" s="99" t="s">
        <v>638</v>
      </c>
      <c r="E2031" s="99" t="n">
        <v>0</v>
      </c>
      <c r="F2031" s="101" t="n">
        <v>0</v>
      </c>
      <c r="G2031" s="102" t="n">
        <f aca="false">IFERROR(F2031/INDEX($G$5:$G$34,MATCH(LOOKUP(2,1/($A$39:A2031&lt;&gt;""),$A$39:A2031),$A$5:$A$34,0)),0)</f>
        <v>0</v>
      </c>
      <c r="H2031" s="103" t="str">
        <f aca="false">IF(G2031=0,"空闲",IF(G2031&lt;=0.6,"低负荷",IF(G2031&lt;=0.85,"正常",IF(G2031&lt;=1,"满负荷","超负荷"))))</f>
        <v>空闲</v>
      </c>
      <c r="I2031" s="104" t="s">
        <v>638</v>
      </c>
      <c r="J2031" s="104"/>
      <c r="K2031" s="104"/>
      <c r="L2031" s="105" t="s">
        <v>639</v>
      </c>
    </row>
    <row r="2032" customFormat="false" ht="48" hidden="false" customHeight="true" outlineLevel="0" collapsed="false">
      <c r="A2032" s="99"/>
      <c r="B2032" s="100" t="n">
        <v>46083</v>
      </c>
      <c r="C2032" s="100" t="n">
        <v>46089</v>
      </c>
      <c r="D2032" s="99" t="s">
        <v>638</v>
      </c>
      <c r="E2032" s="99" t="n">
        <v>0</v>
      </c>
      <c r="F2032" s="101" t="n">
        <v>0</v>
      </c>
      <c r="G2032" s="102" t="n">
        <f aca="false">IFERROR(F2032/INDEX($G$5:$G$34,MATCH(LOOKUP(2,1/($A$39:A2032&lt;&gt;""),$A$39:A2032),$A$5:$A$34,0)),0)</f>
        <v>0</v>
      </c>
      <c r="H2032" s="103" t="str">
        <f aca="false">IF(G2032=0,"空闲",IF(G2032&lt;=0.6,"低负荷",IF(G2032&lt;=0.85,"正常",IF(G2032&lt;=1,"满负荷","超负荷"))))</f>
        <v>空闲</v>
      </c>
      <c r="I2032" s="104" t="s">
        <v>638</v>
      </c>
      <c r="J2032" s="104"/>
      <c r="K2032" s="104"/>
      <c r="L2032" s="105" t="s">
        <v>639</v>
      </c>
    </row>
    <row r="2033" customFormat="false" ht="48" hidden="false" customHeight="true" outlineLevel="0" collapsed="false">
      <c r="A2033" s="99"/>
      <c r="B2033" s="100" t="n">
        <v>46090</v>
      </c>
      <c r="C2033" s="100" t="n">
        <v>46096</v>
      </c>
      <c r="D2033" s="99" t="s">
        <v>638</v>
      </c>
      <c r="E2033" s="99" t="n">
        <v>0</v>
      </c>
      <c r="F2033" s="101" t="n">
        <v>0</v>
      </c>
      <c r="G2033" s="102" t="n">
        <f aca="false">IFERROR(F2033/INDEX($G$5:$G$34,MATCH(LOOKUP(2,1/($A$39:A2033&lt;&gt;""),$A$39:A2033),$A$5:$A$34,0)),0)</f>
        <v>0</v>
      </c>
      <c r="H2033" s="103" t="str">
        <f aca="false">IF(G2033=0,"空闲",IF(G2033&lt;=0.6,"低负荷",IF(G2033&lt;=0.85,"正常",IF(G2033&lt;=1,"满负荷","超负荷"))))</f>
        <v>空闲</v>
      </c>
      <c r="I2033" s="104" t="s">
        <v>638</v>
      </c>
      <c r="J2033" s="104"/>
      <c r="K2033" s="104"/>
      <c r="L2033" s="105" t="s">
        <v>639</v>
      </c>
    </row>
    <row r="2034" customFormat="false" ht="48" hidden="false" customHeight="true" outlineLevel="0" collapsed="false">
      <c r="A2034" s="99"/>
      <c r="B2034" s="100" t="n">
        <v>46097</v>
      </c>
      <c r="C2034" s="100" t="n">
        <v>46103</v>
      </c>
      <c r="D2034" s="99" t="s">
        <v>638</v>
      </c>
      <c r="E2034" s="99" t="n">
        <v>0</v>
      </c>
      <c r="F2034" s="101" t="n">
        <v>0</v>
      </c>
      <c r="G2034" s="102" t="n">
        <f aca="false">IFERROR(F2034/INDEX($G$5:$G$34,MATCH(LOOKUP(2,1/($A$39:A2034&lt;&gt;""),$A$39:A2034),$A$5:$A$34,0)),0)</f>
        <v>0</v>
      </c>
      <c r="H2034" s="103" t="str">
        <f aca="false">IF(G2034=0,"空闲",IF(G2034&lt;=0.6,"低负荷",IF(G2034&lt;=0.85,"正常",IF(G2034&lt;=1,"满负荷","超负荷"))))</f>
        <v>空闲</v>
      </c>
      <c r="I2034" s="104" t="s">
        <v>638</v>
      </c>
      <c r="J2034" s="104"/>
      <c r="K2034" s="104"/>
      <c r="L2034" s="105" t="s">
        <v>639</v>
      </c>
    </row>
    <row r="2035" customFormat="false" ht="48" hidden="false" customHeight="true" outlineLevel="0" collapsed="false">
      <c r="A2035" s="99"/>
      <c r="B2035" s="100" t="n">
        <v>46104</v>
      </c>
      <c r="C2035" s="100" t="n">
        <v>46110</v>
      </c>
      <c r="D2035" s="99" t="s">
        <v>638</v>
      </c>
      <c r="E2035" s="99" t="n">
        <v>0</v>
      </c>
      <c r="F2035" s="101" t="n">
        <v>0</v>
      </c>
      <c r="G2035" s="102" t="n">
        <f aca="false">IFERROR(F2035/INDEX($G$5:$G$34,MATCH(LOOKUP(2,1/($A$39:A2035&lt;&gt;""),$A$39:A2035),$A$5:$A$34,0)),0)</f>
        <v>0</v>
      </c>
      <c r="H2035" s="103" t="str">
        <f aca="false">IF(G2035=0,"空闲",IF(G2035&lt;=0.6,"低负荷",IF(G2035&lt;=0.85,"正常",IF(G2035&lt;=1,"满负荷","超负荷"))))</f>
        <v>空闲</v>
      </c>
      <c r="I2035" s="104" t="s">
        <v>638</v>
      </c>
      <c r="J2035" s="104"/>
      <c r="K2035" s="104"/>
      <c r="L2035" s="105" t="s">
        <v>639</v>
      </c>
    </row>
    <row r="2036" customFormat="false" ht="48" hidden="false" customHeight="true" outlineLevel="0" collapsed="false">
      <c r="A2036" s="99"/>
      <c r="B2036" s="100" t="n">
        <v>46111</v>
      </c>
      <c r="C2036" s="100" t="n">
        <v>46117</v>
      </c>
      <c r="D2036" s="99" t="s">
        <v>638</v>
      </c>
      <c r="E2036" s="99" t="n">
        <v>0</v>
      </c>
      <c r="F2036" s="101" t="n">
        <v>0</v>
      </c>
      <c r="G2036" s="102" t="n">
        <f aca="false">IFERROR(F2036/INDEX($G$5:$G$34,MATCH(LOOKUP(2,1/($A$39:A2036&lt;&gt;""),$A$39:A2036),$A$5:$A$34,0)),0)</f>
        <v>0</v>
      </c>
      <c r="H2036" s="103" t="str">
        <f aca="false">IF(G2036=0,"空闲",IF(G2036&lt;=0.6,"低负荷",IF(G2036&lt;=0.85,"正常",IF(G2036&lt;=1,"满负荷","超负荷"))))</f>
        <v>空闲</v>
      </c>
      <c r="I2036" s="104" t="s">
        <v>638</v>
      </c>
      <c r="J2036" s="104"/>
      <c r="K2036" s="104"/>
      <c r="L2036" s="105" t="s">
        <v>639</v>
      </c>
    </row>
    <row r="2037" customFormat="false" ht="48" hidden="false" customHeight="true" outlineLevel="0" collapsed="false">
      <c r="A2037" s="99"/>
      <c r="B2037" s="100" t="n">
        <v>46118</v>
      </c>
      <c r="C2037" s="100" t="n">
        <v>46124</v>
      </c>
      <c r="D2037" s="99" t="s">
        <v>638</v>
      </c>
      <c r="E2037" s="99" t="n">
        <v>0</v>
      </c>
      <c r="F2037" s="101" t="n">
        <v>0</v>
      </c>
      <c r="G2037" s="102" t="n">
        <f aca="false">IFERROR(F2037/INDEX($G$5:$G$34,MATCH(LOOKUP(2,1/($A$39:A2037&lt;&gt;""),$A$39:A2037),$A$5:$A$34,0)),0)</f>
        <v>0</v>
      </c>
      <c r="H2037" s="103" t="str">
        <f aca="false">IF(G2037=0,"空闲",IF(G2037&lt;=0.6,"低负荷",IF(G2037&lt;=0.85,"正常",IF(G2037&lt;=1,"满负荷","超负荷"))))</f>
        <v>空闲</v>
      </c>
      <c r="I2037" s="104" t="s">
        <v>638</v>
      </c>
      <c r="J2037" s="104"/>
      <c r="K2037" s="104"/>
      <c r="L2037" s="105" t="s">
        <v>639</v>
      </c>
    </row>
    <row r="2038" customFormat="false" ht="48" hidden="false" customHeight="true" outlineLevel="0" collapsed="false">
      <c r="A2038" s="99"/>
      <c r="B2038" s="100" t="n">
        <v>46125</v>
      </c>
      <c r="C2038" s="100" t="n">
        <v>46131</v>
      </c>
      <c r="D2038" s="99" t="s">
        <v>638</v>
      </c>
      <c r="E2038" s="99" t="n">
        <v>0</v>
      </c>
      <c r="F2038" s="101" t="n">
        <v>0</v>
      </c>
      <c r="G2038" s="102" t="n">
        <f aca="false">IFERROR(F2038/INDEX($G$5:$G$34,MATCH(LOOKUP(2,1/($A$39:A2038&lt;&gt;""),$A$39:A2038),$A$5:$A$34,0)),0)</f>
        <v>0</v>
      </c>
      <c r="H2038" s="103" t="str">
        <f aca="false">IF(G2038=0,"空闲",IF(G2038&lt;=0.6,"低负荷",IF(G2038&lt;=0.85,"正常",IF(G2038&lt;=1,"满负荷","超负荷"))))</f>
        <v>空闲</v>
      </c>
      <c r="I2038" s="104" t="s">
        <v>638</v>
      </c>
      <c r="J2038" s="104"/>
      <c r="K2038" s="104"/>
      <c r="L2038" s="105" t="s">
        <v>639</v>
      </c>
    </row>
    <row r="2039" customFormat="false" ht="48" hidden="false" customHeight="true" outlineLevel="0" collapsed="false">
      <c r="A2039" s="99"/>
      <c r="B2039" s="100" t="n">
        <v>46132</v>
      </c>
      <c r="C2039" s="100" t="n">
        <v>46138</v>
      </c>
      <c r="D2039" s="99" t="s">
        <v>638</v>
      </c>
      <c r="E2039" s="99" t="n">
        <v>0</v>
      </c>
      <c r="F2039" s="101" t="n">
        <v>0</v>
      </c>
      <c r="G2039" s="102" t="n">
        <f aca="false">IFERROR(F2039/INDEX($G$5:$G$34,MATCH(LOOKUP(2,1/($A$39:A2039&lt;&gt;""),$A$39:A2039),$A$5:$A$34,0)),0)</f>
        <v>0</v>
      </c>
      <c r="H2039" s="103" t="str">
        <f aca="false">IF(G2039=0,"空闲",IF(G2039&lt;=0.6,"低负荷",IF(G2039&lt;=0.85,"正常",IF(G2039&lt;=1,"满负荷","超负荷"))))</f>
        <v>空闲</v>
      </c>
      <c r="I2039" s="104" t="s">
        <v>638</v>
      </c>
      <c r="J2039" s="104"/>
      <c r="K2039" s="104"/>
      <c r="L2039" s="105" t="s">
        <v>639</v>
      </c>
    </row>
    <row r="2040" customFormat="false" ht="48" hidden="false" customHeight="true" outlineLevel="0" collapsed="false">
      <c r="A2040" s="99"/>
      <c r="B2040" s="100" t="n">
        <v>46139</v>
      </c>
      <c r="C2040" s="100" t="n">
        <v>46145</v>
      </c>
      <c r="D2040" s="99" t="s">
        <v>638</v>
      </c>
      <c r="E2040" s="99" t="n">
        <v>0</v>
      </c>
      <c r="F2040" s="101" t="n">
        <v>0</v>
      </c>
      <c r="G2040" s="102" t="n">
        <f aca="false">IFERROR(F2040/INDEX($G$5:$G$34,MATCH(LOOKUP(2,1/($A$39:A2040&lt;&gt;""),$A$39:A2040),$A$5:$A$34,0)),0)</f>
        <v>0</v>
      </c>
      <c r="H2040" s="103" t="str">
        <f aca="false">IF(G2040=0,"空闲",IF(G2040&lt;=0.6,"低负荷",IF(G2040&lt;=0.85,"正常",IF(G2040&lt;=1,"满负荷","超负荷"))))</f>
        <v>空闲</v>
      </c>
      <c r="I2040" s="104" t="s">
        <v>638</v>
      </c>
      <c r="J2040" s="104"/>
      <c r="K2040" s="104"/>
      <c r="L2040" s="105" t="s">
        <v>639</v>
      </c>
    </row>
    <row r="2041" customFormat="false" ht="48" hidden="false" customHeight="true" outlineLevel="0" collapsed="false">
      <c r="A2041" s="99"/>
      <c r="B2041" s="100" t="n">
        <v>46146</v>
      </c>
      <c r="C2041" s="100" t="n">
        <v>46152</v>
      </c>
      <c r="D2041" s="99" t="s">
        <v>638</v>
      </c>
      <c r="E2041" s="99" t="n">
        <v>0</v>
      </c>
      <c r="F2041" s="101" t="n">
        <v>0</v>
      </c>
      <c r="G2041" s="102" t="n">
        <f aca="false">IFERROR(F2041/INDEX($G$5:$G$34,MATCH(LOOKUP(2,1/($A$39:A2041&lt;&gt;""),$A$39:A2041),$A$5:$A$34,0)),0)</f>
        <v>0</v>
      </c>
      <c r="H2041" s="103" t="str">
        <f aca="false">IF(G2041=0,"空闲",IF(G2041&lt;=0.6,"低负荷",IF(G2041&lt;=0.85,"正常",IF(G2041&lt;=1,"满负荷","超负荷"))))</f>
        <v>空闲</v>
      </c>
      <c r="I2041" s="104" t="s">
        <v>638</v>
      </c>
      <c r="J2041" s="104"/>
      <c r="K2041" s="104"/>
      <c r="L2041" s="105" t="s">
        <v>639</v>
      </c>
    </row>
    <row r="2042" customFormat="false" ht="48" hidden="false" customHeight="true" outlineLevel="0" collapsed="false">
      <c r="A2042" s="99"/>
      <c r="B2042" s="100" t="n">
        <v>46153</v>
      </c>
      <c r="C2042" s="100" t="n">
        <v>46159</v>
      </c>
      <c r="D2042" s="99" t="s">
        <v>638</v>
      </c>
      <c r="E2042" s="99" t="n">
        <v>0</v>
      </c>
      <c r="F2042" s="101" t="n">
        <v>0</v>
      </c>
      <c r="G2042" s="102" t="n">
        <f aca="false">IFERROR(F2042/INDEX($G$5:$G$34,MATCH(LOOKUP(2,1/($A$39:A2042&lt;&gt;""),$A$39:A2042),$A$5:$A$34,0)),0)</f>
        <v>0</v>
      </c>
      <c r="H2042" s="103" t="str">
        <f aca="false">IF(G2042=0,"空闲",IF(G2042&lt;=0.6,"低负荷",IF(G2042&lt;=0.85,"正常",IF(G2042&lt;=1,"满负荷","超负荷"))))</f>
        <v>空闲</v>
      </c>
      <c r="I2042" s="104" t="s">
        <v>638</v>
      </c>
      <c r="J2042" s="104"/>
      <c r="K2042" s="104"/>
      <c r="L2042" s="105" t="s">
        <v>639</v>
      </c>
    </row>
    <row r="2043" customFormat="false" ht="48" hidden="false" customHeight="true" outlineLevel="0" collapsed="false">
      <c r="A2043" s="99"/>
      <c r="B2043" s="100" t="n">
        <v>46160</v>
      </c>
      <c r="C2043" s="100" t="n">
        <v>46166</v>
      </c>
      <c r="D2043" s="99" t="s">
        <v>638</v>
      </c>
      <c r="E2043" s="99" t="n">
        <v>0</v>
      </c>
      <c r="F2043" s="101" t="n">
        <v>0</v>
      </c>
      <c r="G2043" s="102" t="n">
        <f aca="false">IFERROR(F2043/INDEX($G$5:$G$34,MATCH(LOOKUP(2,1/($A$39:A2043&lt;&gt;""),$A$39:A2043),$A$5:$A$34,0)),0)</f>
        <v>0</v>
      </c>
      <c r="H2043" s="103" t="str">
        <f aca="false">IF(G2043=0,"空闲",IF(G2043&lt;=0.6,"低负荷",IF(G2043&lt;=0.85,"正常",IF(G2043&lt;=1,"满负荷","超负荷"))))</f>
        <v>空闲</v>
      </c>
      <c r="I2043" s="104" t="s">
        <v>638</v>
      </c>
      <c r="J2043" s="104"/>
      <c r="K2043" s="104"/>
      <c r="L2043" s="105" t="s">
        <v>639</v>
      </c>
    </row>
    <row r="2044" customFormat="false" ht="48" hidden="false" customHeight="true" outlineLevel="0" collapsed="false">
      <c r="A2044" s="99"/>
      <c r="B2044" s="100" t="n">
        <v>46167</v>
      </c>
      <c r="C2044" s="100" t="n">
        <v>46173</v>
      </c>
      <c r="D2044" s="99" t="s">
        <v>638</v>
      </c>
      <c r="E2044" s="99" t="n">
        <v>0</v>
      </c>
      <c r="F2044" s="101" t="n">
        <v>0</v>
      </c>
      <c r="G2044" s="102" t="n">
        <f aca="false">IFERROR(F2044/INDEX($G$5:$G$34,MATCH(LOOKUP(2,1/($A$39:A2044&lt;&gt;""),$A$39:A2044),$A$5:$A$34,0)),0)</f>
        <v>0</v>
      </c>
      <c r="H2044" s="103" t="str">
        <f aca="false">IF(G2044=0,"空闲",IF(G2044&lt;=0.6,"低负荷",IF(G2044&lt;=0.85,"正常",IF(G2044&lt;=1,"满负荷","超负荷"))))</f>
        <v>空闲</v>
      </c>
      <c r="I2044" s="104" t="s">
        <v>638</v>
      </c>
      <c r="J2044" s="104"/>
      <c r="K2044" s="104"/>
      <c r="L2044" s="105" t="s">
        <v>639</v>
      </c>
    </row>
    <row r="2045" customFormat="false" ht="48" hidden="false" customHeight="true" outlineLevel="0" collapsed="false">
      <c r="A2045" s="99"/>
      <c r="B2045" s="100" t="n">
        <v>46174</v>
      </c>
      <c r="C2045" s="100" t="n">
        <v>46180</v>
      </c>
      <c r="D2045" s="99" t="s">
        <v>638</v>
      </c>
      <c r="E2045" s="99" t="n">
        <v>0</v>
      </c>
      <c r="F2045" s="101" t="n">
        <v>0</v>
      </c>
      <c r="G2045" s="102" t="n">
        <f aca="false">IFERROR(F2045/INDEX($G$5:$G$34,MATCH(LOOKUP(2,1/($A$39:A2045&lt;&gt;""),$A$39:A2045),$A$5:$A$34,0)),0)</f>
        <v>0</v>
      </c>
      <c r="H2045" s="103" t="str">
        <f aca="false">IF(G2045=0,"空闲",IF(G2045&lt;=0.6,"低负荷",IF(G2045&lt;=0.85,"正常",IF(G2045&lt;=1,"满负荷","超负荷"))))</f>
        <v>空闲</v>
      </c>
      <c r="I2045" s="104" t="s">
        <v>638</v>
      </c>
      <c r="J2045" s="104"/>
      <c r="K2045" s="104"/>
      <c r="L2045" s="105" t="s">
        <v>639</v>
      </c>
    </row>
    <row r="2046" customFormat="false" ht="48" hidden="false" customHeight="true" outlineLevel="0" collapsed="false">
      <c r="A2046" s="99"/>
      <c r="B2046" s="100" t="n">
        <v>46181</v>
      </c>
      <c r="C2046" s="100" t="n">
        <v>46187</v>
      </c>
      <c r="D2046" s="99" t="s">
        <v>638</v>
      </c>
      <c r="E2046" s="99" t="n">
        <v>0</v>
      </c>
      <c r="F2046" s="101" t="n">
        <v>0</v>
      </c>
      <c r="G2046" s="102" t="n">
        <f aca="false">IFERROR(F2046/INDEX($G$5:$G$34,MATCH(LOOKUP(2,1/($A$39:A2046&lt;&gt;""),$A$39:A2046),$A$5:$A$34,0)),0)</f>
        <v>0</v>
      </c>
      <c r="H2046" s="103" t="str">
        <f aca="false">IF(G2046=0,"空闲",IF(G2046&lt;=0.6,"低负荷",IF(G2046&lt;=0.85,"正常",IF(G2046&lt;=1,"满负荷","超负荷"))))</f>
        <v>空闲</v>
      </c>
      <c r="I2046" s="104" t="s">
        <v>638</v>
      </c>
      <c r="J2046" s="104"/>
      <c r="K2046" s="104"/>
      <c r="L2046" s="105" t="s">
        <v>639</v>
      </c>
    </row>
    <row r="2047" customFormat="false" ht="48" hidden="false" customHeight="true" outlineLevel="0" collapsed="false">
      <c r="A2047" s="99"/>
      <c r="B2047" s="100" t="n">
        <v>46188</v>
      </c>
      <c r="C2047" s="100" t="n">
        <v>46194</v>
      </c>
      <c r="D2047" s="99" t="s">
        <v>638</v>
      </c>
      <c r="E2047" s="99" t="n">
        <v>0</v>
      </c>
      <c r="F2047" s="101" t="n">
        <v>0</v>
      </c>
      <c r="G2047" s="102" t="n">
        <f aca="false">IFERROR(F2047/INDEX($G$5:$G$34,MATCH(LOOKUP(2,1/($A$39:A2047&lt;&gt;""),$A$39:A2047),$A$5:$A$34,0)),0)</f>
        <v>0</v>
      </c>
      <c r="H2047" s="103" t="str">
        <f aca="false">IF(G2047=0,"空闲",IF(G2047&lt;=0.6,"低负荷",IF(G2047&lt;=0.85,"正常",IF(G2047&lt;=1,"满负荷","超负荷"))))</f>
        <v>空闲</v>
      </c>
      <c r="I2047" s="104" t="s">
        <v>638</v>
      </c>
      <c r="J2047" s="104"/>
      <c r="K2047" s="104"/>
      <c r="L2047" s="105" t="s">
        <v>639</v>
      </c>
    </row>
    <row r="2048" customFormat="false" ht="48" hidden="false" customHeight="true" outlineLevel="0" collapsed="false">
      <c r="A2048" s="99"/>
      <c r="B2048" s="100" t="n">
        <v>46195</v>
      </c>
      <c r="C2048" s="100" t="n">
        <v>46201</v>
      </c>
      <c r="D2048" s="99" t="s">
        <v>638</v>
      </c>
      <c r="E2048" s="99" t="n">
        <v>0</v>
      </c>
      <c r="F2048" s="101" t="n">
        <v>0</v>
      </c>
      <c r="G2048" s="102" t="n">
        <f aca="false">IFERROR(F2048/INDEX($G$5:$G$34,MATCH(LOOKUP(2,1/($A$39:A2048&lt;&gt;""),$A$39:A2048),$A$5:$A$34,0)),0)</f>
        <v>0</v>
      </c>
      <c r="H2048" s="103" t="str">
        <f aca="false">IF(G2048=0,"空闲",IF(G2048&lt;=0.6,"低负荷",IF(G2048&lt;=0.85,"正常",IF(G2048&lt;=1,"满负荷","超负荷"))))</f>
        <v>空闲</v>
      </c>
      <c r="I2048" s="104" t="s">
        <v>638</v>
      </c>
      <c r="J2048" s="104"/>
      <c r="K2048" s="104"/>
      <c r="L2048" s="105" t="s">
        <v>639</v>
      </c>
    </row>
    <row r="2049" customFormat="false" ht="48" hidden="false" customHeight="true" outlineLevel="0" collapsed="false">
      <c r="A2049" s="99"/>
      <c r="B2049" s="100" t="n">
        <v>46202</v>
      </c>
      <c r="C2049" s="100" t="n">
        <v>46208</v>
      </c>
      <c r="D2049" s="99" t="s">
        <v>638</v>
      </c>
      <c r="E2049" s="99" t="n">
        <v>0</v>
      </c>
      <c r="F2049" s="101" t="n">
        <v>0</v>
      </c>
      <c r="G2049" s="102" t="n">
        <f aca="false">IFERROR(F2049/INDEX($G$5:$G$34,MATCH(LOOKUP(2,1/($A$39:A2049&lt;&gt;""),$A$39:A2049),$A$5:$A$34,0)),0)</f>
        <v>0</v>
      </c>
      <c r="H2049" s="103" t="str">
        <f aca="false">IF(G2049=0,"空闲",IF(G2049&lt;=0.6,"低负荷",IF(G2049&lt;=0.85,"正常",IF(G2049&lt;=1,"满负荷","超负荷"))))</f>
        <v>空闲</v>
      </c>
      <c r="I2049" s="104" t="s">
        <v>638</v>
      </c>
      <c r="J2049" s="104"/>
      <c r="K2049" s="104"/>
      <c r="L2049" s="105" t="s">
        <v>639</v>
      </c>
    </row>
    <row r="2050" customFormat="false" ht="48" hidden="false" customHeight="true" outlineLevel="0" collapsed="false">
      <c r="A2050" s="99"/>
      <c r="B2050" s="100" t="n">
        <v>46209</v>
      </c>
      <c r="C2050" s="100" t="n">
        <v>46215</v>
      </c>
      <c r="D2050" s="99" t="s">
        <v>638</v>
      </c>
      <c r="E2050" s="99" t="n">
        <v>0</v>
      </c>
      <c r="F2050" s="101" t="n">
        <v>0</v>
      </c>
      <c r="G2050" s="102" t="n">
        <f aca="false">IFERROR(F2050/INDEX($G$5:$G$34,MATCH(LOOKUP(2,1/($A$39:A2050&lt;&gt;""),$A$39:A2050),$A$5:$A$34,0)),0)</f>
        <v>0</v>
      </c>
      <c r="H2050" s="103" t="str">
        <f aca="false">IF(G2050=0,"空闲",IF(G2050&lt;=0.6,"低负荷",IF(G2050&lt;=0.85,"正常",IF(G2050&lt;=1,"满负荷","超负荷"))))</f>
        <v>空闲</v>
      </c>
      <c r="I2050" s="104" t="s">
        <v>638</v>
      </c>
      <c r="J2050" s="104"/>
      <c r="K2050" s="104"/>
      <c r="L2050" s="105" t="s">
        <v>639</v>
      </c>
    </row>
    <row r="2051" customFormat="false" ht="48" hidden="false" customHeight="true" outlineLevel="0" collapsed="false">
      <c r="A2051" s="99"/>
      <c r="B2051" s="100" t="n">
        <v>46216</v>
      </c>
      <c r="C2051" s="100" t="n">
        <v>46222</v>
      </c>
      <c r="D2051" s="99" t="s">
        <v>638</v>
      </c>
      <c r="E2051" s="99" t="n">
        <v>0</v>
      </c>
      <c r="F2051" s="101" t="n">
        <v>0</v>
      </c>
      <c r="G2051" s="102" t="n">
        <f aca="false">IFERROR(F2051/INDEX($G$5:$G$34,MATCH(LOOKUP(2,1/($A$39:A2051&lt;&gt;""),$A$39:A2051),$A$5:$A$34,0)),0)</f>
        <v>0</v>
      </c>
      <c r="H2051" s="103" t="str">
        <f aca="false">IF(G2051=0,"空闲",IF(G2051&lt;=0.6,"低负荷",IF(G2051&lt;=0.85,"正常",IF(G2051&lt;=1,"满负荷","超负荷"))))</f>
        <v>空闲</v>
      </c>
      <c r="I2051" s="104" t="s">
        <v>638</v>
      </c>
      <c r="J2051" s="104"/>
      <c r="K2051" s="104"/>
      <c r="L2051" s="105" t="s">
        <v>639</v>
      </c>
    </row>
    <row r="2052" customFormat="false" ht="48" hidden="false" customHeight="true" outlineLevel="0" collapsed="false">
      <c r="A2052" s="99"/>
      <c r="B2052" s="100" t="n">
        <v>46223</v>
      </c>
      <c r="C2052" s="100" t="n">
        <v>46229</v>
      </c>
      <c r="D2052" s="99" t="s">
        <v>638</v>
      </c>
      <c r="E2052" s="99" t="n">
        <v>0</v>
      </c>
      <c r="F2052" s="101" t="n">
        <v>0</v>
      </c>
      <c r="G2052" s="102" t="n">
        <f aca="false">IFERROR(F2052/INDEX($G$5:$G$34,MATCH(LOOKUP(2,1/($A$39:A2052&lt;&gt;""),$A$39:A2052),$A$5:$A$34,0)),0)</f>
        <v>0</v>
      </c>
      <c r="H2052" s="103" t="str">
        <f aca="false">IF(G2052=0,"空闲",IF(G2052&lt;=0.6,"低负荷",IF(G2052&lt;=0.85,"正常",IF(G2052&lt;=1,"满负荷","超负荷"))))</f>
        <v>空闲</v>
      </c>
      <c r="I2052" s="104" t="s">
        <v>638</v>
      </c>
      <c r="J2052" s="104"/>
      <c r="K2052" s="104"/>
      <c r="L2052" s="105" t="s">
        <v>639</v>
      </c>
    </row>
    <row r="2053" customFormat="false" ht="48" hidden="false" customHeight="true" outlineLevel="0" collapsed="false">
      <c r="A2053" s="99"/>
      <c r="B2053" s="100" t="n">
        <v>46230</v>
      </c>
      <c r="C2053" s="100" t="n">
        <v>46236</v>
      </c>
      <c r="D2053" s="99" t="s">
        <v>638</v>
      </c>
      <c r="E2053" s="99" t="n">
        <v>0</v>
      </c>
      <c r="F2053" s="101" t="n">
        <v>0</v>
      </c>
      <c r="G2053" s="102" t="n">
        <f aca="false">IFERROR(F2053/INDEX($G$5:$G$34,MATCH(LOOKUP(2,1/($A$39:A2053&lt;&gt;""),$A$39:A2053),$A$5:$A$34,0)),0)</f>
        <v>0</v>
      </c>
      <c r="H2053" s="103" t="str">
        <f aca="false">IF(G2053=0,"空闲",IF(G2053&lt;=0.6,"低负荷",IF(G2053&lt;=0.85,"正常",IF(G2053&lt;=1,"满负荷","超负荷"))))</f>
        <v>空闲</v>
      </c>
      <c r="I2053" s="104" t="s">
        <v>638</v>
      </c>
      <c r="J2053" s="104"/>
      <c r="K2053" s="104"/>
      <c r="L2053" s="105" t="s">
        <v>639</v>
      </c>
    </row>
    <row r="2054" customFormat="false" ht="48" hidden="false" customHeight="true" outlineLevel="0" collapsed="false">
      <c r="A2054" s="99"/>
      <c r="B2054" s="100" t="n">
        <v>46237</v>
      </c>
      <c r="C2054" s="100" t="n">
        <v>46243</v>
      </c>
      <c r="D2054" s="99" t="s">
        <v>638</v>
      </c>
      <c r="E2054" s="99" t="n">
        <v>0</v>
      </c>
      <c r="F2054" s="101" t="n">
        <v>0</v>
      </c>
      <c r="G2054" s="102" t="n">
        <f aca="false">IFERROR(F2054/INDEX($G$5:$G$34,MATCH(LOOKUP(2,1/($A$39:A2054&lt;&gt;""),$A$39:A2054),$A$5:$A$34,0)),0)</f>
        <v>0</v>
      </c>
      <c r="H2054" s="103" t="str">
        <f aca="false">IF(G2054=0,"空闲",IF(G2054&lt;=0.6,"低负荷",IF(G2054&lt;=0.85,"正常",IF(G2054&lt;=1,"满负荷","超负荷"))))</f>
        <v>空闲</v>
      </c>
      <c r="I2054" s="104" t="s">
        <v>638</v>
      </c>
      <c r="J2054" s="104"/>
      <c r="K2054" s="104"/>
      <c r="L2054" s="105" t="s">
        <v>639</v>
      </c>
    </row>
    <row r="2055" customFormat="false" ht="48" hidden="false" customHeight="true" outlineLevel="0" collapsed="false">
      <c r="A2055" s="99"/>
      <c r="B2055" s="100" t="n">
        <v>46244</v>
      </c>
      <c r="C2055" s="100" t="n">
        <v>46250</v>
      </c>
      <c r="D2055" s="99" t="s">
        <v>638</v>
      </c>
      <c r="E2055" s="99" t="n">
        <v>0</v>
      </c>
      <c r="F2055" s="101" t="n">
        <v>0</v>
      </c>
      <c r="G2055" s="102" t="n">
        <f aca="false">IFERROR(F2055/INDEX($G$5:$G$34,MATCH(LOOKUP(2,1/($A$39:A2055&lt;&gt;""),$A$39:A2055),$A$5:$A$34,0)),0)</f>
        <v>0</v>
      </c>
      <c r="H2055" s="103" t="str">
        <f aca="false">IF(G2055=0,"空闲",IF(G2055&lt;=0.6,"低负荷",IF(G2055&lt;=0.85,"正常",IF(G2055&lt;=1,"满负荷","超负荷"))))</f>
        <v>空闲</v>
      </c>
      <c r="I2055" s="104" t="s">
        <v>638</v>
      </c>
      <c r="J2055" s="104"/>
      <c r="K2055" s="104"/>
      <c r="L2055" s="105" t="s">
        <v>639</v>
      </c>
    </row>
    <row r="2056" customFormat="false" ht="48" hidden="false" customHeight="true" outlineLevel="0" collapsed="false">
      <c r="A2056" s="99"/>
      <c r="B2056" s="100" t="n">
        <v>46251</v>
      </c>
      <c r="C2056" s="100" t="n">
        <v>46257</v>
      </c>
      <c r="D2056" s="99" t="s">
        <v>638</v>
      </c>
      <c r="E2056" s="99" t="n">
        <v>0</v>
      </c>
      <c r="F2056" s="101" t="n">
        <v>0</v>
      </c>
      <c r="G2056" s="102" t="n">
        <f aca="false">IFERROR(F2056/INDEX($G$5:$G$34,MATCH(LOOKUP(2,1/($A$39:A2056&lt;&gt;""),$A$39:A2056),$A$5:$A$34,0)),0)</f>
        <v>0</v>
      </c>
      <c r="H2056" s="103" t="str">
        <f aca="false">IF(G2056=0,"空闲",IF(G2056&lt;=0.6,"低负荷",IF(G2056&lt;=0.85,"正常",IF(G2056&lt;=1,"满负荷","超负荷"))))</f>
        <v>空闲</v>
      </c>
      <c r="I2056" s="104" t="s">
        <v>638</v>
      </c>
      <c r="J2056" s="104"/>
      <c r="K2056" s="104"/>
      <c r="L2056" s="105" t="s">
        <v>639</v>
      </c>
    </row>
    <row r="2057" customFormat="false" ht="48" hidden="false" customHeight="true" outlineLevel="0" collapsed="false">
      <c r="A2057" s="99"/>
      <c r="B2057" s="100" t="n">
        <v>46258</v>
      </c>
      <c r="C2057" s="100" t="n">
        <v>46264</v>
      </c>
      <c r="D2057" s="99" t="s">
        <v>638</v>
      </c>
      <c r="E2057" s="99" t="n">
        <v>0</v>
      </c>
      <c r="F2057" s="101" t="n">
        <v>0</v>
      </c>
      <c r="G2057" s="102" t="n">
        <f aca="false">IFERROR(F2057/INDEX($G$5:$G$34,MATCH(LOOKUP(2,1/($A$39:A2057&lt;&gt;""),$A$39:A2057),$A$5:$A$34,0)),0)</f>
        <v>0</v>
      </c>
      <c r="H2057" s="103" t="str">
        <f aca="false">IF(G2057=0,"空闲",IF(G2057&lt;=0.6,"低负荷",IF(G2057&lt;=0.85,"正常",IF(G2057&lt;=1,"满负荷","超负荷"))))</f>
        <v>空闲</v>
      </c>
      <c r="I2057" s="104" t="s">
        <v>638</v>
      </c>
      <c r="J2057" s="104"/>
      <c r="K2057" s="104"/>
      <c r="L2057" s="105" t="s">
        <v>639</v>
      </c>
    </row>
    <row r="2058" customFormat="false" ht="48" hidden="false" customHeight="true" outlineLevel="0" collapsed="false">
      <c r="A2058" s="99"/>
      <c r="B2058" s="100" t="n">
        <v>46265</v>
      </c>
      <c r="C2058" s="100" t="n">
        <v>46271</v>
      </c>
      <c r="D2058" s="99" t="s">
        <v>640</v>
      </c>
      <c r="E2058" s="99" t="n">
        <v>1</v>
      </c>
      <c r="F2058" s="101" t="n">
        <v>40</v>
      </c>
      <c r="G2058" s="102" t="n">
        <f aca="false">IFERROR(F2058/INDEX($G$5:$G$34,MATCH(LOOKUP(2,1/($A$39:A2058&lt;&gt;""),$A$39:A2058),$A$5:$A$34,0)),0)</f>
        <v>1</v>
      </c>
      <c r="H2058" s="103" t="str">
        <f aca="false">IF(G2058=0,"空闲",IF(G2058&lt;=0.6,"低负荷",IF(G2058&lt;=0.85,"正常",IF(G2058&lt;=1,"满负荷","超负荷"))))</f>
        <v>满负荷</v>
      </c>
      <c r="I2058" s="106" t="s">
        <v>768</v>
      </c>
      <c r="J2058" s="106"/>
      <c r="K2058" s="106"/>
      <c r="L2058" s="105" t="s">
        <v>642</v>
      </c>
    </row>
    <row r="2059" customFormat="false" ht="48" hidden="false" customHeight="true" outlineLevel="0" collapsed="false">
      <c r="A2059" s="99"/>
      <c r="B2059" s="100" t="n">
        <v>46272</v>
      </c>
      <c r="C2059" s="100" t="n">
        <v>46278</v>
      </c>
      <c r="D2059" s="99" t="s">
        <v>640</v>
      </c>
      <c r="E2059" s="99" t="n">
        <v>1</v>
      </c>
      <c r="F2059" s="101" t="n">
        <v>40</v>
      </c>
      <c r="G2059" s="102" t="n">
        <f aca="false">IFERROR(F2059/INDEX($G$5:$G$34,MATCH(LOOKUP(2,1/($A$39:A2059&lt;&gt;""),$A$39:A2059),$A$5:$A$34,0)),0)</f>
        <v>1</v>
      </c>
      <c r="H2059" s="103" t="str">
        <f aca="false">IF(G2059=0,"空闲",IF(G2059&lt;=0.6,"低负荷",IF(G2059&lt;=0.85,"正常",IF(G2059&lt;=1,"满负荷","超负荷"))))</f>
        <v>满负荷</v>
      </c>
      <c r="I2059" s="106" t="s">
        <v>768</v>
      </c>
      <c r="J2059" s="106"/>
      <c r="K2059" s="106"/>
      <c r="L2059" s="105" t="s">
        <v>642</v>
      </c>
    </row>
    <row r="2060" customFormat="false" ht="48" hidden="false" customHeight="true" outlineLevel="0" collapsed="false">
      <c r="A2060" s="99"/>
      <c r="B2060" s="100" t="n">
        <v>46279</v>
      </c>
      <c r="C2060" s="100" t="n">
        <v>46285</v>
      </c>
      <c r="D2060" s="99" t="s">
        <v>638</v>
      </c>
      <c r="E2060" s="99" t="n">
        <v>0</v>
      </c>
      <c r="F2060" s="101" t="n">
        <v>0</v>
      </c>
      <c r="G2060" s="102" t="n">
        <f aca="false">IFERROR(F2060/INDEX($G$5:$G$34,MATCH(LOOKUP(2,1/($A$39:A2060&lt;&gt;""),$A$39:A2060),$A$5:$A$34,0)),0)</f>
        <v>0</v>
      </c>
      <c r="H2060" s="103" t="str">
        <f aca="false">IF(G2060=0,"空闲",IF(G2060&lt;=0.6,"低负荷",IF(G2060&lt;=0.85,"正常",IF(G2060&lt;=1,"满负荷","超负荷"))))</f>
        <v>空闲</v>
      </c>
      <c r="I2060" s="104" t="s">
        <v>638</v>
      </c>
      <c r="J2060" s="104"/>
      <c r="K2060" s="104"/>
      <c r="L2060" s="105" t="s">
        <v>639</v>
      </c>
    </row>
    <row r="2061" customFormat="false" ht="48" hidden="false" customHeight="true" outlineLevel="0" collapsed="false">
      <c r="A2061" s="99"/>
      <c r="B2061" s="100" t="n">
        <v>46286</v>
      </c>
      <c r="C2061" s="100" t="n">
        <v>46292</v>
      </c>
      <c r="D2061" s="99" t="s">
        <v>638</v>
      </c>
      <c r="E2061" s="99" t="n">
        <v>0</v>
      </c>
      <c r="F2061" s="101" t="n">
        <v>0</v>
      </c>
      <c r="G2061" s="102" t="n">
        <f aca="false">IFERROR(F2061/INDEX($G$5:$G$34,MATCH(LOOKUP(2,1/($A$39:A2061&lt;&gt;""),$A$39:A2061),$A$5:$A$34,0)),0)</f>
        <v>0</v>
      </c>
      <c r="H2061" s="103" t="str">
        <f aca="false">IF(G2061=0,"空闲",IF(G2061&lt;=0.6,"低负荷",IF(G2061&lt;=0.85,"正常",IF(G2061&lt;=1,"满负荷","超负荷"))))</f>
        <v>空闲</v>
      </c>
      <c r="I2061" s="104" t="s">
        <v>638</v>
      </c>
      <c r="J2061" s="104"/>
      <c r="K2061" s="104"/>
      <c r="L2061" s="105" t="s">
        <v>639</v>
      </c>
    </row>
    <row r="2062" customFormat="false" ht="48" hidden="false" customHeight="true" outlineLevel="0" collapsed="false">
      <c r="A2062" s="99"/>
      <c r="B2062" s="100" t="n">
        <v>46293</v>
      </c>
      <c r="C2062" s="100" t="n">
        <v>46299</v>
      </c>
      <c r="D2062" s="99" t="s">
        <v>638</v>
      </c>
      <c r="E2062" s="99" t="n">
        <v>0</v>
      </c>
      <c r="F2062" s="101" t="n">
        <v>0</v>
      </c>
      <c r="G2062" s="102" t="n">
        <f aca="false">IFERROR(F2062/INDEX($G$5:$G$34,MATCH(LOOKUP(2,1/($A$39:A2062&lt;&gt;""),$A$39:A2062),$A$5:$A$34,0)),0)</f>
        <v>0</v>
      </c>
      <c r="H2062" s="103" t="str">
        <f aca="false">IF(G2062=0,"空闲",IF(G2062&lt;=0.6,"低负荷",IF(G2062&lt;=0.85,"正常",IF(G2062&lt;=1,"满负荷","超负荷"))))</f>
        <v>空闲</v>
      </c>
      <c r="I2062" s="104" t="s">
        <v>638</v>
      </c>
      <c r="J2062" s="104"/>
      <c r="K2062" s="104"/>
      <c r="L2062" s="105" t="s">
        <v>639</v>
      </c>
    </row>
    <row r="2063" customFormat="false" ht="48" hidden="false" customHeight="true" outlineLevel="0" collapsed="false">
      <c r="A2063" s="99"/>
      <c r="B2063" s="100" t="n">
        <v>46300</v>
      </c>
      <c r="C2063" s="100" t="n">
        <v>46306</v>
      </c>
      <c r="D2063" s="99" t="s">
        <v>638</v>
      </c>
      <c r="E2063" s="99" t="n">
        <v>0</v>
      </c>
      <c r="F2063" s="101" t="n">
        <v>0</v>
      </c>
      <c r="G2063" s="102" t="n">
        <f aca="false">IFERROR(F2063/INDEX($G$5:$G$34,MATCH(LOOKUP(2,1/($A$39:A2063&lt;&gt;""),$A$39:A2063),$A$5:$A$34,0)),0)</f>
        <v>0</v>
      </c>
      <c r="H2063" s="103" t="str">
        <f aca="false">IF(G2063=0,"空闲",IF(G2063&lt;=0.6,"低负荷",IF(G2063&lt;=0.85,"正常",IF(G2063&lt;=1,"满负荷","超负荷"))))</f>
        <v>空闲</v>
      </c>
      <c r="I2063" s="104" t="s">
        <v>638</v>
      </c>
      <c r="J2063" s="104"/>
      <c r="K2063" s="104"/>
      <c r="L2063" s="105" t="s">
        <v>639</v>
      </c>
    </row>
    <row r="2064" customFormat="false" ht="48" hidden="false" customHeight="true" outlineLevel="0" collapsed="false">
      <c r="A2064" s="99"/>
      <c r="B2064" s="100" t="n">
        <v>46307</v>
      </c>
      <c r="C2064" s="100" t="n">
        <v>46313</v>
      </c>
      <c r="D2064" s="99" t="s">
        <v>638</v>
      </c>
      <c r="E2064" s="99" t="n">
        <v>0</v>
      </c>
      <c r="F2064" s="101" t="n">
        <v>0</v>
      </c>
      <c r="G2064" s="102" t="n">
        <f aca="false">IFERROR(F2064/INDEX($G$5:$G$34,MATCH(LOOKUP(2,1/($A$39:A2064&lt;&gt;""),$A$39:A2064),$A$5:$A$34,0)),0)</f>
        <v>0</v>
      </c>
      <c r="H2064" s="103" t="str">
        <f aca="false">IF(G2064=0,"空闲",IF(G2064&lt;=0.6,"低负荷",IF(G2064&lt;=0.85,"正常",IF(G2064&lt;=1,"满负荷","超负荷"))))</f>
        <v>空闲</v>
      </c>
      <c r="I2064" s="104" t="s">
        <v>638</v>
      </c>
      <c r="J2064" s="104"/>
      <c r="K2064" s="104"/>
      <c r="L2064" s="105" t="s">
        <v>639</v>
      </c>
    </row>
    <row r="2065" customFormat="false" ht="48" hidden="false" customHeight="true" outlineLevel="0" collapsed="false">
      <c r="A2065" s="99"/>
      <c r="B2065" s="100" t="n">
        <v>46314</v>
      </c>
      <c r="C2065" s="100" t="n">
        <v>46320</v>
      </c>
      <c r="D2065" s="99" t="s">
        <v>638</v>
      </c>
      <c r="E2065" s="99" t="n">
        <v>0</v>
      </c>
      <c r="F2065" s="101" t="n">
        <v>0</v>
      </c>
      <c r="G2065" s="102" t="n">
        <f aca="false">IFERROR(F2065/INDEX($G$5:$G$34,MATCH(LOOKUP(2,1/($A$39:A2065&lt;&gt;""),$A$39:A2065),$A$5:$A$34,0)),0)</f>
        <v>0</v>
      </c>
      <c r="H2065" s="103" t="str">
        <f aca="false">IF(G2065=0,"空闲",IF(G2065&lt;=0.6,"低负荷",IF(G2065&lt;=0.85,"正常",IF(G2065&lt;=1,"满负荷","超负荷"))))</f>
        <v>空闲</v>
      </c>
      <c r="I2065" s="104" t="s">
        <v>638</v>
      </c>
      <c r="J2065" s="104"/>
      <c r="K2065" s="104"/>
      <c r="L2065" s="105" t="s">
        <v>639</v>
      </c>
    </row>
    <row r="2066" customFormat="false" ht="48" hidden="false" customHeight="true" outlineLevel="0" collapsed="false">
      <c r="A2066" s="99"/>
      <c r="B2066" s="100" t="n">
        <v>46321</v>
      </c>
      <c r="C2066" s="100" t="n">
        <v>46327</v>
      </c>
      <c r="D2066" s="99" t="s">
        <v>638</v>
      </c>
      <c r="E2066" s="99" t="n">
        <v>0</v>
      </c>
      <c r="F2066" s="101" t="n">
        <v>0</v>
      </c>
      <c r="G2066" s="102" t="n">
        <f aca="false">IFERROR(F2066/INDEX($G$5:$G$34,MATCH(LOOKUP(2,1/($A$39:A2066&lt;&gt;""),$A$39:A2066),$A$5:$A$34,0)),0)</f>
        <v>0</v>
      </c>
      <c r="H2066" s="103" t="str">
        <f aca="false">IF(G2066=0,"空闲",IF(G2066&lt;=0.6,"低负荷",IF(G2066&lt;=0.85,"正常",IF(G2066&lt;=1,"满负荷","超负荷"))))</f>
        <v>空闲</v>
      </c>
      <c r="I2066" s="104" t="s">
        <v>638</v>
      </c>
      <c r="J2066" s="104"/>
      <c r="K2066" s="104"/>
      <c r="L2066" s="105" t="s">
        <v>639</v>
      </c>
    </row>
    <row r="2067" customFormat="false" ht="48" hidden="false" customHeight="true" outlineLevel="0" collapsed="false">
      <c r="A2067" s="99"/>
      <c r="B2067" s="100" t="n">
        <v>46328</v>
      </c>
      <c r="C2067" s="100" t="n">
        <v>46334</v>
      </c>
      <c r="D2067" s="99" t="s">
        <v>638</v>
      </c>
      <c r="E2067" s="99" t="n">
        <v>0</v>
      </c>
      <c r="F2067" s="101" t="n">
        <v>0</v>
      </c>
      <c r="G2067" s="102" t="n">
        <f aca="false">IFERROR(F2067/INDEX($G$5:$G$34,MATCH(LOOKUP(2,1/($A$39:A2067&lt;&gt;""),$A$39:A2067),$A$5:$A$34,0)),0)</f>
        <v>0</v>
      </c>
      <c r="H2067" s="103" t="str">
        <f aca="false">IF(G2067=0,"空闲",IF(G2067&lt;=0.6,"低负荷",IF(G2067&lt;=0.85,"正常",IF(G2067&lt;=1,"满负荷","超负荷"))))</f>
        <v>空闲</v>
      </c>
      <c r="I2067" s="104" t="s">
        <v>638</v>
      </c>
      <c r="J2067" s="104"/>
      <c r="K2067" s="104"/>
      <c r="L2067" s="105" t="s">
        <v>639</v>
      </c>
    </row>
    <row r="2068" customFormat="false" ht="48" hidden="false" customHeight="true" outlineLevel="0" collapsed="false">
      <c r="A2068" s="99"/>
      <c r="B2068" s="100" t="n">
        <v>46335</v>
      </c>
      <c r="C2068" s="100" t="n">
        <v>46341</v>
      </c>
      <c r="D2068" s="99" t="s">
        <v>638</v>
      </c>
      <c r="E2068" s="99" t="n">
        <v>0</v>
      </c>
      <c r="F2068" s="101" t="n">
        <v>0</v>
      </c>
      <c r="G2068" s="102" t="n">
        <f aca="false">IFERROR(F2068/INDEX($G$5:$G$34,MATCH(LOOKUP(2,1/($A$39:A2068&lt;&gt;""),$A$39:A2068),$A$5:$A$34,0)),0)</f>
        <v>0</v>
      </c>
      <c r="H2068" s="103" t="str">
        <f aca="false">IF(G2068=0,"空闲",IF(G2068&lt;=0.6,"低负荷",IF(G2068&lt;=0.85,"正常",IF(G2068&lt;=1,"满负荷","超负荷"))))</f>
        <v>空闲</v>
      </c>
      <c r="I2068" s="104" t="s">
        <v>638</v>
      </c>
      <c r="J2068" s="104"/>
      <c r="K2068" s="104"/>
      <c r="L2068" s="105" t="s">
        <v>639</v>
      </c>
    </row>
    <row r="2069" customFormat="false" ht="48" hidden="false" customHeight="true" outlineLevel="0" collapsed="false">
      <c r="A2069" s="99"/>
      <c r="B2069" s="100" t="n">
        <v>46342</v>
      </c>
      <c r="C2069" s="100" t="n">
        <v>46348</v>
      </c>
      <c r="D2069" s="99" t="s">
        <v>638</v>
      </c>
      <c r="E2069" s="99" t="n">
        <v>0</v>
      </c>
      <c r="F2069" s="101" t="n">
        <v>0</v>
      </c>
      <c r="G2069" s="102" t="n">
        <f aca="false">IFERROR(F2069/INDEX($G$5:$G$34,MATCH(LOOKUP(2,1/($A$39:A2069&lt;&gt;""),$A$39:A2069),$A$5:$A$34,0)),0)</f>
        <v>0</v>
      </c>
      <c r="H2069" s="103" t="str">
        <f aca="false">IF(G2069=0,"空闲",IF(G2069&lt;=0.6,"低负荷",IF(G2069&lt;=0.85,"正常",IF(G2069&lt;=1,"满负荷","超负荷"))))</f>
        <v>空闲</v>
      </c>
      <c r="I2069" s="104" t="s">
        <v>638</v>
      </c>
      <c r="J2069" s="104"/>
      <c r="K2069" s="104"/>
      <c r="L2069" s="105" t="s">
        <v>639</v>
      </c>
    </row>
    <row r="2070" customFormat="false" ht="48" hidden="false" customHeight="true" outlineLevel="0" collapsed="false">
      <c r="A2070" s="99"/>
      <c r="B2070" s="100" t="n">
        <v>46349</v>
      </c>
      <c r="C2070" s="100" t="n">
        <v>46355</v>
      </c>
      <c r="D2070" s="99" t="s">
        <v>638</v>
      </c>
      <c r="E2070" s="99" t="n">
        <v>0</v>
      </c>
      <c r="F2070" s="101" t="n">
        <v>0</v>
      </c>
      <c r="G2070" s="102" t="n">
        <f aca="false">IFERROR(F2070/INDEX($G$5:$G$34,MATCH(LOOKUP(2,1/($A$39:A2070&lt;&gt;""),$A$39:A2070),$A$5:$A$34,0)),0)</f>
        <v>0</v>
      </c>
      <c r="H2070" s="103" t="str">
        <f aca="false">IF(G2070=0,"空闲",IF(G2070&lt;=0.6,"低负荷",IF(G2070&lt;=0.85,"正常",IF(G2070&lt;=1,"满负荷","超负荷"))))</f>
        <v>空闲</v>
      </c>
      <c r="I2070" s="104" t="s">
        <v>638</v>
      </c>
      <c r="J2070" s="104"/>
      <c r="K2070" s="104"/>
      <c r="L2070" s="105" t="s">
        <v>639</v>
      </c>
    </row>
    <row r="2071" customFormat="false" ht="48" hidden="false" customHeight="true" outlineLevel="0" collapsed="false">
      <c r="A2071" s="99"/>
      <c r="B2071" s="100" t="n">
        <v>46356</v>
      </c>
      <c r="C2071" s="100" t="n">
        <v>46362</v>
      </c>
      <c r="D2071" s="99" t="s">
        <v>638</v>
      </c>
      <c r="E2071" s="99" t="n">
        <v>0</v>
      </c>
      <c r="F2071" s="101" t="n">
        <v>0</v>
      </c>
      <c r="G2071" s="102" t="n">
        <f aca="false">IFERROR(F2071/INDEX($G$5:$G$34,MATCH(LOOKUP(2,1/($A$39:A2071&lt;&gt;""),$A$39:A2071),$A$5:$A$34,0)),0)</f>
        <v>0</v>
      </c>
      <c r="H2071" s="103" t="str">
        <f aca="false">IF(G2071=0,"空闲",IF(G2071&lt;=0.6,"低负荷",IF(G2071&lt;=0.85,"正常",IF(G2071&lt;=1,"满负荷","超负荷"))))</f>
        <v>空闲</v>
      </c>
      <c r="I2071" s="104" t="s">
        <v>638</v>
      </c>
      <c r="J2071" s="104"/>
      <c r="K2071" s="104"/>
      <c r="L2071" s="105" t="s">
        <v>639</v>
      </c>
    </row>
    <row r="2072" customFormat="false" ht="48" hidden="false" customHeight="true" outlineLevel="0" collapsed="false">
      <c r="A2072" s="99"/>
      <c r="B2072" s="100" t="n">
        <v>46363</v>
      </c>
      <c r="C2072" s="100" t="n">
        <v>46369</v>
      </c>
      <c r="D2072" s="99" t="s">
        <v>638</v>
      </c>
      <c r="E2072" s="99" t="n">
        <v>0</v>
      </c>
      <c r="F2072" s="101" t="n">
        <v>0</v>
      </c>
      <c r="G2072" s="102" t="n">
        <f aca="false">IFERROR(F2072/INDEX($G$5:$G$34,MATCH(LOOKUP(2,1/($A$39:A2072&lt;&gt;""),$A$39:A2072),$A$5:$A$34,0)),0)</f>
        <v>0</v>
      </c>
      <c r="H2072" s="103" t="str">
        <f aca="false">IF(G2072=0,"空闲",IF(G2072&lt;=0.6,"低负荷",IF(G2072&lt;=0.85,"正常",IF(G2072&lt;=1,"满负荷","超负荷"))))</f>
        <v>空闲</v>
      </c>
      <c r="I2072" s="104" t="s">
        <v>638</v>
      </c>
      <c r="J2072" s="104"/>
      <c r="K2072" s="104"/>
      <c r="L2072" s="105" t="s">
        <v>639</v>
      </c>
    </row>
    <row r="2073" customFormat="false" ht="48" hidden="false" customHeight="true" outlineLevel="0" collapsed="false">
      <c r="A2073" s="99"/>
      <c r="B2073" s="100" t="n">
        <v>46370</v>
      </c>
      <c r="C2073" s="100" t="n">
        <v>46376</v>
      </c>
      <c r="D2073" s="99" t="s">
        <v>638</v>
      </c>
      <c r="E2073" s="99" t="n">
        <v>0</v>
      </c>
      <c r="F2073" s="101" t="n">
        <v>0</v>
      </c>
      <c r="G2073" s="102" t="n">
        <f aca="false">IFERROR(F2073/INDEX($G$5:$G$34,MATCH(LOOKUP(2,1/($A$39:A2073&lt;&gt;""),$A$39:A2073),$A$5:$A$34,0)),0)</f>
        <v>0</v>
      </c>
      <c r="H2073" s="103" t="str">
        <f aca="false">IF(G2073=0,"空闲",IF(G2073&lt;=0.6,"低负荷",IF(G2073&lt;=0.85,"正常",IF(G2073&lt;=1,"满负荷","超负荷"))))</f>
        <v>空闲</v>
      </c>
      <c r="I2073" s="104" t="s">
        <v>638</v>
      </c>
      <c r="J2073" s="104"/>
      <c r="K2073" s="104"/>
      <c r="L2073" s="105" t="s">
        <v>639</v>
      </c>
    </row>
    <row r="2074" customFormat="false" ht="48" hidden="false" customHeight="true" outlineLevel="0" collapsed="false">
      <c r="A2074" s="99"/>
      <c r="B2074" s="100" t="n">
        <v>46377</v>
      </c>
      <c r="C2074" s="100" t="n">
        <v>46383</v>
      </c>
      <c r="D2074" s="99" t="s">
        <v>638</v>
      </c>
      <c r="E2074" s="99" t="n">
        <v>0</v>
      </c>
      <c r="F2074" s="101" t="n">
        <v>0</v>
      </c>
      <c r="G2074" s="102" t="n">
        <f aca="false">IFERROR(F2074/INDEX($G$5:$G$34,MATCH(LOOKUP(2,1/($A$39:A2074&lt;&gt;""),$A$39:A2074),$A$5:$A$34,0)),0)</f>
        <v>0</v>
      </c>
      <c r="H2074" s="103" t="str">
        <f aca="false">IF(G2074=0,"空闲",IF(G2074&lt;=0.6,"低负荷",IF(G2074&lt;=0.85,"正常",IF(G2074&lt;=1,"满负荷","超负荷"))))</f>
        <v>空闲</v>
      </c>
      <c r="I2074" s="104" t="s">
        <v>638</v>
      </c>
      <c r="J2074" s="104"/>
      <c r="K2074" s="104"/>
      <c r="L2074" s="105" t="s">
        <v>639</v>
      </c>
    </row>
    <row r="2075" customFormat="false" ht="48" hidden="false" customHeight="true" outlineLevel="0" collapsed="false">
      <c r="A2075" s="99"/>
      <c r="B2075" s="100" t="n">
        <v>46384</v>
      </c>
      <c r="C2075" s="100" t="n">
        <v>46390</v>
      </c>
      <c r="D2075" s="99" t="s">
        <v>638</v>
      </c>
      <c r="E2075" s="99" t="n">
        <v>0</v>
      </c>
      <c r="F2075" s="101" t="n">
        <v>0</v>
      </c>
      <c r="G2075" s="102" t="n">
        <f aca="false">IFERROR(F2075/INDEX($G$5:$G$34,MATCH(LOOKUP(2,1/($A$39:A2075&lt;&gt;""),$A$39:A2075),$A$5:$A$34,0)),0)</f>
        <v>0</v>
      </c>
      <c r="H2075" s="103" t="str">
        <f aca="false">IF(G2075=0,"空闲",IF(G2075&lt;=0.6,"低负荷",IF(G2075&lt;=0.85,"正常",IF(G2075&lt;=1,"满负荷","超负荷"))))</f>
        <v>空闲</v>
      </c>
      <c r="I2075" s="104" t="s">
        <v>638</v>
      </c>
      <c r="J2075" s="104"/>
      <c r="K2075" s="104"/>
      <c r="L2075" s="105" t="s">
        <v>639</v>
      </c>
    </row>
    <row r="2076" customFormat="false" ht="48" hidden="false" customHeight="true" outlineLevel="0" collapsed="false">
      <c r="A2076" s="99"/>
      <c r="B2076" s="100" t="n">
        <v>46391</v>
      </c>
      <c r="C2076" s="100" t="n">
        <v>46397</v>
      </c>
      <c r="D2076" s="99" t="s">
        <v>638</v>
      </c>
      <c r="E2076" s="99" t="n">
        <v>0</v>
      </c>
      <c r="F2076" s="101" t="n">
        <v>0</v>
      </c>
      <c r="G2076" s="102" t="n">
        <f aca="false">IFERROR(F2076/INDEX($G$5:$G$34,MATCH(LOOKUP(2,1/($A$39:A2076&lt;&gt;""),$A$39:A2076),$A$5:$A$34,0)),0)</f>
        <v>0</v>
      </c>
      <c r="H2076" s="103" t="str">
        <f aca="false">IF(G2076=0,"空闲",IF(G2076&lt;=0.6,"低负荷",IF(G2076&lt;=0.85,"正常",IF(G2076&lt;=1,"满负荷","超负荷"))))</f>
        <v>空闲</v>
      </c>
      <c r="I2076" s="104" t="s">
        <v>638</v>
      </c>
      <c r="J2076" s="104"/>
      <c r="K2076" s="104"/>
      <c r="L2076" s="105" t="s">
        <v>639</v>
      </c>
    </row>
    <row r="2077" customFormat="false" ht="48" hidden="false" customHeight="true" outlineLevel="0" collapsed="false">
      <c r="A2077" s="99"/>
      <c r="B2077" s="100" t="n">
        <v>46398</v>
      </c>
      <c r="C2077" s="100" t="n">
        <v>46404</v>
      </c>
      <c r="D2077" s="99" t="s">
        <v>638</v>
      </c>
      <c r="E2077" s="99" t="n">
        <v>0</v>
      </c>
      <c r="F2077" s="101" t="n">
        <v>0</v>
      </c>
      <c r="G2077" s="102" t="n">
        <f aca="false">IFERROR(F2077/INDEX($G$5:$G$34,MATCH(LOOKUP(2,1/($A$39:A2077&lt;&gt;""),$A$39:A2077),$A$5:$A$34,0)),0)</f>
        <v>0</v>
      </c>
      <c r="H2077" s="103" t="str">
        <f aca="false">IF(G2077=0,"空闲",IF(G2077&lt;=0.6,"低负荷",IF(G2077&lt;=0.85,"正常",IF(G2077&lt;=1,"满负荷","超负荷"))))</f>
        <v>空闲</v>
      </c>
      <c r="I2077" s="104" t="s">
        <v>638</v>
      </c>
      <c r="J2077" s="104"/>
      <c r="K2077" s="104"/>
      <c r="L2077" s="105" t="s">
        <v>639</v>
      </c>
    </row>
    <row r="2078" customFormat="false" ht="48" hidden="false" customHeight="true" outlineLevel="0" collapsed="false">
      <c r="A2078" s="99"/>
      <c r="B2078" s="100" t="n">
        <v>46405</v>
      </c>
      <c r="C2078" s="100" t="n">
        <v>46411</v>
      </c>
      <c r="D2078" s="99" t="s">
        <v>638</v>
      </c>
      <c r="E2078" s="99" t="n">
        <v>0</v>
      </c>
      <c r="F2078" s="101" t="n">
        <v>0</v>
      </c>
      <c r="G2078" s="102" t="n">
        <f aca="false">IFERROR(F2078/INDEX($G$5:$G$34,MATCH(LOOKUP(2,1/($A$39:A2078&lt;&gt;""),$A$39:A2078),$A$5:$A$34,0)),0)</f>
        <v>0</v>
      </c>
      <c r="H2078" s="103" t="str">
        <f aca="false">IF(G2078=0,"空闲",IF(G2078&lt;=0.6,"低负荷",IF(G2078&lt;=0.85,"正常",IF(G2078&lt;=1,"满负荷","超负荷"))))</f>
        <v>空闲</v>
      </c>
      <c r="I2078" s="104" t="s">
        <v>638</v>
      </c>
      <c r="J2078" s="104"/>
      <c r="K2078" s="104"/>
      <c r="L2078" s="105" t="s">
        <v>639</v>
      </c>
    </row>
    <row r="2079" customFormat="false" ht="48" hidden="false" customHeight="true" outlineLevel="0" collapsed="false">
      <c r="A2079" s="99"/>
      <c r="B2079" s="100" t="n">
        <v>46412</v>
      </c>
      <c r="C2079" s="100" t="n">
        <v>46418</v>
      </c>
      <c r="D2079" s="99" t="s">
        <v>638</v>
      </c>
      <c r="E2079" s="99" t="n">
        <v>0</v>
      </c>
      <c r="F2079" s="101" t="n">
        <v>0</v>
      </c>
      <c r="G2079" s="102" t="n">
        <f aca="false">IFERROR(F2079/INDEX($G$5:$G$34,MATCH(LOOKUP(2,1/($A$39:A2079&lt;&gt;""),$A$39:A2079),$A$5:$A$34,0)),0)</f>
        <v>0</v>
      </c>
      <c r="H2079" s="103" t="str">
        <f aca="false">IF(G2079=0,"空闲",IF(G2079&lt;=0.6,"低负荷",IF(G2079&lt;=0.85,"正常",IF(G2079&lt;=1,"满负荷","超负荷"))))</f>
        <v>空闲</v>
      </c>
      <c r="I2079" s="104" t="s">
        <v>638</v>
      </c>
      <c r="J2079" s="104"/>
      <c r="K2079" s="104"/>
      <c r="L2079" s="105" t="s">
        <v>639</v>
      </c>
    </row>
    <row r="2080" customFormat="false" ht="48" hidden="false" customHeight="true" outlineLevel="0" collapsed="false">
      <c r="A2080" s="99"/>
      <c r="B2080" s="100" t="n">
        <v>46419</v>
      </c>
      <c r="C2080" s="100" t="n">
        <v>46425</v>
      </c>
      <c r="D2080" s="99" t="s">
        <v>638</v>
      </c>
      <c r="E2080" s="99" t="n">
        <v>0</v>
      </c>
      <c r="F2080" s="101" t="n">
        <v>0</v>
      </c>
      <c r="G2080" s="102" t="n">
        <f aca="false">IFERROR(F2080/INDEX($G$5:$G$34,MATCH(LOOKUP(2,1/($A$39:A2080&lt;&gt;""),$A$39:A2080),$A$5:$A$34,0)),0)</f>
        <v>0</v>
      </c>
      <c r="H2080" s="103" t="str">
        <f aca="false">IF(G2080=0,"空闲",IF(G2080&lt;=0.6,"低负荷",IF(G2080&lt;=0.85,"正常",IF(G2080&lt;=1,"满负荷","超负荷"))))</f>
        <v>空闲</v>
      </c>
      <c r="I2080" s="104" t="s">
        <v>638</v>
      </c>
      <c r="J2080" s="104"/>
      <c r="K2080" s="104"/>
      <c r="L2080" s="105" t="s">
        <v>639</v>
      </c>
    </row>
    <row r="2081" customFormat="false" ht="48" hidden="false" customHeight="true" outlineLevel="0" collapsed="false">
      <c r="A2081" s="99"/>
      <c r="B2081" s="100" t="n">
        <v>46426</v>
      </c>
      <c r="C2081" s="100" t="n">
        <v>46432</v>
      </c>
      <c r="D2081" s="99" t="s">
        <v>638</v>
      </c>
      <c r="E2081" s="99" t="n">
        <v>0</v>
      </c>
      <c r="F2081" s="101" t="n">
        <v>0</v>
      </c>
      <c r="G2081" s="102" t="n">
        <f aca="false">IFERROR(F2081/INDEX($G$5:$G$34,MATCH(LOOKUP(2,1/($A$39:A2081&lt;&gt;""),$A$39:A2081),$A$5:$A$34,0)),0)</f>
        <v>0</v>
      </c>
      <c r="H2081" s="103" t="str">
        <f aca="false">IF(G2081=0,"空闲",IF(G2081&lt;=0.6,"低负荷",IF(G2081&lt;=0.85,"正常",IF(G2081&lt;=1,"满负荷","超负荷"))))</f>
        <v>空闲</v>
      </c>
      <c r="I2081" s="104" t="s">
        <v>638</v>
      </c>
      <c r="J2081" s="104"/>
      <c r="K2081" s="104"/>
      <c r="L2081" s="105" t="s">
        <v>639</v>
      </c>
    </row>
    <row r="2082" customFormat="false" ht="48" hidden="false" customHeight="true" outlineLevel="0" collapsed="false">
      <c r="A2082" s="99"/>
      <c r="B2082" s="100" t="n">
        <v>46433</v>
      </c>
      <c r="C2082" s="100" t="n">
        <v>46439</v>
      </c>
      <c r="D2082" s="99" t="s">
        <v>638</v>
      </c>
      <c r="E2082" s="99" t="n">
        <v>0</v>
      </c>
      <c r="F2082" s="101" t="n">
        <v>0</v>
      </c>
      <c r="G2082" s="102" t="n">
        <f aca="false">IFERROR(F2082/INDEX($G$5:$G$34,MATCH(LOOKUP(2,1/($A$39:A2082&lt;&gt;""),$A$39:A2082),$A$5:$A$34,0)),0)</f>
        <v>0</v>
      </c>
      <c r="H2082" s="103" t="str">
        <f aca="false">IF(G2082=0,"空闲",IF(G2082&lt;=0.6,"低负荷",IF(G2082&lt;=0.85,"正常",IF(G2082&lt;=1,"满负荷","超负荷"))))</f>
        <v>空闲</v>
      </c>
      <c r="I2082" s="104" t="s">
        <v>638</v>
      </c>
      <c r="J2082" s="104"/>
      <c r="K2082" s="104"/>
      <c r="L2082" s="105" t="s">
        <v>639</v>
      </c>
    </row>
    <row r="2083" customFormat="false" ht="48" hidden="false" customHeight="true" outlineLevel="0" collapsed="false">
      <c r="A2083" s="99"/>
      <c r="B2083" s="100" t="n">
        <v>46440</v>
      </c>
      <c r="C2083" s="100" t="n">
        <v>46446</v>
      </c>
      <c r="D2083" s="99" t="s">
        <v>638</v>
      </c>
      <c r="E2083" s="99" t="n">
        <v>0</v>
      </c>
      <c r="F2083" s="101" t="n">
        <v>0</v>
      </c>
      <c r="G2083" s="102" t="n">
        <f aca="false">IFERROR(F2083/INDEX($G$5:$G$34,MATCH(LOOKUP(2,1/($A$39:A2083&lt;&gt;""),$A$39:A2083),$A$5:$A$34,0)),0)</f>
        <v>0</v>
      </c>
      <c r="H2083" s="103" t="str">
        <f aca="false">IF(G2083=0,"空闲",IF(G2083&lt;=0.6,"低负荷",IF(G2083&lt;=0.85,"正常",IF(G2083&lt;=1,"满负荷","超负荷"))))</f>
        <v>空闲</v>
      </c>
      <c r="I2083" s="104" t="s">
        <v>638</v>
      </c>
      <c r="J2083" s="104"/>
      <c r="K2083" s="104"/>
      <c r="L2083" s="105" t="s">
        <v>639</v>
      </c>
    </row>
    <row r="2084" customFormat="false" ht="48" hidden="false" customHeight="true" outlineLevel="0" collapsed="false">
      <c r="A2084" s="99"/>
      <c r="B2084" s="100" t="n">
        <v>46447</v>
      </c>
      <c r="C2084" s="100" t="n">
        <v>46453</v>
      </c>
      <c r="D2084" s="99" t="s">
        <v>640</v>
      </c>
      <c r="E2084" s="99" t="n">
        <v>8</v>
      </c>
      <c r="F2084" s="101" t="n">
        <v>40</v>
      </c>
      <c r="G2084" s="102" t="n">
        <f aca="false">IFERROR(F2084/INDEX($G$5:$G$34,MATCH(LOOKUP(2,1/($A$39:A2084&lt;&gt;""),$A$39:A2084),$A$5:$A$34,0)),0)</f>
        <v>1</v>
      </c>
      <c r="H2084" s="103" t="str">
        <f aca="false">IF(G2084=0,"空闲",IF(G2084&lt;=0.6,"低负荷",IF(G2084&lt;=0.85,"正常",IF(G2084&lt;=1,"满负荷","超负荷"))))</f>
        <v>满负荷</v>
      </c>
      <c r="I2084" s="106" t="s">
        <v>769</v>
      </c>
      <c r="J2084" s="106"/>
      <c r="K2084" s="106"/>
      <c r="L2084" s="105" t="s">
        <v>674</v>
      </c>
    </row>
    <row r="2085" customFormat="false" ht="48" hidden="false" customHeight="true" outlineLevel="0" collapsed="false">
      <c r="A2085" s="99"/>
      <c r="B2085" s="100" t="n">
        <v>46454</v>
      </c>
      <c r="C2085" s="100" t="n">
        <v>46460</v>
      </c>
      <c r="D2085" s="99" t="s">
        <v>640</v>
      </c>
      <c r="E2085" s="99" t="n">
        <v>9</v>
      </c>
      <c r="F2085" s="101" t="n">
        <v>40</v>
      </c>
      <c r="G2085" s="102" t="n">
        <f aca="false">IFERROR(F2085/INDEX($G$5:$G$34,MATCH(LOOKUP(2,1/($A$39:A2085&lt;&gt;""),$A$39:A2085),$A$5:$A$34,0)),0)</f>
        <v>1</v>
      </c>
      <c r="H2085" s="103" t="str">
        <f aca="false">IF(G2085=0,"空闲",IF(G2085&lt;=0.6,"低负荷",IF(G2085&lt;=0.85,"正常",IF(G2085&lt;=1,"满负荷","超负荷"))))</f>
        <v>满负荷</v>
      </c>
      <c r="I2085" s="106" t="s">
        <v>770</v>
      </c>
      <c r="J2085" s="106"/>
      <c r="K2085" s="106"/>
      <c r="L2085" s="105" t="s">
        <v>688</v>
      </c>
    </row>
    <row r="2086" customFormat="false" ht="48" hidden="false" customHeight="true" outlineLevel="0" collapsed="false">
      <c r="A2086" s="99"/>
      <c r="B2086" s="100" t="n">
        <v>46461</v>
      </c>
      <c r="C2086" s="100" t="n">
        <v>46467</v>
      </c>
      <c r="D2086" s="99" t="s">
        <v>640</v>
      </c>
      <c r="E2086" s="99" t="n">
        <v>9</v>
      </c>
      <c r="F2086" s="101" t="n">
        <v>40</v>
      </c>
      <c r="G2086" s="102" t="n">
        <f aca="false">IFERROR(F2086/INDEX($G$5:$G$34,MATCH(LOOKUP(2,1/($A$39:A2086&lt;&gt;""),$A$39:A2086),$A$5:$A$34,0)),0)</f>
        <v>1</v>
      </c>
      <c r="H2086" s="103" t="str">
        <f aca="false">IF(G2086=0,"空闲",IF(G2086&lt;=0.6,"低负荷",IF(G2086&lt;=0.85,"正常",IF(G2086&lt;=1,"满负荷","超负荷"))))</f>
        <v>满负荷</v>
      </c>
      <c r="I2086" s="106" t="s">
        <v>771</v>
      </c>
      <c r="J2086" s="106"/>
      <c r="K2086" s="106"/>
      <c r="L2086" s="105" t="s">
        <v>688</v>
      </c>
    </row>
    <row r="2087" customFormat="false" ht="48" hidden="false" customHeight="true" outlineLevel="0" collapsed="false">
      <c r="A2087" s="99"/>
      <c r="B2087" s="100" t="n">
        <v>46468</v>
      </c>
      <c r="C2087" s="100" t="n">
        <v>46474</v>
      </c>
      <c r="D2087" s="99" t="s">
        <v>640</v>
      </c>
      <c r="E2087" s="99" t="n">
        <v>8</v>
      </c>
      <c r="F2087" s="101" t="n">
        <v>40</v>
      </c>
      <c r="G2087" s="102" t="n">
        <f aca="false">IFERROR(F2087/INDEX($G$5:$G$34,MATCH(LOOKUP(2,1/($A$39:A2087&lt;&gt;""),$A$39:A2087),$A$5:$A$34,0)),0)</f>
        <v>1</v>
      </c>
      <c r="H2087" s="103" t="str">
        <f aca="false">IF(G2087=0,"空闲",IF(G2087&lt;=0.6,"低负荷",IF(G2087&lt;=0.85,"正常",IF(G2087&lt;=1,"满负荷","超负荷"))))</f>
        <v>满负荷</v>
      </c>
      <c r="I2087" s="106" t="s">
        <v>772</v>
      </c>
      <c r="J2087" s="106"/>
      <c r="K2087" s="106"/>
      <c r="L2087" s="105" t="s">
        <v>674</v>
      </c>
    </row>
    <row r="2088" customFormat="false" ht="48" hidden="false" customHeight="true" outlineLevel="0" collapsed="false">
      <c r="A2088" s="99"/>
      <c r="B2088" s="100" t="n">
        <v>46475</v>
      </c>
      <c r="C2088" s="100" t="n">
        <v>46481</v>
      </c>
      <c r="D2088" s="99" t="s">
        <v>640</v>
      </c>
      <c r="E2088" s="99" t="n">
        <v>7</v>
      </c>
      <c r="F2088" s="101" t="n">
        <v>40</v>
      </c>
      <c r="G2088" s="102" t="n">
        <f aca="false">IFERROR(F2088/INDEX($G$5:$G$34,MATCH(LOOKUP(2,1/($A$39:A2088&lt;&gt;""),$A$39:A2088),$A$5:$A$34,0)),0)</f>
        <v>1</v>
      </c>
      <c r="H2088" s="103" t="str">
        <f aca="false">IF(G2088=0,"空闲",IF(G2088&lt;=0.6,"低负荷",IF(G2088&lt;=0.85,"正常",IF(G2088&lt;=1,"满负荷","超负荷"))))</f>
        <v>满负荷</v>
      </c>
      <c r="I2088" s="106" t="s">
        <v>765</v>
      </c>
      <c r="J2088" s="106"/>
      <c r="K2088" s="106"/>
      <c r="L2088" s="105" t="s">
        <v>672</v>
      </c>
    </row>
    <row r="2089" customFormat="false" ht="48" hidden="false" customHeight="true" outlineLevel="0" collapsed="false">
      <c r="A2089" s="99"/>
      <c r="B2089" s="100" t="n">
        <v>46482</v>
      </c>
      <c r="C2089" s="100" t="n">
        <v>46488</v>
      </c>
      <c r="D2089" s="99" t="s">
        <v>640</v>
      </c>
      <c r="E2089" s="99" t="n">
        <v>7</v>
      </c>
      <c r="F2089" s="101" t="n">
        <v>40</v>
      </c>
      <c r="G2089" s="102" t="n">
        <f aca="false">IFERROR(F2089/INDEX($G$5:$G$34,MATCH(LOOKUP(2,1/($A$39:A2089&lt;&gt;""),$A$39:A2089),$A$5:$A$34,0)),0)</f>
        <v>1</v>
      </c>
      <c r="H2089" s="103" t="str">
        <f aca="false">IF(G2089=0,"空闲",IF(G2089&lt;=0.6,"低负荷",IF(G2089&lt;=0.85,"正常",IF(G2089&lt;=1,"满负荷","超负荷"))))</f>
        <v>满负荷</v>
      </c>
      <c r="I2089" s="106" t="s">
        <v>765</v>
      </c>
      <c r="J2089" s="106"/>
      <c r="K2089" s="106"/>
      <c r="L2089" s="105" t="s">
        <v>672</v>
      </c>
    </row>
    <row r="2090" customFormat="false" ht="48" hidden="false" customHeight="true" outlineLevel="0" collapsed="false">
      <c r="A2090" s="99"/>
      <c r="B2090" s="100" t="n">
        <v>46489</v>
      </c>
      <c r="C2090" s="100" t="n">
        <v>46495</v>
      </c>
      <c r="D2090" s="99" t="s">
        <v>640</v>
      </c>
      <c r="E2090" s="99" t="n">
        <v>7</v>
      </c>
      <c r="F2090" s="101" t="n">
        <v>40</v>
      </c>
      <c r="G2090" s="102" t="n">
        <f aca="false">IFERROR(F2090/INDEX($G$5:$G$34,MATCH(LOOKUP(2,1/($A$39:A2090&lt;&gt;""),$A$39:A2090),$A$5:$A$34,0)),0)</f>
        <v>1</v>
      </c>
      <c r="H2090" s="103" t="str">
        <f aca="false">IF(G2090=0,"空闲",IF(G2090&lt;=0.6,"低负荷",IF(G2090&lt;=0.85,"正常",IF(G2090&lt;=1,"满负荷","超负荷"))))</f>
        <v>满负荷</v>
      </c>
      <c r="I2090" s="106" t="s">
        <v>765</v>
      </c>
      <c r="J2090" s="106"/>
      <c r="K2090" s="106"/>
      <c r="L2090" s="105" t="s">
        <v>672</v>
      </c>
    </row>
    <row r="2091" customFormat="false" ht="48" hidden="false" customHeight="true" outlineLevel="0" collapsed="false">
      <c r="A2091" s="99"/>
      <c r="B2091" s="100" t="n">
        <v>46496</v>
      </c>
      <c r="C2091" s="100" t="n">
        <v>46502</v>
      </c>
      <c r="D2091" s="99" t="s">
        <v>638</v>
      </c>
      <c r="E2091" s="99" t="n">
        <v>0</v>
      </c>
      <c r="F2091" s="101" t="n">
        <v>0</v>
      </c>
      <c r="G2091" s="102" t="n">
        <f aca="false">IFERROR(F2091/INDEX($G$5:$G$34,MATCH(LOOKUP(2,1/($A$39:A2091&lt;&gt;""),$A$39:A2091),$A$5:$A$34,0)),0)</f>
        <v>0</v>
      </c>
      <c r="H2091" s="103" t="str">
        <f aca="false">IF(G2091=0,"空闲",IF(G2091&lt;=0.6,"低负荷",IF(G2091&lt;=0.85,"正常",IF(G2091&lt;=1,"满负荷","超负荷"))))</f>
        <v>空闲</v>
      </c>
      <c r="I2091" s="104" t="s">
        <v>638</v>
      </c>
      <c r="J2091" s="104"/>
      <c r="K2091" s="104"/>
      <c r="L2091" s="105" t="s">
        <v>639</v>
      </c>
    </row>
    <row r="2092" customFormat="false" ht="48" hidden="false" customHeight="true" outlineLevel="0" collapsed="false">
      <c r="A2092" s="99"/>
      <c r="B2092" s="100" t="n">
        <v>46503</v>
      </c>
      <c r="C2092" s="100" t="n">
        <v>46509</v>
      </c>
      <c r="D2092" s="99" t="s">
        <v>638</v>
      </c>
      <c r="E2092" s="99" t="n">
        <v>0</v>
      </c>
      <c r="F2092" s="101" t="n">
        <v>0</v>
      </c>
      <c r="G2092" s="102" t="n">
        <f aca="false">IFERROR(F2092/INDEX($G$5:$G$34,MATCH(LOOKUP(2,1/($A$39:A2092&lt;&gt;""),$A$39:A2092),$A$5:$A$34,0)),0)</f>
        <v>0</v>
      </c>
      <c r="H2092" s="103" t="str">
        <f aca="false">IF(G2092=0,"空闲",IF(G2092&lt;=0.6,"低负荷",IF(G2092&lt;=0.85,"正常",IF(G2092&lt;=1,"满负荷","超负荷"))))</f>
        <v>空闲</v>
      </c>
      <c r="I2092" s="104" t="s">
        <v>638</v>
      </c>
      <c r="J2092" s="104"/>
      <c r="K2092" s="104"/>
      <c r="L2092" s="105" t="s">
        <v>639</v>
      </c>
    </row>
    <row r="2093" customFormat="false" ht="48" hidden="false" customHeight="true" outlineLevel="0" collapsed="false">
      <c r="A2093" s="99"/>
      <c r="B2093" s="100" t="n">
        <v>46510</v>
      </c>
      <c r="C2093" s="100" t="n">
        <v>46516</v>
      </c>
      <c r="D2093" s="99" t="s">
        <v>638</v>
      </c>
      <c r="E2093" s="99" t="n">
        <v>0</v>
      </c>
      <c r="F2093" s="101" t="n">
        <v>0</v>
      </c>
      <c r="G2093" s="102" t="n">
        <f aca="false">IFERROR(F2093/INDEX($G$5:$G$34,MATCH(LOOKUP(2,1/($A$39:A2093&lt;&gt;""),$A$39:A2093),$A$5:$A$34,0)),0)</f>
        <v>0</v>
      </c>
      <c r="H2093" s="103" t="str">
        <f aca="false">IF(G2093=0,"空闲",IF(G2093&lt;=0.6,"低负荷",IF(G2093&lt;=0.85,"正常",IF(G2093&lt;=1,"满负荷","超负荷"))))</f>
        <v>空闲</v>
      </c>
      <c r="I2093" s="104" t="s">
        <v>638</v>
      </c>
      <c r="J2093" s="104"/>
      <c r="K2093" s="104"/>
      <c r="L2093" s="105" t="s">
        <v>639</v>
      </c>
    </row>
    <row r="2094" customFormat="false" ht="48" hidden="false" customHeight="true" outlineLevel="0" collapsed="false">
      <c r="A2094" s="99"/>
      <c r="B2094" s="100" t="n">
        <v>46517</v>
      </c>
      <c r="C2094" s="100" t="n">
        <v>46523</v>
      </c>
      <c r="D2094" s="99" t="s">
        <v>638</v>
      </c>
      <c r="E2094" s="99" t="n">
        <v>0</v>
      </c>
      <c r="F2094" s="101" t="n">
        <v>0</v>
      </c>
      <c r="G2094" s="102" t="n">
        <f aca="false">IFERROR(F2094/INDEX($G$5:$G$34,MATCH(LOOKUP(2,1/($A$39:A2094&lt;&gt;""),$A$39:A2094),$A$5:$A$34,0)),0)</f>
        <v>0</v>
      </c>
      <c r="H2094" s="103" t="str">
        <f aca="false">IF(G2094=0,"空闲",IF(G2094&lt;=0.6,"低负荷",IF(G2094&lt;=0.85,"正常",IF(G2094&lt;=1,"满负荷","超负荷"))))</f>
        <v>空闲</v>
      </c>
      <c r="I2094" s="104" t="s">
        <v>638</v>
      </c>
      <c r="J2094" s="104"/>
      <c r="K2094" s="104"/>
      <c r="L2094" s="105" t="s">
        <v>639</v>
      </c>
    </row>
    <row r="2095" customFormat="false" ht="48" hidden="false" customHeight="true" outlineLevel="0" collapsed="false">
      <c r="A2095" s="99"/>
      <c r="B2095" s="100" t="n">
        <v>46524</v>
      </c>
      <c r="C2095" s="100" t="n">
        <v>46530</v>
      </c>
      <c r="D2095" s="99" t="s">
        <v>638</v>
      </c>
      <c r="E2095" s="99" t="n">
        <v>0</v>
      </c>
      <c r="F2095" s="101" t="n">
        <v>0</v>
      </c>
      <c r="G2095" s="102" t="n">
        <f aca="false">IFERROR(F2095/INDEX($G$5:$G$34,MATCH(LOOKUP(2,1/($A$39:A2095&lt;&gt;""),$A$39:A2095),$A$5:$A$34,0)),0)</f>
        <v>0</v>
      </c>
      <c r="H2095" s="103" t="str">
        <f aca="false">IF(G2095=0,"空闲",IF(G2095&lt;=0.6,"低负荷",IF(G2095&lt;=0.85,"正常",IF(G2095&lt;=1,"满负荷","超负荷"))))</f>
        <v>空闲</v>
      </c>
      <c r="I2095" s="104" t="s">
        <v>638</v>
      </c>
      <c r="J2095" s="104"/>
      <c r="K2095" s="104"/>
      <c r="L2095" s="105" t="s">
        <v>639</v>
      </c>
    </row>
    <row r="2096" customFormat="false" ht="48" hidden="false" customHeight="true" outlineLevel="0" collapsed="false">
      <c r="A2096" s="99"/>
      <c r="B2096" s="100" t="n">
        <v>46531</v>
      </c>
      <c r="C2096" s="100" t="n">
        <v>46537</v>
      </c>
      <c r="D2096" s="99" t="s">
        <v>638</v>
      </c>
      <c r="E2096" s="99" t="n">
        <v>0</v>
      </c>
      <c r="F2096" s="101" t="n">
        <v>0</v>
      </c>
      <c r="G2096" s="102" t="n">
        <f aca="false">IFERROR(F2096/INDEX($G$5:$G$34,MATCH(LOOKUP(2,1/($A$39:A2096&lt;&gt;""),$A$39:A2096),$A$5:$A$34,0)),0)</f>
        <v>0</v>
      </c>
      <c r="H2096" s="103" t="str">
        <f aca="false">IF(G2096=0,"空闲",IF(G2096&lt;=0.6,"低负荷",IF(G2096&lt;=0.85,"正常",IF(G2096&lt;=1,"满负荷","超负荷"))))</f>
        <v>空闲</v>
      </c>
      <c r="I2096" s="104" t="s">
        <v>638</v>
      </c>
      <c r="J2096" s="104"/>
      <c r="K2096" s="104"/>
      <c r="L2096" s="105" t="s">
        <v>639</v>
      </c>
    </row>
    <row r="2097" customFormat="false" ht="48" hidden="false" customHeight="true" outlineLevel="0" collapsed="false">
      <c r="A2097" s="99"/>
      <c r="B2097" s="100" t="n">
        <v>46538</v>
      </c>
      <c r="C2097" s="100" t="n">
        <v>46544</v>
      </c>
      <c r="D2097" s="99" t="s">
        <v>638</v>
      </c>
      <c r="E2097" s="99" t="n">
        <v>0</v>
      </c>
      <c r="F2097" s="101" t="n">
        <v>0</v>
      </c>
      <c r="G2097" s="102" t="n">
        <f aca="false">IFERROR(F2097/INDEX($G$5:$G$34,MATCH(LOOKUP(2,1/($A$39:A2097&lt;&gt;""),$A$39:A2097),$A$5:$A$34,0)),0)</f>
        <v>0</v>
      </c>
      <c r="H2097" s="103" t="str">
        <f aca="false">IF(G2097=0,"空闲",IF(G2097&lt;=0.6,"低负荷",IF(G2097&lt;=0.85,"正常",IF(G2097&lt;=1,"满负荷","超负荷"))))</f>
        <v>空闲</v>
      </c>
      <c r="I2097" s="104" t="s">
        <v>638</v>
      </c>
      <c r="J2097" s="104"/>
      <c r="K2097" s="104"/>
      <c r="L2097" s="105" t="s">
        <v>639</v>
      </c>
    </row>
    <row r="2098" customFormat="false" ht="48" hidden="false" customHeight="true" outlineLevel="0" collapsed="false">
      <c r="A2098" s="99" t="s">
        <v>628</v>
      </c>
      <c r="B2098" s="100" t="n">
        <v>46048</v>
      </c>
      <c r="C2098" s="100" t="n">
        <v>46054</v>
      </c>
      <c r="D2098" s="99" t="s">
        <v>638</v>
      </c>
      <c r="E2098" s="99" t="n">
        <v>0</v>
      </c>
      <c r="F2098" s="101" t="n">
        <v>0</v>
      </c>
      <c r="G2098" s="102" t="n">
        <f aca="false">IFERROR(F2098/INDEX($G$5:$G$34,MATCH(LOOKUP(2,1/($A$39:A2098&lt;&gt;""),$A$39:A2098),$A$5:$A$34,0)),0)</f>
        <v>0</v>
      </c>
      <c r="H2098" s="103" t="str">
        <f aca="false">IF(G2098=0,"空闲",IF(G2098&lt;=0.6,"低负荷",IF(G2098&lt;=0.85,"正常",IF(G2098&lt;=1,"满负荷","超负荷"))))</f>
        <v>空闲</v>
      </c>
      <c r="I2098" s="104" t="s">
        <v>638</v>
      </c>
      <c r="J2098" s="104"/>
      <c r="K2098" s="104"/>
      <c r="L2098" s="105" t="s">
        <v>639</v>
      </c>
    </row>
    <row r="2099" customFormat="false" ht="48" hidden="false" customHeight="true" outlineLevel="0" collapsed="false">
      <c r="A2099" s="99"/>
      <c r="B2099" s="100" t="n">
        <v>46055</v>
      </c>
      <c r="C2099" s="100" t="n">
        <v>46061</v>
      </c>
      <c r="D2099" s="99" t="s">
        <v>638</v>
      </c>
      <c r="E2099" s="99" t="n">
        <v>0</v>
      </c>
      <c r="F2099" s="101" t="n">
        <v>0</v>
      </c>
      <c r="G2099" s="102" t="n">
        <f aca="false">IFERROR(F2099/INDEX($G$5:$G$34,MATCH(LOOKUP(2,1/($A$39:A2099&lt;&gt;""),$A$39:A2099),$A$5:$A$34,0)),0)</f>
        <v>0</v>
      </c>
      <c r="H2099" s="103" t="str">
        <f aca="false">IF(G2099=0,"空闲",IF(G2099&lt;=0.6,"低负荷",IF(G2099&lt;=0.85,"正常",IF(G2099&lt;=1,"满负荷","超负荷"))))</f>
        <v>空闲</v>
      </c>
      <c r="I2099" s="104" t="s">
        <v>638</v>
      </c>
      <c r="J2099" s="104"/>
      <c r="K2099" s="104"/>
      <c r="L2099" s="105" t="s">
        <v>639</v>
      </c>
    </row>
    <row r="2100" customFormat="false" ht="48" hidden="false" customHeight="true" outlineLevel="0" collapsed="false">
      <c r="A2100" s="99"/>
      <c r="B2100" s="100" t="n">
        <v>46062</v>
      </c>
      <c r="C2100" s="100" t="n">
        <v>46068</v>
      </c>
      <c r="D2100" s="99" t="s">
        <v>638</v>
      </c>
      <c r="E2100" s="99" t="n">
        <v>0</v>
      </c>
      <c r="F2100" s="101" t="n">
        <v>0</v>
      </c>
      <c r="G2100" s="102" t="n">
        <f aca="false">IFERROR(F2100/INDEX($G$5:$G$34,MATCH(LOOKUP(2,1/($A$39:A2100&lt;&gt;""),$A$39:A2100),$A$5:$A$34,0)),0)</f>
        <v>0</v>
      </c>
      <c r="H2100" s="103" t="str">
        <f aca="false">IF(G2100=0,"空闲",IF(G2100&lt;=0.6,"低负荷",IF(G2100&lt;=0.85,"正常",IF(G2100&lt;=1,"满负荷","超负荷"))))</f>
        <v>空闲</v>
      </c>
      <c r="I2100" s="104" t="s">
        <v>638</v>
      </c>
      <c r="J2100" s="104"/>
      <c r="K2100" s="104"/>
      <c r="L2100" s="105" t="s">
        <v>639</v>
      </c>
    </row>
    <row r="2101" customFormat="false" ht="48" hidden="false" customHeight="true" outlineLevel="0" collapsed="false">
      <c r="A2101" s="99"/>
      <c r="B2101" s="100" t="n">
        <v>46069</v>
      </c>
      <c r="C2101" s="100" t="n">
        <v>46075</v>
      </c>
      <c r="D2101" s="99" t="s">
        <v>638</v>
      </c>
      <c r="E2101" s="99" t="n">
        <v>0</v>
      </c>
      <c r="F2101" s="101" t="n">
        <v>0</v>
      </c>
      <c r="G2101" s="102" t="n">
        <f aca="false">IFERROR(F2101/INDEX($G$5:$G$34,MATCH(LOOKUP(2,1/($A$39:A2101&lt;&gt;""),$A$39:A2101),$A$5:$A$34,0)),0)</f>
        <v>0</v>
      </c>
      <c r="H2101" s="103" t="str">
        <f aca="false">IF(G2101=0,"空闲",IF(G2101&lt;=0.6,"低负荷",IF(G2101&lt;=0.85,"正常",IF(G2101&lt;=1,"满负荷","超负荷"))))</f>
        <v>空闲</v>
      </c>
      <c r="I2101" s="104" t="s">
        <v>638</v>
      </c>
      <c r="J2101" s="104"/>
      <c r="K2101" s="104"/>
      <c r="L2101" s="105" t="s">
        <v>639</v>
      </c>
    </row>
    <row r="2102" customFormat="false" ht="48" hidden="false" customHeight="true" outlineLevel="0" collapsed="false">
      <c r="A2102" s="99"/>
      <c r="B2102" s="100" t="n">
        <v>46076</v>
      </c>
      <c r="C2102" s="100" t="n">
        <v>46082</v>
      </c>
      <c r="D2102" s="99" t="s">
        <v>638</v>
      </c>
      <c r="E2102" s="99" t="n">
        <v>0</v>
      </c>
      <c r="F2102" s="101" t="n">
        <v>0</v>
      </c>
      <c r="G2102" s="102" t="n">
        <f aca="false">IFERROR(F2102/INDEX($G$5:$G$34,MATCH(LOOKUP(2,1/($A$39:A2102&lt;&gt;""),$A$39:A2102),$A$5:$A$34,0)),0)</f>
        <v>0</v>
      </c>
      <c r="H2102" s="103" t="str">
        <f aca="false">IF(G2102=0,"空闲",IF(G2102&lt;=0.6,"低负荷",IF(G2102&lt;=0.85,"正常",IF(G2102&lt;=1,"满负荷","超负荷"))))</f>
        <v>空闲</v>
      </c>
      <c r="I2102" s="104" t="s">
        <v>638</v>
      </c>
      <c r="J2102" s="104"/>
      <c r="K2102" s="104"/>
      <c r="L2102" s="105" t="s">
        <v>639</v>
      </c>
    </row>
    <row r="2103" customFormat="false" ht="48" hidden="false" customHeight="true" outlineLevel="0" collapsed="false">
      <c r="A2103" s="99"/>
      <c r="B2103" s="100" t="n">
        <v>46083</v>
      </c>
      <c r="C2103" s="100" t="n">
        <v>46089</v>
      </c>
      <c r="D2103" s="99" t="s">
        <v>638</v>
      </c>
      <c r="E2103" s="99" t="n">
        <v>0</v>
      </c>
      <c r="F2103" s="101" t="n">
        <v>0</v>
      </c>
      <c r="G2103" s="102" t="n">
        <f aca="false">IFERROR(F2103/INDEX($G$5:$G$34,MATCH(LOOKUP(2,1/($A$39:A2103&lt;&gt;""),$A$39:A2103),$A$5:$A$34,0)),0)</f>
        <v>0</v>
      </c>
      <c r="H2103" s="103" t="str">
        <f aca="false">IF(G2103=0,"空闲",IF(G2103&lt;=0.6,"低负荷",IF(G2103&lt;=0.85,"正常",IF(G2103&lt;=1,"满负荷","超负荷"))))</f>
        <v>空闲</v>
      </c>
      <c r="I2103" s="104" t="s">
        <v>638</v>
      </c>
      <c r="J2103" s="104"/>
      <c r="K2103" s="104"/>
      <c r="L2103" s="105" t="s">
        <v>639</v>
      </c>
    </row>
    <row r="2104" customFormat="false" ht="48" hidden="false" customHeight="true" outlineLevel="0" collapsed="false">
      <c r="A2104" s="99"/>
      <c r="B2104" s="100" t="n">
        <v>46090</v>
      </c>
      <c r="C2104" s="100" t="n">
        <v>46096</v>
      </c>
      <c r="D2104" s="99" t="s">
        <v>638</v>
      </c>
      <c r="E2104" s="99" t="n">
        <v>0</v>
      </c>
      <c r="F2104" s="101" t="n">
        <v>0</v>
      </c>
      <c r="G2104" s="102" t="n">
        <f aca="false">IFERROR(F2104/INDEX($G$5:$G$34,MATCH(LOOKUP(2,1/($A$39:A2104&lt;&gt;""),$A$39:A2104),$A$5:$A$34,0)),0)</f>
        <v>0</v>
      </c>
      <c r="H2104" s="103" t="str">
        <f aca="false">IF(G2104=0,"空闲",IF(G2104&lt;=0.6,"低负荷",IF(G2104&lt;=0.85,"正常",IF(G2104&lt;=1,"满负荷","超负荷"))))</f>
        <v>空闲</v>
      </c>
      <c r="I2104" s="104" t="s">
        <v>638</v>
      </c>
      <c r="J2104" s="104"/>
      <c r="K2104" s="104"/>
      <c r="L2104" s="105" t="s">
        <v>639</v>
      </c>
    </row>
    <row r="2105" customFormat="false" ht="48" hidden="false" customHeight="true" outlineLevel="0" collapsed="false">
      <c r="A2105" s="99"/>
      <c r="B2105" s="100" t="n">
        <v>46097</v>
      </c>
      <c r="C2105" s="100" t="n">
        <v>46103</v>
      </c>
      <c r="D2105" s="99" t="s">
        <v>638</v>
      </c>
      <c r="E2105" s="99" t="n">
        <v>0</v>
      </c>
      <c r="F2105" s="101" t="n">
        <v>0</v>
      </c>
      <c r="G2105" s="102" t="n">
        <f aca="false">IFERROR(F2105/INDEX($G$5:$G$34,MATCH(LOOKUP(2,1/($A$39:A2105&lt;&gt;""),$A$39:A2105),$A$5:$A$34,0)),0)</f>
        <v>0</v>
      </c>
      <c r="H2105" s="103" t="str">
        <f aca="false">IF(G2105=0,"空闲",IF(G2105&lt;=0.6,"低负荷",IF(G2105&lt;=0.85,"正常",IF(G2105&lt;=1,"满负荷","超负荷"))))</f>
        <v>空闲</v>
      </c>
      <c r="I2105" s="104" t="s">
        <v>638</v>
      </c>
      <c r="J2105" s="104"/>
      <c r="K2105" s="104"/>
      <c r="L2105" s="105" t="s">
        <v>639</v>
      </c>
    </row>
    <row r="2106" customFormat="false" ht="48" hidden="false" customHeight="true" outlineLevel="0" collapsed="false">
      <c r="A2106" s="99"/>
      <c r="B2106" s="100" t="n">
        <v>46104</v>
      </c>
      <c r="C2106" s="100" t="n">
        <v>46110</v>
      </c>
      <c r="D2106" s="99" t="s">
        <v>638</v>
      </c>
      <c r="E2106" s="99" t="n">
        <v>0</v>
      </c>
      <c r="F2106" s="101" t="n">
        <v>0</v>
      </c>
      <c r="G2106" s="102" t="n">
        <f aca="false">IFERROR(F2106/INDEX($G$5:$G$34,MATCH(LOOKUP(2,1/($A$39:A2106&lt;&gt;""),$A$39:A2106),$A$5:$A$34,0)),0)</f>
        <v>0</v>
      </c>
      <c r="H2106" s="103" t="str">
        <f aca="false">IF(G2106=0,"空闲",IF(G2106&lt;=0.6,"低负荷",IF(G2106&lt;=0.85,"正常",IF(G2106&lt;=1,"满负荷","超负荷"))))</f>
        <v>空闲</v>
      </c>
      <c r="I2106" s="104" t="s">
        <v>638</v>
      </c>
      <c r="J2106" s="104"/>
      <c r="K2106" s="104"/>
      <c r="L2106" s="105" t="s">
        <v>639</v>
      </c>
    </row>
    <row r="2107" customFormat="false" ht="48" hidden="false" customHeight="true" outlineLevel="0" collapsed="false">
      <c r="A2107" s="99"/>
      <c r="B2107" s="100" t="n">
        <v>46111</v>
      </c>
      <c r="C2107" s="100" t="n">
        <v>46117</v>
      </c>
      <c r="D2107" s="99" t="s">
        <v>638</v>
      </c>
      <c r="E2107" s="99" t="n">
        <v>0</v>
      </c>
      <c r="F2107" s="101" t="n">
        <v>0</v>
      </c>
      <c r="G2107" s="102" t="n">
        <f aca="false">IFERROR(F2107/INDEX($G$5:$G$34,MATCH(LOOKUP(2,1/($A$39:A2107&lt;&gt;""),$A$39:A2107),$A$5:$A$34,0)),0)</f>
        <v>0</v>
      </c>
      <c r="H2107" s="103" t="str">
        <f aca="false">IF(G2107=0,"空闲",IF(G2107&lt;=0.6,"低负荷",IF(G2107&lt;=0.85,"正常",IF(G2107&lt;=1,"满负荷","超负荷"))))</f>
        <v>空闲</v>
      </c>
      <c r="I2107" s="104" t="s">
        <v>638</v>
      </c>
      <c r="J2107" s="104"/>
      <c r="K2107" s="104"/>
      <c r="L2107" s="105" t="s">
        <v>639</v>
      </c>
    </row>
    <row r="2108" customFormat="false" ht="48" hidden="false" customHeight="true" outlineLevel="0" collapsed="false">
      <c r="A2108" s="99"/>
      <c r="B2108" s="100" t="n">
        <v>46118</v>
      </c>
      <c r="C2108" s="100" t="n">
        <v>46124</v>
      </c>
      <c r="D2108" s="99" t="s">
        <v>638</v>
      </c>
      <c r="E2108" s="99" t="n">
        <v>0</v>
      </c>
      <c r="F2108" s="101" t="n">
        <v>0</v>
      </c>
      <c r="G2108" s="102" t="n">
        <f aca="false">IFERROR(F2108/INDEX($G$5:$G$34,MATCH(LOOKUP(2,1/($A$39:A2108&lt;&gt;""),$A$39:A2108),$A$5:$A$34,0)),0)</f>
        <v>0</v>
      </c>
      <c r="H2108" s="103" t="str">
        <f aca="false">IF(G2108=0,"空闲",IF(G2108&lt;=0.6,"低负荷",IF(G2108&lt;=0.85,"正常",IF(G2108&lt;=1,"满负荷","超负荷"))))</f>
        <v>空闲</v>
      </c>
      <c r="I2108" s="104" t="s">
        <v>638</v>
      </c>
      <c r="J2108" s="104"/>
      <c r="K2108" s="104"/>
      <c r="L2108" s="105" t="s">
        <v>639</v>
      </c>
    </row>
    <row r="2109" customFormat="false" ht="48" hidden="false" customHeight="true" outlineLevel="0" collapsed="false">
      <c r="A2109" s="99"/>
      <c r="B2109" s="100" t="n">
        <v>46125</v>
      </c>
      <c r="C2109" s="100" t="n">
        <v>46131</v>
      </c>
      <c r="D2109" s="99" t="s">
        <v>638</v>
      </c>
      <c r="E2109" s="99" t="n">
        <v>0</v>
      </c>
      <c r="F2109" s="101" t="n">
        <v>0</v>
      </c>
      <c r="G2109" s="102" t="n">
        <f aca="false">IFERROR(F2109/INDEX($G$5:$G$34,MATCH(LOOKUP(2,1/($A$39:A2109&lt;&gt;""),$A$39:A2109),$A$5:$A$34,0)),0)</f>
        <v>0</v>
      </c>
      <c r="H2109" s="103" t="str">
        <f aca="false">IF(G2109=0,"空闲",IF(G2109&lt;=0.6,"低负荷",IF(G2109&lt;=0.85,"正常",IF(G2109&lt;=1,"满负荷","超负荷"))))</f>
        <v>空闲</v>
      </c>
      <c r="I2109" s="104" t="s">
        <v>638</v>
      </c>
      <c r="J2109" s="104"/>
      <c r="K2109" s="104"/>
      <c r="L2109" s="105" t="s">
        <v>639</v>
      </c>
    </row>
    <row r="2110" customFormat="false" ht="48" hidden="false" customHeight="true" outlineLevel="0" collapsed="false">
      <c r="A2110" s="99"/>
      <c r="B2110" s="100" t="n">
        <v>46132</v>
      </c>
      <c r="C2110" s="100" t="n">
        <v>46138</v>
      </c>
      <c r="D2110" s="99" t="s">
        <v>638</v>
      </c>
      <c r="E2110" s="99" t="n">
        <v>0</v>
      </c>
      <c r="F2110" s="101" t="n">
        <v>0</v>
      </c>
      <c r="G2110" s="102" t="n">
        <f aca="false">IFERROR(F2110/INDEX($G$5:$G$34,MATCH(LOOKUP(2,1/($A$39:A2110&lt;&gt;""),$A$39:A2110),$A$5:$A$34,0)),0)</f>
        <v>0</v>
      </c>
      <c r="H2110" s="103" t="str">
        <f aca="false">IF(G2110=0,"空闲",IF(G2110&lt;=0.6,"低负荷",IF(G2110&lt;=0.85,"正常",IF(G2110&lt;=1,"满负荷","超负荷"))))</f>
        <v>空闲</v>
      </c>
      <c r="I2110" s="104" t="s">
        <v>638</v>
      </c>
      <c r="J2110" s="104"/>
      <c r="K2110" s="104"/>
      <c r="L2110" s="105" t="s">
        <v>639</v>
      </c>
    </row>
    <row r="2111" customFormat="false" ht="48" hidden="false" customHeight="true" outlineLevel="0" collapsed="false">
      <c r="A2111" s="99"/>
      <c r="B2111" s="100" t="n">
        <v>46139</v>
      </c>
      <c r="C2111" s="100" t="n">
        <v>46145</v>
      </c>
      <c r="D2111" s="99" t="s">
        <v>638</v>
      </c>
      <c r="E2111" s="99" t="n">
        <v>0</v>
      </c>
      <c r="F2111" s="101" t="n">
        <v>0</v>
      </c>
      <c r="G2111" s="102" t="n">
        <f aca="false">IFERROR(F2111/INDEX($G$5:$G$34,MATCH(LOOKUP(2,1/($A$39:A2111&lt;&gt;""),$A$39:A2111),$A$5:$A$34,0)),0)</f>
        <v>0</v>
      </c>
      <c r="H2111" s="103" t="str">
        <f aca="false">IF(G2111=0,"空闲",IF(G2111&lt;=0.6,"低负荷",IF(G2111&lt;=0.85,"正常",IF(G2111&lt;=1,"满负荷","超负荷"))))</f>
        <v>空闲</v>
      </c>
      <c r="I2111" s="104" t="s">
        <v>638</v>
      </c>
      <c r="J2111" s="104"/>
      <c r="K2111" s="104"/>
      <c r="L2111" s="105" t="s">
        <v>639</v>
      </c>
    </row>
    <row r="2112" customFormat="false" ht="48" hidden="false" customHeight="true" outlineLevel="0" collapsed="false">
      <c r="A2112" s="99"/>
      <c r="B2112" s="100" t="n">
        <v>46146</v>
      </c>
      <c r="C2112" s="100" t="n">
        <v>46152</v>
      </c>
      <c r="D2112" s="99" t="s">
        <v>638</v>
      </c>
      <c r="E2112" s="99" t="n">
        <v>0</v>
      </c>
      <c r="F2112" s="101" t="n">
        <v>0</v>
      </c>
      <c r="G2112" s="102" t="n">
        <f aca="false">IFERROR(F2112/INDEX($G$5:$G$34,MATCH(LOOKUP(2,1/($A$39:A2112&lt;&gt;""),$A$39:A2112),$A$5:$A$34,0)),0)</f>
        <v>0</v>
      </c>
      <c r="H2112" s="103" t="str">
        <f aca="false">IF(G2112=0,"空闲",IF(G2112&lt;=0.6,"低负荷",IF(G2112&lt;=0.85,"正常",IF(G2112&lt;=1,"满负荷","超负荷"))))</f>
        <v>空闲</v>
      </c>
      <c r="I2112" s="104" t="s">
        <v>638</v>
      </c>
      <c r="J2112" s="104"/>
      <c r="K2112" s="104"/>
      <c r="L2112" s="105" t="s">
        <v>639</v>
      </c>
    </row>
    <row r="2113" customFormat="false" ht="48" hidden="false" customHeight="true" outlineLevel="0" collapsed="false">
      <c r="A2113" s="99"/>
      <c r="B2113" s="100" t="n">
        <v>46153</v>
      </c>
      <c r="C2113" s="100" t="n">
        <v>46159</v>
      </c>
      <c r="D2113" s="99" t="s">
        <v>638</v>
      </c>
      <c r="E2113" s="99" t="n">
        <v>0</v>
      </c>
      <c r="F2113" s="101" t="n">
        <v>0</v>
      </c>
      <c r="G2113" s="102" t="n">
        <f aca="false">IFERROR(F2113/INDEX($G$5:$G$34,MATCH(LOOKUP(2,1/($A$39:A2113&lt;&gt;""),$A$39:A2113),$A$5:$A$34,0)),0)</f>
        <v>0</v>
      </c>
      <c r="H2113" s="103" t="str">
        <f aca="false">IF(G2113=0,"空闲",IF(G2113&lt;=0.6,"低负荷",IF(G2113&lt;=0.85,"正常",IF(G2113&lt;=1,"满负荷","超负荷"))))</f>
        <v>空闲</v>
      </c>
      <c r="I2113" s="104" t="s">
        <v>638</v>
      </c>
      <c r="J2113" s="104"/>
      <c r="K2113" s="104"/>
      <c r="L2113" s="105" t="s">
        <v>639</v>
      </c>
    </row>
    <row r="2114" customFormat="false" ht="48" hidden="false" customHeight="true" outlineLevel="0" collapsed="false">
      <c r="A2114" s="99"/>
      <c r="B2114" s="100" t="n">
        <v>46160</v>
      </c>
      <c r="C2114" s="100" t="n">
        <v>46166</v>
      </c>
      <c r="D2114" s="99" t="s">
        <v>638</v>
      </c>
      <c r="E2114" s="99" t="n">
        <v>0</v>
      </c>
      <c r="F2114" s="101" t="n">
        <v>0</v>
      </c>
      <c r="G2114" s="102" t="n">
        <f aca="false">IFERROR(F2114/INDEX($G$5:$G$34,MATCH(LOOKUP(2,1/($A$39:A2114&lt;&gt;""),$A$39:A2114),$A$5:$A$34,0)),0)</f>
        <v>0</v>
      </c>
      <c r="H2114" s="103" t="str">
        <f aca="false">IF(G2114=0,"空闲",IF(G2114&lt;=0.6,"低负荷",IF(G2114&lt;=0.85,"正常",IF(G2114&lt;=1,"满负荷","超负荷"))))</f>
        <v>空闲</v>
      </c>
      <c r="I2114" s="104" t="s">
        <v>638</v>
      </c>
      <c r="J2114" s="104"/>
      <c r="K2114" s="104"/>
      <c r="L2114" s="105" t="s">
        <v>639</v>
      </c>
    </row>
    <row r="2115" customFormat="false" ht="48" hidden="false" customHeight="true" outlineLevel="0" collapsed="false">
      <c r="A2115" s="99"/>
      <c r="B2115" s="100" t="n">
        <v>46167</v>
      </c>
      <c r="C2115" s="100" t="n">
        <v>46173</v>
      </c>
      <c r="D2115" s="99" t="s">
        <v>638</v>
      </c>
      <c r="E2115" s="99" t="n">
        <v>0</v>
      </c>
      <c r="F2115" s="101" t="n">
        <v>0</v>
      </c>
      <c r="G2115" s="102" t="n">
        <f aca="false">IFERROR(F2115/INDEX($G$5:$G$34,MATCH(LOOKUP(2,1/($A$39:A2115&lt;&gt;""),$A$39:A2115),$A$5:$A$34,0)),0)</f>
        <v>0</v>
      </c>
      <c r="H2115" s="103" t="str">
        <f aca="false">IF(G2115=0,"空闲",IF(G2115&lt;=0.6,"低负荷",IF(G2115&lt;=0.85,"正常",IF(G2115&lt;=1,"满负荷","超负荷"))))</f>
        <v>空闲</v>
      </c>
      <c r="I2115" s="104" t="s">
        <v>638</v>
      </c>
      <c r="J2115" s="104"/>
      <c r="K2115" s="104"/>
      <c r="L2115" s="105" t="s">
        <v>639</v>
      </c>
    </row>
    <row r="2116" customFormat="false" ht="48" hidden="false" customHeight="true" outlineLevel="0" collapsed="false">
      <c r="A2116" s="99"/>
      <c r="B2116" s="100" t="n">
        <v>46174</v>
      </c>
      <c r="C2116" s="100" t="n">
        <v>46180</v>
      </c>
      <c r="D2116" s="99" t="s">
        <v>638</v>
      </c>
      <c r="E2116" s="99" t="n">
        <v>0</v>
      </c>
      <c r="F2116" s="101" t="n">
        <v>0</v>
      </c>
      <c r="G2116" s="102" t="n">
        <f aca="false">IFERROR(F2116/INDEX($G$5:$G$34,MATCH(LOOKUP(2,1/($A$39:A2116&lt;&gt;""),$A$39:A2116),$A$5:$A$34,0)),0)</f>
        <v>0</v>
      </c>
      <c r="H2116" s="103" t="str">
        <f aca="false">IF(G2116=0,"空闲",IF(G2116&lt;=0.6,"低负荷",IF(G2116&lt;=0.85,"正常",IF(G2116&lt;=1,"满负荷","超负荷"))))</f>
        <v>空闲</v>
      </c>
      <c r="I2116" s="104" t="s">
        <v>638</v>
      </c>
      <c r="J2116" s="104"/>
      <c r="K2116" s="104"/>
      <c r="L2116" s="105" t="s">
        <v>639</v>
      </c>
    </row>
    <row r="2117" customFormat="false" ht="48" hidden="false" customHeight="true" outlineLevel="0" collapsed="false">
      <c r="A2117" s="99"/>
      <c r="B2117" s="100" t="n">
        <v>46181</v>
      </c>
      <c r="C2117" s="100" t="n">
        <v>46187</v>
      </c>
      <c r="D2117" s="99" t="s">
        <v>638</v>
      </c>
      <c r="E2117" s="99" t="n">
        <v>0</v>
      </c>
      <c r="F2117" s="101" t="n">
        <v>0</v>
      </c>
      <c r="G2117" s="102" t="n">
        <f aca="false">IFERROR(F2117/INDEX($G$5:$G$34,MATCH(LOOKUP(2,1/($A$39:A2117&lt;&gt;""),$A$39:A2117),$A$5:$A$34,0)),0)</f>
        <v>0</v>
      </c>
      <c r="H2117" s="103" t="str">
        <f aca="false">IF(G2117=0,"空闲",IF(G2117&lt;=0.6,"低负荷",IF(G2117&lt;=0.85,"正常",IF(G2117&lt;=1,"满负荷","超负荷"))))</f>
        <v>空闲</v>
      </c>
      <c r="I2117" s="104" t="s">
        <v>638</v>
      </c>
      <c r="J2117" s="104"/>
      <c r="K2117" s="104"/>
      <c r="L2117" s="105" t="s">
        <v>639</v>
      </c>
    </row>
    <row r="2118" customFormat="false" ht="48" hidden="false" customHeight="true" outlineLevel="0" collapsed="false">
      <c r="A2118" s="99"/>
      <c r="B2118" s="100" t="n">
        <v>46188</v>
      </c>
      <c r="C2118" s="100" t="n">
        <v>46194</v>
      </c>
      <c r="D2118" s="99" t="s">
        <v>638</v>
      </c>
      <c r="E2118" s="99" t="n">
        <v>0</v>
      </c>
      <c r="F2118" s="101" t="n">
        <v>0</v>
      </c>
      <c r="G2118" s="102" t="n">
        <f aca="false">IFERROR(F2118/INDEX($G$5:$G$34,MATCH(LOOKUP(2,1/($A$39:A2118&lt;&gt;""),$A$39:A2118),$A$5:$A$34,0)),0)</f>
        <v>0</v>
      </c>
      <c r="H2118" s="103" t="str">
        <f aca="false">IF(G2118=0,"空闲",IF(G2118&lt;=0.6,"低负荷",IF(G2118&lt;=0.85,"正常",IF(G2118&lt;=1,"满负荷","超负荷"))))</f>
        <v>空闲</v>
      </c>
      <c r="I2118" s="104" t="s">
        <v>638</v>
      </c>
      <c r="J2118" s="104"/>
      <c r="K2118" s="104"/>
      <c r="L2118" s="105" t="s">
        <v>639</v>
      </c>
    </row>
    <row r="2119" customFormat="false" ht="48" hidden="false" customHeight="true" outlineLevel="0" collapsed="false">
      <c r="A2119" s="99"/>
      <c r="B2119" s="100" t="n">
        <v>46195</v>
      </c>
      <c r="C2119" s="100" t="n">
        <v>46201</v>
      </c>
      <c r="D2119" s="99" t="s">
        <v>638</v>
      </c>
      <c r="E2119" s="99" t="n">
        <v>0</v>
      </c>
      <c r="F2119" s="101" t="n">
        <v>0</v>
      </c>
      <c r="G2119" s="102" t="n">
        <f aca="false">IFERROR(F2119/INDEX($G$5:$G$34,MATCH(LOOKUP(2,1/($A$39:A2119&lt;&gt;""),$A$39:A2119),$A$5:$A$34,0)),0)</f>
        <v>0</v>
      </c>
      <c r="H2119" s="103" t="str">
        <f aca="false">IF(G2119=0,"空闲",IF(G2119&lt;=0.6,"低负荷",IF(G2119&lt;=0.85,"正常",IF(G2119&lt;=1,"满负荷","超负荷"))))</f>
        <v>空闲</v>
      </c>
      <c r="I2119" s="104" t="s">
        <v>638</v>
      </c>
      <c r="J2119" s="104"/>
      <c r="K2119" s="104"/>
      <c r="L2119" s="105" t="s">
        <v>639</v>
      </c>
    </row>
    <row r="2120" customFormat="false" ht="48" hidden="false" customHeight="true" outlineLevel="0" collapsed="false">
      <c r="A2120" s="99"/>
      <c r="B2120" s="100" t="n">
        <v>46202</v>
      </c>
      <c r="C2120" s="100" t="n">
        <v>46208</v>
      </c>
      <c r="D2120" s="99" t="s">
        <v>638</v>
      </c>
      <c r="E2120" s="99" t="n">
        <v>0</v>
      </c>
      <c r="F2120" s="101" t="n">
        <v>0</v>
      </c>
      <c r="G2120" s="102" t="n">
        <f aca="false">IFERROR(F2120/INDEX($G$5:$G$34,MATCH(LOOKUP(2,1/($A$39:A2120&lt;&gt;""),$A$39:A2120),$A$5:$A$34,0)),0)</f>
        <v>0</v>
      </c>
      <c r="H2120" s="103" t="str">
        <f aca="false">IF(G2120=0,"空闲",IF(G2120&lt;=0.6,"低负荷",IF(G2120&lt;=0.85,"正常",IF(G2120&lt;=1,"满负荷","超负荷"))))</f>
        <v>空闲</v>
      </c>
      <c r="I2120" s="104" t="s">
        <v>638</v>
      </c>
      <c r="J2120" s="104"/>
      <c r="K2120" s="104"/>
      <c r="L2120" s="105" t="s">
        <v>639</v>
      </c>
    </row>
    <row r="2121" customFormat="false" ht="48" hidden="false" customHeight="true" outlineLevel="0" collapsed="false">
      <c r="A2121" s="99"/>
      <c r="B2121" s="100" t="n">
        <v>46209</v>
      </c>
      <c r="C2121" s="100" t="n">
        <v>46215</v>
      </c>
      <c r="D2121" s="99" t="s">
        <v>638</v>
      </c>
      <c r="E2121" s="99" t="n">
        <v>0</v>
      </c>
      <c r="F2121" s="101" t="n">
        <v>0</v>
      </c>
      <c r="G2121" s="102" t="n">
        <f aca="false">IFERROR(F2121/INDEX($G$5:$G$34,MATCH(LOOKUP(2,1/($A$39:A2121&lt;&gt;""),$A$39:A2121),$A$5:$A$34,0)),0)</f>
        <v>0</v>
      </c>
      <c r="H2121" s="103" t="str">
        <f aca="false">IF(G2121=0,"空闲",IF(G2121&lt;=0.6,"低负荷",IF(G2121&lt;=0.85,"正常",IF(G2121&lt;=1,"满负荷","超负荷"))))</f>
        <v>空闲</v>
      </c>
      <c r="I2121" s="104" t="s">
        <v>638</v>
      </c>
      <c r="J2121" s="104"/>
      <c r="K2121" s="104"/>
      <c r="L2121" s="105" t="s">
        <v>639</v>
      </c>
    </row>
    <row r="2122" customFormat="false" ht="48" hidden="false" customHeight="true" outlineLevel="0" collapsed="false">
      <c r="A2122" s="99"/>
      <c r="B2122" s="100" t="n">
        <v>46216</v>
      </c>
      <c r="C2122" s="100" t="n">
        <v>46222</v>
      </c>
      <c r="D2122" s="99" t="s">
        <v>638</v>
      </c>
      <c r="E2122" s="99" t="n">
        <v>0</v>
      </c>
      <c r="F2122" s="101" t="n">
        <v>0</v>
      </c>
      <c r="G2122" s="102" t="n">
        <f aca="false">IFERROR(F2122/INDEX($G$5:$G$34,MATCH(LOOKUP(2,1/($A$39:A2122&lt;&gt;""),$A$39:A2122),$A$5:$A$34,0)),0)</f>
        <v>0</v>
      </c>
      <c r="H2122" s="103" t="str">
        <f aca="false">IF(G2122=0,"空闲",IF(G2122&lt;=0.6,"低负荷",IF(G2122&lt;=0.85,"正常",IF(G2122&lt;=1,"满负荷","超负荷"))))</f>
        <v>空闲</v>
      </c>
      <c r="I2122" s="104" t="s">
        <v>638</v>
      </c>
      <c r="J2122" s="104"/>
      <c r="K2122" s="104"/>
      <c r="L2122" s="105" t="s">
        <v>639</v>
      </c>
    </row>
    <row r="2123" customFormat="false" ht="48" hidden="false" customHeight="true" outlineLevel="0" collapsed="false">
      <c r="A2123" s="99"/>
      <c r="B2123" s="100" t="n">
        <v>46223</v>
      </c>
      <c r="C2123" s="100" t="n">
        <v>46229</v>
      </c>
      <c r="D2123" s="99" t="s">
        <v>638</v>
      </c>
      <c r="E2123" s="99" t="n">
        <v>0</v>
      </c>
      <c r="F2123" s="101" t="n">
        <v>0</v>
      </c>
      <c r="G2123" s="102" t="n">
        <f aca="false">IFERROR(F2123/INDEX($G$5:$G$34,MATCH(LOOKUP(2,1/($A$39:A2123&lt;&gt;""),$A$39:A2123),$A$5:$A$34,0)),0)</f>
        <v>0</v>
      </c>
      <c r="H2123" s="103" t="str">
        <f aca="false">IF(G2123=0,"空闲",IF(G2123&lt;=0.6,"低负荷",IF(G2123&lt;=0.85,"正常",IF(G2123&lt;=1,"满负荷","超负荷"))))</f>
        <v>空闲</v>
      </c>
      <c r="I2123" s="104" t="s">
        <v>638</v>
      </c>
      <c r="J2123" s="104"/>
      <c r="K2123" s="104"/>
      <c r="L2123" s="105" t="s">
        <v>639</v>
      </c>
    </row>
    <row r="2124" customFormat="false" ht="48" hidden="false" customHeight="true" outlineLevel="0" collapsed="false">
      <c r="A2124" s="99"/>
      <c r="B2124" s="100" t="n">
        <v>46230</v>
      </c>
      <c r="C2124" s="100" t="n">
        <v>46236</v>
      </c>
      <c r="D2124" s="99" t="s">
        <v>638</v>
      </c>
      <c r="E2124" s="99" t="n">
        <v>0</v>
      </c>
      <c r="F2124" s="101" t="n">
        <v>0</v>
      </c>
      <c r="G2124" s="102" t="n">
        <f aca="false">IFERROR(F2124/INDEX($G$5:$G$34,MATCH(LOOKUP(2,1/($A$39:A2124&lt;&gt;""),$A$39:A2124),$A$5:$A$34,0)),0)</f>
        <v>0</v>
      </c>
      <c r="H2124" s="103" t="str">
        <f aca="false">IF(G2124=0,"空闲",IF(G2124&lt;=0.6,"低负荷",IF(G2124&lt;=0.85,"正常",IF(G2124&lt;=1,"满负荷","超负荷"))))</f>
        <v>空闲</v>
      </c>
      <c r="I2124" s="104" t="s">
        <v>638</v>
      </c>
      <c r="J2124" s="104"/>
      <c r="K2124" s="104"/>
      <c r="L2124" s="105" t="s">
        <v>639</v>
      </c>
    </row>
    <row r="2125" customFormat="false" ht="48" hidden="false" customHeight="true" outlineLevel="0" collapsed="false">
      <c r="A2125" s="99"/>
      <c r="B2125" s="100" t="n">
        <v>46237</v>
      </c>
      <c r="C2125" s="100" t="n">
        <v>46243</v>
      </c>
      <c r="D2125" s="99" t="s">
        <v>638</v>
      </c>
      <c r="E2125" s="99" t="n">
        <v>0</v>
      </c>
      <c r="F2125" s="101" t="n">
        <v>0</v>
      </c>
      <c r="G2125" s="102" t="n">
        <f aca="false">IFERROR(F2125/INDEX($G$5:$G$34,MATCH(LOOKUP(2,1/($A$39:A2125&lt;&gt;""),$A$39:A2125),$A$5:$A$34,0)),0)</f>
        <v>0</v>
      </c>
      <c r="H2125" s="103" t="str">
        <f aca="false">IF(G2125=0,"空闲",IF(G2125&lt;=0.6,"低负荷",IF(G2125&lt;=0.85,"正常",IF(G2125&lt;=1,"满负荷","超负荷"))))</f>
        <v>空闲</v>
      </c>
      <c r="I2125" s="104" t="s">
        <v>638</v>
      </c>
      <c r="J2125" s="104"/>
      <c r="K2125" s="104"/>
      <c r="L2125" s="105" t="s">
        <v>639</v>
      </c>
    </row>
    <row r="2126" customFormat="false" ht="48" hidden="false" customHeight="true" outlineLevel="0" collapsed="false">
      <c r="A2126" s="99"/>
      <c r="B2126" s="100" t="n">
        <v>46244</v>
      </c>
      <c r="C2126" s="100" t="n">
        <v>46250</v>
      </c>
      <c r="D2126" s="99" t="s">
        <v>638</v>
      </c>
      <c r="E2126" s="99" t="n">
        <v>0</v>
      </c>
      <c r="F2126" s="101" t="n">
        <v>0</v>
      </c>
      <c r="G2126" s="102" t="n">
        <f aca="false">IFERROR(F2126/INDEX($G$5:$G$34,MATCH(LOOKUP(2,1/($A$39:A2126&lt;&gt;""),$A$39:A2126),$A$5:$A$34,0)),0)</f>
        <v>0</v>
      </c>
      <c r="H2126" s="103" t="str">
        <f aca="false">IF(G2126=0,"空闲",IF(G2126&lt;=0.6,"低负荷",IF(G2126&lt;=0.85,"正常",IF(G2126&lt;=1,"满负荷","超负荷"))))</f>
        <v>空闲</v>
      </c>
      <c r="I2126" s="104" t="s">
        <v>638</v>
      </c>
      <c r="J2126" s="104"/>
      <c r="K2126" s="104"/>
      <c r="L2126" s="105" t="s">
        <v>639</v>
      </c>
    </row>
    <row r="2127" customFormat="false" ht="48" hidden="false" customHeight="true" outlineLevel="0" collapsed="false">
      <c r="A2127" s="99"/>
      <c r="B2127" s="100" t="n">
        <v>46251</v>
      </c>
      <c r="C2127" s="100" t="n">
        <v>46257</v>
      </c>
      <c r="D2127" s="99" t="s">
        <v>640</v>
      </c>
      <c r="E2127" s="99" t="n">
        <v>1</v>
      </c>
      <c r="F2127" s="101" t="n">
        <v>40</v>
      </c>
      <c r="G2127" s="102" t="n">
        <f aca="false">IFERROR(F2127/INDEX($G$5:$G$34,MATCH(LOOKUP(2,1/($A$39:A2127&lt;&gt;""),$A$39:A2127),$A$5:$A$34,0)),0)</f>
        <v>1</v>
      </c>
      <c r="H2127" s="103" t="str">
        <f aca="false">IF(G2127=0,"空闲",IF(G2127&lt;=0.6,"低负荷",IF(G2127&lt;=0.85,"正常",IF(G2127&lt;=1,"满负荷","超负荷"))))</f>
        <v>满负荷</v>
      </c>
      <c r="I2127" s="106" t="s">
        <v>773</v>
      </c>
      <c r="J2127" s="106"/>
      <c r="K2127" s="106"/>
      <c r="L2127" s="105" t="s">
        <v>642</v>
      </c>
    </row>
    <row r="2128" customFormat="false" ht="48" hidden="false" customHeight="true" outlineLevel="0" collapsed="false">
      <c r="A2128" s="99"/>
      <c r="B2128" s="100" t="n">
        <v>46258</v>
      </c>
      <c r="C2128" s="100" t="n">
        <v>46264</v>
      </c>
      <c r="D2128" s="99" t="s">
        <v>640</v>
      </c>
      <c r="E2128" s="99" t="n">
        <v>1</v>
      </c>
      <c r="F2128" s="101" t="n">
        <v>40</v>
      </c>
      <c r="G2128" s="102" t="n">
        <f aca="false">IFERROR(F2128/INDEX($G$5:$G$34,MATCH(LOOKUP(2,1/($A$39:A2128&lt;&gt;""),$A$39:A2128),$A$5:$A$34,0)),0)</f>
        <v>1</v>
      </c>
      <c r="H2128" s="103" t="str">
        <f aca="false">IF(G2128=0,"空闲",IF(G2128&lt;=0.6,"低负荷",IF(G2128&lt;=0.85,"正常",IF(G2128&lt;=1,"满负荷","超负荷"))))</f>
        <v>满负荷</v>
      </c>
      <c r="I2128" s="106" t="s">
        <v>773</v>
      </c>
      <c r="J2128" s="106"/>
      <c r="K2128" s="106"/>
      <c r="L2128" s="105" t="s">
        <v>642</v>
      </c>
    </row>
    <row r="2129" customFormat="false" ht="48" hidden="false" customHeight="true" outlineLevel="0" collapsed="false">
      <c r="A2129" s="99"/>
      <c r="B2129" s="100" t="n">
        <v>46265</v>
      </c>
      <c r="C2129" s="100" t="n">
        <v>46271</v>
      </c>
      <c r="D2129" s="99" t="s">
        <v>640</v>
      </c>
      <c r="E2129" s="99" t="n">
        <v>2</v>
      </c>
      <c r="F2129" s="101" t="n">
        <v>40</v>
      </c>
      <c r="G2129" s="102" t="n">
        <f aca="false">IFERROR(F2129/INDEX($G$5:$G$34,MATCH(LOOKUP(2,1/($A$39:A2129&lt;&gt;""),$A$39:A2129),$A$5:$A$34,0)),0)</f>
        <v>1</v>
      </c>
      <c r="H2129" s="103" t="str">
        <f aca="false">IF(G2129=0,"空闲",IF(G2129&lt;=0.6,"低负荷",IF(G2129&lt;=0.85,"正常",IF(G2129&lt;=1,"满负荷","超负荷"))))</f>
        <v>满负荷</v>
      </c>
      <c r="I2129" s="106" t="s">
        <v>774</v>
      </c>
      <c r="J2129" s="106"/>
      <c r="K2129" s="106"/>
      <c r="L2129" s="105" t="s">
        <v>652</v>
      </c>
    </row>
    <row r="2130" customFormat="false" ht="48" hidden="false" customHeight="true" outlineLevel="0" collapsed="false">
      <c r="A2130" s="99"/>
      <c r="B2130" s="100" t="n">
        <v>46272</v>
      </c>
      <c r="C2130" s="100" t="n">
        <v>46278</v>
      </c>
      <c r="D2130" s="99" t="s">
        <v>640</v>
      </c>
      <c r="E2130" s="99" t="n">
        <v>1</v>
      </c>
      <c r="F2130" s="101" t="n">
        <v>40</v>
      </c>
      <c r="G2130" s="102" t="n">
        <f aca="false">IFERROR(F2130/INDEX($G$5:$G$34,MATCH(LOOKUP(2,1/($A$39:A2130&lt;&gt;""),$A$39:A2130),$A$5:$A$34,0)),0)</f>
        <v>1</v>
      </c>
      <c r="H2130" s="103" t="str">
        <f aca="false">IF(G2130=0,"空闲",IF(G2130&lt;=0.6,"低负荷",IF(G2130&lt;=0.85,"正常",IF(G2130&lt;=1,"满负荷","超负荷"))))</f>
        <v>满负荷</v>
      </c>
      <c r="I2130" s="106" t="s">
        <v>775</v>
      </c>
      <c r="J2130" s="106"/>
      <c r="K2130" s="106"/>
      <c r="L2130" s="105" t="s">
        <v>642</v>
      </c>
    </row>
    <row r="2131" customFormat="false" ht="48" hidden="false" customHeight="true" outlineLevel="0" collapsed="false">
      <c r="A2131" s="99"/>
      <c r="B2131" s="100" t="n">
        <v>46279</v>
      </c>
      <c r="C2131" s="100" t="n">
        <v>46285</v>
      </c>
      <c r="D2131" s="99" t="s">
        <v>640</v>
      </c>
      <c r="E2131" s="99" t="n">
        <v>1</v>
      </c>
      <c r="F2131" s="101" t="n">
        <v>40</v>
      </c>
      <c r="G2131" s="102" t="n">
        <f aca="false">IFERROR(F2131/INDEX($G$5:$G$34,MATCH(LOOKUP(2,1/($A$39:A2131&lt;&gt;""),$A$39:A2131),$A$5:$A$34,0)),0)</f>
        <v>1</v>
      </c>
      <c r="H2131" s="103" t="str">
        <f aca="false">IF(G2131=0,"空闲",IF(G2131&lt;=0.6,"低负荷",IF(G2131&lt;=0.85,"正常",IF(G2131&lt;=1,"满负荷","超负荷"))))</f>
        <v>满负荷</v>
      </c>
      <c r="I2131" s="106" t="s">
        <v>775</v>
      </c>
      <c r="J2131" s="106"/>
      <c r="K2131" s="106"/>
      <c r="L2131" s="105" t="s">
        <v>642</v>
      </c>
    </row>
    <row r="2132" customFormat="false" ht="48" hidden="false" customHeight="true" outlineLevel="0" collapsed="false">
      <c r="A2132" s="99"/>
      <c r="B2132" s="100" t="n">
        <v>46286</v>
      </c>
      <c r="C2132" s="100" t="n">
        <v>46292</v>
      </c>
      <c r="D2132" s="99" t="s">
        <v>638</v>
      </c>
      <c r="E2132" s="99" t="n">
        <v>0</v>
      </c>
      <c r="F2132" s="101" t="n">
        <v>0</v>
      </c>
      <c r="G2132" s="102" t="n">
        <f aca="false">IFERROR(F2132/INDEX($G$5:$G$34,MATCH(LOOKUP(2,1/($A$39:A2132&lt;&gt;""),$A$39:A2132),$A$5:$A$34,0)),0)</f>
        <v>0</v>
      </c>
      <c r="H2132" s="103" t="str">
        <f aca="false">IF(G2132=0,"空闲",IF(G2132&lt;=0.6,"低负荷",IF(G2132&lt;=0.85,"正常",IF(G2132&lt;=1,"满负荷","超负荷"))))</f>
        <v>空闲</v>
      </c>
      <c r="I2132" s="104" t="s">
        <v>638</v>
      </c>
      <c r="J2132" s="104"/>
      <c r="K2132" s="104"/>
      <c r="L2132" s="105" t="s">
        <v>639</v>
      </c>
    </row>
    <row r="2133" customFormat="false" ht="48" hidden="false" customHeight="true" outlineLevel="0" collapsed="false">
      <c r="A2133" s="99"/>
      <c r="B2133" s="100" t="n">
        <v>46293</v>
      </c>
      <c r="C2133" s="100" t="n">
        <v>46299</v>
      </c>
      <c r="D2133" s="99" t="s">
        <v>638</v>
      </c>
      <c r="E2133" s="99" t="n">
        <v>0</v>
      </c>
      <c r="F2133" s="101" t="n">
        <v>0</v>
      </c>
      <c r="G2133" s="102" t="n">
        <f aca="false">IFERROR(F2133/INDEX($G$5:$G$34,MATCH(LOOKUP(2,1/($A$39:A2133&lt;&gt;""),$A$39:A2133),$A$5:$A$34,0)),0)</f>
        <v>0</v>
      </c>
      <c r="H2133" s="103" t="str">
        <f aca="false">IF(G2133=0,"空闲",IF(G2133&lt;=0.6,"低负荷",IF(G2133&lt;=0.85,"正常",IF(G2133&lt;=1,"满负荷","超负荷"))))</f>
        <v>空闲</v>
      </c>
      <c r="I2133" s="104" t="s">
        <v>638</v>
      </c>
      <c r="J2133" s="104"/>
      <c r="K2133" s="104"/>
      <c r="L2133" s="105" t="s">
        <v>639</v>
      </c>
    </row>
    <row r="2134" customFormat="false" ht="48" hidden="false" customHeight="true" outlineLevel="0" collapsed="false">
      <c r="A2134" s="99"/>
      <c r="B2134" s="100" t="n">
        <v>46300</v>
      </c>
      <c r="C2134" s="100" t="n">
        <v>46306</v>
      </c>
      <c r="D2134" s="99" t="s">
        <v>638</v>
      </c>
      <c r="E2134" s="99" t="n">
        <v>0</v>
      </c>
      <c r="F2134" s="101" t="n">
        <v>0</v>
      </c>
      <c r="G2134" s="102" t="n">
        <f aca="false">IFERROR(F2134/INDEX($G$5:$G$34,MATCH(LOOKUP(2,1/($A$39:A2134&lt;&gt;""),$A$39:A2134),$A$5:$A$34,0)),0)</f>
        <v>0</v>
      </c>
      <c r="H2134" s="103" t="str">
        <f aca="false">IF(G2134=0,"空闲",IF(G2134&lt;=0.6,"低负荷",IF(G2134&lt;=0.85,"正常",IF(G2134&lt;=1,"满负荷","超负荷"))))</f>
        <v>空闲</v>
      </c>
      <c r="I2134" s="104" t="s">
        <v>638</v>
      </c>
      <c r="J2134" s="104"/>
      <c r="K2134" s="104"/>
      <c r="L2134" s="105" t="s">
        <v>639</v>
      </c>
    </row>
    <row r="2135" customFormat="false" ht="48" hidden="false" customHeight="true" outlineLevel="0" collapsed="false">
      <c r="A2135" s="99"/>
      <c r="B2135" s="100" t="n">
        <v>46307</v>
      </c>
      <c r="C2135" s="100" t="n">
        <v>46313</v>
      </c>
      <c r="D2135" s="99" t="s">
        <v>638</v>
      </c>
      <c r="E2135" s="99" t="n">
        <v>0</v>
      </c>
      <c r="F2135" s="101" t="n">
        <v>0</v>
      </c>
      <c r="G2135" s="102" t="n">
        <f aca="false">IFERROR(F2135/INDEX($G$5:$G$34,MATCH(LOOKUP(2,1/($A$39:A2135&lt;&gt;""),$A$39:A2135),$A$5:$A$34,0)),0)</f>
        <v>0</v>
      </c>
      <c r="H2135" s="103" t="str">
        <f aca="false">IF(G2135=0,"空闲",IF(G2135&lt;=0.6,"低负荷",IF(G2135&lt;=0.85,"正常",IF(G2135&lt;=1,"满负荷","超负荷"))))</f>
        <v>空闲</v>
      </c>
      <c r="I2135" s="104" t="s">
        <v>638</v>
      </c>
      <c r="J2135" s="104"/>
      <c r="K2135" s="104"/>
      <c r="L2135" s="105" t="s">
        <v>639</v>
      </c>
    </row>
    <row r="2136" customFormat="false" ht="48" hidden="false" customHeight="true" outlineLevel="0" collapsed="false">
      <c r="A2136" s="99"/>
      <c r="B2136" s="100" t="n">
        <v>46314</v>
      </c>
      <c r="C2136" s="100" t="n">
        <v>46320</v>
      </c>
      <c r="D2136" s="99" t="s">
        <v>638</v>
      </c>
      <c r="E2136" s="99" t="n">
        <v>0</v>
      </c>
      <c r="F2136" s="101" t="n">
        <v>0</v>
      </c>
      <c r="G2136" s="102" t="n">
        <f aca="false">IFERROR(F2136/INDEX($G$5:$G$34,MATCH(LOOKUP(2,1/($A$39:A2136&lt;&gt;""),$A$39:A2136),$A$5:$A$34,0)),0)</f>
        <v>0</v>
      </c>
      <c r="H2136" s="103" t="str">
        <f aca="false">IF(G2136=0,"空闲",IF(G2136&lt;=0.6,"低负荷",IF(G2136&lt;=0.85,"正常",IF(G2136&lt;=1,"满负荷","超负荷"))))</f>
        <v>空闲</v>
      </c>
      <c r="I2136" s="104" t="s">
        <v>638</v>
      </c>
      <c r="J2136" s="104"/>
      <c r="K2136" s="104"/>
      <c r="L2136" s="105" t="s">
        <v>639</v>
      </c>
    </row>
    <row r="2137" customFormat="false" ht="48" hidden="false" customHeight="true" outlineLevel="0" collapsed="false">
      <c r="A2137" s="99"/>
      <c r="B2137" s="100" t="n">
        <v>46321</v>
      </c>
      <c r="C2137" s="100" t="n">
        <v>46327</v>
      </c>
      <c r="D2137" s="99" t="s">
        <v>638</v>
      </c>
      <c r="E2137" s="99" t="n">
        <v>0</v>
      </c>
      <c r="F2137" s="101" t="n">
        <v>0</v>
      </c>
      <c r="G2137" s="102" t="n">
        <f aca="false">IFERROR(F2137/INDEX($G$5:$G$34,MATCH(LOOKUP(2,1/($A$39:A2137&lt;&gt;""),$A$39:A2137),$A$5:$A$34,0)),0)</f>
        <v>0</v>
      </c>
      <c r="H2137" s="103" t="str">
        <f aca="false">IF(G2137=0,"空闲",IF(G2137&lt;=0.6,"低负荷",IF(G2137&lt;=0.85,"正常",IF(G2137&lt;=1,"满负荷","超负荷"))))</f>
        <v>空闲</v>
      </c>
      <c r="I2137" s="104" t="s">
        <v>638</v>
      </c>
      <c r="J2137" s="104"/>
      <c r="K2137" s="104"/>
      <c r="L2137" s="105" t="s">
        <v>639</v>
      </c>
    </row>
    <row r="2138" customFormat="false" ht="48" hidden="false" customHeight="true" outlineLevel="0" collapsed="false">
      <c r="A2138" s="99"/>
      <c r="B2138" s="100" t="n">
        <v>46328</v>
      </c>
      <c r="C2138" s="100" t="n">
        <v>46334</v>
      </c>
      <c r="D2138" s="99" t="s">
        <v>638</v>
      </c>
      <c r="E2138" s="99" t="n">
        <v>0</v>
      </c>
      <c r="F2138" s="101" t="n">
        <v>0</v>
      </c>
      <c r="G2138" s="102" t="n">
        <f aca="false">IFERROR(F2138/INDEX($G$5:$G$34,MATCH(LOOKUP(2,1/($A$39:A2138&lt;&gt;""),$A$39:A2138),$A$5:$A$34,0)),0)</f>
        <v>0</v>
      </c>
      <c r="H2138" s="103" t="str">
        <f aca="false">IF(G2138=0,"空闲",IF(G2138&lt;=0.6,"低负荷",IF(G2138&lt;=0.85,"正常",IF(G2138&lt;=1,"满负荷","超负荷"))))</f>
        <v>空闲</v>
      </c>
      <c r="I2138" s="104" t="s">
        <v>638</v>
      </c>
      <c r="J2138" s="104"/>
      <c r="K2138" s="104"/>
      <c r="L2138" s="105" t="s">
        <v>639</v>
      </c>
    </row>
    <row r="2139" customFormat="false" ht="48" hidden="false" customHeight="true" outlineLevel="0" collapsed="false">
      <c r="A2139" s="99"/>
      <c r="B2139" s="100" t="n">
        <v>46335</v>
      </c>
      <c r="C2139" s="100" t="n">
        <v>46341</v>
      </c>
      <c r="D2139" s="99" t="s">
        <v>638</v>
      </c>
      <c r="E2139" s="99" t="n">
        <v>0</v>
      </c>
      <c r="F2139" s="101" t="n">
        <v>0</v>
      </c>
      <c r="G2139" s="102" t="n">
        <f aca="false">IFERROR(F2139/INDEX($G$5:$G$34,MATCH(LOOKUP(2,1/($A$39:A2139&lt;&gt;""),$A$39:A2139),$A$5:$A$34,0)),0)</f>
        <v>0</v>
      </c>
      <c r="H2139" s="103" t="str">
        <f aca="false">IF(G2139=0,"空闲",IF(G2139&lt;=0.6,"低负荷",IF(G2139&lt;=0.85,"正常",IF(G2139&lt;=1,"满负荷","超负荷"))))</f>
        <v>空闲</v>
      </c>
      <c r="I2139" s="104" t="s">
        <v>638</v>
      </c>
      <c r="J2139" s="104"/>
      <c r="K2139" s="104"/>
      <c r="L2139" s="105" t="s">
        <v>639</v>
      </c>
    </row>
    <row r="2140" customFormat="false" ht="48" hidden="false" customHeight="true" outlineLevel="0" collapsed="false">
      <c r="A2140" s="99"/>
      <c r="B2140" s="100" t="n">
        <v>46342</v>
      </c>
      <c r="C2140" s="100" t="n">
        <v>46348</v>
      </c>
      <c r="D2140" s="99" t="s">
        <v>638</v>
      </c>
      <c r="E2140" s="99" t="n">
        <v>0</v>
      </c>
      <c r="F2140" s="101" t="n">
        <v>0</v>
      </c>
      <c r="G2140" s="102" t="n">
        <f aca="false">IFERROR(F2140/INDEX($G$5:$G$34,MATCH(LOOKUP(2,1/($A$39:A2140&lt;&gt;""),$A$39:A2140),$A$5:$A$34,0)),0)</f>
        <v>0</v>
      </c>
      <c r="H2140" s="103" t="str">
        <f aca="false">IF(G2140=0,"空闲",IF(G2140&lt;=0.6,"低负荷",IF(G2140&lt;=0.85,"正常",IF(G2140&lt;=1,"满负荷","超负荷"))))</f>
        <v>空闲</v>
      </c>
      <c r="I2140" s="104" t="s">
        <v>638</v>
      </c>
      <c r="J2140" s="104"/>
      <c r="K2140" s="104"/>
      <c r="L2140" s="105" t="s">
        <v>639</v>
      </c>
    </row>
    <row r="2141" customFormat="false" ht="48" hidden="false" customHeight="true" outlineLevel="0" collapsed="false">
      <c r="A2141" s="99"/>
      <c r="B2141" s="100" t="n">
        <v>46349</v>
      </c>
      <c r="C2141" s="100" t="n">
        <v>46355</v>
      </c>
      <c r="D2141" s="99" t="s">
        <v>638</v>
      </c>
      <c r="E2141" s="99" t="n">
        <v>0</v>
      </c>
      <c r="F2141" s="101" t="n">
        <v>0</v>
      </c>
      <c r="G2141" s="102" t="n">
        <f aca="false">IFERROR(F2141/INDEX($G$5:$G$34,MATCH(LOOKUP(2,1/($A$39:A2141&lt;&gt;""),$A$39:A2141),$A$5:$A$34,0)),0)</f>
        <v>0</v>
      </c>
      <c r="H2141" s="103" t="str">
        <f aca="false">IF(G2141=0,"空闲",IF(G2141&lt;=0.6,"低负荷",IF(G2141&lt;=0.85,"正常",IF(G2141&lt;=1,"满负荷","超负荷"))))</f>
        <v>空闲</v>
      </c>
      <c r="I2141" s="104" t="s">
        <v>638</v>
      </c>
      <c r="J2141" s="104"/>
      <c r="K2141" s="104"/>
      <c r="L2141" s="105" t="s">
        <v>639</v>
      </c>
    </row>
    <row r="2142" customFormat="false" ht="48" hidden="false" customHeight="true" outlineLevel="0" collapsed="false">
      <c r="A2142" s="99"/>
      <c r="B2142" s="100" t="n">
        <v>46356</v>
      </c>
      <c r="C2142" s="100" t="n">
        <v>46362</v>
      </c>
      <c r="D2142" s="99" t="s">
        <v>638</v>
      </c>
      <c r="E2142" s="99" t="n">
        <v>0</v>
      </c>
      <c r="F2142" s="101" t="n">
        <v>0</v>
      </c>
      <c r="G2142" s="102" t="n">
        <f aca="false">IFERROR(F2142/INDEX($G$5:$G$34,MATCH(LOOKUP(2,1/($A$39:A2142&lt;&gt;""),$A$39:A2142),$A$5:$A$34,0)),0)</f>
        <v>0</v>
      </c>
      <c r="H2142" s="103" t="str">
        <f aca="false">IF(G2142=0,"空闲",IF(G2142&lt;=0.6,"低负荷",IF(G2142&lt;=0.85,"正常",IF(G2142&lt;=1,"满负荷","超负荷"))))</f>
        <v>空闲</v>
      </c>
      <c r="I2142" s="104" t="s">
        <v>638</v>
      </c>
      <c r="J2142" s="104"/>
      <c r="K2142" s="104"/>
      <c r="L2142" s="105" t="s">
        <v>639</v>
      </c>
    </row>
    <row r="2143" customFormat="false" ht="48" hidden="false" customHeight="true" outlineLevel="0" collapsed="false">
      <c r="A2143" s="99"/>
      <c r="B2143" s="100" t="n">
        <v>46363</v>
      </c>
      <c r="C2143" s="100" t="n">
        <v>46369</v>
      </c>
      <c r="D2143" s="99" t="s">
        <v>638</v>
      </c>
      <c r="E2143" s="99" t="n">
        <v>0</v>
      </c>
      <c r="F2143" s="101" t="n">
        <v>0</v>
      </c>
      <c r="G2143" s="102" t="n">
        <f aca="false">IFERROR(F2143/INDEX($G$5:$G$34,MATCH(LOOKUP(2,1/($A$39:A2143&lt;&gt;""),$A$39:A2143),$A$5:$A$34,0)),0)</f>
        <v>0</v>
      </c>
      <c r="H2143" s="103" t="str">
        <f aca="false">IF(G2143=0,"空闲",IF(G2143&lt;=0.6,"低负荷",IF(G2143&lt;=0.85,"正常",IF(G2143&lt;=1,"满负荷","超负荷"))))</f>
        <v>空闲</v>
      </c>
      <c r="I2143" s="104" t="s">
        <v>638</v>
      </c>
      <c r="J2143" s="104"/>
      <c r="K2143" s="104"/>
      <c r="L2143" s="105" t="s">
        <v>639</v>
      </c>
    </row>
    <row r="2144" customFormat="false" ht="48" hidden="false" customHeight="true" outlineLevel="0" collapsed="false">
      <c r="A2144" s="99"/>
      <c r="B2144" s="100" t="n">
        <v>46370</v>
      </c>
      <c r="C2144" s="100" t="n">
        <v>46376</v>
      </c>
      <c r="D2144" s="99" t="s">
        <v>638</v>
      </c>
      <c r="E2144" s="99" t="n">
        <v>0</v>
      </c>
      <c r="F2144" s="101" t="n">
        <v>0</v>
      </c>
      <c r="G2144" s="102" t="n">
        <f aca="false">IFERROR(F2144/INDEX($G$5:$G$34,MATCH(LOOKUP(2,1/($A$39:A2144&lt;&gt;""),$A$39:A2144),$A$5:$A$34,0)),0)</f>
        <v>0</v>
      </c>
      <c r="H2144" s="103" t="str">
        <f aca="false">IF(G2144=0,"空闲",IF(G2144&lt;=0.6,"低负荷",IF(G2144&lt;=0.85,"正常",IF(G2144&lt;=1,"满负荷","超负荷"))))</f>
        <v>空闲</v>
      </c>
      <c r="I2144" s="104" t="s">
        <v>638</v>
      </c>
      <c r="J2144" s="104"/>
      <c r="K2144" s="104"/>
      <c r="L2144" s="105" t="s">
        <v>639</v>
      </c>
    </row>
    <row r="2145" customFormat="false" ht="48" hidden="false" customHeight="true" outlineLevel="0" collapsed="false">
      <c r="A2145" s="99"/>
      <c r="B2145" s="100" t="n">
        <v>46377</v>
      </c>
      <c r="C2145" s="100" t="n">
        <v>46383</v>
      </c>
      <c r="D2145" s="99" t="s">
        <v>638</v>
      </c>
      <c r="E2145" s="99" t="n">
        <v>0</v>
      </c>
      <c r="F2145" s="101" t="n">
        <v>0</v>
      </c>
      <c r="G2145" s="102" t="n">
        <f aca="false">IFERROR(F2145/INDEX($G$5:$G$34,MATCH(LOOKUP(2,1/($A$39:A2145&lt;&gt;""),$A$39:A2145),$A$5:$A$34,0)),0)</f>
        <v>0</v>
      </c>
      <c r="H2145" s="103" t="str">
        <f aca="false">IF(G2145=0,"空闲",IF(G2145&lt;=0.6,"低负荷",IF(G2145&lt;=0.85,"正常",IF(G2145&lt;=1,"满负荷","超负荷"))))</f>
        <v>空闲</v>
      </c>
      <c r="I2145" s="104" t="s">
        <v>638</v>
      </c>
      <c r="J2145" s="104"/>
      <c r="K2145" s="104"/>
      <c r="L2145" s="105" t="s">
        <v>639</v>
      </c>
    </row>
    <row r="2146" customFormat="false" ht="48" hidden="false" customHeight="true" outlineLevel="0" collapsed="false">
      <c r="A2146" s="99"/>
      <c r="B2146" s="100" t="n">
        <v>46384</v>
      </c>
      <c r="C2146" s="100" t="n">
        <v>46390</v>
      </c>
      <c r="D2146" s="99" t="s">
        <v>638</v>
      </c>
      <c r="E2146" s="99" t="n">
        <v>0</v>
      </c>
      <c r="F2146" s="101" t="n">
        <v>0</v>
      </c>
      <c r="G2146" s="102" t="n">
        <f aca="false">IFERROR(F2146/INDEX($G$5:$G$34,MATCH(LOOKUP(2,1/($A$39:A2146&lt;&gt;""),$A$39:A2146),$A$5:$A$34,0)),0)</f>
        <v>0</v>
      </c>
      <c r="H2146" s="103" t="str">
        <f aca="false">IF(G2146=0,"空闲",IF(G2146&lt;=0.6,"低负荷",IF(G2146&lt;=0.85,"正常",IF(G2146&lt;=1,"满负荷","超负荷"))))</f>
        <v>空闲</v>
      </c>
      <c r="I2146" s="104" t="s">
        <v>638</v>
      </c>
      <c r="J2146" s="104"/>
      <c r="K2146" s="104"/>
      <c r="L2146" s="105" t="s">
        <v>639</v>
      </c>
    </row>
    <row r="2147" customFormat="false" ht="48" hidden="false" customHeight="true" outlineLevel="0" collapsed="false">
      <c r="A2147" s="99"/>
      <c r="B2147" s="100" t="n">
        <v>46391</v>
      </c>
      <c r="C2147" s="100" t="n">
        <v>46397</v>
      </c>
      <c r="D2147" s="99" t="s">
        <v>638</v>
      </c>
      <c r="E2147" s="99" t="n">
        <v>0</v>
      </c>
      <c r="F2147" s="101" t="n">
        <v>0</v>
      </c>
      <c r="G2147" s="102" t="n">
        <f aca="false">IFERROR(F2147/INDEX($G$5:$G$34,MATCH(LOOKUP(2,1/($A$39:A2147&lt;&gt;""),$A$39:A2147),$A$5:$A$34,0)),0)</f>
        <v>0</v>
      </c>
      <c r="H2147" s="103" t="str">
        <f aca="false">IF(G2147=0,"空闲",IF(G2147&lt;=0.6,"低负荷",IF(G2147&lt;=0.85,"正常",IF(G2147&lt;=1,"满负荷","超负荷"))))</f>
        <v>空闲</v>
      </c>
      <c r="I2147" s="104" t="s">
        <v>638</v>
      </c>
      <c r="J2147" s="104"/>
      <c r="K2147" s="104"/>
      <c r="L2147" s="105" t="s">
        <v>639</v>
      </c>
    </row>
    <row r="2148" customFormat="false" ht="48" hidden="false" customHeight="true" outlineLevel="0" collapsed="false">
      <c r="A2148" s="99"/>
      <c r="B2148" s="100" t="n">
        <v>46398</v>
      </c>
      <c r="C2148" s="100" t="n">
        <v>46404</v>
      </c>
      <c r="D2148" s="99" t="s">
        <v>638</v>
      </c>
      <c r="E2148" s="99" t="n">
        <v>0</v>
      </c>
      <c r="F2148" s="101" t="n">
        <v>0</v>
      </c>
      <c r="G2148" s="102" t="n">
        <f aca="false">IFERROR(F2148/INDEX($G$5:$G$34,MATCH(LOOKUP(2,1/($A$39:A2148&lt;&gt;""),$A$39:A2148),$A$5:$A$34,0)),0)</f>
        <v>0</v>
      </c>
      <c r="H2148" s="103" t="str">
        <f aca="false">IF(G2148=0,"空闲",IF(G2148&lt;=0.6,"低负荷",IF(G2148&lt;=0.85,"正常",IF(G2148&lt;=1,"满负荷","超负荷"))))</f>
        <v>空闲</v>
      </c>
      <c r="I2148" s="104" t="s">
        <v>638</v>
      </c>
      <c r="J2148" s="104"/>
      <c r="K2148" s="104"/>
      <c r="L2148" s="105" t="s">
        <v>639</v>
      </c>
    </row>
    <row r="2149" customFormat="false" ht="48" hidden="false" customHeight="true" outlineLevel="0" collapsed="false">
      <c r="A2149" s="99"/>
      <c r="B2149" s="100" t="n">
        <v>46405</v>
      </c>
      <c r="C2149" s="100" t="n">
        <v>46411</v>
      </c>
      <c r="D2149" s="99" t="s">
        <v>638</v>
      </c>
      <c r="E2149" s="99" t="n">
        <v>0</v>
      </c>
      <c r="F2149" s="101" t="n">
        <v>0</v>
      </c>
      <c r="G2149" s="102" t="n">
        <f aca="false">IFERROR(F2149/INDEX($G$5:$G$34,MATCH(LOOKUP(2,1/($A$39:A2149&lt;&gt;""),$A$39:A2149),$A$5:$A$34,0)),0)</f>
        <v>0</v>
      </c>
      <c r="H2149" s="103" t="str">
        <f aca="false">IF(G2149=0,"空闲",IF(G2149&lt;=0.6,"低负荷",IF(G2149&lt;=0.85,"正常",IF(G2149&lt;=1,"满负荷","超负荷"))))</f>
        <v>空闲</v>
      </c>
      <c r="I2149" s="104" t="s">
        <v>638</v>
      </c>
      <c r="J2149" s="104"/>
      <c r="K2149" s="104"/>
      <c r="L2149" s="105" t="s">
        <v>639</v>
      </c>
    </row>
    <row r="2150" customFormat="false" ht="48" hidden="false" customHeight="true" outlineLevel="0" collapsed="false">
      <c r="A2150" s="99"/>
      <c r="B2150" s="100" t="n">
        <v>46412</v>
      </c>
      <c r="C2150" s="100" t="n">
        <v>46418</v>
      </c>
      <c r="D2150" s="99" t="s">
        <v>638</v>
      </c>
      <c r="E2150" s="99" t="n">
        <v>0</v>
      </c>
      <c r="F2150" s="101" t="n">
        <v>0</v>
      </c>
      <c r="G2150" s="102" t="n">
        <f aca="false">IFERROR(F2150/INDEX($G$5:$G$34,MATCH(LOOKUP(2,1/($A$39:A2150&lt;&gt;""),$A$39:A2150),$A$5:$A$34,0)),0)</f>
        <v>0</v>
      </c>
      <c r="H2150" s="103" t="str">
        <f aca="false">IF(G2150=0,"空闲",IF(G2150&lt;=0.6,"低负荷",IF(G2150&lt;=0.85,"正常",IF(G2150&lt;=1,"满负荷","超负荷"))))</f>
        <v>空闲</v>
      </c>
      <c r="I2150" s="104" t="s">
        <v>638</v>
      </c>
      <c r="J2150" s="104"/>
      <c r="K2150" s="104"/>
      <c r="L2150" s="105" t="s">
        <v>639</v>
      </c>
    </row>
    <row r="2151" customFormat="false" ht="48" hidden="false" customHeight="true" outlineLevel="0" collapsed="false">
      <c r="A2151" s="99"/>
      <c r="B2151" s="100" t="n">
        <v>46419</v>
      </c>
      <c r="C2151" s="100" t="n">
        <v>46425</v>
      </c>
      <c r="D2151" s="99" t="s">
        <v>638</v>
      </c>
      <c r="E2151" s="99" t="n">
        <v>0</v>
      </c>
      <c r="F2151" s="101" t="n">
        <v>0</v>
      </c>
      <c r="G2151" s="102" t="n">
        <f aca="false">IFERROR(F2151/INDEX($G$5:$G$34,MATCH(LOOKUP(2,1/($A$39:A2151&lt;&gt;""),$A$39:A2151),$A$5:$A$34,0)),0)</f>
        <v>0</v>
      </c>
      <c r="H2151" s="103" t="str">
        <f aca="false">IF(G2151=0,"空闲",IF(G2151&lt;=0.6,"低负荷",IF(G2151&lt;=0.85,"正常",IF(G2151&lt;=1,"满负荷","超负荷"))))</f>
        <v>空闲</v>
      </c>
      <c r="I2151" s="104" t="s">
        <v>638</v>
      </c>
      <c r="J2151" s="104"/>
      <c r="K2151" s="104"/>
      <c r="L2151" s="105" t="s">
        <v>639</v>
      </c>
    </row>
    <row r="2152" customFormat="false" ht="48" hidden="false" customHeight="true" outlineLevel="0" collapsed="false">
      <c r="A2152" s="99"/>
      <c r="B2152" s="100" t="n">
        <v>46426</v>
      </c>
      <c r="C2152" s="100" t="n">
        <v>46432</v>
      </c>
      <c r="D2152" s="99" t="s">
        <v>638</v>
      </c>
      <c r="E2152" s="99" t="n">
        <v>0</v>
      </c>
      <c r="F2152" s="101" t="n">
        <v>0</v>
      </c>
      <c r="G2152" s="102" t="n">
        <f aca="false">IFERROR(F2152/INDEX($G$5:$G$34,MATCH(LOOKUP(2,1/($A$39:A2152&lt;&gt;""),$A$39:A2152),$A$5:$A$34,0)),0)</f>
        <v>0</v>
      </c>
      <c r="H2152" s="103" t="str">
        <f aca="false">IF(G2152=0,"空闲",IF(G2152&lt;=0.6,"低负荷",IF(G2152&lt;=0.85,"正常",IF(G2152&lt;=1,"满负荷","超负荷"))))</f>
        <v>空闲</v>
      </c>
      <c r="I2152" s="104" t="s">
        <v>638</v>
      </c>
      <c r="J2152" s="104"/>
      <c r="K2152" s="104"/>
      <c r="L2152" s="105" t="s">
        <v>639</v>
      </c>
    </row>
    <row r="2153" customFormat="false" ht="48" hidden="false" customHeight="true" outlineLevel="0" collapsed="false">
      <c r="A2153" s="99"/>
      <c r="B2153" s="100" t="n">
        <v>46433</v>
      </c>
      <c r="C2153" s="100" t="n">
        <v>46439</v>
      </c>
      <c r="D2153" s="99" t="s">
        <v>638</v>
      </c>
      <c r="E2153" s="99" t="n">
        <v>0</v>
      </c>
      <c r="F2153" s="101" t="n">
        <v>0</v>
      </c>
      <c r="G2153" s="102" t="n">
        <f aca="false">IFERROR(F2153/INDEX($G$5:$G$34,MATCH(LOOKUP(2,1/($A$39:A2153&lt;&gt;""),$A$39:A2153),$A$5:$A$34,0)),0)</f>
        <v>0</v>
      </c>
      <c r="H2153" s="103" t="str">
        <f aca="false">IF(G2153=0,"空闲",IF(G2153&lt;=0.6,"低负荷",IF(G2153&lt;=0.85,"正常",IF(G2153&lt;=1,"满负荷","超负荷"))))</f>
        <v>空闲</v>
      </c>
      <c r="I2153" s="104" t="s">
        <v>638</v>
      </c>
      <c r="J2153" s="104"/>
      <c r="K2153" s="104"/>
      <c r="L2153" s="105" t="s">
        <v>639</v>
      </c>
    </row>
    <row r="2154" customFormat="false" ht="48" hidden="false" customHeight="true" outlineLevel="0" collapsed="false">
      <c r="A2154" s="99"/>
      <c r="B2154" s="100" t="n">
        <v>46440</v>
      </c>
      <c r="C2154" s="100" t="n">
        <v>46446</v>
      </c>
      <c r="D2154" s="99" t="s">
        <v>638</v>
      </c>
      <c r="E2154" s="99" t="n">
        <v>0</v>
      </c>
      <c r="F2154" s="101" t="n">
        <v>0</v>
      </c>
      <c r="G2154" s="102" t="n">
        <f aca="false">IFERROR(F2154/INDEX($G$5:$G$34,MATCH(LOOKUP(2,1/($A$39:A2154&lt;&gt;""),$A$39:A2154),$A$5:$A$34,0)),0)</f>
        <v>0</v>
      </c>
      <c r="H2154" s="103" t="str">
        <f aca="false">IF(G2154=0,"空闲",IF(G2154&lt;=0.6,"低负荷",IF(G2154&lt;=0.85,"正常",IF(G2154&lt;=1,"满负荷","超负荷"))))</f>
        <v>空闲</v>
      </c>
      <c r="I2154" s="104" t="s">
        <v>638</v>
      </c>
      <c r="J2154" s="104"/>
      <c r="K2154" s="104"/>
      <c r="L2154" s="105" t="s">
        <v>639</v>
      </c>
    </row>
    <row r="2155" customFormat="false" ht="48" hidden="false" customHeight="true" outlineLevel="0" collapsed="false">
      <c r="A2155" s="99"/>
      <c r="B2155" s="100" t="n">
        <v>46447</v>
      </c>
      <c r="C2155" s="100" t="n">
        <v>46453</v>
      </c>
      <c r="D2155" s="99" t="s">
        <v>638</v>
      </c>
      <c r="E2155" s="99" t="n">
        <v>0</v>
      </c>
      <c r="F2155" s="101" t="n">
        <v>0</v>
      </c>
      <c r="G2155" s="102" t="n">
        <f aca="false">IFERROR(F2155/INDEX($G$5:$G$34,MATCH(LOOKUP(2,1/($A$39:A2155&lt;&gt;""),$A$39:A2155),$A$5:$A$34,0)),0)</f>
        <v>0</v>
      </c>
      <c r="H2155" s="103" t="str">
        <f aca="false">IF(G2155=0,"空闲",IF(G2155&lt;=0.6,"低负荷",IF(G2155&lt;=0.85,"正常",IF(G2155&lt;=1,"满负荷","超负荷"))))</f>
        <v>空闲</v>
      </c>
      <c r="I2155" s="104" t="s">
        <v>638</v>
      </c>
      <c r="J2155" s="104"/>
      <c r="K2155" s="104"/>
      <c r="L2155" s="105" t="s">
        <v>639</v>
      </c>
    </row>
    <row r="2156" customFormat="false" ht="48" hidden="false" customHeight="true" outlineLevel="0" collapsed="false">
      <c r="A2156" s="99"/>
      <c r="B2156" s="100" t="n">
        <v>46454</v>
      </c>
      <c r="C2156" s="100" t="n">
        <v>46460</v>
      </c>
      <c r="D2156" s="99" t="s">
        <v>638</v>
      </c>
      <c r="E2156" s="99" t="n">
        <v>0</v>
      </c>
      <c r="F2156" s="101" t="n">
        <v>0</v>
      </c>
      <c r="G2156" s="102" t="n">
        <f aca="false">IFERROR(F2156/INDEX($G$5:$G$34,MATCH(LOOKUP(2,1/($A$39:A2156&lt;&gt;""),$A$39:A2156),$A$5:$A$34,0)),0)</f>
        <v>0</v>
      </c>
      <c r="H2156" s="103" t="str">
        <f aca="false">IF(G2156=0,"空闲",IF(G2156&lt;=0.6,"低负荷",IF(G2156&lt;=0.85,"正常",IF(G2156&lt;=1,"满负荷","超负荷"))))</f>
        <v>空闲</v>
      </c>
      <c r="I2156" s="104" t="s">
        <v>638</v>
      </c>
      <c r="J2156" s="104"/>
      <c r="K2156" s="104"/>
      <c r="L2156" s="105" t="s">
        <v>639</v>
      </c>
    </row>
    <row r="2157" customFormat="false" ht="48" hidden="false" customHeight="true" outlineLevel="0" collapsed="false">
      <c r="A2157" s="99"/>
      <c r="B2157" s="100" t="n">
        <v>46461</v>
      </c>
      <c r="C2157" s="100" t="n">
        <v>46467</v>
      </c>
      <c r="D2157" s="99" t="s">
        <v>638</v>
      </c>
      <c r="E2157" s="99" t="n">
        <v>0</v>
      </c>
      <c r="F2157" s="101" t="n">
        <v>0</v>
      </c>
      <c r="G2157" s="102" t="n">
        <f aca="false">IFERROR(F2157/INDEX($G$5:$G$34,MATCH(LOOKUP(2,1/($A$39:A2157&lt;&gt;""),$A$39:A2157),$A$5:$A$34,0)),0)</f>
        <v>0</v>
      </c>
      <c r="H2157" s="103" t="str">
        <f aca="false">IF(G2157=0,"空闲",IF(G2157&lt;=0.6,"低负荷",IF(G2157&lt;=0.85,"正常",IF(G2157&lt;=1,"满负荷","超负荷"))))</f>
        <v>空闲</v>
      </c>
      <c r="I2157" s="104" t="s">
        <v>638</v>
      </c>
      <c r="J2157" s="104"/>
      <c r="K2157" s="104"/>
      <c r="L2157" s="105" t="s">
        <v>639</v>
      </c>
    </row>
    <row r="2158" customFormat="false" ht="48" hidden="false" customHeight="true" outlineLevel="0" collapsed="false">
      <c r="A2158" s="99"/>
      <c r="B2158" s="100" t="n">
        <v>46468</v>
      </c>
      <c r="C2158" s="100" t="n">
        <v>46474</v>
      </c>
      <c r="D2158" s="99" t="s">
        <v>638</v>
      </c>
      <c r="E2158" s="99" t="n">
        <v>0</v>
      </c>
      <c r="F2158" s="101" t="n">
        <v>0</v>
      </c>
      <c r="G2158" s="102" t="n">
        <f aca="false">IFERROR(F2158/INDEX($G$5:$G$34,MATCH(LOOKUP(2,1/($A$39:A2158&lt;&gt;""),$A$39:A2158),$A$5:$A$34,0)),0)</f>
        <v>0</v>
      </c>
      <c r="H2158" s="103" t="str">
        <f aca="false">IF(G2158=0,"空闲",IF(G2158&lt;=0.6,"低负荷",IF(G2158&lt;=0.85,"正常",IF(G2158&lt;=1,"满负荷","超负荷"))))</f>
        <v>空闲</v>
      </c>
      <c r="I2158" s="104" t="s">
        <v>638</v>
      </c>
      <c r="J2158" s="104"/>
      <c r="K2158" s="104"/>
      <c r="L2158" s="105" t="s">
        <v>639</v>
      </c>
    </row>
    <row r="2159" customFormat="false" ht="48" hidden="false" customHeight="true" outlineLevel="0" collapsed="false">
      <c r="A2159" s="99"/>
      <c r="B2159" s="100" t="n">
        <v>46475</v>
      </c>
      <c r="C2159" s="100" t="n">
        <v>46481</v>
      </c>
      <c r="D2159" s="99" t="s">
        <v>638</v>
      </c>
      <c r="E2159" s="99" t="n">
        <v>0</v>
      </c>
      <c r="F2159" s="101" t="n">
        <v>0</v>
      </c>
      <c r="G2159" s="102" t="n">
        <f aca="false">IFERROR(F2159/INDEX($G$5:$G$34,MATCH(LOOKUP(2,1/($A$39:A2159&lt;&gt;""),$A$39:A2159),$A$5:$A$34,0)),0)</f>
        <v>0</v>
      </c>
      <c r="H2159" s="103" t="str">
        <f aca="false">IF(G2159=0,"空闲",IF(G2159&lt;=0.6,"低负荷",IF(G2159&lt;=0.85,"正常",IF(G2159&lt;=1,"满负荷","超负荷"))))</f>
        <v>空闲</v>
      </c>
      <c r="I2159" s="104" t="s">
        <v>638</v>
      </c>
      <c r="J2159" s="104"/>
      <c r="K2159" s="104"/>
      <c r="L2159" s="105" t="s">
        <v>639</v>
      </c>
    </row>
    <row r="2160" customFormat="false" ht="48" hidden="false" customHeight="true" outlineLevel="0" collapsed="false">
      <c r="A2160" s="99"/>
      <c r="B2160" s="100" t="n">
        <v>46482</v>
      </c>
      <c r="C2160" s="100" t="n">
        <v>46488</v>
      </c>
      <c r="D2160" s="99" t="s">
        <v>638</v>
      </c>
      <c r="E2160" s="99" t="n">
        <v>0</v>
      </c>
      <c r="F2160" s="101" t="n">
        <v>0</v>
      </c>
      <c r="G2160" s="102" t="n">
        <f aca="false">IFERROR(F2160/INDEX($G$5:$G$34,MATCH(LOOKUP(2,1/($A$39:A2160&lt;&gt;""),$A$39:A2160),$A$5:$A$34,0)),0)</f>
        <v>0</v>
      </c>
      <c r="H2160" s="103" t="str">
        <f aca="false">IF(G2160=0,"空闲",IF(G2160&lt;=0.6,"低负荷",IF(G2160&lt;=0.85,"正常",IF(G2160&lt;=1,"满负荷","超负荷"))))</f>
        <v>空闲</v>
      </c>
      <c r="I2160" s="104" t="s">
        <v>638</v>
      </c>
      <c r="J2160" s="104"/>
      <c r="K2160" s="104"/>
      <c r="L2160" s="105" t="s">
        <v>639</v>
      </c>
    </row>
    <row r="2161" customFormat="false" ht="48" hidden="false" customHeight="true" outlineLevel="0" collapsed="false">
      <c r="A2161" s="99"/>
      <c r="B2161" s="100" t="n">
        <v>46489</v>
      </c>
      <c r="C2161" s="100" t="n">
        <v>46495</v>
      </c>
      <c r="D2161" s="99" t="s">
        <v>638</v>
      </c>
      <c r="E2161" s="99" t="n">
        <v>0</v>
      </c>
      <c r="F2161" s="101" t="n">
        <v>0</v>
      </c>
      <c r="G2161" s="102" t="n">
        <f aca="false">IFERROR(F2161/INDEX($G$5:$G$34,MATCH(LOOKUP(2,1/($A$39:A2161&lt;&gt;""),$A$39:A2161),$A$5:$A$34,0)),0)</f>
        <v>0</v>
      </c>
      <c r="H2161" s="103" t="str">
        <f aca="false">IF(G2161=0,"空闲",IF(G2161&lt;=0.6,"低负荷",IF(G2161&lt;=0.85,"正常",IF(G2161&lt;=1,"满负荷","超负荷"))))</f>
        <v>空闲</v>
      </c>
      <c r="I2161" s="104" t="s">
        <v>638</v>
      </c>
      <c r="J2161" s="104"/>
      <c r="K2161" s="104"/>
      <c r="L2161" s="105" t="s">
        <v>639</v>
      </c>
    </row>
    <row r="2162" customFormat="false" ht="48" hidden="false" customHeight="true" outlineLevel="0" collapsed="false">
      <c r="A2162" s="99"/>
      <c r="B2162" s="100" t="n">
        <v>46496</v>
      </c>
      <c r="C2162" s="100" t="n">
        <v>46502</v>
      </c>
      <c r="D2162" s="99" t="s">
        <v>638</v>
      </c>
      <c r="E2162" s="99" t="n">
        <v>0</v>
      </c>
      <c r="F2162" s="101" t="n">
        <v>0</v>
      </c>
      <c r="G2162" s="102" t="n">
        <f aca="false">IFERROR(F2162/INDEX($G$5:$G$34,MATCH(LOOKUP(2,1/($A$39:A2162&lt;&gt;""),$A$39:A2162),$A$5:$A$34,0)),0)</f>
        <v>0</v>
      </c>
      <c r="H2162" s="103" t="str">
        <f aca="false">IF(G2162=0,"空闲",IF(G2162&lt;=0.6,"低负荷",IF(G2162&lt;=0.85,"正常",IF(G2162&lt;=1,"满负荷","超负荷"))))</f>
        <v>空闲</v>
      </c>
      <c r="I2162" s="104" t="s">
        <v>638</v>
      </c>
      <c r="J2162" s="104"/>
      <c r="K2162" s="104"/>
      <c r="L2162" s="105" t="s">
        <v>639</v>
      </c>
    </row>
    <row r="2163" customFormat="false" ht="48" hidden="false" customHeight="true" outlineLevel="0" collapsed="false">
      <c r="A2163" s="99"/>
      <c r="B2163" s="100" t="n">
        <v>46503</v>
      </c>
      <c r="C2163" s="100" t="n">
        <v>46509</v>
      </c>
      <c r="D2163" s="99" t="s">
        <v>638</v>
      </c>
      <c r="E2163" s="99" t="n">
        <v>0</v>
      </c>
      <c r="F2163" s="101" t="n">
        <v>0</v>
      </c>
      <c r="G2163" s="102" t="n">
        <f aca="false">IFERROR(F2163/INDEX($G$5:$G$34,MATCH(LOOKUP(2,1/($A$39:A2163&lt;&gt;""),$A$39:A2163),$A$5:$A$34,0)),0)</f>
        <v>0</v>
      </c>
      <c r="H2163" s="103" t="str">
        <f aca="false">IF(G2163=0,"空闲",IF(G2163&lt;=0.6,"低负荷",IF(G2163&lt;=0.85,"正常",IF(G2163&lt;=1,"满负荷","超负荷"))))</f>
        <v>空闲</v>
      </c>
      <c r="I2163" s="104" t="s">
        <v>638</v>
      </c>
      <c r="J2163" s="104"/>
      <c r="K2163" s="104"/>
      <c r="L2163" s="105" t="s">
        <v>639</v>
      </c>
    </row>
    <row r="2164" customFormat="false" ht="48" hidden="false" customHeight="true" outlineLevel="0" collapsed="false">
      <c r="A2164" s="99"/>
      <c r="B2164" s="100" t="n">
        <v>46510</v>
      </c>
      <c r="C2164" s="100" t="n">
        <v>46516</v>
      </c>
      <c r="D2164" s="99" t="s">
        <v>638</v>
      </c>
      <c r="E2164" s="99" t="n">
        <v>0</v>
      </c>
      <c r="F2164" s="101" t="n">
        <v>0</v>
      </c>
      <c r="G2164" s="102" t="n">
        <f aca="false">IFERROR(F2164/INDEX($G$5:$G$34,MATCH(LOOKUP(2,1/($A$39:A2164&lt;&gt;""),$A$39:A2164),$A$5:$A$34,0)),0)</f>
        <v>0</v>
      </c>
      <c r="H2164" s="103" t="str">
        <f aca="false">IF(G2164=0,"空闲",IF(G2164&lt;=0.6,"低负荷",IF(G2164&lt;=0.85,"正常",IF(G2164&lt;=1,"满负荷","超负荷"))))</f>
        <v>空闲</v>
      </c>
      <c r="I2164" s="104" t="s">
        <v>638</v>
      </c>
      <c r="J2164" s="104"/>
      <c r="K2164" s="104"/>
      <c r="L2164" s="105" t="s">
        <v>639</v>
      </c>
    </row>
    <row r="2165" customFormat="false" ht="48" hidden="false" customHeight="true" outlineLevel="0" collapsed="false">
      <c r="A2165" s="99"/>
      <c r="B2165" s="100" t="n">
        <v>46517</v>
      </c>
      <c r="C2165" s="100" t="n">
        <v>46523</v>
      </c>
      <c r="D2165" s="99" t="s">
        <v>640</v>
      </c>
      <c r="E2165" s="99" t="n">
        <v>9</v>
      </c>
      <c r="F2165" s="101" t="n">
        <v>40</v>
      </c>
      <c r="G2165" s="102" t="n">
        <f aca="false">IFERROR(F2165/INDEX($G$5:$G$34,MATCH(LOOKUP(2,1/($A$39:A2165&lt;&gt;""),$A$39:A2165),$A$5:$A$34,0)),0)</f>
        <v>1</v>
      </c>
      <c r="H2165" s="103" t="str">
        <f aca="false">IF(G2165=0,"空闲",IF(G2165&lt;=0.6,"低负荷",IF(G2165&lt;=0.85,"正常",IF(G2165&lt;=1,"满负荷","超负荷"))))</f>
        <v>满负荷</v>
      </c>
      <c r="I2165" s="106" t="s">
        <v>776</v>
      </c>
      <c r="J2165" s="106"/>
      <c r="K2165" s="106"/>
      <c r="L2165" s="105" t="s">
        <v>688</v>
      </c>
    </row>
    <row r="2166" customFormat="false" ht="48" hidden="false" customHeight="true" outlineLevel="0" collapsed="false">
      <c r="A2166" s="99"/>
      <c r="B2166" s="100" t="n">
        <v>46524</v>
      </c>
      <c r="C2166" s="100" t="n">
        <v>46530</v>
      </c>
      <c r="D2166" s="99" t="s">
        <v>640</v>
      </c>
      <c r="E2166" s="99" t="n">
        <v>9</v>
      </c>
      <c r="F2166" s="101" t="n">
        <v>40</v>
      </c>
      <c r="G2166" s="102" t="n">
        <f aca="false">IFERROR(F2166/INDEX($G$5:$G$34,MATCH(LOOKUP(2,1/($A$39:A2166&lt;&gt;""),$A$39:A2166),$A$5:$A$34,0)),0)</f>
        <v>1</v>
      </c>
      <c r="H2166" s="103" t="str">
        <f aca="false">IF(G2166=0,"空闲",IF(G2166&lt;=0.6,"低负荷",IF(G2166&lt;=0.85,"正常",IF(G2166&lt;=1,"满负荷","超负荷"))))</f>
        <v>满负荷</v>
      </c>
      <c r="I2166" s="106" t="s">
        <v>777</v>
      </c>
      <c r="J2166" s="106"/>
      <c r="K2166" s="106"/>
      <c r="L2166" s="105" t="s">
        <v>688</v>
      </c>
    </row>
    <row r="2167" customFormat="false" ht="48" hidden="false" customHeight="true" outlineLevel="0" collapsed="false">
      <c r="A2167" s="99"/>
      <c r="B2167" s="100" t="n">
        <v>46531</v>
      </c>
      <c r="C2167" s="100" t="n">
        <v>46537</v>
      </c>
      <c r="D2167" s="99" t="s">
        <v>640</v>
      </c>
      <c r="E2167" s="99" t="n">
        <v>8</v>
      </c>
      <c r="F2167" s="101" t="n">
        <v>40</v>
      </c>
      <c r="G2167" s="102" t="n">
        <f aca="false">IFERROR(F2167/INDEX($G$5:$G$34,MATCH(LOOKUP(2,1/($A$39:A2167&lt;&gt;""),$A$39:A2167),$A$5:$A$34,0)),0)</f>
        <v>1</v>
      </c>
      <c r="H2167" s="103" t="str">
        <f aca="false">IF(G2167=0,"空闲",IF(G2167&lt;=0.6,"低负荷",IF(G2167&lt;=0.85,"正常",IF(G2167&lt;=1,"满负荷","超负荷"))))</f>
        <v>满负荷</v>
      </c>
      <c r="I2167" s="106" t="s">
        <v>778</v>
      </c>
      <c r="J2167" s="106"/>
      <c r="K2167" s="106"/>
      <c r="L2167" s="105" t="s">
        <v>674</v>
      </c>
    </row>
    <row r="2168" customFormat="false" ht="48" hidden="false" customHeight="true" outlineLevel="0" collapsed="false">
      <c r="A2168" s="99"/>
      <c r="B2168" s="100" t="n">
        <v>46538</v>
      </c>
      <c r="C2168" s="100" t="n">
        <v>46544</v>
      </c>
      <c r="D2168" s="99" t="s">
        <v>640</v>
      </c>
      <c r="E2168" s="99" t="n">
        <v>1</v>
      </c>
      <c r="F2168" s="101" t="n">
        <v>40</v>
      </c>
      <c r="G2168" s="102" t="n">
        <f aca="false">IFERROR(F2168/INDEX($G$5:$G$34,MATCH(LOOKUP(2,1/($A$39:A2168&lt;&gt;""),$A$39:A2168),$A$5:$A$34,0)),0)</f>
        <v>1</v>
      </c>
      <c r="H2168" s="103" t="str">
        <f aca="false">IF(G2168=0,"空闲",IF(G2168&lt;=0.6,"低负荷",IF(G2168&lt;=0.85,"正常",IF(G2168&lt;=1,"满负荷","超负荷"))))</f>
        <v>满负荷</v>
      </c>
      <c r="I2168" s="106" t="s">
        <v>779</v>
      </c>
      <c r="J2168" s="106"/>
      <c r="K2168" s="106"/>
      <c r="L2168" s="105" t="s">
        <v>642</v>
      </c>
    </row>
  </sheetData>
  <mergeCells count="2165">
    <mergeCell ref="A1:L1"/>
    <mergeCell ref="A2:L2"/>
    <mergeCell ref="A36:L36"/>
    <mergeCell ref="A37:K37"/>
    <mergeCell ref="I38:K38"/>
    <mergeCell ref="A39:A109"/>
    <mergeCell ref="I39:K39"/>
    <mergeCell ref="I40:K40"/>
    <mergeCell ref="I41:K41"/>
    <mergeCell ref="I42:K42"/>
    <mergeCell ref="I43:K43"/>
    <mergeCell ref="I44:K44"/>
    <mergeCell ref="I45:K45"/>
    <mergeCell ref="I46:K46"/>
    <mergeCell ref="I47:K47"/>
    <mergeCell ref="I48:K48"/>
    <mergeCell ref="I49:K49"/>
    <mergeCell ref="I50:K50"/>
    <mergeCell ref="I51:K51"/>
    <mergeCell ref="I52:K52"/>
    <mergeCell ref="I53:K53"/>
    <mergeCell ref="I54:K54"/>
    <mergeCell ref="I55:K55"/>
    <mergeCell ref="I56:K56"/>
    <mergeCell ref="I57:K57"/>
    <mergeCell ref="I58:K58"/>
    <mergeCell ref="I59:K59"/>
    <mergeCell ref="I60:K60"/>
    <mergeCell ref="I61:K61"/>
    <mergeCell ref="I62:K62"/>
    <mergeCell ref="I63:K63"/>
    <mergeCell ref="I64:K64"/>
    <mergeCell ref="I65:K65"/>
    <mergeCell ref="I66:K66"/>
    <mergeCell ref="I67:K67"/>
    <mergeCell ref="I68:K68"/>
    <mergeCell ref="I69:K69"/>
    <mergeCell ref="I70:K70"/>
    <mergeCell ref="I71:K71"/>
    <mergeCell ref="I72:K72"/>
    <mergeCell ref="I73:K73"/>
    <mergeCell ref="I74:K74"/>
    <mergeCell ref="I75:K75"/>
    <mergeCell ref="I76:K76"/>
    <mergeCell ref="I77:K77"/>
    <mergeCell ref="I78:K78"/>
    <mergeCell ref="I79:K79"/>
    <mergeCell ref="I80:K80"/>
    <mergeCell ref="I81:K81"/>
    <mergeCell ref="I82:K82"/>
    <mergeCell ref="I83:K83"/>
    <mergeCell ref="I84:K84"/>
    <mergeCell ref="I85:K85"/>
    <mergeCell ref="I86:K86"/>
    <mergeCell ref="I87:K87"/>
    <mergeCell ref="I88:K88"/>
    <mergeCell ref="I89:K89"/>
    <mergeCell ref="I90:K90"/>
    <mergeCell ref="I91:K91"/>
    <mergeCell ref="I92:K92"/>
    <mergeCell ref="I93:K93"/>
    <mergeCell ref="I94:K94"/>
    <mergeCell ref="I95:K95"/>
    <mergeCell ref="I96:K96"/>
    <mergeCell ref="I97:K97"/>
    <mergeCell ref="I98:K98"/>
    <mergeCell ref="I99:K99"/>
    <mergeCell ref="I100:K100"/>
    <mergeCell ref="I101:K101"/>
    <mergeCell ref="I102:K102"/>
    <mergeCell ref="I103:K103"/>
    <mergeCell ref="I104:K104"/>
    <mergeCell ref="I105:K105"/>
    <mergeCell ref="I106:K106"/>
    <mergeCell ref="I107:K107"/>
    <mergeCell ref="I108:K108"/>
    <mergeCell ref="I109:K109"/>
    <mergeCell ref="A110:A180"/>
    <mergeCell ref="I110:K110"/>
    <mergeCell ref="I111:K111"/>
    <mergeCell ref="I112:K112"/>
    <mergeCell ref="I113:K113"/>
    <mergeCell ref="I114:K114"/>
    <mergeCell ref="I115:K115"/>
    <mergeCell ref="I116:K116"/>
    <mergeCell ref="I117:K117"/>
    <mergeCell ref="I118:K118"/>
    <mergeCell ref="I119:K119"/>
    <mergeCell ref="I120:K120"/>
    <mergeCell ref="I121:K121"/>
    <mergeCell ref="I122:K122"/>
    <mergeCell ref="I123:K123"/>
    <mergeCell ref="I124:K124"/>
    <mergeCell ref="I125:K125"/>
    <mergeCell ref="I126:K126"/>
    <mergeCell ref="I127:K127"/>
    <mergeCell ref="I128:K128"/>
    <mergeCell ref="I129:K129"/>
    <mergeCell ref="I130:K130"/>
    <mergeCell ref="I131:K131"/>
    <mergeCell ref="I132:K132"/>
    <mergeCell ref="I133:K133"/>
    <mergeCell ref="I134:K134"/>
    <mergeCell ref="I135:K135"/>
    <mergeCell ref="I136:K136"/>
    <mergeCell ref="I137:K137"/>
    <mergeCell ref="I138:K138"/>
    <mergeCell ref="I139:K139"/>
    <mergeCell ref="I140:K140"/>
    <mergeCell ref="I141:K141"/>
    <mergeCell ref="I142:K142"/>
    <mergeCell ref="I143:K143"/>
    <mergeCell ref="I144:K144"/>
    <mergeCell ref="I145:K145"/>
    <mergeCell ref="I146:K146"/>
    <mergeCell ref="I147:K147"/>
    <mergeCell ref="I148:K148"/>
    <mergeCell ref="I149:K149"/>
    <mergeCell ref="I150:K150"/>
    <mergeCell ref="I151:K151"/>
    <mergeCell ref="I152:K152"/>
    <mergeCell ref="I153:K153"/>
    <mergeCell ref="I154:K154"/>
    <mergeCell ref="I155:K155"/>
    <mergeCell ref="I156:K156"/>
    <mergeCell ref="I157:K157"/>
    <mergeCell ref="I158:K158"/>
    <mergeCell ref="I159:K159"/>
    <mergeCell ref="I160:K160"/>
    <mergeCell ref="I161:K161"/>
    <mergeCell ref="I162:K162"/>
    <mergeCell ref="I163:K163"/>
    <mergeCell ref="I164:K164"/>
    <mergeCell ref="I165:K165"/>
    <mergeCell ref="I166:K166"/>
    <mergeCell ref="I167:K167"/>
    <mergeCell ref="I168:K168"/>
    <mergeCell ref="I169:K169"/>
    <mergeCell ref="I170:K170"/>
    <mergeCell ref="I171:K171"/>
    <mergeCell ref="I172:K172"/>
    <mergeCell ref="I173:K173"/>
    <mergeCell ref="I174:K174"/>
    <mergeCell ref="I175:K175"/>
    <mergeCell ref="I176:K176"/>
    <mergeCell ref="I177:K177"/>
    <mergeCell ref="I178:K178"/>
    <mergeCell ref="I179:K179"/>
    <mergeCell ref="I180:K180"/>
    <mergeCell ref="A181:A251"/>
    <mergeCell ref="I181:K181"/>
    <mergeCell ref="I182:K182"/>
    <mergeCell ref="I183:K183"/>
    <mergeCell ref="I184:K184"/>
    <mergeCell ref="I185:K185"/>
    <mergeCell ref="I186:K186"/>
    <mergeCell ref="I187:K187"/>
    <mergeCell ref="I188:K188"/>
    <mergeCell ref="I189:K189"/>
    <mergeCell ref="I190:K190"/>
    <mergeCell ref="I191:K191"/>
    <mergeCell ref="I192:K192"/>
    <mergeCell ref="I193:K193"/>
    <mergeCell ref="I194:K194"/>
    <mergeCell ref="I195:K195"/>
    <mergeCell ref="I196:K196"/>
    <mergeCell ref="I197:K197"/>
    <mergeCell ref="I198:K198"/>
    <mergeCell ref="I199:K199"/>
    <mergeCell ref="I200:K200"/>
    <mergeCell ref="I201:K201"/>
    <mergeCell ref="I202:K202"/>
    <mergeCell ref="I203:K203"/>
    <mergeCell ref="I204:K204"/>
    <mergeCell ref="I205:K205"/>
    <mergeCell ref="I206:K206"/>
    <mergeCell ref="I207:K207"/>
    <mergeCell ref="I208:K208"/>
    <mergeCell ref="I209:K209"/>
    <mergeCell ref="I210:K210"/>
    <mergeCell ref="I211:K211"/>
    <mergeCell ref="I212:K212"/>
    <mergeCell ref="I213:K213"/>
    <mergeCell ref="I214:K214"/>
    <mergeCell ref="I215:K215"/>
    <mergeCell ref="I216:K216"/>
    <mergeCell ref="I217:K217"/>
    <mergeCell ref="I218:K218"/>
    <mergeCell ref="I219:K219"/>
    <mergeCell ref="I220:K220"/>
    <mergeCell ref="I221:K221"/>
    <mergeCell ref="I222:K222"/>
    <mergeCell ref="I223:K223"/>
    <mergeCell ref="I224:K224"/>
    <mergeCell ref="I225:K225"/>
    <mergeCell ref="I226:K226"/>
    <mergeCell ref="I227:K227"/>
    <mergeCell ref="I228:K228"/>
    <mergeCell ref="I229:K229"/>
    <mergeCell ref="I230:K230"/>
    <mergeCell ref="I231:K231"/>
    <mergeCell ref="I232:K232"/>
    <mergeCell ref="I233:K233"/>
    <mergeCell ref="I234:K234"/>
    <mergeCell ref="I235:K235"/>
    <mergeCell ref="I236:K236"/>
    <mergeCell ref="I237:K237"/>
    <mergeCell ref="I238:K238"/>
    <mergeCell ref="I239:K239"/>
    <mergeCell ref="I240:K240"/>
    <mergeCell ref="I241:K241"/>
    <mergeCell ref="I242:K242"/>
    <mergeCell ref="I243:K243"/>
    <mergeCell ref="I244:K244"/>
    <mergeCell ref="I245:K245"/>
    <mergeCell ref="I246:K246"/>
    <mergeCell ref="I247:K247"/>
    <mergeCell ref="I248:K248"/>
    <mergeCell ref="I249:K249"/>
    <mergeCell ref="I250:K250"/>
    <mergeCell ref="I251:K251"/>
    <mergeCell ref="A252:A322"/>
    <mergeCell ref="I252:K252"/>
    <mergeCell ref="I253:K253"/>
    <mergeCell ref="I254:K254"/>
    <mergeCell ref="I255:K255"/>
    <mergeCell ref="I256:K256"/>
    <mergeCell ref="I257:K257"/>
    <mergeCell ref="I258:K258"/>
    <mergeCell ref="I259:K259"/>
    <mergeCell ref="I260:K260"/>
    <mergeCell ref="I261:K261"/>
    <mergeCell ref="I262:K262"/>
    <mergeCell ref="I263:K263"/>
    <mergeCell ref="I264:K264"/>
    <mergeCell ref="I265:K265"/>
    <mergeCell ref="I266:K266"/>
    <mergeCell ref="I267:K267"/>
    <mergeCell ref="I268:K268"/>
    <mergeCell ref="I269:K269"/>
    <mergeCell ref="I270:K270"/>
    <mergeCell ref="I271:K271"/>
    <mergeCell ref="I272:K272"/>
    <mergeCell ref="I273:K273"/>
    <mergeCell ref="I274:K274"/>
    <mergeCell ref="I275:K275"/>
    <mergeCell ref="I276:K276"/>
    <mergeCell ref="I277:K277"/>
    <mergeCell ref="I278:K278"/>
    <mergeCell ref="I279:K279"/>
    <mergeCell ref="I280:K280"/>
    <mergeCell ref="I281:K281"/>
    <mergeCell ref="I282:K282"/>
    <mergeCell ref="I283:K283"/>
    <mergeCell ref="I284:K284"/>
    <mergeCell ref="I285:K285"/>
    <mergeCell ref="I286:K286"/>
    <mergeCell ref="I287:K287"/>
    <mergeCell ref="I288:K288"/>
    <mergeCell ref="I289:K289"/>
    <mergeCell ref="I290:K290"/>
    <mergeCell ref="I291:K291"/>
    <mergeCell ref="I292:K292"/>
    <mergeCell ref="I293:K293"/>
    <mergeCell ref="I294:K294"/>
    <mergeCell ref="I295:K295"/>
    <mergeCell ref="I296:K296"/>
    <mergeCell ref="I297:K297"/>
    <mergeCell ref="I298:K298"/>
    <mergeCell ref="I299:K299"/>
    <mergeCell ref="I300:K300"/>
    <mergeCell ref="I301:K301"/>
    <mergeCell ref="I302:K302"/>
    <mergeCell ref="I303:K303"/>
    <mergeCell ref="I304:K304"/>
    <mergeCell ref="I305:K305"/>
    <mergeCell ref="I306:K306"/>
    <mergeCell ref="I307:K307"/>
    <mergeCell ref="I308:K308"/>
    <mergeCell ref="I309:K309"/>
    <mergeCell ref="I310:K310"/>
    <mergeCell ref="I311:K311"/>
    <mergeCell ref="I312:K312"/>
    <mergeCell ref="I313:K313"/>
    <mergeCell ref="I314:K314"/>
    <mergeCell ref="I315:K315"/>
    <mergeCell ref="I316:K316"/>
    <mergeCell ref="I317:K317"/>
    <mergeCell ref="I318:K318"/>
    <mergeCell ref="I319:K319"/>
    <mergeCell ref="I320:K320"/>
    <mergeCell ref="I321:K321"/>
    <mergeCell ref="I322:K322"/>
    <mergeCell ref="A323:A393"/>
    <mergeCell ref="I323:K323"/>
    <mergeCell ref="I324:K324"/>
    <mergeCell ref="I325:K325"/>
    <mergeCell ref="I326:K326"/>
    <mergeCell ref="I327:K327"/>
    <mergeCell ref="I328:K328"/>
    <mergeCell ref="I329:K329"/>
    <mergeCell ref="I330:K330"/>
    <mergeCell ref="I331:K331"/>
    <mergeCell ref="I332:K332"/>
    <mergeCell ref="I333:K333"/>
    <mergeCell ref="I334:K334"/>
    <mergeCell ref="I335:K335"/>
    <mergeCell ref="I336:K336"/>
    <mergeCell ref="I337:K337"/>
    <mergeCell ref="I338:K338"/>
    <mergeCell ref="I339:K339"/>
    <mergeCell ref="I340:K340"/>
    <mergeCell ref="I341:K341"/>
    <mergeCell ref="I342:K342"/>
    <mergeCell ref="I343:K343"/>
    <mergeCell ref="I344:K344"/>
    <mergeCell ref="I345:K345"/>
    <mergeCell ref="I346:K346"/>
    <mergeCell ref="I347:K347"/>
    <mergeCell ref="I348:K348"/>
    <mergeCell ref="I349:K349"/>
    <mergeCell ref="I350:K350"/>
    <mergeCell ref="I351:K351"/>
    <mergeCell ref="I352:K352"/>
    <mergeCell ref="I353:K353"/>
    <mergeCell ref="I354:K354"/>
    <mergeCell ref="I355:K355"/>
    <mergeCell ref="I356:K356"/>
    <mergeCell ref="I357:K357"/>
    <mergeCell ref="I358:K358"/>
    <mergeCell ref="I359:K359"/>
    <mergeCell ref="I360:K360"/>
    <mergeCell ref="I361:K361"/>
    <mergeCell ref="I362:K362"/>
    <mergeCell ref="I363:K363"/>
    <mergeCell ref="I364:K364"/>
    <mergeCell ref="I365:K365"/>
    <mergeCell ref="I366:K366"/>
    <mergeCell ref="I367:K367"/>
    <mergeCell ref="I368:K368"/>
    <mergeCell ref="I369:K369"/>
    <mergeCell ref="I370:K370"/>
    <mergeCell ref="I371:K371"/>
    <mergeCell ref="I372:K372"/>
    <mergeCell ref="I373:K373"/>
    <mergeCell ref="I374:K374"/>
    <mergeCell ref="I375:K375"/>
    <mergeCell ref="I376:K376"/>
    <mergeCell ref="I377:K377"/>
    <mergeCell ref="I378:K378"/>
    <mergeCell ref="I379:K379"/>
    <mergeCell ref="I380:K380"/>
    <mergeCell ref="I381:K381"/>
    <mergeCell ref="I382:K382"/>
    <mergeCell ref="I383:K383"/>
    <mergeCell ref="I384:K384"/>
    <mergeCell ref="I385:K385"/>
    <mergeCell ref="I386:K386"/>
    <mergeCell ref="I387:K387"/>
    <mergeCell ref="I388:K388"/>
    <mergeCell ref="I389:K389"/>
    <mergeCell ref="I390:K390"/>
    <mergeCell ref="I391:K391"/>
    <mergeCell ref="I392:K392"/>
    <mergeCell ref="I393:K393"/>
    <mergeCell ref="A394:A464"/>
    <mergeCell ref="I394:K394"/>
    <mergeCell ref="I395:K395"/>
    <mergeCell ref="I396:K396"/>
    <mergeCell ref="I397:K397"/>
    <mergeCell ref="I398:K398"/>
    <mergeCell ref="I399:K399"/>
    <mergeCell ref="I400:K400"/>
    <mergeCell ref="I401:K401"/>
    <mergeCell ref="I402:K402"/>
    <mergeCell ref="I403:K403"/>
    <mergeCell ref="I404:K404"/>
    <mergeCell ref="I405:K405"/>
    <mergeCell ref="I406:K406"/>
    <mergeCell ref="I407:K407"/>
    <mergeCell ref="I408:K408"/>
    <mergeCell ref="I409:K409"/>
    <mergeCell ref="I410:K410"/>
    <mergeCell ref="I411:K411"/>
    <mergeCell ref="I412:K412"/>
    <mergeCell ref="I413:K413"/>
    <mergeCell ref="I414:K414"/>
    <mergeCell ref="I415:K415"/>
    <mergeCell ref="I416:K416"/>
    <mergeCell ref="I417:K417"/>
    <mergeCell ref="I418:K418"/>
    <mergeCell ref="I419:K419"/>
    <mergeCell ref="I420:K420"/>
    <mergeCell ref="I421:K421"/>
    <mergeCell ref="I422:K422"/>
    <mergeCell ref="I423:K423"/>
    <mergeCell ref="I424:K424"/>
    <mergeCell ref="I425:K425"/>
    <mergeCell ref="I426:K426"/>
    <mergeCell ref="I427:K427"/>
    <mergeCell ref="I428:K428"/>
    <mergeCell ref="I429:K429"/>
    <mergeCell ref="I430:K430"/>
    <mergeCell ref="I431:K431"/>
    <mergeCell ref="I432:K432"/>
    <mergeCell ref="I433:K433"/>
    <mergeCell ref="I434:K434"/>
    <mergeCell ref="I435:K435"/>
    <mergeCell ref="I436:K436"/>
    <mergeCell ref="I437:K437"/>
    <mergeCell ref="I438:K438"/>
    <mergeCell ref="I439:K439"/>
    <mergeCell ref="I440:K440"/>
    <mergeCell ref="I441:K441"/>
    <mergeCell ref="I442:K442"/>
    <mergeCell ref="I443:K443"/>
    <mergeCell ref="I444:K444"/>
    <mergeCell ref="I445:K445"/>
    <mergeCell ref="I446:K446"/>
    <mergeCell ref="I447:K447"/>
    <mergeCell ref="I448:K448"/>
    <mergeCell ref="I449:K449"/>
    <mergeCell ref="I450:K450"/>
    <mergeCell ref="I451:K451"/>
    <mergeCell ref="I452:K452"/>
    <mergeCell ref="I453:K453"/>
    <mergeCell ref="I454:K454"/>
    <mergeCell ref="I455:K455"/>
    <mergeCell ref="I456:K456"/>
    <mergeCell ref="I457:K457"/>
    <mergeCell ref="I458:K458"/>
    <mergeCell ref="I459:K459"/>
    <mergeCell ref="I460:K460"/>
    <mergeCell ref="I461:K461"/>
    <mergeCell ref="I462:K462"/>
    <mergeCell ref="I463:K463"/>
    <mergeCell ref="I464:K464"/>
    <mergeCell ref="A465:A535"/>
    <mergeCell ref="I465:K465"/>
    <mergeCell ref="I466:K466"/>
    <mergeCell ref="I467:K467"/>
    <mergeCell ref="I468:K468"/>
    <mergeCell ref="I469:K469"/>
    <mergeCell ref="I470:K470"/>
    <mergeCell ref="I471:K471"/>
    <mergeCell ref="I472:K472"/>
    <mergeCell ref="I473:K473"/>
    <mergeCell ref="I474:K474"/>
    <mergeCell ref="I475:K475"/>
    <mergeCell ref="I476:K476"/>
    <mergeCell ref="I477:K477"/>
    <mergeCell ref="I478:K478"/>
    <mergeCell ref="I479:K479"/>
    <mergeCell ref="I480:K480"/>
    <mergeCell ref="I481:K481"/>
    <mergeCell ref="I482:K482"/>
    <mergeCell ref="I483:K483"/>
    <mergeCell ref="I484:K484"/>
    <mergeCell ref="I485:K485"/>
    <mergeCell ref="I486:K486"/>
    <mergeCell ref="I487:K487"/>
    <mergeCell ref="I488:K488"/>
    <mergeCell ref="I489:K489"/>
    <mergeCell ref="I490:K490"/>
    <mergeCell ref="I491:K491"/>
    <mergeCell ref="I492:K492"/>
    <mergeCell ref="I493:K493"/>
    <mergeCell ref="I494:K494"/>
    <mergeCell ref="I495:K495"/>
    <mergeCell ref="I496:K496"/>
    <mergeCell ref="I497:K497"/>
    <mergeCell ref="I498:K498"/>
    <mergeCell ref="I499:K499"/>
    <mergeCell ref="I500:K500"/>
    <mergeCell ref="I501:K501"/>
    <mergeCell ref="I502:K502"/>
    <mergeCell ref="I503:K503"/>
    <mergeCell ref="I504:K504"/>
    <mergeCell ref="I505:K505"/>
    <mergeCell ref="I506:K506"/>
    <mergeCell ref="I507:K507"/>
    <mergeCell ref="I508:K508"/>
    <mergeCell ref="I509:K509"/>
    <mergeCell ref="I510:K510"/>
    <mergeCell ref="I511:K511"/>
    <mergeCell ref="I512:K512"/>
    <mergeCell ref="I513:K513"/>
    <mergeCell ref="I514:K514"/>
    <mergeCell ref="I515:K515"/>
    <mergeCell ref="I516:K516"/>
    <mergeCell ref="I517:K517"/>
    <mergeCell ref="I518:K518"/>
    <mergeCell ref="I519:K519"/>
    <mergeCell ref="I520:K520"/>
    <mergeCell ref="I521:K521"/>
    <mergeCell ref="I522:K522"/>
    <mergeCell ref="I523:K523"/>
    <mergeCell ref="I524:K524"/>
    <mergeCell ref="I525:K525"/>
    <mergeCell ref="I526:K526"/>
    <mergeCell ref="I527:K527"/>
    <mergeCell ref="I528:K528"/>
    <mergeCell ref="I529:K529"/>
    <mergeCell ref="I530:K530"/>
    <mergeCell ref="I531:K531"/>
    <mergeCell ref="I532:K532"/>
    <mergeCell ref="I533:K533"/>
    <mergeCell ref="I534:K534"/>
    <mergeCell ref="I535:K535"/>
    <mergeCell ref="A536:A606"/>
    <mergeCell ref="I536:K536"/>
    <mergeCell ref="I537:K537"/>
    <mergeCell ref="I538:K538"/>
    <mergeCell ref="I539:K539"/>
    <mergeCell ref="I540:K540"/>
    <mergeCell ref="I541:K541"/>
    <mergeCell ref="I542:K542"/>
    <mergeCell ref="I543:K543"/>
    <mergeCell ref="I544:K544"/>
    <mergeCell ref="I545:K545"/>
    <mergeCell ref="I546:K546"/>
    <mergeCell ref="I547:K547"/>
    <mergeCell ref="I548:K548"/>
    <mergeCell ref="I549:K549"/>
    <mergeCell ref="I550:K550"/>
    <mergeCell ref="I551:K551"/>
    <mergeCell ref="I552:K552"/>
    <mergeCell ref="I553:K553"/>
    <mergeCell ref="I554:K554"/>
    <mergeCell ref="I555:K555"/>
    <mergeCell ref="I556:K556"/>
    <mergeCell ref="I557:K557"/>
    <mergeCell ref="I558:K558"/>
    <mergeCell ref="I559:K559"/>
    <mergeCell ref="I560:K560"/>
    <mergeCell ref="I561:K561"/>
    <mergeCell ref="I562:K562"/>
    <mergeCell ref="I563:K563"/>
    <mergeCell ref="I564:K564"/>
    <mergeCell ref="I565:K565"/>
    <mergeCell ref="I566:K566"/>
    <mergeCell ref="I567:K567"/>
    <mergeCell ref="I568:K568"/>
    <mergeCell ref="I569:K569"/>
    <mergeCell ref="I570:K570"/>
    <mergeCell ref="I571:K571"/>
    <mergeCell ref="I572:K572"/>
    <mergeCell ref="I573:K573"/>
    <mergeCell ref="I574:K574"/>
    <mergeCell ref="I575:K575"/>
    <mergeCell ref="I576:K576"/>
    <mergeCell ref="I577:K577"/>
    <mergeCell ref="I578:K578"/>
    <mergeCell ref="I579:K579"/>
    <mergeCell ref="I580:K580"/>
    <mergeCell ref="I581:K581"/>
    <mergeCell ref="I582:K582"/>
    <mergeCell ref="I583:K583"/>
    <mergeCell ref="I584:K584"/>
    <mergeCell ref="I585:K585"/>
    <mergeCell ref="I586:K586"/>
    <mergeCell ref="I587:K587"/>
    <mergeCell ref="I588:K588"/>
    <mergeCell ref="I589:K589"/>
    <mergeCell ref="I590:K590"/>
    <mergeCell ref="I591:K591"/>
    <mergeCell ref="I592:K592"/>
    <mergeCell ref="I593:K593"/>
    <mergeCell ref="I594:K594"/>
    <mergeCell ref="I595:K595"/>
    <mergeCell ref="I596:K596"/>
    <mergeCell ref="I597:K597"/>
    <mergeCell ref="I598:K598"/>
    <mergeCell ref="I599:K599"/>
    <mergeCell ref="I600:K600"/>
    <mergeCell ref="I601:K601"/>
    <mergeCell ref="I602:K602"/>
    <mergeCell ref="I603:K603"/>
    <mergeCell ref="I604:K604"/>
    <mergeCell ref="I605:K605"/>
    <mergeCell ref="I606:K606"/>
    <mergeCell ref="A607:A677"/>
    <mergeCell ref="I607:K607"/>
    <mergeCell ref="I608:K608"/>
    <mergeCell ref="I609:K609"/>
    <mergeCell ref="I610:K610"/>
    <mergeCell ref="I611:K611"/>
    <mergeCell ref="I612:K612"/>
    <mergeCell ref="I613:K613"/>
    <mergeCell ref="I614:K614"/>
    <mergeCell ref="I615:K615"/>
    <mergeCell ref="I616:K616"/>
    <mergeCell ref="I617:K617"/>
    <mergeCell ref="I618:K618"/>
    <mergeCell ref="I619:K619"/>
    <mergeCell ref="I620:K620"/>
    <mergeCell ref="I621:K621"/>
    <mergeCell ref="I622:K622"/>
    <mergeCell ref="I623:K623"/>
    <mergeCell ref="I624:K624"/>
    <mergeCell ref="I625:K625"/>
    <mergeCell ref="I626:K626"/>
    <mergeCell ref="I627:K627"/>
    <mergeCell ref="I628:K628"/>
    <mergeCell ref="I629:K629"/>
    <mergeCell ref="I630:K630"/>
    <mergeCell ref="I631:K631"/>
    <mergeCell ref="I632:K632"/>
    <mergeCell ref="I633:K633"/>
    <mergeCell ref="I634:K634"/>
    <mergeCell ref="I635:K635"/>
    <mergeCell ref="I636:K636"/>
    <mergeCell ref="I637:K637"/>
    <mergeCell ref="I638:K638"/>
    <mergeCell ref="I639:K639"/>
    <mergeCell ref="I640:K640"/>
    <mergeCell ref="I641:K641"/>
    <mergeCell ref="I642:K642"/>
    <mergeCell ref="I643:K643"/>
    <mergeCell ref="I644:K644"/>
    <mergeCell ref="I645:K645"/>
    <mergeCell ref="I646:K646"/>
    <mergeCell ref="I647:K647"/>
    <mergeCell ref="I648:K648"/>
    <mergeCell ref="I649:K649"/>
    <mergeCell ref="I650:K650"/>
    <mergeCell ref="I651:K651"/>
    <mergeCell ref="I652:K652"/>
    <mergeCell ref="I653:K653"/>
    <mergeCell ref="I654:K654"/>
    <mergeCell ref="I655:K655"/>
    <mergeCell ref="I656:K656"/>
    <mergeCell ref="I657:K657"/>
    <mergeCell ref="I658:K658"/>
    <mergeCell ref="I659:K659"/>
    <mergeCell ref="I660:K660"/>
    <mergeCell ref="I661:K661"/>
    <mergeCell ref="I662:K662"/>
    <mergeCell ref="I663:K663"/>
    <mergeCell ref="I664:K664"/>
    <mergeCell ref="I665:K665"/>
    <mergeCell ref="I666:K666"/>
    <mergeCell ref="I667:K667"/>
    <mergeCell ref="I668:K668"/>
    <mergeCell ref="I669:K669"/>
    <mergeCell ref="I670:K670"/>
    <mergeCell ref="I671:K671"/>
    <mergeCell ref="I672:K672"/>
    <mergeCell ref="I673:K673"/>
    <mergeCell ref="I674:K674"/>
    <mergeCell ref="I675:K675"/>
    <mergeCell ref="I676:K676"/>
    <mergeCell ref="I677:K677"/>
    <mergeCell ref="A678:A748"/>
    <mergeCell ref="I678:K678"/>
    <mergeCell ref="I679:K679"/>
    <mergeCell ref="I680:K680"/>
    <mergeCell ref="I681:K681"/>
    <mergeCell ref="I682:K682"/>
    <mergeCell ref="I683:K683"/>
    <mergeCell ref="I684:K684"/>
    <mergeCell ref="I685:K685"/>
    <mergeCell ref="I686:K686"/>
    <mergeCell ref="I687:K687"/>
    <mergeCell ref="I688:K688"/>
    <mergeCell ref="I689:K689"/>
    <mergeCell ref="I690:K690"/>
    <mergeCell ref="I691:K691"/>
    <mergeCell ref="I692:K692"/>
    <mergeCell ref="I693:K693"/>
    <mergeCell ref="I694:K694"/>
    <mergeCell ref="I695:K695"/>
    <mergeCell ref="I696:K696"/>
    <mergeCell ref="I697:K697"/>
    <mergeCell ref="I698:K698"/>
    <mergeCell ref="I699:K699"/>
    <mergeCell ref="I700:K700"/>
    <mergeCell ref="I701:K701"/>
    <mergeCell ref="I702:K702"/>
    <mergeCell ref="I703:K703"/>
    <mergeCell ref="I704:K704"/>
    <mergeCell ref="I705:K705"/>
    <mergeCell ref="I706:K706"/>
    <mergeCell ref="I707:K707"/>
    <mergeCell ref="I708:K708"/>
    <mergeCell ref="I709:K709"/>
    <mergeCell ref="I710:K710"/>
    <mergeCell ref="I711:K711"/>
    <mergeCell ref="I712:K712"/>
    <mergeCell ref="I713:K713"/>
    <mergeCell ref="I714:K714"/>
    <mergeCell ref="I715:K715"/>
    <mergeCell ref="I716:K716"/>
    <mergeCell ref="I717:K717"/>
    <mergeCell ref="I718:K718"/>
    <mergeCell ref="I719:K719"/>
    <mergeCell ref="I720:K720"/>
    <mergeCell ref="I721:K721"/>
    <mergeCell ref="I722:K722"/>
    <mergeCell ref="I723:K723"/>
    <mergeCell ref="I724:K724"/>
    <mergeCell ref="I725:K725"/>
    <mergeCell ref="I726:K726"/>
    <mergeCell ref="I727:K727"/>
    <mergeCell ref="I728:K728"/>
    <mergeCell ref="I729:K729"/>
    <mergeCell ref="I730:K730"/>
    <mergeCell ref="I731:K731"/>
    <mergeCell ref="I732:K732"/>
    <mergeCell ref="I733:K733"/>
    <mergeCell ref="I734:K734"/>
    <mergeCell ref="I735:K735"/>
    <mergeCell ref="I736:K736"/>
    <mergeCell ref="I737:K737"/>
    <mergeCell ref="I738:K738"/>
    <mergeCell ref="I739:K739"/>
    <mergeCell ref="I740:K740"/>
    <mergeCell ref="I741:K741"/>
    <mergeCell ref="I742:K742"/>
    <mergeCell ref="I743:K743"/>
    <mergeCell ref="I744:K744"/>
    <mergeCell ref="I745:K745"/>
    <mergeCell ref="I746:K746"/>
    <mergeCell ref="I747:K747"/>
    <mergeCell ref="I748:K748"/>
    <mergeCell ref="A749:A819"/>
    <mergeCell ref="I749:K749"/>
    <mergeCell ref="I750:K750"/>
    <mergeCell ref="I751:K751"/>
    <mergeCell ref="I752:K752"/>
    <mergeCell ref="I753:K753"/>
    <mergeCell ref="I754:K754"/>
    <mergeCell ref="I755:K755"/>
    <mergeCell ref="I756:K756"/>
    <mergeCell ref="I757:K757"/>
    <mergeCell ref="I758:K758"/>
    <mergeCell ref="I759:K759"/>
    <mergeCell ref="I760:K760"/>
    <mergeCell ref="I761:K761"/>
    <mergeCell ref="I762:K762"/>
    <mergeCell ref="I763:K763"/>
    <mergeCell ref="I764:K764"/>
    <mergeCell ref="I765:K765"/>
    <mergeCell ref="I766:K766"/>
    <mergeCell ref="I767:K767"/>
    <mergeCell ref="I768:K768"/>
    <mergeCell ref="I769:K769"/>
    <mergeCell ref="I770:K770"/>
    <mergeCell ref="I771:K771"/>
    <mergeCell ref="I772:K772"/>
    <mergeCell ref="I773:K773"/>
    <mergeCell ref="I774:K774"/>
    <mergeCell ref="I775:K775"/>
    <mergeCell ref="I776:K776"/>
    <mergeCell ref="I777:K777"/>
    <mergeCell ref="I778:K778"/>
    <mergeCell ref="I779:K779"/>
    <mergeCell ref="I780:K780"/>
    <mergeCell ref="I781:K781"/>
    <mergeCell ref="I782:K782"/>
    <mergeCell ref="I783:K783"/>
    <mergeCell ref="I784:K784"/>
    <mergeCell ref="I785:K785"/>
    <mergeCell ref="I786:K786"/>
    <mergeCell ref="I787:K787"/>
    <mergeCell ref="I788:K788"/>
    <mergeCell ref="I789:K789"/>
    <mergeCell ref="I790:K790"/>
    <mergeCell ref="I791:K791"/>
    <mergeCell ref="I792:K792"/>
    <mergeCell ref="I793:K793"/>
    <mergeCell ref="I794:K794"/>
    <mergeCell ref="I795:K795"/>
    <mergeCell ref="I796:K796"/>
    <mergeCell ref="I797:K797"/>
    <mergeCell ref="I798:K798"/>
    <mergeCell ref="I799:K799"/>
    <mergeCell ref="I800:K800"/>
    <mergeCell ref="I801:K801"/>
    <mergeCell ref="I802:K802"/>
    <mergeCell ref="I803:K803"/>
    <mergeCell ref="I804:K804"/>
    <mergeCell ref="I805:K805"/>
    <mergeCell ref="I806:K806"/>
    <mergeCell ref="I807:K807"/>
    <mergeCell ref="I808:K808"/>
    <mergeCell ref="I809:K809"/>
    <mergeCell ref="I810:K810"/>
    <mergeCell ref="I811:K811"/>
    <mergeCell ref="I812:K812"/>
    <mergeCell ref="I813:K813"/>
    <mergeCell ref="I814:K814"/>
    <mergeCell ref="I815:K815"/>
    <mergeCell ref="I816:K816"/>
    <mergeCell ref="I817:K817"/>
    <mergeCell ref="I818:K818"/>
    <mergeCell ref="I819:K819"/>
    <mergeCell ref="A820:A890"/>
    <mergeCell ref="I820:K820"/>
    <mergeCell ref="I821:K821"/>
    <mergeCell ref="I822:K822"/>
    <mergeCell ref="I823:K823"/>
    <mergeCell ref="I824:K824"/>
    <mergeCell ref="I825:K825"/>
    <mergeCell ref="I826:K826"/>
    <mergeCell ref="I827:K827"/>
    <mergeCell ref="I828:K828"/>
    <mergeCell ref="I829:K829"/>
    <mergeCell ref="I830:K830"/>
    <mergeCell ref="I831:K831"/>
    <mergeCell ref="I832:K832"/>
    <mergeCell ref="I833:K833"/>
    <mergeCell ref="I834:K834"/>
    <mergeCell ref="I835:K835"/>
    <mergeCell ref="I836:K836"/>
    <mergeCell ref="I837:K837"/>
    <mergeCell ref="I838:K838"/>
    <mergeCell ref="I839:K839"/>
    <mergeCell ref="I840:K840"/>
    <mergeCell ref="I841:K841"/>
    <mergeCell ref="I842:K842"/>
    <mergeCell ref="I843:K843"/>
    <mergeCell ref="I844:K844"/>
    <mergeCell ref="I845:K845"/>
    <mergeCell ref="I846:K846"/>
    <mergeCell ref="I847:K847"/>
    <mergeCell ref="I848:K848"/>
    <mergeCell ref="I849:K849"/>
    <mergeCell ref="I850:K850"/>
    <mergeCell ref="I851:K851"/>
    <mergeCell ref="I852:K852"/>
    <mergeCell ref="I853:K853"/>
    <mergeCell ref="I854:K854"/>
    <mergeCell ref="I855:K855"/>
    <mergeCell ref="I856:K856"/>
    <mergeCell ref="I857:K857"/>
    <mergeCell ref="I858:K858"/>
    <mergeCell ref="I859:K859"/>
    <mergeCell ref="I860:K860"/>
    <mergeCell ref="I861:K861"/>
    <mergeCell ref="I862:K862"/>
    <mergeCell ref="I863:K863"/>
    <mergeCell ref="I864:K864"/>
    <mergeCell ref="I865:K865"/>
    <mergeCell ref="I866:K866"/>
    <mergeCell ref="I867:K867"/>
    <mergeCell ref="I868:K868"/>
    <mergeCell ref="I869:K869"/>
    <mergeCell ref="I870:K870"/>
    <mergeCell ref="I871:K871"/>
    <mergeCell ref="I872:K872"/>
    <mergeCell ref="I873:K873"/>
    <mergeCell ref="I874:K874"/>
    <mergeCell ref="I875:K875"/>
    <mergeCell ref="I876:K876"/>
    <mergeCell ref="I877:K877"/>
    <mergeCell ref="I878:K878"/>
    <mergeCell ref="I879:K879"/>
    <mergeCell ref="I880:K880"/>
    <mergeCell ref="I881:K881"/>
    <mergeCell ref="I882:K882"/>
    <mergeCell ref="I883:K883"/>
    <mergeCell ref="I884:K884"/>
    <mergeCell ref="I885:K885"/>
    <mergeCell ref="I886:K886"/>
    <mergeCell ref="I887:K887"/>
    <mergeCell ref="I888:K888"/>
    <mergeCell ref="I889:K889"/>
    <mergeCell ref="I890:K890"/>
    <mergeCell ref="A891:A961"/>
    <mergeCell ref="I891:K891"/>
    <mergeCell ref="I892:K892"/>
    <mergeCell ref="I893:K893"/>
    <mergeCell ref="I894:K894"/>
    <mergeCell ref="I895:K895"/>
    <mergeCell ref="I896:K896"/>
    <mergeCell ref="I897:K897"/>
    <mergeCell ref="I898:K898"/>
    <mergeCell ref="I899:K899"/>
    <mergeCell ref="I900:K900"/>
    <mergeCell ref="I901:K901"/>
    <mergeCell ref="I902:K902"/>
    <mergeCell ref="I903:K903"/>
    <mergeCell ref="I904:K904"/>
    <mergeCell ref="I905:K905"/>
    <mergeCell ref="I906:K906"/>
    <mergeCell ref="I907:K907"/>
    <mergeCell ref="I908:K908"/>
    <mergeCell ref="I909:K909"/>
    <mergeCell ref="I910:K910"/>
    <mergeCell ref="I911:K911"/>
    <mergeCell ref="I912:K912"/>
    <mergeCell ref="I913:K913"/>
    <mergeCell ref="I914:K914"/>
    <mergeCell ref="I915:K915"/>
    <mergeCell ref="I916:K916"/>
    <mergeCell ref="I917:K917"/>
    <mergeCell ref="I918:K918"/>
    <mergeCell ref="I919:K919"/>
    <mergeCell ref="I920:K920"/>
    <mergeCell ref="I921:K921"/>
    <mergeCell ref="I922:K922"/>
    <mergeCell ref="I923:K923"/>
    <mergeCell ref="I924:K924"/>
    <mergeCell ref="I925:K925"/>
    <mergeCell ref="I926:K926"/>
    <mergeCell ref="I927:K927"/>
    <mergeCell ref="I928:K928"/>
    <mergeCell ref="I929:K929"/>
    <mergeCell ref="I930:K930"/>
    <mergeCell ref="I931:K931"/>
    <mergeCell ref="I932:K932"/>
    <mergeCell ref="I933:K933"/>
    <mergeCell ref="I934:K934"/>
    <mergeCell ref="I935:K935"/>
    <mergeCell ref="I936:K936"/>
    <mergeCell ref="I937:K937"/>
    <mergeCell ref="I938:K938"/>
    <mergeCell ref="I939:K939"/>
    <mergeCell ref="I940:K940"/>
    <mergeCell ref="I941:K941"/>
    <mergeCell ref="I942:K942"/>
    <mergeCell ref="I943:K943"/>
    <mergeCell ref="I944:K944"/>
    <mergeCell ref="I945:K945"/>
    <mergeCell ref="I946:K946"/>
    <mergeCell ref="I947:K947"/>
    <mergeCell ref="I948:K948"/>
    <mergeCell ref="I949:K949"/>
    <mergeCell ref="I950:K950"/>
    <mergeCell ref="I951:K951"/>
    <mergeCell ref="I952:K952"/>
    <mergeCell ref="I953:K953"/>
    <mergeCell ref="I954:K954"/>
    <mergeCell ref="I955:K955"/>
    <mergeCell ref="I956:K956"/>
    <mergeCell ref="I957:K957"/>
    <mergeCell ref="I958:K958"/>
    <mergeCell ref="I959:K959"/>
    <mergeCell ref="I960:K960"/>
    <mergeCell ref="I961:K961"/>
    <mergeCell ref="A962:A1032"/>
    <mergeCell ref="I962:K962"/>
    <mergeCell ref="I963:K963"/>
    <mergeCell ref="I964:K964"/>
    <mergeCell ref="I965:K965"/>
    <mergeCell ref="I966:K966"/>
    <mergeCell ref="I967:K967"/>
    <mergeCell ref="I968:K968"/>
    <mergeCell ref="I969:K969"/>
    <mergeCell ref="I970:K970"/>
    <mergeCell ref="I971:K971"/>
    <mergeCell ref="I972:K972"/>
    <mergeCell ref="I973:K973"/>
    <mergeCell ref="I974:K974"/>
    <mergeCell ref="I975:K975"/>
    <mergeCell ref="I976:K976"/>
    <mergeCell ref="I977:K977"/>
    <mergeCell ref="I978:K978"/>
    <mergeCell ref="I979:K979"/>
    <mergeCell ref="I980:K980"/>
    <mergeCell ref="I981:K981"/>
    <mergeCell ref="I982:K982"/>
    <mergeCell ref="I983:K983"/>
    <mergeCell ref="I984:K984"/>
    <mergeCell ref="I985:K985"/>
    <mergeCell ref="I986:K986"/>
    <mergeCell ref="I987:K987"/>
    <mergeCell ref="I988:K988"/>
    <mergeCell ref="I989:K989"/>
    <mergeCell ref="I990:K990"/>
    <mergeCell ref="I991:K991"/>
    <mergeCell ref="I992:K992"/>
    <mergeCell ref="I993:K993"/>
    <mergeCell ref="I994:K994"/>
    <mergeCell ref="I995:K995"/>
    <mergeCell ref="I996:K996"/>
    <mergeCell ref="I997:K997"/>
    <mergeCell ref="I998:K998"/>
    <mergeCell ref="I999:K999"/>
    <mergeCell ref="I1000:K1000"/>
    <mergeCell ref="I1001:K1001"/>
    <mergeCell ref="I1002:K1002"/>
    <mergeCell ref="I1003:K1003"/>
    <mergeCell ref="I1004:K1004"/>
    <mergeCell ref="I1005:K1005"/>
    <mergeCell ref="I1006:K1006"/>
    <mergeCell ref="I1007:K1007"/>
    <mergeCell ref="I1008:K1008"/>
    <mergeCell ref="I1009:K1009"/>
    <mergeCell ref="I1010:K1010"/>
    <mergeCell ref="I1011:K1011"/>
    <mergeCell ref="I1012:K1012"/>
    <mergeCell ref="I1013:K1013"/>
    <mergeCell ref="I1014:K1014"/>
    <mergeCell ref="I1015:K1015"/>
    <mergeCell ref="I1016:K1016"/>
    <mergeCell ref="I1017:K1017"/>
    <mergeCell ref="I1018:K1018"/>
    <mergeCell ref="I1019:K1019"/>
    <mergeCell ref="I1020:K1020"/>
    <mergeCell ref="I1021:K1021"/>
    <mergeCell ref="I1022:K1022"/>
    <mergeCell ref="I1023:K1023"/>
    <mergeCell ref="I1024:K1024"/>
    <mergeCell ref="I1025:K1025"/>
    <mergeCell ref="I1026:K1026"/>
    <mergeCell ref="I1027:K1027"/>
    <mergeCell ref="I1028:K1028"/>
    <mergeCell ref="I1029:K1029"/>
    <mergeCell ref="I1030:K1030"/>
    <mergeCell ref="I1031:K1031"/>
    <mergeCell ref="I1032:K1032"/>
    <mergeCell ref="A1033:A1103"/>
    <mergeCell ref="I1033:K1033"/>
    <mergeCell ref="I1034:K1034"/>
    <mergeCell ref="I1035:K1035"/>
    <mergeCell ref="I1036:K1036"/>
    <mergeCell ref="I1037:K1037"/>
    <mergeCell ref="I1038:K1038"/>
    <mergeCell ref="I1039:K1039"/>
    <mergeCell ref="I1040:K1040"/>
    <mergeCell ref="I1041:K1041"/>
    <mergeCell ref="I1042:K1042"/>
    <mergeCell ref="I1043:K1043"/>
    <mergeCell ref="I1044:K1044"/>
    <mergeCell ref="I1045:K1045"/>
    <mergeCell ref="I1046:K1046"/>
    <mergeCell ref="I1047:K1047"/>
    <mergeCell ref="I1048:K1048"/>
    <mergeCell ref="I1049:K1049"/>
    <mergeCell ref="I1050:K1050"/>
    <mergeCell ref="I1051:K1051"/>
    <mergeCell ref="I1052:K1052"/>
    <mergeCell ref="I1053:K1053"/>
    <mergeCell ref="I1054:K1054"/>
    <mergeCell ref="I1055:K1055"/>
    <mergeCell ref="I1056:K1056"/>
    <mergeCell ref="I1057:K1057"/>
    <mergeCell ref="I1058:K1058"/>
    <mergeCell ref="I1059:K1059"/>
    <mergeCell ref="I1060:K1060"/>
    <mergeCell ref="I1061:K1061"/>
    <mergeCell ref="I1062:K1062"/>
    <mergeCell ref="I1063:K1063"/>
    <mergeCell ref="I1064:K1064"/>
    <mergeCell ref="I1065:K1065"/>
    <mergeCell ref="I1066:K1066"/>
    <mergeCell ref="I1067:K1067"/>
    <mergeCell ref="I1068:K1068"/>
    <mergeCell ref="I1069:K1069"/>
    <mergeCell ref="I1070:K1070"/>
    <mergeCell ref="I1071:K1071"/>
    <mergeCell ref="I1072:K1072"/>
    <mergeCell ref="I1073:K1073"/>
    <mergeCell ref="I1074:K1074"/>
    <mergeCell ref="I1075:K1075"/>
    <mergeCell ref="I1076:K1076"/>
    <mergeCell ref="I1077:K1077"/>
    <mergeCell ref="I1078:K1078"/>
    <mergeCell ref="I1079:K1079"/>
    <mergeCell ref="I1080:K1080"/>
    <mergeCell ref="I1081:K1081"/>
    <mergeCell ref="I1082:K1082"/>
    <mergeCell ref="I1083:K1083"/>
    <mergeCell ref="I1084:K1084"/>
    <mergeCell ref="I1085:K1085"/>
    <mergeCell ref="I1086:K1086"/>
    <mergeCell ref="I1087:K1087"/>
    <mergeCell ref="I1088:K1088"/>
    <mergeCell ref="I1089:K1089"/>
    <mergeCell ref="I1090:K1090"/>
    <mergeCell ref="I1091:K1091"/>
    <mergeCell ref="I1092:K1092"/>
    <mergeCell ref="I1093:K1093"/>
    <mergeCell ref="I1094:K1094"/>
    <mergeCell ref="I1095:K1095"/>
    <mergeCell ref="I1096:K1096"/>
    <mergeCell ref="I1097:K1097"/>
    <mergeCell ref="I1098:K1098"/>
    <mergeCell ref="I1099:K1099"/>
    <mergeCell ref="I1100:K1100"/>
    <mergeCell ref="I1101:K1101"/>
    <mergeCell ref="I1102:K1102"/>
    <mergeCell ref="I1103:K1103"/>
    <mergeCell ref="A1104:A1174"/>
    <mergeCell ref="I1104:K1104"/>
    <mergeCell ref="I1105:K1105"/>
    <mergeCell ref="I1106:K1106"/>
    <mergeCell ref="I1107:K1107"/>
    <mergeCell ref="I1108:K1108"/>
    <mergeCell ref="I1109:K1109"/>
    <mergeCell ref="I1110:K1110"/>
    <mergeCell ref="I1111:K1111"/>
    <mergeCell ref="I1112:K1112"/>
    <mergeCell ref="I1113:K1113"/>
    <mergeCell ref="I1114:K1114"/>
    <mergeCell ref="I1115:K1115"/>
    <mergeCell ref="I1116:K1116"/>
    <mergeCell ref="I1117:K1117"/>
    <mergeCell ref="I1118:K1118"/>
    <mergeCell ref="I1119:K1119"/>
    <mergeCell ref="I1120:K1120"/>
    <mergeCell ref="I1121:K1121"/>
    <mergeCell ref="I1122:K1122"/>
    <mergeCell ref="I1123:K1123"/>
    <mergeCell ref="I1124:K1124"/>
    <mergeCell ref="I1125:K1125"/>
    <mergeCell ref="I1126:K1126"/>
    <mergeCell ref="I1127:K1127"/>
    <mergeCell ref="I1128:K1128"/>
    <mergeCell ref="I1129:K1129"/>
    <mergeCell ref="I1130:K1130"/>
    <mergeCell ref="I1131:K1131"/>
    <mergeCell ref="I1132:K1132"/>
    <mergeCell ref="I1133:K1133"/>
    <mergeCell ref="I1134:K1134"/>
    <mergeCell ref="I1135:K1135"/>
    <mergeCell ref="I1136:K1136"/>
    <mergeCell ref="I1137:K1137"/>
    <mergeCell ref="I1138:K1138"/>
    <mergeCell ref="I1139:K1139"/>
    <mergeCell ref="I1140:K1140"/>
    <mergeCell ref="I1141:K1141"/>
    <mergeCell ref="I1142:K1142"/>
    <mergeCell ref="I1143:K1143"/>
    <mergeCell ref="I1144:K1144"/>
    <mergeCell ref="I1145:K1145"/>
    <mergeCell ref="I1146:K1146"/>
    <mergeCell ref="I1147:K1147"/>
    <mergeCell ref="I1148:K1148"/>
    <mergeCell ref="I1149:K1149"/>
    <mergeCell ref="I1150:K1150"/>
    <mergeCell ref="I1151:K1151"/>
    <mergeCell ref="I1152:K1152"/>
    <mergeCell ref="I1153:K1153"/>
    <mergeCell ref="I1154:K1154"/>
    <mergeCell ref="I1155:K1155"/>
    <mergeCell ref="I1156:K1156"/>
    <mergeCell ref="I1157:K1157"/>
    <mergeCell ref="I1158:K1158"/>
    <mergeCell ref="I1159:K1159"/>
    <mergeCell ref="I1160:K1160"/>
    <mergeCell ref="I1161:K1161"/>
    <mergeCell ref="I1162:K1162"/>
    <mergeCell ref="I1163:K1163"/>
    <mergeCell ref="I1164:K1164"/>
    <mergeCell ref="I1165:K1165"/>
    <mergeCell ref="I1166:K1166"/>
    <mergeCell ref="I1167:K1167"/>
    <mergeCell ref="I1168:K1168"/>
    <mergeCell ref="I1169:K1169"/>
    <mergeCell ref="I1170:K1170"/>
    <mergeCell ref="I1171:K1171"/>
    <mergeCell ref="I1172:K1172"/>
    <mergeCell ref="I1173:K1173"/>
    <mergeCell ref="I1174:K1174"/>
    <mergeCell ref="A1175:A1245"/>
    <mergeCell ref="I1175:K1175"/>
    <mergeCell ref="I1176:K1176"/>
    <mergeCell ref="I1177:K1177"/>
    <mergeCell ref="I1178:K1178"/>
    <mergeCell ref="I1179:K1179"/>
    <mergeCell ref="I1180:K1180"/>
    <mergeCell ref="I1181:K1181"/>
    <mergeCell ref="I1182:K1182"/>
    <mergeCell ref="I1183:K1183"/>
    <mergeCell ref="I1184:K1184"/>
    <mergeCell ref="I1185:K1185"/>
    <mergeCell ref="I1186:K1186"/>
    <mergeCell ref="I1187:K1187"/>
    <mergeCell ref="I1188:K1188"/>
    <mergeCell ref="I1189:K1189"/>
    <mergeCell ref="I1190:K1190"/>
    <mergeCell ref="I1191:K1191"/>
    <mergeCell ref="I1192:K1192"/>
    <mergeCell ref="I1193:K1193"/>
    <mergeCell ref="I1194:K1194"/>
    <mergeCell ref="I1195:K1195"/>
    <mergeCell ref="I1196:K1196"/>
    <mergeCell ref="I1197:K1197"/>
    <mergeCell ref="I1198:K1198"/>
    <mergeCell ref="I1199:K1199"/>
    <mergeCell ref="I1200:K1200"/>
    <mergeCell ref="I1201:K1201"/>
    <mergeCell ref="I1202:K1202"/>
    <mergeCell ref="I1203:K1203"/>
    <mergeCell ref="I1204:K1204"/>
    <mergeCell ref="I1205:K1205"/>
    <mergeCell ref="I1206:K1206"/>
    <mergeCell ref="I1207:K1207"/>
    <mergeCell ref="I1208:K1208"/>
    <mergeCell ref="I1209:K1209"/>
    <mergeCell ref="I1210:K1210"/>
    <mergeCell ref="I1211:K1211"/>
    <mergeCell ref="I1212:K1212"/>
    <mergeCell ref="I1213:K1213"/>
    <mergeCell ref="I1214:K1214"/>
    <mergeCell ref="I1215:K1215"/>
    <mergeCell ref="I1216:K1216"/>
    <mergeCell ref="I1217:K1217"/>
    <mergeCell ref="I1218:K1218"/>
    <mergeCell ref="I1219:K1219"/>
    <mergeCell ref="I1220:K1220"/>
    <mergeCell ref="I1221:K1221"/>
    <mergeCell ref="I1222:K1222"/>
    <mergeCell ref="I1223:K1223"/>
    <mergeCell ref="I1224:K1224"/>
    <mergeCell ref="I1225:K1225"/>
    <mergeCell ref="I1226:K1226"/>
    <mergeCell ref="I1227:K1227"/>
    <mergeCell ref="I1228:K1228"/>
    <mergeCell ref="I1229:K1229"/>
    <mergeCell ref="I1230:K1230"/>
    <mergeCell ref="I1231:K1231"/>
    <mergeCell ref="I1232:K1232"/>
    <mergeCell ref="I1233:K1233"/>
    <mergeCell ref="I1234:K1234"/>
    <mergeCell ref="I1235:K1235"/>
    <mergeCell ref="I1236:K1236"/>
    <mergeCell ref="I1237:K1237"/>
    <mergeCell ref="I1238:K1238"/>
    <mergeCell ref="I1239:K1239"/>
    <mergeCell ref="I1240:K1240"/>
    <mergeCell ref="I1241:K1241"/>
    <mergeCell ref="I1242:K1242"/>
    <mergeCell ref="I1243:K1243"/>
    <mergeCell ref="I1244:K1244"/>
    <mergeCell ref="I1245:K1245"/>
    <mergeCell ref="A1246:A1316"/>
    <mergeCell ref="I1246:K1246"/>
    <mergeCell ref="I1247:K1247"/>
    <mergeCell ref="I1248:K1248"/>
    <mergeCell ref="I1249:K1249"/>
    <mergeCell ref="I1250:K1250"/>
    <mergeCell ref="I1251:K1251"/>
    <mergeCell ref="I1252:K1252"/>
    <mergeCell ref="I1253:K1253"/>
    <mergeCell ref="I1254:K1254"/>
    <mergeCell ref="I1255:K1255"/>
    <mergeCell ref="I1256:K1256"/>
    <mergeCell ref="I1257:K1257"/>
    <mergeCell ref="I1258:K1258"/>
    <mergeCell ref="I1259:K1259"/>
    <mergeCell ref="I1260:K1260"/>
    <mergeCell ref="I1261:K1261"/>
    <mergeCell ref="I1262:K1262"/>
    <mergeCell ref="I1263:K1263"/>
    <mergeCell ref="I1264:K1264"/>
    <mergeCell ref="I1265:K1265"/>
    <mergeCell ref="I1266:K1266"/>
    <mergeCell ref="I1267:K1267"/>
    <mergeCell ref="I1268:K1268"/>
    <mergeCell ref="I1269:K1269"/>
    <mergeCell ref="I1270:K1270"/>
    <mergeCell ref="I1271:K1271"/>
    <mergeCell ref="I1272:K1272"/>
    <mergeCell ref="I1273:K1273"/>
    <mergeCell ref="I1274:K1274"/>
    <mergeCell ref="I1275:K1275"/>
    <mergeCell ref="I1276:K1276"/>
    <mergeCell ref="I1277:K1277"/>
    <mergeCell ref="I1278:K1278"/>
    <mergeCell ref="I1279:K1279"/>
    <mergeCell ref="I1280:K1280"/>
    <mergeCell ref="I1281:K1281"/>
    <mergeCell ref="I1282:K1282"/>
    <mergeCell ref="I1283:K1283"/>
    <mergeCell ref="I1284:K1284"/>
    <mergeCell ref="I1285:K1285"/>
    <mergeCell ref="I1286:K1286"/>
    <mergeCell ref="I1287:K1287"/>
    <mergeCell ref="I1288:K1288"/>
    <mergeCell ref="I1289:K1289"/>
    <mergeCell ref="I1290:K1290"/>
    <mergeCell ref="I1291:K1291"/>
    <mergeCell ref="I1292:K1292"/>
    <mergeCell ref="I1293:K1293"/>
    <mergeCell ref="I1294:K1294"/>
    <mergeCell ref="I1295:K1295"/>
    <mergeCell ref="I1296:K1296"/>
    <mergeCell ref="I1297:K1297"/>
    <mergeCell ref="I1298:K1298"/>
    <mergeCell ref="I1299:K1299"/>
    <mergeCell ref="I1300:K1300"/>
    <mergeCell ref="I1301:K1301"/>
    <mergeCell ref="I1302:K1302"/>
    <mergeCell ref="I1303:K1303"/>
    <mergeCell ref="I1304:K1304"/>
    <mergeCell ref="I1305:K1305"/>
    <mergeCell ref="I1306:K1306"/>
    <mergeCell ref="I1307:K1307"/>
    <mergeCell ref="I1308:K1308"/>
    <mergeCell ref="I1309:K1309"/>
    <mergeCell ref="I1310:K1310"/>
    <mergeCell ref="I1311:K1311"/>
    <mergeCell ref="I1312:K1312"/>
    <mergeCell ref="I1313:K1313"/>
    <mergeCell ref="I1314:K1314"/>
    <mergeCell ref="I1315:K1315"/>
    <mergeCell ref="I1316:K1316"/>
    <mergeCell ref="A1317:A1387"/>
    <mergeCell ref="I1317:K1317"/>
    <mergeCell ref="I1318:K1318"/>
    <mergeCell ref="I1319:K1319"/>
    <mergeCell ref="I1320:K1320"/>
    <mergeCell ref="I1321:K1321"/>
    <mergeCell ref="I1322:K1322"/>
    <mergeCell ref="I1323:K1323"/>
    <mergeCell ref="I1324:K1324"/>
    <mergeCell ref="I1325:K1325"/>
    <mergeCell ref="I1326:K1326"/>
    <mergeCell ref="I1327:K1327"/>
    <mergeCell ref="I1328:K1328"/>
    <mergeCell ref="I1329:K1329"/>
    <mergeCell ref="I1330:K1330"/>
    <mergeCell ref="I1331:K1331"/>
    <mergeCell ref="I1332:K1332"/>
    <mergeCell ref="I1333:K1333"/>
    <mergeCell ref="I1334:K1334"/>
    <mergeCell ref="I1335:K1335"/>
    <mergeCell ref="I1336:K1336"/>
    <mergeCell ref="I1337:K1337"/>
    <mergeCell ref="I1338:K1338"/>
    <mergeCell ref="I1339:K1339"/>
    <mergeCell ref="I1340:K1340"/>
    <mergeCell ref="I1341:K1341"/>
    <mergeCell ref="I1342:K1342"/>
    <mergeCell ref="I1343:K1343"/>
    <mergeCell ref="I1344:K1344"/>
    <mergeCell ref="I1345:K1345"/>
    <mergeCell ref="I1346:K1346"/>
    <mergeCell ref="I1347:K1347"/>
    <mergeCell ref="I1348:K1348"/>
    <mergeCell ref="I1349:K1349"/>
    <mergeCell ref="I1350:K1350"/>
    <mergeCell ref="I1351:K1351"/>
    <mergeCell ref="I1352:K1352"/>
    <mergeCell ref="I1353:K1353"/>
    <mergeCell ref="I1354:K1354"/>
    <mergeCell ref="I1355:K1355"/>
    <mergeCell ref="I1356:K1356"/>
    <mergeCell ref="I1357:K1357"/>
    <mergeCell ref="I1358:K1358"/>
    <mergeCell ref="I1359:K1359"/>
    <mergeCell ref="I1360:K1360"/>
    <mergeCell ref="I1361:K1361"/>
    <mergeCell ref="I1362:K1362"/>
    <mergeCell ref="I1363:K1363"/>
    <mergeCell ref="I1364:K1364"/>
    <mergeCell ref="I1365:K1365"/>
    <mergeCell ref="I1366:K1366"/>
    <mergeCell ref="I1367:K1367"/>
    <mergeCell ref="I1368:K1368"/>
    <mergeCell ref="I1369:K1369"/>
    <mergeCell ref="I1370:K1370"/>
    <mergeCell ref="I1371:K1371"/>
    <mergeCell ref="I1372:K1372"/>
    <mergeCell ref="I1373:K1373"/>
    <mergeCell ref="I1374:K1374"/>
    <mergeCell ref="I1375:K1375"/>
    <mergeCell ref="I1376:K1376"/>
    <mergeCell ref="I1377:K1377"/>
    <mergeCell ref="I1378:K1378"/>
    <mergeCell ref="I1379:K1379"/>
    <mergeCell ref="I1380:K1380"/>
    <mergeCell ref="I1381:K1381"/>
    <mergeCell ref="I1382:K1382"/>
    <mergeCell ref="I1383:K1383"/>
    <mergeCell ref="I1384:K1384"/>
    <mergeCell ref="I1385:K1385"/>
    <mergeCell ref="I1386:K1386"/>
    <mergeCell ref="I1387:K1387"/>
    <mergeCell ref="A1388:A1458"/>
    <mergeCell ref="I1388:K1388"/>
    <mergeCell ref="I1389:K1389"/>
    <mergeCell ref="I1390:K1390"/>
    <mergeCell ref="I1391:K1391"/>
    <mergeCell ref="I1392:K1392"/>
    <mergeCell ref="I1393:K1393"/>
    <mergeCell ref="I1394:K1394"/>
    <mergeCell ref="I1395:K1395"/>
    <mergeCell ref="I1396:K1396"/>
    <mergeCell ref="I1397:K1397"/>
    <mergeCell ref="I1398:K1398"/>
    <mergeCell ref="I1399:K1399"/>
    <mergeCell ref="I1400:K1400"/>
    <mergeCell ref="I1401:K1401"/>
    <mergeCell ref="I1402:K1402"/>
    <mergeCell ref="I1403:K1403"/>
    <mergeCell ref="I1404:K1404"/>
    <mergeCell ref="I1405:K1405"/>
    <mergeCell ref="I1406:K1406"/>
    <mergeCell ref="I1407:K1407"/>
    <mergeCell ref="I1408:K1408"/>
    <mergeCell ref="I1409:K1409"/>
    <mergeCell ref="I1410:K1410"/>
    <mergeCell ref="I1411:K1411"/>
    <mergeCell ref="I1412:K1412"/>
    <mergeCell ref="I1413:K1413"/>
    <mergeCell ref="I1414:K1414"/>
    <mergeCell ref="I1415:K1415"/>
    <mergeCell ref="I1416:K1416"/>
    <mergeCell ref="I1417:K1417"/>
    <mergeCell ref="I1418:K1418"/>
    <mergeCell ref="I1419:K1419"/>
    <mergeCell ref="I1420:K1420"/>
    <mergeCell ref="I1421:K1421"/>
    <mergeCell ref="I1422:K1422"/>
    <mergeCell ref="I1423:K1423"/>
    <mergeCell ref="I1424:K1424"/>
    <mergeCell ref="I1425:K1425"/>
    <mergeCell ref="I1426:K1426"/>
    <mergeCell ref="I1427:K1427"/>
    <mergeCell ref="I1428:K1428"/>
    <mergeCell ref="I1429:K1429"/>
    <mergeCell ref="I1430:K1430"/>
    <mergeCell ref="I1431:K1431"/>
    <mergeCell ref="I1432:K1432"/>
    <mergeCell ref="I1433:K1433"/>
    <mergeCell ref="I1434:K1434"/>
    <mergeCell ref="I1435:K1435"/>
    <mergeCell ref="I1436:K1436"/>
    <mergeCell ref="I1437:K1437"/>
    <mergeCell ref="I1438:K1438"/>
    <mergeCell ref="I1439:K1439"/>
    <mergeCell ref="I1440:K1440"/>
    <mergeCell ref="I1441:K1441"/>
    <mergeCell ref="I1442:K1442"/>
    <mergeCell ref="I1443:K1443"/>
    <mergeCell ref="I1444:K1444"/>
    <mergeCell ref="I1445:K1445"/>
    <mergeCell ref="I1446:K1446"/>
    <mergeCell ref="I1447:K1447"/>
    <mergeCell ref="I1448:K1448"/>
    <mergeCell ref="I1449:K1449"/>
    <mergeCell ref="I1450:K1450"/>
    <mergeCell ref="I1451:K1451"/>
    <mergeCell ref="I1452:K1452"/>
    <mergeCell ref="I1453:K1453"/>
    <mergeCell ref="I1454:K1454"/>
    <mergeCell ref="I1455:K1455"/>
    <mergeCell ref="I1456:K1456"/>
    <mergeCell ref="I1457:K1457"/>
    <mergeCell ref="I1458:K1458"/>
    <mergeCell ref="A1459:A1529"/>
    <mergeCell ref="I1459:K1459"/>
    <mergeCell ref="I1460:K1460"/>
    <mergeCell ref="I1461:K1461"/>
    <mergeCell ref="I1462:K1462"/>
    <mergeCell ref="I1463:K1463"/>
    <mergeCell ref="I1464:K1464"/>
    <mergeCell ref="I1465:K1465"/>
    <mergeCell ref="I1466:K1466"/>
    <mergeCell ref="I1467:K1467"/>
    <mergeCell ref="I1468:K1468"/>
    <mergeCell ref="I1469:K1469"/>
    <mergeCell ref="I1470:K1470"/>
    <mergeCell ref="I1471:K1471"/>
    <mergeCell ref="I1472:K1472"/>
    <mergeCell ref="I1473:K1473"/>
    <mergeCell ref="I1474:K1474"/>
    <mergeCell ref="I1475:K1475"/>
    <mergeCell ref="I1476:K1476"/>
    <mergeCell ref="I1477:K1477"/>
    <mergeCell ref="I1478:K1478"/>
    <mergeCell ref="I1479:K1479"/>
    <mergeCell ref="I1480:K1480"/>
    <mergeCell ref="I1481:K1481"/>
    <mergeCell ref="I1482:K1482"/>
    <mergeCell ref="I1483:K1483"/>
    <mergeCell ref="I1484:K1484"/>
    <mergeCell ref="I1485:K1485"/>
    <mergeCell ref="I1486:K1486"/>
    <mergeCell ref="I1487:K1487"/>
    <mergeCell ref="I1488:K1488"/>
    <mergeCell ref="I1489:K1489"/>
    <mergeCell ref="I1490:K1490"/>
    <mergeCell ref="I1491:K1491"/>
    <mergeCell ref="I1492:K1492"/>
    <mergeCell ref="I1493:K1493"/>
    <mergeCell ref="I1494:K1494"/>
    <mergeCell ref="I1495:K1495"/>
    <mergeCell ref="I1496:K1496"/>
    <mergeCell ref="I1497:K1497"/>
    <mergeCell ref="I1498:K1498"/>
    <mergeCell ref="I1499:K1499"/>
    <mergeCell ref="I1500:K1500"/>
    <mergeCell ref="I1501:K1501"/>
    <mergeCell ref="I1502:K1502"/>
    <mergeCell ref="I1503:K1503"/>
    <mergeCell ref="I1504:K1504"/>
    <mergeCell ref="I1505:K1505"/>
    <mergeCell ref="I1506:K1506"/>
    <mergeCell ref="I1507:K1507"/>
    <mergeCell ref="I1508:K1508"/>
    <mergeCell ref="I1509:K1509"/>
    <mergeCell ref="I1510:K1510"/>
    <mergeCell ref="I1511:K1511"/>
    <mergeCell ref="I1512:K1512"/>
    <mergeCell ref="I1513:K1513"/>
    <mergeCell ref="I1514:K1514"/>
    <mergeCell ref="I1515:K1515"/>
    <mergeCell ref="I1516:K1516"/>
    <mergeCell ref="I1517:K1517"/>
    <mergeCell ref="I1518:K1518"/>
    <mergeCell ref="I1519:K1519"/>
    <mergeCell ref="I1520:K1520"/>
    <mergeCell ref="I1521:K1521"/>
    <mergeCell ref="I1522:K1522"/>
    <mergeCell ref="I1523:K1523"/>
    <mergeCell ref="I1524:K1524"/>
    <mergeCell ref="I1525:K1525"/>
    <mergeCell ref="I1526:K1526"/>
    <mergeCell ref="I1527:K1527"/>
    <mergeCell ref="I1528:K1528"/>
    <mergeCell ref="I1529:K1529"/>
    <mergeCell ref="A1530:A1600"/>
    <mergeCell ref="I1530:K1530"/>
    <mergeCell ref="I1531:K1531"/>
    <mergeCell ref="I1532:K1532"/>
    <mergeCell ref="I1533:K1533"/>
    <mergeCell ref="I1534:K1534"/>
    <mergeCell ref="I1535:K1535"/>
    <mergeCell ref="I1536:K1536"/>
    <mergeCell ref="I1537:K1537"/>
    <mergeCell ref="I1538:K1538"/>
    <mergeCell ref="I1539:K1539"/>
    <mergeCell ref="I1540:K1540"/>
    <mergeCell ref="I1541:K1541"/>
    <mergeCell ref="I1542:K1542"/>
    <mergeCell ref="I1543:K1543"/>
    <mergeCell ref="I1544:K1544"/>
    <mergeCell ref="I1545:K1545"/>
    <mergeCell ref="I1546:K1546"/>
    <mergeCell ref="I1547:K1547"/>
    <mergeCell ref="I1548:K1548"/>
    <mergeCell ref="I1549:K1549"/>
    <mergeCell ref="I1550:K1550"/>
    <mergeCell ref="I1551:K1551"/>
    <mergeCell ref="I1552:K1552"/>
    <mergeCell ref="I1553:K1553"/>
    <mergeCell ref="I1554:K1554"/>
    <mergeCell ref="I1555:K1555"/>
    <mergeCell ref="I1556:K1556"/>
    <mergeCell ref="I1557:K1557"/>
    <mergeCell ref="I1558:K1558"/>
    <mergeCell ref="I1559:K1559"/>
    <mergeCell ref="I1560:K1560"/>
    <mergeCell ref="I1561:K1561"/>
    <mergeCell ref="I1562:K1562"/>
    <mergeCell ref="I1563:K1563"/>
    <mergeCell ref="I1564:K1564"/>
    <mergeCell ref="I1565:K1565"/>
    <mergeCell ref="I1566:K1566"/>
    <mergeCell ref="I1567:K1567"/>
    <mergeCell ref="I1568:K1568"/>
    <mergeCell ref="I1569:K1569"/>
    <mergeCell ref="I1570:K1570"/>
    <mergeCell ref="I1571:K1571"/>
    <mergeCell ref="I1572:K1572"/>
    <mergeCell ref="I1573:K1573"/>
    <mergeCell ref="I1574:K1574"/>
    <mergeCell ref="I1575:K1575"/>
    <mergeCell ref="I1576:K1576"/>
    <mergeCell ref="I1577:K1577"/>
    <mergeCell ref="I1578:K1578"/>
    <mergeCell ref="I1579:K1579"/>
    <mergeCell ref="I1580:K1580"/>
    <mergeCell ref="I1581:K1581"/>
    <mergeCell ref="I1582:K1582"/>
    <mergeCell ref="I1583:K1583"/>
    <mergeCell ref="I1584:K1584"/>
    <mergeCell ref="I1585:K1585"/>
    <mergeCell ref="I1586:K1586"/>
    <mergeCell ref="I1587:K1587"/>
    <mergeCell ref="I1588:K1588"/>
    <mergeCell ref="I1589:K1589"/>
    <mergeCell ref="I1590:K1590"/>
    <mergeCell ref="I1591:K1591"/>
    <mergeCell ref="I1592:K1592"/>
    <mergeCell ref="I1593:K1593"/>
    <mergeCell ref="I1594:K1594"/>
    <mergeCell ref="I1595:K1595"/>
    <mergeCell ref="I1596:K1596"/>
    <mergeCell ref="I1597:K1597"/>
    <mergeCell ref="I1598:K1598"/>
    <mergeCell ref="I1599:K1599"/>
    <mergeCell ref="I1600:K1600"/>
    <mergeCell ref="A1601:A1671"/>
    <mergeCell ref="I1601:K1601"/>
    <mergeCell ref="I1602:K1602"/>
    <mergeCell ref="I1603:K1603"/>
    <mergeCell ref="I1604:K1604"/>
    <mergeCell ref="I1605:K1605"/>
    <mergeCell ref="I1606:K1606"/>
    <mergeCell ref="I1607:K1607"/>
    <mergeCell ref="I1608:K1608"/>
    <mergeCell ref="I1609:K1609"/>
    <mergeCell ref="I1610:K1610"/>
    <mergeCell ref="I1611:K1611"/>
    <mergeCell ref="I1612:K1612"/>
    <mergeCell ref="I1613:K1613"/>
    <mergeCell ref="I1614:K1614"/>
    <mergeCell ref="I1615:K1615"/>
    <mergeCell ref="I1616:K1616"/>
    <mergeCell ref="I1617:K1617"/>
    <mergeCell ref="I1618:K1618"/>
    <mergeCell ref="I1619:K1619"/>
    <mergeCell ref="I1620:K1620"/>
    <mergeCell ref="I1621:K1621"/>
    <mergeCell ref="I1622:K1622"/>
    <mergeCell ref="I1623:K1623"/>
    <mergeCell ref="I1624:K1624"/>
    <mergeCell ref="I1625:K1625"/>
    <mergeCell ref="I1626:K1626"/>
    <mergeCell ref="I1627:K1627"/>
    <mergeCell ref="I1628:K1628"/>
    <mergeCell ref="I1629:K1629"/>
    <mergeCell ref="I1630:K1630"/>
    <mergeCell ref="I1631:K1631"/>
    <mergeCell ref="I1632:K1632"/>
    <mergeCell ref="I1633:K1633"/>
    <mergeCell ref="I1634:K1634"/>
    <mergeCell ref="I1635:K1635"/>
    <mergeCell ref="I1636:K1636"/>
    <mergeCell ref="I1637:K1637"/>
    <mergeCell ref="I1638:K1638"/>
    <mergeCell ref="I1639:K1639"/>
    <mergeCell ref="I1640:K1640"/>
    <mergeCell ref="I1641:K1641"/>
    <mergeCell ref="I1642:K1642"/>
    <mergeCell ref="I1643:K1643"/>
    <mergeCell ref="I1644:K1644"/>
    <mergeCell ref="I1645:K1645"/>
    <mergeCell ref="I1646:K1646"/>
    <mergeCell ref="I1647:K1647"/>
    <mergeCell ref="I1648:K1648"/>
    <mergeCell ref="I1649:K1649"/>
    <mergeCell ref="I1650:K1650"/>
    <mergeCell ref="I1651:K1651"/>
    <mergeCell ref="I1652:K1652"/>
    <mergeCell ref="I1653:K1653"/>
    <mergeCell ref="I1654:K1654"/>
    <mergeCell ref="I1655:K1655"/>
    <mergeCell ref="I1656:K1656"/>
    <mergeCell ref="I1657:K1657"/>
    <mergeCell ref="I1658:K1658"/>
    <mergeCell ref="I1659:K1659"/>
    <mergeCell ref="I1660:K1660"/>
    <mergeCell ref="I1661:K1661"/>
    <mergeCell ref="I1662:K1662"/>
    <mergeCell ref="I1663:K1663"/>
    <mergeCell ref="I1664:K1664"/>
    <mergeCell ref="I1665:K1665"/>
    <mergeCell ref="I1666:K1666"/>
    <mergeCell ref="I1667:K1667"/>
    <mergeCell ref="I1668:K1668"/>
    <mergeCell ref="I1669:K1669"/>
    <mergeCell ref="I1670:K1670"/>
    <mergeCell ref="I1671:K1671"/>
    <mergeCell ref="A1672:A1742"/>
    <mergeCell ref="I1672:K1672"/>
    <mergeCell ref="I1673:K1673"/>
    <mergeCell ref="I1674:K1674"/>
    <mergeCell ref="I1675:K1675"/>
    <mergeCell ref="I1676:K1676"/>
    <mergeCell ref="I1677:K1677"/>
    <mergeCell ref="I1678:K1678"/>
    <mergeCell ref="I1679:K1679"/>
    <mergeCell ref="I1680:K1680"/>
    <mergeCell ref="I1681:K1681"/>
    <mergeCell ref="I1682:K1682"/>
    <mergeCell ref="I1683:K1683"/>
    <mergeCell ref="I1684:K1684"/>
    <mergeCell ref="I1685:K1685"/>
    <mergeCell ref="I1686:K1686"/>
    <mergeCell ref="I1687:K1687"/>
    <mergeCell ref="I1688:K1688"/>
    <mergeCell ref="I1689:K1689"/>
    <mergeCell ref="I1690:K1690"/>
    <mergeCell ref="I1691:K1691"/>
    <mergeCell ref="I1692:K1692"/>
    <mergeCell ref="I1693:K1693"/>
    <mergeCell ref="I1694:K1694"/>
    <mergeCell ref="I1695:K1695"/>
    <mergeCell ref="I1696:K1696"/>
    <mergeCell ref="I1697:K1697"/>
    <mergeCell ref="I1698:K1698"/>
    <mergeCell ref="I1699:K1699"/>
    <mergeCell ref="I1700:K1700"/>
    <mergeCell ref="I1701:K1701"/>
    <mergeCell ref="I1702:K1702"/>
    <mergeCell ref="I1703:K1703"/>
    <mergeCell ref="I1704:K1704"/>
    <mergeCell ref="I1705:K1705"/>
    <mergeCell ref="I1706:K1706"/>
    <mergeCell ref="I1707:K1707"/>
    <mergeCell ref="I1708:K1708"/>
    <mergeCell ref="I1709:K1709"/>
    <mergeCell ref="I1710:K1710"/>
    <mergeCell ref="I1711:K1711"/>
    <mergeCell ref="I1712:K1712"/>
    <mergeCell ref="I1713:K1713"/>
    <mergeCell ref="I1714:K1714"/>
    <mergeCell ref="I1715:K1715"/>
    <mergeCell ref="I1716:K1716"/>
    <mergeCell ref="I1717:K1717"/>
    <mergeCell ref="I1718:K1718"/>
    <mergeCell ref="I1719:K1719"/>
    <mergeCell ref="I1720:K1720"/>
    <mergeCell ref="I1721:K1721"/>
    <mergeCell ref="I1722:K1722"/>
    <mergeCell ref="I1723:K1723"/>
    <mergeCell ref="I1724:K1724"/>
    <mergeCell ref="I1725:K1725"/>
    <mergeCell ref="I1726:K1726"/>
    <mergeCell ref="I1727:K1727"/>
    <mergeCell ref="I1728:K1728"/>
    <mergeCell ref="I1729:K1729"/>
    <mergeCell ref="I1730:K1730"/>
    <mergeCell ref="I1731:K1731"/>
    <mergeCell ref="I1732:K1732"/>
    <mergeCell ref="I1733:K1733"/>
    <mergeCell ref="I1734:K1734"/>
    <mergeCell ref="I1735:K1735"/>
    <mergeCell ref="I1736:K1736"/>
    <mergeCell ref="I1737:K1737"/>
    <mergeCell ref="I1738:K1738"/>
    <mergeCell ref="I1739:K1739"/>
    <mergeCell ref="I1740:K1740"/>
    <mergeCell ref="I1741:K1741"/>
    <mergeCell ref="I1742:K1742"/>
    <mergeCell ref="A1743:A1813"/>
    <mergeCell ref="I1743:K1743"/>
    <mergeCell ref="I1744:K1744"/>
    <mergeCell ref="I1745:K1745"/>
    <mergeCell ref="I1746:K1746"/>
    <mergeCell ref="I1747:K1747"/>
    <mergeCell ref="I1748:K1748"/>
    <mergeCell ref="I1749:K1749"/>
    <mergeCell ref="I1750:K1750"/>
    <mergeCell ref="I1751:K1751"/>
    <mergeCell ref="I1752:K1752"/>
    <mergeCell ref="I1753:K1753"/>
    <mergeCell ref="I1754:K1754"/>
    <mergeCell ref="I1755:K1755"/>
    <mergeCell ref="I1756:K1756"/>
    <mergeCell ref="I1757:K1757"/>
    <mergeCell ref="I1758:K1758"/>
    <mergeCell ref="I1759:K1759"/>
    <mergeCell ref="I1760:K1760"/>
    <mergeCell ref="I1761:K1761"/>
    <mergeCell ref="I1762:K1762"/>
    <mergeCell ref="I1763:K1763"/>
    <mergeCell ref="I1764:K1764"/>
    <mergeCell ref="I1765:K1765"/>
    <mergeCell ref="I1766:K1766"/>
    <mergeCell ref="I1767:K1767"/>
    <mergeCell ref="I1768:K1768"/>
    <mergeCell ref="I1769:K1769"/>
    <mergeCell ref="I1770:K1770"/>
    <mergeCell ref="I1771:K1771"/>
    <mergeCell ref="I1772:K1772"/>
    <mergeCell ref="I1773:K1773"/>
    <mergeCell ref="I1774:K1774"/>
    <mergeCell ref="I1775:K1775"/>
    <mergeCell ref="I1776:K1776"/>
    <mergeCell ref="I1777:K1777"/>
    <mergeCell ref="I1778:K1778"/>
    <mergeCell ref="I1779:K1779"/>
    <mergeCell ref="I1780:K1780"/>
    <mergeCell ref="I1781:K1781"/>
    <mergeCell ref="I1782:K1782"/>
    <mergeCell ref="I1783:K1783"/>
    <mergeCell ref="I1784:K1784"/>
    <mergeCell ref="I1785:K1785"/>
    <mergeCell ref="I1786:K1786"/>
    <mergeCell ref="I1787:K1787"/>
    <mergeCell ref="I1788:K1788"/>
    <mergeCell ref="I1789:K1789"/>
    <mergeCell ref="I1790:K1790"/>
    <mergeCell ref="I1791:K1791"/>
    <mergeCell ref="I1792:K1792"/>
    <mergeCell ref="I1793:K1793"/>
    <mergeCell ref="I1794:K1794"/>
    <mergeCell ref="I1795:K1795"/>
    <mergeCell ref="I1796:K1796"/>
    <mergeCell ref="I1797:K1797"/>
    <mergeCell ref="I1798:K1798"/>
    <mergeCell ref="I1799:K1799"/>
    <mergeCell ref="I1800:K1800"/>
    <mergeCell ref="I1801:K1801"/>
    <mergeCell ref="I1802:K1802"/>
    <mergeCell ref="I1803:K1803"/>
    <mergeCell ref="I1804:K1804"/>
    <mergeCell ref="I1805:K1805"/>
    <mergeCell ref="I1806:K1806"/>
    <mergeCell ref="I1807:K1807"/>
    <mergeCell ref="I1808:K1808"/>
    <mergeCell ref="I1809:K1809"/>
    <mergeCell ref="I1810:K1810"/>
    <mergeCell ref="I1811:K1811"/>
    <mergeCell ref="I1812:K1812"/>
    <mergeCell ref="I1813:K1813"/>
    <mergeCell ref="A1814:A1884"/>
    <mergeCell ref="I1814:K1814"/>
    <mergeCell ref="I1815:K1815"/>
    <mergeCell ref="I1816:K1816"/>
    <mergeCell ref="I1817:K1817"/>
    <mergeCell ref="I1818:K1818"/>
    <mergeCell ref="I1819:K1819"/>
    <mergeCell ref="I1820:K1820"/>
    <mergeCell ref="I1821:K1821"/>
    <mergeCell ref="I1822:K1822"/>
    <mergeCell ref="I1823:K1823"/>
    <mergeCell ref="I1824:K1824"/>
    <mergeCell ref="I1825:K1825"/>
    <mergeCell ref="I1826:K1826"/>
    <mergeCell ref="I1827:K1827"/>
    <mergeCell ref="I1828:K1828"/>
    <mergeCell ref="I1829:K1829"/>
    <mergeCell ref="I1830:K1830"/>
    <mergeCell ref="I1831:K1831"/>
    <mergeCell ref="I1832:K1832"/>
    <mergeCell ref="I1833:K1833"/>
    <mergeCell ref="I1834:K1834"/>
    <mergeCell ref="I1835:K1835"/>
    <mergeCell ref="I1836:K1836"/>
    <mergeCell ref="I1837:K1837"/>
    <mergeCell ref="I1838:K1838"/>
    <mergeCell ref="I1839:K1839"/>
    <mergeCell ref="I1840:K1840"/>
    <mergeCell ref="I1841:K1841"/>
    <mergeCell ref="I1842:K1842"/>
    <mergeCell ref="I1843:K1843"/>
    <mergeCell ref="I1844:K1844"/>
    <mergeCell ref="I1845:K1845"/>
    <mergeCell ref="I1846:K1846"/>
    <mergeCell ref="I1847:K1847"/>
    <mergeCell ref="I1848:K1848"/>
    <mergeCell ref="I1849:K1849"/>
    <mergeCell ref="I1850:K1850"/>
    <mergeCell ref="I1851:K1851"/>
    <mergeCell ref="I1852:K1852"/>
    <mergeCell ref="I1853:K1853"/>
    <mergeCell ref="I1854:K1854"/>
    <mergeCell ref="I1855:K1855"/>
    <mergeCell ref="I1856:K1856"/>
    <mergeCell ref="I1857:K1857"/>
    <mergeCell ref="I1858:K1858"/>
    <mergeCell ref="I1859:K1859"/>
    <mergeCell ref="I1860:K1860"/>
    <mergeCell ref="I1861:K1861"/>
    <mergeCell ref="I1862:K1862"/>
    <mergeCell ref="I1863:K1863"/>
    <mergeCell ref="I1864:K1864"/>
    <mergeCell ref="I1865:K1865"/>
    <mergeCell ref="I1866:K1866"/>
    <mergeCell ref="I1867:K1867"/>
    <mergeCell ref="I1868:K1868"/>
    <mergeCell ref="I1869:K1869"/>
    <mergeCell ref="I1870:K1870"/>
    <mergeCell ref="I1871:K1871"/>
    <mergeCell ref="I1872:K1872"/>
    <mergeCell ref="I1873:K1873"/>
    <mergeCell ref="I1874:K1874"/>
    <mergeCell ref="I1875:K1875"/>
    <mergeCell ref="I1876:K1876"/>
    <mergeCell ref="I1877:K1877"/>
    <mergeCell ref="I1878:K1878"/>
    <mergeCell ref="I1879:K1879"/>
    <mergeCell ref="I1880:K1880"/>
    <mergeCell ref="I1881:K1881"/>
    <mergeCell ref="I1882:K1882"/>
    <mergeCell ref="I1883:K1883"/>
    <mergeCell ref="I1884:K1884"/>
    <mergeCell ref="A1885:A1955"/>
    <mergeCell ref="I1885:K1885"/>
    <mergeCell ref="I1886:K1886"/>
    <mergeCell ref="I1887:K1887"/>
    <mergeCell ref="I1888:K1888"/>
    <mergeCell ref="I1889:K1889"/>
    <mergeCell ref="I1890:K1890"/>
    <mergeCell ref="I1891:K1891"/>
    <mergeCell ref="I1892:K1892"/>
    <mergeCell ref="I1893:K1893"/>
    <mergeCell ref="I1894:K1894"/>
    <mergeCell ref="I1895:K1895"/>
    <mergeCell ref="I1896:K1896"/>
    <mergeCell ref="I1897:K1897"/>
    <mergeCell ref="I1898:K1898"/>
    <mergeCell ref="I1899:K1899"/>
    <mergeCell ref="I1900:K1900"/>
    <mergeCell ref="I1901:K1901"/>
    <mergeCell ref="I1902:K1902"/>
    <mergeCell ref="I1903:K1903"/>
    <mergeCell ref="I1904:K1904"/>
    <mergeCell ref="I1905:K1905"/>
    <mergeCell ref="I1906:K1906"/>
    <mergeCell ref="I1907:K1907"/>
    <mergeCell ref="I1908:K1908"/>
    <mergeCell ref="I1909:K1909"/>
    <mergeCell ref="I1910:K1910"/>
    <mergeCell ref="I1911:K1911"/>
    <mergeCell ref="I1912:K1912"/>
    <mergeCell ref="I1913:K1913"/>
    <mergeCell ref="I1914:K1914"/>
    <mergeCell ref="I1915:K1915"/>
    <mergeCell ref="I1916:K1916"/>
    <mergeCell ref="I1917:K1917"/>
    <mergeCell ref="I1918:K1918"/>
    <mergeCell ref="I1919:K1919"/>
    <mergeCell ref="I1920:K1920"/>
    <mergeCell ref="I1921:K1921"/>
    <mergeCell ref="I1922:K1922"/>
    <mergeCell ref="I1923:K1923"/>
    <mergeCell ref="I1924:K1924"/>
    <mergeCell ref="I1925:K1925"/>
    <mergeCell ref="I1926:K1926"/>
    <mergeCell ref="I1927:K1927"/>
    <mergeCell ref="I1928:K1928"/>
    <mergeCell ref="I1929:K1929"/>
    <mergeCell ref="I1930:K1930"/>
    <mergeCell ref="I1931:K1931"/>
    <mergeCell ref="I1932:K1932"/>
    <mergeCell ref="I1933:K1933"/>
    <mergeCell ref="I1934:K1934"/>
    <mergeCell ref="I1935:K1935"/>
    <mergeCell ref="I1936:K1936"/>
    <mergeCell ref="I1937:K1937"/>
    <mergeCell ref="I1938:K1938"/>
    <mergeCell ref="I1939:K1939"/>
    <mergeCell ref="I1940:K1940"/>
    <mergeCell ref="I1941:K1941"/>
    <mergeCell ref="I1942:K1942"/>
    <mergeCell ref="I1943:K1943"/>
    <mergeCell ref="I1944:K1944"/>
    <mergeCell ref="I1945:K1945"/>
    <mergeCell ref="I1946:K1946"/>
    <mergeCell ref="I1947:K1947"/>
    <mergeCell ref="I1948:K1948"/>
    <mergeCell ref="I1949:K1949"/>
    <mergeCell ref="I1950:K1950"/>
    <mergeCell ref="I1951:K1951"/>
    <mergeCell ref="I1952:K1952"/>
    <mergeCell ref="I1953:K1953"/>
    <mergeCell ref="I1954:K1954"/>
    <mergeCell ref="I1955:K1955"/>
    <mergeCell ref="A1956:A2026"/>
    <mergeCell ref="I1956:K1956"/>
    <mergeCell ref="I1957:K1957"/>
    <mergeCell ref="I1958:K1958"/>
    <mergeCell ref="I1959:K1959"/>
    <mergeCell ref="I1960:K1960"/>
    <mergeCell ref="I1961:K1961"/>
    <mergeCell ref="I1962:K1962"/>
    <mergeCell ref="I1963:K1963"/>
    <mergeCell ref="I1964:K1964"/>
    <mergeCell ref="I1965:K1965"/>
    <mergeCell ref="I1966:K1966"/>
    <mergeCell ref="I1967:K1967"/>
    <mergeCell ref="I1968:K1968"/>
    <mergeCell ref="I1969:K1969"/>
    <mergeCell ref="I1970:K1970"/>
    <mergeCell ref="I1971:K1971"/>
    <mergeCell ref="I1972:K1972"/>
    <mergeCell ref="I1973:K1973"/>
    <mergeCell ref="I1974:K1974"/>
    <mergeCell ref="I1975:K1975"/>
    <mergeCell ref="I1976:K1976"/>
    <mergeCell ref="I1977:K1977"/>
    <mergeCell ref="I1978:K1978"/>
    <mergeCell ref="I1979:K1979"/>
    <mergeCell ref="I1980:K1980"/>
    <mergeCell ref="I1981:K1981"/>
    <mergeCell ref="I1982:K1982"/>
    <mergeCell ref="I1983:K1983"/>
    <mergeCell ref="I1984:K1984"/>
    <mergeCell ref="I1985:K1985"/>
    <mergeCell ref="I1986:K1986"/>
    <mergeCell ref="I1987:K1987"/>
    <mergeCell ref="I1988:K1988"/>
    <mergeCell ref="I1989:K1989"/>
    <mergeCell ref="I1990:K1990"/>
    <mergeCell ref="I1991:K1991"/>
    <mergeCell ref="I1992:K1992"/>
    <mergeCell ref="I1993:K1993"/>
    <mergeCell ref="I1994:K1994"/>
    <mergeCell ref="I1995:K1995"/>
    <mergeCell ref="I1996:K1996"/>
    <mergeCell ref="I1997:K1997"/>
    <mergeCell ref="I1998:K1998"/>
    <mergeCell ref="I1999:K1999"/>
    <mergeCell ref="I2000:K2000"/>
    <mergeCell ref="I2001:K2001"/>
    <mergeCell ref="I2002:K2002"/>
    <mergeCell ref="I2003:K2003"/>
    <mergeCell ref="I2004:K2004"/>
    <mergeCell ref="I2005:K2005"/>
    <mergeCell ref="I2006:K2006"/>
    <mergeCell ref="I2007:K2007"/>
    <mergeCell ref="I2008:K2008"/>
    <mergeCell ref="I2009:K2009"/>
    <mergeCell ref="I2010:K2010"/>
    <mergeCell ref="I2011:K2011"/>
    <mergeCell ref="I2012:K2012"/>
    <mergeCell ref="I2013:K2013"/>
    <mergeCell ref="I2014:K2014"/>
    <mergeCell ref="I2015:K2015"/>
    <mergeCell ref="I2016:K2016"/>
    <mergeCell ref="I2017:K2017"/>
    <mergeCell ref="I2018:K2018"/>
    <mergeCell ref="I2019:K2019"/>
    <mergeCell ref="I2020:K2020"/>
    <mergeCell ref="I2021:K2021"/>
    <mergeCell ref="I2022:K2022"/>
    <mergeCell ref="I2023:K2023"/>
    <mergeCell ref="I2024:K2024"/>
    <mergeCell ref="I2025:K2025"/>
    <mergeCell ref="I2026:K2026"/>
    <mergeCell ref="A2027:A2097"/>
    <mergeCell ref="I2027:K2027"/>
    <mergeCell ref="I2028:K2028"/>
    <mergeCell ref="I2029:K2029"/>
    <mergeCell ref="I2030:K2030"/>
    <mergeCell ref="I2031:K2031"/>
    <mergeCell ref="I2032:K2032"/>
    <mergeCell ref="I2033:K2033"/>
    <mergeCell ref="I2034:K2034"/>
    <mergeCell ref="I2035:K2035"/>
    <mergeCell ref="I2036:K2036"/>
    <mergeCell ref="I2037:K2037"/>
    <mergeCell ref="I2038:K2038"/>
    <mergeCell ref="I2039:K2039"/>
    <mergeCell ref="I2040:K2040"/>
    <mergeCell ref="I2041:K2041"/>
    <mergeCell ref="I2042:K2042"/>
    <mergeCell ref="I2043:K2043"/>
    <mergeCell ref="I2044:K2044"/>
    <mergeCell ref="I2045:K2045"/>
    <mergeCell ref="I2046:K2046"/>
    <mergeCell ref="I2047:K2047"/>
    <mergeCell ref="I2048:K2048"/>
    <mergeCell ref="I2049:K2049"/>
    <mergeCell ref="I2050:K2050"/>
    <mergeCell ref="I2051:K2051"/>
    <mergeCell ref="I2052:K2052"/>
    <mergeCell ref="I2053:K2053"/>
    <mergeCell ref="I2054:K2054"/>
    <mergeCell ref="I2055:K2055"/>
    <mergeCell ref="I2056:K2056"/>
    <mergeCell ref="I2057:K2057"/>
    <mergeCell ref="I2058:K2058"/>
    <mergeCell ref="I2059:K2059"/>
    <mergeCell ref="I2060:K2060"/>
    <mergeCell ref="I2061:K2061"/>
    <mergeCell ref="I2062:K2062"/>
    <mergeCell ref="I2063:K2063"/>
    <mergeCell ref="I2064:K2064"/>
    <mergeCell ref="I2065:K2065"/>
    <mergeCell ref="I2066:K2066"/>
    <mergeCell ref="I2067:K2067"/>
    <mergeCell ref="I2068:K2068"/>
    <mergeCell ref="I2069:K2069"/>
    <mergeCell ref="I2070:K2070"/>
    <mergeCell ref="I2071:K2071"/>
    <mergeCell ref="I2072:K2072"/>
    <mergeCell ref="I2073:K2073"/>
    <mergeCell ref="I2074:K2074"/>
    <mergeCell ref="I2075:K2075"/>
    <mergeCell ref="I2076:K2076"/>
    <mergeCell ref="I2077:K2077"/>
    <mergeCell ref="I2078:K2078"/>
    <mergeCell ref="I2079:K2079"/>
    <mergeCell ref="I2080:K2080"/>
    <mergeCell ref="I2081:K2081"/>
    <mergeCell ref="I2082:K2082"/>
    <mergeCell ref="I2083:K2083"/>
    <mergeCell ref="I2084:K2084"/>
    <mergeCell ref="I2085:K2085"/>
    <mergeCell ref="I2086:K2086"/>
    <mergeCell ref="I2087:K2087"/>
    <mergeCell ref="I2088:K2088"/>
    <mergeCell ref="I2089:K2089"/>
    <mergeCell ref="I2090:K2090"/>
    <mergeCell ref="I2091:K2091"/>
    <mergeCell ref="I2092:K2092"/>
    <mergeCell ref="I2093:K2093"/>
    <mergeCell ref="I2094:K2094"/>
    <mergeCell ref="I2095:K2095"/>
    <mergeCell ref="I2096:K2096"/>
    <mergeCell ref="I2097:K2097"/>
    <mergeCell ref="A2098:A2168"/>
    <mergeCell ref="I2098:K2098"/>
    <mergeCell ref="I2099:K2099"/>
    <mergeCell ref="I2100:K2100"/>
    <mergeCell ref="I2101:K2101"/>
    <mergeCell ref="I2102:K2102"/>
    <mergeCell ref="I2103:K2103"/>
    <mergeCell ref="I2104:K2104"/>
    <mergeCell ref="I2105:K2105"/>
    <mergeCell ref="I2106:K2106"/>
    <mergeCell ref="I2107:K2107"/>
    <mergeCell ref="I2108:K2108"/>
    <mergeCell ref="I2109:K2109"/>
    <mergeCell ref="I2110:K2110"/>
    <mergeCell ref="I2111:K2111"/>
    <mergeCell ref="I2112:K2112"/>
    <mergeCell ref="I2113:K2113"/>
    <mergeCell ref="I2114:K2114"/>
    <mergeCell ref="I2115:K2115"/>
    <mergeCell ref="I2116:K2116"/>
    <mergeCell ref="I2117:K2117"/>
    <mergeCell ref="I2118:K2118"/>
    <mergeCell ref="I2119:K2119"/>
    <mergeCell ref="I2120:K2120"/>
    <mergeCell ref="I2121:K2121"/>
    <mergeCell ref="I2122:K2122"/>
    <mergeCell ref="I2123:K2123"/>
    <mergeCell ref="I2124:K2124"/>
    <mergeCell ref="I2125:K2125"/>
    <mergeCell ref="I2126:K2126"/>
    <mergeCell ref="I2127:K2127"/>
    <mergeCell ref="I2128:K2128"/>
    <mergeCell ref="I2129:K2129"/>
    <mergeCell ref="I2130:K2130"/>
    <mergeCell ref="I2131:K2131"/>
    <mergeCell ref="I2132:K2132"/>
    <mergeCell ref="I2133:K2133"/>
    <mergeCell ref="I2134:K2134"/>
    <mergeCell ref="I2135:K2135"/>
    <mergeCell ref="I2136:K2136"/>
    <mergeCell ref="I2137:K2137"/>
    <mergeCell ref="I2138:K2138"/>
    <mergeCell ref="I2139:K2139"/>
    <mergeCell ref="I2140:K2140"/>
    <mergeCell ref="I2141:K2141"/>
    <mergeCell ref="I2142:K2142"/>
    <mergeCell ref="I2143:K2143"/>
    <mergeCell ref="I2144:K2144"/>
    <mergeCell ref="I2145:K2145"/>
    <mergeCell ref="I2146:K2146"/>
    <mergeCell ref="I2147:K2147"/>
    <mergeCell ref="I2148:K2148"/>
    <mergeCell ref="I2149:K2149"/>
    <mergeCell ref="I2150:K2150"/>
    <mergeCell ref="I2151:K2151"/>
    <mergeCell ref="I2152:K2152"/>
    <mergeCell ref="I2153:K2153"/>
    <mergeCell ref="I2154:K2154"/>
    <mergeCell ref="I2155:K2155"/>
    <mergeCell ref="I2156:K2156"/>
    <mergeCell ref="I2157:K2157"/>
    <mergeCell ref="I2158:K2158"/>
    <mergeCell ref="I2159:K2159"/>
    <mergeCell ref="I2160:K2160"/>
    <mergeCell ref="I2161:K2161"/>
    <mergeCell ref="I2162:K2162"/>
    <mergeCell ref="I2163:K2163"/>
    <mergeCell ref="I2164:K2164"/>
    <mergeCell ref="I2165:K2165"/>
    <mergeCell ref="I2166:K2166"/>
    <mergeCell ref="I2167:K2167"/>
    <mergeCell ref="I2168:K2168"/>
  </mergeCells>
  <conditionalFormatting sqref="J5:J34">
    <cfRule type="expression" priority="2" aboveAverage="0" equalAverage="0" bottom="0" percent="0" rank="0" text="" dxfId="7">
      <formula>$I5=0</formula>
    </cfRule>
    <cfRule type="expression" priority="3" aboveAverage="0" equalAverage="0" bottom="0" percent="0" rank="0" text="" dxfId="4">
      <formula>AND($I5&gt;0,$I5&lt;=0.6)</formula>
    </cfRule>
    <cfRule type="expression" priority="4" aboveAverage="0" equalAverage="0" bottom="0" percent="0" rank="0" text="" dxfId="3">
      <formula>AND($I5&gt;0.6,$I5&lt;=0.85)</formula>
    </cfRule>
    <cfRule type="expression" priority="5" aboveAverage="0" equalAverage="0" bottom="0" percent="0" rank="0" text="" dxfId="5">
      <formula>AND($I5&gt;0.85,$I5&lt;=1)</formula>
    </cfRule>
    <cfRule type="expression" priority="6" aboveAverage="0" equalAverage="0" bottom="0" percent="0" rank="0" text="" dxfId="0">
      <formula>$I5&gt;1</formula>
    </cfRule>
  </conditionalFormatting>
  <conditionalFormatting sqref="H39:H2168">
    <cfRule type="expression" priority="7" aboveAverage="0" equalAverage="0" bottom="0" percent="0" rank="0" text="" dxfId="7">
      <formula>$G39=0</formula>
    </cfRule>
    <cfRule type="expression" priority="8" aboveAverage="0" equalAverage="0" bottom="0" percent="0" rank="0" text="" dxfId="4">
      <formula>AND($G39&gt;0,$G39&lt;=0.6)</formula>
    </cfRule>
    <cfRule type="expression" priority="9" aboveAverage="0" equalAverage="0" bottom="0" percent="0" rank="0" text="" dxfId="3">
      <formula>AND($G39&gt;0.6,$G39&lt;=0.85)</formula>
    </cfRule>
    <cfRule type="expression" priority="10" aboveAverage="0" equalAverage="0" bottom="0" percent="0" rank="0" text="" dxfId="5">
      <formula>AND($G39&gt;0.85,$G39&lt;=1)</formula>
    </cfRule>
    <cfRule type="expression" priority="11" aboveAverage="0" equalAverage="0" bottom="0" percent="0" rank="0" text="" dxfId="0">
      <formula>$G39&gt;1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E13" activeCellId="0" sqref="E13"/>
    </sheetView>
  </sheetViews>
  <sheetFormatPr defaultColWidth="7.75390625" defaultRowHeight="15" customHeight="false" zeroHeight="false" outlineLevelRow="0" outlineLevelCol="0"/>
  <cols>
    <col collapsed="false" customWidth="true" hidden="false" outlineLevel="0" max="1" min="1" style="1" width="8.61"/>
    <col collapsed="false" customWidth="true" hidden="false" outlineLevel="0" max="2" min="2" style="1" width="9.47"/>
    <col collapsed="false" customWidth="true" hidden="false" outlineLevel="0" max="3" min="3" style="1" width="28.79"/>
    <col collapsed="false" customWidth="true" hidden="false" outlineLevel="0" max="4" min="4" style="1" width="35.18"/>
    <col collapsed="false" customWidth="true" hidden="false" outlineLevel="0" max="5" min="5" style="1" width="53.78"/>
    <col collapsed="false" customWidth="true" hidden="false" outlineLevel="0" max="6" min="6" style="1" width="12.05"/>
    <col collapsed="false" customWidth="true" hidden="false" outlineLevel="0" max="7" min="7" style="1" width="11.18"/>
    <col collapsed="false" customWidth="true" hidden="false" outlineLevel="0" max="8" min="8" style="1" width="9.36"/>
    <col collapsed="false" customWidth="true" hidden="false" outlineLevel="0" max="11" min="11" style="1" width="8.75"/>
    <col collapsed="false" customWidth="true" hidden="false" outlineLevel="0" max="12" min="12" style="1" width="9.47"/>
    <col collapsed="false" customWidth="true" hidden="false" outlineLevel="0" max="13" min="13" style="1" width="24.09"/>
    <col collapsed="false" customWidth="true" hidden="false" outlineLevel="0" max="14" min="14" style="1" width="27.53"/>
    <col collapsed="false" customWidth="true" hidden="true" outlineLevel="0" max="15" min="15" style="1" width="11.18"/>
  </cols>
  <sheetData>
    <row r="1" customFormat="false" ht="27.75" hidden="false" customHeight="true" outlineLevel="0" collapsed="false">
      <c r="A1" s="64" t="s">
        <v>780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2" customFormat="false" ht="21.75" hidden="false" customHeight="true" outlineLevel="0" collapsed="false">
      <c r="A2" s="107" t="s">
        <v>781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</row>
    <row r="3" customFormat="false" ht="16.5" hidden="false" customHeight="true" outlineLevel="0" collapsed="false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Q3" s="108" t="s">
        <v>782</v>
      </c>
    </row>
    <row r="4" customFormat="false" ht="27.75" hidden="false" customHeight="true" outlineLevel="0" collapsed="false">
      <c r="A4" s="109" t="s">
        <v>200</v>
      </c>
      <c r="B4" s="109" t="s">
        <v>783</v>
      </c>
      <c r="C4" s="109" t="s">
        <v>784</v>
      </c>
      <c r="D4" s="109" t="s">
        <v>785</v>
      </c>
      <c r="E4" s="109" t="s">
        <v>786</v>
      </c>
      <c r="F4" s="109" t="s">
        <v>787</v>
      </c>
      <c r="G4" s="109" t="s">
        <v>788</v>
      </c>
      <c r="H4" s="109" t="s">
        <v>789</v>
      </c>
      <c r="I4" s="109" t="s">
        <v>790</v>
      </c>
      <c r="J4" s="109" t="s">
        <v>791</v>
      </c>
      <c r="K4" s="109" t="s">
        <v>792</v>
      </c>
      <c r="L4" s="109" t="s">
        <v>793</v>
      </c>
      <c r="O4" s="110" t="s">
        <v>794</v>
      </c>
      <c r="Q4" s="108" t="s">
        <v>795</v>
      </c>
    </row>
    <row r="5" customFormat="false" ht="26.25" hidden="false" customHeight="true" outlineLevel="0" collapsed="false">
      <c r="A5" s="111" t="s">
        <v>219</v>
      </c>
      <c r="B5" s="112" t="n">
        <v>46293</v>
      </c>
      <c r="C5" s="112" t="n">
        <v>46299</v>
      </c>
      <c r="D5" s="113" t="s">
        <v>796</v>
      </c>
      <c r="E5" s="111" t="str">
        <f aca="false">B31&amp;" "&amp;C31</f>
        <v>T008 汇编可研报告并组织评审</v>
      </c>
      <c r="F5" s="111" t="n">
        <f aca="false">COUNTIF($A$31:$A$610,A5)</f>
        <v>4</v>
      </c>
      <c r="G5" s="111" t="n">
        <f aca="false">COUNTIFS($A$31:$A$610,A5,$I$31:$I$610,"已完成")</f>
        <v>1</v>
      </c>
      <c r="H5" s="114" t="n">
        <f aca="false">IFERROR(G5/F5,0)</f>
        <v>0.25</v>
      </c>
      <c r="I5" s="111" t="n">
        <f aca="false">COUNTIFS($A$31:$A$610,A5,$L$31:$L$610,"是")</f>
        <v>3</v>
      </c>
      <c r="J5" s="111" t="n">
        <f aca="false">COUNTIFS($A$31:$A$610,A5,$I$31:$I$610,"暂停")</f>
        <v>0</v>
      </c>
      <c r="K5" s="111" t="str">
        <f aca="false">IF(J5&gt;0,"暂停",IF(I5&gt;0,"延期",IF(H5=1,"已完成","进行中")))</f>
        <v>延期</v>
      </c>
      <c r="L5" s="113"/>
      <c r="O5" s="66" t="str">
        <f aca="false">A5</f>
        <v>2026-W40</v>
      </c>
      <c r="Q5" s="108" t="s">
        <v>797</v>
      </c>
    </row>
    <row r="6" customFormat="false" ht="16.5" hidden="false" customHeight="true" outlineLevel="0" collapsed="false">
      <c r="A6" s="115"/>
      <c r="B6" s="116"/>
      <c r="C6" s="116"/>
      <c r="D6" s="117"/>
      <c r="E6" s="115"/>
      <c r="F6" s="115"/>
      <c r="G6" s="115"/>
      <c r="H6" s="118"/>
      <c r="I6" s="115"/>
      <c r="J6" s="115"/>
      <c r="K6" s="115"/>
      <c r="L6" s="117"/>
      <c r="O6" s="66"/>
      <c r="Q6" s="108" t="s">
        <v>798</v>
      </c>
    </row>
    <row r="7" customFormat="false" ht="16.5" hidden="false" customHeight="true" outlineLevel="0" collapsed="false">
      <c r="A7" s="115"/>
      <c r="B7" s="116"/>
      <c r="C7" s="116"/>
      <c r="D7" s="117"/>
      <c r="E7" s="115"/>
      <c r="F7" s="115"/>
      <c r="G7" s="115"/>
      <c r="H7" s="118"/>
      <c r="I7" s="115"/>
      <c r="J7" s="115"/>
      <c r="K7" s="115"/>
      <c r="L7" s="117"/>
      <c r="O7" s="66"/>
      <c r="Q7" s="108" t="s">
        <v>799</v>
      </c>
    </row>
    <row r="8" customFormat="false" ht="16.5" hidden="false" customHeight="true" outlineLevel="0" collapsed="false">
      <c r="A8" s="119"/>
      <c r="B8" s="120"/>
      <c r="C8" s="120"/>
      <c r="D8" s="121"/>
      <c r="E8" s="119"/>
      <c r="F8" s="119"/>
      <c r="G8" s="119"/>
      <c r="H8" s="122"/>
      <c r="I8" s="119"/>
      <c r="J8" s="119"/>
      <c r="K8" s="119"/>
      <c r="L8" s="121"/>
      <c r="O8" s="66"/>
      <c r="Q8" s="108" t="s">
        <v>800</v>
      </c>
    </row>
    <row r="9" customFormat="false" ht="16.5" hidden="false" customHeight="true" outlineLevel="0" collapsed="false">
      <c r="A9" s="111"/>
      <c r="B9" s="123"/>
      <c r="C9" s="123"/>
      <c r="D9" s="113"/>
      <c r="E9" s="111"/>
      <c r="F9" s="111"/>
      <c r="G9" s="111"/>
      <c r="H9" s="124"/>
      <c r="I9" s="111"/>
      <c r="J9" s="111"/>
      <c r="K9" s="111"/>
      <c r="L9" s="113"/>
      <c r="O9" s="66"/>
      <c r="Q9" s="108" t="s">
        <v>801</v>
      </c>
    </row>
    <row r="10" customFormat="false" ht="16.5" hidden="false" customHeight="true" outlineLevel="0" collapsed="false">
      <c r="A10" s="115"/>
      <c r="B10" s="116"/>
      <c r="C10" s="116"/>
      <c r="D10" s="117"/>
      <c r="E10" s="115"/>
      <c r="F10" s="115"/>
      <c r="G10" s="115"/>
      <c r="H10" s="118"/>
      <c r="I10" s="115"/>
      <c r="J10" s="115"/>
      <c r="K10" s="115"/>
      <c r="L10" s="117"/>
      <c r="O10" s="66"/>
      <c r="Q10" s="108" t="s">
        <v>802</v>
      </c>
    </row>
    <row r="11" customFormat="false" ht="16.5" hidden="false" customHeight="true" outlineLevel="0" collapsed="false">
      <c r="A11" s="115"/>
      <c r="B11" s="116"/>
      <c r="C11" s="116"/>
      <c r="D11" s="117"/>
      <c r="E11" s="115"/>
      <c r="F11" s="115"/>
      <c r="G11" s="115"/>
      <c r="H11" s="118"/>
      <c r="I11" s="115"/>
      <c r="J11" s="115"/>
      <c r="K11" s="115"/>
      <c r="L11" s="117"/>
      <c r="O11" s="66"/>
      <c r="Q11" s="108" t="s">
        <v>803</v>
      </c>
    </row>
    <row r="12" customFormat="false" ht="16.5" hidden="false" customHeight="true" outlineLevel="0" collapsed="false">
      <c r="A12" s="115"/>
      <c r="B12" s="116"/>
      <c r="C12" s="116"/>
      <c r="D12" s="117"/>
      <c r="E12" s="115"/>
      <c r="F12" s="115"/>
      <c r="G12" s="115"/>
      <c r="H12" s="118"/>
      <c r="I12" s="115"/>
      <c r="J12" s="115"/>
      <c r="K12" s="115"/>
      <c r="L12" s="117"/>
      <c r="O12" s="66"/>
      <c r="Q12" s="108" t="s">
        <v>804</v>
      </c>
    </row>
    <row r="13" customFormat="false" ht="16.5" hidden="false" customHeight="true" outlineLevel="0" collapsed="false">
      <c r="A13" s="119"/>
      <c r="B13" s="120"/>
      <c r="C13" s="120"/>
      <c r="D13" s="121"/>
      <c r="E13" s="119"/>
      <c r="F13" s="119"/>
      <c r="G13" s="119"/>
      <c r="H13" s="122"/>
      <c r="I13" s="119"/>
      <c r="J13" s="119"/>
      <c r="K13" s="119"/>
      <c r="L13" s="121"/>
      <c r="O13" s="66"/>
      <c r="Q13" s="108" t="s">
        <v>805</v>
      </c>
    </row>
    <row r="14" customFormat="false" ht="42" hidden="false" customHeight="true" outlineLevel="0" collapsed="false">
      <c r="A14" s="80"/>
      <c r="B14" s="79"/>
      <c r="C14" s="79"/>
      <c r="D14" s="125"/>
      <c r="E14" s="80"/>
      <c r="F14" s="80"/>
      <c r="G14" s="80"/>
      <c r="H14" s="82"/>
      <c r="I14" s="80"/>
      <c r="J14" s="80"/>
      <c r="K14" s="80"/>
      <c r="L14" s="125"/>
      <c r="O14" s="66"/>
      <c r="Q14" s="108" t="s">
        <v>806</v>
      </c>
    </row>
    <row r="15" customFormat="false" ht="90" hidden="false" customHeight="true" outlineLevel="0" collapsed="false">
      <c r="A15" s="126"/>
      <c r="B15" s="127"/>
      <c r="C15" s="127"/>
      <c r="D15" s="125"/>
      <c r="E15" s="126"/>
      <c r="F15" s="126"/>
      <c r="G15" s="126"/>
      <c r="H15" s="128"/>
      <c r="I15" s="126"/>
      <c r="J15" s="126"/>
      <c r="K15" s="126"/>
      <c r="L15" s="125"/>
      <c r="O15" s="66"/>
      <c r="Q15" s="108" t="s">
        <v>807</v>
      </c>
    </row>
    <row r="16" customFormat="false" ht="75" hidden="false" customHeight="true" outlineLevel="0" collapsed="false">
      <c r="A16" s="80"/>
      <c r="B16" s="79"/>
      <c r="C16" s="79"/>
      <c r="D16" s="125"/>
      <c r="E16" s="80"/>
      <c r="F16" s="80"/>
      <c r="G16" s="80"/>
      <c r="H16" s="82"/>
      <c r="I16" s="80"/>
      <c r="J16" s="80"/>
      <c r="K16" s="80"/>
      <c r="L16" s="125"/>
      <c r="O16" s="66"/>
      <c r="Q16" s="108" t="s">
        <v>808</v>
      </c>
    </row>
    <row r="17" customFormat="false" ht="42" hidden="false" customHeight="true" outlineLevel="0" collapsed="false">
      <c r="A17" s="80"/>
      <c r="B17" s="79"/>
      <c r="C17" s="79"/>
      <c r="D17" s="125"/>
      <c r="E17" s="80"/>
      <c r="F17" s="80"/>
      <c r="G17" s="80"/>
      <c r="H17" s="82"/>
      <c r="I17" s="80"/>
      <c r="J17" s="80"/>
      <c r="K17" s="80"/>
      <c r="L17" s="125"/>
      <c r="O17" s="66"/>
      <c r="Q17" s="108" t="s">
        <v>809</v>
      </c>
    </row>
    <row r="18" customFormat="false" ht="42" hidden="false" customHeight="true" outlineLevel="0" collapsed="false">
      <c r="A18" s="80"/>
      <c r="B18" s="79"/>
      <c r="C18" s="79"/>
      <c r="D18" s="125"/>
      <c r="E18" s="80"/>
      <c r="F18" s="80"/>
      <c r="G18" s="80"/>
      <c r="H18" s="82"/>
      <c r="I18" s="80"/>
      <c r="J18" s="80"/>
      <c r="K18" s="80"/>
      <c r="L18" s="125"/>
      <c r="O18" s="66"/>
      <c r="Q18" s="108" t="s">
        <v>810</v>
      </c>
    </row>
    <row r="19" customFormat="false" ht="42" hidden="false" customHeight="true" outlineLevel="0" collapsed="false">
      <c r="A19" s="80"/>
      <c r="B19" s="79"/>
      <c r="C19" s="79"/>
      <c r="D19" s="125"/>
      <c r="E19" s="80"/>
      <c r="F19" s="80"/>
      <c r="G19" s="80"/>
      <c r="H19" s="82"/>
      <c r="I19" s="80"/>
      <c r="J19" s="80"/>
      <c r="K19" s="80"/>
      <c r="L19" s="125"/>
      <c r="O19" s="66"/>
      <c r="Q19" s="108" t="s">
        <v>811</v>
      </c>
    </row>
    <row r="20" customFormat="false" ht="42" hidden="false" customHeight="true" outlineLevel="0" collapsed="false">
      <c r="A20" s="80"/>
      <c r="B20" s="79"/>
      <c r="C20" s="79"/>
      <c r="D20" s="125"/>
      <c r="E20" s="80"/>
      <c r="F20" s="80"/>
      <c r="G20" s="80"/>
      <c r="H20" s="82"/>
      <c r="I20" s="80"/>
      <c r="J20" s="80"/>
      <c r="K20" s="80"/>
      <c r="L20" s="125"/>
      <c r="O20" s="66"/>
      <c r="Q20" s="108" t="s">
        <v>812</v>
      </c>
    </row>
    <row r="21" customFormat="false" ht="120" hidden="false" customHeight="true" outlineLevel="0" collapsed="false">
      <c r="A21" s="80"/>
      <c r="B21" s="79"/>
      <c r="C21" s="79"/>
      <c r="D21" s="125"/>
      <c r="E21" s="80"/>
      <c r="F21" s="80"/>
      <c r="G21" s="80"/>
      <c r="H21" s="82"/>
      <c r="I21" s="80"/>
      <c r="J21" s="80"/>
      <c r="K21" s="80"/>
      <c r="L21" s="125"/>
      <c r="O21" s="66"/>
      <c r="Q21" s="108" t="s">
        <v>813</v>
      </c>
    </row>
    <row r="22" customFormat="false" ht="42" hidden="false" customHeight="true" outlineLevel="0" collapsed="false">
      <c r="A22" s="80"/>
      <c r="B22" s="79"/>
      <c r="C22" s="79"/>
      <c r="D22" s="125"/>
      <c r="E22" s="80"/>
      <c r="F22" s="80"/>
      <c r="G22" s="80"/>
      <c r="H22" s="82"/>
      <c r="I22" s="80"/>
      <c r="J22" s="80"/>
      <c r="K22" s="80"/>
      <c r="L22" s="125"/>
      <c r="O22" s="66"/>
      <c r="Q22" s="108" t="s">
        <v>814</v>
      </c>
    </row>
    <row r="23" customFormat="false" ht="42" hidden="false" customHeight="true" outlineLevel="0" collapsed="false">
      <c r="A23" s="80"/>
      <c r="B23" s="79"/>
      <c r="C23" s="79"/>
      <c r="D23" s="125"/>
      <c r="E23" s="80"/>
      <c r="F23" s="80"/>
      <c r="G23" s="80"/>
      <c r="H23" s="82"/>
      <c r="I23" s="80"/>
      <c r="J23" s="80"/>
      <c r="K23" s="80"/>
      <c r="L23" s="125"/>
      <c r="O23" s="66"/>
      <c r="Q23" s="108" t="s">
        <v>815</v>
      </c>
    </row>
    <row r="24" customFormat="false" ht="42" hidden="false" customHeight="true" outlineLevel="0" collapsed="false">
      <c r="A24" s="80"/>
      <c r="B24" s="79"/>
      <c r="C24" s="79"/>
      <c r="D24" s="125"/>
      <c r="E24" s="80"/>
      <c r="F24" s="80"/>
      <c r="G24" s="80"/>
      <c r="H24" s="82"/>
      <c r="I24" s="80"/>
      <c r="J24" s="80"/>
      <c r="K24" s="80"/>
      <c r="L24" s="125"/>
      <c r="O24" s="66"/>
      <c r="Q24" s="108" t="s">
        <v>816</v>
      </c>
    </row>
    <row r="25" customFormat="false" ht="42" hidden="false" customHeight="true" outlineLevel="0" collapsed="false">
      <c r="A25" s="80"/>
      <c r="B25" s="79"/>
      <c r="C25" s="79"/>
      <c r="D25" s="125"/>
      <c r="E25" s="80"/>
      <c r="F25" s="80"/>
      <c r="G25" s="80"/>
      <c r="H25" s="82"/>
      <c r="I25" s="80"/>
      <c r="J25" s="80"/>
      <c r="K25" s="80"/>
      <c r="L25" s="125"/>
      <c r="O25" s="66"/>
      <c r="Q25" s="108" t="s">
        <v>817</v>
      </c>
    </row>
    <row r="26" customFormat="false" ht="75" hidden="false" customHeight="true" outlineLevel="0" collapsed="false">
      <c r="A26" s="80"/>
      <c r="B26" s="79"/>
      <c r="C26" s="79"/>
      <c r="D26" s="125"/>
      <c r="E26" s="80"/>
      <c r="F26" s="80"/>
      <c r="G26" s="80"/>
      <c r="H26" s="82"/>
      <c r="I26" s="80"/>
      <c r="J26" s="80"/>
      <c r="K26" s="80"/>
      <c r="L26" s="125"/>
      <c r="O26" s="66"/>
      <c r="Q26" s="108" t="s">
        <v>818</v>
      </c>
    </row>
    <row r="27" customFormat="false" ht="42" hidden="false" customHeight="true" outlineLevel="0" collapsed="false">
      <c r="A27" s="80"/>
      <c r="B27" s="79"/>
      <c r="C27" s="79"/>
      <c r="D27" s="125"/>
      <c r="E27" s="80"/>
      <c r="F27" s="80"/>
      <c r="G27" s="80"/>
      <c r="H27" s="82"/>
      <c r="I27" s="80"/>
      <c r="J27" s="80"/>
      <c r="K27" s="80"/>
      <c r="L27" s="125"/>
      <c r="O27" s="66"/>
      <c r="Q27" s="108" t="s">
        <v>819</v>
      </c>
    </row>
    <row r="28" customFormat="false" ht="15" hidden="false" customHeight="true" outlineLevel="0" collapsed="false">
      <c r="Q28" s="108" t="s">
        <v>820</v>
      </c>
    </row>
    <row r="29" customFormat="false" ht="24" hidden="false" customHeight="true" outlineLevel="0" collapsed="false">
      <c r="A29" s="129" t="s">
        <v>821</v>
      </c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Q29" s="108" t="s">
        <v>822</v>
      </c>
    </row>
    <row r="30" customFormat="false" ht="27.75" hidden="false" customHeight="true" outlineLevel="0" collapsed="false">
      <c r="A30" s="109" t="s">
        <v>200</v>
      </c>
      <c r="B30" s="109" t="s">
        <v>169</v>
      </c>
      <c r="C30" s="109" t="s">
        <v>823</v>
      </c>
      <c r="D30" s="109" t="s">
        <v>174</v>
      </c>
      <c r="E30" s="109" t="s">
        <v>824</v>
      </c>
      <c r="F30" s="109" t="s">
        <v>59</v>
      </c>
      <c r="G30" s="109" t="s">
        <v>177</v>
      </c>
      <c r="H30" s="109" t="s">
        <v>178</v>
      </c>
      <c r="I30" s="109" t="s">
        <v>825</v>
      </c>
      <c r="J30" s="109" t="s">
        <v>175</v>
      </c>
      <c r="K30" s="109" t="s">
        <v>826</v>
      </c>
      <c r="L30" s="109" t="s">
        <v>827</v>
      </c>
      <c r="M30" s="109" t="s">
        <v>828</v>
      </c>
      <c r="N30" s="109" t="s">
        <v>829</v>
      </c>
      <c r="O30" s="130" t="s">
        <v>830</v>
      </c>
      <c r="Q30" s="108" t="s">
        <v>831</v>
      </c>
    </row>
    <row r="31" customFormat="false" ht="21.75" hidden="false" customHeight="true" outlineLevel="0" collapsed="false">
      <c r="A31" s="131" t="s">
        <v>219</v>
      </c>
      <c r="B31" s="131" t="s">
        <v>217</v>
      </c>
      <c r="C31" s="131" t="str">
        <f aca="false">IFERROR(INDEX(项目总控台账!E:E,MATCH($B31,项目总控台账!$A:$A,0)),"")</f>
        <v>汇编可研报告并组织评审</v>
      </c>
      <c r="D31" s="131" t="str">
        <f aca="false">IFERROR(INDEX(项目总控台账!F:F,MATCH($B31,项目总控台账!$A:$A,0)),"")</f>
        <v>MS002</v>
      </c>
      <c r="E31" s="132" t="s">
        <v>832</v>
      </c>
      <c r="F31" s="132" t="str">
        <f aca="false">IFERROR(INDEX(项目总控台账!H:H,MATCH($B31,项目总控台账!$A:$A,0)),"")</f>
        <v>项目经理</v>
      </c>
      <c r="G31" s="133" t="n">
        <f aca="false">IFERROR(INDEX(项目总控台账!I:I,MATCH($B31,项目总控台账!$A:$A,0)),"")</f>
        <v>46238</v>
      </c>
      <c r="H31" s="133" t="n">
        <f aca="false">IFERROR(INDEX(项目总控台账!J:J,MATCH($B31,项目总控台账!$A:$A,0)),"")</f>
        <v>46283</v>
      </c>
      <c r="I31" s="132" t="str">
        <f aca="false">IFERROR(INDEX(项目总控台账!M:M,MATCH($B31,项目总控台账!$A:$A,0)),"")</f>
        <v>已完成</v>
      </c>
      <c r="J31" s="132" t="str">
        <f aca="false">IFERROR(INDEX(项目总控台账!G:G,MATCH($B31,项目总控台账!$A:$A,0)),"")</f>
        <v>已完成</v>
      </c>
      <c r="K31" s="133"/>
      <c r="L31" s="132" t="str">
        <f aca="true">IF(AND(H31&lt;TODAY(),I31&lt;&gt;"已完成"),"是","否")</f>
        <v>否</v>
      </c>
      <c r="M31" s="132" t="str">
        <f aca="false">IF(I31="暂停","阶段暂停",IF(L31="是","计划完成日期已过",""))</f>
        <v/>
      </c>
      <c r="N31" s="134"/>
      <c r="O31" s="80" t="str">
        <f aca="false">A31&amp;"|"&amp;B31&amp;"|"&amp;E31</f>
        <v>2026-W40|T008|业务</v>
      </c>
      <c r="Q31" s="108" t="s">
        <v>833</v>
      </c>
    </row>
    <row r="32" customFormat="false" ht="31.5" hidden="false" customHeight="true" outlineLevel="0" collapsed="false">
      <c r="A32" s="131" t="s">
        <v>219</v>
      </c>
      <c r="B32" s="131" t="s">
        <v>225</v>
      </c>
      <c r="C32" s="131" t="str">
        <f aca="false">IFERROR(INDEX(项目总控台账!E:E,MATCH($B32,项目总控台账!$A:$A,0)),"")</f>
        <v>盘点既有系统、接口与数据</v>
      </c>
      <c r="D32" s="131" t="str">
        <f aca="false">IFERROR(INDEX(项目总控台账!F:F,MATCH($B32,项目总控台账!$A:$A,0)),"")</f>
        <v>MS003</v>
      </c>
      <c r="E32" s="132"/>
      <c r="F32" s="132" t="str">
        <f aca="false">IFERROR(INDEX(项目总控台账!H:H,MATCH($B32,项目总控台账!$A:$A,0)),"")</f>
        <v>技术经理</v>
      </c>
      <c r="G32" s="133" t="n">
        <f aca="false">IFERROR(INDEX(项目总控台账!I:I,MATCH($B32,项目总控台账!$A:$A,0)),"")</f>
        <v>46120</v>
      </c>
      <c r="H32" s="133" t="n">
        <f aca="false">IFERROR(INDEX(项目总控台账!J:J,MATCH($B32,项目总控台账!$A:$A,0)),"")</f>
        <v>46147</v>
      </c>
      <c r="I32" s="132" t="str">
        <f aca="false">IFERROR(INDEX(项目总控台账!M:M,MATCH($B32,项目总控台账!$A:$A,0)),"")</f>
        <v>进行中</v>
      </c>
      <c r="J32" s="132" t="str">
        <f aca="false">IFERROR(INDEX(项目总控台账!G:G,MATCH($B32,项目总控台账!$A:$A,0)),"")</f>
        <v>进行中</v>
      </c>
      <c r="K32" s="133"/>
      <c r="L32" s="132" t="str">
        <f aca="true">IF(AND(H32&lt;TODAY(),I32&lt;&gt;"已完成"),"是","否")</f>
        <v>是</v>
      </c>
      <c r="M32" s="132" t="str">
        <f aca="false">IF(I32="暂停","阶段暂停",IF(L32="是","计划完成日期已过",""))</f>
        <v>计划完成日期已过</v>
      </c>
      <c r="N32" s="134"/>
      <c r="O32" s="80" t="str">
        <f aca="false">A32&amp;"|"&amp;B32&amp;"|"&amp;E32</f>
        <v>2026-W40|T011|</v>
      </c>
      <c r="Q32" s="108" t="s">
        <v>834</v>
      </c>
    </row>
    <row r="33" customFormat="false" ht="31.5" hidden="false" customHeight="true" outlineLevel="0" collapsed="false">
      <c r="A33" s="131" t="s">
        <v>219</v>
      </c>
      <c r="B33" s="131" t="s">
        <v>265</v>
      </c>
      <c r="C33" s="131" t="str">
        <f aca="false">IFERROR(INDEX(项目总控台账!E:E,MATCH($B33,项目总控台账!$A:$A,0)),"")</f>
        <v>汇编总体技术架构并完成基线评审</v>
      </c>
      <c r="D33" s="131" t="str">
        <f aca="false">IFERROR(INDEX(项目总控台账!F:F,MATCH($B33,项目总控台账!$A:$A,0)),"")</f>
        <v>MS005</v>
      </c>
      <c r="E33" s="132"/>
      <c r="F33" s="132" t="str">
        <f aca="false">IFERROR(INDEX(项目总控台账!H:H,MATCH($B33,项目总控台账!$A:$A,0)),"")</f>
        <v>技术经理</v>
      </c>
      <c r="G33" s="133" t="n">
        <f aca="false">IFERROR(INDEX(项目总控台账!I:I,MATCH($B33,项目总控台账!$A:$A,0)),"")</f>
        <v>46280</v>
      </c>
      <c r="H33" s="133" t="n">
        <f aca="false">IFERROR(INDEX(项目总控台账!J:J,MATCH($B33,项目总控台账!$A:$A,0)),"")</f>
        <v>46295</v>
      </c>
      <c r="I33" s="132" t="n">
        <f aca="false">IFERROR(INDEX(项目总控台账!M:M,MATCH($B33,项目总控台账!$A:$A,0)),"")</f>
        <v>0</v>
      </c>
      <c r="J33" s="132" t="str">
        <f aca="false">IFERROR(INDEX(项目总控台账!G:G,MATCH($B33,项目总控台账!$A:$A,0)),"")</f>
        <v>进行中</v>
      </c>
      <c r="K33" s="133"/>
      <c r="L33" s="132" t="str">
        <f aca="true">IF(AND(H33&lt;TODAY(),I33&lt;&gt;"已完成"),"是","否")</f>
        <v>是</v>
      </c>
      <c r="M33" s="132" t="str">
        <f aca="false">IF(I33="暂停","阶段暂停",IF(L33="是","计划完成日期已过",""))</f>
        <v>计划完成日期已过</v>
      </c>
      <c r="N33" s="134"/>
      <c r="O33" s="80" t="str">
        <f aca="false">A33&amp;"|"&amp;B33&amp;"|"&amp;E33</f>
        <v>2026-W40|T024|</v>
      </c>
      <c r="Q33" s="108" t="s">
        <v>835</v>
      </c>
    </row>
    <row r="34" customFormat="false" ht="31.5" hidden="false" customHeight="true" outlineLevel="0" collapsed="false">
      <c r="A34" s="131" t="s">
        <v>219</v>
      </c>
      <c r="B34" s="131" t="s">
        <v>286</v>
      </c>
      <c r="C34" s="131" t="str">
        <f aca="false">IFERROR(INDEX(项目总控台账!E:E,MATCH($B34,项目总控台账!$A:$A,0)),"")</f>
        <v>验证权限、钻取、导出和查询性能</v>
      </c>
      <c r="D34" s="131" t="str">
        <f aca="false">IFERROR(INDEX(项目总控台账!F:F,MATCH($B34,项目总控台账!$A:$A,0)),"")</f>
        <v>MS017</v>
      </c>
      <c r="E34" s="132"/>
      <c r="F34" s="132" t="str">
        <f aca="false">IFERROR(INDEX(项目总控台账!H:H,MATCH($B34,项目总控台账!$A:$A,0)),"")</f>
        <v>高级测试人员、中级测试人员</v>
      </c>
      <c r="G34" s="133" t="n">
        <f aca="false">IFERROR(INDEX(项目总控台账!I:I,MATCH($B34,项目总控台账!$A:$A,0)),"")</f>
        <v>46280</v>
      </c>
      <c r="H34" s="133" t="n">
        <f aca="false">IFERROR(INDEX(项目总控台账!J:J,MATCH($B34,项目总控台账!$A:$A,0)),"")</f>
        <v>46284</v>
      </c>
      <c r="I34" s="132" t="n">
        <f aca="false">IFERROR(INDEX(项目总控台账!M:M,MATCH($B34,项目总控台账!$A:$A,0)),"")</f>
        <v>0</v>
      </c>
      <c r="J34" s="132" t="str">
        <f aca="false">IFERROR(INDEX(项目总控台账!G:G,MATCH($B34,项目总控台账!$A:$A,0)),"")</f>
        <v>进行中</v>
      </c>
      <c r="K34" s="133"/>
      <c r="L34" s="132" t="str">
        <f aca="true">IF(AND(H34&lt;TODAY(),I34&lt;&gt;"已完成"),"是","否")</f>
        <v>是</v>
      </c>
      <c r="M34" s="132" t="str">
        <f aca="false">IF(I34="暂停","阶段暂停",IF(L34="是","计划完成日期已过",""))</f>
        <v>计划完成日期已过</v>
      </c>
      <c r="N34" s="134"/>
      <c r="O34" s="80" t="str">
        <f aca="false">A34&amp;"|"&amp;B34&amp;"|"&amp;E34</f>
        <v>2026-W40|T031|</v>
      </c>
      <c r="Q34" s="108" t="s">
        <v>836</v>
      </c>
    </row>
    <row r="35" customFormat="false" ht="31.5" hidden="false" customHeight="true" outlineLevel="0" collapsed="false">
      <c r="A35" s="80"/>
      <c r="B35" s="80"/>
      <c r="C35" s="80"/>
      <c r="D35" s="80"/>
      <c r="E35" s="80"/>
      <c r="F35" s="80"/>
      <c r="G35" s="79"/>
      <c r="H35" s="79"/>
      <c r="I35" s="80"/>
      <c r="J35" s="80"/>
      <c r="K35" s="79"/>
      <c r="L35" s="80"/>
      <c r="M35" s="80"/>
      <c r="N35" s="125"/>
      <c r="O35" s="80"/>
      <c r="Q35" s="108" t="s">
        <v>837</v>
      </c>
    </row>
    <row r="36" customFormat="false" ht="31.5" hidden="false" customHeight="true" outlineLevel="0" collapsed="false">
      <c r="A36" s="80"/>
      <c r="B36" s="80"/>
      <c r="C36" s="80"/>
      <c r="D36" s="80"/>
      <c r="E36" s="80"/>
      <c r="F36" s="80"/>
      <c r="G36" s="79"/>
      <c r="H36" s="79"/>
      <c r="I36" s="80"/>
      <c r="J36" s="80"/>
      <c r="K36" s="79"/>
      <c r="L36" s="80"/>
      <c r="M36" s="80"/>
      <c r="N36" s="125"/>
      <c r="O36" s="80"/>
      <c r="Q36" s="108" t="s">
        <v>838</v>
      </c>
    </row>
    <row r="37" customFormat="false" ht="31.5" hidden="false" customHeight="true" outlineLevel="0" collapsed="false">
      <c r="A37" s="80"/>
      <c r="B37" s="80"/>
      <c r="C37" s="80"/>
      <c r="D37" s="80"/>
      <c r="E37" s="80"/>
      <c r="F37" s="80"/>
      <c r="G37" s="79"/>
      <c r="H37" s="79"/>
      <c r="I37" s="80"/>
      <c r="J37" s="80"/>
      <c r="K37" s="79"/>
      <c r="L37" s="80"/>
      <c r="M37" s="80"/>
      <c r="N37" s="125"/>
      <c r="O37" s="80"/>
      <c r="Q37" s="108" t="s">
        <v>839</v>
      </c>
    </row>
    <row r="38" customFormat="false" ht="31.5" hidden="false" customHeight="true" outlineLevel="0" collapsed="false">
      <c r="A38" s="80"/>
      <c r="B38" s="80"/>
      <c r="C38" s="80"/>
      <c r="D38" s="80"/>
      <c r="E38" s="80"/>
      <c r="F38" s="80"/>
      <c r="G38" s="79"/>
      <c r="H38" s="79"/>
      <c r="I38" s="80"/>
      <c r="J38" s="80"/>
      <c r="K38" s="79"/>
      <c r="L38" s="80"/>
      <c r="M38" s="80"/>
      <c r="N38" s="125"/>
      <c r="O38" s="80"/>
      <c r="Q38" s="108" t="s">
        <v>840</v>
      </c>
    </row>
    <row r="39" customFormat="false" ht="31.5" hidden="false" customHeight="true" outlineLevel="0" collapsed="false">
      <c r="A39" s="80"/>
      <c r="B39" s="80"/>
      <c r="C39" s="80"/>
      <c r="D39" s="80"/>
      <c r="E39" s="80"/>
      <c r="F39" s="80"/>
      <c r="G39" s="79"/>
      <c r="H39" s="79"/>
      <c r="I39" s="80"/>
      <c r="J39" s="80"/>
      <c r="K39" s="79"/>
      <c r="L39" s="80"/>
      <c r="M39" s="80"/>
      <c r="N39" s="125"/>
      <c r="O39" s="80"/>
      <c r="Q39" s="108" t="s">
        <v>841</v>
      </c>
    </row>
    <row r="40" customFormat="false" ht="31.5" hidden="false" customHeight="true" outlineLevel="0" collapsed="false">
      <c r="A40" s="80"/>
      <c r="B40" s="80"/>
      <c r="C40" s="80"/>
      <c r="D40" s="80"/>
      <c r="E40" s="80"/>
      <c r="F40" s="80"/>
      <c r="G40" s="79"/>
      <c r="H40" s="79"/>
      <c r="I40" s="80"/>
      <c r="J40" s="80"/>
      <c r="K40" s="79"/>
      <c r="L40" s="80"/>
      <c r="M40" s="80"/>
      <c r="N40" s="125"/>
      <c r="O40" s="80"/>
      <c r="Q40" s="108" t="s">
        <v>842</v>
      </c>
    </row>
    <row r="41" customFormat="false" ht="31.5" hidden="false" customHeight="true" outlineLevel="0" collapsed="false">
      <c r="A41" s="80"/>
      <c r="B41" s="80"/>
      <c r="C41" s="80"/>
      <c r="D41" s="80"/>
      <c r="E41" s="80"/>
      <c r="F41" s="80"/>
      <c r="G41" s="79"/>
      <c r="H41" s="79"/>
      <c r="I41" s="80"/>
      <c r="J41" s="80"/>
      <c r="K41" s="79"/>
      <c r="L41" s="80"/>
      <c r="M41" s="80"/>
      <c r="N41" s="125"/>
      <c r="O41" s="80"/>
      <c r="Q41" s="108" t="s">
        <v>843</v>
      </c>
    </row>
    <row r="42" customFormat="false" ht="31.5" hidden="false" customHeight="true" outlineLevel="0" collapsed="false">
      <c r="A42" s="80"/>
      <c r="B42" s="80"/>
      <c r="C42" s="80"/>
      <c r="D42" s="80"/>
      <c r="E42" s="80"/>
      <c r="F42" s="80"/>
      <c r="G42" s="79"/>
      <c r="H42" s="79"/>
      <c r="I42" s="80"/>
      <c r="J42" s="80"/>
      <c r="K42" s="79"/>
      <c r="L42" s="80"/>
      <c r="M42" s="80"/>
      <c r="N42" s="125"/>
      <c r="O42" s="80"/>
      <c r="Q42" s="108" t="s">
        <v>844</v>
      </c>
    </row>
    <row r="43" customFormat="false" ht="31.5" hidden="false" customHeight="true" outlineLevel="0" collapsed="false">
      <c r="A43" s="80"/>
      <c r="B43" s="80"/>
      <c r="C43" s="80"/>
      <c r="D43" s="80"/>
      <c r="E43" s="80"/>
      <c r="F43" s="80"/>
      <c r="G43" s="79"/>
      <c r="H43" s="79"/>
      <c r="I43" s="80"/>
      <c r="J43" s="80"/>
      <c r="K43" s="79"/>
      <c r="L43" s="80"/>
      <c r="M43" s="80"/>
      <c r="N43" s="125"/>
      <c r="O43" s="80"/>
      <c r="Q43" s="108" t="s">
        <v>219</v>
      </c>
    </row>
    <row r="44" customFormat="false" ht="31.5" hidden="false" customHeight="true" outlineLevel="0" collapsed="false">
      <c r="A44" s="80"/>
      <c r="B44" s="80"/>
      <c r="C44" s="80"/>
      <c r="D44" s="80"/>
      <c r="E44" s="80"/>
      <c r="F44" s="80"/>
      <c r="G44" s="79"/>
      <c r="H44" s="79"/>
      <c r="I44" s="80"/>
      <c r="J44" s="80"/>
      <c r="K44" s="79"/>
      <c r="L44" s="80"/>
      <c r="M44" s="80"/>
      <c r="N44" s="125"/>
      <c r="O44" s="80"/>
      <c r="Q44" s="108" t="s">
        <v>845</v>
      </c>
    </row>
    <row r="45" customFormat="false" ht="31.5" hidden="false" customHeight="true" outlineLevel="0" collapsed="false">
      <c r="A45" s="80"/>
      <c r="B45" s="80"/>
      <c r="C45" s="80"/>
      <c r="D45" s="80"/>
      <c r="E45" s="80"/>
      <c r="F45" s="80"/>
      <c r="G45" s="79"/>
      <c r="H45" s="79"/>
      <c r="I45" s="80"/>
      <c r="J45" s="80"/>
      <c r="K45" s="79"/>
      <c r="L45" s="80"/>
      <c r="M45" s="80"/>
      <c r="N45" s="125"/>
      <c r="O45" s="80"/>
      <c r="Q45" s="108" t="s">
        <v>846</v>
      </c>
    </row>
    <row r="46" customFormat="false" ht="31.5" hidden="false" customHeight="true" outlineLevel="0" collapsed="false">
      <c r="A46" s="80"/>
      <c r="B46" s="80"/>
      <c r="C46" s="80"/>
      <c r="D46" s="80"/>
      <c r="E46" s="80"/>
      <c r="F46" s="80"/>
      <c r="G46" s="79"/>
      <c r="H46" s="79"/>
      <c r="I46" s="80"/>
      <c r="J46" s="80"/>
      <c r="K46" s="79"/>
      <c r="L46" s="80"/>
      <c r="M46" s="80"/>
      <c r="N46" s="125"/>
      <c r="O46" s="80"/>
      <c r="Q46" s="108" t="s">
        <v>847</v>
      </c>
    </row>
    <row r="47" customFormat="false" ht="31.5" hidden="false" customHeight="true" outlineLevel="0" collapsed="false">
      <c r="A47" s="80"/>
      <c r="B47" s="80"/>
      <c r="C47" s="80"/>
      <c r="D47" s="80"/>
      <c r="E47" s="80"/>
      <c r="F47" s="80"/>
      <c r="G47" s="79"/>
      <c r="H47" s="79"/>
      <c r="I47" s="80"/>
      <c r="J47" s="80"/>
      <c r="K47" s="79"/>
      <c r="L47" s="80"/>
      <c r="M47" s="80"/>
      <c r="N47" s="125"/>
      <c r="O47" s="80"/>
      <c r="Q47" s="108" t="s">
        <v>848</v>
      </c>
    </row>
    <row r="48" customFormat="false" ht="31.5" hidden="false" customHeight="true" outlineLevel="0" collapsed="false">
      <c r="A48" s="80"/>
      <c r="B48" s="80"/>
      <c r="C48" s="80"/>
      <c r="D48" s="80"/>
      <c r="E48" s="80"/>
      <c r="F48" s="80"/>
      <c r="G48" s="79"/>
      <c r="H48" s="79"/>
      <c r="I48" s="80"/>
      <c r="J48" s="80"/>
      <c r="K48" s="79"/>
      <c r="L48" s="80"/>
      <c r="M48" s="80"/>
      <c r="N48" s="125"/>
      <c r="O48" s="80"/>
      <c r="Q48" s="108" t="s">
        <v>849</v>
      </c>
    </row>
    <row r="49" customFormat="false" ht="31.5" hidden="false" customHeight="true" outlineLevel="0" collapsed="false">
      <c r="A49" s="80"/>
      <c r="B49" s="80"/>
      <c r="C49" s="80"/>
      <c r="D49" s="80"/>
      <c r="E49" s="80"/>
      <c r="F49" s="80"/>
      <c r="G49" s="79"/>
      <c r="H49" s="79"/>
      <c r="I49" s="80"/>
      <c r="J49" s="80"/>
      <c r="K49" s="79"/>
      <c r="L49" s="80"/>
      <c r="M49" s="80"/>
      <c r="N49" s="125"/>
      <c r="O49" s="80"/>
      <c r="Q49" s="108" t="s">
        <v>850</v>
      </c>
    </row>
    <row r="50" customFormat="false" ht="31.5" hidden="false" customHeight="true" outlineLevel="0" collapsed="false">
      <c r="A50" s="80"/>
      <c r="B50" s="80"/>
      <c r="C50" s="80"/>
      <c r="D50" s="80"/>
      <c r="E50" s="80"/>
      <c r="F50" s="80"/>
      <c r="G50" s="79"/>
      <c r="H50" s="79"/>
      <c r="I50" s="80"/>
      <c r="J50" s="80"/>
      <c r="K50" s="79"/>
      <c r="L50" s="80"/>
      <c r="M50" s="80"/>
      <c r="N50" s="125"/>
      <c r="O50" s="80"/>
      <c r="Q50" s="108" t="s">
        <v>851</v>
      </c>
    </row>
    <row r="51" customFormat="false" ht="31.5" hidden="false" customHeight="true" outlineLevel="0" collapsed="false">
      <c r="A51" s="80"/>
      <c r="B51" s="80"/>
      <c r="C51" s="80"/>
      <c r="D51" s="80"/>
      <c r="E51" s="80"/>
      <c r="F51" s="80"/>
      <c r="G51" s="79"/>
      <c r="H51" s="79"/>
      <c r="I51" s="80"/>
      <c r="J51" s="80"/>
      <c r="K51" s="79"/>
      <c r="L51" s="80"/>
      <c r="M51" s="80"/>
      <c r="N51" s="125"/>
      <c r="O51" s="80"/>
      <c r="Q51" s="108" t="s">
        <v>852</v>
      </c>
    </row>
    <row r="52" customFormat="false" ht="31.5" hidden="false" customHeight="true" outlineLevel="0" collapsed="false">
      <c r="A52" s="80"/>
      <c r="B52" s="80"/>
      <c r="C52" s="80"/>
      <c r="D52" s="80"/>
      <c r="E52" s="80"/>
      <c r="F52" s="80"/>
      <c r="G52" s="79"/>
      <c r="H52" s="79"/>
      <c r="I52" s="80"/>
      <c r="J52" s="80"/>
      <c r="K52" s="79"/>
      <c r="L52" s="80"/>
      <c r="M52" s="80"/>
      <c r="N52" s="125"/>
      <c r="O52" s="80"/>
      <c r="Q52" s="108" t="s">
        <v>853</v>
      </c>
    </row>
    <row r="53" customFormat="false" ht="31.5" hidden="false" customHeight="true" outlineLevel="0" collapsed="false">
      <c r="A53" s="80"/>
      <c r="B53" s="80"/>
      <c r="C53" s="80"/>
      <c r="D53" s="80"/>
      <c r="E53" s="80"/>
      <c r="F53" s="80"/>
      <c r="G53" s="79"/>
      <c r="H53" s="79"/>
      <c r="I53" s="80"/>
      <c r="J53" s="80"/>
      <c r="K53" s="79"/>
      <c r="L53" s="80"/>
      <c r="M53" s="80"/>
      <c r="N53" s="125"/>
      <c r="O53" s="80"/>
      <c r="Q53" s="108" t="s">
        <v>854</v>
      </c>
    </row>
    <row r="54" customFormat="false" ht="31.5" hidden="false" customHeight="true" outlineLevel="0" collapsed="false">
      <c r="A54" s="80"/>
      <c r="B54" s="80"/>
      <c r="C54" s="80"/>
      <c r="D54" s="80"/>
      <c r="E54" s="80"/>
      <c r="F54" s="80"/>
      <c r="G54" s="79"/>
      <c r="H54" s="79"/>
      <c r="I54" s="80"/>
      <c r="J54" s="80"/>
      <c r="K54" s="79"/>
      <c r="L54" s="80"/>
      <c r="M54" s="80"/>
      <c r="N54" s="125"/>
      <c r="O54" s="80"/>
      <c r="Q54" s="108" t="s">
        <v>855</v>
      </c>
    </row>
    <row r="55" customFormat="false" ht="31.5" hidden="false" customHeight="true" outlineLevel="0" collapsed="false">
      <c r="A55" s="80"/>
      <c r="B55" s="80"/>
      <c r="C55" s="80"/>
      <c r="D55" s="80"/>
      <c r="E55" s="80"/>
      <c r="F55" s="80"/>
      <c r="G55" s="79"/>
      <c r="H55" s="79"/>
      <c r="I55" s="80"/>
      <c r="J55" s="80"/>
      <c r="K55" s="79"/>
      <c r="L55" s="80"/>
      <c r="M55" s="80"/>
      <c r="N55" s="125"/>
      <c r="O55" s="80"/>
      <c r="Q55" s="108" t="s">
        <v>856</v>
      </c>
    </row>
    <row r="56" customFormat="false" ht="31.5" hidden="false" customHeight="true" outlineLevel="0" collapsed="false">
      <c r="A56" s="80"/>
      <c r="B56" s="80"/>
      <c r="C56" s="80"/>
      <c r="D56" s="80"/>
      <c r="E56" s="80"/>
      <c r="F56" s="80"/>
      <c r="G56" s="79"/>
      <c r="H56" s="79"/>
      <c r="I56" s="80"/>
      <c r="J56" s="80"/>
      <c r="K56" s="79"/>
      <c r="L56" s="80"/>
      <c r="M56" s="80"/>
      <c r="N56" s="125"/>
      <c r="O56" s="80"/>
      <c r="Q56" s="108" t="s">
        <v>857</v>
      </c>
    </row>
    <row r="57" customFormat="false" ht="31.5" hidden="false" customHeight="true" outlineLevel="0" collapsed="false">
      <c r="A57" s="80"/>
      <c r="B57" s="80"/>
      <c r="C57" s="80"/>
      <c r="D57" s="80"/>
      <c r="E57" s="80"/>
      <c r="F57" s="80"/>
      <c r="G57" s="79"/>
      <c r="H57" s="79"/>
      <c r="I57" s="80"/>
      <c r="J57" s="80"/>
      <c r="K57" s="79"/>
      <c r="L57" s="80"/>
      <c r="M57" s="80"/>
      <c r="N57" s="125"/>
      <c r="O57" s="80"/>
      <c r="Q57" s="108" t="s">
        <v>858</v>
      </c>
    </row>
    <row r="58" customFormat="false" ht="31.5" hidden="false" customHeight="true" outlineLevel="0" collapsed="false">
      <c r="A58" s="80"/>
      <c r="B58" s="80"/>
      <c r="C58" s="80"/>
      <c r="D58" s="80"/>
      <c r="E58" s="80"/>
      <c r="F58" s="80"/>
      <c r="G58" s="79"/>
      <c r="H58" s="79"/>
      <c r="I58" s="80"/>
      <c r="J58" s="80"/>
      <c r="K58" s="79"/>
      <c r="L58" s="80"/>
      <c r="M58" s="80"/>
      <c r="N58" s="125"/>
      <c r="O58" s="80"/>
      <c r="Q58" s="108" t="s">
        <v>859</v>
      </c>
    </row>
    <row r="59" customFormat="false" ht="31.5" hidden="false" customHeight="true" outlineLevel="0" collapsed="false">
      <c r="A59" s="80"/>
      <c r="B59" s="80"/>
      <c r="C59" s="80"/>
      <c r="D59" s="80"/>
      <c r="E59" s="80"/>
      <c r="F59" s="80"/>
      <c r="G59" s="79"/>
      <c r="H59" s="79"/>
      <c r="I59" s="80"/>
      <c r="J59" s="80"/>
      <c r="K59" s="79"/>
      <c r="L59" s="80"/>
      <c r="M59" s="80"/>
      <c r="N59" s="125"/>
      <c r="O59" s="80"/>
      <c r="Q59" s="108" t="s">
        <v>860</v>
      </c>
    </row>
    <row r="60" customFormat="false" ht="31.5" hidden="false" customHeight="true" outlineLevel="0" collapsed="false">
      <c r="A60" s="80"/>
      <c r="B60" s="80"/>
      <c r="C60" s="80"/>
      <c r="D60" s="80"/>
      <c r="E60" s="80"/>
      <c r="F60" s="80"/>
      <c r="G60" s="79"/>
      <c r="H60" s="79"/>
      <c r="I60" s="80"/>
      <c r="J60" s="80"/>
      <c r="K60" s="79"/>
      <c r="L60" s="80"/>
      <c r="M60" s="80"/>
      <c r="N60" s="125"/>
      <c r="O60" s="80"/>
      <c r="Q60" s="108" t="s">
        <v>861</v>
      </c>
    </row>
    <row r="61" customFormat="false" ht="31.5" hidden="false" customHeight="true" outlineLevel="0" collapsed="false">
      <c r="A61" s="80"/>
      <c r="B61" s="80"/>
      <c r="C61" s="80"/>
      <c r="D61" s="80"/>
      <c r="E61" s="80"/>
      <c r="F61" s="80"/>
      <c r="G61" s="79"/>
      <c r="H61" s="79"/>
      <c r="I61" s="80"/>
      <c r="J61" s="80"/>
      <c r="K61" s="79"/>
      <c r="L61" s="80"/>
      <c r="M61" s="80"/>
      <c r="N61" s="125"/>
      <c r="O61" s="80"/>
      <c r="Q61" s="108" t="s">
        <v>862</v>
      </c>
    </row>
    <row r="62" customFormat="false" ht="31.5" hidden="false" customHeight="true" outlineLevel="0" collapsed="false">
      <c r="A62" s="80"/>
      <c r="B62" s="80"/>
      <c r="C62" s="80"/>
      <c r="D62" s="80"/>
      <c r="E62" s="80"/>
      <c r="F62" s="80"/>
      <c r="G62" s="79"/>
      <c r="H62" s="79"/>
      <c r="I62" s="80"/>
      <c r="J62" s="80"/>
      <c r="K62" s="79"/>
      <c r="L62" s="80"/>
      <c r="M62" s="80"/>
      <c r="N62" s="125"/>
      <c r="O62" s="80"/>
      <c r="Q62" s="108" t="s">
        <v>863</v>
      </c>
    </row>
    <row r="63" customFormat="false" ht="31.5" hidden="false" customHeight="true" outlineLevel="0" collapsed="false">
      <c r="A63" s="80"/>
      <c r="B63" s="80"/>
      <c r="C63" s="80"/>
      <c r="D63" s="80"/>
      <c r="E63" s="80"/>
      <c r="F63" s="80"/>
      <c r="G63" s="79"/>
      <c r="H63" s="79"/>
      <c r="I63" s="80"/>
      <c r="J63" s="80"/>
      <c r="K63" s="79"/>
      <c r="L63" s="80"/>
      <c r="M63" s="80"/>
      <c r="N63" s="125"/>
      <c r="O63" s="80"/>
      <c r="Q63" s="108" t="s">
        <v>864</v>
      </c>
    </row>
    <row r="64" customFormat="false" ht="31.5" hidden="false" customHeight="true" outlineLevel="0" collapsed="false">
      <c r="A64" s="80"/>
      <c r="B64" s="80"/>
      <c r="C64" s="80"/>
      <c r="D64" s="80"/>
      <c r="E64" s="80"/>
      <c r="F64" s="80"/>
      <c r="G64" s="79"/>
      <c r="H64" s="79"/>
      <c r="I64" s="80"/>
      <c r="J64" s="80"/>
      <c r="K64" s="79"/>
      <c r="L64" s="80"/>
      <c r="M64" s="80"/>
      <c r="N64" s="125"/>
      <c r="O64" s="80"/>
      <c r="Q64" s="108" t="s">
        <v>865</v>
      </c>
    </row>
    <row r="65" customFormat="false" ht="31.5" hidden="false" customHeight="true" outlineLevel="0" collapsed="false">
      <c r="A65" s="80"/>
      <c r="B65" s="80"/>
      <c r="C65" s="80"/>
      <c r="D65" s="80"/>
      <c r="E65" s="80"/>
      <c r="F65" s="80"/>
      <c r="G65" s="79"/>
      <c r="H65" s="79"/>
      <c r="I65" s="80"/>
      <c r="J65" s="80"/>
      <c r="K65" s="79"/>
      <c r="L65" s="80"/>
      <c r="M65" s="80"/>
      <c r="N65" s="125"/>
      <c r="O65" s="80"/>
      <c r="Q65" s="108" t="s">
        <v>866</v>
      </c>
    </row>
    <row r="66" customFormat="false" ht="31.5" hidden="false" customHeight="true" outlineLevel="0" collapsed="false">
      <c r="A66" s="80"/>
      <c r="B66" s="80"/>
      <c r="C66" s="80"/>
      <c r="D66" s="80"/>
      <c r="E66" s="80"/>
      <c r="F66" s="80"/>
      <c r="G66" s="79"/>
      <c r="H66" s="79"/>
      <c r="I66" s="80"/>
      <c r="J66" s="80"/>
      <c r="K66" s="79"/>
      <c r="L66" s="80"/>
      <c r="M66" s="80"/>
      <c r="N66" s="125"/>
      <c r="O66" s="80"/>
      <c r="Q66" s="108" t="s">
        <v>867</v>
      </c>
    </row>
    <row r="67" customFormat="false" ht="31.5" hidden="false" customHeight="true" outlineLevel="0" collapsed="false">
      <c r="A67" s="80"/>
      <c r="B67" s="80"/>
      <c r="C67" s="80"/>
      <c r="D67" s="80"/>
      <c r="E67" s="80"/>
      <c r="F67" s="80"/>
      <c r="G67" s="79"/>
      <c r="H67" s="79"/>
      <c r="I67" s="80"/>
      <c r="J67" s="80"/>
      <c r="K67" s="79"/>
      <c r="L67" s="80"/>
      <c r="M67" s="80"/>
      <c r="N67" s="125"/>
      <c r="O67" s="80"/>
      <c r="Q67" s="108" t="s">
        <v>868</v>
      </c>
    </row>
    <row r="68" customFormat="false" ht="31.5" hidden="false" customHeight="true" outlineLevel="0" collapsed="false">
      <c r="A68" s="80"/>
      <c r="B68" s="80"/>
      <c r="C68" s="80"/>
      <c r="D68" s="80"/>
      <c r="E68" s="80"/>
      <c r="F68" s="80"/>
      <c r="G68" s="79"/>
      <c r="H68" s="79"/>
      <c r="I68" s="80"/>
      <c r="J68" s="80"/>
      <c r="K68" s="79"/>
      <c r="L68" s="80"/>
      <c r="M68" s="80"/>
      <c r="N68" s="125"/>
      <c r="O68" s="80"/>
      <c r="Q68" s="108" t="s">
        <v>869</v>
      </c>
    </row>
    <row r="69" customFormat="false" ht="31.5" hidden="false" customHeight="true" outlineLevel="0" collapsed="false">
      <c r="A69" s="80"/>
      <c r="B69" s="80"/>
      <c r="C69" s="80"/>
      <c r="D69" s="80"/>
      <c r="E69" s="80"/>
      <c r="F69" s="80"/>
      <c r="G69" s="79"/>
      <c r="H69" s="79"/>
      <c r="I69" s="80"/>
      <c r="J69" s="80"/>
      <c r="K69" s="79"/>
      <c r="L69" s="80"/>
      <c r="M69" s="80"/>
      <c r="N69" s="125"/>
      <c r="O69" s="80"/>
      <c r="Q69" s="108" t="s">
        <v>870</v>
      </c>
    </row>
    <row r="70" customFormat="false" ht="31.5" hidden="false" customHeight="true" outlineLevel="0" collapsed="false">
      <c r="A70" s="80"/>
      <c r="B70" s="80"/>
      <c r="C70" s="80"/>
      <c r="D70" s="80"/>
      <c r="E70" s="80"/>
      <c r="F70" s="80"/>
      <c r="G70" s="79"/>
      <c r="H70" s="79"/>
      <c r="I70" s="80"/>
      <c r="J70" s="80"/>
      <c r="K70" s="79"/>
      <c r="L70" s="80"/>
      <c r="M70" s="80"/>
      <c r="N70" s="125"/>
      <c r="O70" s="80"/>
      <c r="Q70" s="108" t="s">
        <v>871</v>
      </c>
    </row>
    <row r="71" customFormat="false" ht="31.5" hidden="false" customHeight="true" outlineLevel="0" collapsed="false">
      <c r="A71" s="80"/>
      <c r="B71" s="80"/>
      <c r="C71" s="80"/>
      <c r="D71" s="80"/>
      <c r="E71" s="80"/>
      <c r="F71" s="80"/>
      <c r="G71" s="79"/>
      <c r="H71" s="79"/>
      <c r="I71" s="80"/>
      <c r="J71" s="80"/>
      <c r="K71" s="79"/>
      <c r="L71" s="80"/>
      <c r="M71" s="80"/>
      <c r="N71" s="125"/>
      <c r="O71" s="80"/>
      <c r="Q71" s="108" t="s">
        <v>872</v>
      </c>
    </row>
    <row r="72" customFormat="false" ht="31.5" hidden="false" customHeight="true" outlineLevel="0" collapsed="false">
      <c r="A72" s="80"/>
      <c r="B72" s="80"/>
      <c r="C72" s="80"/>
      <c r="D72" s="80"/>
      <c r="E72" s="80"/>
      <c r="F72" s="80"/>
      <c r="G72" s="79"/>
      <c r="H72" s="79"/>
      <c r="I72" s="80"/>
      <c r="J72" s="80"/>
      <c r="K72" s="79"/>
      <c r="L72" s="80"/>
      <c r="M72" s="80"/>
      <c r="N72" s="125"/>
      <c r="O72" s="80"/>
      <c r="Q72" s="108" t="s">
        <v>873</v>
      </c>
    </row>
    <row r="73" customFormat="false" ht="31.5" hidden="false" customHeight="true" outlineLevel="0" collapsed="false">
      <c r="A73" s="80"/>
      <c r="B73" s="80"/>
      <c r="C73" s="80"/>
      <c r="D73" s="80"/>
      <c r="E73" s="80"/>
      <c r="F73" s="80"/>
      <c r="G73" s="79"/>
      <c r="H73" s="79"/>
      <c r="I73" s="80"/>
      <c r="J73" s="80"/>
      <c r="K73" s="79"/>
      <c r="L73" s="80"/>
      <c r="M73" s="80"/>
      <c r="N73" s="125"/>
      <c r="O73" s="80"/>
      <c r="Q73" s="108" t="s">
        <v>874</v>
      </c>
    </row>
    <row r="74" customFormat="false" ht="31.5" hidden="false" customHeight="true" outlineLevel="0" collapsed="false">
      <c r="A74" s="80"/>
      <c r="B74" s="80"/>
      <c r="C74" s="80"/>
      <c r="D74" s="80"/>
      <c r="E74" s="80"/>
      <c r="F74" s="80"/>
      <c r="G74" s="79"/>
      <c r="H74" s="79"/>
      <c r="I74" s="80"/>
      <c r="J74" s="80"/>
      <c r="K74" s="79"/>
      <c r="L74" s="80"/>
      <c r="M74" s="80"/>
      <c r="N74" s="125"/>
      <c r="O74" s="80"/>
      <c r="Q74" s="108" t="s">
        <v>875</v>
      </c>
    </row>
    <row r="75" customFormat="false" ht="31.5" hidden="false" customHeight="true" outlineLevel="0" collapsed="false">
      <c r="A75" s="80"/>
      <c r="B75" s="80"/>
      <c r="C75" s="80"/>
      <c r="D75" s="80"/>
      <c r="E75" s="80"/>
      <c r="F75" s="80"/>
      <c r="G75" s="79"/>
      <c r="H75" s="79"/>
      <c r="I75" s="80"/>
      <c r="J75" s="80"/>
      <c r="K75" s="79"/>
      <c r="L75" s="80"/>
      <c r="M75" s="80"/>
      <c r="N75" s="125"/>
      <c r="O75" s="80"/>
      <c r="Q75" s="108" t="s">
        <v>876</v>
      </c>
    </row>
    <row r="76" customFormat="false" ht="31.5" hidden="false" customHeight="true" outlineLevel="0" collapsed="false">
      <c r="A76" s="80"/>
      <c r="B76" s="80"/>
      <c r="C76" s="80"/>
      <c r="D76" s="80"/>
      <c r="E76" s="80"/>
      <c r="F76" s="80"/>
      <c r="G76" s="79"/>
      <c r="H76" s="79"/>
      <c r="I76" s="80"/>
      <c r="J76" s="80"/>
      <c r="K76" s="79"/>
      <c r="L76" s="80"/>
      <c r="M76" s="80"/>
      <c r="N76" s="125"/>
      <c r="O76" s="80"/>
      <c r="Q76" s="108" t="s">
        <v>877</v>
      </c>
    </row>
    <row r="77" customFormat="false" ht="31.5" hidden="false" customHeight="true" outlineLevel="0" collapsed="false">
      <c r="A77" s="80"/>
      <c r="B77" s="80"/>
      <c r="C77" s="80"/>
      <c r="D77" s="80"/>
      <c r="E77" s="80"/>
      <c r="F77" s="80"/>
      <c r="G77" s="79"/>
      <c r="H77" s="79"/>
      <c r="I77" s="80"/>
      <c r="J77" s="80"/>
      <c r="K77" s="79"/>
      <c r="L77" s="80"/>
      <c r="M77" s="80"/>
      <c r="N77" s="125"/>
      <c r="O77" s="80"/>
      <c r="Q77" s="108" t="s">
        <v>878</v>
      </c>
    </row>
    <row r="78" customFormat="false" ht="31.5" hidden="false" customHeight="true" outlineLevel="0" collapsed="false">
      <c r="A78" s="80"/>
      <c r="B78" s="80"/>
      <c r="C78" s="80"/>
      <c r="D78" s="80"/>
      <c r="E78" s="80"/>
      <c r="F78" s="80"/>
      <c r="G78" s="79"/>
      <c r="H78" s="79"/>
      <c r="I78" s="80"/>
      <c r="J78" s="80"/>
      <c r="K78" s="79"/>
      <c r="L78" s="80"/>
      <c r="M78" s="80"/>
      <c r="N78" s="125"/>
      <c r="O78" s="80"/>
      <c r="Q78" s="108" t="s">
        <v>879</v>
      </c>
    </row>
    <row r="79" customFormat="false" ht="31.5" hidden="false" customHeight="true" outlineLevel="0" collapsed="false">
      <c r="A79" s="80"/>
      <c r="B79" s="80"/>
      <c r="C79" s="80"/>
      <c r="D79" s="80"/>
      <c r="E79" s="80"/>
      <c r="F79" s="80"/>
      <c r="G79" s="79"/>
      <c r="H79" s="79"/>
      <c r="I79" s="80"/>
      <c r="J79" s="80"/>
      <c r="K79" s="79"/>
      <c r="L79" s="80"/>
      <c r="M79" s="80"/>
      <c r="N79" s="125"/>
      <c r="O79" s="80"/>
      <c r="Q79" s="108" t="s">
        <v>880</v>
      </c>
    </row>
    <row r="80" customFormat="false" ht="31.5" hidden="false" customHeight="true" outlineLevel="0" collapsed="false">
      <c r="A80" s="80"/>
      <c r="B80" s="80"/>
      <c r="C80" s="80"/>
      <c r="D80" s="80"/>
      <c r="E80" s="80"/>
      <c r="F80" s="80"/>
      <c r="G80" s="79"/>
      <c r="H80" s="79"/>
      <c r="I80" s="80"/>
      <c r="J80" s="80"/>
      <c r="K80" s="79"/>
      <c r="L80" s="80"/>
      <c r="M80" s="80"/>
      <c r="N80" s="125"/>
      <c r="O80" s="80"/>
      <c r="Q80" s="108" t="s">
        <v>881</v>
      </c>
    </row>
    <row r="81" customFormat="false" ht="31.5" hidden="false" customHeight="true" outlineLevel="0" collapsed="false">
      <c r="A81" s="80"/>
      <c r="B81" s="80"/>
      <c r="C81" s="80"/>
      <c r="D81" s="80"/>
      <c r="E81" s="80"/>
      <c r="F81" s="80"/>
      <c r="G81" s="79"/>
      <c r="H81" s="79"/>
      <c r="I81" s="80"/>
      <c r="J81" s="80"/>
      <c r="K81" s="79"/>
      <c r="L81" s="80"/>
      <c r="M81" s="80"/>
      <c r="N81" s="125"/>
      <c r="O81" s="80"/>
      <c r="Q81" s="108" t="s">
        <v>882</v>
      </c>
    </row>
    <row r="82" customFormat="false" ht="31.5" hidden="false" customHeight="true" outlineLevel="0" collapsed="false">
      <c r="A82" s="80"/>
      <c r="B82" s="80"/>
      <c r="C82" s="80"/>
      <c r="D82" s="80"/>
      <c r="E82" s="80"/>
      <c r="F82" s="80"/>
      <c r="G82" s="79"/>
      <c r="H82" s="79"/>
      <c r="I82" s="80"/>
      <c r="J82" s="80"/>
      <c r="K82" s="79"/>
      <c r="L82" s="80"/>
      <c r="M82" s="80"/>
      <c r="N82" s="125"/>
      <c r="O82" s="80"/>
    </row>
    <row r="83" customFormat="false" ht="31.5" hidden="false" customHeight="true" outlineLevel="0" collapsed="false">
      <c r="A83" s="80"/>
      <c r="B83" s="80"/>
      <c r="C83" s="80"/>
      <c r="D83" s="80"/>
      <c r="E83" s="80"/>
      <c r="F83" s="80"/>
      <c r="G83" s="79"/>
      <c r="H83" s="79"/>
      <c r="I83" s="80"/>
      <c r="J83" s="80"/>
      <c r="K83" s="79"/>
      <c r="L83" s="80"/>
      <c r="M83" s="80"/>
      <c r="N83" s="125"/>
      <c r="O83" s="80"/>
    </row>
    <row r="84" customFormat="false" ht="31.5" hidden="false" customHeight="true" outlineLevel="0" collapsed="false">
      <c r="A84" s="80"/>
      <c r="B84" s="80"/>
      <c r="C84" s="80"/>
      <c r="D84" s="80"/>
      <c r="E84" s="80"/>
      <c r="F84" s="80"/>
      <c r="G84" s="79"/>
      <c r="H84" s="79"/>
      <c r="I84" s="80"/>
      <c r="J84" s="80"/>
      <c r="K84" s="79"/>
      <c r="L84" s="80"/>
      <c r="M84" s="80"/>
      <c r="N84" s="125"/>
      <c r="O84" s="80"/>
    </row>
    <row r="85" customFormat="false" ht="31.5" hidden="false" customHeight="true" outlineLevel="0" collapsed="false">
      <c r="A85" s="80"/>
      <c r="B85" s="80"/>
      <c r="C85" s="80"/>
      <c r="D85" s="80"/>
      <c r="E85" s="80"/>
      <c r="F85" s="80"/>
      <c r="G85" s="79"/>
      <c r="H85" s="79"/>
      <c r="I85" s="80"/>
      <c r="J85" s="80"/>
      <c r="K85" s="79"/>
      <c r="L85" s="80"/>
      <c r="M85" s="80"/>
      <c r="N85" s="125"/>
      <c r="O85" s="80"/>
    </row>
    <row r="86" customFormat="false" ht="31.5" hidden="false" customHeight="true" outlineLevel="0" collapsed="false">
      <c r="A86" s="80"/>
      <c r="B86" s="80"/>
      <c r="C86" s="80"/>
      <c r="D86" s="80"/>
      <c r="E86" s="80"/>
      <c r="F86" s="80"/>
      <c r="G86" s="79"/>
      <c r="H86" s="79"/>
      <c r="I86" s="80"/>
      <c r="J86" s="80"/>
      <c r="K86" s="79"/>
      <c r="L86" s="80"/>
      <c r="M86" s="80"/>
      <c r="N86" s="125"/>
      <c r="O86" s="80"/>
    </row>
    <row r="87" customFormat="false" ht="31.5" hidden="false" customHeight="true" outlineLevel="0" collapsed="false">
      <c r="A87" s="80"/>
      <c r="B87" s="80"/>
      <c r="C87" s="80"/>
      <c r="D87" s="80"/>
      <c r="E87" s="80"/>
      <c r="F87" s="80"/>
      <c r="G87" s="79"/>
      <c r="H87" s="79"/>
      <c r="I87" s="80"/>
      <c r="J87" s="80"/>
      <c r="K87" s="79"/>
      <c r="L87" s="80"/>
      <c r="M87" s="80"/>
      <c r="N87" s="125"/>
      <c r="O87" s="80"/>
    </row>
    <row r="88" customFormat="false" ht="31.5" hidden="false" customHeight="true" outlineLevel="0" collapsed="false">
      <c r="A88" s="80"/>
      <c r="B88" s="80"/>
      <c r="C88" s="80"/>
      <c r="D88" s="80"/>
      <c r="E88" s="80"/>
      <c r="F88" s="80"/>
      <c r="G88" s="79"/>
      <c r="H88" s="79"/>
      <c r="I88" s="80"/>
      <c r="J88" s="80"/>
      <c r="K88" s="79"/>
      <c r="L88" s="80"/>
      <c r="M88" s="80"/>
      <c r="N88" s="125"/>
      <c r="O88" s="80"/>
    </row>
    <row r="89" customFormat="false" ht="31.5" hidden="false" customHeight="true" outlineLevel="0" collapsed="false">
      <c r="A89" s="80"/>
      <c r="B89" s="80"/>
      <c r="C89" s="80"/>
      <c r="D89" s="80"/>
      <c r="E89" s="80"/>
      <c r="F89" s="80"/>
      <c r="G89" s="79"/>
      <c r="H89" s="79"/>
      <c r="I89" s="80"/>
      <c r="J89" s="80"/>
      <c r="K89" s="79"/>
      <c r="L89" s="80"/>
      <c r="M89" s="80"/>
      <c r="N89" s="125"/>
      <c r="O89" s="80"/>
    </row>
    <row r="90" customFormat="false" ht="31.5" hidden="false" customHeight="true" outlineLevel="0" collapsed="false">
      <c r="A90" s="80"/>
      <c r="B90" s="80"/>
      <c r="C90" s="80"/>
      <c r="D90" s="80"/>
      <c r="E90" s="80"/>
      <c r="F90" s="80"/>
      <c r="G90" s="79"/>
      <c r="H90" s="79"/>
      <c r="I90" s="80"/>
      <c r="J90" s="80"/>
      <c r="K90" s="79"/>
      <c r="L90" s="80"/>
      <c r="M90" s="80"/>
      <c r="N90" s="125"/>
      <c r="O90" s="80"/>
    </row>
    <row r="91" customFormat="false" ht="31.5" hidden="false" customHeight="true" outlineLevel="0" collapsed="false">
      <c r="A91" s="80"/>
      <c r="B91" s="80"/>
      <c r="C91" s="80"/>
      <c r="D91" s="80"/>
      <c r="E91" s="80"/>
      <c r="F91" s="80"/>
      <c r="G91" s="79"/>
      <c r="H91" s="79"/>
      <c r="I91" s="80"/>
      <c r="J91" s="80"/>
      <c r="K91" s="79"/>
      <c r="L91" s="80"/>
      <c r="M91" s="80"/>
      <c r="N91" s="125"/>
      <c r="O91" s="80"/>
    </row>
    <row r="92" customFormat="false" ht="31.5" hidden="false" customHeight="true" outlineLevel="0" collapsed="false">
      <c r="A92" s="80"/>
      <c r="B92" s="80"/>
      <c r="C92" s="80"/>
      <c r="D92" s="80"/>
      <c r="E92" s="80"/>
      <c r="F92" s="80"/>
      <c r="G92" s="79"/>
      <c r="H92" s="79"/>
      <c r="I92" s="80"/>
      <c r="J92" s="80"/>
      <c r="K92" s="79"/>
      <c r="L92" s="80"/>
      <c r="M92" s="80"/>
      <c r="N92" s="125"/>
      <c r="O92" s="80"/>
    </row>
    <row r="93" customFormat="false" ht="31.5" hidden="false" customHeight="true" outlineLevel="0" collapsed="false">
      <c r="A93" s="80"/>
      <c r="B93" s="80"/>
      <c r="C93" s="80"/>
      <c r="D93" s="80"/>
      <c r="E93" s="80"/>
      <c r="F93" s="80"/>
      <c r="G93" s="79"/>
      <c r="H93" s="79"/>
      <c r="I93" s="80"/>
      <c r="J93" s="80"/>
      <c r="K93" s="79"/>
      <c r="L93" s="80"/>
      <c r="M93" s="80"/>
      <c r="N93" s="125"/>
      <c r="O93" s="80"/>
    </row>
    <row r="94" customFormat="false" ht="31.5" hidden="false" customHeight="true" outlineLevel="0" collapsed="false">
      <c r="A94" s="80"/>
      <c r="B94" s="80"/>
      <c r="C94" s="80"/>
      <c r="D94" s="80"/>
      <c r="E94" s="80"/>
      <c r="F94" s="80"/>
      <c r="G94" s="79"/>
      <c r="H94" s="79"/>
      <c r="I94" s="80"/>
      <c r="J94" s="80"/>
      <c r="K94" s="79"/>
      <c r="L94" s="80"/>
      <c r="M94" s="80"/>
      <c r="N94" s="125"/>
      <c r="O94" s="80"/>
    </row>
    <row r="95" customFormat="false" ht="31.5" hidden="false" customHeight="true" outlineLevel="0" collapsed="false">
      <c r="A95" s="80"/>
      <c r="B95" s="80"/>
      <c r="C95" s="80"/>
      <c r="D95" s="80"/>
      <c r="E95" s="80"/>
      <c r="F95" s="80"/>
      <c r="G95" s="79"/>
      <c r="H95" s="79"/>
      <c r="I95" s="80"/>
      <c r="J95" s="80"/>
      <c r="K95" s="79"/>
      <c r="L95" s="80"/>
      <c r="M95" s="80"/>
      <c r="N95" s="125"/>
      <c r="O95" s="80"/>
    </row>
    <row r="96" customFormat="false" ht="31.5" hidden="false" customHeight="true" outlineLevel="0" collapsed="false">
      <c r="A96" s="80"/>
      <c r="B96" s="80"/>
      <c r="C96" s="80"/>
      <c r="D96" s="80"/>
      <c r="E96" s="80"/>
      <c r="F96" s="80"/>
      <c r="G96" s="79"/>
      <c r="H96" s="79"/>
      <c r="I96" s="80"/>
      <c r="J96" s="80"/>
      <c r="K96" s="79"/>
      <c r="L96" s="80"/>
      <c r="M96" s="80"/>
      <c r="N96" s="125"/>
      <c r="O96" s="80"/>
    </row>
    <row r="97" customFormat="false" ht="31.5" hidden="false" customHeight="true" outlineLevel="0" collapsed="false">
      <c r="A97" s="80"/>
      <c r="B97" s="80"/>
      <c r="C97" s="80"/>
      <c r="D97" s="80"/>
      <c r="E97" s="80"/>
      <c r="F97" s="80"/>
      <c r="G97" s="79"/>
      <c r="H97" s="79"/>
      <c r="I97" s="80"/>
      <c r="J97" s="80"/>
      <c r="K97" s="79"/>
      <c r="L97" s="80"/>
      <c r="M97" s="80"/>
      <c r="N97" s="125"/>
      <c r="O97" s="80"/>
    </row>
    <row r="98" customFormat="false" ht="31.5" hidden="false" customHeight="true" outlineLevel="0" collapsed="false">
      <c r="A98" s="80"/>
      <c r="B98" s="80"/>
      <c r="C98" s="80"/>
      <c r="D98" s="80"/>
      <c r="E98" s="80"/>
      <c r="F98" s="80"/>
      <c r="G98" s="79"/>
      <c r="H98" s="79"/>
      <c r="I98" s="80"/>
      <c r="J98" s="80"/>
      <c r="K98" s="79"/>
      <c r="L98" s="80"/>
      <c r="M98" s="80"/>
      <c r="N98" s="125"/>
      <c r="O98" s="80"/>
    </row>
    <row r="99" customFormat="false" ht="31.5" hidden="false" customHeight="true" outlineLevel="0" collapsed="false">
      <c r="A99" s="80"/>
      <c r="B99" s="80"/>
      <c r="C99" s="80"/>
      <c r="D99" s="80"/>
      <c r="E99" s="80"/>
      <c r="F99" s="80"/>
      <c r="G99" s="79"/>
      <c r="H99" s="79"/>
      <c r="I99" s="80"/>
      <c r="J99" s="80"/>
      <c r="K99" s="79"/>
      <c r="L99" s="80"/>
      <c r="M99" s="80"/>
      <c r="N99" s="125"/>
      <c r="O99" s="80"/>
    </row>
    <row r="100" customFormat="false" ht="31.5" hidden="false" customHeight="true" outlineLevel="0" collapsed="false">
      <c r="A100" s="80"/>
      <c r="B100" s="80"/>
      <c r="C100" s="80"/>
      <c r="D100" s="80"/>
      <c r="E100" s="80"/>
      <c r="F100" s="80"/>
      <c r="G100" s="79"/>
      <c r="H100" s="79"/>
      <c r="I100" s="80"/>
      <c r="J100" s="80"/>
      <c r="K100" s="79"/>
      <c r="L100" s="80"/>
      <c r="M100" s="80"/>
      <c r="N100" s="125"/>
      <c r="O100" s="80"/>
    </row>
    <row r="101" customFormat="false" ht="31.5" hidden="false" customHeight="true" outlineLevel="0" collapsed="false">
      <c r="A101" s="80"/>
      <c r="B101" s="80"/>
      <c r="C101" s="80"/>
      <c r="D101" s="80"/>
      <c r="E101" s="80"/>
      <c r="F101" s="80"/>
      <c r="G101" s="79"/>
      <c r="H101" s="79"/>
      <c r="I101" s="80"/>
      <c r="J101" s="80"/>
      <c r="K101" s="79"/>
      <c r="L101" s="80"/>
      <c r="M101" s="80"/>
      <c r="N101" s="125"/>
      <c r="O101" s="80"/>
    </row>
    <row r="102" customFormat="false" ht="31.5" hidden="false" customHeight="true" outlineLevel="0" collapsed="false">
      <c r="A102" s="80"/>
      <c r="B102" s="80"/>
      <c r="C102" s="80"/>
      <c r="D102" s="80"/>
      <c r="E102" s="80"/>
      <c r="F102" s="80"/>
      <c r="G102" s="79"/>
      <c r="H102" s="79"/>
      <c r="I102" s="80"/>
      <c r="J102" s="80"/>
      <c r="K102" s="79"/>
      <c r="L102" s="80"/>
      <c r="M102" s="80"/>
      <c r="N102" s="125"/>
      <c r="O102" s="80"/>
    </row>
    <row r="103" customFormat="false" ht="31.5" hidden="false" customHeight="true" outlineLevel="0" collapsed="false">
      <c r="A103" s="80"/>
      <c r="B103" s="80"/>
      <c r="C103" s="80"/>
      <c r="D103" s="80"/>
      <c r="E103" s="80"/>
      <c r="F103" s="80"/>
      <c r="G103" s="79"/>
      <c r="H103" s="79"/>
      <c r="I103" s="80"/>
      <c r="J103" s="80"/>
      <c r="K103" s="79"/>
      <c r="L103" s="80"/>
      <c r="M103" s="80"/>
      <c r="N103" s="125"/>
      <c r="O103" s="80"/>
    </row>
    <row r="104" customFormat="false" ht="31.5" hidden="false" customHeight="true" outlineLevel="0" collapsed="false">
      <c r="A104" s="80"/>
      <c r="B104" s="80"/>
      <c r="C104" s="80"/>
      <c r="D104" s="80"/>
      <c r="E104" s="80"/>
      <c r="F104" s="80"/>
      <c r="G104" s="79"/>
      <c r="H104" s="79"/>
      <c r="I104" s="80"/>
      <c r="J104" s="80"/>
      <c r="K104" s="79"/>
      <c r="L104" s="80"/>
      <c r="M104" s="80"/>
      <c r="N104" s="125"/>
      <c r="O104" s="80"/>
    </row>
    <row r="105" customFormat="false" ht="31.5" hidden="false" customHeight="true" outlineLevel="0" collapsed="false">
      <c r="A105" s="80"/>
      <c r="B105" s="80"/>
      <c r="C105" s="80"/>
      <c r="D105" s="80"/>
      <c r="E105" s="80"/>
      <c r="F105" s="80"/>
      <c r="G105" s="79"/>
      <c r="H105" s="79"/>
      <c r="I105" s="80"/>
      <c r="J105" s="80"/>
      <c r="K105" s="79"/>
      <c r="L105" s="80"/>
      <c r="M105" s="80"/>
      <c r="N105" s="125"/>
      <c r="O105" s="80"/>
    </row>
    <row r="106" customFormat="false" ht="31.5" hidden="false" customHeight="true" outlineLevel="0" collapsed="false">
      <c r="A106" s="80"/>
      <c r="B106" s="80"/>
      <c r="C106" s="80"/>
      <c r="D106" s="80"/>
      <c r="E106" s="80"/>
      <c r="F106" s="80"/>
      <c r="G106" s="79"/>
      <c r="H106" s="79"/>
      <c r="I106" s="80"/>
      <c r="J106" s="80"/>
      <c r="K106" s="79"/>
      <c r="L106" s="80"/>
      <c r="M106" s="80"/>
      <c r="N106" s="125"/>
      <c r="O106" s="80"/>
    </row>
    <row r="107" customFormat="false" ht="31.5" hidden="false" customHeight="true" outlineLevel="0" collapsed="false">
      <c r="A107" s="80"/>
      <c r="B107" s="80"/>
      <c r="C107" s="80"/>
      <c r="D107" s="80"/>
      <c r="E107" s="80"/>
      <c r="F107" s="80"/>
      <c r="G107" s="79"/>
      <c r="H107" s="79"/>
      <c r="I107" s="80"/>
      <c r="J107" s="80"/>
      <c r="K107" s="79"/>
      <c r="L107" s="80"/>
      <c r="M107" s="80"/>
      <c r="N107" s="125"/>
      <c r="O107" s="80"/>
    </row>
    <row r="108" customFormat="false" ht="31.5" hidden="false" customHeight="true" outlineLevel="0" collapsed="false">
      <c r="A108" s="80"/>
      <c r="B108" s="80"/>
      <c r="C108" s="80"/>
      <c r="D108" s="80"/>
      <c r="E108" s="80"/>
      <c r="F108" s="80"/>
      <c r="G108" s="79"/>
      <c r="H108" s="79"/>
      <c r="I108" s="80"/>
      <c r="J108" s="80"/>
      <c r="K108" s="79"/>
      <c r="L108" s="80"/>
      <c r="M108" s="80"/>
      <c r="N108" s="125"/>
      <c r="O108" s="80"/>
    </row>
    <row r="109" customFormat="false" ht="31.5" hidden="false" customHeight="true" outlineLevel="0" collapsed="false">
      <c r="A109" s="80"/>
      <c r="B109" s="80"/>
      <c r="C109" s="80"/>
      <c r="D109" s="80"/>
      <c r="E109" s="80"/>
      <c r="F109" s="80"/>
      <c r="G109" s="79"/>
      <c r="H109" s="79"/>
      <c r="I109" s="80"/>
      <c r="J109" s="80"/>
      <c r="K109" s="79"/>
      <c r="L109" s="80"/>
      <c r="M109" s="80"/>
      <c r="N109" s="125"/>
      <c r="O109" s="80"/>
    </row>
    <row r="110" customFormat="false" ht="31.5" hidden="false" customHeight="true" outlineLevel="0" collapsed="false">
      <c r="A110" s="80"/>
      <c r="B110" s="80"/>
      <c r="C110" s="80"/>
      <c r="D110" s="80"/>
      <c r="E110" s="80"/>
      <c r="F110" s="80"/>
      <c r="G110" s="79"/>
      <c r="H110" s="79"/>
      <c r="I110" s="80"/>
      <c r="J110" s="80"/>
      <c r="K110" s="79"/>
      <c r="L110" s="80"/>
      <c r="M110" s="80"/>
      <c r="N110" s="125"/>
      <c r="O110" s="80"/>
    </row>
    <row r="111" customFormat="false" ht="31.5" hidden="false" customHeight="true" outlineLevel="0" collapsed="false">
      <c r="A111" s="80"/>
      <c r="B111" s="80"/>
      <c r="C111" s="80"/>
      <c r="D111" s="80"/>
      <c r="E111" s="80"/>
      <c r="F111" s="80"/>
      <c r="G111" s="79"/>
      <c r="H111" s="79"/>
      <c r="I111" s="80"/>
      <c r="J111" s="80"/>
      <c r="K111" s="79"/>
      <c r="L111" s="80"/>
      <c r="M111" s="80"/>
      <c r="N111" s="125"/>
      <c r="O111" s="80"/>
    </row>
    <row r="112" customFormat="false" ht="31.5" hidden="false" customHeight="true" outlineLevel="0" collapsed="false">
      <c r="A112" s="80"/>
      <c r="B112" s="80"/>
      <c r="C112" s="80"/>
      <c r="D112" s="80"/>
      <c r="E112" s="80"/>
      <c r="F112" s="80"/>
      <c r="G112" s="79"/>
      <c r="H112" s="79"/>
      <c r="I112" s="80"/>
      <c r="J112" s="80"/>
      <c r="K112" s="79"/>
      <c r="L112" s="80"/>
      <c r="M112" s="80"/>
      <c r="N112" s="125"/>
      <c r="O112" s="80"/>
    </row>
    <row r="113" customFormat="false" ht="31.5" hidden="false" customHeight="true" outlineLevel="0" collapsed="false">
      <c r="A113" s="80"/>
      <c r="B113" s="80"/>
      <c r="C113" s="80"/>
      <c r="D113" s="80"/>
      <c r="E113" s="80"/>
      <c r="F113" s="80"/>
      <c r="G113" s="79"/>
      <c r="H113" s="79"/>
      <c r="I113" s="80"/>
      <c r="J113" s="80"/>
      <c r="K113" s="79"/>
      <c r="L113" s="80"/>
      <c r="M113" s="80"/>
      <c r="N113" s="125"/>
      <c r="O113" s="80"/>
    </row>
    <row r="114" customFormat="false" ht="31.5" hidden="false" customHeight="true" outlineLevel="0" collapsed="false">
      <c r="A114" s="80"/>
      <c r="B114" s="80"/>
      <c r="C114" s="80"/>
      <c r="D114" s="80"/>
      <c r="E114" s="80"/>
      <c r="F114" s="80"/>
      <c r="G114" s="79"/>
      <c r="H114" s="79"/>
      <c r="I114" s="80"/>
      <c r="J114" s="80"/>
      <c r="K114" s="79"/>
      <c r="L114" s="80"/>
      <c r="M114" s="80"/>
      <c r="N114" s="125"/>
      <c r="O114" s="80"/>
    </row>
    <row r="115" customFormat="false" ht="31.5" hidden="false" customHeight="true" outlineLevel="0" collapsed="false">
      <c r="A115" s="80"/>
      <c r="B115" s="80"/>
      <c r="C115" s="80"/>
      <c r="D115" s="80"/>
      <c r="E115" s="80"/>
      <c r="F115" s="80"/>
      <c r="G115" s="79"/>
      <c r="H115" s="79"/>
      <c r="I115" s="80"/>
      <c r="J115" s="80"/>
      <c r="K115" s="79"/>
      <c r="L115" s="80"/>
      <c r="M115" s="80"/>
      <c r="N115" s="125"/>
      <c r="O115" s="80"/>
    </row>
    <row r="116" customFormat="false" ht="31.5" hidden="false" customHeight="true" outlineLevel="0" collapsed="false">
      <c r="A116" s="80"/>
      <c r="B116" s="80"/>
      <c r="C116" s="80"/>
      <c r="D116" s="80"/>
      <c r="E116" s="80"/>
      <c r="F116" s="80"/>
      <c r="G116" s="79"/>
      <c r="H116" s="79"/>
      <c r="I116" s="80"/>
      <c r="J116" s="80"/>
      <c r="K116" s="79"/>
      <c r="L116" s="80"/>
      <c r="M116" s="80"/>
      <c r="N116" s="125"/>
      <c r="O116" s="80"/>
    </row>
    <row r="117" customFormat="false" ht="31.5" hidden="false" customHeight="true" outlineLevel="0" collapsed="false">
      <c r="A117" s="80"/>
      <c r="B117" s="80"/>
      <c r="C117" s="80"/>
      <c r="D117" s="80"/>
      <c r="E117" s="80"/>
      <c r="F117" s="80"/>
      <c r="G117" s="79"/>
      <c r="H117" s="79"/>
      <c r="I117" s="80"/>
      <c r="J117" s="80"/>
      <c r="K117" s="79"/>
      <c r="L117" s="80"/>
      <c r="M117" s="80"/>
      <c r="N117" s="125"/>
      <c r="O117" s="80"/>
    </row>
    <row r="118" customFormat="false" ht="31.5" hidden="false" customHeight="true" outlineLevel="0" collapsed="false">
      <c r="A118" s="80"/>
      <c r="B118" s="80"/>
      <c r="C118" s="80"/>
      <c r="D118" s="80"/>
      <c r="E118" s="80"/>
      <c r="F118" s="80"/>
      <c r="G118" s="79"/>
      <c r="H118" s="79"/>
      <c r="I118" s="80"/>
      <c r="J118" s="80"/>
      <c r="K118" s="79"/>
      <c r="L118" s="80"/>
      <c r="M118" s="80"/>
      <c r="N118" s="125"/>
      <c r="O118" s="80"/>
    </row>
    <row r="119" customFormat="false" ht="31.5" hidden="false" customHeight="true" outlineLevel="0" collapsed="false">
      <c r="A119" s="80"/>
      <c r="B119" s="80"/>
      <c r="C119" s="80"/>
      <c r="D119" s="80"/>
      <c r="E119" s="80"/>
      <c r="F119" s="80"/>
      <c r="G119" s="79"/>
      <c r="H119" s="79"/>
      <c r="I119" s="80"/>
      <c r="J119" s="80"/>
      <c r="K119" s="79"/>
      <c r="L119" s="80"/>
      <c r="M119" s="80"/>
      <c r="N119" s="125"/>
      <c r="O119" s="80"/>
    </row>
    <row r="120" customFormat="false" ht="31.5" hidden="false" customHeight="true" outlineLevel="0" collapsed="false">
      <c r="A120" s="80"/>
      <c r="B120" s="80"/>
      <c r="C120" s="80"/>
      <c r="D120" s="80"/>
      <c r="E120" s="80"/>
      <c r="F120" s="80"/>
      <c r="G120" s="79"/>
      <c r="H120" s="79"/>
      <c r="I120" s="80"/>
      <c r="J120" s="80"/>
      <c r="K120" s="79"/>
      <c r="L120" s="80"/>
      <c r="M120" s="80"/>
      <c r="N120" s="125"/>
      <c r="O120" s="80"/>
    </row>
    <row r="121" customFormat="false" ht="31.5" hidden="false" customHeight="true" outlineLevel="0" collapsed="false">
      <c r="A121" s="80"/>
      <c r="B121" s="80"/>
      <c r="C121" s="80"/>
      <c r="D121" s="80"/>
      <c r="E121" s="80"/>
      <c r="F121" s="80"/>
      <c r="G121" s="79"/>
      <c r="H121" s="79"/>
      <c r="I121" s="80"/>
      <c r="J121" s="80"/>
      <c r="K121" s="79"/>
      <c r="L121" s="80"/>
      <c r="M121" s="80"/>
      <c r="N121" s="125"/>
      <c r="O121" s="80"/>
    </row>
    <row r="122" customFormat="false" ht="31.5" hidden="false" customHeight="true" outlineLevel="0" collapsed="false">
      <c r="A122" s="80"/>
      <c r="B122" s="80"/>
      <c r="C122" s="80"/>
      <c r="D122" s="80"/>
      <c r="E122" s="80"/>
      <c r="F122" s="80"/>
      <c r="G122" s="79"/>
      <c r="H122" s="79"/>
      <c r="I122" s="80"/>
      <c r="J122" s="80"/>
      <c r="K122" s="79"/>
      <c r="L122" s="80"/>
      <c r="M122" s="80"/>
      <c r="N122" s="125"/>
      <c r="O122" s="80"/>
    </row>
    <row r="123" customFormat="false" ht="31.5" hidden="false" customHeight="true" outlineLevel="0" collapsed="false">
      <c r="A123" s="80"/>
      <c r="B123" s="80"/>
      <c r="C123" s="80"/>
      <c r="D123" s="80"/>
      <c r="E123" s="80"/>
      <c r="F123" s="80"/>
      <c r="G123" s="79"/>
      <c r="H123" s="79"/>
      <c r="I123" s="80"/>
      <c r="J123" s="80"/>
      <c r="K123" s="79"/>
      <c r="L123" s="80"/>
      <c r="M123" s="80"/>
      <c r="N123" s="125"/>
      <c r="O123" s="80"/>
    </row>
    <row r="124" customFormat="false" ht="31.5" hidden="false" customHeight="true" outlineLevel="0" collapsed="false">
      <c r="A124" s="80"/>
      <c r="B124" s="80"/>
      <c r="C124" s="80"/>
      <c r="D124" s="80"/>
      <c r="E124" s="80"/>
      <c r="F124" s="80"/>
      <c r="G124" s="79"/>
      <c r="H124" s="79"/>
      <c r="I124" s="80"/>
      <c r="J124" s="80"/>
      <c r="K124" s="79"/>
      <c r="L124" s="80"/>
      <c r="M124" s="80"/>
      <c r="N124" s="125"/>
      <c r="O124" s="80"/>
    </row>
    <row r="125" customFormat="false" ht="31.5" hidden="false" customHeight="true" outlineLevel="0" collapsed="false">
      <c r="A125" s="80"/>
      <c r="B125" s="80"/>
      <c r="C125" s="80"/>
      <c r="D125" s="80"/>
      <c r="E125" s="80"/>
      <c r="F125" s="80"/>
      <c r="G125" s="79"/>
      <c r="H125" s="79"/>
      <c r="I125" s="80"/>
      <c r="J125" s="80"/>
      <c r="K125" s="79"/>
      <c r="L125" s="80"/>
      <c r="M125" s="80"/>
      <c r="N125" s="125"/>
      <c r="O125" s="80"/>
    </row>
    <row r="126" customFormat="false" ht="31.5" hidden="false" customHeight="true" outlineLevel="0" collapsed="false">
      <c r="A126" s="80"/>
      <c r="B126" s="80"/>
      <c r="C126" s="80"/>
      <c r="D126" s="80"/>
      <c r="E126" s="80"/>
      <c r="F126" s="80"/>
      <c r="G126" s="79"/>
      <c r="H126" s="79"/>
      <c r="I126" s="80"/>
      <c r="J126" s="80"/>
      <c r="K126" s="79"/>
      <c r="L126" s="80"/>
      <c r="M126" s="80"/>
      <c r="N126" s="125"/>
      <c r="O126" s="80"/>
    </row>
    <row r="127" customFormat="false" ht="31.5" hidden="false" customHeight="true" outlineLevel="0" collapsed="false">
      <c r="A127" s="80"/>
      <c r="B127" s="80"/>
      <c r="C127" s="80"/>
      <c r="D127" s="80"/>
      <c r="E127" s="80"/>
      <c r="F127" s="80"/>
      <c r="G127" s="79"/>
      <c r="H127" s="79"/>
      <c r="I127" s="80"/>
      <c r="J127" s="80"/>
      <c r="K127" s="79"/>
      <c r="L127" s="80"/>
      <c r="M127" s="80"/>
      <c r="N127" s="125"/>
      <c r="O127" s="80"/>
    </row>
    <row r="128" customFormat="false" ht="31.5" hidden="false" customHeight="true" outlineLevel="0" collapsed="false">
      <c r="A128" s="80"/>
      <c r="B128" s="80"/>
      <c r="C128" s="80"/>
      <c r="D128" s="80"/>
      <c r="E128" s="80"/>
      <c r="F128" s="80"/>
      <c r="G128" s="79"/>
      <c r="H128" s="79"/>
      <c r="I128" s="80"/>
      <c r="J128" s="80"/>
      <c r="K128" s="79"/>
      <c r="L128" s="80"/>
      <c r="M128" s="80"/>
      <c r="N128" s="125"/>
      <c r="O128" s="80"/>
    </row>
    <row r="129" customFormat="false" ht="31.5" hidden="false" customHeight="true" outlineLevel="0" collapsed="false">
      <c r="A129" s="80"/>
      <c r="B129" s="80"/>
      <c r="C129" s="80"/>
      <c r="D129" s="80"/>
      <c r="E129" s="80"/>
      <c r="F129" s="80"/>
      <c r="G129" s="79"/>
      <c r="H129" s="79"/>
      <c r="I129" s="80"/>
      <c r="J129" s="80"/>
      <c r="K129" s="79"/>
      <c r="L129" s="80"/>
      <c r="M129" s="80"/>
      <c r="N129" s="125"/>
      <c r="O129" s="80"/>
    </row>
    <row r="130" customFormat="false" ht="31.5" hidden="false" customHeight="true" outlineLevel="0" collapsed="false">
      <c r="A130" s="80"/>
      <c r="B130" s="80"/>
      <c r="C130" s="80"/>
      <c r="D130" s="80"/>
      <c r="E130" s="80"/>
      <c r="F130" s="80"/>
      <c r="G130" s="79"/>
      <c r="H130" s="79"/>
      <c r="I130" s="80"/>
      <c r="J130" s="80"/>
      <c r="K130" s="79"/>
      <c r="L130" s="80"/>
      <c r="M130" s="80"/>
      <c r="N130" s="125"/>
      <c r="O130" s="80"/>
    </row>
    <row r="131" customFormat="false" ht="31.5" hidden="false" customHeight="true" outlineLevel="0" collapsed="false">
      <c r="A131" s="80"/>
      <c r="B131" s="80"/>
      <c r="C131" s="80"/>
      <c r="D131" s="80"/>
      <c r="E131" s="80"/>
      <c r="F131" s="80"/>
      <c r="G131" s="79"/>
      <c r="H131" s="79"/>
      <c r="I131" s="80"/>
      <c r="J131" s="80"/>
      <c r="K131" s="79"/>
      <c r="L131" s="80"/>
      <c r="M131" s="80"/>
      <c r="N131" s="125"/>
      <c r="O131" s="80"/>
    </row>
    <row r="132" customFormat="false" ht="31.5" hidden="false" customHeight="true" outlineLevel="0" collapsed="false">
      <c r="A132" s="80"/>
      <c r="B132" s="80"/>
      <c r="C132" s="80"/>
      <c r="D132" s="80"/>
      <c r="E132" s="80"/>
      <c r="F132" s="80"/>
      <c r="G132" s="79"/>
      <c r="H132" s="79"/>
      <c r="I132" s="80"/>
      <c r="J132" s="80"/>
      <c r="K132" s="79"/>
      <c r="L132" s="80"/>
      <c r="M132" s="80"/>
      <c r="N132" s="125"/>
      <c r="O132" s="80"/>
    </row>
    <row r="133" customFormat="false" ht="31.5" hidden="false" customHeight="true" outlineLevel="0" collapsed="false">
      <c r="A133" s="80"/>
      <c r="B133" s="80"/>
      <c r="C133" s="80"/>
      <c r="D133" s="80"/>
      <c r="E133" s="80"/>
      <c r="F133" s="80"/>
      <c r="G133" s="79"/>
      <c r="H133" s="79"/>
      <c r="I133" s="80"/>
      <c r="J133" s="80"/>
      <c r="K133" s="79"/>
      <c r="L133" s="80"/>
      <c r="M133" s="80"/>
      <c r="N133" s="125"/>
      <c r="O133" s="80"/>
    </row>
    <row r="134" customFormat="false" ht="31.5" hidden="false" customHeight="true" outlineLevel="0" collapsed="false">
      <c r="A134" s="80"/>
      <c r="B134" s="80"/>
      <c r="C134" s="80"/>
      <c r="D134" s="80"/>
      <c r="E134" s="80"/>
      <c r="F134" s="80"/>
      <c r="G134" s="79"/>
      <c r="H134" s="79"/>
      <c r="I134" s="80"/>
      <c r="J134" s="80"/>
      <c r="K134" s="79"/>
      <c r="L134" s="80"/>
      <c r="M134" s="80"/>
      <c r="N134" s="125"/>
      <c r="O134" s="80"/>
    </row>
    <row r="135" customFormat="false" ht="31.5" hidden="false" customHeight="true" outlineLevel="0" collapsed="false">
      <c r="A135" s="80"/>
      <c r="B135" s="80"/>
      <c r="C135" s="80"/>
      <c r="D135" s="80"/>
      <c r="E135" s="80"/>
      <c r="F135" s="80"/>
      <c r="G135" s="79"/>
      <c r="H135" s="79"/>
      <c r="I135" s="80"/>
      <c r="J135" s="80"/>
      <c r="K135" s="79"/>
      <c r="L135" s="80"/>
      <c r="M135" s="80"/>
      <c r="N135" s="125"/>
      <c r="O135" s="80"/>
    </row>
    <row r="136" customFormat="false" ht="31.5" hidden="false" customHeight="true" outlineLevel="0" collapsed="false">
      <c r="A136" s="80"/>
      <c r="B136" s="80"/>
      <c r="C136" s="80"/>
      <c r="D136" s="80"/>
      <c r="E136" s="80"/>
      <c r="F136" s="80"/>
      <c r="G136" s="79"/>
      <c r="H136" s="79"/>
      <c r="I136" s="80"/>
      <c r="J136" s="80"/>
      <c r="K136" s="79"/>
      <c r="L136" s="80"/>
      <c r="M136" s="80"/>
      <c r="N136" s="125"/>
      <c r="O136" s="80"/>
    </row>
    <row r="137" customFormat="false" ht="31.5" hidden="false" customHeight="true" outlineLevel="0" collapsed="false">
      <c r="A137" s="80"/>
      <c r="B137" s="80"/>
      <c r="C137" s="80"/>
      <c r="D137" s="80"/>
      <c r="E137" s="80"/>
      <c r="F137" s="80"/>
      <c r="G137" s="79"/>
      <c r="H137" s="79"/>
      <c r="I137" s="80"/>
      <c r="J137" s="80"/>
      <c r="K137" s="79"/>
      <c r="L137" s="80"/>
      <c r="M137" s="80"/>
      <c r="N137" s="125"/>
      <c r="O137" s="80"/>
    </row>
    <row r="138" customFormat="false" ht="31.5" hidden="false" customHeight="true" outlineLevel="0" collapsed="false">
      <c r="A138" s="80"/>
      <c r="B138" s="80"/>
      <c r="C138" s="80"/>
      <c r="D138" s="80"/>
      <c r="E138" s="80"/>
      <c r="F138" s="80"/>
      <c r="G138" s="79"/>
      <c r="H138" s="79"/>
      <c r="I138" s="80"/>
      <c r="J138" s="80"/>
      <c r="K138" s="79"/>
      <c r="L138" s="80"/>
      <c r="M138" s="80"/>
      <c r="N138" s="125"/>
      <c r="O138" s="80"/>
    </row>
    <row r="139" customFormat="false" ht="31.5" hidden="false" customHeight="true" outlineLevel="0" collapsed="false">
      <c r="A139" s="80"/>
      <c r="B139" s="80"/>
      <c r="C139" s="80"/>
      <c r="D139" s="80"/>
      <c r="E139" s="80"/>
      <c r="F139" s="80"/>
      <c r="G139" s="79"/>
      <c r="H139" s="79"/>
      <c r="I139" s="80"/>
      <c r="J139" s="80"/>
      <c r="K139" s="79"/>
      <c r="L139" s="80"/>
      <c r="M139" s="80"/>
      <c r="N139" s="125"/>
      <c r="O139" s="80"/>
    </row>
    <row r="140" customFormat="false" ht="31.5" hidden="false" customHeight="true" outlineLevel="0" collapsed="false">
      <c r="A140" s="80"/>
      <c r="B140" s="80"/>
      <c r="C140" s="80"/>
      <c r="D140" s="80"/>
      <c r="E140" s="80"/>
      <c r="F140" s="80"/>
      <c r="G140" s="79"/>
      <c r="H140" s="79"/>
      <c r="I140" s="80"/>
      <c r="J140" s="80"/>
      <c r="K140" s="79"/>
      <c r="L140" s="80"/>
      <c r="M140" s="80"/>
      <c r="N140" s="125"/>
      <c r="O140" s="80"/>
    </row>
    <row r="141" customFormat="false" ht="31.5" hidden="false" customHeight="true" outlineLevel="0" collapsed="false">
      <c r="A141" s="80"/>
      <c r="B141" s="80"/>
      <c r="C141" s="80"/>
      <c r="D141" s="80"/>
      <c r="E141" s="80"/>
      <c r="F141" s="80"/>
      <c r="G141" s="79"/>
      <c r="H141" s="79"/>
      <c r="I141" s="80"/>
      <c r="J141" s="80"/>
      <c r="K141" s="79"/>
      <c r="L141" s="80"/>
      <c r="M141" s="80"/>
      <c r="N141" s="125"/>
      <c r="O141" s="80"/>
    </row>
    <row r="142" customFormat="false" ht="31.5" hidden="false" customHeight="true" outlineLevel="0" collapsed="false">
      <c r="A142" s="80"/>
      <c r="B142" s="80"/>
      <c r="C142" s="80"/>
      <c r="D142" s="80"/>
      <c r="E142" s="80"/>
      <c r="F142" s="80"/>
      <c r="G142" s="79"/>
      <c r="H142" s="79"/>
      <c r="I142" s="80"/>
      <c r="J142" s="80"/>
      <c r="K142" s="79"/>
      <c r="L142" s="80"/>
      <c r="M142" s="80"/>
      <c r="N142" s="125"/>
      <c r="O142" s="80"/>
    </row>
    <row r="143" customFormat="false" ht="31.5" hidden="false" customHeight="true" outlineLevel="0" collapsed="false">
      <c r="A143" s="80"/>
      <c r="B143" s="80"/>
      <c r="C143" s="80"/>
      <c r="D143" s="80"/>
      <c r="E143" s="80"/>
      <c r="F143" s="80"/>
      <c r="G143" s="79"/>
      <c r="H143" s="79"/>
      <c r="I143" s="80"/>
      <c r="J143" s="80"/>
      <c r="K143" s="79"/>
      <c r="L143" s="80"/>
      <c r="M143" s="80"/>
      <c r="N143" s="125"/>
      <c r="O143" s="80"/>
    </row>
    <row r="144" customFormat="false" ht="31.5" hidden="false" customHeight="true" outlineLevel="0" collapsed="false">
      <c r="A144" s="80"/>
      <c r="B144" s="80"/>
      <c r="C144" s="80"/>
      <c r="D144" s="80"/>
      <c r="E144" s="80"/>
      <c r="F144" s="80"/>
      <c r="G144" s="79"/>
      <c r="H144" s="79"/>
      <c r="I144" s="80"/>
      <c r="J144" s="80"/>
      <c r="K144" s="79"/>
      <c r="L144" s="80"/>
      <c r="M144" s="80"/>
      <c r="N144" s="125"/>
      <c r="O144" s="80"/>
    </row>
    <row r="145" customFormat="false" ht="31.5" hidden="false" customHeight="true" outlineLevel="0" collapsed="false">
      <c r="A145" s="80"/>
      <c r="B145" s="80"/>
      <c r="C145" s="80"/>
      <c r="D145" s="80"/>
      <c r="E145" s="80"/>
      <c r="F145" s="80"/>
      <c r="G145" s="79"/>
      <c r="H145" s="79"/>
      <c r="I145" s="80"/>
      <c r="J145" s="80"/>
      <c r="K145" s="79"/>
      <c r="L145" s="80"/>
      <c r="M145" s="80"/>
      <c r="N145" s="125"/>
      <c r="O145" s="80"/>
    </row>
    <row r="146" customFormat="false" ht="31.5" hidden="false" customHeight="true" outlineLevel="0" collapsed="false">
      <c r="A146" s="80"/>
      <c r="B146" s="80"/>
      <c r="C146" s="80"/>
      <c r="D146" s="80"/>
      <c r="E146" s="80"/>
      <c r="F146" s="80"/>
      <c r="G146" s="79"/>
      <c r="H146" s="79"/>
      <c r="I146" s="80"/>
      <c r="J146" s="80"/>
      <c r="K146" s="79"/>
      <c r="L146" s="80"/>
      <c r="M146" s="80"/>
      <c r="N146" s="125"/>
      <c r="O146" s="80"/>
    </row>
    <row r="147" customFormat="false" ht="31.5" hidden="false" customHeight="true" outlineLevel="0" collapsed="false">
      <c r="A147" s="80"/>
      <c r="B147" s="80"/>
      <c r="C147" s="80"/>
      <c r="D147" s="80"/>
      <c r="E147" s="80"/>
      <c r="F147" s="80"/>
      <c r="G147" s="79"/>
      <c r="H147" s="79"/>
      <c r="I147" s="80"/>
      <c r="J147" s="80"/>
      <c r="K147" s="79"/>
      <c r="L147" s="80"/>
      <c r="M147" s="80"/>
      <c r="N147" s="125"/>
      <c r="O147" s="80"/>
    </row>
    <row r="148" customFormat="false" ht="31.5" hidden="false" customHeight="true" outlineLevel="0" collapsed="false">
      <c r="A148" s="80"/>
      <c r="B148" s="80"/>
      <c r="C148" s="80"/>
      <c r="D148" s="80"/>
      <c r="E148" s="80"/>
      <c r="F148" s="80"/>
      <c r="G148" s="79"/>
      <c r="H148" s="79"/>
      <c r="I148" s="80"/>
      <c r="J148" s="80"/>
      <c r="K148" s="79"/>
      <c r="L148" s="80"/>
      <c r="M148" s="80"/>
      <c r="N148" s="125"/>
      <c r="O148" s="80"/>
    </row>
    <row r="149" customFormat="false" ht="31.5" hidden="false" customHeight="true" outlineLevel="0" collapsed="false">
      <c r="A149" s="80"/>
      <c r="B149" s="80"/>
      <c r="C149" s="80"/>
      <c r="D149" s="80"/>
      <c r="E149" s="80"/>
      <c r="F149" s="80"/>
      <c r="G149" s="79"/>
      <c r="H149" s="79"/>
      <c r="I149" s="80"/>
      <c r="J149" s="80"/>
      <c r="K149" s="79"/>
      <c r="L149" s="80"/>
      <c r="M149" s="80"/>
      <c r="N149" s="125"/>
      <c r="O149" s="80"/>
    </row>
    <row r="150" customFormat="false" ht="31.5" hidden="false" customHeight="true" outlineLevel="0" collapsed="false">
      <c r="A150" s="80"/>
      <c r="B150" s="80"/>
      <c r="C150" s="80"/>
      <c r="D150" s="80"/>
      <c r="E150" s="80"/>
      <c r="F150" s="80"/>
      <c r="G150" s="79"/>
      <c r="H150" s="79"/>
      <c r="I150" s="80"/>
      <c r="J150" s="80"/>
      <c r="K150" s="79"/>
      <c r="L150" s="80"/>
      <c r="M150" s="80"/>
      <c r="N150" s="125"/>
      <c r="O150" s="80"/>
    </row>
    <row r="151" customFormat="false" ht="31.5" hidden="false" customHeight="true" outlineLevel="0" collapsed="false">
      <c r="A151" s="80"/>
      <c r="B151" s="80"/>
      <c r="C151" s="80"/>
      <c r="D151" s="80"/>
      <c r="E151" s="80"/>
      <c r="F151" s="80"/>
      <c r="G151" s="79"/>
      <c r="H151" s="79"/>
      <c r="I151" s="80"/>
      <c r="J151" s="80"/>
      <c r="K151" s="79"/>
      <c r="L151" s="80"/>
      <c r="M151" s="80"/>
      <c r="N151" s="125"/>
      <c r="O151" s="80"/>
    </row>
    <row r="152" customFormat="false" ht="31.5" hidden="false" customHeight="true" outlineLevel="0" collapsed="false">
      <c r="A152" s="80"/>
      <c r="B152" s="80"/>
      <c r="C152" s="80"/>
      <c r="D152" s="80"/>
      <c r="E152" s="80"/>
      <c r="F152" s="80"/>
      <c r="G152" s="79"/>
      <c r="H152" s="79"/>
      <c r="I152" s="80"/>
      <c r="J152" s="80"/>
      <c r="K152" s="79"/>
      <c r="L152" s="80"/>
      <c r="M152" s="80"/>
      <c r="N152" s="125"/>
      <c r="O152" s="80"/>
    </row>
    <row r="153" customFormat="false" ht="31.5" hidden="false" customHeight="true" outlineLevel="0" collapsed="false">
      <c r="A153" s="80"/>
      <c r="B153" s="80"/>
      <c r="C153" s="80"/>
      <c r="D153" s="80"/>
      <c r="E153" s="80"/>
      <c r="F153" s="80"/>
      <c r="G153" s="79"/>
      <c r="H153" s="79"/>
      <c r="I153" s="80"/>
      <c r="J153" s="80"/>
      <c r="K153" s="79"/>
      <c r="L153" s="80"/>
      <c r="M153" s="80"/>
      <c r="N153" s="125"/>
      <c r="O153" s="80"/>
    </row>
    <row r="154" customFormat="false" ht="31.5" hidden="false" customHeight="true" outlineLevel="0" collapsed="false">
      <c r="A154" s="80"/>
      <c r="B154" s="80"/>
      <c r="C154" s="80"/>
      <c r="D154" s="80"/>
      <c r="E154" s="80"/>
      <c r="F154" s="80"/>
      <c r="G154" s="79"/>
      <c r="H154" s="79"/>
      <c r="I154" s="80"/>
      <c r="J154" s="80"/>
      <c r="K154" s="79"/>
      <c r="L154" s="80"/>
      <c r="M154" s="80"/>
      <c r="N154" s="125"/>
      <c r="O154" s="80"/>
    </row>
    <row r="155" customFormat="false" ht="31.5" hidden="false" customHeight="true" outlineLevel="0" collapsed="false">
      <c r="A155" s="80"/>
      <c r="B155" s="80"/>
      <c r="C155" s="80"/>
      <c r="D155" s="80"/>
      <c r="E155" s="80"/>
      <c r="F155" s="80"/>
      <c r="G155" s="79"/>
      <c r="H155" s="79"/>
      <c r="I155" s="80"/>
      <c r="J155" s="80"/>
      <c r="K155" s="79"/>
      <c r="L155" s="80"/>
      <c r="M155" s="80"/>
      <c r="N155" s="125"/>
      <c r="O155" s="80"/>
    </row>
    <row r="156" customFormat="false" ht="31.5" hidden="false" customHeight="true" outlineLevel="0" collapsed="false">
      <c r="A156" s="80"/>
      <c r="B156" s="80"/>
      <c r="C156" s="80"/>
      <c r="D156" s="80"/>
      <c r="E156" s="80"/>
      <c r="F156" s="80"/>
      <c r="G156" s="79"/>
      <c r="H156" s="79"/>
      <c r="I156" s="80"/>
      <c r="J156" s="80"/>
      <c r="K156" s="79"/>
      <c r="L156" s="80"/>
      <c r="M156" s="80"/>
      <c r="N156" s="125"/>
      <c r="O156" s="80"/>
    </row>
    <row r="157" customFormat="false" ht="31.5" hidden="false" customHeight="true" outlineLevel="0" collapsed="false">
      <c r="A157" s="80"/>
      <c r="B157" s="80"/>
      <c r="C157" s="80"/>
      <c r="D157" s="80"/>
      <c r="E157" s="80"/>
      <c r="F157" s="80"/>
      <c r="G157" s="79"/>
      <c r="H157" s="79"/>
      <c r="I157" s="80"/>
      <c r="J157" s="80"/>
      <c r="K157" s="79"/>
      <c r="L157" s="80"/>
      <c r="M157" s="80"/>
      <c r="N157" s="125"/>
      <c r="O157" s="80"/>
    </row>
    <row r="158" customFormat="false" ht="31.5" hidden="false" customHeight="true" outlineLevel="0" collapsed="false">
      <c r="A158" s="80"/>
      <c r="B158" s="80"/>
      <c r="C158" s="80"/>
      <c r="D158" s="80"/>
      <c r="E158" s="80"/>
      <c r="F158" s="80"/>
      <c r="G158" s="79"/>
      <c r="H158" s="79"/>
      <c r="I158" s="80"/>
      <c r="J158" s="80"/>
      <c r="K158" s="79"/>
      <c r="L158" s="80"/>
      <c r="M158" s="80"/>
      <c r="N158" s="125"/>
      <c r="O158" s="80"/>
    </row>
    <row r="159" customFormat="false" ht="31.5" hidden="false" customHeight="true" outlineLevel="0" collapsed="false">
      <c r="A159" s="80"/>
      <c r="B159" s="80"/>
      <c r="C159" s="80"/>
      <c r="D159" s="80"/>
      <c r="E159" s="80"/>
      <c r="F159" s="80"/>
      <c r="G159" s="79"/>
      <c r="H159" s="79"/>
      <c r="I159" s="80"/>
      <c r="J159" s="80"/>
      <c r="K159" s="79"/>
      <c r="L159" s="80"/>
      <c r="M159" s="80"/>
      <c r="N159" s="125"/>
      <c r="O159" s="80"/>
    </row>
    <row r="160" customFormat="false" ht="31.5" hidden="false" customHeight="true" outlineLevel="0" collapsed="false">
      <c r="A160" s="80"/>
      <c r="B160" s="80"/>
      <c r="C160" s="80"/>
      <c r="D160" s="80"/>
      <c r="E160" s="80"/>
      <c r="F160" s="80"/>
      <c r="G160" s="79"/>
      <c r="H160" s="79"/>
      <c r="I160" s="80"/>
      <c r="J160" s="80"/>
      <c r="K160" s="79"/>
      <c r="L160" s="80"/>
      <c r="M160" s="80"/>
      <c r="N160" s="125"/>
      <c r="O160" s="80"/>
    </row>
    <row r="161" customFormat="false" ht="31.5" hidden="false" customHeight="true" outlineLevel="0" collapsed="false">
      <c r="A161" s="80"/>
      <c r="B161" s="80"/>
      <c r="C161" s="80"/>
      <c r="D161" s="80"/>
      <c r="E161" s="80"/>
      <c r="F161" s="80"/>
      <c r="G161" s="79"/>
      <c r="H161" s="79"/>
      <c r="I161" s="80"/>
      <c r="J161" s="80"/>
      <c r="K161" s="79"/>
      <c r="L161" s="80"/>
      <c r="M161" s="80"/>
      <c r="N161" s="125"/>
      <c r="O161" s="80"/>
    </row>
    <row r="162" customFormat="false" ht="31.5" hidden="false" customHeight="true" outlineLevel="0" collapsed="false">
      <c r="A162" s="80"/>
      <c r="B162" s="80"/>
      <c r="C162" s="80"/>
      <c r="D162" s="80"/>
      <c r="E162" s="80"/>
      <c r="F162" s="80"/>
      <c r="G162" s="79"/>
      <c r="H162" s="79"/>
      <c r="I162" s="80"/>
      <c r="J162" s="80"/>
      <c r="K162" s="79"/>
      <c r="L162" s="80"/>
      <c r="M162" s="80"/>
      <c r="N162" s="125"/>
      <c r="O162" s="80"/>
    </row>
    <row r="163" customFormat="false" ht="31.5" hidden="false" customHeight="true" outlineLevel="0" collapsed="false">
      <c r="A163" s="80"/>
      <c r="B163" s="80"/>
      <c r="C163" s="80"/>
      <c r="D163" s="80"/>
      <c r="E163" s="80"/>
      <c r="F163" s="80"/>
      <c r="G163" s="79"/>
      <c r="H163" s="79"/>
      <c r="I163" s="80"/>
      <c r="J163" s="80"/>
      <c r="K163" s="79"/>
      <c r="L163" s="80"/>
      <c r="M163" s="80"/>
      <c r="N163" s="125"/>
      <c r="O163" s="80"/>
    </row>
    <row r="164" customFormat="false" ht="31.5" hidden="false" customHeight="true" outlineLevel="0" collapsed="false">
      <c r="A164" s="80"/>
      <c r="B164" s="80"/>
      <c r="C164" s="80"/>
      <c r="D164" s="80"/>
      <c r="E164" s="80"/>
      <c r="F164" s="80"/>
      <c r="G164" s="79"/>
      <c r="H164" s="79"/>
      <c r="I164" s="80"/>
      <c r="J164" s="80"/>
      <c r="K164" s="79"/>
      <c r="L164" s="80"/>
      <c r="M164" s="80"/>
      <c r="N164" s="125"/>
      <c r="O164" s="80"/>
    </row>
    <row r="165" customFormat="false" ht="31.5" hidden="false" customHeight="true" outlineLevel="0" collapsed="false">
      <c r="A165" s="80"/>
      <c r="B165" s="80"/>
      <c r="C165" s="80"/>
      <c r="D165" s="80"/>
      <c r="E165" s="80"/>
      <c r="F165" s="80"/>
      <c r="G165" s="79"/>
      <c r="H165" s="79"/>
      <c r="I165" s="80"/>
      <c r="J165" s="80"/>
      <c r="K165" s="79"/>
      <c r="L165" s="80"/>
      <c r="M165" s="80"/>
      <c r="N165" s="125"/>
      <c r="O165" s="80"/>
    </row>
    <row r="166" customFormat="false" ht="31.5" hidden="false" customHeight="true" outlineLevel="0" collapsed="false">
      <c r="A166" s="80"/>
      <c r="B166" s="80"/>
      <c r="C166" s="80"/>
      <c r="D166" s="80"/>
      <c r="E166" s="80"/>
      <c r="F166" s="80"/>
      <c r="G166" s="79"/>
      <c r="H166" s="79"/>
      <c r="I166" s="80"/>
      <c r="J166" s="80"/>
      <c r="K166" s="79"/>
      <c r="L166" s="80"/>
      <c r="M166" s="80"/>
      <c r="N166" s="125"/>
      <c r="O166" s="80"/>
    </row>
    <row r="167" customFormat="false" ht="31.5" hidden="false" customHeight="true" outlineLevel="0" collapsed="false">
      <c r="A167" s="80"/>
      <c r="B167" s="80"/>
      <c r="C167" s="80"/>
      <c r="D167" s="80"/>
      <c r="E167" s="80"/>
      <c r="F167" s="80"/>
      <c r="G167" s="79"/>
      <c r="H167" s="79"/>
      <c r="I167" s="80"/>
      <c r="J167" s="80"/>
      <c r="K167" s="79"/>
      <c r="L167" s="80"/>
      <c r="M167" s="80"/>
      <c r="N167" s="125"/>
      <c r="O167" s="80"/>
    </row>
    <row r="168" customFormat="false" ht="31.5" hidden="false" customHeight="true" outlineLevel="0" collapsed="false">
      <c r="A168" s="80"/>
      <c r="B168" s="80"/>
      <c r="C168" s="80"/>
      <c r="D168" s="80"/>
      <c r="E168" s="80"/>
      <c r="F168" s="80"/>
      <c r="G168" s="79"/>
      <c r="H168" s="79"/>
      <c r="I168" s="80"/>
      <c r="J168" s="80"/>
      <c r="K168" s="79"/>
      <c r="L168" s="80"/>
      <c r="M168" s="80"/>
      <c r="N168" s="125"/>
      <c r="O168" s="80"/>
    </row>
    <row r="169" customFormat="false" ht="31.5" hidden="false" customHeight="true" outlineLevel="0" collapsed="false">
      <c r="A169" s="80"/>
      <c r="B169" s="80"/>
      <c r="C169" s="80"/>
      <c r="D169" s="80"/>
      <c r="E169" s="80"/>
      <c r="F169" s="80"/>
      <c r="G169" s="79"/>
      <c r="H169" s="79"/>
      <c r="I169" s="80"/>
      <c r="J169" s="80"/>
      <c r="K169" s="79"/>
      <c r="L169" s="80"/>
      <c r="M169" s="80"/>
      <c r="N169" s="125"/>
      <c r="O169" s="80"/>
    </row>
    <row r="170" customFormat="false" ht="31.5" hidden="false" customHeight="true" outlineLevel="0" collapsed="false">
      <c r="A170" s="80"/>
      <c r="B170" s="80"/>
      <c r="C170" s="80"/>
      <c r="D170" s="80"/>
      <c r="E170" s="80"/>
      <c r="F170" s="80"/>
      <c r="G170" s="79"/>
      <c r="H170" s="79"/>
      <c r="I170" s="80"/>
      <c r="J170" s="80"/>
      <c r="K170" s="79"/>
      <c r="L170" s="80"/>
      <c r="M170" s="80"/>
      <c r="N170" s="125"/>
      <c r="O170" s="80"/>
    </row>
    <row r="171" customFormat="false" ht="31.5" hidden="false" customHeight="true" outlineLevel="0" collapsed="false">
      <c r="A171" s="80"/>
      <c r="B171" s="80"/>
      <c r="C171" s="80"/>
      <c r="D171" s="80"/>
      <c r="E171" s="80"/>
      <c r="F171" s="80"/>
      <c r="G171" s="79"/>
      <c r="H171" s="79"/>
      <c r="I171" s="80"/>
      <c r="J171" s="80"/>
      <c r="K171" s="79"/>
      <c r="L171" s="80"/>
      <c r="M171" s="80"/>
      <c r="N171" s="125"/>
      <c r="O171" s="80"/>
    </row>
    <row r="172" customFormat="false" ht="31.5" hidden="false" customHeight="true" outlineLevel="0" collapsed="false">
      <c r="A172" s="80"/>
      <c r="B172" s="80"/>
      <c r="C172" s="80"/>
      <c r="D172" s="80"/>
      <c r="E172" s="80"/>
      <c r="F172" s="80"/>
      <c r="G172" s="79"/>
      <c r="H172" s="79"/>
      <c r="I172" s="80"/>
      <c r="J172" s="80"/>
      <c r="K172" s="79"/>
      <c r="L172" s="80"/>
      <c r="M172" s="80"/>
      <c r="N172" s="125"/>
      <c r="O172" s="80"/>
    </row>
    <row r="173" customFormat="false" ht="31.5" hidden="false" customHeight="true" outlineLevel="0" collapsed="false">
      <c r="A173" s="80"/>
      <c r="B173" s="80"/>
      <c r="C173" s="80"/>
      <c r="D173" s="80"/>
      <c r="E173" s="80"/>
      <c r="F173" s="80"/>
      <c r="G173" s="79"/>
      <c r="H173" s="79"/>
      <c r="I173" s="80"/>
      <c r="J173" s="80"/>
      <c r="K173" s="79"/>
      <c r="L173" s="80"/>
      <c r="M173" s="80"/>
      <c r="N173" s="125"/>
      <c r="O173" s="80"/>
    </row>
    <row r="174" customFormat="false" ht="31.5" hidden="false" customHeight="true" outlineLevel="0" collapsed="false">
      <c r="A174" s="80"/>
      <c r="B174" s="80"/>
      <c r="C174" s="80"/>
      <c r="D174" s="80"/>
      <c r="E174" s="80"/>
      <c r="F174" s="80"/>
      <c r="G174" s="79"/>
      <c r="H174" s="79"/>
      <c r="I174" s="80"/>
      <c r="J174" s="80"/>
      <c r="K174" s="79"/>
      <c r="L174" s="80"/>
      <c r="M174" s="80"/>
      <c r="N174" s="125"/>
      <c r="O174" s="80"/>
    </row>
    <row r="175" customFormat="false" ht="31.5" hidden="false" customHeight="true" outlineLevel="0" collapsed="false">
      <c r="A175" s="80"/>
      <c r="B175" s="80"/>
      <c r="C175" s="80"/>
      <c r="D175" s="80"/>
      <c r="E175" s="80"/>
      <c r="F175" s="80"/>
      <c r="G175" s="79"/>
      <c r="H175" s="79"/>
      <c r="I175" s="80"/>
      <c r="J175" s="80"/>
      <c r="K175" s="79"/>
      <c r="L175" s="80"/>
      <c r="M175" s="80"/>
      <c r="N175" s="125"/>
      <c r="O175" s="80"/>
    </row>
    <row r="176" customFormat="false" ht="31.5" hidden="false" customHeight="true" outlineLevel="0" collapsed="false">
      <c r="A176" s="80"/>
      <c r="B176" s="80"/>
      <c r="C176" s="80"/>
      <c r="D176" s="80"/>
      <c r="E176" s="80"/>
      <c r="F176" s="80"/>
      <c r="G176" s="79"/>
      <c r="H176" s="79"/>
      <c r="I176" s="80"/>
      <c r="J176" s="80"/>
      <c r="K176" s="79"/>
      <c r="L176" s="80"/>
      <c r="M176" s="80"/>
      <c r="N176" s="125"/>
      <c r="O176" s="80"/>
    </row>
    <row r="177" customFormat="false" ht="31.5" hidden="false" customHeight="true" outlineLevel="0" collapsed="false">
      <c r="A177" s="80"/>
      <c r="B177" s="80"/>
      <c r="C177" s="80"/>
      <c r="D177" s="80"/>
      <c r="E177" s="80"/>
      <c r="F177" s="80"/>
      <c r="G177" s="79"/>
      <c r="H177" s="79"/>
      <c r="I177" s="80"/>
      <c r="J177" s="80"/>
      <c r="K177" s="79"/>
      <c r="L177" s="80"/>
      <c r="M177" s="80"/>
      <c r="N177" s="125"/>
      <c r="O177" s="80"/>
    </row>
    <row r="178" customFormat="false" ht="31.5" hidden="false" customHeight="true" outlineLevel="0" collapsed="false">
      <c r="A178" s="80"/>
      <c r="B178" s="80"/>
      <c r="C178" s="80"/>
      <c r="D178" s="80"/>
      <c r="E178" s="80"/>
      <c r="F178" s="80"/>
      <c r="G178" s="79"/>
      <c r="H178" s="79"/>
      <c r="I178" s="80"/>
      <c r="J178" s="80"/>
      <c r="K178" s="79"/>
      <c r="L178" s="80"/>
      <c r="M178" s="80"/>
      <c r="N178" s="125"/>
      <c r="O178" s="80"/>
    </row>
    <row r="179" customFormat="false" ht="31.5" hidden="false" customHeight="true" outlineLevel="0" collapsed="false">
      <c r="A179" s="80"/>
      <c r="B179" s="80"/>
      <c r="C179" s="80"/>
      <c r="D179" s="80"/>
      <c r="E179" s="80"/>
      <c r="F179" s="80"/>
      <c r="G179" s="79"/>
      <c r="H179" s="79"/>
      <c r="I179" s="80"/>
      <c r="J179" s="80"/>
      <c r="K179" s="79"/>
      <c r="L179" s="80"/>
      <c r="M179" s="80"/>
      <c r="N179" s="125"/>
      <c r="O179" s="80"/>
    </row>
    <row r="180" customFormat="false" ht="31.5" hidden="false" customHeight="true" outlineLevel="0" collapsed="false">
      <c r="A180" s="80"/>
      <c r="B180" s="80"/>
      <c r="C180" s="80"/>
      <c r="D180" s="80"/>
      <c r="E180" s="80"/>
      <c r="F180" s="80"/>
      <c r="G180" s="79"/>
      <c r="H180" s="79"/>
      <c r="I180" s="80"/>
      <c r="J180" s="80"/>
      <c r="K180" s="79"/>
      <c r="L180" s="80"/>
      <c r="M180" s="80"/>
      <c r="N180" s="125"/>
      <c r="O180" s="80"/>
    </row>
    <row r="181" customFormat="false" ht="31.5" hidden="false" customHeight="true" outlineLevel="0" collapsed="false">
      <c r="A181" s="80"/>
      <c r="B181" s="80"/>
      <c r="C181" s="80"/>
      <c r="D181" s="80"/>
      <c r="E181" s="80"/>
      <c r="F181" s="80"/>
      <c r="G181" s="79"/>
      <c r="H181" s="79"/>
      <c r="I181" s="80"/>
      <c r="J181" s="80"/>
      <c r="K181" s="79"/>
      <c r="L181" s="80"/>
      <c r="M181" s="80"/>
      <c r="N181" s="125"/>
      <c r="O181" s="80"/>
    </row>
    <row r="182" customFormat="false" ht="31.5" hidden="false" customHeight="true" outlineLevel="0" collapsed="false">
      <c r="A182" s="80"/>
      <c r="B182" s="80"/>
      <c r="C182" s="80"/>
      <c r="D182" s="80"/>
      <c r="E182" s="80"/>
      <c r="F182" s="80"/>
      <c r="G182" s="79"/>
      <c r="H182" s="79"/>
      <c r="I182" s="80"/>
      <c r="J182" s="80"/>
      <c r="K182" s="79"/>
      <c r="L182" s="80"/>
      <c r="M182" s="80"/>
      <c r="N182" s="125"/>
      <c r="O182" s="80"/>
    </row>
    <row r="183" customFormat="false" ht="31.5" hidden="false" customHeight="true" outlineLevel="0" collapsed="false">
      <c r="A183" s="80"/>
      <c r="B183" s="80"/>
      <c r="C183" s="80"/>
      <c r="D183" s="80"/>
      <c r="E183" s="80"/>
      <c r="F183" s="80"/>
      <c r="G183" s="79"/>
      <c r="H183" s="79"/>
      <c r="I183" s="80"/>
      <c r="J183" s="80"/>
      <c r="K183" s="79"/>
      <c r="L183" s="80"/>
      <c r="M183" s="80"/>
      <c r="N183" s="125"/>
      <c r="O183" s="80"/>
    </row>
    <row r="184" customFormat="false" ht="31.5" hidden="false" customHeight="true" outlineLevel="0" collapsed="false">
      <c r="A184" s="80"/>
      <c r="B184" s="80"/>
      <c r="C184" s="80"/>
      <c r="D184" s="80"/>
      <c r="E184" s="80"/>
      <c r="F184" s="80"/>
      <c r="G184" s="79"/>
      <c r="H184" s="79"/>
      <c r="I184" s="80"/>
      <c r="J184" s="80"/>
      <c r="K184" s="79"/>
      <c r="L184" s="80"/>
      <c r="M184" s="80"/>
      <c r="N184" s="125"/>
      <c r="O184" s="80"/>
    </row>
    <row r="185" customFormat="false" ht="31.5" hidden="false" customHeight="true" outlineLevel="0" collapsed="false">
      <c r="A185" s="80"/>
      <c r="B185" s="80"/>
      <c r="C185" s="80"/>
      <c r="D185" s="80"/>
      <c r="E185" s="80"/>
      <c r="F185" s="80"/>
      <c r="G185" s="79"/>
      <c r="H185" s="79"/>
      <c r="I185" s="80"/>
      <c r="J185" s="80"/>
      <c r="K185" s="79"/>
      <c r="L185" s="80"/>
      <c r="M185" s="80"/>
      <c r="N185" s="125"/>
      <c r="O185" s="80"/>
    </row>
    <row r="186" customFormat="false" ht="31.5" hidden="false" customHeight="true" outlineLevel="0" collapsed="false">
      <c r="A186" s="80"/>
      <c r="B186" s="80"/>
      <c r="C186" s="80"/>
      <c r="D186" s="80"/>
      <c r="E186" s="80"/>
      <c r="F186" s="80"/>
      <c r="G186" s="79"/>
      <c r="H186" s="79"/>
      <c r="I186" s="80"/>
      <c r="J186" s="80"/>
      <c r="K186" s="79"/>
      <c r="L186" s="80"/>
      <c r="M186" s="80"/>
      <c r="N186" s="125"/>
      <c r="O186" s="80"/>
    </row>
    <row r="187" customFormat="false" ht="31.5" hidden="false" customHeight="true" outlineLevel="0" collapsed="false">
      <c r="A187" s="80"/>
      <c r="B187" s="80"/>
      <c r="C187" s="80"/>
      <c r="D187" s="80"/>
      <c r="E187" s="80"/>
      <c r="F187" s="80"/>
      <c r="G187" s="79"/>
      <c r="H187" s="79"/>
      <c r="I187" s="80"/>
      <c r="J187" s="80"/>
      <c r="K187" s="79"/>
      <c r="L187" s="80"/>
      <c r="M187" s="80"/>
      <c r="N187" s="125"/>
      <c r="O187" s="80"/>
    </row>
    <row r="188" customFormat="false" ht="31.5" hidden="false" customHeight="true" outlineLevel="0" collapsed="false">
      <c r="A188" s="80"/>
      <c r="B188" s="80"/>
      <c r="C188" s="80"/>
      <c r="D188" s="80"/>
      <c r="E188" s="80"/>
      <c r="F188" s="80"/>
      <c r="G188" s="79"/>
      <c r="H188" s="79"/>
      <c r="I188" s="80"/>
      <c r="J188" s="80"/>
      <c r="K188" s="79"/>
      <c r="L188" s="80"/>
      <c r="M188" s="80"/>
      <c r="N188" s="125"/>
      <c r="O188" s="80"/>
    </row>
    <row r="189" customFormat="false" ht="31.5" hidden="false" customHeight="true" outlineLevel="0" collapsed="false">
      <c r="A189" s="80"/>
      <c r="B189" s="80"/>
      <c r="C189" s="80"/>
      <c r="D189" s="80"/>
      <c r="E189" s="80"/>
      <c r="F189" s="80"/>
      <c r="G189" s="79"/>
      <c r="H189" s="79"/>
      <c r="I189" s="80"/>
      <c r="J189" s="80"/>
      <c r="K189" s="79"/>
      <c r="L189" s="80"/>
      <c r="M189" s="80"/>
      <c r="N189" s="125"/>
      <c r="O189" s="80"/>
    </row>
    <row r="190" customFormat="false" ht="31.5" hidden="false" customHeight="true" outlineLevel="0" collapsed="false">
      <c r="A190" s="80"/>
      <c r="B190" s="80"/>
      <c r="C190" s="80"/>
      <c r="D190" s="80"/>
      <c r="E190" s="80"/>
      <c r="F190" s="80"/>
      <c r="G190" s="79"/>
      <c r="H190" s="79"/>
      <c r="I190" s="80"/>
      <c r="J190" s="80"/>
      <c r="K190" s="79"/>
      <c r="L190" s="80"/>
      <c r="M190" s="80"/>
      <c r="N190" s="125"/>
      <c r="O190" s="80"/>
    </row>
    <row r="191" customFormat="false" ht="31.5" hidden="false" customHeight="true" outlineLevel="0" collapsed="false">
      <c r="A191" s="80"/>
      <c r="B191" s="80"/>
      <c r="C191" s="80"/>
      <c r="D191" s="80"/>
      <c r="E191" s="80"/>
      <c r="F191" s="80"/>
      <c r="G191" s="79"/>
      <c r="H191" s="79"/>
      <c r="I191" s="80"/>
      <c r="J191" s="80"/>
      <c r="K191" s="79"/>
      <c r="L191" s="80"/>
      <c r="M191" s="80"/>
      <c r="N191" s="125"/>
      <c r="O191" s="80"/>
    </row>
    <row r="192" customFormat="false" ht="31.5" hidden="false" customHeight="true" outlineLevel="0" collapsed="false">
      <c r="A192" s="80"/>
      <c r="B192" s="80"/>
      <c r="C192" s="80"/>
      <c r="D192" s="80"/>
      <c r="E192" s="80"/>
      <c r="F192" s="80"/>
      <c r="G192" s="79"/>
      <c r="H192" s="79"/>
      <c r="I192" s="80"/>
      <c r="J192" s="80"/>
      <c r="K192" s="79"/>
      <c r="L192" s="80"/>
      <c r="M192" s="80"/>
      <c r="N192" s="125"/>
      <c r="O192" s="80"/>
    </row>
    <row r="193" customFormat="false" ht="31.5" hidden="false" customHeight="true" outlineLevel="0" collapsed="false">
      <c r="A193" s="80"/>
      <c r="B193" s="80"/>
      <c r="C193" s="80"/>
      <c r="D193" s="80"/>
      <c r="E193" s="80"/>
      <c r="F193" s="80"/>
      <c r="G193" s="79"/>
      <c r="H193" s="79"/>
      <c r="I193" s="80"/>
      <c r="J193" s="80"/>
      <c r="K193" s="79"/>
      <c r="L193" s="80"/>
      <c r="M193" s="80"/>
      <c r="N193" s="125"/>
      <c r="O193" s="80"/>
    </row>
    <row r="194" customFormat="false" ht="31.5" hidden="false" customHeight="true" outlineLevel="0" collapsed="false">
      <c r="A194" s="80"/>
      <c r="B194" s="80"/>
      <c r="C194" s="80"/>
      <c r="D194" s="80"/>
      <c r="E194" s="80"/>
      <c r="F194" s="80"/>
      <c r="G194" s="79"/>
      <c r="H194" s="79"/>
      <c r="I194" s="80"/>
      <c r="J194" s="80"/>
      <c r="K194" s="79"/>
      <c r="L194" s="80"/>
      <c r="M194" s="80"/>
      <c r="N194" s="125"/>
      <c r="O194" s="80"/>
    </row>
    <row r="195" customFormat="false" ht="31.5" hidden="false" customHeight="true" outlineLevel="0" collapsed="false">
      <c r="A195" s="80"/>
      <c r="B195" s="80"/>
      <c r="C195" s="80"/>
      <c r="D195" s="80"/>
      <c r="E195" s="80"/>
      <c r="F195" s="80"/>
      <c r="G195" s="79"/>
      <c r="H195" s="79"/>
      <c r="I195" s="80"/>
      <c r="J195" s="80"/>
      <c r="K195" s="79"/>
      <c r="L195" s="80"/>
      <c r="M195" s="80"/>
      <c r="N195" s="125"/>
      <c r="O195" s="80"/>
    </row>
    <row r="196" customFormat="false" ht="31.5" hidden="false" customHeight="true" outlineLevel="0" collapsed="false">
      <c r="A196" s="80"/>
      <c r="B196" s="80"/>
      <c r="C196" s="80"/>
      <c r="D196" s="80"/>
      <c r="E196" s="80"/>
      <c r="F196" s="80"/>
      <c r="G196" s="79"/>
      <c r="H196" s="79"/>
      <c r="I196" s="80"/>
      <c r="J196" s="80"/>
      <c r="K196" s="79"/>
      <c r="L196" s="80"/>
      <c r="M196" s="80"/>
      <c r="N196" s="125"/>
      <c r="O196" s="80"/>
    </row>
    <row r="197" customFormat="false" ht="31.5" hidden="false" customHeight="true" outlineLevel="0" collapsed="false">
      <c r="A197" s="80"/>
      <c r="B197" s="80"/>
      <c r="C197" s="80"/>
      <c r="D197" s="80"/>
      <c r="E197" s="80"/>
      <c r="F197" s="80"/>
      <c r="G197" s="79"/>
      <c r="H197" s="79"/>
      <c r="I197" s="80"/>
      <c r="J197" s="80"/>
      <c r="K197" s="79"/>
      <c r="L197" s="80"/>
      <c r="M197" s="80"/>
      <c r="N197" s="125"/>
      <c r="O197" s="80"/>
    </row>
    <row r="198" customFormat="false" ht="31.5" hidden="false" customHeight="true" outlineLevel="0" collapsed="false">
      <c r="A198" s="80"/>
      <c r="B198" s="80"/>
      <c r="C198" s="80"/>
      <c r="D198" s="80"/>
      <c r="E198" s="80"/>
      <c r="F198" s="80"/>
      <c r="G198" s="79"/>
      <c r="H198" s="79"/>
      <c r="I198" s="80"/>
      <c r="J198" s="80"/>
      <c r="K198" s="79"/>
      <c r="L198" s="80"/>
      <c r="M198" s="80"/>
      <c r="N198" s="125"/>
      <c r="O198" s="80"/>
    </row>
    <row r="199" customFormat="false" ht="31.5" hidden="false" customHeight="true" outlineLevel="0" collapsed="false">
      <c r="A199" s="80"/>
      <c r="B199" s="80"/>
      <c r="C199" s="80"/>
      <c r="D199" s="80"/>
      <c r="E199" s="80"/>
      <c r="F199" s="80"/>
      <c r="G199" s="79"/>
      <c r="H199" s="79"/>
      <c r="I199" s="80"/>
      <c r="J199" s="80"/>
      <c r="K199" s="79"/>
      <c r="L199" s="80"/>
      <c r="M199" s="80"/>
      <c r="N199" s="125"/>
      <c r="O199" s="80"/>
    </row>
    <row r="200" customFormat="false" ht="31.5" hidden="false" customHeight="true" outlineLevel="0" collapsed="false">
      <c r="A200" s="80"/>
      <c r="B200" s="80"/>
      <c r="C200" s="80"/>
      <c r="D200" s="80"/>
      <c r="E200" s="80"/>
      <c r="F200" s="80"/>
      <c r="G200" s="79"/>
      <c r="H200" s="79"/>
      <c r="I200" s="80"/>
      <c r="J200" s="80"/>
      <c r="K200" s="79"/>
      <c r="L200" s="80"/>
      <c r="M200" s="80"/>
      <c r="N200" s="125"/>
      <c r="O200" s="80"/>
    </row>
    <row r="201" customFormat="false" ht="31.5" hidden="false" customHeight="true" outlineLevel="0" collapsed="false">
      <c r="A201" s="80"/>
      <c r="B201" s="80"/>
      <c r="C201" s="80"/>
      <c r="D201" s="80"/>
      <c r="E201" s="80"/>
      <c r="F201" s="80"/>
      <c r="G201" s="79"/>
      <c r="H201" s="79"/>
      <c r="I201" s="80"/>
      <c r="J201" s="80"/>
      <c r="K201" s="79"/>
      <c r="L201" s="80"/>
      <c r="M201" s="80"/>
      <c r="N201" s="125"/>
      <c r="O201" s="80"/>
    </row>
    <row r="202" customFormat="false" ht="31.5" hidden="false" customHeight="true" outlineLevel="0" collapsed="false">
      <c r="A202" s="80"/>
      <c r="B202" s="80"/>
      <c r="C202" s="80"/>
      <c r="D202" s="80"/>
      <c r="E202" s="80"/>
      <c r="F202" s="80"/>
      <c r="G202" s="79"/>
      <c r="H202" s="79"/>
      <c r="I202" s="80"/>
      <c r="J202" s="80"/>
      <c r="K202" s="79"/>
      <c r="L202" s="80"/>
      <c r="M202" s="80"/>
      <c r="N202" s="125"/>
      <c r="O202" s="80"/>
    </row>
    <row r="203" customFormat="false" ht="31.5" hidden="false" customHeight="true" outlineLevel="0" collapsed="false">
      <c r="A203" s="80"/>
      <c r="B203" s="80"/>
      <c r="C203" s="80"/>
      <c r="D203" s="80"/>
      <c r="E203" s="80"/>
      <c r="F203" s="80"/>
      <c r="G203" s="79"/>
      <c r="H203" s="79"/>
      <c r="I203" s="80"/>
      <c r="J203" s="80"/>
      <c r="K203" s="79"/>
      <c r="L203" s="80"/>
      <c r="M203" s="80"/>
      <c r="N203" s="125"/>
      <c r="O203" s="80"/>
    </row>
    <row r="204" customFormat="false" ht="31.5" hidden="false" customHeight="true" outlineLevel="0" collapsed="false">
      <c r="A204" s="80"/>
      <c r="B204" s="80"/>
      <c r="C204" s="80"/>
      <c r="D204" s="80"/>
      <c r="E204" s="80"/>
      <c r="F204" s="80"/>
      <c r="G204" s="79"/>
      <c r="H204" s="79"/>
      <c r="I204" s="80"/>
      <c r="J204" s="80"/>
      <c r="K204" s="79"/>
      <c r="L204" s="80"/>
      <c r="M204" s="80"/>
      <c r="N204" s="125"/>
      <c r="O204" s="80"/>
    </row>
    <row r="205" customFormat="false" ht="31.5" hidden="false" customHeight="true" outlineLevel="0" collapsed="false">
      <c r="A205" s="80"/>
      <c r="B205" s="80"/>
      <c r="C205" s="80"/>
      <c r="D205" s="80"/>
      <c r="E205" s="80"/>
      <c r="F205" s="80"/>
      <c r="G205" s="79"/>
      <c r="H205" s="79"/>
      <c r="I205" s="80"/>
      <c r="J205" s="80"/>
      <c r="K205" s="79"/>
      <c r="L205" s="80"/>
      <c r="M205" s="80"/>
      <c r="N205" s="125"/>
      <c r="O205" s="80"/>
    </row>
    <row r="206" customFormat="false" ht="31.5" hidden="false" customHeight="true" outlineLevel="0" collapsed="false">
      <c r="A206" s="80"/>
      <c r="B206" s="80"/>
      <c r="C206" s="80"/>
      <c r="D206" s="80"/>
      <c r="E206" s="80"/>
      <c r="F206" s="80"/>
      <c r="G206" s="79"/>
      <c r="H206" s="79"/>
      <c r="I206" s="80"/>
      <c r="J206" s="80"/>
      <c r="K206" s="79"/>
      <c r="L206" s="80"/>
      <c r="M206" s="80"/>
      <c r="N206" s="125"/>
      <c r="O206" s="80"/>
    </row>
    <row r="207" customFormat="false" ht="31.5" hidden="false" customHeight="true" outlineLevel="0" collapsed="false">
      <c r="A207" s="80"/>
      <c r="B207" s="80"/>
      <c r="C207" s="80"/>
      <c r="D207" s="80"/>
      <c r="E207" s="80"/>
      <c r="F207" s="80"/>
      <c r="G207" s="79"/>
      <c r="H207" s="79"/>
      <c r="I207" s="80"/>
      <c r="J207" s="80"/>
      <c r="K207" s="79"/>
      <c r="L207" s="80"/>
      <c r="M207" s="80"/>
      <c r="N207" s="125"/>
      <c r="O207" s="80"/>
    </row>
    <row r="208" customFormat="false" ht="31.5" hidden="false" customHeight="true" outlineLevel="0" collapsed="false">
      <c r="A208" s="80"/>
      <c r="B208" s="80"/>
      <c r="C208" s="80"/>
      <c r="D208" s="80"/>
      <c r="E208" s="80"/>
      <c r="F208" s="80"/>
      <c r="G208" s="79"/>
      <c r="H208" s="79"/>
      <c r="I208" s="80"/>
      <c r="J208" s="80"/>
      <c r="K208" s="79"/>
      <c r="L208" s="80"/>
      <c r="M208" s="80"/>
      <c r="N208" s="125"/>
      <c r="O208" s="80"/>
    </row>
    <row r="209" customFormat="false" ht="31.5" hidden="false" customHeight="true" outlineLevel="0" collapsed="false">
      <c r="A209" s="80"/>
      <c r="B209" s="80"/>
      <c r="C209" s="80"/>
      <c r="D209" s="80"/>
      <c r="E209" s="80"/>
      <c r="F209" s="80"/>
      <c r="G209" s="79"/>
      <c r="H209" s="79"/>
      <c r="I209" s="80"/>
      <c r="J209" s="80"/>
      <c r="K209" s="79"/>
      <c r="L209" s="80"/>
      <c r="M209" s="80"/>
      <c r="N209" s="125"/>
      <c r="O209" s="80"/>
    </row>
    <row r="210" customFormat="false" ht="31.5" hidden="false" customHeight="true" outlineLevel="0" collapsed="false">
      <c r="A210" s="80"/>
      <c r="B210" s="80"/>
      <c r="C210" s="80"/>
      <c r="D210" s="80"/>
      <c r="E210" s="80"/>
      <c r="F210" s="80"/>
      <c r="G210" s="79"/>
      <c r="H210" s="79"/>
      <c r="I210" s="80"/>
      <c r="J210" s="80"/>
      <c r="K210" s="79"/>
      <c r="L210" s="80"/>
      <c r="M210" s="80"/>
      <c r="N210" s="125"/>
      <c r="O210" s="80"/>
    </row>
    <row r="211" customFormat="false" ht="31.5" hidden="false" customHeight="true" outlineLevel="0" collapsed="false">
      <c r="A211" s="80"/>
      <c r="B211" s="80"/>
      <c r="C211" s="80"/>
      <c r="D211" s="80"/>
      <c r="E211" s="80"/>
      <c r="F211" s="80"/>
      <c r="G211" s="79"/>
      <c r="H211" s="79"/>
      <c r="I211" s="80"/>
      <c r="J211" s="80"/>
      <c r="K211" s="79"/>
      <c r="L211" s="80"/>
      <c r="M211" s="80"/>
      <c r="N211" s="125"/>
      <c r="O211" s="80"/>
    </row>
    <row r="212" customFormat="false" ht="31.5" hidden="false" customHeight="true" outlineLevel="0" collapsed="false">
      <c r="A212" s="80"/>
      <c r="B212" s="80"/>
      <c r="C212" s="80"/>
      <c r="D212" s="80"/>
      <c r="E212" s="80"/>
      <c r="F212" s="80"/>
      <c r="G212" s="79"/>
      <c r="H212" s="79"/>
      <c r="I212" s="80"/>
      <c r="J212" s="80"/>
      <c r="K212" s="79"/>
      <c r="L212" s="80"/>
      <c r="M212" s="80"/>
      <c r="N212" s="125"/>
      <c r="O212" s="80"/>
    </row>
    <row r="213" customFormat="false" ht="31.5" hidden="false" customHeight="true" outlineLevel="0" collapsed="false">
      <c r="A213" s="80"/>
      <c r="B213" s="80"/>
      <c r="C213" s="80"/>
      <c r="D213" s="80"/>
      <c r="E213" s="80"/>
      <c r="F213" s="80"/>
      <c r="G213" s="79"/>
      <c r="H213" s="79"/>
      <c r="I213" s="80"/>
      <c r="J213" s="80"/>
      <c r="K213" s="79"/>
      <c r="L213" s="80"/>
      <c r="M213" s="80"/>
      <c r="N213" s="125"/>
      <c r="O213" s="80"/>
    </row>
    <row r="214" customFormat="false" ht="31.5" hidden="false" customHeight="true" outlineLevel="0" collapsed="false">
      <c r="A214" s="80"/>
      <c r="B214" s="80"/>
      <c r="C214" s="80"/>
      <c r="D214" s="80"/>
      <c r="E214" s="80"/>
      <c r="F214" s="80"/>
      <c r="G214" s="79"/>
      <c r="H214" s="79"/>
      <c r="I214" s="80"/>
      <c r="J214" s="80"/>
      <c r="K214" s="79"/>
      <c r="L214" s="80"/>
      <c r="M214" s="80"/>
      <c r="N214" s="125"/>
      <c r="O214" s="80"/>
    </row>
    <row r="215" customFormat="false" ht="31.5" hidden="false" customHeight="true" outlineLevel="0" collapsed="false">
      <c r="A215" s="80"/>
      <c r="B215" s="80"/>
      <c r="C215" s="80"/>
      <c r="D215" s="80"/>
      <c r="E215" s="80"/>
      <c r="F215" s="80"/>
      <c r="G215" s="79"/>
      <c r="H215" s="79"/>
      <c r="I215" s="80"/>
      <c r="J215" s="80"/>
      <c r="K215" s="79"/>
      <c r="L215" s="80"/>
      <c r="M215" s="80"/>
      <c r="N215" s="125"/>
      <c r="O215" s="80"/>
    </row>
    <row r="216" customFormat="false" ht="31.5" hidden="false" customHeight="true" outlineLevel="0" collapsed="false">
      <c r="A216" s="80"/>
      <c r="B216" s="80"/>
      <c r="C216" s="80"/>
      <c r="D216" s="80"/>
      <c r="E216" s="80"/>
      <c r="F216" s="80"/>
      <c r="G216" s="79"/>
      <c r="H216" s="79"/>
      <c r="I216" s="80"/>
      <c r="J216" s="80"/>
      <c r="K216" s="79"/>
      <c r="L216" s="80"/>
      <c r="M216" s="80"/>
      <c r="N216" s="125"/>
      <c r="O216" s="80"/>
    </row>
    <row r="217" customFormat="false" ht="31.5" hidden="false" customHeight="true" outlineLevel="0" collapsed="false">
      <c r="A217" s="80"/>
      <c r="B217" s="80"/>
      <c r="C217" s="80"/>
      <c r="D217" s="80"/>
      <c r="E217" s="80"/>
      <c r="F217" s="80"/>
      <c r="G217" s="79"/>
      <c r="H217" s="79"/>
      <c r="I217" s="80"/>
      <c r="J217" s="80"/>
      <c r="K217" s="79"/>
      <c r="L217" s="80"/>
      <c r="M217" s="80"/>
      <c r="N217" s="125"/>
      <c r="O217" s="80"/>
    </row>
    <row r="218" customFormat="false" ht="31.5" hidden="false" customHeight="true" outlineLevel="0" collapsed="false">
      <c r="A218" s="80"/>
      <c r="B218" s="80"/>
      <c r="C218" s="80"/>
      <c r="D218" s="80"/>
      <c r="E218" s="80"/>
      <c r="F218" s="80"/>
      <c r="G218" s="79"/>
      <c r="H218" s="79"/>
      <c r="I218" s="80"/>
      <c r="J218" s="80"/>
      <c r="K218" s="79"/>
      <c r="L218" s="80"/>
      <c r="M218" s="80"/>
      <c r="N218" s="125"/>
      <c r="O218" s="80"/>
    </row>
    <row r="219" customFormat="false" ht="31.5" hidden="false" customHeight="true" outlineLevel="0" collapsed="false">
      <c r="A219" s="80"/>
      <c r="B219" s="80"/>
      <c r="C219" s="80"/>
      <c r="D219" s="80"/>
      <c r="E219" s="80"/>
      <c r="F219" s="80"/>
      <c r="G219" s="79"/>
      <c r="H219" s="79"/>
      <c r="I219" s="80"/>
      <c r="J219" s="80"/>
      <c r="K219" s="79"/>
      <c r="L219" s="80"/>
      <c r="M219" s="80"/>
      <c r="N219" s="125"/>
      <c r="O219" s="80"/>
    </row>
    <row r="220" customFormat="false" ht="31.5" hidden="false" customHeight="true" outlineLevel="0" collapsed="false">
      <c r="A220" s="80"/>
      <c r="B220" s="80"/>
      <c r="C220" s="80"/>
      <c r="D220" s="80"/>
      <c r="E220" s="80"/>
      <c r="F220" s="80"/>
      <c r="G220" s="79"/>
      <c r="H220" s="79"/>
      <c r="I220" s="80"/>
      <c r="J220" s="80"/>
      <c r="K220" s="79"/>
      <c r="L220" s="80"/>
      <c r="M220" s="80"/>
      <c r="N220" s="125"/>
      <c r="O220" s="80"/>
    </row>
    <row r="221" customFormat="false" ht="31.5" hidden="false" customHeight="true" outlineLevel="0" collapsed="false">
      <c r="A221" s="80"/>
      <c r="B221" s="80"/>
      <c r="C221" s="80"/>
      <c r="D221" s="80"/>
      <c r="E221" s="80"/>
      <c r="F221" s="80"/>
      <c r="G221" s="79"/>
      <c r="H221" s="79"/>
      <c r="I221" s="80"/>
      <c r="J221" s="80"/>
      <c r="K221" s="79"/>
      <c r="L221" s="80"/>
      <c r="M221" s="80"/>
      <c r="N221" s="125"/>
      <c r="O221" s="80"/>
    </row>
    <row r="222" customFormat="false" ht="31.5" hidden="false" customHeight="true" outlineLevel="0" collapsed="false">
      <c r="A222" s="80"/>
      <c r="B222" s="80"/>
      <c r="C222" s="80"/>
      <c r="D222" s="80"/>
      <c r="E222" s="80"/>
      <c r="F222" s="80"/>
      <c r="G222" s="79"/>
      <c r="H222" s="79"/>
      <c r="I222" s="80"/>
      <c r="J222" s="80"/>
      <c r="K222" s="79"/>
      <c r="L222" s="80"/>
      <c r="M222" s="80"/>
      <c r="N222" s="125"/>
      <c r="O222" s="80"/>
    </row>
    <row r="223" customFormat="false" ht="31.5" hidden="false" customHeight="true" outlineLevel="0" collapsed="false">
      <c r="A223" s="80"/>
      <c r="B223" s="80"/>
      <c r="C223" s="80"/>
      <c r="D223" s="80"/>
      <c r="E223" s="80"/>
      <c r="F223" s="80"/>
      <c r="G223" s="79"/>
      <c r="H223" s="79"/>
      <c r="I223" s="80"/>
      <c r="J223" s="80"/>
      <c r="K223" s="79"/>
      <c r="L223" s="80"/>
      <c r="M223" s="80"/>
      <c r="N223" s="125"/>
      <c r="O223" s="80"/>
    </row>
    <row r="224" customFormat="false" ht="31.5" hidden="false" customHeight="true" outlineLevel="0" collapsed="false">
      <c r="A224" s="80"/>
      <c r="B224" s="80"/>
      <c r="C224" s="80"/>
      <c r="D224" s="80"/>
      <c r="E224" s="80"/>
      <c r="F224" s="80"/>
      <c r="G224" s="79"/>
      <c r="H224" s="79"/>
      <c r="I224" s="80"/>
      <c r="J224" s="80"/>
      <c r="K224" s="79"/>
      <c r="L224" s="80"/>
      <c r="M224" s="80"/>
      <c r="N224" s="125"/>
      <c r="O224" s="80"/>
    </row>
    <row r="225" customFormat="false" ht="31.5" hidden="false" customHeight="true" outlineLevel="0" collapsed="false">
      <c r="A225" s="80"/>
      <c r="B225" s="80"/>
      <c r="C225" s="80"/>
      <c r="D225" s="80"/>
      <c r="E225" s="80"/>
      <c r="F225" s="80"/>
      <c r="G225" s="79"/>
      <c r="H225" s="79"/>
      <c r="I225" s="80"/>
      <c r="J225" s="80"/>
      <c r="K225" s="79"/>
      <c r="L225" s="80"/>
      <c r="M225" s="80"/>
      <c r="N225" s="125"/>
      <c r="O225" s="80"/>
    </row>
    <row r="226" customFormat="false" ht="31.5" hidden="false" customHeight="true" outlineLevel="0" collapsed="false">
      <c r="A226" s="80"/>
      <c r="B226" s="80"/>
      <c r="C226" s="80"/>
      <c r="D226" s="80"/>
      <c r="E226" s="80"/>
      <c r="F226" s="80"/>
      <c r="G226" s="79"/>
      <c r="H226" s="79"/>
      <c r="I226" s="80"/>
      <c r="J226" s="80"/>
      <c r="K226" s="79"/>
      <c r="L226" s="80"/>
      <c r="M226" s="80"/>
      <c r="N226" s="125"/>
      <c r="O226" s="80"/>
    </row>
    <row r="227" customFormat="false" ht="31.5" hidden="false" customHeight="true" outlineLevel="0" collapsed="false">
      <c r="A227" s="80"/>
      <c r="B227" s="80"/>
      <c r="C227" s="80"/>
      <c r="D227" s="80"/>
      <c r="E227" s="80"/>
      <c r="F227" s="80"/>
      <c r="G227" s="79"/>
      <c r="H227" s="79"/>
      <c r="I227" s="80"/>
      <c r="J227" s="80"/>
      <c r="K227" s="79"/>
      <c r="L227" s="80"/>
      <c r="M227" s="80"/>
      <c r="N227" s="125"/>
      <c r="O227" s="80"/>
    </row>
    <row r="228" customFormat="false" ht="31.5" hidden="false" customHeight="true" outlineLevel="0" collapsed="false">
      <c r="A228" s="80"/>
      <c r="B228" s="80"/>
      <c r="C228" s="80"/>
      <c r="D228" s="80"/>
      <c r="E228" s="80"/>
      <c r="F228" s="80"/>
      <c r="G228" s="79"/>
      <c r="H228" s="79"/>
      <c r="I228" s="80"/>
      <c r="J228" s="80"/>
      <c r="K228" s="79"/>
      <c r="L228" s="80"/>
      <c r="M228" s="80"/>
      <c r="N228" s="125"/>
      <c r="O228" s="80"/>
    </row>
    <row r="229" customFormat="false" ht="31.5" hidden="false" customHeight="true" outlineLevel="0" collapsed="false">
      <c r="A229" s="80"/>
      <c r="B229" s="80"/>
      <c r="C229" s="80"/>
      <c r="D229" s="80"/>
      <c r="E229" s="80"/>
      <c r="F229" s="80"/>
      <c r="G229" s="79"/>
      <c r="H229" s="79"/>
      <c r="I229" s="80"/>
      <c r="J229" s="80"/>
      <c r="K229" s="79"/>
      <c r="L229" s="80"/>
      <c r="M229" s="80"/>
      <c r="N229" s="125"/>
      <c r="O229" s="80"/>
    </row>
    <row r="230" customFormat="false" ht="31.5" hidden="false" customHeight="true" outlineLevel="0" collapsed="false">
      <c r="A230" s="80"/>
      <c r="B230" s="80"/>
      <c r="C230" s="80"/>
      <c r="D230" s="80"/>
      <c r="E230" s="80"/>
      <c r="F230" s="80"/>
      <c r="G230" s="79"/>
      <c r="H230" s="79"/>
      <c r="I230" s="80"/>
      <c r="J230" s="80"/>
      <c r="K230" s="79"/>
      <c r="L230" s="80"/>
      <c r="M230" s="80"/>
      <c r="N230" s="125"/>
      <c r="O230" s="80"/>
    </row>
    <row r="231" customFormat="false" ht="31.5" hidden="false" customHeight="true" outlineLevel="0" collapsed="false">
      <c r="A231" s="80"/>
      <c r="B231" s="80"/>
      <c r="C231" s="80"/>
      <c r="D231" s="80"/>
      <c r="E231" s="80"/>
      <c r="F231" s="80"/>
      <c r="G231" s="79"/>
      <c r="H231" s="79"/>
      <c r="I231" s="80"/>
      <c r="J231" s="80"/>
      <c r="K231" s="79"/>
      <c r="L231" s="80"/>
      <c r="M231" s="80"/>
      <c r="N231" s="125"/>
      <c r="O231" s="80"/>
    </row>
    <row r="232" customFormat="false" ht="31.5" hidden="false" customHeight="true" outlineLevel="0" collapsed="false">
      <c r="A232" s="80"/>
      <c r="B232" s="80"/>
      <c r="C232" s="80"/>
      <c r="D232" s="80"/>
      <c r="E232" s="80"/>
      <c r="F232" s="80"/>
      <c r="G232" s="79"/>
      <c r="H232" s="79"/>
      <c r="I232" s="80"/>
      <c r="J232" s="80"/>
      <c r="K232" s="79"/>
      <c r="L232" s="80"/>
      <c r="M232" s="80"/>
      <c r="N232" s="125"/>
      <c r="O232" s="80"/>
    </row>
    <row r="233" customFormat="false" ht="31.5" hidden="false" customHeight="true" outlineLevel="0" collapsed="false">
      <c r="A233" s="80"/>
      <c r="B233" s="80"/>
      <c r="C233" s="80"/>
      <c r="D233" s="80"/>
      <c r="E233" s="80"/>
      <c r="F233" s="80"/>
      <c r="G233" s="79"/>
      <c r="H233" s="79"/>
      <c r="I233" s="80"/>
      <c r="J233" s="80"/>
      <c r="K233" s="79"/>
      <c r="L233" s="80"/>
      <c r="M233" s="80"/>
      <c r="N233" s="125"/>
      <c r="O233" s="80"/>
    </row>
    <row r="234" customFormat="false" ht="31.5" hidden="false" customHeight="true" outlineLevel="0" collapsed="false">
      <c r="A234" s="80"/>
      <c r="B234" s="80"/>
      <c r="C234" s="80"/>
      <c r="D234" s="80"/>
      <c r="E234" s="80"/>
      <c r="F234" s="80"/>
      <c r="G234" s="79"/>
      <c r="H234" s="79"/>
      <c r="I234" s="80"/>
      <c r="J234" s="80"/>
      <c r="K234" s="79"/>
      <c r="L234" s="80"/>
      <c r="M234" s="80"/>
      <c r="N234" s="125"/>
      <c r="O234" s="80"/>
    </row>
    <row r="235" customFormat="false" ht="31.5" hidden="false" customHeight="true" outlineLevel="0" collapsed="false">
      <c r="A235" s="80"/>
      <c r="B235" s="80"/>
      <c r="C235" s="80"/>
      <c r="D235" s="80"/>
      <c r="E235" s="80"/>
      <c r="F235" s="80"/>
      <c r="G235" s="79"/>
      <c r="H235" s="79"/>
      <c r="I235" s="80"/>
      <c r="J235" s="80"/>
      <c r="K235" s="79"/>
      <c r="L235" s="80"/>
      <c r="M235" s="80"/>
      <c r="N235" s="125"/>
      <c r="O235" s="80"/>
    </row>
    <row r="236" customFormat="false" ht="31.5" hidden="false" customHeight="true" outlineLevel="0" collapsed="false">
      <c r="A236" s="80"/>
      <c r="B236" s="80"/>
      <c r="C236" s="80"/>
      <c r="D236" s="80"/>
      <c r="E236" s="80"/>
      <c r="F236" s="80"/>
      <c r="G236" s="79"/>
      <c r="H236" s="79"/>
      <c r="I236" s="80"/>
      <c r="J236" s="80"/>
      <c r="K236" s="79"/>
      <c r="L236" s="80"/>
      <c r="M236" s="80"/>
      <c r="N236" s="125"/>
      <c r="O236" s="80"/>
    </row>
    <row r="237" customFormat="false" ht="31.5" hidden="false" customHeight="true" outlineLevel="0" collapsed="false">
      <c r="A237" s="80"/>
      <c r="B237" s="80"/>
      <c r="C237" s="80"/>
      <c r="D237" s="80"/>
      <c r="E237" s="80"/>
      <c r="F237" s="80"/>
      <c r="G237" s="79"/>
      <c r="H237" s="79"/>
      <c r="I237" s="80"/>
      <c r="J237" s="80"/>
      <c r="K237" s="79"/>
      <c r="L237" s="80"/>
      <c r="M237" s="80"/>
      <c r="N237" s="125"/>
      <c r="O237" s="80"/>
    </row>
    <row r="238" customFormat="false" ht="31.5" hidden="false" customHeight="true" outlineLevel="0" collapsed="false">
      <c r="A238" s="80"/>
      <c r="B238" s="80"/>
      <c r="C238" s="80"/>
      <c r="D238" s="80"/>
      <c r="E238" s="80"/>
      <c r="F238" s="80"/>
      <c r="G238" s="79"/>
      <c r="H238" s="79"/>
      <c r="I238" s="80"/>
      <c r="J238" s="80"/>
      <c r="K238" s="79"/>
      <c r="L238" s="80"/>
      <c r="M238" s="80"/>
      <c r="N238" s="125"/>
      <c r="O238" s="80"/>
    </row>
    <row r="239" customFormat="false" ht="31.5" hidden="false" customHeight="true" outlineLevel="0" collapsed="false">
      <c r="A239" s="80"/>
      <c r="B239" s="80"/>
      <c r="C239" s="80"/>
      <c r="D239" s="80"/>
      <c r="E239" s="80"/>
      <c r="F239" s="80"/>
      <c r="G239" s="79"/>
      <c r="H239" s="79"/>
      <c r="I239" s="80"/>
      <c r="J239" s="80"/>
      <c r="K239" s="79"/>
      <c r="L239" s="80"/>
      <c r="M239" s="80"/>
      <c r="N239" s="125"/>
      <c r="O239" s="80"/>
    </row>
    <row r="240" customFormat="false" ht="31.5" hidden="false" customHeight="true" outlineLevel="0" collapsed="false">
      <c r="A240" s="80"/>
      <c r="B240" s="80"/>
      <c r="C240" s="80"/>
      <c r="D240" s="80"/>
      <c r="E240" s="80"/>
      <c r="F240" s="80"/>
      <c r="G240" s="79"/>
      <c r="H240" s="79"/>
      <c r="I240" s="80"/>
      <c r="J240" s="80"/>
      <c r="K240" s="79"/>
      <c r="L240" s="80"/>
      <c r="M240" s="80"/>
      <c r="N240" s="125"/>
      <c r="O240" s="80"/>
    </row>
    <row r="241" customFormat="false" ht="31.5" hidden="false" customHeight="true" outlineLevel="0" collapsed="false">
      <c r="A241" s="80"/>
      <c r="B241" s="80"/>
      <c r="C241" s="80"/>
      <c r="D241" s="80"/>
      <c r="E241" s="80"/>
      <c r="F241" s="80"/>
      <c r="G241" s="79"/>
      <c r="H241" s="79"/>
      <c r="I241" s="80"/>
      <c r="J241" s="80"/>
      <c r="K241" s="79"/>
      <c r="L241" s="80"/>
      <c r="M241" s="80"/>
      <c r="N241" s="125"/>
      <c r="O241" s="80"/>
    </row>
    <row r="242" customFormat="false" ht="31.5" hidden="false" customHeight="true" outlineLevel="0" collapsed="false">
      <c r="A242" s="80"/>
      <c r="B242" s="80"/>
      <c r="C242" s="80"/>
      <c r="D242" s="80"/>
      <c r="E242" s="80"/>
      <c r="F242" s="80"/>
      <c r="G242" s="79"/>
      <c r="H242" s="79"/>
      <c r="I242" s="80"/>
      <c r="J242" s="80"/>
      <c r="K242" s="79"/>
      <c r="L242" s="80"/>
      <c r="M242" s="80"/>
      <c r="N242" s="125"/>
      <c r="O242" s="80"/>
    </row>
    <row r="243" customFormat="false" ht="31.5" hidden="false" customHeight="true" outlineLevel="0" collapsed="false">
      <c r="A243" s="80"/>
      <c r="B243" s="80"/>
      <c r="C243" s="80"/>
      <c r="D243" s="80"/>
      <c r="E243" s="80"/>
      <c r="F243" s="80"/>
      <c r="G243" s="79"/>
      <c r="H243" s="79"/>
      <c r="I243" s="80"/>
      <c r="J243" s="80"/>
      <c r="K243" s="79"/>
      <c r="L243" s="80"/>
      <c r="M243" s="80"/>
      <c r="N243" s="125"/>
      <c r="O243" s="80"/>
    </row>
    <row r="244" customFormat="false" ht="31.5" hidden="false" customHeight="true" outlineLevel="0" collapsed="false">
      <c r="A244" s="80"/>
      <c r="B244" s="80"/>
      <c r="C244" s="80"/>
      <c r="D244" s="80"/>
      <c r="E244" s="80"/>
      <c r="F244" s="80"/>
      <c r="G244" s="79"/>
      <c r="H244" s="79"/>
      <c r="I244" s="80"/>
      <c r="J244" s="80"/>
      <c r="K244" s="79"/>
      <c r="L244" s="80"/>
      <c r="M244" s="80"/>
      <c r="N244" s="125"/>
      <c r="O244" s="80"/>
    </row>
    <row r="245" customFormat="false" ht="31.5" hidden="false" customHeight="true" outlineLevel="0" collapsed="false">
      <c r="A245" s="80"/>
      <c r="B245" s="80"/>
      <c r="C245" s="80"/>
      <c r="D245" s="80"/>
      <c r="E245" s="80"/>
      <c r="F245" s="80"/>
      <c r="G245" s="79"/>
      <c r="H245" s="79"/>
      <c r="I245" s="80"/>
      <c r="J245" s="80"/>
      <c r="K245" s="79"/>
      <c r="L245" s="80"/>
      <c r="M245" s="80"/>
      <c r="N245" s="125"/>
      <c r="O245" s="80"/>
    </row>
    <row r="246" customFormat="false" ht="31.5" hidden="false" customHeight="true" outlineLevel="0" collapsed="false">
      <c r="A246" s="80"/>
      <c r="B246" s="80"/>
      <c r="C246" s="80"/>
      <c r="D246" s="80"/>
      <c r="E246" s="80"/>
      <c r="F246" s="80"/>
      <c r="G246" s="79"/>
      <c r="H246" s="79"/>
      <c r="I246" s="80"/>
      <c r="J246" s="80"/>
      <c r="K246" s="79"/>
      <c r="L246" s="80"/>
      <c r="M246" s="80"/>
      <c r="N246" s="125"/>
      <c r="O246" s="80"/>
    </row>
    <row r="247" customFormat="false" ht="31.5" hidden="false" customHeight="true" outlineLevel="0" collapsed="false">
      <c r="A247" s="80"/>
      <c r="B247" s="80"/>
      <c r="C247" s="80"/>
      <c r="D247" s="80"/>
      <c r="E247" s="80"/>
      <c r="F247" s="80"/>
      <c r="G247" s="79"/>
      <c r="H247" s="79"/>
      <c r="I247" s="80"/>
      <c r="J247" s="80"/>
      <c r="K247" s="79"/>
      <c r="L247" s="80"/>
      <c r="M247" s="80"/>
      <c r="N247" s="125"/>
      <c r="O247" s="80"/>
    </row>
    <row r="248" customFormat="false" ht="31.5" hidden="false" customHeight="true" outlineLevel="0" collapsed="false">
      <c r="A248" s="80"/>
      <c r="B248" s="80"/>
      <c r="C248" s="80"/>
      <c r="D248" s="80"/>
      <c r="E248" s="80"/>
      <c r="F248" s="80"/>
      <c r="G248" s="79"/>
      <c r="H248" s="79"/>
      <c r="I248" s="80"/>
      <c r="J248" s="80"/>
      <c r="K248" s="79"/>
      <c r="L248" s="80"/>
      <c r="M248" s="80"/>
      <c r="N248" s="125"/>
      <c r="O248" s="80"/>
    </row>
    <row r="249" customFormat="false" ht="31.5" hidden="false" customHeight="true" outlineLevel="0" collapsed="false">
      <c r="A249" s="80"/>
      <c r="B249" s="80"/>
      <c r="C249" s="80"/>
      <c r="D249" s="80"/>
      <c r="E249" s="80"/>
      <c r="F249" s="80"/>
      <c r="G249" s="79"/>
      <c r="H249" s="79"/>
      <c r="I249" s="80"/>
      <c r="J249" s="80"/>
      <c r="K249" s="79"/>
      <c r="L249" s="80"/>
      <c r="M249" s="80"/>
      <c r="N249" s="125"/>
      <c r="O249" s="80"/>
    </row>
    <row r="250" customFormat="false" ht="31.5" hidden="false" customHeight="true" outlineLevel="0" collapsed="false">
      <c r="A250" s="80"/>
      <c r="B250" s="80"/>
      <c r="C250" s="80"/>
      <c r="D250" s="80"/>
      <c r="E250" s="80"/>
      <c r="F250" s="80"/>
      <c r="G250" s="79"/>
      <c r="H250" s="79"/>
      <c r="I250" s="80"/>
      <c r="J250" s="80"/>
      <c r="K250" s="79"/>
      <c r="L250" s="80"/>
      <c r="M250" s="80"/>
      <c r="N250" s="125"/>
      <c r="O250" s="80"/>
    </row>
    <row r="251" customFormat="false" ht="31.5" hidden="false" customHeight="true" outlineLevel="0" collapsed="false">
      <c r="A251" s="80"/>
      <c r="B251" s="80"/>
      <c r="C251" s="80"/>
      <c r="D251" s="80"/>
      <c r="E251" s="80"/>
      <c r="F251" s="80"/>
      <c r="G251" s="79"/>
      <c r="H251" s="79"/>
      <c r="I251" s="80"/>
      <c r="J251" s="80"/>
      <c r="K251" s="79"/>
      <c r="L251" s="80"/>
      <c r="M251" s="80"/>
      <c r="N251" s="125"/>
      <c r="O251" s="80"/>
    </row>
    <row r="252" customFormat="false" ht="31.5" hidden="false" customHeight="true" outlineLevel="0" collapsed="false">
      <c r="A252" s="80"/>
      <c r="B252" s="80"/>
      <c r="C252" s="80"/>
      <c r="D252" s="80"/>
      <c r="E252" s="80"/>
      <c r="F252" s="80"/>
      <c r="G252" s="79"/>
      <c r="H252" s="79"/>
      <c r="I252" s="80"/>
      <c r="J252" s="80"/>
      <c r="K252" s="79"/>
      <c r="L252" s="80"/>
      <c r="M252" s="80"/>
      <c r="N252" s="125"/>
      <c r="O252" s="80"/>
    </row>
    <row r="253" customFormat="false" ht="31.5" hidden="false" customHeight="true" outlineLevel="0" collapsed="false">
      <c r="A253" s="80"/>
      <c r="B253" s="80"/>
      <c r="C253" s="80"/>
      <c r="D253" s="80"/>
      <c r="E253" s="80"/>
      <c r="F253" s="80"/>
      <c r="G253" s="79"/>
      <c r="H253" s="79"/>
      <c r="I253" s="80"/>
      <c r="J253" s="80"/>
      <c r="K253" s="79"/>
      <c r="L253" s="80"/>
      <c r="M253" s="80"/>
      <c r="N253" s="125"/>
      <c r="O253" s="80"/>
    </row>
    <row r="254" customFormat="false" ht="31.5" hidden="false" customHeight="true" outlineLevel="0" collapsed="false">
      <c r="A254" s="80"/>
      <c r="B254" s="80"/>
      <c r="C254" s="80"/>
      <c r="D254" s="80"/>
      <c r="E254" s="80"/>
      <c r="F254" s="80"/>
      <c r="G254" s="79"/>
      <c r="H254" s="79"/>
      <c r="I254" s="80"/>
      <c r="J254" s="80"/>
      <c r="K254" s="79"/>
      <c r="L254" s="80"/>
      <c r="M254" s="80"/>
      <c r="N254" s="125"/>
      <c r="O254" s="80"/>
    </row>
    <row r="255" customFormat="false" ht="31.5" hidden="false" customHeight="true" outlineLevel="0" collapsed="false">
      <c r="A255" s="80"/>
      <c r="B255" s="80"/>
      <c r="C255" s="80"/>
      <c r="D255" s="80"/>
      <c r="E255" s="80"/>
      <c r="F255" s="80"/>
      <c r="G255" s="79"/>
      <c r="H255" s="79"/>
      <c r="I255" s="80"/>
      <c r="J255" s="80"/>
      <c r="K255" s="79"/>
      <c r="L255" s="80"/>
      <c r="M255" s="80"/>
      <c r="N255" s="125"/>
      <c r="O255" s="80"/>
    </row>
    <row r="256" customFormat="false" ht="31.5" hidden="false" customHeight="true" outlineLevel="0" collapsed="false">
      <c r="A256" s="80"/>
      <c r="B256" s="80"/>
      <c r="C256" s="80"/>
      <c r="D256" s="80"/>
      <c r="E256" s="80"/>
      <c r="F256" s="80"/>
      <c r="G256" s="79"/>
      <c r="H256" s="79"/>
      <c r="I256" s="80"/>
      <c r="J256" s="80"/>
      <c r="K256" s="79"/>
      <c r="L256" s="80"/>
      <c r="M256" s="80"/>
      <c r="N256" s="125"/>
      <c r="O256" s="80"/>
    </row>
    <row r="257" customFormat="false" ht="31.5" hidden="false" customHeight="true" outlineLevel="0" collapsed="false">
      <c r="A257" s="80"/>
      <c r="B257" s="80"/>
      <c r="C257" s="80"/>
      <c r="D257" s="80"/>
      <c r="E257" s="80"/>
      <c r="F257" s="80"/>
      <c r="G257" s="79"/>
      <c r="H257" s="79"/>
      <c r="I257" s="80"/>
      <c r="J257" s="80"/>
      <c r="K257" s="79"/>
      <c r="L257" s="80"/>
      <c r="M257" s="80"/>
      <c r="N257" s="125"/>
      <c r="O257" s="80"/>
    </row>
    <row r="258" customFormat="false" ht="31.5" hidden="false" customHeight="true" outlineLevel="0" collapsed="false">
      <c r="A258" s="80"/>
      <c r="B258" s="80"/>
      <c r="C258" s="80"/>
      <c r="D258" s="80"/>
      <c r="E258" s="80"/>
      <c r="F258" s="80"/>
      <c r="G258" s="79"/>
      <c r="H258" s="79"/>
      <c r="I258" s="80"/>
      <c r="J258" s="80"/>
      <c r="K258" s="79"/>
      <c r="L258" s="80"/>
      <c r="M258" s="80"/>
      <c r="N258" s="125"/>
      <c r="O258" s="80"/>
    </row>
    <row r="259" customFormat="false" ht="31.5" hidden="false" customHeight="true" outlineLevel="0" collapsed="false">
      <c r="A259" s="80"/>
      <c r="B259" s="80"/>
      <c r="C259" s="80"/>
      <c r="D259" s="80"/>
      <c r="E259" s="80"/>
      <c r="F259" s="80"/>
      <c r="G259" s="79"/>
      <c r="H259" s="79"/>
      <c r="I259" s="80"/>
      <c r="J259" s="80"/>
      <c r="K259" s="79"/>
      <c r="L259" s="80"/>
      <c r="M259" s="80"/>
      <c r="N259" s="125"/>
      <c r="O259" s="80"/>
    </row>
    <row r="260" customFormat="false" ht="31.5" hidden="false" customHeight="true" outlineLevel="0" collapsed="false">
      <c r="A260" s="80"/>
      <c r="B260" s="80"/>
      <c r="C260" s="80"/>
      <c r="D260" s="80"/>
      <c r="E260" s="80"/>
      <c r="F260" s="80"/>
      <c r="G260" s="79"/>
      <c r="H260" s="79"/>
      <c r="I260" s="80"/>
      <c r="J260" s="80"/>
      <c r="K260" s="79"/>
      <c r="L260" s="80"/>
      <c r="M260" s="80"/>
      <c r="N260" s="125"/>
      <c r="O260" s="80"/>
    </row>
    <row r="261" customFormat="false" ht="31.5" hidden="false" customHeight="true" outlineLevel="0" collapsed="false">
      <c r="A261" s="80"/>
      <c r="B261" s="80"/>
      <c r="C261" s="80"/>
      <c r="D261" s="80"/>
      <c r="E261" s="80"/>
      <c r="F261" s="80"/>
      <c r="G261" s="79"/>
      <c r="H261" s="79"/>
      <c r="I261" s="80"/>
      <c r="J261" s="80"/>
      <c r="K261" s="79"/>
      <c r="L261" s="80"/>
      <c r="M261" s="80"/>
      <c r="N261" s="125"/>
      <c r="O261" s="80"/>
    </row>
    <row r="262" customFormat="false" ht="31.5" hidden="false" customHeight="true" outlineLevel="0" collapsed="false">
      <c r="A262" s="80"/>
      <c r="B262" s="80"/>
      <c r="C262" s="80"/>
      <c r="D262" s="80"/>
      <c r="E262" s="80"/>
      <c r="F262" s="80"/>
      <c r="G262" s="79"/>
      <c r="H262" s="79"/>
      <c r="I262" s="80"/>
      <c r="J262" s="80"/>
      <c r="K262" s="79"/>
      <c r="L262" s="80"/>
      <c r="M262" s="80"/>
      <c r="N262" s="125"/>
      <c r="O262" s="80"/>
    </row>
    <row r="263" customFormat="false" ht="31.5" hidden="false" customHeight="true" outlineLevel="0" collapsed="false">
      <c r="A263" s="80"/>
      <c r="B263" s="80"/>
      <c r="C263" s="80"/>
      <c r="D263" s="80"/>
      <c r="E263" s="80"/>
      <c r="F263" s="80"/>
      <c r="G263" s="79"/>
      <c r="H263" s="79"/>
      <c r="I263" s="80"/>
      <c r="J263" s="80"/>
      <c r="K263" s="79"/>
      <c r="L263" s="80"/>
      <c r="M263" s="80"/>
      <c r="N263" s="125"/>
      <c r="O263" s="80"/>
    </row>
    <row r="264" customFormat="false" ht="31.5" hidden="false" customHeight="true" outlineLevel="0" collapsed="false">
      <c r="A264" s="80"/>
      <c r="B264" s="80"/>
      <c r="C264" s="80"/>
      <c r="D264" s="80"/>
      <c r="E264" s="80"/>
      <c r="F264" s="80"/>
      <c r="G264" s="79"/>
      <c r="H264" s="79"/>
      <c r="I264" s="80"/>
      <c r="J264" s="80"/>
      <c r="K264" s="79"/>
      <c r="L264" s="80"/>
      <c r="M264" s="80"/>
      <c r="N264" s="125"/>
      <c r="O264" s="80"/>
    </row>
    <row r="265" customFormat="false" ht="31.5" hidden="false" customHeight="true" outlineLevel="0" collapsed="false">
      <c r="A265" s="80"/>
      <c r="B265" s="80"/>
      <c r="C265" s="80"/>
      <c r="D265" s="80"/>
      <c r="E265" s="80"/>
      <c r="F265" s="80"/>
      <c r="G265" s="79"/>
      <c r="H265" s="79"/>
      <c r="I265" s="80"/>
      <c r="J265" s="80"/>
      <c r="K265" s="79"/>
      <c r="L265" s="80"/>
      <c r="M265" s="80"/>
      <c r="N265" s="125"/>
      <c r="O265" s="80"/>
    </row>
    <row r="266" customFormat="false" ht="31.5" hidden="false" customHeight="true" outlineLevel="0" collapsed="false">
      <c r="A266" s="80"/>
      <c r="B266" s="80"/>
      <c r="C266" s="80"/>
      <c r="D266" s="80"/>
      <c r="E266" s="80"/>
      <c r="F266" s="80"/>
      <c r="G266" s="79"/>
      <c r="H266" s="79"/>
      <c r="I266" s="80"/>
      <c r="J266" s="80"/>
      <c r="K266" s="79"/>
      <c r="L266" s="80"/>
      <c r="M266" s="80"/>
      <c r="N266" s="125"/>
      <c r="O266" s="80"/>
    </row>
    <row r="267" customFormat="false" ht="31.5" hidden="false" customHeight="true" outlineLevel="0" collapsed="false">
      <c r="A267" s="80"/>
      <c r="B267" s="80"/>
      <c r="C267" s="80"/>
      <c r="D267" s="80"/>
      <c r="E267" s="80"/>
      <c r="F267" s="80"/>
      <c r="G267" s="79"/>
      <c r="H267" s="79"/>
      <c r="I267" s="80"/>
      <c r="J267" s="80"/>
      <c r="K267" s="79"/>
      <c r="L267" s="80"/>
      <c r="M267" s="80"/>
      <c r="N267" s="125"/>
      <c r="O267" s="80"/>
    </row>
    <row r="268" customFormat="false" ht="31.5" hidden="false" customHeight="true" outlineLevel="0" collapsed="false">
      <c r="A268" s="80"/>
      <c r="B268" s="80"/>
      <c r="C268" s="80"/>
      <c r="D268" s="80"/>
      <c r="E268" s="80"/>
      <c r="F268" s="80"/>
      <c r="G268" s="79"/>
      <c r="H268" s="79"/>
      <c r="I268" s="80"/>
      <c r="J268" s="80"/>
      <c r="K268" s="79"/>
      <c r="L268" s="80"/>
      <c r="M268" s="80"/>
      <c r="N268" s="125"/>
      <c r="O268" s="80"/>
    </row>
    <row r="269" customFormat="false" ht="31.5" hidden="false" customHeight="true" outlineLevel="0" collapsed="false">
      <c r="A269" s="80"/>
      <c r="B269" s="80"/>
      <c r="C269" s="80"/>
      <c r="D269" s="80"/>
      <c r="E269" s="80"/>
      <c r="F269" s="80"/>
      <c r="G269" s="79"/>
      <c r="H269" s="79"/>
      <c r="I269" s="80"/>
      <c r="J269" s="80"/>
      <c r="K269" s="79"/>
      <c r="L269" s="80"/>
      <c r="M269" s="80"/>
      <c r="N269" s="125"/>
      <c r="O269" s="80"/>
    </row>
    <row r="270" customFormat="false" ht="31.5" hidden="false" customHeight="true" outlineLevel="0" collapsed="false">
      <c r="A270" s="80"/>
      <c r="B270" s="80"/>
      <c r="C270" s="80"/>
      <c r="D270" s="80"/>
      <c r="E270" s="80"/>
      <c r="F270" s="80"/>
      <c r="G270" s="79"/>
      <c r="H270" s="79"/>
      <c r="I270" s="80"/>
      <c r="J270" s="80"/>
      <c r="K270" s="79"/>
      <c r="L270" s="80"/>
      <c r="M270" s="80"/>
      <c r="N270" s="125"/>
      <c r="O270" s="80"/>
    </row>
    <row r="271" customFormat="false" ht="31.5" hidden="false" customHeight="true" outlineLevel="0" collapsed="false">
      <c r="A271" s="80"/>
      <c r="B271" s="80"/>
      <c r="C271" s="80"/>
      <c r="D271" s="80"/>
      <c r="E271" s="80"/>
      <c r="F271" s="80"/>
      <c r="G271" s="79"/>
      <c r="H271" s="79"/>
      <c r="I271" s="80"/>
      <c r="J271" s="80"/>
      <c r="K271" s="79"/>
      <c r="L271" s="80"/>
      <c r="M271" s="80"/>
      <c r="N271" s="125"/>
      <c r="O271" s="80"/>
    </row>
    <row r="272" customFormat="false" ht="31.5" hidden="false" customHeight="true" outlineLevel="0" collapsed="false">
      <c r="A272" s="80"/>
      <c r="B272" s="80"/>
      <c r="C272" s="80"/>
      <c r="D272" s="80"/>
      <c r="E272" s="80"/>
      <c r="F272" s="80"/>
      <c r="G272" s="79"/>
      <c r="H272" s="79"/>
      <c r="I272" s="80"/>
      <c r="J272" s="80"/>
      <c r="K272" s="79"/>
      <c r="L272" s="80"/>
      <c r="M272" s="80"/>
      <c r="N272" s="125"/>
      <c r="O272" s="80"/>
    </row>
    <row r="273" customFormat="false" ht="31.5" hidden="false" customHeight="true" outlineLevel="0" collapsed="false">
      <c r="A273" s="80"/>
      <c r="B273" s="80"/>
      <c r="C273" s="80"/>
      <c r="D273" s="80"/>
      <c r="E273" s="80"/>
      <c r="F273" s="80"/>
      <c r="G273" s="79"/>
      <c r="H273" s="79"/>
      <c r="I273" s="80"/>
      <c r="J273" s="80"/>
      <c r="K273" s="79"/>
      <c r="L273" s="80"/>
      <c r="M273" s="80"/>
      <c r="N273" s="125"/>
      <c r="O273" s="80"/>
    </row>
    <row r="274" customFormat="false" ht="31.5" hidden="false" customHeight="true" outlineLevel="0" collapsed="false">
      <c r="A274" s="80"/>
      <c r="B274" s="80"/>
      <c r="C274" s="80"/>
      <c r="D274" s="80"/>
      <c r="E274" s="80"/>
      <c r="F274" s="80"/>
      <c r="G274" s="79"/>
      <c r="H274" s="79"/>
      <c r="I274" s="80"/>
      <c r="J274" s="80"/>
      <c r="K274" s="79"/>
      <c r="L274" s="80"/>
      <c r="M274" s="80"/>
      <c r="N274" s="125"/>
      <c r="O274" s="80"/>
    </row>
    <row r="275" customFormat="false" ht="31.5" hidden="false" customHeight="true" outlineLevel="0" collapsed="false">
      <c r="A275" s="80"/>
      <c r="B275" s="80"/>
      <c r="C275" s="80"/>
      <c r="D275" s="80"/>
      <c r="E275" s="80"/>
      <c r="F275" s="80"/>
      <c r="G275" s="79"/>
      <c r="H275" s="79"/>
      <c r="I275" s="80"/>
      <c r="J275" s="80"/>
      <c r="K275" s="79"/>
      <c r="L275" s="80"/>
      <c r="M275" s="80"/>
      <c r="N275" s="125"/>
      <c r="O275" s="80"/>
    </row>
    <row r="276" customFormat="false" ht="31.5" hidden="false" customHeight="true" outlineLevel="0" collapsed="false">
      <c r="A276" s="80"/>
      <c r="B276" s="80"/>
      <c r="C276" s="80"/>
      <c r="D276" s="80"/>
      <c r="E276" s="80"/>
      <c r="F276" s="80"/>
      <c r="G276" s="79"/>
      <c r="H276" s="79"/>
      <c r="I276" s="80"/>
      <c r="J276" s="80"/>
      <c r="K276" s="79"/>
      <c r="L276" s="80"/>
      <c r="M276" s="80"/>
      <c r="N276" s="125"/>
      <c r="O276" s="80"/>
    </row>
    <row r="277" customFormat="false" ht="31.5" hidden="false" customHeight="true" outlineLevel="0" collapsed="false">
      <c r="A277" s="80"/>
      <c r="B277" s="80"/>
      <c r="C277" s="80"/>
      <c r="D277" s="80"/>
      <c r="E277" s="80"/>
      <c r="F277" s="80"/>
      <c r="G277" s="79"/>
      <c r="H277" s="79"/>
      <c r="I277" s="80"/>
      <c r="J277" s="80"/>
      <c r="K277" s="79"/>
      <c r="L277" s="80"/>
      <c r="M277" s="80"/>
      <c r="N277" s="125"/>
      <c r="O277" s="80"/>
    </row>
    <row r="278" customFormat="false" ht="31.5" hidden="false" customHeight="true" outlineLevel="0" collapsed="false">
      <c r="A278" s="80"/>
      <c r="B278" s="80"/>
      <c r="C278" s="80"/>
      <c r="D278" s="80"/>
      <c r="E278" s="80"/>
      <c r="F278" s="80"/>
      <c r="G278" s="79"/>
      <c r="H278" s="79"/>
      <c r="I278" s="80"/>
      <c r="J278" s="80"/>
      <c r="K278" s="79"/>
      <c r="L278" s="80"/>
      <c r="M278" s="80"/>
      <c r="N278" s="125"/>
      <c r="O278" s="80"/>
    </row>
    <row r="279" customFormat="false" ht="31.5" hidden="false" customHeight="true" outlineLevel="0" collapsed="false">
      <c r="A279" s="80"/>
      <c r="B279" s="80"/>
      <c r="C279" s="80"/>
      <c r="D279" s="80"/>
      <c r="E279" s="80"/>
      <c r="F279" s="80"/>
      <c r="G279" s="79"/>
      <c r="H279" s="79"/>
      <c r="I279" s="80"/>
      <c r="J279" s="80"/>
      <c r="K279" s="79"/>
      <c r="L279" s="80"/>
      <c r="M279" s="80"/>
      <c r="N279" s="125"/>
      <c r="O279" s="80"/>
    </row>
    <row r="280" customFormat="false" ht="31.5" hidden="false" customHeight="true" outlineLevel="0" collapsed="false">
      <c r="A280" s="80"/>
      <c r="B280" s="80"/>
      <c r="C280" s="80"/>
      <c r="D280" s="80"/>
      <c r="E280" s="80"/>
      <c r="F280" s="80"/>
      <c r="G280" s="79"/>
      <c r="H280" s="79"/>
      <c r="I280" s="80"/>
      <c r="J280" s="80"/>
      <c r="K280" s="79"/>
      <c r="L280" s="80"/>
      <c r="M280" s="80"/>
      <c r="N280" s="125"/>
      <c r="O280" s="80"/>
    </row>
    <row r="281" customFormat="false" ht="31.5" hidden="false" customHeight="true" outlineLevel="0" collapsed="false">
      <c r="A281" s="80"/>
      <c r="B281" s="80"/>
      <c r="C281" s="80"/>
      <c r="D281" s="80"/>
      <c r="E281" s="80"/>
      <c r="F281" s="80"/>
      <c r="G281" s="79"/>
      <c r="H281" s="79"/>
      <c r="I281" s="80"/>
      <c r="J281" s="80"/>
      <c r="K281" s="79"/>
      <c r="L281" s="80"/>
      <c r="M281" s="80"/>
      <c r="N281" s="125"/>
      <c r="O281" s="80"/>
    </row>
    <row r="282" customFormat="false" ht="31.5" hidden="false" customHeight="true" outlineLevel="0" collapsed="false">
      <c r="A282" s="80"/>
      <c r="B282" s="80"/>
      <c r="C282" s="80"/>
      <c r="D282" s="80"/>
      <c r="E282" s="80"/>
      <c r="F282" s="80"/>
      <c r="G282" s="79"/>
      <c r="H282" s="79"/>
      <c r="I282" s="80"/>
      <c r="J282" s="80"/>
      <c r="K282" s="79"/>
      <c r="L282" s="80"/>
      <c r="M282" s="80"/>
      <c r="N282" s="125"/>
      <c r="O282" s="80"/>
    </row>
    <row r="283" customFormat="false" ht="31.5" hidden="false" customHeight="true" outlineLevel="0" collapsed="false">
      <c r="A283" s="80"/>
      <c r="B283" s="80"/>
      <c r="C283" s="80"/>
      <c r="D283" s="80"/>
      <c r="E283" s="80"/>
      <c r="F283" s="80"/>
      <c r="G283" s="79"/>
      <c r="H283" s="79"/>
      <c r="I283" s="80"/>
      <c r="J283" s="80"/>
      <c r="K283" s="79"/>
      <c r="L283" s="80"/>
      <c r="M283" s="80"/>
      <c r="N283" s="125"/>
      <c r="O283" s="80"/>
    </row>
    <row r="284" customFormat="false" ht="31.5" hidden="false" customHeight="true" outlineLevel="0" collapsed="false">
      <c r="A284" s="80"/>
      <c r="B284" s="80"/>
      <c r="C284" s="80"/>
      <c r="D284" s="80"/>
      <c r="E284" s="80"/>
      <c r="F284" s="80"/>
      <c r="G284" s="79"/>
      <c r="H284" s="79"/>
      <c r="I284" s="80"/>
      <c r="J284" s="80"/>
      <c r="K284" s="79"/>
      <c r="L284" s="80"/>
      <c r="M284" s="80"/>
      <c r="N284" s="125"/>
      <c r="O284" s="80"/>
    </row>
    <row r="285" customFormat="false" ht="31.5" hidden="false" customHeight="true" outlineLevel="0" collapsed="false">
      <c r="A285" s="80"/>
      <c r="B285" s="80"/>
      <c r="C285" s="80"/>
      <c r="D285" s="80"/>
      <c r="E285" s="80"/>
      <c r="F285" s="80"/>
      <c r="G285" s="79"/>
      <c r="H285" s="79"/>
      <c r="I285" s="80"/>
      <c r="J285" s="80"/>
      <c r="K285" s="79"/>
      <c r="L285" s="80"/>
      <c r="M285" s="80"/>
      <c r="N285" s="125"/>
      <c r="O285" s="80"/>
    </row>
    <row r="286" customFormat="false" ht="31.5" hidden="false" customHeight="true" outlineLevel="0" collapsed="false">
      <c r="A286" s="80"/>
      <c r="B286" s="80"/>
      <c r="C286" s="80"/>
      <c r="D286" s="80"/>
      <c r="E286" s="80"/>
      <c r="F286" s="80"/>
      <c r="G286" s="79"/>
      <c r="H286" s="79"/>
      <c r="I286" s="80"/>
      <c r="J286" s="80"/>
      <c r="K286" s="79"/>
      <c r="L286" s="80"/>
      <c r="M286" s="80"/>
      <c r="N286" s="125"/>
      <c r="O286" s="80"/>
    </row>
    <row r="287" customFormat="false" ht="31.5" hidden="false" customHeight="true" outlineLevel="0" collapsed="false">
      <c r="A287" s="80"/>
      <c r="B287" s="80"/>
      <c r="C287" s="80"/>
      <c r="D287" s="80"/>
      <c r="E287" s="80"/>
      <c r="F287" s="80"/>
      <c r="G287" s="79"/>
      <c r="H287" s="79"/>
      <c r="I287" s="80"/>
      <c r="J287" s="80"/>
      <c r="K287" s="79"/>
      <c r="L287" s="80"/>
      <c r="M287" s="80"/>
      <c r="N287" s="125"/>
      <c r="O287" s="80"/>
    </row>
    <row r="288" customFormat="false" ht="31.5" hidden="false" customHeight="true" outlineLevel="0" collapsed="false">
      <c r="A288" s="80"/>
      <c r="B288" s="80"/>
      <c r="C288" s="80"/>
      <c r="D288" s="80"/>
      <c r="E288" s="80"/>
      <c r="F288" s="80"/>
      <c r="G288" s="79"/>
      <c r="H288" s="79"/>
      <c r="I288" s="80"/>
      <c r="J288" s="80"/>
      <c r="K288" s="79"/>
      <c r="L288" s="80"/>
      <c r="M288" s="80"/>
      <c r="N288" s="125"/>
      <c r="O288" s="80"/>
    </row>
    <row r="289" customFormat="false" ht="31.5" hidden="false" customHeight="true" outlineLevel="0" collapsed="false">
      <c r="A289" s="80"/>
      <c r="B289" s="80"/>
      <c r="C289" s="80"/>
      <c r="D289" s="80"/>
      <c r="E289" s="80"/>
      <c r="F289" s="80"/>
      <c r="G289" s="79"/>
      <c r="H289" s="79"/>
      <c r="I289" s="80"/>
      <c r="J289" s="80"/>
      <c r="K289" s="79"/>
      <c r="L289" s="80"/>
      <c r="M289" s="80"/>
      <c r="N289" s="125"/>
      <c r="O289" s="80"/>
    </row>
    <row r="290" customFormat="false" ht="31.5" hidden="false" customHeight="true" outlineLevel="0" collapsed="false">
      <c r="A290" s="80"/>
      <c r="B290" s="80"/>
      <c r="C290" s="80"/>
      <c r="D290" s="80"/>
      <c r="E290" s="80"/>
      <c r="F290" s="80"/>
      <c r="G290" s="79"/>
      <c r="H290" s="79"/>
      <c r="I290" s="80"/>
      <c r="J290" s="80"/>
      <c r="K290" s="79"/>
      <c r="L290" s="80"/>
      <c r="M290" s="80"/>
      <c r="N290" s="125"/>
      <c r="O290" s="80"/>
    </row>
    <row r="291" customFormat="false" ht="31.5" hidden="false" customHeight="true" outlineLevel="0" collapsed="false">
      <c r="A291" s="80"/>
      <c r="B291" s="80"/>
      <c r="C291" s="80"/>
      <c r="D291" s="80"/>
      <c r="E291" s="80"/>
      <c r="F291" s="80"/>
      <c r="G291" s="79"/>
      <c r="H291" s="79"/>
      <c r="I291" s="80"/>
      <c r="J291" s="80"/>
      <c r="K291" s="79"/>
      <c r="L291" s="80"/>
      <c r="M291" s="80"/>
      <c r="N291" s="125"/>
      <c r="O291" s="80"/>
    </row>
    <row r="292" customFormat="false" ht="31.5" hidden="false" customHeight="true" outlineLevel="0" collapsed="false">
      <c r="A292" s="80"/>
      <c r="B292" s="80"/>
      <c r="C292" s="80"/>
      <c r="D292" s="80"/>
      <c r="E292" s="80"/>
      <c r="F292" s="80"/>
      <c r="G292" s="79"/>
      <c r="H292" s="79"/>
      <c r="I292" s="80"/>
      <c r="J292" s="80"/>
      <c r="K292" s="79"/>
      <c r="L292" s="80"/>
      <c r="M292" s="80"/>
      <c r="N292" s="125"/>
      <c r="O292" s="80"/>
    </row>
    <row r="293" customFormat="false" ht="31.5" hidden="false" customHeight="true" outlineLevel="0" collapsed="false">
      <c r="A293" s="80"/>
      <c r="B293" s="80"/>
      <c r="C293" s="80"/>
      <c r="D293" s="80"/>
      <c r="E293" s="80"/>
      <c r="F293" s="80"/>
      <c r="G293" s="79"/>
      <c r="H293" s="79"/>
      <c r="I293" s="80"/>
      <c r="J293" s="80"/>
      <c r="K293" s="79"/>
      <c r="L293" s="80"/>
      <c r="M293" s="80"/>
      <c r="N293" s="125"/>
      <c r="O293" s="80"/>
    </row>
    <row r="294" customFormat="false" ht="31.5" hidden="false" customHeight="true" outlineLevel="0" collapsed="false">
      <c r="A294" s="80"/>
      <c r="B294" s="80"/>
      <c r="C294" s="80"/>
      <c r="D294" s="80"/>
      <c r="E294" s="80"/>
      <c r="F294" s="80"/>
      <c r="G294" s="79"/>
      <c r="H294" s="79"/>
      <c r="I294" s="80"/>
      <c r="J294" s="80"/>
      <c r="K294" s="79"/>
      <c r="L294" s="80"/>
      <c r="M294" s="80"/>
      <c r="N294" s="125"/>
      <c r="O294" s="80"/>
    </row>
    <row r="295" customFormat="false" ht="31.5" hidden="false" customHeight="true" outlineLevel="0" collapsed="false">
      <c r="A295" s="80"/>
      <c r="B295" s="80"/>
      <c r="C295" s="80"/>
      <c r="D295" s="80"/>
      <c r="E295" s="80"/>
      <c r="F295" s="80"/>
      <c r="G295" s="79"/>
      <c r="H295" s="79"/>
      <c r="I295" s="80"/>
      <c r="J295" s="80"/>
      <c r="K295" s="79"/>
      <c r="L295" s="80"/>
      <c r="M295" s="80"/>
      <c r="N295" s="125"/>
      <c r="O295" s="80"/>
    </row>
    <row r="296" customFormat="false" ht="31.5" hidden="false" customHeight="true" outlineLevel="0" collapsed="false">
      <c r="A296" s="80"/>
      <c r="B296" s="80"/>
      <c r="C296" s="80"/>
      <c r="D296" s="80"/>
      <c r="E296" s="80"/>
      <c r="F296" s="80"/>
      <c r="G296" s="79"/>
      <c r="H296" s="79"/>
      <c r="I296" s="80"/>
      <c r="J296" s="80"/>
      <c r="K296" s="79"/>
      <c r="L296" s="80"/>
      <c r="M296" s="80"/>
      <c r="N296" s="125"/>
      <c r="O296" s="80"/>
    </row>
    <row r="297" customFormat="false" ht="31.5" hidden="false" customHeight="true" outlineLevel="0" collapsed="false">
      <c r="A297" s="80"/>
      <c r="B297" s="80"/>
      <c r="C297" s="80"/>
      <c r="D297" s="80"/>
      <c r="E297" s="80"/>
      <c r="F297" s="80"/>
      <c r="G297" s="79"/>
      <c r="H297" s="79"/>
      <c r="I297" s="80"/>
      <c r="J297" s="80"/>
      <c r="K297" s="79"/>
      <c r="L297" s="80"/>
      <c r="M297" s="80"/>
      <c r="N297" s="125"/>
      <c r="O297" s="80"/>
    </row>
    <row r="298" customFormat="false" ht="31.5" hidden="false" customHeight="true" outlineLevel="0" collapsed="false">
      <c r="A298" s="80"/>
      <c r="B298" s="80"/>
      <c r="C298" s="80"/>
      <c r="D298" s="80"/>
      <c r="E298" s="80"/>
      <c r="F298" s="80"/>
      <c r="G298" s="79"/>
      <c r="H298" s="79"/>
      <c r="I298" s="80"/>
      <c r="J298" s="80"/>
      <c r="K298" s="79"/>
      <c r="L298" s="80"/>
      <c r="M298" s="80"/>
      <c r="N298" s="125"/>
      <c r="O298" s="80"/>
    </row>
    <row r="299" customFormat="false" ht="31.5" hidden="false" customHeight="true" outlineLevel="0" collapsed="false">
      <c r="A299" s="80"/>
      <c r="B299" s="80"/>
      <c r="C299" s="80"/>
      <c r="D299" s="80"/>
      <c r="E299" s="80"/>
      <c r="F299" s="80"/>
      <c r="G299" s="79"/>
      <c r="H299" s="79"/>
      <c r="I299" s="80"/>
      <c r="J299" s="80"/>
      <c r="K299" s="79"/>
      <c r="L299" s="80"/>
      <c r="M299" s="80"/>
      <c r="N299" s="125"/>
      <c r="O299" s="80"/>
    </row>
    <row r="300" customFormat="false" ht="31.5" hidden="false" customHeight="true" outlineLevel="0" collapsed="false">
      <c r="A300" s="80"/>
      <c r="B300" s="80"/>
      <c r="C300" s="80"/>
      <c r="D300" s="80"/>
      <c r="E300" s="80"/>
      <c r="F300" s="80"/>
      <c r="G300" s="79"/>
      <c r="H300" s="79"/>
      <c r="I300" s="80"/>
      <c r="J300" s="80"/>
      <c r="K300" s="79"/>
      <c r="L300" s="80"/>
      <c r="M300" s="80"/>
      <c r="N300" s="125"/>
      <c r="O300" s="80"/>
    </row>
    <row r="301" customFormat="false" ht="31.5" hidden="false" customHeight="true" outlineLevel="0" collapsed="false">
      <c r="A301" s="80"/>
      <c r="B301" s="80"/>
      <c r="C301" s="80"/>
      <c r="D301" s="80"/>
      <c r="E301" s="80"/>
      <c r="F301" s="80"/>
      <c r="G301" s="79"/>
      <c r="H301" s="79"/>
      <c r="I301" s="80"/>
      <c r="J301" s="80"/>
      <c r="K301" s="79"/>
      <c r="L301" s="80"/>
      <c r="M301" s="80"/>
      <c r="N301" s="125"/>
      <c r="O301" s="80"/>
    </row>
    <row r="302" customFormat="false" ht="31.5" hidden="false" customHeight="true" outlineLevel="0" collapsed="false">
      <c r="A302" s="80"/>
      <c r="B302" s="80"/>
      <c r="C302" s="80"/>
      <c r="D302" s="80"/>
      <c r="E302" s="80"/>
      <c r="F302" s="80"/>
      <c r="G302" s="79"/>
      <c r="H302" s="79"/>
      <c r="I302" s="80"/>
      <c r="J302" s="80"/>
      <c r="K302" s="79"/>
      <c r="L302" s="80"/>
      <c r="M302" s="80"/>
      <c r="N302" s="125"/>
      <c r="O302" s="80"/>
    </row>
    <row r="303" customFormat="false" ht="31.5" hidden="false" customHeight="true" outlineLevel="0" collapsed="false">
      <c r="A303" s="80"/>
      <c r="B303" s="80"/>
      <c r="C303" s="80"/>
      <c r="D303" s="80"/>
      <c r="E303" s="80"/>
      <c r="F303" s="80"/>
      <c r="G303" s="79"/>
      <c r="H303" s="79"/>
      <c r="I303" s="80"/>
      <c r="J303" s="80"/>
      <c r="K303" s="79"/>
      <c r="L303" s="80"/>
      <c r="M303" s="80"/>
      <c r="N303" s="125"/>
      <c r="O303" s="80"/>
    </row>
    <row r="304" customFormat="false" ht="31.5" hidden="false" customHeight="true" outlineLevel="0" collapsed="false">
      <c r="A304" s="80"/>
      <c r="B304" s="80"/>
      <c r="C304" s="80"/>
      <c r="D304" s="80"/>
      <c r="E304" s="80"/>
      <c r="F304" s="80"/>
      <c r="G304" s="79"/>
      <c r="H304" s="79"/>
      <c r="I304" s="80"/>
      <c r="J304" s="80"/>
      <c r="K304" s="79"/>
      <c r="L304" s="80"/>
      <c r="M304" s="80"/>
      <c r="N304" s="125"/>
      <c r="O304" s="80"/>
    </row>
    <row r="305" customFormat="false" ht="31.5" hidden="false" customHeight="true" outlineLevel="0" collapsed="false">
      <c r="A305" s="80"/>
      <c r="B305" s="80"/>
      <c r="C305" s="80"/>
      <c r="D305" s="80"/>
      <c r="E305" s="80"/>
      <c r="F305" s="80"/>
      <c r="G305" s="79"/>
      <c r="H305" s="79"/>
      <c r="I305" s="80"/>
      <c r="J305" s="80"/>
      <c r="K305" s="79"/>
      <c r="L305" s="80"/>
      <c r="M305" s="80"/>
      <c r="N305" s="125"/>
      <c r="O305" s="80"/>
    </row>
    <row r="306" customFormat="false" ht="31.5" hidden="false" customHeight="true" outlineLevel="0" collapsed="false">
      <c r="A306" s="80"/>
      <c r="B306" s="80"/>
      <c r="C306" s="80"/>
      <c r="D306" s="80"/>
      <c r="E306" s="80"/>
      <c r="F306" s="80"/>
      <c r="G306" s="79"/>
      <c r="H306" s="79"/>
      <c r="I306" s="80"/>
      <c r="J306" s="80"/>
      <c r="K306" s="79"/>
      <c r="L306" s="80"/>
      <c r="M306" s="80"/>
      <c r="N306" s="125"/>
      <c r="O306" s="80"/>
    </row>
    <row r="307" customFormat="false" ht="31.5" hidden="false" customHeight="true" outlineLevel="0" collapsed="false">
      <c r="A307" s="80"/>
      <c r="B307" s="80"/>
      <c r="C307" s="80"/>
      <c r="D307" s="80"/>
      <c r="E307" s="80"/>
      <c r="F307" s="80"/>
      <c r="G307" s="79"/>
      <c r="H307" s="79"/>
      <c r="I307" s="80"/>
      <c r="J307" s="80"/>
      <c r="K307" s="79"/>
      <c r="L307" s="80"/>
      <c r="M307" s="80"/>
      <c r="N307" s="125"/>
      <c r="O307" s="80"/>
    </row>
    <row r="308" customFormat="false" ht="31.5" hidden="false" customHeight="true" outlineLevel="0" collapsed="false">
      <c r="A308" s="80"/>
      <c r="B308" s="80"/>
      <c r="C308" s="80"/>
      <c r="D308" s="80"/>
      <c r="E308" s="80"/>
      <c r="F308" s="80"/>
      <c r="G308" s="79"/>
      <c r="H308" s="79"/>
      <c r="I308" s="80"/>
      <c r="J308" s="80"/>
      <c r="K308" s="79"/>
      <c r="L308" s="80"/>
      <c r="M308" s="80"/>
      <c r="N308" s="125"/>
      <c r="O308" s="80"/>
    </row>
    <row r="309" customFormat="false" ht="31.5" hidden="false" customHeight="true" outlineLevel="0" collapsed="false">
      <c r="A309" s="80"/>
      <c r="B309" s="80"/>
      <c r="C309" s="80"/>
      <c r="D309" s="80"/>
      <c r="E309" s="80"/>
      <c r="F309" s="80"/>
      <c r="G309" s="79"/>
      <c r="H309" s="79"/>
      <c r="I309" s="80"/>
      <c r="J309" s="80"/>
      <c r="K309" s="79"/>
      <c r="L309" s="80"/>
      <c r="M309" s="80"/>
      <c r="N309" s="125"/>
      <c r="O309" s="80"/>
    </row>
    <row r="310" customFormat="false" ht="31.5" hidden="false" customHeight="true" outlineLevel="0" collapsed="false">
      <c r="A310" s="80"/>
      <c r="B310" s="80"/>
      <c r="C310" s="80"/>
      <c r="D310" s="80"/>
      <c r="E310" s="80"/>
      <c r="F310" s="80"/>
      <c r="G310" s="79"/>
      <c r="H310" s="79"/>
      <c r="I310" s="80"/>
      <c r="J310" s="80"/>
      <c r="K310" s="79"/>
      <c r="L310" s="80"/>
      <c r="M310" s="80"/>
      <c r="N310" s="125"/>
      <c r="O310" s="80"/>
    </row>
    <row r="311" customFormat="false" ht="31.5" hidden="false" customHeight="true" outlineLevel="0" collapsed="false">
      <c r="A311" s="80"/>
      <c r="B311" s="80"/>
      <c r="C311" s="80"/>
      <c r="D311" s="80"/>
      <c r="E311" s="80"/>
      <c r="F311" s="80"/>
      <c r="G311" s="79"/>
      <c r="H311" s="79"/>
      <c r="I311" s="80"/>
      <c r="J311" s="80"/>
      <c r="K311" s="79"/>
      <c r="L311" s="80"/>
      <c r="M311" s="80"/>
      <c r="N311" s="125"/>
      <c r="O311" s="80"/>
    </row>
    <row r="312" customFormat="false" ht="31.5" hidden="false" customHeight="true" outlineLevel="0" collapsed="false">
      <c r="A312" s="80"/>
      <c r="B312" s="80"/>
      <c r="C312" s="80"/>
      <c r="D312" s="80"/>
      <c r="E312" s="80"/>
      <c r="F312" s="80"/>
      <c r="G312" s="79"/>
      <c r="H312" s="79"/>
      <c r="I312" s="80"/>
      <c r="J312" s="80"/>
      <c r="K312" s="79"/>
      <c r="L312" s="80"/>
      <c r="M312" s="80"/>
      <c r="N312" s="125"/>
      <c r="O312" s="80"/>
    </row>
    <row r="313" customFormat="false" ht="31.5" hidden="false" customHeight="true" outlineLevel="0" collapsed="false">
      <c r="A313" s="80"/>
      <c r="B313" s="80"/>
      <c r="C313" s="80"/>
      <c r="D313" s="80"/>
      <c r="E313" s="80"/>
      <c r="F313" s="80"/>
      <c r="G313" s="79"/>
      <c r="H313" s="79"/>
      <c r="I313" s="80"/>
      <c r="J313" s="80"/>
      <c r="K313" s="79"/>
      <c r="L313" s="80"/>
      <c r="M313" s="80"/>
      <c r="N313" s="125"/>
      <c r="O313" s="80"/>
    </row>
    <row r="314" customFormat="false" ht="31.5" hidden="false" customHeight="true" outlineLevel="0" collapsed="false">
      <c r="A314" s="80"/>
      <c r="B314" s="80"/>
      <c r="C314" s="80"/>
      <c r="D314" s="80"/>
      <c r="E314" s="80"/>
      <c r="F314" s="80"/>
      <c r="G314" s="79"/>
      <c r="H314" s="79"/>
      <c r="I314" s="80"/>
      <c r="J314" s="80"/>
      <c r="K314" s="79"/>
      <c r="L314" s="80"/>
      <c r="M314" s="80"/>
      <c r="N314" s="125"/>
      <c r="O314" s="80"/>
    </row>
    <row r="315" customFormat="false" ht="31.5" hidden="false" customHeight="true" outlineLevel="0" collapsed="false">
      <c r="A315" s="80"/>
      <c r="B315" s="80"/>
      <c r="C315" s="80"/>
      <c r="D315" s="80"/>
      <c r="E315" s="80"/>
      <c r="F315" s="80"/>
      <c r="G315" s="79"/>
      <c r="H315" s="79"/>
      <c r="I315" s="80"/>
      <c r="J315" s="80"/>
      <c r="K315" s="79"/>
      <c r="L315" s="80"/>
      <c r="M315" s="80"/>
      <c r="N315" s="125"/>
      <c r="O315" s="80"/>
    </row>
    <row r="316" customFormat="false" ht="31.5" hidden="false" customHeight="true" outlineLevel="0" collapsed="false">
      <c r="A316" s="80"/>
      <c r="B316" s="80"/>
      <c r="C316" s="80"/>
      <c r="D316" s="80"/>
      <c r="E316" s="80"/>
      <c r="F316" s="80"/>
      <c r="G316" s="79"/>
      <c r="H316" s="79"/>
      <c r="I316" s="80"/>
      <c r="J316" s="80"/>
      <c r="K316" s="79"/>
      <c r="L316" s="80"/>
      <c r="M316" s="80"/>
      <c r="N316" s="125"/>
      <c r="O316" s="80"/>
    </row>
    <row r="317" customFormat="false" ht="31.5" hidden="false" customHeight="true" outlineLevel="0" collapsed="false">
      <c r="A317" s="80"/>
      <c r="B317" s="80"/>
      <c r="C317" s="80"/>
      <c r="D317" s="80"/>
      <c r="E317" s="80"/>
      <c r="F317" s="80"/>
      <c r="G317" s="79"/>
      <c r="H317" s="79"/>
      <c r="I317" s="80"/>
      <c r="J317" s="80"/>
      <c r="K317" s="79"/>
      <c r="L317" s="80"/>
      <c r="M317" s="80"/>
      <c r="N317" s="125"/>
      <c r="O317" s="80"/>
    </row>
    <row r="318" customFormat="false" ht="31.5" hidden="false" customHeight="true" outlineLevel="0" collapsed="false">
      <c r="A318" s="80"/>
      <c r="B318" s="80"/>
      <c r="C318" s="80"/>
      <c r="D318" s="80"/>
      <c r="E318" s="80"/>
      <c r="F318" s="80"/>
      <c r="G318" s="79"/>
      <c r="H318" s="79"/>
      <c r="I318" s="80"/>
      <c r="J318" s="80"/>
      <c r="K318" s="79"/>
      <c r="L318" s="80"/>
      <c r="M318" s="80"/>
      <c r="N318" s="125"/>
      <c r="O318" s="80"/>
    </row>
    <row r="319" customFormat="false" ht="31.5" hidden="false" customHeight="true" outlineLevel="0" collapsed="false">
      <c r="A319" s="80"/>
      <c r="B319" s="80"/>
      <c r="C319" s="80"/>
      <c r="D319" s="80"/>
      <c r="E319" s="80"/>
      <c r="F319" s="80"/>
      <c r="G319" s="79"/>
      <c r="H319" s="79"/>
      <c r="I319" s="80"/>
      <c r="J319" s="80"/>
      <c r="K319" s="79"/>
      <c r="L319" s="80"/>
      <c r="M319" s="80"/>
      <c r="N319" s="125"/>
      <c r="O319" s="80"/>
    </row>
    <row r="320" customFormat="false" ht="31.5" hidden="false" customHeight="true" outlineLevel="0" collapsed="false">
      <c r="A320" s="80"/>
      <c r="B320" s="80"/>
      <c r="C320" s="80"/>
      <c r="D320" s="80"/>
      <c r="E320" s="80"/>
      <c r="F320" s="80"/>
      <c r="G320" s="79"/>
      <c r="H320" s="79"/>
      <c r="I320" s="80"/>
      <c r="J320" s="80"/>
      <c r="K320" s="79"/>
      <c r="L320" s="80"/>
      <c r="M320" s="80"/>
      <c r="N320" s="125"/>
      <c r="O320" s="80"/>
    </row>
    <row r="321" customFormat="false" ht="31.5" hidden="false" customHeight="true" outlineLevel="0" collapsed="false">
      <c r="A321" s="80"/>
      <c r="B321" s="80"/>
      <c r="C321" s="80"/>
      <c r="D321" s="80"/>
      <c r="E321" s="80"/>
      <c r="F321" s="80"/>
      <c r="G321" s="79"/>
      <c r="H321" s="79"/>
      <c r="I321" s="80"/>
      <c r="J321" s="80"/>
      <c r="K321" s="79"/>
      <c r="L321" s="80"/>
      <c r="M321" s="80"/>
      <c r="N321" s="125"/>
      <c r="O321" s="80"/>
    </row>
    <row r="322" customFormat="false" ht="31.5" hidden="false" customHeight="true" outlineLevel="0" collapsed="false">
      <c r="A322" s="80"/>
      <c r="B322" s="80"/>
      <c r="C322" s="80"/>
      <c r="D322" s="80"/>
      <c r="E322" s="80"/>
      <c r="F322" s="80"/>
      <c r="G322" s="79"/>
      <c r="H322" s="79"/>
      <c r="I322" s="80"/>
      <c r="J322" s="80"/>
      <c r="K322" s="79"/>
      <c r="L322" s="80"/>
      <c r="M322" s="80"/>
      <c r="N322" s="125"/>
      <c r="O322" s="80"/>
    </row>
    <row r="323" customFormat="false" ht="31.5" hidden="false" customHeight="true" outlineLevel="0" collapsed="false">
      <c r="A323" s="80"/>
      <c r="B323" s="80"/>
      <c r="C323" s="80"/>
      <c r="D323" s="80"/>
      <c r="E323" s="80"/>
      <c r="F323" s="80"/>
      <c r="G323" s="79"/>
      <c r="H323" s="79"/>
      <c r="I323" s="80"/>
      <c r="J323" s="80"/>
      <c r="K323" s="79"/>
      <c r="L323" s="80"/>
      <c r="M323" s="80"/>
      <c r="N323" s="125"/>
      <c r="O323" s="80"/>
    </row>
    <row r="324" customFormat="false" ht="31.5" hidden="false" customHeight="true" outlineLevel="0" collapsed="false">
      <c r="A324" s="80"/>
      <c r="B324" s="80"/>
      <c r="C324" s="80"/>
      <c r="D324" s="80"/>
      <c r="E324" s="80"/>
      <c r="F324" s="80"/>
      <c r="G324" s="79"/>
      <c r="H324" s="79"/>
      <c r="I324" s="80"/>
      <c r="J324" s="80"/>
      <c r="K324" s="79"/>
      <c r="L324" s="80"/>
      <c r="M324" s="80"/>
      <c r="N324" s="125"/>
      <c r="O324" s="80"/>
    </row>
    <row r="325" customFormat="false" ht="31.5" hidden="false" customHeight="true" outlineLevel="0" collapsed="false">
      <c r="A325" s="80"/>
      <c r="B325" s="80"/>
      <c r="C325" s="80"/>
      <c r="D325" s="80"/>
      <c r="E325" s="80"/>
      <c r="F325" s="80"/>
      <c r="G325" s="79"/>
      <c r="H325" s="79"/>
      <c r="I325" s="80"/>
      <c r="J325" s="80"/>
      <c r="K325" s="79"/>
      <c r="L325" s="80"/>
      <c r="M325" s="80"/>
      <c r="N325" s="125"/>
      <c r="O325" s="80"/>
    </row>
    <row r="326" customFormat="false" ht="31.5" hidden="false" customHeight="true" outlineLevel="0" collapsed="false">
      <c r="A326" s="80"/>
      <c r="B326" s="80"/>
      <c r="C326" s="80"/>
      <c r="D326" s="80"/>
      <c r="E326" s="80"/>
      <c r="F326" s="80"/>
      <c r="G326" s="79"/>
      <c r="H326" s="79"/>
      <c r="I326" s="80"/>
      <c r="J326" s="80"/>
      <c r="K326" s="79"/>
      <c r="L326" s="80"/>
      <c r="M326" s="80"/>
      <c r="N326" s="125"/>
      <c r="O326" s="80"/>
    </row>
    <row r="327" customFormat="false" ht="31.5" hidden="false" customHeight="true" outlineLevel="0" collapsed="false">
      <c r="A327" s="80"/>
      <c r="B327" s="80"/>
      <c r="C327" s="80"/>
      <c r="D327" s="80"/>
      <c r="E327" s="80"/>
      <c r="F327" s="80"/>
      <c r="G327" s="79"/>
      <c r="H327" s="79"/>
      <c r="I327" s="80"/>
      <c r="J327" s="80"/>
      <c r="K327" s="79"/>
      <c r="L327" s="80"/>
      <c r="M327" s="80"/>
      <c r="N327" s="125"/>
      <c r="O327" s="80"/>
    </row>
    <row r="328" customFormat="false" ht="31.5" hidden="false" customHeight="true" outlineLevel="0" collapsed="false">
      <c r="A328" s="80"/>
      <c r="B328" s="80"/>
      <c r="C328" s="80"/>
      <c r="D328" s="80"/>
      <c r="E328" s="80"/>
      <c r="F328" s="80"/>
      <c r="G328" s="79"/>
      <c r="H328" s="79"/>
      <c r="I328" s="80"/>
      <c r="J328" s="80"/>
      <c r="K328" s="79"/>
      <c r="L328" s="80"/>
      <c r="M328" s="80"/>
      <c r="N328" s="125"/>
      <c r="O328" s="80"/>
    </row>
    <row r="329" customFormat="false" ht="31.5" hidden="false" customHeight="true" outlineLevel="0" collapsed="false">
      <c r="A329" s="80"/>
      <c r="B329" s="80"/>
      <c r="C329" s="80"/>
      <c r="D329" s="80"/>
      <c r="E329" s="80"/>
      <c r="F329" s="80"/>
      <c r="G329" s="79"/>
      <c r="H329" s="79"/>
      <c r="I329" s="80"/>
      <c r="J329" s="80"/>
      <c r="K329" s="79"/>
      <c r="L329" s="80"/>
      <c r="M329" s="80"/>
      <c r="N329" s="125"/>
      <c r="O329" s="80"/>
    </row>
    <row r="330" customFormat="false" ht="31.5" hidden="false" customHeight="true" outlineLevel="0" collapsed="false">
      <c r="A330" s="80"/>
      <c r="B330" s="80"/>
      <c r="C330" s="80"/>
      <c r="D330" s="80"/>
      <c r="E330" s="80"/>
      <c r="F330" s="80"/>
      <c r="G330" s="79"/>
      <c r="H330" s="79"/>
      <c r="I330" s="80"/>
      <c r="J330" s="80"/>
      <c r="K330" s="79"/>
      <c r="L330" s="80"/>
      <c r="M330" s="80"/>
      <c r="N330" s="125"/>
      <c r="O330" s="80"/>
    </row>
    <row r="331" customFormat="false" ht="31.5" hidden="false" customHeight="true" outlineLevel="0" collapsed="false">
      <c r="A331" s="80"/>
      <c r="B331" s="80"/>
      <c r="C331" s="80"/>
      <c r="D331" s="80"/>
      <c r="E331" s="80"/>
      <c r="F331" s="80"/>
      <c r="G331" s="79"/>
      <c r="H331" s="79"/>
      <c r="I331" s="80"/>
      <c r="J331" s="80"/>
      <c r="K331" s="79"/>
      <c r="L331" s="80"/>
      <c r="M331" s="80"/>
      <c r="N331" s="125"/>
      <c r="O331" s="80"/>
    </row>
    <row r="332" customFormat="false" ht="31.5" hidden="false" customHeight="true" outlineLevel="0" collapsed="false">
      <c r="A332" s="80"/>
      <c r="B332" s="80"/>
      <c r="C332" s="80"/>
      <c r="D332" s="80"/>
      <c r="E332" s="80"/>
      <c r="F332" s="80"/>
      <c r="G332" s="79"/>
      <c r="H332" s="79"/>
      <c r="I332" s="80"/>
      <c r="J332" s="80"/>
      <c r="K332" s="79"/>
      <c r="L332" s="80"/>
      <c r="M332" s="80"/>
      <c r="N332" s="125"/>
      <c r="O332" s="80"/>
    </row>
    <row r="333" customFormat="false" ht="31.5" hidden="false" customHeight="true" outlineLevel="0" collapsed="false">
      <c r="A333" s="80"/>
      <c r="B333" s="80"/>
      <c r="C333" s="80"/>
      <c r="D333" s="80"/>
      <c r="E333" s="80"/>
      <c r="F333" s="80"/>
      <c r="G333" s="79"/>
      <c r="H333" s="79"/>
      <c r="I333" s="80"/>
      <c r="J333" s="80"/>
      <c r="K333" s="79"/>
      <c r="L333" s="80"/>
      <c r="M333" s="80"/>
      <c r="N333" s="125"/>
      <c r="O333" s="80"/>
    </row>
    <row r="334" customFormat="false" ht="31.5" hidden="false" customHeight="true" outlineLevel="0" collapsed="false">
      <c r="A334" s="80"/>
      <c r="B334" s="80"/>
      <c r="C334" s="80"/>
      <c r="D334" s="80"/>
      <c r="E334" s="80"/>
      <c r="F334" s="80"/>
      <c r="G334" s="79"/>
      <c r="H334" s="79"/>
      <c r="I334" s="80"/>
      <c r="J334" s="80"/>
      <c r="K334" s="79"/>
      <c r="L334" s="80"/>
      <c r="M334" s="80"/>
      <c r="N334" s="125"/>
      <c r="O334" s="80"/>
    </row>
    <row r="335" customFormat="false" ht="31.5" hidden="false" customHeight="true" outlineLevel="0" collapsed="false">
      <c r="A335" s="80"/>
      <c r="B335" s="80"/>
      <c r="C335" s="80"/>
      <c r="D335" s="80"/>
      <c r="E335" s="80"/>
      <c r="F335" s="80"/>
      <c r="G335" s="79"/>
      <c r="H335" s="79"/>
      <c r="I335" s="80"/>
      <c r="J335" s="80"/>
      <c r="K335" s="79"/>
      <c r="L335" s="80"/>
      <c r="M335" s="80"/>
      <c r="N335" s="125"/>
      <c r="O335" s="80"/>
    </row>
    <row r="336" customFormat="false" ht="31.5" hidden="false" customHeight="true" outlineLevel="0" collapsed="false">
      <c r="A336" s="80"/>
      <c r="B336" s="80"/>
      <c r="C336" s="80"/>
      <c r="D336" s="80"/>
      <c r="E336" s="80"/>
      <c r="F336" s="80"/>
      <c r="G336" s="79"/>
      <c r="H336" s="79"/>
      <c r="I336" s="80"/>
      <c r="J336" s="80"/>
      <c r="K336" s="79"/>
      <c r="L336" s="80"/>
      <c r="M336" s="80"/>
      <c r="N336" s="125"/>
      <c r="O336" s="80"/>
    </row>
    <row r="337" customFormat="false" ht="31.5" hidden="false" customHeight="true" outlineLevel="0" collapsed="false">
      <c r="A337" s="80"/>
      <c r="B337" s="80"/>
      <c r="C337" s="80"/>
      <c r="D337" s="80"/>
      <c r="E337" s="80"/>
      <c r="F337" s="80"/>
      <c r="G337" s="79"/>
      <c r="H337" s="79"/>
      <c r="I337" s="80"/>
      <c r="J337" s="80"/>
      <c r="K337" s="79"/>
      <c r="L337" s="80"/>
      <c r="M337" s="80"/>
      <c r="N337" s="125"/>
      <c r="O337" s="80"/>
    </row>
    <row r="338" customFormat="false" ht="31.5" hidden="false" customHeight="true" outlineLevel="0" collapsed="false">
      <c r="A338" s="80"/>
      <c r="B338" s="80"/>
      <c r="C338" s="80"/>
      <c r="D338" s="80"/>
      <c r="E338" s="80"/>
      <c r="F338" s="80"/>
      <c r="G338" s="79"/>
      <c r="H338" s="79"/>
      <c r="I338" s="80"/>
      <c r="J338" s="80"/>
      <c r="K338" s="79"/>
      <c r="L338" s="80"/>
      <c r="M338" s="80"/>
      <c r="N338" s="125"/>
      <c r="O338" s="80"/>
    </row>
    <row r="339" customFormat="false" ht="31.5" hidden="false" customHeight="true" outlineLevel="0" collapsed="false">
      <c r="A339" s="80"/>
      <c r="B339" s="80"/>
      <c r="C339" s="80"/>
      <c r="D339" s="80"/>
      <c r="E339" s="80"/>
      <c r="F339" s="80"/>
      <c r="G339" s="79"/>
      <c r="H339" s="79"/>
      <c r="I339" s="80"/>
      <c r="J339" s="80"/>
      <c r="K339" s="79"/>
      <c r="L339" s="80"/>
      <c r="M339" s="80"/>
      <c r="N339" s="125"/>
      <c r="O339" s="80"/>
    </row>
    <row r="340" customFormat="false" ht="31.5" hidden="false" customHeight="true" outlineLevel="0" collapsed="false">
      <c r="A340" s="80"/>
      <c r="B340" s="80"/>
      <c r="C340" s="80"/>
      <c r="D340" s="80"/>
      <c r="E340" s="80"/>
      <c r="F340" s="80"/>
      <c r="G340" s="79"/>
      <c r="H340" s="79"/>
      <c r="I340" s="80"/>
      <c r="J340" s="80"/>
      <c r="K340" s="79"/>
      <c r="L340" s="80"/>
      <c r="M340" s="80"/>
      <c r="N340" s="125"/>
      <c r="O340" s="80"/>
    </row>
    <row r="341" customFormat="false" ht="31.5" hidden="false" customHeight="true" outlineLevel="0" collapsed="false">
      <c r="A341" s="80"/>
      <c r="B341" s="80"/>
      <c r="C341" s="80"/>
      <c r="D341" s="80"/>
      <c r="E341" s="80"/>
      <c r="F341" s="80"/>
      <c r="G341" s="79"/>
      <c r="H341" s="79"/>
      <c r="I341" s="80"/>
      <c r="J341" s="80"/>
      <c r="K341" s="79"/>
      <c r="L341" s="80"/>
      <c r="M341" s="80"/>
      <c r="N341" s="125"/>
      <c r="O341" s="80"/>
    </row>
    <row r="342" customFormat="false" ht="31.5" hidden="false" customHeight="true" outlineLevel="0" collapsed="false">
      <c r="A342" s="80"/>
      <c r="B342" s="80"/>
      <c r="C342" s="80"/>
      <c r="D342" s="80"/>
      <c r="E342" s="80"/>
      <c r="F342" s="80"/>
      <c r="G342" s="79"/>
      <c r="H342" s="79"/>
      <c r="I342" s="80"/>
      <c r="J342" s="80"/>
      <c r="K342" s="79"/>
      <c r="L342" s="80"/>
      <c r="M342" s="80"/>
      <c r="N342" s="125"/>
      <c r="O342" s="80"/>
    </row>
    <row r="343" customFormat="false" ht="31.5" hidden="false" customHeight="true" outlineLevel="0" collapsed="false">
      <c r="A343" s="80"/>
      <c r="B343" s="80"/>
      <c r="C343" s="80"/>
      <c r="D343" s="80"/>
      <c r="E343" s="80"/>
      <c r="F343" s="80"/>
      <c r="G343" s="79"/>
      <c r="H343" s="79"/>
      <c r="I343" s="80"/>
      <c r="J343" s="80"/>
      <c r="K343" s="79"/>
      <c r="L343" s="80"/>
      <c r="M343" s="80"/>
      <c r="N343" s="125"/>
      <c r="O343" s="80"/>
    </row>
    <row r="344" customFormat="false" ht="31.5" hidden="false" customHeight="true" outlineLevel="0" collapsed="false">
      <c r="A344" s="80"/>
      <c r="B344" s="80"/>
      <c r="C344" s="80"/>
      <c r="D344" s="80"/>
      <c r="E344" s="80"/>
      <c r="F344" s="80"/>
      <c r="G344" s="79"/>
      <c r="H344" s="79"/>
      <c r="I344" s="80"/>
      <c r="J344" s="80"/>
      <c r="K344" s="79"/>
      <c r="L344" s="80"/>
      <c r="M344" s="80"/>
      <c r="N344" s="125"/>
      <c r="O344" s="80"/>
    </row>
    <row r="345" customFormat="false" ht="31.5" hidden="false" customHeight="true" outlineLevel="0" collapsed="false">
      <c r="A345" s="80"/>
      <c r="B345" s="80"/>
      <c r="C345" s="80"/>
      <c r="D345" s="80"/>
      <c r="E345" s="80"/>
      <c r="F345" s="80"/>
      <c r="G345" s="79"/>
      <c r="H345" s="79"/>
      <c r="I345" s="80"/>
      <c r="J345" s="80"/>
      <c r="K345" s="79"/>
      <c r="L345" s="80"/>
      <c r="M345" s="80"/>
      <c r="N345" s="125"/>
      <c r="O345" s="80"/>
    </row>
    <row r="346" customFormat="false" ht="31.5" hidden="false" customHeight="true" outlineLevel="0" collapsed="false">
      <c r="A346" s="80"/>
      <c r="B346" s="80"/>
      <c r="C346" s="80"/>
      <c r="D346" s="80"/>
      <c r="E346" s="80"/>
      <c r="F346" s="80"/>
      <c r="G346" s="79"/>
      <c r="H346" s="79"/>
      <c r="I346" s="80"/>
      <c r="J346" s="80"/>
      <c r="K346" s="79"/>
      <c r="L346" s="80"/>
      <c r="M346" s="80"/>
      <c r="N346" s="125"/>
      <c r="O346" s="80"/>
    </row>
    <row r="347" customFormat="false" ht="31.5" hidden="false" customHeight="true" outlineLevel="0" collapsed="false">
      <c r="A347" s="80"/>
      <c r="B347" s="80"/>
      <c r="C347" s="80"/>
      <c r="D347" s="80"/>
      <c r="E347" s="80"/>
      <c r="F347" s="80"/>
      <c r="G347" s="79"/>
      <c r="H347" s="79"/>
      <c r="I347" s="80"/>
      <c r="J347" s="80"/>
      <c r="K347" s="79"/>
      <c r="L347" s="80"/>
      <c r="M347" s="80"/>
      <c r="N347" s="125"/>
      <c r="O347" s="80"/>
    </row>
    <row r="348" customFormat="false" ht="31.5" hidden="false" customHeight="true" outlineLevel="0" collapsed="false">
      <c r="A348" s="80"/>
      <c r="B348" s="80"/>
      <c r="C348" s="80"/>
      <c r="D348" s="80"/>
      <c r="E348" s="80"/>
      <c r="F348" s="80"/>
      <c r="G348" s="79"/>
      <c r="H348" s="79"/>
      <c r="I348" s="80"/>
      <c r="J348" s="80"/>
      <c r="K348" s="79"/>
      <c r="L348" s="80"/>
      <c r="M348" s="80"/>
      <c r="N348" s="125"/>
      <c r="O348" s="80"/>
    </row>
    <row r="349" customFormat="false" ht="31.5" hidden="false" customHeight="true" outlineLevel="0" collapsed="false">
      <c r="A349" s="80"/>
      <c r="B349" s="80"/>
      <c r="C349" s="80"/>
      <c r="D349" s="80"/>
      <c r="E349" s="80"/>
      <c r="F349" s="80"/>
      <c r="G349" s="79"/>
      <c r="H349" s="79"/>
      <c r="I349" s="80"/>
      <c r="J349" s="80"/>
      <c r="K349" s="79"/>
      <c r="L349" s="80"/>
      <c r="M349" s="80"/>
      <c r="N349" s="125"/>
      <c r="O349" s="80"/>
    </row>
    <row r="350" customFormat="false" ht="31.5" hidden="false" customHeight="true" outlineLevel="0" collapsed="false">
      <c r="A350" s="80"/>
      <c r="B350" s="80"/>
      <c r="C350" s="80"/>
      <c r="D350" s="80"/>
      <c r="E350" s="80"/>
      <c r="F350" s="80"/>
      <c r="G350" s="79"/>
      <c r="H350" s="79"/>
      <c r="I350" s="80"/>
      <c r="J350" s="80"/>
      <c r="K350" s="79"/>
      <c r="L350" s="80"/>
      <c r="M350" s="80"/>
      <c r="N350" s="125"/>
      <c r="O350" s="80"/>
    </row>
    <row r="351" customFormat="false" ht="31.5" hidden="false" customHeight="true" outlineLevel="0" collapsed="false">
      <c r="A351" s="80"/>
      <c r="B351" s="80"/>
      <c r="C351" s="80"/>
      <c r="D351" s="80"/>
      <c r="E351" s="80"/>
      <c r="F351" s="80"/>
      <c r="G351" s="79"/>
      <c r="H351" s="79"/>
      <c r="I351" s="80"/>
      <c r="J351" s="80"/>
      <c r="K351" s="79"/>
      <c r="L351" s="80"/>
      <c r="M351" s="80"/>
      <c r="N351" s="125"/>
      <c r="O351" s="80"/>
    </row>
    <row r="352" customFormat="false" ht="31.5" hidden="false" customHeight="true" outlineLevel="0" collapsed="false">
      <c r="A352" s="80"/>
      <c r="B352" s="80"/>
      <c r="C352" s="80"/>
      <c r="D352" s="80"/>
      <c r="E352" s="80"/>
      <c r="F352" s="80"/>
      <c r="G352" s="79"/>
      <c r="H352" s="79"/>
      <c r="I352" s="80"/>
      <c r="J352" s="80"/>
      <c r="K352" s="79"/>
      <c r="L352" s="80"/>
      <c r="M352" s="80"/>
      <c r="N352" s="125"/>
      <c r="O352" s="80"/>
    </row>
    <row r="353" customFormat="false" ht="31.5" hidden="false" customHeight="true" outlineLevel="0" collapsed="false">
      <c r="A353" s="80"/>
      <c r="B353" s="80"/>
      <c r="C353" s="80"/>
      <c r="D353" s="80"/>
      <c r="E353" s="80"/>
      <c r="F353" s="80"/>
      <c r="G353" s="79"/>
      <c r="H353" s="79"/>
      <c r="I353" s="80"/>
      <c r="J353" s="80"/>
      <c r="K353" s="79"/>
      <c r="L353" s="80"/>
      <c r="M353" s="80"/>
      <c r="N353" s="125"/>
      <c r="O353" s="80"/>
    </row>
    <row r="354" customFormat="false" ht="31.5" hidden="false" customHeight="true" outlineLevel="0" collapsed="false">
      <c r="A354" s="80"/>
      <c r="B354" s="80"/>
      <c r="C354" s="80"/>
      <c r="D354" s="80"/>
      <c r="E354" s="80"/>
      <c r="F354" s="80"/>
      <c r="G354" s="79"/>
      <c r="H354" s="79"/>
      <c r="I354" s="80"/>
      <c r="J354" s="80"/>
      <c r="K354" s="79"/>
      <c r="L354" s="80"/>
      <c r="M354" s="80"/>
      <c r="N354" s="125"/>
      <c r="O354" s="80"/>
    </row>
    <row r="355" customFormat="false" ht="31.5" hidden="false" customHeight="true" outlineLevel="0" collapsed="false">
      <c r="A355" s="80"/>
      <c r="B355" s="80"/>
      <c r="C355" s="80"/>
      <c r="D355" s="80"/>
      <c r="E355" s="80"/>
      <c r="F355" s="80"/>
      <c r="G355" s="79"/>
      <c r="H355" s="79"/>
      <c r="I355" s="80"/>
      <c r="J355" s="80"/>
      <c r="K355" s="79"/>
      <c r="L355" s="80"/>
      <c r="M355" s="80"/>
      <c r="N355" s="125"/>
      <c r="O355" s="80"/>
    </row>
    <row r="356" customFormat="false" ht="31.5" hidden="false" customHeight="true" outlineLevel="0" collapsed="false">
      <c r="A356" s="80"/>
      <c r="B356" s="80"/>
      <c r="C356" s="80"/>
      <c r="D356" s="80"/>
      <c r="E356" s="80"/>
      <c r="F356" s="80"/>
      <c r="G356" s="79"/>
      <c r="H356" s="79"/>
      <c r="I356" s="80"/>
      <c r="J356" s="80"/>
      <c r="K356" s="79"/>
      <c r="L356" s="80"/>
      <c r="M356" s="80"/>
      <c r="N356" s="125"/>
      <c r="O356" s="80"/>
    </row>
    <row r="357" customFormat="false" ht="31.5" hidden="false" customHeight="true" outlineLevel="0" collapsed="false">
      <c r="A357" s="80"/>
      <c r="B357" s="80"/>
      <c r="C357" s="80"/>
      <c r="D357" s="80"/>
      <c r="E357" s="80"/>
      <c r="F357" s="80"/>
      <c r="G357" s="79"/>
      <c r="H357" s="79"/>
      <c r="I357" s="80"/>
      <c r="J357" s="80"/>
      <c r="K357" s="79"/>
      <c r="L357" s="80"/>
      <c r="M357" s="80"/>
      <c r="N357" s="125"/>
      <c r="O357" s="80"/>
    </row>
    <row r="358" customFormat="false" ht="31.5" hidden="false" customHeight="true" outlineLevel="0" collapsed="false">
      <c r="A358" s="80"/>
      <c r="B358" s="80"/>
      <c r="C358" s="80"/>
      <c r="D358" s="80"/>
      <c r="E358" s="80"/>
      <c r="F358" s="80"/>
      <c r="G358" s="79"/>
      <c r="H358" s="79"/>
      <c r="I358" s="80"/>
      <c r="J358" s="80"/>
      <c r="K358" s="79"/>
      <c r="L358" s="80"/>
      <c r="M358" s="80"/>
      <c r="N358" s="125"/>
      <c r="O358" s="80"/>
    </row>
    <row r="359" customFormat="false" ht="31.5" hidden="false" customHeight="true" outlineLevel="0" collapsed="false">
      <c r="A359" s="80"/>
      <c r="B359" s="80"/>
      <c r="C359" s="80"/>
      <c r="D359" s="80"/>
      <c r="E359" s="80"/>
      <c r="F359" s="80"/>
      <c r="G359" s="79"/>
      <c r="H359" s="79"/>
      <c r="I359" s="80"/>
      <c r="J359" s="80"/>
      <c r="K359" s="79"/>
      <c r="L359" s="80"/>
      <c r="M359" s="80"/>
      <c r="N359" s="125"/>
      <c r="O359" s="80"/>
    </row>
    <row r="360" customFormat="false" ht="31.5" hidden="false" customHeight="true" outlineLevel="0" collapsed="false">
      <c r="A360" s="80"/>
      <c r="B360" s="80"/>
      <c r="C360" s="80"/>
      <c r="D360" s="80"/>
      <c r="E360" s="80"/>
      <c r="F360" s="80"/>
      <c r="G360" s="79"/>
      <c r="H360" s="79"/>
      <c r="I360" s="80"/>
      <c r="J360" s="80"/>
      <c r="K360" s="79"/>
      <c r="L360" s="80"/>
      <c r="M360" s="80"/>
      <c r="N360" s="125"/>
      <c r="O360" s="80"/>
    </row>
    <row r="361" customFormat="false" ht="31.5" hidden="false" customHeight="true" outlineLevel="0" collapsed="false">
      <c r="A361" s="80"/>
      <c r="B361" s="80"/>
      <c r="C361" s="80"/>
      <c r="D361" s="80"/>
      <c r="E361" s="80"/>
      <c r="F361" s="80"/>
      <c r="G361" s="79"/>
      <c r="H361" s="79"/>
      <c r="I361" s="80"/>
      <c r="J361" s="80"/>
      <c r="K361" s="79"/>
      <c r="L361" s="80"/>
      <c r="M361" s="80"/>
      <c r="N361" s="125"/>
      <c r="O361" s="80"/>
    </row>
    <row r="362" customFormat="false" ht="31.5" hidden="false" customHeight="true" outlineLevel="0" collapsed="false">
      <c r="A362" s="80"/>
      <c r="B362" s="80"/>
      <c r="C362" s="80"/>
      <c r="D362" s="80"/>
      <c r="E362" s="80"/>
      <c r="F362" s="80"/>
      <c r="G362" s="79"/>
      <c r="H362" s="79"/>
      <c r="I362" s="80"/>
      <c r="J362" s="80"/>
      <c r="K362" s="79"/>
      <c r="L362" s="80"/>
      <c r="M362" s="80"/>
      <c r="N362" s="125"/>
      <c r="O362" s="80"/>
    </row>
    <row r="363" customFormat="false" ht="31.5" hidden="false" customHeight="true" outlineLevel="0" collapsed="false">
      <c r="A363" s="80"/>
      <c r="B363" s="80"/>
      <c r="C363" s="80"/>
      <c r="D363" s="80"/>
      <c r="E363" s="80"/>
      <c r="F363" s="80"/>
      <c r="G363" s="79"/>
      <c r="H363" s="79"/>
      <c r="I363" s="80"/>
      <c r="J363" s="80"/>
      <c r="K363" s="79"/>
      <c r="L363" s="80"/>
      <c r="M363" s="80"/>
      <c r="N363" s="125"/>
      <c r="O363" s="80"/>
    </row>
    <row r="364" customFormat="false" ht="31.5" hidden="false" customHeight="true" outlineLevel="0" collapsed="false">
      <c r="A364" s="80"/>
      <c r="B364" s="80"/>
      <c r="C364" s="80"/>
      <c r="D364" s="80"/>
      <c r="E364" s="80"/>
      <c r="F364" s="80"/>
      <c r="G364" s="79"/>
      <c r="H364" s="79"/>
      <c r="I364" s="80"/>
      <c r="J364" s="80"/>
      <c r="K364" s="79"/>
      <c r="L364" s="80"/>
      <c r="M364" s="80"/>
      <c r="N364" s="125"/>
      <c r="O364" s="80"/>
    </row>
    <row r="365" customFormat="false" ht="31.5" hidden="false" customHeight="true" outlineLevel="0" collapsed="false">
      <c r="A365" s="80"/>
      <c r="B365" s="80"/>
      <c r="C365" s="80"/>
      <c r="D365" s="80"/>
      <c r="E365" s="80"/>
      <c r="F365" s="80"/>
      <c r="G365" s="79"/>
      <c r="H365" s="79"/>
      <c r="I365" s="80"/>
      <c r="J365" s="80"/>
      <c r="K365" s="79"/>
      <c r="L365" s="80"/>
      <c r="M365" s="80"/>
      <c r="N365" s="125"/>
      <c r="O365" s="80"/>
    </row>
    <row r="366" customFormat="false" ht="31.5" hidden="false" customHeight="true" outlineLevel="0" collapsed="false">
      <c r="A366" s="80"/>
      <c r="B366" s="80"/>
      <c r="C366" s="80"/>
      <c r="D366" s="80"/>
      <c r="E366" s="80"/>
      <c r="F366" s="80"/>
      <c r="G366" s="79"/>
      <c r="H366" s="79"/>
      <c r="I366" s="80"/>
      <c r="J366" s="80"/>
      <c r="K366" s="79"/>
      <c r="L366" s="80"/>
      <c r="M366" s="80"/>
      <c r="N366" s="125"/>
      <c r="O366" s="80"/>
    </row>
    <row r="367" customFormat="false" ht="31.5" hidden="false" customHeight="true" outlineLevel="0" collapsed="false">
      <c r="A367" s="80"/>
      <c r="B367" s="80"/>
      <c r="C367" s="80"/>
      <c r="D367" s="80"/>
      <c r="E367" s="80"/>
      <c r="F367" s="80"/>
      <c r="G367" s="79"/>
      <c r="H367" s="79"/>
      <c r="I367" s="80"/>
      <c r="J367" s="80"/>
      <c r="K367" s="79"/>
      <c r="L367" s="80"/>
      <c r="M367" s="80"/>
      <c r="N367" s="125"/>
      <c r="O367" s="80"/>
    </row>
    <row r="368" customFormat="false" ht="31.5" hidden="false" customHeight="true" outlineLevel="0" collapsed="false">
      <c r="A368" s="80"/>
      <c r="B368" s="80"/>
      <c r="C368" s="80"/>
      <c r="D368" s="80"/>
      <c r="E368" s="80"/>
      <c r="F368" s="80"/>
      <c r="G368" s="79"/>
      <c r="H368" s="79"/>
      <c r="I368" s="80"/>
      <c r="J368" s="80"/>
      <c r="K368" s="79"/>
      <c r="L368" s="80"/>
      <c r="M368" s="80"/>
      <c r="N368" s="125"/>
      <c r="O368" s="80"/>
    </row>
    <row r="369" customFormat="false" ht="31.5" hidden="false" customHeight="true" outlineLevel="0" collapsed="false">
      <c r="A369" s="80"/>
      <c r="B369" s="80"/>
      <c r="C369" s="80"/>
      <c r="D369" s="80"/>
      <c r="E369" s="80"/>
      <c r="F369" s="80"/>
      <c r="G369" s="79"/>
      <c r="H369" s="79"/>
      <c r="I369" s="80"/>
      <c r="J369" s="80"/>
      <c r="K369" s="79"/>
      <c r="L369" s="80"/>
      <c r="M369" s="80"/>
      <c r="N369" s="125"/>
      <c r="O369" s="80"/>
    </row>
    <row r="370" customFormat="false" ht="31.5" hidden="false" customHeight="true" outlineLevel="0" collapsed="false">
      <c r="A370" s="80"/>
      <c r="B370" s="80"/>
      <c r="C370" s="80"/>
      <c r="D370" s="80"/>
      <c r="E370" s="80"/>
      <c r="F370" s="80"/>
      <c r="G370" s="79"/>
      <c r="H370" s="79"/>
      <c r="I370" s="80"/>
      <c r="J370" s="80"/>
      <c r="K370" s="79"/>
      <c r="L370" s="80"/>
      <c r="M370" s="80"/>
      <c r="N370" s="125"/>
      <c r="O370" s="80"/>
    </row>
    <row r="371" customFormat="false" ht="31.5" hidden="false" customHeight="true" outlineLevel="0" collapsed="false">
      <c r="A371" s="80"/>
      <c r="B371" s="80"/>
      <c r="C371" s="80"/>
      <c r="D371" s="80"/>
      <c r="E371" s="80"/>
      <c r="F371" s="80"/>
      <c r="G371" s="79"/>
      <c r="H371" s="79"/>
      <c r="I371" s="80"/>
      <c r="J371" s="80"/>
      <c r="K371" s="79"/>
      <c r="L371" s="80"/>
      <c r="M371" s="80"/>
      <c r="N371" s="125"/>
      <c r="O371" s="80"/>
    </row>
    <row r="372" customFormat="false" ht="31.5" hidden="false" customHeight="true" outlineLevel="0" collapsed="false">
      <c r="A372" s="80"/>
      <c r="B372" s="80"/>
      <c r="C372" s="80"/>
      <c r="D372" s="80"/>
      <c r="E372" s="80"/>
      <c r="F372" s="80"/>
      <c r="G372" s="79"/>
      <c r="H372" s="79"/>
      <c r="I372" s="80"/>
      <c r="J372" s="80"/>
      <c r="K372" s="79"/>
      <c r="L372" s="80"/>
      <c r="M372" s="80"/>
      <c r="N372" s="125"/>
      <c r="O372" s="80"/>
    </row>
    <row r="373" customFormat="false" ht="31.5" hidden="false" customHeight="true" outlineLevel="0" collapsed="false">
      <c r="A373" s="80"/>
      <c r="B373" s="80"/>
      <c r="C373" s="80"/>
      <c r="D373" s="80"/>
      <c r="E373" s="80"/>
      <c r="F373" s="80"/>
      <c r="G373" s="79"/>
      <c r="H373" s="79"/>
      <c r="I373" s="80"/>
      <c r="J373" s="80"/>
      <c r="K373" s="79"/>
      <c r="L373" s="80"/>
      <c r="M373" s="80"/>
      <c r="N373" s="125"/>
      <c r="O373" s="80"/>
    </row>
    <row r="374" customFormat="false" ht="31.5" hidden="false" customHeight="true" outlineLevel="0" collapsed="false">
      <c r="A374" s="80"/>
      <c r="B374" s="80"/>
      <c r="C374" s="80"/>
      <c r="D374" s="80"/>
      <c r="E374" s="80"/>
      <c r="F374" s="80"/>
      <c r="G374" s="79"/>
      <c r="H374" s="79"/>
      <c r="I374" s="80"/>
      <c r="J374" s="80"/>
      <c r="K374" s="79"/>
      <c r="L374" s="80"/>
      <c r="M374" s="80"/>
      <c r="N374" s="125"/>
      <c r="O374" s="80"/>
    </row>
    <row r="375" customFormat="false" ht="31.5" hidden="false" customHeight="true" outlineLevel="0" collapsed="false">
      <c r="A375" s="80"/>
      <c r="B375" s="80"/>
      <c r="C375" s="80"/>
      <c r="D375" s="80"/>
      <c r="E375" s="80"/>
      <c r="F375" s="80"/>
      <c r="G375" s="79"/>
      <c r="H375" s="79"/>
      <c r="I375" s="80"/>
      <c r="J375" s="80"/>
      <c r="K375" s="79"/>
      <c r="L375" s="80"/>
      <c r="M375" s="80"/>
      <c r="N375" s="125"/>
      <c r="O375" s="80"/>
    </row>
    <row r="376" customFormat="false" ht="31.5" hidden="false" customHeight="true" outlineLevel="0" collapsed="false">
      <c r="A376" s="80"/>
      <c r="B376" s="80"/>
      <c r="C376" s="80"/>
      <c r="D376" s="80"/>
      <c r="E376" s="80"/>
      <c r="F376" s="80"/>
      <c r="G376" s="79"/>
      <c r="H376" s="79"/>
      <c r="I376" s="80"/>
      <c r="J376" s="80"/>
      <c r="K376" s="79"/>
      <c r="L376" s="80"/>
      <c r="M376" s="80"/>
      <c r="N376" s="125"/>
      <c r="O376" s="80"/>
    </row>
    <row r="377" customFormat="false" ht="31.5" hidden="false" customHeight="true" outlineLevel="0" collapsed="false">
      <c r="A377" s="80"/>
      <c r="B377" s="80"/>
      <c r="C377" s="80"/>
      <c r="D377" s="80"/>
      <c r="E377" s="80"/>
      <c r="F377" s="80"/>
      <c r="G377" s="79"/>
      <c r="H377" s="79"/>
      <c r="I377" s="80"/>
      <c r="J377" s="80"/>
      <c r="K377" s="79"/>
      <c r="L377" s="80"/>
      <c r="M377" s="80"/>
      <c r="N377" s="125"/>
      <c r="O377" s="80"/>
    </row>
    <row r="378" customFormat="false" ht="31.5" hidden="false" customHeight="true" outlineLevel="0" collapsed="false">
      <c r="A378" s="80"/>
      <c r="B378" s="80"/>
      <c r="C378" s="80"/>
      <c r="D378" s="80"/>
      <c r="E378" s="80"/>
      <c r="F378" s="80"/>
      <c r="G378" s="79"/>
      <c r="H378" s="79"/>
      <c r="I378" s="80"/>
      <c r="J378" s="80"/>
      <c r="K378" s="79"/>
      <c r="L378" s="80"/>
      <c r="M378" s="80"/>
      <c r="N378" s="125"/>
      <c r="O378" s="80"/>
    </row>
    <row r="379" customFormat="false" ht="31.5" hidden="false" customHeight="true" outlineLevel="0" collapsed="false">
      <c r="A379" s="80"/>
      <c r="B379" s="80"/>
      <c r="C379" s="80"/>
      <c r="D379" s="80"/>
      <c r="E379" s="80"/>
      <c r="F379" s="80"/>
      <c r="G379" s="79"/>
      <c r="H379" s="79"/>
      <c r="I379" s="80"/>
      <c r="J379" s="80"/>
      <c r="K379" s="79"/>
      <c r="L379" s="80"/>
      <c r="M379" s="80"/>
      <c r="N379" s="125"/>
      <c r="O379" s="80"/>
    </row>
    <row r="380" customFormat="false" ht="31.5" hidden="false" customHeight="true" outlineLevel="0" collapsed="false">
      <c r="A380" s="80"/>
      <c r="B380" s="80"/>
      <c r="C380" s="80"/>
      <c r="D380" s="80"/>
      <c r="E380" s="80"/>
      <c r="F380" s="80"/>
      <c r="G380" s="79"/>
      <c r="H380" s="79"/>
      <c r="I380" s="80"/>
      <c r="J380" s="80"/>
      <c r="K380" s="79"/>
      <c r="L380" s="80"/>
      <c r="M380" s="80"/>
      <c r="N380" s="125"/>
      <c r="O380" s="80"/>
    </row>
    <row r="381" customFormat="false" ht="31.5" hidden="false" customHeight="true" outlineLevel="0" collapsed="false">
      <c r="A381" s="80"/>
      <c r="B381" s="80"/>
      <c r="C381" s="80"/>
      <c r="D381" s="80"/>
      <c r="E381" s="80"/>
      <c r="F381" s="80"/>
      <c r="G381" s="79"/>
      <c r="H381" s="79"/>
      <c r="I381" s="80"/>
      <c r="J381" s="80"/>
      <c r="K381" s="79"/>
      <c r="L381" s="80"/>
      <c r="M381" s="80"/>
      <c r="N381" s="125"/>
      <c r="O381" s="80"/>
    </row>
    <row r="382" customFormat="false" ht="31.5" hidden="false" customHeight="true" outlineLevel="0" collapsed="false">
      <c r="A382" s="80"/>
      <c r="B382" s="80"/>
      <c r="C382" s="80"/>
      <c r="D382" s="80"/>
      <c r="E382" s="80"/>
      <c r="F382" s="80"/>
      <c r="G382" s="79"/>
      <c r="H382" s="79"/>
      <c r="I382" s="80"/>
      <c r="J382" s="80"/>
      <c r="K382" s="79"/>
      <c r="L382" s="80"/>
      <c r="M382" s="80"/>
      <c r="N382" s="125"/>
      <c r="O382" s="80"/>
    </row>
    <row r="383" customFormat="false" ht="31.5" hidden="false" customHeight="true" outlineLevel="0" collapsed="false">
      <c r="A383" s="80"/>
      <c r="B383" s="80"/>
      <c r="C383" s="80"/>
      <c r="D383" s="80"/>
      <c r="E383" s="80"/>
      <c r="F383" s="80"/>
      <c r="G383" s="79"/>
      <c r="H383" s="79"/>
      <c r="I383" s="80"/>
      <c r="J383" s="80"/>
      <c r="K383" s="79"/>
      <c r="L383" s="80"/>
      <c r="M383" s="80"/>
      <c r="N383" s="125"/>
      <c r="O383" s="80"/>
    </row>
    <row r="384" customFormat="false" ht="31.5" hidden="false" customHeight="true" outlineLevel="0" collapsed="false">
      <c r="A384" s="80"/>
      <c r="B384" s="80"/>
      <c r="C384" s="80"/>
      <c r="D384" s="80"/>
      <c r="E384" s="80"/>
      <c r="F384" s="80"/>
      <c r="G384" s="79"/>
      <c r="H384" s="79"/>
      <c r="I384" s="80"/>
      <c r="J384" s="80"/>
      <c r="K384" s="79"/>
      <c r="L384" s="80"/>
      <c r="M384" s="80"/>
      <c r="N384" s="125"/>
      <c r="O384" s="80"/>
    </row>
    <row r="385" customFormat="false" ht="31.5" hidden="false" customHeight="true" outlineLevel="0" collapsed="false">
      <c r="A385" s="80"/>
      <c r="B385" s="80"/>
      <c r="C385" s="80"/>
      <c r="D385" s="80"/>
      <c r="E385" s="80"/>
      <c r="F385" s="80"/>
      <c r="G385" s="79"/>
      <c r="H385" s="79"/>
      <c r="I385" s="80"/>
      <c r="J385" s="80"/>
      <c r="K385" s="79"/>
      <c r="L385" s="80"/>
      <c r="M385" s="80"/>
      <c r="N385" s="125"/>
      <c r="O385" s="80"/>
    </row>
    <row r="386" customFormat="false" ht="31.5" hidden="false" customHeight="true" outlineLevel="0" collapsed="false">
      <c r="A386" s="80"/>
      <c r="B386" s="80"/>
      <c r="C386" s="80"/>
      <c r="D386" s="80"/>
      <c r="E386" s="80"/>
      <c r="F386" s="80"/>
      <c r="G386" s="79"/>
      <c r="H386" s="79"/>
      <c r="I386" s="80"/>
      <c r="J386" s="80"/>
      <c r="K386" s="79"/>
      <c r="L386" s="80"/>
      <c r="M386" s="80"/>
      <c r="N386" s="125"/>
      <c r="O386" s="80"/>
    </row>
    <row r="387" customFormat="false" ht="31.5" hidden="false" customHeight="true" outlineLevel="0" collapsed="false">
      <c r="A387" s="80"/>
      <c r="B387" s="80"/>
      <c r="C387" s="80"/>
      <c r="D387" s="80"/>
      <c r="E387" s="80"/>
      <c r="F387" s="80"/>
      <c r="G387" s="79"/>
      <c r="H387" s="79"/>
      <c r="I387" s="80"/>
      <c r="J387" s="80"/>
      <c r="K387" s="79"/>
      <c r="L387" s="80"/>
      <c r="M387" s="80"/>
      <c r="N387" s="125"/>
      <c r="O387" s="80"/>
    </row>
    <row r="388" customFormat="false" ht="31.5" hidden="false" customHeight="true" outlineLevel="0" collapsed="false">
      <c r="A388" s="80"/>
      <c r="B388" s="80"/>
      <c r="C388" s="80"/>
      <c r="D388" s="80"/>
      <c r="E388" s="80"/>
      <c r="F388" s="80"/>
      <c r="G388" s="79"/>
      <c r="H388" s="79"/>
      <c r="I388" s="80"/>
      <c r="J388" s="80"/>
      <c r="K388" s="79"/>
      <c r="L388" s="80"/>
      <c r="M388" s="80"/>
      <c r="N388" s="125"/>
      <c r="O388" s="80"/>
    </row>
    <row r="389" customFormat="false" ht="31.5" hidden="false" customHeight="true" outlineLevel="0" collapsed="false">
      <c r="A389" s="80"/>
      <c r="B389" s="80"/>
      <c r="C389" s="80"/>
      <c r="D389" s="80"/>
      <c r="E389" s="80"/>
      <c r="F389" s="80"/>
      <c r="G389" s="79"/>
      <c r="H389" s="79"/>
      <c r="I389" s="80"/>
      <c r="J389" s="80"/>
      <c r="K389" s="79"/>
      <c r="L389" s="80"/>
      <c r="M389" s="80"/>
      <c r="N389" s="125"/>
      <c r="O389" s="80"/>
    </row>
    <row r="390" customFormat="false" ht="31.5" hidden="false" customHeight="true" outlineLevel="0" collapsed="false">
      <c r="A390" s="80"/>
      <c r="B390" s="80"/>
      <c r="C390" s="80"/>
      <c r="D390" s="80"/>
      <c r="E390" s="80"/>
      <c r="F390" s="80"/>
      <c r="G390" s="79"/>
      <c r="H390" s="79"/>
      <c r="I390" s="80"/>
      <c r="J390" s="80"/>
      <c r="K390" s="79"/>
      <c r="L390" s="80"/>
      <c r="M390" s="80"/>
      <c r="N390" s="125"/>
      <c r="O390" s="80"/>
    </row>
    <row r="391" customFormat="false" ht="31.5" hidden="false" customHeight="true" outlineLevel="0" collapsed="false">
      <c r="A391" s="80"/>
      <c r="B391" s="80"/>
      <c r="C391" s="80"/>
      <c r="D391" s="80"/>
      <c r="E391" s="80"/>
      <c r="F391" s="80"/>
      <c r="G391" s="79"/>
      <c r="H391" s="79"/>
      <c r="I391" s="80"/>
      <c r="J391" s="80"/>
      <c r="K391" s="79"/>
      <c r="L391" s="80"/>
      <c r="M391" s="80"/>
      <c r="N391" s="125"/>
      <c r="O391" s="80"/>
    </row>
    <row r="392" customFormat="false" ht="31.5" hidden="false" customHeight="true" outlineLevel="0" collapsed="false">
      <c r="A392" s="80"/>
      <c r="B392" s="80"/>
      <c r="C392" s="80"/>
      <c r="D392" s="80"/>
      <c r="E392" s="80"/>
      <c r="F392" s="80"/>
      <c r="G392" s="79"/>
      <c r="H392" s="79"/>
      <c r="I392" s="80"/>
      <c r="J392" s="80"/>
      <c r="K392" s="79"/>
      <c r="L392" s="80"/>
      <c r="M392" s="80"/>
      <c r="N392" s="125"/>
      <c r="O392" s="80"/>
    </row>
    <row r="393" customFormat="false" ht="31.5" hidden="false" customHeight="true" outlineLevel="0" collapsed="false">
      <c r="A393" s="80"/>
      <c r="B393" s="80"/>
      <c r="C393" s="80"/>
      <c r="D393" s="80"/>
      <c r="E393" s="80"/>
      <c r="F393" s="80"/>
      <c r="G393" s="79"/>
      <c r="H393" s="79"/>
      <c r="I393" s="80"/>
      <c r="J393" s="80"/>
      <c r="K393" s="79"/>
      <c r="L393" s="80"/>
      <c r="M393" s="80"/>
      <c r="N393" s="125"/>
      <c r="O393" s="80"/>
    </row>
    <row r="394" customFormat="false" ht="31.5" hidden="false" customHeight="true" outlineLevel="0" collapsed="false">
      <c r="A394" s="80"/>
      <c r="B394" s="80"/>
      <c r="C394" s="80"/>
      <c r="D394" s="80"/>
      <c r="E394" s="80"/>
      <c r="F394" s="80"/>
      <c r="G394" s="79"/>
      <c r="H394" s="79"/>
      <c r="I394" s="80"/>
      <c r="J394" s="80"/>
      <c r="K394" s="79"/>
      <c r="L394" s="80"/>
      <c r="M394" s="80"/>
      <c r="N394" s="125"/>
      <c r="O394" s="80"/>
    </row>
    <row r="395" customFormat="false" ht="31.5" hidden="false" customHeight="true" outlineLevel="0" collapsed="false">
      <c r="A395" s="80"/>
      <c r="B395" s="80"/>
      <c r="C395" s="80"/>
      <c r="D395" s="80"/>
      <c r="E395" s="80"/>
      <c r="F395" s="80"/>
      <c r="G395" s="79"/>
      <c r="H395" s="79"/>
      <c r="I395" s="80"/>
      <c r="J395" s="80"/>
      <c r="K395" s="79"/>
      <c r="L395" s="80"/>
      <c r="M395" s="80"/>
      <c r="N395" s="125"/>
      <c r="O395" s="80"/>
    </row>
    <row r="396" customFormat="false" ht="31.5" hidden="false" customHeight="true" outlineLevel="0" collapsed="false">
      <c r="A396" s="80"/>
      <c r="B396" s="80"/>
      <c r="C396" s="80"/>
      <c r="D396" s="80"/>
      <c r="E396" s="80"/>
      <c r="F396" s="80"/>
      <c r="G396" s="79"/>
      <c r="H396" s="79"/>
      <c r="I396" s="80"/>
      <c r="J396" s="80"/>
      <c r="K396" s="79"/>
      <c r="L396" s="80"/>
      <c r="M396" s="80"/>
      <c r="N396" s="125"/>
      <c r="O396" s="80"/>
    </row>
    <row r="397" customFormat="false" ht="31.5" hidden="false" customHeight="true" outlineLevel="0" collapsed="false">
      <c r="A397" s="80"/>
      <c r="B397" s="80"/>
      <c r="C397" s="80"/>
      <c r="D397" s="80"/>
      <c r="E397" s="80"/>
      <c r="F397" s="80"/>
      <c r="G397" s="79"/>
      <c r="H397" s="79"/>
      <c r="I397" s="80"/>
      <c r="J397" s="80"/>
      <c r="K397" s="79"/>
      <c r="L397" s="80"/>
      <c r="M397" s="80"/>
      <c r="N397" s="125"/>
      <c r="O397" s="80"/>
    </row>
    <row r="398" customFormat="false" ht="31.5" hidden="false" customHeight="true" outlineLevel="0" collapsed="false">
      <c r="A398" s="80"/>
      <c r="B398" s="80"/>
      <c r="C398" s="80"/>
      <c r="D398" s="80"/>
      <c r="E398" s="80"/>
      <c r="F398" s="80"/>
      <c r="G398" s="79"/>
      <c r="H398" s="79"/>
      <c r="I398" s="80"/>
      <c r="J398" s="80"/>
      <c r="K398" s="79"/>
      <c r="L398" s="80"/>
      <c r="M398" s="80"/>
      <c r="N398" s="125"/>
      <c r="O398" s="80"/>
    </row>
    <row r="399" customFormat="false" ht="31.5" hidden="false" customHeight="true" outlineLevel="0" collapsed="false">
      <c r="A399" s="80"/>
      <c r="B399" s="80"/>
      <c r="C399" s="80"/>
      <c r="D399" s="80"/>
      <c r="E399" s="80"/>
      <c r="F399" s="80"/>
      <c r="G399" s="79"/>
      <c r="H399" s="79"/>
      <c r="I399" s="80"/>
      <c r="J399" s="80"/>
      <c r="K399" s="79"/>
      <c r="L399" s="80"/>
      <c r="M399" s="80"/>
      <c r="N399" s="125"/>
      <c r="O399" s="80"/>
    </row>
    <row r="400" customFormat="false" ht="31.5" hidden="false" customHeight="true" outlineLevel="0" collapsed="false">
      <c r="A400" s="80"/>
      <c r="B400" s="80"/>
      <c r="C400" s="80"/>
      <c r="D400" s="80"/>
      <c r="E400" s="80"/>
      <c r="F400" s="80"/>
      <c r="G400" s="79"/>
      <c r="H400" s="79"/>
      <c r="I400" s="80"/>
      <c r="J400" s="80"/>
      <c r="K400" s="79"/>
      <c r="L400" s="80"/>
      <c r="M400" s="80"/>
      <c r="N400" s="125"/>
      <c r="O400" s="80"/>
    </row>
    <row r="401" customFormat="false" ht="31.5" hidden="false" customHeight="true" outlineLevel="0" collapsed="false">
      <c r="A401" s="80"/>
      <c r="B401" s="80"/>
      <c r="C401" s="80"/>
      <c r="D401" s="80"/>
      <c r="E401" s="80"/>
      <c r="F401" s="80"/>
      <c r="G401" s="79"/>
      <c r="H401" s="79"/>
      <c r="I401" s="80"/>
      <c r="J401" s="80"/>
      <c r="K401" s="79"/>
      <c r="L401" s="80"/>
      <c r="M401" s="80"/>
      <c r="N401" s="125"/>
      <c r="O401" s="80"/>
    </row>
    <row r="402" customFormat="false" ht="31.5" hidden="false" customHeight="true" outlineLevel="0" collapsed="false">
      <c r="A402" s="80"/>
      <c r="B402" s="80"/>
      <c r="C402" s="80"/>
      <c r="D402" s="80"/>
      <c r="E402" s="80"/>
      <c r="F402" s="80"/>
      <c r="G402" s="79"/>
      <c r="H402" s="79"/>
      <c r="I402" s="80"/>
      <c r="J402" s="80"/>
      <c r="K402" s="79"/>
      <c r="L402" s="80"/>
      <c r="M402" s="80"/>
      <c r="N402" s="125"/>
      <c r="O402" s="80"/>
    </row>
    <row r="403" customFormat="false" ht="31.5" hidden="false" customHeight="true" outlineLevel="0" collapsed="false">
      <c r="A403" s="80"/>
      <c r="B403" s="80"/>
      <c r="C403" s="80"/>
      <c r="D403" s="80"/>
      <c r="E403" s="80"/>
      <c r="F403" s="80"/>
      <c r="G403" s="79"/>
      <c r="H403" s="79"/>
      <c r="I403" s="80"/>
      <c r="J403" s="80"/>
      <c r="K403" s="79"/>
      <c r="L403" s="80"/>
      <c r="M403" s="80"/>
      <c r="N403" s="125"/>
      <c r="O403" s="80"/>
    </row>
    <row r="404" customFormat="false" ht="31.5" hidden="false" customHeight="true" outlineLevel="0" collapsed="false">
      <c r="A404" s="80"/>
      <c r="B404" s="80"/>
      <c r="C404" s="80"/>
      <c r="D404" s="80"/>
      <c r="E404" s="80"/>
      <c r="F404" s="80"/>
      <c r="G404" s="79"/>
      <c r="H404" s="79"/>
      <c r="I404" s="80"/>
      <c r="J404" s="80"/>
      <c r="K404" s="79"/>
      <c r="L404" s="80"/>
      <c r="M404" s="80"/>
      <c r="N404" s="125"/>
      <c r="O404" s="80"/>
    </row>
    <row r="405" customFormat="false" ht="31.5" hidden="false" customHeight="true" outlineLevel="0" collapsed="false">
      <c r="A405" s="80"/>
      <c r="B405" s="80"/>
      <c r="C405" s="80"/>
      <c r="D405" s="80"/>
      <c r="E405" s="80"/>
      <c r="F405" s="80"/>
      <c r="G405" s="79"/>
      <c r="H405" s="79"/>
      <c r="I405" s="80"/>
      <c r="J405" s="80"/>
      <c r="K405" s="79"/>
      <c r="L405" s="80"/>
      <c r="M405" s="80"/>
      <c r="N405" s="125"/>
      <c r="O405" s="80"/>
    </row>
    <row r="406" customFormat="false" ht="31.5" hidden="false" customHeight="true" outlineLevel="0" collapsed="false">
      <c r="A406" s="80"/>
      <c r="B406" s="80"/>
      <c r="C406" s="80"/>
      <c r="D406" s="80"/>
      <c r="E406" s="80"/>
      <c r="F406" s="80"/>
      <c r="G406" s="79"/>
      <c r="H406" s="79"/>
      <c r="I406" s="80"/>
      <c r="J406" s="80"/>
      <c r="K406" s="79"/>
      <c r="L406" s="80"/>
      <c r="M406" s="80"/>
      <c r="N406" s="125"/>
      <c r="O406" s="80"/>
    </row>
    <row r="407" customFormat="false" ht="31.5" hidden="false" customHeight="true" outlineLevel="0" collapsed="false">
      <c r="A407" s="80"/>
      <c r="B407" s="80"/>
      <c r="C407" s="80"/>
      <c r="D407" s="80"/>
      <c r="E407" s="80"/>
      <c r="F407" s="80"/>
      <c r="G407" s="79"/>
      <c r="H407" s="79"/>
      <c r="I407" s="80"/>
      <c r="J407" s="80"/>
      <c r="K407" s="79"/>
      <c r="L407" s="80"/>
      <c r="M407" s="80"/>
      <c r="N407" s="125"/>
      <c r="O407" s="80"/>
    </row>
    <row r="408" customFormat="false" ht="31.5" hidden="false" customHeight="true" outlineLevel="0" collapsed="false">
      <c r="A408" s="80"/>
      <c r="B408" s="80"/>
      <c r="C408" s="80"/>
      <c r="D408" s="80"/>
      <c r="E408" s="80"/>
      <c r="F408" s="80"/>
      <c r="G408" s="79"/>
      <c r="H408" s="79"/>
      <c r="I408" s="80"/>
      <c r="J408" s="80"/>
      <c r="K408" s="79"/>
      <c r="L408" s="80"/>
      <c r="M408" s="80"/>
      <c r="N408" s="125"/>
      <c r="O408" s="80"/>
    </row>
    <row r="409" customFormat="false" ht="31.5" hidden="false" customHeight="true" outlineLevel="0" collapsed="false">
      <c r="A409" s="80"/>
      <c r="B409" s="80"/>
      <c r="C409" s="80"/>
      <c r="D409" s="80"/>
      <c r="E409" s="80"/>
      <c r="F409" s="80"/>
      <c r="G409" s="79"/>
      <c r="H409" s="79"/>
      <c r="I409" s="80"/>
      <c r="J409" s="80"/>
      <c r="K409" s="79"/>
      <c r="L409" s="80"/>
      <c r="M409" s="80"/>
      <c r="N409" s="125"/>
      <c r="O409" s="80"/>
    </row>
    <row r="410" customFormat="false" ht="31.5" hidden="false" customHeight="true" outlineLevel="0" collapsed="false">
      <c r="A410" s="80"/>
      <c r="B410" s="80"/>
      <c r="C410" s="80"/>
      <c r="D410" s="80"/>
      <c r="E410" s="80"/>
      <c r="F410" s="80"/>
      <c r="G410" s="79"/>
      <c r="H410" s="79"/>
      <c r="I410" s="80"/>
      <c r="J410" s="80"/>
      <c r="K410" s="79"/>
      <c r="L410" s="80"/>
      <c r="M410" s="80"/>
      <c r="N410" s="125"/>
      <c r="O410" s="80"/>
    </row>
    <row r="411" customFormat="false" ht="31.5" hidden="false" customHeight="true" outlineLevel="0" collapsed="false">
      <c r="A411" s="80"/>
      <c r="B411" s="80"/>
      <c r="C411" s="80"/>
      <c r="D411" s="80"/>
      <c r="E411" s="80"/>
      <c r="F411" s="80"/>
      <c r="G411" s="79"/>
      <c r="H411" s="79"/>
      <c r="I411" s="80"/>
      <c r="J411" s="80"/>
      <c r="K411" s="79"/>
      <c r="L411" s="80"/>
      <c r="M411" s="80"/>
      <c r="N411" s="125"/>
      <c r="O411" s="80"/>
    </row>
    <row r="412" customFormat="false" ht="31.5" hidden="false" customHeight="true" outlineLevel="0" collapsed="false">
      <c r="A412" s="80"/>
      <c r="B412" s="80"/>
      <c r="C412" s="80"/>
      <c r="D412" s="80"/>
      <c r="E412" s="80"/>
      <c r="F412" s="80"/>
      <c r="G412" s="79"/>
      <c r="H412" s="79"/>
      <c r="I412" s="80"/>
      <c r="J412" s="80"/>
      <c r="K412" s="79"/>
      <c r="L412" s="80"/>
      <c r="M412" s="80"/>
      <c r="N412" s="125"/>
      <c r="O412" s="80"/>
    </row>
    <row r="413" customFormat="false" ht="31.5" hidden="false" customHeight="true" outlineLevel="0" collapsed="false">
      <c r="A413" s="80"/>
      <c r="B413" s="80"/>
      <c r="C413" s="80"/>
      <c r="D413" s="80"/>
      <c r="E413" s="80"/>
      <c r="F413" s="80"/>
      <c r="G413" s="79"/>
      <c r="H413" s="79"/>
      <c r="I413" s="80"/>
      <c r="J413" s="80"/>
      <c r="K413" s="79"/>
      <c r="L413" s="80"/>
      <c r="M413" s="80"/>
      <c r="N413" s="125"/>
      <c r="O413" s="80"/>
    </row>
    <row r="414" customFormat="false" ht="31.5" hidden="false" customHeight="true" outlineLevel="0" collapsed="false">
      <c r="A414" s="80"/>
      <c r="B414" s="80"/>
      <c r="C414" s="80"/>
      <c r="D414" s="80"/>
      <c r="E414" s="80"/>
      <c r="F414" s="80"/>
      <c r="G414" s="79"/>
      <c r="H414" s="79"/>
      <c r="I414" s="80"/>
      <c r="J414" s="80"/>
      <c r="K414" s="79"/>
      <c r="L414" s="80"/>
      <c r="M414" s="80"/>
      <c r="N414" s="125"/>
      <c r="O414" s="80"/>
    </row>
    <row r="415" customFormat="false" ht="31.5" hidden="false" customHeight="true" outlineLevel="0" collapsed="false">
      <c r="A415" s="80"/>
      <c r="B415" s="80"/>
      <c r="C415" s="80"/>
      <c r="D415" s="80"/>
      <c r="E415" s="80"/>
      <c r="F415" s="80"/>
      <c r="G415" s="79"/>
      <c r="H415" s="79"/>
      <c r="I415" s="80"/>
      <c r="J415" s="80"/>
      <c r="K415" s="79"/>
      <c r="L415" s="80"/>
      <c r="M415" s="80"/>
      <c r="N415" s="125"/>
      <c r="O415" s="80"/>
    </row>
    <row r="416" customFormat="false" ht="31.5" hidden="false" customHeight="true" outlineLevel="0" collapsed="false">
      <c r="A416" s="80"/>
      <c r="B416" s="80"/>
      <c r="C416" s="80"/>
      <c r="D416" s="80"/>
      <c r="E416" s="80"/>
      <c r="F416" s="80"/>
      <c r="G416" s="79"/>
      <c r="H416" s="79"/>
      <c r="I416" s="80"/>
      <c r="J416" s="80"/>
      <c r="K416" s="79"/>
      <c r="L416" s="80"/>
      <c r="M416" s="80"/>
      <c r="N416" s="125"/>
      <c r="O416" s="80"/>
    </row>
    <row r="417" customFormat="false" ht="31.5" hidden="false" customHeight="true" outlineLevel="0" collapsed="false">
      <c r="A417" s="80"/>
      <c r="B417" s="80"/>
      <c r="C417" s="80"/>
      <c r="D417" s="80"/>
      <c r="E417" s="80"/>
      <c r="F417" s="80"/>
      <c r="G417" s="79"/>
      <c r="H417" s="79"/>
      <c r="I417" s="80"/>
      <c r="J417" s="80"/>
      <c r="K417" s="79"/>
      <c r="L417" s="80"/>
      <c r="M417" s="80"/>
      <c r="N417" s="125"/>
      <c r="O417" s="80"/>
    </row>
    <row r="418" customFormat="false" ht="31.5" hidden="false" customHeight="true" outlineLevel="0" collapsed="false">
      <c r="A418" s="80"/>
      <c r="B418" s="80"/>
      <c r="C418" s="80"/>
      <c r="D418" s="80"/>
      <c r="E418" s="80"/>
      <c r="F418" s="80"/>
      <c r="G418" s="79"/>
      <c r="H418" s="79"/>
      <c r="I418" s="80"/>
      <c r="J418" s="80"/>
      <c r="K418" s="79"/>
      <c r="L418" s="80"/>
      <c r="M418" s="80"/>
      <c r="N418" s="125"/>
      <c r="O418" s="80"/>
    </row>
    <row r="419" customFormat="false" ht="31.5" hidden="false" customHeight="true" outlineLevel="0" collapsed="false">
      <c r="A419" s="80"/>
      <c r="B419" s="80"/>
      <c r="C419" s="80"/>
      <c r="D419" s="80"/>
      <c r="E419" s="80"/>
      <c r="F419" s="80"/>
      <c r="G419" s="79"/>
      <c r="H419" s="79"/>
      <c r="I419" s="80"/>
      <c r="J419" s="80"/>
      <c r="K419" s="79"/>
      <c r="L419" s="80"/>
      <c r="M419" s="80"/>
      <c r="N419" s="125"/>
      <c r="O419" s="80"/>
    </row>
    <row r="420" customFormat="false" ht="31.5" hidden="false" customHeight="true" outlineLevel="0" collapsed="false">
      <c r="A420" s="80"/>
      <c r="B420" s="80"/>
      <c r="C420" s="80"/>
      <c r="D420" s="80"/>
      <c r="E420" s="80"/>
      <c r="F420" s="80"/>
      <c r="G420" s="79"/>
      <c r="H420" s="79"/>
      <c r="I420" s="80"/>
      <c r="J420" s="80"/>
      <c r="K420" s="79"/>
      <c r="L420" s="80"/>
      <c r="M420" s="80"/>
      <c r="N420" s="125"/>
      <c r="O420" s="80"/>
    </row>
    <row r="421" customFormat="false" ht="31.5" hidden="false" customHeight="true" outlineLevel="0" collapsed="false">
      <c r="A421" s="80"/>
      <c r="B421" s="80"/>
      <c r="C421" s="80"/>
      <c r="D421" s="80"/>
      <c r="E421" s="80"/>
      <c r="F421" s="80"/>
      <c r="G421" s="79"/>
      <c r="H421" s="79"/>
      <c r="I421" s="80"/>
      <c r="J421" s="80"/>
      <c r="K421" s="79"/>
      <c r="L421" s="80"/>
      <c r="M421" s="80"/>
      <c r="N421" s="125"/>
      <c r="O421" s="80"/>
    </row>
    <row r="422" customFormat="false" ht="31.5" hidden="false" customHeight="true" outlineLevel="0" collapsed="false">
      <c r="A422" s="80"/>
      <c r="B422" s="80"/>
      <c r="C422" s="80"/>
      <c r="D422" s="80"/>
      <c r="E422" s="80"/>
      <c r="F422" s="80"/>
      <c r="G422" s="79"/>
      <c r="H422" s="79"/>
      <c r="I422" s="80"/>
      <c r="J422" s="80"/>
      <c r="K422" s="79"/>
      <c r="L422" s="80"/>
      <c r="M422" s="80"/>
      <c r="N422" s="125"/>
      <c r="O422" s="80"/>
    </row>
    <row r="423" customFormat="false" ht="31.5" hidden="false" customHeight="true" outlineLevel="0" collapsed="false">
      <c r="A423" s="80"/>
      <c r="B423" s="80"/>
      <c r="C423" s="80"/>
      <c r="D423" s="80"/>
      <c r="E423" s="80"/>
      <c r="F423" s="80"/>
      <c r="G423" s="79"/>
      <c r="H423" s="79"/>
      <c r="I423" s="80"/>
      <c r="J423" s="80"/>
      <c r="K423" s="79"/>
      <c r="L423" s="80"/>
      <c r="M423" s="80"/>
      <c r="N423" s="125"/>
      <c r="O423" s="80"/>
    </row>
    <row r="424" customFormat="false" ht="31.5" hidden="false" customHeight="true" outlineLevel="0" collapsed="false">
      <c r="A424" s="80"/>
      <c r="B424" s="80"/>
      <c r="C424" s="80"/>
      <c r="D424" s="80"/>
      <c r="E424" s="80"/>
      <c r="F424" s="80"/>
      <c r="G424" s="79"/>
      <c r="H424" s="79"/>
      <c r="I424" s="80"/>
      <c r="J424" s="80"/>
      <c r="K424" s="79"/>
      <c r="L424" s="80"/>
      <c r="M424" s="80"/>
      <c r="N424" s="125"/>
      <c r="O424" s="80"/>
    </row>
    <row r="425" customFormat="false" ht="31.5" hidden="false" customHeight="true" outlineLevel="0" collapsed="false">
      <c r="A425" s="80"/>
      <c r="B425" s="80"/>
      <c r="C425" s="80"/>
      <c r="D425" s="80"/>
      <c r="E425" s="80"/>
      <c r="F425" s="80"/>
      <c r="G425" s="79"/>
      <c r="H425" s="79"/>
      <c r="I425" s="80"/>
      <c r="J425" s="80"/>
      <c r="K425" s="79"/>
      <c r="L425" s="80"/>
      <c r="M425" s="80"/>
      <c r="N425" s="125"/>
      <c r="O425" s="80"/>
    </row>
    <row r="426" customFormat="false" ht="31.5" hidden="false" customHeight="true" outlineLevel="0" collapsed="false">
      <c r="A426" s="80"/>
      <c r="B426" s="80"/>
      <c r="C426" s="80"/>
      <c r="D426" s="80"/>
      <c r="E426" s="80"/>
      <c r="F426" s="80"/>
      <c r="G426" s="79"/>
      <c r="H426" s="79"/>
      <c r="I426" s="80"/>
      <c r="J426" s="80"/>
      <c r="K426" s="79"/>
      <c r="L426" s="80"/>
      <c r="M426" s="80"/>
      <c r="N426" s="125"/>
      <c r="O426" s="80"/>
    </row>
    <row r="427" customFormat="false" ht="31.5" hidden="false" customHeight="true" outlineLevel="0" collapsed="false">
      <c r="A427" s="80"/>
      <c r="B427" s="80"/>
      <c r="C427" s="80"/>
      <c r="D427" s="80"/>
      <c r="E427" s="80"/>
      <c r="F427" s="80"/>
      <c r="G427" s="79"/>
      <c r="H427" s="79"/>
      <c r="I427" s="80"/>
      <c r="J427" s="80"/>
      <c r="K427" s="79"/>
      <c r="L427" s="80"/>
      <c r="M427" s="80"/>
      <c r="N427" s="125"/>
      <c r="O427" s="80"/>
    </row>
    <row r="428" customFormat="false" ht="31.5" hidden="false" customHeight="true" outlineLevel="0" collapsed="false">
      <c r="A428" s="80"/>
      <c r="B428" s="80"/>
      <c r="C428" s="80"/>
      <c r="D428" s="80"/>
      <c r="E428" s="80"/>
      <c r="F428" s="80"/>
      <c r="G428" s="79"/>
      <c r="H428" s="79"/>
      <c r="I428" s="80"/>
      <c r="J428" s="80"/>
      <c r="K428" s="79"/>
      <c r="L428" s="80"/>
      <c r="M428" s="80"/>
      <c r="N428" s="125"/>
      <c r="O428" s="80"/>
    </row>
    <row r="429" customFormat="false" ht="31.5" hidden="false" customHeight="true" outlineLevel="0" collapsed="false">
      <c r="A429" s="80"/>
      <c r="B429" s="80"/>
      <c r="C429" s="80"/>
      <c r="D429" s="80"/>
      <c r="E429" s="80"/>
      <c r="F429" s="80"/>
      <c r="G429" s="79"/>
      <c r="H429" s="79"/>
      <c r="I429" s="80"/>
      <c r="J429" s="80"/>
      <c r="K429" s="79"/>
      <c r="L429" s="80"/>
      <c r="M429" s="80"/>
      <c r="N429" s="125"/>
      <c r="O429" s="80"/>
    </row>
    <row r="430" customFormat="false" ht="31.5" hidden="false" customHeight="true" outlineLevel="0" collapsed="false">
      <c r="A430" s="80"/>
      <c r="B430" s="80"/>
      <c r="C430" s="80"/>
      <c r="D430" s="80"/>
      <c r="E430" s="80"/>
      <c r="F430" s="80"/>
      <c r="G430" s="79"/>
      <c r="H430" s="79"/>
      <c r="I430" s="80"/>
      <c r="J430" s="80"/>
      <c r="K430" s="79"/>
      <c r="L430" s="80"/>
      <c r="M430" s="80"/>
      <c r="N430" s="125"/>
      <c r="O430" s="80"/>
    </row>
    <row r="431" customFormat="false" ht="31.5" hidden="false" customHeight="true" outlineLevel="0" collapsed="false">
      <c r="A431" s="80"/>
      <c r="B431" s="80"/>
      <c r="C431" s="80"/>
      <c r="D431" s="80"/>
      <c r="E431" s="80"/>
      <c r="F431" s="80"/>
      <c r="G431" s="79"/>
      <c r="H431" s="79"/>
      <c r="I431" s="80"/>
      <c r="J431" s="80"/>
      <c r="K431" s="79"/>
      <c r="L431" s="80"/>
      <c r="M431" s="80"/>
      <c r="N431" s="125"/>
      <c r="O431" s="80"/>
    </row>
    <row r="432" customFormat="false" ht="31.5" hidden="false" customHeight="true" outlineLevel="0" collapsed="false">
      <c r="A432" s="80"/>
      <c r="B432" s="80"/>
      <c r="C432" s="80"/>
      <c r="D432" s="80"/>
      <c r="E432" s="80"/>
      <c r="F432" s="80"/>
      <c r="G432" s="79"/>
      <c r="H432" s="79"/>
      <c r="I432" s="80"/>
      <c r="J432" s="80"/>
      <c r="K432" s="79"/>
      <c r="L432" s="80"/>
      <c r="M432" s="80"/>
      <c r="N432" s="125"/>
      <c r="O432" s="80"/>
    </row>
    <row r="433" customFormat="false" ht="31.5" hidden="false" customHeight="true" outlineLevel="0" collapsed="false">
      <c r="A433" s="80"/>
      <c r="B433" s="80"/>
      <c r="C433" s="80"/>
      <c r="D433" s="80"/>
      <c r="E433" s="80"/>
      <c r="F433" s="80"/>
      <c r="G433" s="79"/>
      <c r="H433" s="79"/>
      <c r="I433" s="80"/>
      <c r="J433" s="80"/>
      <c r="K433" s="79"/>
      <c r="L433" s="80"/>
      <c r="M433" s="80"/>
      <c r="N433" s="125"/>
      <c r="O433" s="80"/>
    </row>
    <row r="434" customFormat="false" ht="31.5" hidden="false" customHeight="true" outlineLevel="0" collapsed="false">
      <c r="A434" s="80"/>
      <c r="B434" s="80"/>
      <c r="C434" s="80"/>
      <c r="D434" s="80"/>
      <c r="E434" s="80"/>
      <c r="F434" s="80"/>
      <c r="G434" s="79"/>
      <c r="H434" s="79"/>
      <c r="I434" s="80"/>
      <c r="J434" s="80"/>
      <c r="K434" s="79"/>
      <c r="L434" s="80"/>
      <c r="M434" s="80"/>
      <c r="N434" s="125"/>
      <c r="O434" s="80"/>
    </row>
    <row r="435" customFormat="false" ht="31.5" hidden="false" customHeight="true" outlineLevel="0" collapsed="false">
      <c r="A435" s="80"/>
      <c r="B435" s="80"/>
      <c r="C435" s="80"/>
      <c r="D435" s="80"/>
      <c r="E435" s="80"/>
      <c r="F435" s="80"/>
      <c r="G435" s="79"/>
      <c r="H435" s="79"/>
      <c r="I435" s="80"/>
      <c r="J435" s="80"/>
      <c r="K435" s="79"/>
      <c r="L435" s="80"/>
      <c r="M435" s="80"/>
      <c r="N435" s="125"/>
      <c r="O435" s="80"/>
    </row>
    <row r="436" customFormat="false" ht="31.5" hidden="false" customHeight="true" outlineLevel="0" collapsed="false">
      <c r="A436" s="80"/>
      <c r="B436" s="80"/>
      <c r="C436" s="80"/>
      <c r="D436" s="80"/>
      <c r="E436" s="80"/>
      <c r="F436" s="80"/>
      <c r="G436" s="79"/>
      <c r="H436" s="79"/>
      <c r="I436" s="80"/>
      <c r="J436" s="80"/>
      <c r="K436" s="79"/>
      <c r="L436" s="80"/>
      <c r="M436" s="80"/>
      <c r="N436" s="125"/>
      <c r="O436" s="80"/>
    </row>
    <row r="437" customFormat="false" ht="31.5" hidden="false" customHeight="true" outlineLevel="0" collapsed="false">
      <c r="A437" s="80"/>
      <c r="B437" s="80"/>
      <c r="C437" s="80"/>
      <c r="D437" s="80"/>
      <c r="E437" s="80"/>
      <c r="F437" s="80"/>
      <c r="G437" s="79"/>
      <c r="H437" s="79"/>
      <c r="I437" s="80"/>
      <c r="J437" s="80"/>
      <c r="K437" s="79"/>
      <c r="L437" s="80"/>
      <c r="M437" s="80"/>
      <c r="N437" s="125"/>
      <c r="O437" s="80"/>
    </row>
    <row r="438" customFormat="false" ht="31.5" hidden="false" customHeight="true" outlineLevel="0" collapsed="false">
      <c r="A438" s="80"/>
      <c r="B438" s="80"/>
      <c r="C438" s="80"/>
      <c r="D438" s="80"/>
      <c r="E438" s="80"/>
      <c r="F438" s="80"/>
      <c r="G438" s="79"/>
      <c r="H438" s="79"/>
      <c r="I438" s="80"/>
      <c r="J438" s="80"/>
      <c r="K438" s="79"/>
      <c r="L438" s="80"/>
      <c r="M438" s="80"/>
      <c r="N438" s="125"/>
      <c r="O438" s="80"/>
    </row>
    <row r="439" customFormat="false" ht="31.5" hidden="false" customHeight="true" outlineLevel="0" collapsed="false">
      <c r="A439" s="80"/>
      <c r="B439" s="80"/>
      <c r="C439" s="80"/>
      <c r="D439" s="80"/>
      <c r="E439" s="80"/>
      <c r="F439" s="80"/>
      <c r="G439" s="79"/>
      <c r="H439" s="79"/>
      <c r="I439" s="80"/>
      <c r="J439" s="80"/>
      <c r="K439" s="79"/>
      <c r="L439" s="80"/>
      <c r="M439" s="80"/>
      <c r="N439" s="125"/>
      <c r="O439" s="80"/>
    </row>
    <row r="440" customFormat="false" ht="31.5" hidden="false" customHeight="true" outlineLevel="0" collapsed="false">
      <c r="A440" s="80"/>
      <c r="B440" s="80"/>
      <c r="C440" s="80"/>
      <c r="D440" s="80"/>
      <c r="E440" s="80"/>
      <c r="F440" s="80"/>
      <c r="G440" s="79"/>
      <c r="H440" s="79"/>
      <c r="I440" s="80"/>
      <c r="J440" s="80"/>
      <c r="K440" s="79"/>
      <c r="L440" s="80"/>
      <c r="M440" s="80"/>
      <c r="N440" s="125"/>
      <c r="O440" s="80"/>
    </row>
    <row r="441" customFormat="false" ht="31.5" hidden="false" customHeight="true" outlineLevel="0" collapsed="false">
      <c r="A441" s="80"/>
      <c r="B441" s="80"/>
      <c r="C441" s="80"/>
      <c r="D441" s="80"/>
      <c r="E441" s="80"/>
      <c r="F441" s="80"/>
      <c r="G441" s="79"/>
      <c r="H441" s="79"/>
      <c r="I441" s="80"/>
      <c r="J441" s="80"/>
      <c r="K441" s="79"/>
      <c r="L441" s="80"/>
      <c r="M441" s="80"/>
      <c r="N441" s="125"/>
      <c r="O441" s="80"/>
    </row>
    <row r="442" customFormat="false" ht="31.5" hidden="false" customHeight="true" outlineLevel="0" collapsed="false">
      <c r="A442" s="80"/>
      <c r="B442" s="80"/>
      <c r="C442" s="80"/>
      <c r="D442" s="80"/>
      <c r="E442" s="80"/>
      <c r="F442" s="80"/>
      <c r="G442" s="79"/>
      <c r="H442" s="79"/>
      <c r="I442" s="80"/>
      <c r="J442" s="80"/>
      <c r="K442" s="79"/>
      <c r="L442" s="80"/>
      <c r="M442" s="80"/>
      <c r="N442" s="125"/>
      <c r="O442" s="80"/>
    </row>
    <row r="443" customFormat="false" ht="31.5" hidden="false" customHeight="true" outlineLevel="0" collapsed="false">
      <c r="A443" s="80"/>
      <c r="B443" s="80"/>
      <c r="C443" s="80"/>
      <c r="D443" s="80"/>
      <c r="E443" s="80"/>
      <c r="F443" s="80"/>
      <c r="G443" s="79"/>
      <c r="H443" s="79"/>
      <c r="I443" s="80"/>
      <c r="J443" s="80"/>
      <c r="K443" s="79"/>
      <c r="L443" s="80"/>
      <c r="M443" s="80"/>
      <c r="N443" s="125"/>
      <c r="O443" s="80"/>
    </row>
    <row r="444" customFormat="false" ht="31.5" hidden="false" customHeight="true" outlineLevel="0" collapsed="false">
      <c r="A444" s="80"/>
      <c r="B444" s="80"/>
      <c r="C444" s="80"/>
      <c r="D444" s="80"/>
      <c r="E444" s="80"/>
      <c r="F444" s="80"/>
      <c r="G444" s="79"/>
      <c r="H444" s="79"/>
      <c r="I444" s="80"/>
      <c r="J444" s="80"/>
      <c r="K444" s="79"/>
      <c r="L444" s="80"/>
      <c r="M444" s="80"/>
      <c r="N444" s="125"/>
      <c r="O444" s="80"/>
    </row>
    <row r="445" customFormat="false" ht="31.5" hidden="false" customHeight="true" outlineLevel="0" collapsed="false">
      <c r="A445" s="80"/>
      <c r="B445" s="80"/>
      <c r="C445" s="80"/>
      <c r="D445" s="80"/>
      <c r="E445" s="80"/>
      <c r="F445" s="80"/>
      <c r="G445" s="79"/>
      <c r="H445" s="79"/>
      <c r="I445" s="80"/>
      <c r="J445" s="80"/>
      <c r="K445" s="79"/>
      <c r="L445" s="80"/>
      <c r="M445" s="80"/>
      <c r="N445" s="125"/>
      <c r="O445" s="80"/>
    </row>
    <row r="446" customFormat="false" ht="31.5" hidden="false" customHeight="true" outlineLevel="0" collapsed="false">
      <c r="A446" s="80"/>
      <c r="B446" s="80"/>
      <c r="C446" s="80"/>
      <c r="D446" s="80"/>
      <c r="E446" s="80"/>
      <c r="F446" s="80"/>
      <c r="G446" s="79"/>
      <c r="H446" s="79"/>
      <c r="I446" s="80"/>
      <c r="J446" s="80"/>
      <c r="K446" s="79"/>
      <c r="L446" s="80"/>
      <c r="M446" s="80"/>
      <c r="N446" s="125"/>
      <c r="O446" s="80"/>
    </row>
    <row r="447" customFormat="false" ht="31.5" hidden="false" customHeight="true" outlineLevel="0" collapsed="false">
      <c r="A447" s="80"/>
      <c r="B447" s="80"/>
      <c r="C447" s="80"/>
      <c r="D447" s="80"/>
      <c r="E447" s="80"/>
      <c r="F447" s="80"/>
      <c r="G447" s="79"/>
      <c r="H447" s="79"/>
      <c r="I447" s="80"/>
      <c r="J447" s="80"/>
      <c r="K447" s="79"/>
      <c r="L447" s="80"/>
      <c r="M447" s="80"/>
      <c r="N447" s="125"/>
      <c r="O447" s="80"/>
    </row>
    <row r="448" customFormat="false" ht="31.5" hidden="false" customHeight="true" outlineLevel="0" collapsed="false">
      <c r="A448" s="80"/>
      <c r="B448" s="80"/>
      <c r="C448" s="80"/>
      <c r="D448" s="80"/>
      <c r="E448" s="80"/>
      <c r="F448" s="80"/>
      <c r="G448" s="79"/>
      <c r="H448" s="79"/>
      <c r="I448" s="80"/>
      <c r="J448" s="80"/>
      <c r="K448" s="79"/>
      <c r="L448" s="80"/>
      <c r="M448" s="80"/>
      <c r="N448" s="125"/>
      <c r="O448" s="80"/>
    </row>
    <row r="449" customFormat="false" ht="31.5" hidden="false" customHeight="true" outlineLevel="0" collapsed="false">
      <c r="A449" s="80"/>
      <c r="B449" s="80"/>
      <c r="C449" s="80"/>
      <c r="D449" s="80"/>
      <c r="E449" s="80"/>
      <c r="F449" s="80"/>
      <c r="G449" s="79"/>
      <c r="H449" s="79"/>
      <c r="I449" s="80"/>
      <c r="J449" s="80"/>
      <c r="K449" s="79"/>
      <c r="L449" s="80"/>
      <c r="M449" s="80"/>
      <c r="N449" s="125"/>
      <c r="O449" s="80"/>
    </row>
    <row r="450" customFormat="false" ht="31.5" hidden="false" customHeight="true" outlineLevel="0" collapsed="false">
      <c r="A450" s="80"/>
      <c r="B450" s="80"/>
      <c r="C450" s="80"/>
      <c r="D450" s="80"/>
      <c r="E450" s="80"/>
      <c r="F450" s="80"/>
      <c r="G450" s="79"/>
      <c r="H450" s="79"/>
      <c r="I450" s="80"/>
      <c r="J450" s="80"/>
      <c r="K450" s="79"/>
      <c r="L450" s="80"/>
      <c r="M450" s="80"/>
      <c r="N450" s="125"/>
      <c r="O450" s="80"/>
    </row>
    <row r="451" customFormat="false" ht="31.5" hidden="false" customHeight="true" outlineLevel="0" collapsed="false">
      <c r="A451" s="80"/>
      <c r="B451" s="80"/>
      <c r="C451" s="80"/>
      <c r="D451" s="80"/>
      <c r="E451" s="80"/>
      <c r="F451" s="80"/>
      <c r="G451" s="79"/>
      <c r="H451" s="79"/>
      <c r="I451" s="80"/>
      <c r="J451" s="80"/>
      <c r="K451" s="79"/>
      <c r="L451" s="80"/>
      <c r="M451" s="80"/>
      <c r="N451" s="125"/>
      <c r="O451" s="80"/>
    </row>
    <row r="452" customFormat="false" ht="31.5" hidden="false" customHeight="true" outlineLevel="0" collapsed="false">
      <c r="A452" s="80"/>
      <c r="B452" s="80"/>
      <c r="C452" s="80"/>
      <c r="D452" s="80"/>
      <c r="E452" s="80"/>
      <c r="F452" s="80"/>
      <c r="G452" s="79"/>
      <c r="H452" s="79"/>
      <c r="I452" s="80"/>
      <c r="J452" s="80"/>
      <c r="K452" s="79"/>
      <c r="L452" s="80"/>
      <c r="M452" s="80"/>
      <c r="N452" s="125"/>
      <c r="O452" s="80"/>
    </row>
    <row r="453" customFormat="false" ht="31.5" hidden="false" customHeight="true" outlineLevel="0" collapsed="false">
      <c r="A453" s="80"/>
      <c r="B453" s="80"/>
      <c r="C453" s="80"/>
      <c r="D453" s="80"/>
      <c r="E453" s="80"/>
      <c r="F453" s="80"/>
      <c r="G453" s="79"/>
      <c r="H453" s="79"/>
      <c r="I453" s="80"/>
      <c r="J453" s="80"/>
      <c r="K453" s="79"/>
      <c r="L453" s="80"/>
      <c r="M453" s="80"/>
      <c r="N453" s="125"/>
      <c r="O453" s="80"/>
    </row>
    <row r="454" customFormat="false" ht="31.5" hidden="false" customHeight="true" outlineLevel="0" collapsed="false">
      <c r="A454" s="80"/>
      <c r="B454" s="80"/>
      <c r="C454" s="80"/>
      <c r="D454" s="80"/>
      <c r="E454" s="80"/>
      <c r="F454" s="80"/>
      <c r="G454" s="79"/>
      <c r="H454" s="79"/>
      <c r="I454" s="80"/>
      <c r="J454" s="80"/>
      <c r="K454" s="79"/>
      <c r="L454" s="80"/>
      <c r="M454" s="80"/>
      <c r="N454" s="125"/>
      <c r="O454" s="80"/>
    </row>
    <row r="455" customFormat="false" ht="31.5" hidden="false" customHeight="true" outlineLevel="0" collapsed="false">
      <c r="A455" s="80"/>
      <c r="B455" s="80"/>
      <c r="C455" s="80"/>
      <c r="D455" s="80"/>
      <c r="E455" s="80"/>
      <c r="F455" s="80"/>
      <c r="G455" s="79"/>
      <c r="H455" s="79"/>
      <c r="I455" s="80"/>
      <c r="J455" s="80"/>
      <c r="K455" s="79"/>
      <c r="L455" s="80"/>
      <c r="M455" s="80"/>
      <c r="N455" s="125"/>
      <c r="O455" s="80"/>
    </row>
    <row r="456" customFormat="false" ht="31.5" hidden="false" customHeight="true" outlineLevel="0" collapsed="false">
      <c r="A456" s="80"/>
      <c r="B456" s="80"/>
      <c r="C456" s="80"/>
      <c r="D456" s="80"/>
      <c r="E456" s="80"/>
      <c r="F456" s="80"/>
      <c r="G456" s="79"/>
      <c r="H456" s="79"/>
      <c r="I456" s="80"/>
      <c r="J456" s="80"/>
      <c r="K456" s="79"/>
      <c r="L456" s="80"/>
      <c r="M456" s="80"/>
      <c r="N456" s="125"/>
      <c r="O456" s="80"/>
    </row>
    <row r="457" customFormat="false" ht="31.5" hidden="false" customHeight="true" outlineLevel="0" collapsed="false">
      <c r="A457" s="80"/>
      <c r="B457" s="80"/>
      <c r="C457" s="80"/>
      <c r="D457" s="80"/>
      <c r="E457" s="80"/>
      <c r="F457" s="80"/>
      <c r="G457" s="79"/>
      <c r="H457" s="79"/>
      <c r="I457" s="80"/>
      <c r="J457" s="80"/>
      <c r="K457" s="79"/>
      <c r="L457" s="80"/>
      <c r="M457" s="80"/>
      <c r="N457" s="125"/>
      <c r="O457" s="80"/>
    </row>
    <row r="458" customFormat="false" ht="31.5" hidden="false" customHeight="true" outlineLevel="0" collapsed="false">
      <c r="A458" s="80"/>
      <c r="B458" s="80"/>
      <c r="C458" s="80"/>
      <c r="D458" s="80"/>
      <c r="E458" s="80"/>
      <c r="F458" s="80"/>
      <c r="G458" s="79"/>
      <c r="H458" s="79"/>
      <c r="I458" s="80"/>
      <c r="J458" s="80"/>
      <c r="K458" s="79"/>
      <c r="L458" s="80"/>
      <c r="M458" s="80"/>
      <c r="N458" s="125"/>
      <c r="O458" s="80"/>
    </row>
    <row r="459" customFormat="false" ht="31.5" hidden="false" customHeight="true" outlineLevel="0" collapsed="false">
      <c r="A459" s="80"/>
      <c r="B459" s="80"/>
      <c r="C459" s="80"/>
      <c r="D459" s="80"/>
      <c r="E459" s="80"/>
      <c r="F459" s="80"/>
      <c r="G459" s="79"/>
      <c r="H459" s="79"/>
      <c r="I459" s="80"/>
      <c r="J459" s="80"/>
      <c r="K459" s="79"/>
      <c r="L459" s="80"/>
      <c r="M459" s="80"/>
      <c r="N459" s="125"/>
      <c r="O459" s="80"/>
    </row>
    <row r="460" customFormat="false" ht="31.5" hidden="false" customHeight="true" outlineLevel="0" collapsed="false">
      <c r="A460" s="80"/>
      <c r="B460" s="80"/>
      <c r="C460" s="80"/>
      <c r="D460" s="80"/>
      <c r="E460" s="80"/>
      <c r="F460" s="80"/>
      <c r="G460" s="79"/>
      <c r="H460" s="79"/>
      <c r="I460" s="80"/>
      <c r="J460" s="80"/>
      <c r="K460" s="79"/>
      <c r="L460" s="80"/>
      <c r="M460" s="80"/>
      <c r="N460" s="125"/>
      <c r="O460" s="80"/>
    </row>
    <row r="461" customFormat="false" ht="31.5" hidden="false" customHeight="true" outlineLevel="0" collapsed="false">
      <c r="A461" s="80"/>
      <c r="B461" s="80"/>
      <c r="C461" s="80"/>
      <c r="D461" s="80"/>
      <c r="E461" s="80"/>
      <c r="F461" s="80"/>
      <c r="G461" s="79"/>
      <c r="H461" s="79"/>
      <c r="I461" s="80"/>
      <c r="J461" s="80"/>
      <c r="K461" s="79"/>
      <c r="L461" s="80"/>
      <c r="M461" s="80"/>
      <c r="N461" s="125"/>
      <c r="O461" s="80"/>
    </row>
    <row r="462" customFormat="false" ht="31.5" hidden="false" customHeight="true" outlineLevel="0" collapsed="false">
      <c r="A462" s="80"/>
      <c r="B462" s="80"/>
      <c r="C462" s="80"/>
      <c r="D462" s="80"/>
      <c r="E462" s="80"/>
      <c r="F462" s="80"/>
      <c r="G462" s="79"/>
      <c r="H462" s="79"/>
      <c r="I462" s="80"/>
      <c r="J462" s="80"/>
      <c r="K462" s="79"/>
      <c r="L462" s="80"/>
      <c r="M462" s="80"/>
      <c r="N462" s="125"/>
      <c r="O462" s="80"/>
    </row>
    <row r="463" customFormat="false" ht="31.5" hidden="false" customHeight="true" outlineLevel="0" collapsed="false">
      <c r="A463" s="80"/>
      <c r="B463" s="80"/>
      <c r="C463" s="80"/>
      <c r="D463" s="80"/>
      <c r="E463" s="80"/>
      <c r="F463" s="80"/>
      <c r="G463" s="79"/>
      <c r="H463" s="79"/>
      <c r="I463" s="80"/>
      <c r="J463" s="80"/>
      <c r="K463" s="79"/>
      <c r="L463" s="80"/>
      <c r="M463" s="80"/>
      <c r="N463" s="125"/>
      <c r="O463" s="80"/>
    </row>
    <row r="464" customFormat="false" ht="31.5" hidden="false" customHeight="true" outlineLevel="0" collapsed="false">
      <c r="A464" s="80"/>
      <c r="B464" s="80"/>
      <c r="C464" s="80"/>
      <c r="D464" s="80"/>
      <c r="E464" s="80"/>
      <c r="F464" s="80"/>
      <c r="G464" s="79"/>
      <c r="H464" s="79"/>
      <c r="I464" s="80"/>
      <c r="J464" s="80"/>
      <c r="K464" s="79"/>
      <c r="L464" s="80"/>
      <c r="M464" s="80"/>
      <c r="N464" s="125"/>
      <c r="O464" s="80"/>
    </row>
    <row r="465" customFormat="false" ht="31.5" hidden="false" customHeight="true" outlineLevel="0" collapsed="false">
      <c r="A465" s="80"/>
      <c r="B465" s="80"/>
      <c r="C465" s="80"/>
      <c r="D465" s="80"/>
      <c r="E465" s="80"/>
      <c r="F465" s="80"/>
      <c r="G465" s="79"/>
      <c r="H465" s="79"/>
      <c r="I465" s="80"/>
      <c r="J465" s="80"/>
      <c r="K465" s="79"/>
      <c r="L465" s="80"/>
      <c r="M465" s="80"/>
      <c r="N465" s="125"/>
      <c r="O465" s="80"/>
    </row>
    <row r="466" customFormat="false" ht="31.5" hidden="false" customHeight="true" outlineLevel="0" collapsed="false">
      <c r="A466" s="80"/>
      <c r="B466" s="80"/>
      <c r="C466" s="80"/>
      <c r="D466" s="80"/>
      <c r="E466" s="80"/>
      <c r="F466" s="80"/>
      <c r="G466" s="79"/>
      <c r="H466" s="79"/>
      <c r="I466" s="80"/>
      <c r="J466" s="80"/>
      <c r="K466" s="79"/>
      <c r="L466" s="80"/>
      <c r="M466" s="80"/>
      <c r="N466" s="125"/>
      <c r="O466" s="80"/>
    </row>
    <row r="467" customFormat="false" ht="31.5" hidden="false" customHeight="true" outlineLevel="0" collapsed="false">
      <c r="A467" s="80"/>
      <c r="B467" s="80"/>
      <c r="C467" s="80"/>
      <c r="D467" s="80"/>
      <c r="E467" s="80"/>
      <c r="F467" s="80"/>
      <c r="G467" s="79"/>
      <c r="H467" s="79"/>
      <c r="I467" s="80"/>
      <c r="J467" s="80"/>
      <c r="K467" s="79"/>
      <c r="L467" s="80"/>
      <c r="M467" s="80"/>
      <c r="N467" s="125"/>
      <c r="O467" s="80"/>
    </row>
    <row r="468" customFormat="false" ht="31.5" hidden="false" customHeight="true" outlineLevel="0" collapsed="false">
      <c r="A468" s="80"/>
      <c r="B468" s="80"/>
      <c r="C468" s="80"/>
      <c r="D468" s="80"/>
      <c r="E468" s="80"/>
      <c r="F468" s="80"/>
      <c r="G468" s="79"/>
      <c r="H468" s="79"/>
      <c r="I468" s="80"/>
      <c r="J468" s="80"/>
      <c r="K468" s="79"/>
      <c r="L468" s="80"/>
      <c r="M468" s="80"/>
      <c r="N468" s="125"/>
      <c r="O468" s="80"/>
    </row>
    <row r="469" customFormat="false" ht="31.5" hidden="false" customHeight="true" outlineLevel="0" collapsed="false">
      <c r="A469" s="80"/>
      <c r="B469" s="80"/>
      <c r="C469" s="80"/>
      <c r="D469" s="80"/>
      <c r="E469" s="80"/>
      <c r="F469" s="80"/>
      <c r="G469" s="79"/>
      <c r="H469" s="79"/>
      <c r="I469" s="80"/>
      <c r="J469" s="80"/>
      <c r="K469" s="79"/>
      <c r="L469" s="80"/>
      <c r="M469" s="80"/>
      <c r="N469" s="125"/>
      <c r="O469" s="80"/>
    </row>
    <row r="470" customFormat="false" ht="31.5" hidden="false" customHeight="true" outlineLevel="0" collapsed="false">
      <c r="A470" s="80"/>
      <c r="B470" s="80"/>
      <c r="C470" s="80"/>
      <c r="D470" s="80"/>
      <c r="E470" s="80"/>
      <c r="F470" s="80"/>
      <c r="G470" s="79"/>
      <c r="H470" s="79"/>
      <c r="I470" s="80"/>
      <c r="J470" s="80"/>
      <c r="K470" s="79"/>
      <c r="L470" s="80"/>
      <c r="M470" s="80"/>
      <c r="N470" s="125"/>
      <c r="O470" s="80"/>
    </row>
    <row r="471" customFormat="false" ht="31.5" hidden="false" customHeight="true" outlineLevel="0" collapsed="false">
      <c r="A471" s="80"/>
      <c r="B471" s="80"/>
      <c r="C471" s="80"/>
      <c r="D471" s="80"/>
      <c r="E471" s="80"/>
      <c r="F471" s="80"/>
      <c r="G471" s="79"/>
      <c r="H471" s="79"/>
      <c r="I471" s="80"/>
      <c r="J471" s="80"/>
      <c r="K471" s="79"/>
      <c r="L471" s="80"/>
      <c r="M471" s="80"/>
      <c r="N471" s="125"/>
      <c r="O471" s="80"/>
    </row>
    <row r="472" customFormat="false" ht="31.5" hidden="false" customHeight="true" outlineLevel="0" collapsed="false">
      <c r="A472" s="80"/>
      <c r="B472" s="80"/>
      <c r="C472" s="80"/>
      <c r="D472" s="80"/>
      <c r="E472" s="80"/>
      <c r="F472" s="80"/>
      <c r="G472" s="79"/>
      <c r="H472" s="79"/>
      <c r="I472" s="80"/>
      <c r="J472" s="80"/>
      <c r="K472" s="79"/>
      <c r="L472" s="80"/>
      <c r="M472" s="80"/>
      <c r="N472" s="125"/>
      <c r="O472" s="80"/>
    </row>
    <row r="473" customFormat="false" ht="31.5" hidden="false" customHeight="true" outlineLevel="0" collapsed="false">
      <c r="A473" s="80"/>
      <c r="B473" s="80"/>
      <c r="C473" s="80"/>
      <c r="D473" s="80"/>
      <c r="E473" s="80"/>
      <c r="F473" s="80"/>
      <c r="G473" s="79"/>
      <c r="H473" s="79"/>
      <c r="I473" s="80"/>
      <c r="J473" s="80"/>
      <c r="K473" s="79"/>
      <c r="L473" s="80"/>
      <c r="M473" s="80"/>
      <c r="N473" s="125"/>
      <c r="O473" s="80"/>
    </row>
    <row r="474" customFormat="false" ht="31.5" hidden="false" customHeight="true" outlineLevel="0" collapsed="false">
      <c r="A474" s="80"/>
      <c r="B474" s="80"/>
      <c r="C474" s="80"/>
      <c r="D474" s="80"/>
      <c r="E474" s="80"/>
      <c r="F474" s="80"/>
      <c r="G474" s="79"/>
      <c r="H474" s="79"/>
      <c r="I474" s="80"/>
      <c r="J474" s="80"/>
      <c r="K474" s="79"/>
      <c r="L474" s="80"/>
      <c r="M474" s="80"/>
      <c r="N474" s="125"/>
      <c r="O474" s="80"/>
    </row>
    <row r="475" customFormat="false" ht="31.5" hidden="false" customHeight="true" outlineLevel="0" collapsed="false">
      <c r="A475" s="80"/>
      <c r="B475" s="80"/>
      <c r="C475" s="80"/>
      <c r="D475" s="80"/>
      <c r="E475" s="80"/>
      <c r="F475" s="80"/>
      <c r="G475" s="79"/>
      <c r="H475" s="79"/>
      <c r="I475" s="80"/>
      <c r="J475" s="80"/>
      <c r="K475" s="79"/>
      <c r="L475" s="80"/>
      <c r="M475" s="80"/>
      <c r="N475" s="125"/>
      <c r="O475" s="80"/>
    </row>
    <row r="476" customFormat="false" ht="31.5" hidden="false" customHeight="true" outlineLevel="0" collapsed="false">
      <c r="A476" s="80"/>
      <c r="B476" s="80"/>
      <c r="C476" s="80"/>
      <c r="D476" s="80"/>
      <c r="E476" s="80"/>
      <c r="F476" s="80"/>
      <c r="G476" s="79"/>
      <c r="H476" s="79"/>
      <c r="I476" s="80"/>
      <c r="J476" s="80"/>
      <c r="K476" s="79"/>
      <c r="L476" s="80"/>
      <c r="M476" s="80"/>
      <c r="N476" s="125"/>
      <c r="O476" s="80"/>
    </row>
    <row r="477" customFormat="false" ht="31.5" hidden="false" customHeight="true" outlineLevel="0" collapsed="false">
      <c r="A477" s="80"/>
      <c r="B477" s="80"/>
      <c r="C477" s="80"/>
      <c r="D477" s="80"/>
      <c r="E477" s="80"/>
      <c r="F477" s="80"/>
      <c r="G477" s="79"/>
      <c r="H477" s="79"/>
      <c r="I477" s="80"/>
      <c r="J477" s="80"/>
      <c r="K477" s="79"/>
      <c r="L477" s="80"/>
      <c r="M477" s="80"/>
      <c r="N477" s="125"/>
      <c r="O477" s="80"/>
    </row>
    <row r="478" customFormat="false" ht="31.5" hidden="false" customHeight="true" outlineLevel="0" collapsed="false">
      <c r="A478" s="80"/>
      <c r="B478" s="80"/>
      <c r="C478" s="80"/>
      <c r="D478" s="80"/>
      <c r="E478" s="80"/>
      <c r="F478" s="80"/>
      <c r="G478" s="79"/>
      <c r="H478" s="79"/>
      <c r="I478" s="80"/>
      <c r="J478" s="80"/>
      <c r="K478" s="79"/>
      <c r="L478" s="80"/>
      <c r="M478" s="80"/>
      <c r="N478" s="125"/>
      <c r="O478" s="80"/>
    </row>
    <row r="479" customFormat="false" ht="31.5" hidden="false" customHeight="true" outlineLevel="0" collapsed="false">
      <c r="A479" s="80"/>
      <c r="B479" s="80"/>
      <c r="C479" s="80"/>
      <c r="D479" s="80"/>
      <c r="E479" s="80"/>
      <c r="F479" s="80"/>
      <c r="G479" s="79"/>
      <c r="H479" s="79"/>
      <c r="I479" s="80"/>
      <c r="J479" s="80"/>
      <c r="K479" s="79"/>
      <c r="L479" s="80"/>
      <c r="M479" s="80"/>
      <c r="N479" s="125"/>
      <c r="O479" s="80"/>
    </row>
    <row r="480" customFormat="false" ht="31.5" hidden="false" customHeight="true" outlineLevel="0" collapsed="false">
      <c r="A480" s="80"/>
      <c r="B480" s="80"/>
      <c r="C480" s="80"/>
      <c r="D480" s="80"/>
      <c r="E480" s="80"/>
      <c r="F480" s="80"/>
      <c r="G480" s="79"/>
      <c r="H480" s="79"/>
      <c r="I480" s="80"/>
      <c r="J480" s="80"/>
      <c r="K480" s="79"/>
      <c r="L480" s="80"/>
      <c r="M480" s="80"/>
      <c r="N480" s="125"/>
      <c r="O480" s="80"/>
    </row>
    <row r="481" customFormat="false" ht="31.5" hidden="false" customHeight="true" outlineLevel="0" collapsed="false">
      <c r="A481" s="80"/>
      <c r="B481" s="80"/>
      <c r="C481" s="80"/>
      <c r="D481" s="80"/>
      <c r="E481" s="80"/>
      <c r="F481" s="80"/>
      <c r="G481" s="79"/>
      <c r="H481" s="79"/>
      <c r="I481" s="80"/>
      <c r="J481" s="80"/>
      <c r="K481" s="79"/>
      <c r="L481" s="80"/>
      <c r="M481" s="80"/>
      <c r="N481" s="125"/>
      <c r="O481" s="80"/>
    </row>
    <row r="482" customFormat="false" ht="31.5" hidden="false" customHeight="true" outlineLevel="0" collapsed="false">
      <c r="A482" s="80"/>
      <c r="B482" s="80"/>
      <c r="C482" s="80"/>
      <c r="D482" s="80"/>
      <c r="E482" s="80"/>
      <c r="F482" s="80"/>
      <c r="G482" s="79"/>
      <c r="H482" s="79"/>
      <c r="I482" s="80"/>
      <c r="J482" s="80"/>
      <c r="K482" s="79"/>
      <c r="L482" s="80"/>
      <c r="M482" s="80"/>
      <c r="N482" s="125"/>
      <c r="O482" s="80"/>
    </row>
    <row r="483" customFormat="false" ht="31.5" hidden="false" customHeight="true" outlineLevel="0" collapsed="false">
      <c r="A483" s="80"/>
      <c r="B483" s="80"/>
      <c r="C483" s="80"/>
      <c r="D483" s="80"/>
      <c r="E483" s="80"/>
      <c r="F483" s="80"/>
      <c r="G483" s="79"/>
      <c r="H483" s="79"/>
      <c r="I483" s="80"/>
      <c r="J483" s="80"/>
      <c r="K483" s="79"/>
      <c r="L483" s="80"/>
      <c r="M483" s="80"/>
      <c r="N483" s="125"/>
      <c r="O483" s="80"/>
    </row>
    <row r="484" customFormat="false" ht="31.5" hidden="false" customHeight="true" outlineLevel="0" collapsed="false">
      <c r="A484" s="80"/>
      <c r="B484" s="80"/>
      <c r="C484" s="80"/>
      <c r="D484" s="80"/>
      <c r="E484" s="80"/>
      <c r="F484" s="80"/>
      <c r="G484" s="79"/>
      <c r="H484" s="79"/>
      <c r="I484" s="80"/>
      <c r="J484" s="80"/>
      <c r="K484" s="79"/>
      <c r="L484" s="80"/>
      <c r="M484" s="80"/>
      <c r="N484" s="125"/>
      <c r="O484" s="80"/>
    </row>
    <row r="485" customFormat="false" ht="31.5" hidden="false" customHeight="true" outlineLevel="0" collapsed="false">
      <c r="A485" s="80"/>
      <c r="B485" s="80"/>
      <c r="C485" s="80"/>
      <c r="D485" s="80"/>
      <c r="E485" s="80"/>
      <c r="F485" s="80"/>
      <c r="G485" s="79"/>
      <c r="H485" s="79"/>
      <c r="I485" s="80"/>
      <c r="J485" s="80"/>
      <c r="K485" s="79"/>
      <c r="L485" s="80"/>
      <c r="M485" s="80"/>
      <c r="N485" s="125"/>
      <c r="O485" s="80"/>
    </row>
    <row r="486" customFormat="false" ht="31.5" hidden="false" customHeight="true" outlineLevel="0" collapsed="false">
      <c r="A486" s="80"/>
      <c r="B486" s="80"/>
      <c r="C486" s="80"/>
      <c r="D486" s="80"/>
      <c r="E486" s="80"/>
      <c r="F486" s="80"/>
      <c r="G486" s="79"/>
      <c r="H486" s="79"/>
      <c r="I486" s="80"/>
      <c r="J486" s="80"/>
      <c r="K486" s="79"/>
      <c r="L486" s="80"/>
      <c r="M486" s="80"/>
      <c r="N486" s="125"/>
      <c r="O486" s="80"/>
    </row>
    <row r="487" customFormat="false" ht="31.5" hidden="false" customHeight="true" outlineLevel="0" collapsed="false">
      <c r="A487" s="80"/>
      <c r="B487" s="80"/>
      <c r="C487" s="80"/>
      <c r="D487" s="80"/>
      <c r="E487" s="80"/>
      <c r="F487" s="80"/>
      <c r="G487" s="79"/>
      <c r="H487" s="79"/>
      <c r="I487" s="80"/>
      <c r="J487" s="80"/>
      <c r="K487" s="79"/>
      <c r="L487" s="80"/>
      <c r="M487" s="80"/>
      <c r="N487" s="125"/>
      <c r="O487" s="80"/>
    </row>
    <row r="488" customFormat="false" ht="31.5" hidden="false" customHeight="true" outlineLevel="0" collapsed="false">
      <c r="A488" s="80"/>
      <c r="B488" s="80"/>
      <c r="C488" s="80"/>
      <c r="D488" s="80"/>
      <c r="E488" s="80"/>
      <c r="F488" s="80"/>
      <c r="G488" s="79"/>
      <c r="H488" s="79"/>
      <c r="I488" s="80"/>
      <c r="J488" s="80"/>
      <c r="K488" s="79"/>
      <c r="L488" s="80"/>
      <c r="M488" s="80"/>
      <c r="N488" s="125"/>
      <c r="O488" s="80"/>
    </row>
    <row r="489" customFormat="false" ht="31.5" hidden="false" customHeight="true" outlineLevel="0" collapsed="false">
      <c r="A489" s="80"/>
      <c r="B489" s="80"/>
      <c r="C489" s="80"/>
      <c r="D489" s="80"/>
      <c r="E489" s="80"/>
      <c r="F489" s="80"/>
      <c r="G489" s="79"/>
      <c r="H489" s="79"/>
      <c r="I489" s="80"/>
      <c r="J489" s="80"/>
      <c r="K489" s="79"/>
      <c r="L489" s="80"/>
      <c r="M489" s="80"/>
      <c r="N489" s="125"/>
      <c r="O489" s="80"/>
    </row>
    <row r="490" customFormat="false" ht="31.5" hidden="false" customHeight="true" outlineLevel="0" collapsed="false">
      <c r="A490" s="80"/>
      <c r="B490" s="80"/>
      <c r="C490" s="80"/>
      <c r="D490" s="80"/>
      <c r="E490" s="80"/>
      <c r="F490" s="80"/>
      <c r="G490" s="79"/>
      <c r="H490" s="79"/>
      <c r="I490" s="80"/>
      <c r="J490" s="80"/>
      <c r="K490" s="79"/>
      <c r="L490" s="80"/>
      <c r="M490" s="80"/>
      <c r="N490" s="125"/>
      <c r="O490" s="80"/>
    </row>
    <row r="491" customFormat="false" ht="31.5" hidden="false" customHeight="true" outlineLevel="0" collapsed="false">
      <c r="A491" s="80"/>
      <c r="B491" s="80"/>
      <c r="C491" s="80"/>
      <c r="D491" s="80"/>
      <c r="E491" s="80"/>
      <c r="F491" s="80"/>
      <c r="G491" s="79"/>
      <c r="H491" s="79"/>
      <c r="I491" s="80"/>
      <c r="J491" s="80"/>
      <c r="K491" s="79"/>
      <c r="L491" s="80"/>
      <c r="M491" s="80"/>
      <c r="N491" s="125"/>
      <c r="O491" s="80"/>
    </row>
    <row r="492" customFormat="false" ht="31.5" hidden="false" customHeight="true" outlineLevel="0" collapsed="false">
      <c r="A492" s="80"/>
      <c r="B492" s="80"/>
      <c r="C492" s="80"/>
      <c r="D492" s="80"/>
      <c r="E492" s="80"/>
      <c r="F492" s="80"/>
      <c r="G492" s="79"/>
      <c r="H492" s="79"/>
      <c r="I492" s="80"/>
      <c r="J492" s="80"/>
      <c r="K492" s="79"/>
      <c r="L492" s="80"/>
      <c r="M492" s="80"/>
      <c r="N492" s="125"/>
      <c r="O492" s="80"/>
    </row>
    <row r="493" customFormat="false" ht="31.5" hidden="false" customHeight="true" outlineLevel="0" collapsed="false">
      <c r="A493" s="80"/>
      <c r="B493" s="80"/>
      <c r="C493" s="80"/>
      <c r="D493" s="80"/>
      <c r="E493" s="80"/>
      <c r="F493" s="80"/>
      <c r="G493" s="79"/>
      <c r="H493" s="79"/>
      <c r="I493" s="80"/>
      <c r="J493" s="80"/>
      <c r="K493" s="79"/>
      <c r="L493" s="80"/>
      <c r="M493" s="80"/>
      <c r="N493" s="125"/>
      <c r="O493" s="80"/>
    </row>
    <row r="494" customFormat="false" ht="31.5" hidden="false" customHeight="true" outlineLevel="0" collapsed="false">
      <c r="A494" s="80"/>
      <c r="B494" s="80"/>
      <c r="C494" s="80"/>
      <c r="D494" s="80"/>
      <c r="E494" s="80"/>
      <c r="F494" s="80"/>
      <c r="G494" s="79"/>
      <c r="H494" s="79"/>
      <c r="I494" s="80"/>
      <c r="J494" s="80"/>
      <c r="K494" s="79"/>
      <c r="L494" s="80"/>
      <c r="M494" s="80"/>
      <c r="N494" s="125"/>
      <c r="O494" s="80"/>
    </row>
    <row r="495" customFormat="false" ht="31.5" hidden="false" customHeight="true" outlineLevel="0" collapsed="false">
      <c r="A495" s="80"/>
      <c r="B495" s="80"/>
      <c r="C495" s="80"/>
      <c r="D495" s="80"/>
      <c r="E495" s="80"/>
      <c r="F495" s="80"/>
      <c r="G495" s="79"/>
      <c r="H495" s="79"/>
      <c r="I495" s="80"/>
      <c r="J495" s="80"/>
      <c r="K495" s="79"/>
      <c r="L495" s="80"/>
      <c r="M495" s="80"/>
      <c r="N495" s="125"/>
      <c r="O495" s="80"/>
    </row>
    <row r="496" customFormat="false" ht="31.5" hidden="false" customHeight="true" outlineLevel="0" collapsed="false">
      <c r="A496" s="80"/>
      <c r="B496" s="80"/>
      <c r="C496" s="80"/>
      <c r="D496" s="80"/>
      <c r="E496" s="80"/>
      <c r="F496" s="80"/>
      <c r="G496" s="79"/>
      <c r="H496" s="79"/>
      <c r="I496" s="80"/>
      <c r="J496" s="80"/>
      <c r="K496" s="79"/>
      <c r="L496" s="80"/>
      <c r="M496" s="80"/>
      <c r="N496" s="125"/>
      <c r="O496" s="80"/>
    </row>
    <row r="497" customFormat="false" ht="31.5" hidden="false" customHeight="true" outlineLevel="0" collapsed="false">
      <c r="A497" s="80"/>
      <c r="B497" s="80"/>
      <c r="C497" s="80"/>
      <c r="D497" s="80"/>
      <c r="E497" s="80"/>
      <c r="F497" s="80"/>
      <c r="G497" s="79"/>
      <c r="H497" s="79"/>
      <c r="I497" s="80"/>
      <c r="J497" s="80"/>
      <c r="K497" s="79"/>
      <c r="L497" s="80"/>
      <c r="M497" s="80"/>
      <c r="N497" s="125"/>
      <c r="O497" s="80"/>
    </row>
    <row r="498" customFormat="false" ht="31.5" hidden="false" customHeight="true" outlineLevel="0" collapsed="false">
      <c r="A498" s="80"/>
      <c r="B498" s="80"/>
      <c r="C498" s="80"/>
      <c r="D498" s="80"/>
      <c r="E498" s="80"/>
      <c r="F498" s="80"/>
      <c r="G498" s="79"/>
      <c r="H498" s="79"/>
      <c r="I498" s="80"/>
      <c r="J498" s="80"/>
      <c r="K498" s="79"/>
      <c r="L498" s="80"/>
      <c r="M498" s="80"/>
      <c r="N498" s="125"/>
      <c r="O498" s="80"/>
    </row>
    <row r="499" customFormat="false" ht="31.5" hidden="false" customHeight="true" outlineLevel="0" collapsed="false">
      <c r="A499" s="80"/>
      <c r="B499" s="80"/>
      <c r="C499" s="80"/>
      <c r="D499" s="80"/>
      <c r="E499" s="80"/>
      <c r="F499" s="80"/>
      <c r="G499" s="79"/>
      <c r="H499" s="79"/>
      <c r="I499" s="80"/>
      <c r="J499" s="80"/>
      <c r="K499" s="79"/>
      <c r="L499" s="80"/>
      <c r="M499" s="80"/>
      <c r="N499" s="125"/>
      <c r="O499" s="80"/>
    </row>
    <row r="500" customFormat="false" ht="31.5" hidden="false" customHeight="true" outlineLevel="0" collapsed="false">
      <c r="A500" s="80"/>
      <c r="B500" s="80"/>
      <c r="C500" s="80"/>
      <c r="D500" s="80"/>
      <c r="E500" s="80"/>
      <c r="F500" s="80"/>
      <c r="G500" s="79"/>
      <c r="H500" s="79"/>
      <c r="I500" s="80"/>
      <c r="J500" s="80"/>
      <c r="K500" s="79"/>
      <c r="L500" s="80"/>
      <c r="M500" s="80"/>
      <c r="N500" s="125"/>
      <c r="O500" s="80"/>
    </row>
    <row r="501" customFormat="false" ht="31.5" hidden="false" customHeight="true" outlineLevel="0" collapsed="false">
      <c r="A501" s="80"/>
      <c r="B501" s="80"/>
      <c r="C501" s="80"/>
      <c r="D501" s="80"/>
      <c r="E501" s="80"/>
      <c r="F501" s="80"/>
      <c r="G501" s="79"/>
      <c r="H501" s="79"/>
      <c r="I501" s="80"/>
      <c r="J501" s="80"/>
      <c r="K501" s="79"/>
      <c r="L501" s="80"/>
      <c r="M501" s="80"/>
      <c r="N501" s="125"/>
      <c r="O501" s="80"/>
    </row>
    <row r="502" customFormat="false" ht="31.5" hidden="false" customHeight="true" outlineLevel="0" collapsed="false">
      <c r="A502" s="80"/>
      <c r="B502" s="80"/>
      <c r="C502" s="80"/>
      <c r="D502" s="80"/>
      <c r="E502" s="80"/>
      <c r="F502" s="80"/>
      <c r="G502" s="79"/>
      <c r="H502" s="79"/>
      <c r="I502" s="80"/>
      <c r="J502" s="80"/>
      <c r="K502" s="79"/>
      <c r="L502" s="80"/>
      <c r="M502" s="80"/>
      <c r="N502" s="125"/>
      <c r="O502" s="80"/>
    </row>
    <row r="503" customFormat="false" ht="31.5" hidden="false" customHeight="true" outlineLevel="0" collapsed="false">
      <c r="A503" s="80"/>
      <c r="B503" s="80"/>
      <c r="C503" s="80"/>
      <c r="D503" s="80"/>
      <c r="E503" s="80"/>
      <c r="F503" s="80"/>
      <c r="G503" s="79"/>
      <c r="H503" s="79"/>
      <c r="I503" s="80"/>
      <c r="J503" s="80"/>
      <c r="K503" s="79"/>
      <c r="L503" s="80"/>
      <c r="M503" s="80"/>
      <c r="N503" s="125"/>
      <c r="O503" s="80"/>
    </row>
    <row r="504" customFormat="false" ht="31.5" hidden="false" customHeight="true" outlineLevel="0" collapsed="false">
      <c r="A504" s="80"/>
      <c r="B504" s="80"/>
      <c r="C504" s="80"/>
      <c r="D504" s="80"/>
      <c r="E504" s="80"/>
      <c r="F504" s="80"/>
      <c r="G504" s="79"/>
      <c r="H504" s="79"/>
      <c r="I504" s="80"/>
      <c r="J504" s="80"/>
      <c r="K504" s="79"/>
      <c r="L504" s="80"/>
      <c r="M504" s="80"/>
      <c r="N504" s="125"/>
      <c r="O504" s="80"/>
    </row>
    <row r="505" customFormat="false" ht="31.5" hidden="false" customHeight="true" outlineLevel="0" collapsed="false">
      <c r="A505" s="80"/>
      <c r="B505" s="80"/>
      <c r="C505" s="80"/>
      <c r="D505" s="80"/>
      <c r="E505" s="80"/>
      <c r="F505" s="80"/>
      <c r="G505" s="79"/>
      <c r="H505" s="79"/>
      <c r="I505" s="80"/>
      <c r="J505" s="80"/>
      <c r="K505" s="79"/>
      <c r="L505" s="80"/>
      <c r="M505" s="80"/>
      <c r="N505" s="125"/>
      <c r="O505" s="80"/>
    </row>
    <row r="506" customFormat="false" ht="31.5" hidden="false" customHeight="true" outlineLevel="0" collapsed="false">
      <c r="A506" s="80"/>
      <c r="B506" s="80"/>
      <c r="C506" s="80"/>
      <c r="D506" s="80"/>
      <c r="E506" s="80"/>
      <c r="F506" s="80"/>
      <c r="G506" s="79"/>
      <c r="H506" s="79"/>
      <c r="I506" s="80"/>
      <c r="J506" s="80"/>
      <c r="K506" s="79"/>
      <c r="L506" s="80"/>
      <c r="M506" s="80"/>
      <c r="N506" s="125"/>
      <c r="O506" s="80"/>
    </row>
    <row r="507" customFormat="false" ht="31.5" hidden="false" customHeight="true" outlineLevel="0" collapsed="false">
      <c r="A507" s="80"/>
      <c r="B507" s="80"/>
      <c r="C507" s="80"/>
      <c r="D507" s="80"/>
      <c r="E507" s="80"/>
      <c r="F507" s="80"/>
      <c r="G507" s="79"/>
      <c r="H507" s="79"/>
      <c r="I507" s="80"/>
      <c r="J507" s="80"/>
      <c r="K507" s="79"/>
      <c r="L507" s="80"/>
      <c r="M507" s="80"/>
      <c r="N507" s="125"/>
      <c r="O507" s="80"/>
    </row>
    <row r="508" customFormat="false" ht="31.5" hidden="false" customHeight="true" outlineLevel="0" collapsed="false">
      <c r="A508" s="80"/>
      <c r="B508" s="80"/>
      <c r="C508" s="80"/>
      <c r="D508" s="80"/>
      <c r="E508" s="80"/>
      <c r="F508" s="80"/>
      <c r="G508" s="79"/>
      <c r="H508" s="79"/>
      <c r="I508" s="80"/>
      <c r="J508" s="80"/>
      <c r="K508" s="79"/>
      <c r="L508" s="80"/>
      <c r="M508" s="80"/>
      <c r="N508" s="125"/>
      <c r="O508" s="80"/>
    </row>
    <row r="509" customFormat="false" ht="31.5" hidden="false" customHeight="true" outlineLevel="0" collapsed="false">
      <c r="A509" s="80"/>
      <c r="B509" s="80"/>
      <c r="C509" s="80"/>
      <c r="D509" s="80"/>
      <c r="E509" s="80"/>
      <c r="F509" s="80"/>
      <c r="G509" s="79"/>
      <c r="H509" s="79"/>
      <c r="I509" s="80"/>
      <c r="J509" s="80"/>
      <c r="K509" s="79"/>
      <c r="L509" s="80"/>
      <c r="M509" s="80"/>
      <c r="N509" s="125"/>
      <c r="O509" s="80"/>
    </row>
    <row r="510" customFormat="false" ht="31.5" hidden="false" customHeight="true" outlineLevel="0" collapsed="false">
      <c r="A510" s="80"/>
      <c r="B510" s="80"/>
      <c r="C510" s="80"/>
      <c r="D510" s="80"/>
      <c r="E510" s="80"/>
      <c r="F510" s="80"/>
      <c r="G510" s="79"/>
      <c r="H510" s="79"/>
      <c r="I510" s="80"/>
      <c r="J510" s="80"/>
      <c r="K510" s="79"/>
      <c r="L510" s="80"/>
      <c r="M510" s="80"/>
      <c r="N510" s="125"/>
      <c r="O510" s="80"/>
    </row>
    <row r="511" customFormat="false" ht="31.5" hidden="false" customHeight="true" outlineLevel="0" collapsed="false">
      <c r="A511" s="80"/>
      <c r="B511" s="80"/>
      <c r="C511" s="80"/>
      <c r="D511" s="80"/>
      <c r="E511" s="80"/>
      <c r="F511" s="80"/>
      <c r="G511" s="79"/>
      <c r="H511" s="79"/>
      <c r="I511" s="80"/>
      <c r="J511" s="80"/>
      <c r="K511" s="79"/>
      <c r="L511" s="80"/>
      <c r="M511" s="80"/>
      <c r="N511" s="125"/>
      <c r="O511" s="80"/>
    </row>
    <row r="512" customFormat="false" ht="31.5" hidden="false" customHeight="true" outlineLevel="0" collapsed="false">
      <c r="A512" s="80"/>
      <c r="B512" s="80"/>
      <c r="C512" s="80"/>
      <c r="D512" s="80"/>
      <c r="E512" s="80"/>
      <c r="F512" s="80"/>
      <c r="G512" s="79"/>
      <c r="H512" s="79"/>
      <c r="I512" s="80"/>
      <c r="J512" s="80"/>
      <c r="K512" s="79"/>
      <c r="L512" s="80"/>
      <c r="M512" s="80"/>
      <c r="N512" s="125"/>
      <c r="O512" s="80"/>
    </row>
    <row r="513" customFormat="false" ht="31.5" hidden="false" customHeight="true" outlineLevel="0" collapsed="false">
      <c r="A513" s="80"/>
      <c r="B513" s="80"/>
      <c r="C513" s="80"/>
      <c r="D513" s="80"/>
      <c r="E513" s="80"/>
      <c r="F513" s="80"/>
      <c r="G513" s="79"/>
      <c r="H513" s="79"/>
      <c r="I513" s="80"/>
      <c r="J513" s="80"/>
      <c r="K513" s="79"/>
      <c r="L513" s="80"/>
      <c r="M513" s="80"/>
      <c r="N513" s="125"/>
      <c r="O513" s="80"/>
    </row>
    <row r="514" customFormat="false" ht="31.5" hidden="false" customHeight="true" outlineLevel="0" collapsed="false">
      <c r="A514" s="80"/>
      <c r="B514" s="80"/>
      <c r="C514" s="80"/>
      <c r="D514" s="80"/>
      <c r="E514" s="80"/>
      <c r="F514" s="80"/>
      <c r="G514" s="79"/>
      <c r="H514" s="79"/>
      <c r="I514" s="80"/>
      <c r="J514" s="80"/>
      <c r="K514" s="79"/>
      <c r="L514" s="80"/>
      <c r="M514" s="80"/>
      <c r="N514" s="125"/>
      <c r="O514" s="80"/>
    </row>
    <row r="515" customFormat="false" ht="31.5" hidden="false" customHeight="true" outlineLevel="0" collapsed="false">
      <c r="A515" s="80"/>
      <c r="B515" s="80"/>
      <c r="C515" s="80"/>
      <c r="D515" s="80"/>
      <c r="E515" s="80"/>
      <c r="F515" s="80"/>
      <c r="G515" s="79"/>
      <c r="H515" s="79"/>
      <c r="I515" s="80"/>
      <c r="J515" s="80"/>
      <c r="K515" s="79"/>
      <c r="L515" s="80"/>
      <c r="M515" s="80"/>
      <c r="N515" s="125"/>
      <c r="O515" s="80"/>
    </row>
    <row r="516" customFormat="false" ht="31.5" hidden="false" customHeight="true" outlineLevel="0" collapsed="false">
      <c r="A516" s="80"/>
      <c r="B516" s="80"/>
      <c r="C516" s="80"/>
      <c r="D516" s="80"/>
      <c r="E516" s="80"/>
      <c r="F516" s="80"/>
      <c r="G516" s="79"/>
      <c r="H516" s="79"/>
      <c r="I516" s="80"/>
      <c r="J516" s="80"/>
      <c r="K516" s="79"/>
      <c r="L516" s="80"/>
      <c r="M516" s="80"/>
      <c r="N516" s="125"/>
      <c r="O516" s="80"/>
    </row>
    <row r="517" customFormat="false" ht="31.5" hidden="false" customHeight="true" outlineLevel="0" collapsed="false">
      <c r="A517" s="80"/>
      <c r="B517" s="80"/>
      <c r="C517" s="80"/>
      <c r="D517" s="80"/>
      <c r="E517" s="80"/>
      <c r="F517" s="80"/>
      <c r="G517" s="79"/>
      <c r="H517" s="79"/>
      <c r="I517" s="80"/>
      <c r="J517" s="80"/>
      <c r="K517" s="79"/>
      <c r="L517" s="80"/>
      <c r="M517" s="80"/>
      <c r="N517" s="125"/>
      <c r="O517" s="80"/>
    </row>
    <row r="518" customFormat="false" ht="31.5" hidden="false" customHeight="true" outlineLevel="0" collapsed="false">
      <c r="A518" s="80"/>
      <c r="B518" s="80"/>
      <c r="C518" s="80"/>
      <c r="D518" s="80"/>
      <c r="E518" s="80"/>
      <c r="F518" s="80"/>
      <c r="G518" s="79"/>
      <c r="H518" s="79"/>
      <c r="I518" s="80"/>
      <c r="J518" s="80"/>
      <c r="K518" s="79"/>
      <c r="L518" s="80"/>
      <c r="M518" s="80"/>
      <c r="N518" s="125"/>
      <c r="O518" s="80"/>
    </row>
    <row r="519" customFormat="false" ht="31.5" hidden="false" customHeight="true" outlineLevel="0" collapsed="false">
      <c r="A519" s="80"/>
      <c r="B519" s="80"/>
      <c r="C519" s="80"/>
      <c r="D519" s="80"/>
      <c r="E519" s="80"/>
      <c r="F519" s="80"/>
      <c r="G519" s="79"/>
      <c r="H519" s="79"/>
      <c r="I519" s="80"/>
      <c r="J519" s="80"/>
      <c r="K519" s="79"/>
      <c r="L519" s="80"/>
      <c r="M519" s="80"/>
      <c r="N519" s="125"/>
      <c r="O519" s="80"/>
    </row>
    <row r="520" customFormat="false" ht="31.5" hidden="false" customHeight="true" outlineLevel="0" collapsed="false">
      <c r="A520" s="80"/>
      <c r="B520" s="80"/>
      <c r="C520" s="80"/>
      <c r="D520" s="80"/>
      <c r="E520" s="80"/>
      <c r="F520" s="80"/>
      <c r="G520" s="79"/>
      <c r="H520" s="79"/>
      <c r="I520" s="80"/>
      <c r="J520" s="80"/>
      <c r="K520" s="79"/>
      <c r="L520" s="80"/>
      <c r="M520" s="80"/>
      <c r="N520" s="125"/>
      <c r="O520" s="80"/>
    </row>
    <row r="521" customFormat="false" ht="31.5" hidden="false" customHeight="true" outlineLevel="0" collapsed="false">
      <c r="A521" s="80"/>
      <c r="B521" s="80"/>
      <c r="C521" s="80"/>
      <c r="D521" s="80"/>
      <c r="E521" s="80"/>
      <c r="F521" s="80"/>
      <c r="G521" s="79"/>
      <c r="H521" s="79"/>
      <c r="I521" s="80"/>
      <c r="J521" s="80"/>
      <c r="K521" s="79"/>
      <c r="L521" s="80"/>
      <c r="M521" s="80"/>
      <c r="N521" s="125"/>
      <c r="O521" s="80"/>
    </row>
    <row r="522" customFormat="false" ht="31.5" hidden="false" customHeight="true" outlineLevel="0" collapsed="false">
      <c r="A522" s="80"/>
      <c r="B522" s="80"/>
      <c r="C522" s="80"/>
      <c r="D522" s="80"/>
      <c r="E522" s="80"/>
      <c r="F522" s="80"/>
      <c r="G522" s="79"/>
      <c r="H522" s="79"/>
      <c r="I522" s="80"/>
      <c r="J522" s="80"/>
      <c r="K522" s="79"/>
      <c r="L522" s="80"/>
      <c r="M522" s="80"/>
      <c r="N522" s="125"/>
      <c r="O522" s="80"/>
    </row>
    <row r="523" customFormat="false" ht="31.5" hidden="false" customHeight="true" outlineLevel="0" collapsed="false">
      <c r="A523" s="80"/>
      <c r="B523" s="80"/>
      <c r="C523" s="80"/>
      <c r="D523" s="80"/>
      <c r="E523" s="80"/>
      <c r="F523" s="80"/>
      <c r="G523" s="79"/>
      <c r="H523" s="79"/>
      <c r="I523" s="80"/>
      <c r="J523" s="80"/>
      <c r="K523" s="79"/>
      <c r="L523" s="80"/>
      <c r="M523" s="80"/>
      <c r="N523" s="125"/>
      <c r="O523" s="80"/>
    </row>
    <row r="524" customFormat="false" ht="31.5" hidden="false" customHeight="true" outlineLevel="0" collapsed="false">
      <c r="A524" s="80"/>
      <c r="B524" s="80"/>
      <c r="C524" s="80"/>
      <c r="D524" s="80"/>
      <c r="E524" s="80"/>
      <c r="F524" s="80"/>
      <c r="G524" s="79"/>
      <c r="H524" s="79"/>
      <c r="I524" s="80"/>
      <c r="J524" s="80"/>
      <c r="K524" s="79"/>
      <c r="L524" s="80"/>
      <c r="M524" s="80"/>
      <c r="N524" s="125"/>
      <c r="O524" s="80"/>
    </row>
    <row r="525" customFormat="false" ht="31.5" hidden="false" customHeight="true" outlineLevel="0" collapsed="false">
      <c r="A525" s="80"/>
      <c r="B525" s="80"/>
      <c r="C525" s="80"/>
      <c r="D525" s="80"/>
      <c r="E525" s="80"/>
      <c r="F525" s="80"/>
      <c r="G525" s="79"/>
      <c r="H525" s="79"/>
      <c r="I525" s="80"/>
      <c r="J525" s="80"/>
      <c r="K525" s="79"/>
      <c r="L525" s="80"/>
      <c r="M525" s="80"/>
      <c r="N525" s="125"/>
      <c r="O525" s="80"/>
    </row>
    <row r="526" customFormat="false" ht="31.5" hidden="false" customHeight="true" outlineLevel="0" collapsed="false">
      <c r="A526" s="80"/>
      <c r="B526" s="80"/>
      <c r="C526" s="80"/>
      <c r="D526" s="80"/>
      <c r="E526" s="80"/>
      <c r="F526" s="80"/>
      <c r="G526" s="79"/>
      <c r="H526" s="79"/>
      <c r="I526" s="80"/>
      <c r="J526" s="80"/>
      <c r="K526" s="79"/>
      <c r="L526" s="80"/>
      <c r="M526" s="80"/>
      <c r="N526" s="125"/>
      <c r="O526" s="80"/>
    </row>
    <row r="527" customFormat="false" ht="31.5" hidden="false" customHeight="true" outlineLevel="0" collapsed="false">
      <c r="A527" s="80"/>
      <c r="B527" s="80"/>
      <c r="C527" s="80"/>
      <c r="D527" s="80"/>
      <c r="E527" s="80"/>
      <c r="F527" s="80"/>
      <c r="G527" s="79"/>
      <c r="H527" s="79"/>
      <c r="I527" s="80"/>
      <c r="J527" s="80"/>
      <c r="K527" s="79"/>
      <c r="L527" s="80"/>
      <c r="M527" s="80"/>
      <c r="N527" s="125"/>
      <c r="O527" s="80"/>
    </row>
    <row r="528" customFormat="false" ht="31.5" hidden="false" customHeight="true" outlineLevel="0" collapsed="false">
      <c r="A528" s="80"/>
      <c r="B528" s="80"/>
      <c r="C528" s="80"/>
      <c r="D528" s="80"/>
      <c r="E528" s="80"/>
      <c r="F528" s="80"/>
      <c r="G528" s="79"/>
      <c r="H528" s="79"/>
      <c r="I528" s="80"/>
      <c r="J528" s="80"/>
      <c r="K528" s="79"/>
      <c r="L528" s="80"/>
      <c r="M528" s="80"/>
      <c r="N528" s="125"/>
      <c r="O528" s="80"/>
    </row>
    <row r="529" customFormat="false" ht="31.5" hidden="false" customHeight="true" outlineLevel="0" collapsed="false">
      <c r="A529" s="80"/>
      <c r="B529" s="80"/>
      <c r="C529" s="80"/>
      <c r="D529" s="80"/>
      <c r="E529" s="80"/>
      <c r="F529" s="80"/>
      <c r="G529" s="79"/>
      <c r="H529" s="79"/>
      <c r="I529" s="80"/>
      <c r="J529" s="80"/>
      <c r="K529" s="79"/>
      <c r="L529" s="80"/>
      <c r="M529" s="80"/>
      <c r="N529" s="125"/>
      <c r="O529" s="80"/>
    </row>
    <row r="530" customFormat="false" ht="31.5" hidden="false" customHeight="true" outlineLevel="0" collapsed="false">
      <c r="A530" s="80"/>
      <c r="B530" s="80"/>
      <c r="C530" s="80"/>
      <c r="D530" s="80"/>
      <c r="E530" s="80"/>
      <c r="F530" s="80"/>
      <c r="G530" s="79"/>
      <c r="H530" s="79"/>
      <c r="I530" s="80"/>
      <c r="J530" s="80"/>
      <c r="K530" s="79"/>
      <c r="L530" s="80"/>
      <c r="M530" s="80"/>
      <c r="N530" s="125"/>
      <c r="O530" s="80"/>
    </row>
    <row r="531" customFormat="false" ht="31.5" hidden="false" customHeight="true" outlineLevel="0" collapsed="false">
      <c r="A531" s="80"/>
      <c r="B531" s="80"/>
      <c r="C531" s="80"/>
      <c r="D531" s="80"/>
      <c r="E531" s="80"/>
      <c r="F531" s="80"/>
      <c r="G531" s="79"/>
      <c r="H531" s="79"/>
      <c r="I531" s="80"/>
      <c r="J531" s="80"/>
      <c r="K531" s="79"/>
      <c r="L531" s="80"/>
      <c r="M531" s="80"/>
      <c r="N531" s="125"/>
      <c r="O531" s="80"/>
    </row>
    <row r="532" customFormat="false" ht="31.5" hidden="false" customHeight="true" outlineLevel="0" collapsed="false">
      <c r="A532" s="80"/>
      <c r="B532" s="80"/>
      <c r="C532" s="80"/>
      <c r="D532" s="80"/>
      <c r="E532" s="80"/>
      <c r="F532" s="80"/>
      <c r="G532" s="79"/>
      <c r="H532" s="79"/>
      <c r="I532" s="80"/>
      <c r="J532" s="80"/>
      <c r="K532" s="79"/>
      <c r="L532" s="80"/>
      <c r="M532" s="80"/>
      <c r="N532" s="125"/>
      <c r="O532" s="80"/>
    </row>
    <row r="533" customFormat="false" ht="31.5" hidden="false" customHeight="true" outlineLevel="0" collapsed="false">
      <c r="A533" s="80"/>
      <c r="B533" s="80"/>
      <c r="C533" s="80"/>
      <c r="D533" s="80"/>
      <c r="E533" s="80"/>
      <c r="F533" s="80"/>
      <c r="G533" s="79"/>
      <c r="H533" s="79"/>
      <c r="I533" s="80"/>
      <c r="J533" s="80"/>
      <c r="K533" s="79"/>
      <c r="L533" s="80"/>
      <c r="M533" s="80"/>
      <c r="N533" s="125"/>
      <c r="O533" s="80"/>
    </row>
    <row r="534" customFormat="false" ht="31.5" hidden="false" customHeight="true" outlineLevel="0" collapsed="false">
      <c r="A534" s="80"/>
      <c r="B534" s="80"/>
      <c r="C534" s="80"/>
      <c r="D534" s="80"/>
      <c r="E534" s="80"/>
      <c r="F534" s="80"/>
      <c r="G534" s="79"/>
      <c r="H534" s="79"/>
      <c r="I534" s="80"/>
      <c r="J534" s="80"/>
      <c r="K534" s="79"/>
      <c r="L534" s="80"/>
      <c r="M534" s="80"/>
      <c r="N534" s="125"/>
      <c r="O534" s="80"/>
    </row>
    <row r="535" customFormat="false" ht="31.5" hidden="false" customHeight="true" outlineLevel="0" collapsed="false">
      <c r="A535" s="80"/>
      <c r="B535" s="80"/>
      <c r="C535" s="80"/>
      <c r="D535" s="80"/>
      <c r="E535" s="80"/>
      <c r="F535" s="80"/>
      <c r="G535" s="79"/>
      <c r="H535" s="79"/>
      <c r="I535" s="80"/>
      <c r="J535" s="80"/>
      <c r="K535" s="79"/>
      <c r="L535" s="80"/>
      <c r="M535" s="80"/>
      <c r="N535" s="125"/>
      <c r="O535" s="80"/>
    </row>
    <row r="536" customFormat="false" ht="31.5" hidden="false" customHeight="true" outlineLevel="0" collapsed="false">
      <c r="A536" s="80"/>
      <c r="B536" s="80"/>
      <c r="C536" s="80"/>
      <c r="D536" s="80"/>
      <c r="E536" s="80"/>
      <c r="F536" s="80"/>
      <c r="G536" s="79"/>
      <c r="H536" s="79"/>
      <c r="I536" s="80"/>
      <c r="J536" s="80"/>
      <c r="K536" s="79"/>
      <c r="L536" s="80"/>
      <c r="M536" s="80"/>
      <c r="N536" s="125"/>
      <c r="O536" s="80"/>
    </row>
    <row r="537" customFormat="false" ht="31.5" hidden="false" customHeight="true" outlineLevel="0" collapsed="false">
      <c r="A537" s="80"/>
      <c r="B537" s="80"/>
      <c r="C537" s="80"/>
      <c r="D537" s="80"/>
      <c r="E537" s="80"/>
      <c r="F537" s="80"/>
      <c r="G537" s="79"/>
      <c r="H537" s="79"/>
      <c r="I537" s="80"/>
      <c r="J537" s="80"/>
      <c r="K537" s="79"/>
      <c r="L537" s="80"/>
      <c r="M537" s="80"/>
      <c r="N537" s="125"/>
      <c r="O537" s="80"/>
    </row>
    <row r="538" customFormat="false" ht="31.5" hidden="false" customHeight="true" outlineLevel="0" collapsed="false">
      <c r="A538" s="80"/>
      <c r="B538" s="80"/>
      <c r="C538" s="80"/>
      <c r="D538" s="80"/>
      <c r="E538" s="80"/>
      <c r="F538" s="80"/>
      <c r="G538" s="79"/>
      <c r="H538" s="79"/>
      <c r="I538" s="80"/>
      <c r="J538" s="80"/>
      <c r="K538" s="79"/>
      <c r="L538" s="80"/>
      <c r="M538" s="80"/>
      <c r="N538" s="125"/>
      <c r="O538" s="80"/>
    </row>
    <row r="539" customFormat="false" ht="31.5" hidden="false" customHeight="true" outlineLevel="0" collapsed="false">
      <c r="A539" s="80"/>
      <c r="B539" s="80"/>
      <c r="C539" s="80"/>
      <c r="D539" s="80"/>
      <c r="E539" s="80"/>
      <c r="F539" s="80"/>
      <c r="G539" s="79"/>
      <c r="H539" s="79"/>
      <c r="I539" s="80"/>
      <c r="J539" s="80"/>
      <c r="K539" s="79"/>
      <c r="L539" s="80"/>
      <c r="M539" s="80"/>
      <c r="N539" s="125"/>
      <c r="O539" s="80"/>
    </row>
    <row r="540" customFormat="false" ht="31.5" hidden="false" customHeight="true" outlineLevel="0" collapsed="false">
      <c r="A540" s="80"/>
      <c r="B540" s="80"/>
      <c r="C540" s="80"/>
      <c r="D540" s="80"/>
      <c r="E540" s="80"/>
      <c r="F540" s="80"/>
      <c r="G540" s="79"/>
      <c r="H540" s="79"/>
      <c r="I540" s="80"/>
      <c r="J540" s="80"/>
      <c r="K540" s="79"/>
      <c r="L540" s="80"/>
      <c r="M540" s="80"/>
      <c r="N540" s="125"/>
      <c r="O540" s="80"/>
    </row>
    <row r="541" customFormat="false" ht="31.5" hidden="false" customHeight="true" outlineLevel="0" collapsed="false">
      <c r="A541" s="80"/>
      <c r="B541" s="80"/>
      <c r="C541" s="80"/>
      <c r="D541" s="80"/>
      <c r="E541" s="80"/>
      <c r="F541" s="80"/>
      <c r="G541" s="79"/>
      <c r="H541" s="79"/>
      <c r="I541" s="80"/>
      <c r="J541" s="80"/>
      <c r="K541" s="79"/>
      <c r="L541" s="80"/>
      <c r="M541" s="80"/>
      <c r="N541" s="125"/>
      <c r="O541" s="80"/>
    </row>
    <row r="542" customFormat="false" ht="31.5" hidden="false" customHeight="true" outlineLevel="0" collapsed="false">
      <c r="A542" s="80"/>
      <c r="B542" s="80"/>
      <c r="C542" s="80"/>
      <c r="D542" s="80"/>
      <c r="E542" s="80"/>
      <c r="F542" s="80"/>
      <c r="G542" s="79"/>
      <c r="H542" s="79"/>
      <c r="I542" s="80"/>
      <c r="J542" s="80"/>
      <c r="K542" s="79"/>
      <c r="L542" s="80"/>
      <c r="M542" s="80"/>
      <c r="N542" s="125"/>
      <c r="O542" s="80"/>
    </row>
    <row r="543" customFormat="false" ht="31.5" hidden="false" customHeight="true" outlineLevel="0" collapsed="false">
      <c r="A543" s="80"/>
      <c r="B543" s="80"/>
      <c r="C543" s="80"/>
      <c r="D543" s="80"/>
      <c r="E543" s="80"/>
      <c r="F543" s="80"/>
      <c r="G543" s="79"/>
      <c r="H543" s="79"/>
      <c r="I543" s="80"/>
      <c r="J543" s="80"/>
      <c r="K543" s="79"/>
      <c r="L543" s="80"/>
      <c r="M543" s="80"/>
      <c r="N543" s="125"/>
      <c r="O543" s="80"/>
    </row>
    <row r="544" customFormat="false" ht="31.5" hidden="false" customHeight="true" outlineLevel="0" collapsed="false">
      <c r="A544" s="80"/>
      <c r="B544" s="80"/>
      <c r="C544" s="80"/>
      <c r="D544" s="80"/>
      <c r="E544" s="80"/>
      <c r="F544" s="80"/>
      <c r="G544" s="79"/>
      <c r="H544" s="79"/>
      <c r="I544" s="80"/>
      <c r="J544" s="80"/>
      <c r="K544" s="79"/>
      <c r="L544" s="80"/>
      <c r="M544" s="80"/>
      <c r="N544" s="125"/>
      <c r="O544" s="80"/>
    </row>
    <row r="545" customFormat="false" ht="31.5" hidden="false" customHeight="true" outlineLevel="0" collapsed="false">
      <c r="A545" s="80"/>
      <c r="B545" s="80"/>
      <c r="C545" s="80"/>
      <c r="D545" s="80"/>
      <c r="E545" s="80"/>
      <c r="F545" s="80"/>
      <c r="G545" s="79"/>
      <c r="H545" s="79"/>
      <c r="I545" s="80"/>
      <c r="J545" s="80"/>
      <c r="K545" s="79"/>
      <c r="L545" s="80"/>
      <c r="M545" s="80"/>
      <c r="N545" s="125"/>
      <c r="O545" s="80"/>
    </row>
    <row r="546" customFormat="false" ht="31.5" hidden="false" customHeight="true" outlineLevel="0" collapsed="false">
      <c r="A546" s="80"/>
      <c r="B546" s="80"/>
      <c r="C546" s="80"/>
      <c r="D546" s="80"/>
      <c r="E546" s="80"/>
      <c r="F546" s="80"/>
      <c r="G546" s="79"/>
      <c r="H546" s="79"/>
      <c r="I546" s="80"/>
      <c r="J546" s="80"/>
      <c r="K546" s="79"/>
      <c r="L546" s="80"/>
      <c r="M546" s="80"/>
      <c r="N546" s="125"/>
      <c r="O546" s="80"/>
    </row>
    <row r="547" customFormat="false" ht="31.5" hidden="false" customHeight="true" outlineLevel="0" collapsed="false">
      <c r="A547" s="80"/>
      <c r="B547" s="80"/>
      <c r="C547" s="80"/>
      <c r="D547" s="80"/>
      <c r="E547" s="80"/>
      <c r="F547" s="80"/>
      <c r="G547" s="79"/>
      <c r="H547" s="79"/>
      <c r="I547" s="80"/>
      <c r="J547" s="80"/>
      <c r="K547" s="79"/>
      <c r="L547" s="80"/>
      <c r="M547" s="80"/>
      <c r="N547" s="125"/>
      <c r="O547" s="80"/>
    </row>
    <row r="548" customFormat="false" ht="31.5" hidden="false" customHeight="true" outlineLevel="0" collapsed="false">
      <c r="A548" s="80"/>
      <c r="B548" s="80"/>
      <c r="C548" s="80"/>
      <c r="D548" s="80"/>
      <c r="E548" s="80"/>
      <c r="F548" s="80"/>
      <c r="G548" s="79"/>
      <c r="H548" s="79"/>
      <c r="I548" s="80"/>
      <c r="J548" s="80"/>
      <c r="K548" s="79"/>
      <c r="L548" s="80"/>
      <c r="M548" s="80"/>
      <c r="N548" s="125"/>
      <c r="O548" s="80"/>
    </row>
    <row r="549" customFormat="false" ht="31.5" hidden="false" customHeight="true" outlineLevel="0" collapsed="false">
      <c r="A549" s="80"/>
      <c r="B549" s="80"/>
      <c r="C549" s="80"/>
      <c r="D549" s="80"/>
      <c r="E549" s="80"/>
      <c r="F549" s="80"/>
      <c r="G549" s="79"/>
      <c r="H549" s="79"/>
      <c r="I549" s="80"/>
      <c r="J549" s="80"/>
      <c r="K549" s="79"/>
      <c r="L549" s="80"/>
      <c r="M549" s="80"/>
      <c r="N549" s="125"/>
      <c r="O549" s="80"/>
    </row>
    <row r="550" customFormat="false" ht="31.5" hidden="false" customHeight="true" outlineLevel="0" collapsed="false">
      <c r="A550" s="80"/>
      <c r="B550" s="80"/>
      <c r="C550" s="80"/>
      <c r="D550" s="80"/>
      <c r="E550" s="80"/>
      <c r="F550" s="80"/>
      <c r="G550" s="79"/>
      <c r="H550" s="79"/>
      <c r="I550" s="80"/>
      <c r="J550" s="80"/>
      <c r="K550" s="79"/>
      <c r="L550" s="80"/>
      <c r="M550" s="80"/>
      <c r="N550" s="125"/>
      <c r="O550" s="80"/>
    </row>
    <row r="551" customFormat="false" ht="31.5" hidden="false" customHeight="true" outlineLevel="0" collapsed="false">
      <c r="A551" s="80"/>
      <c r="B551" s="80"/>
      <c r="C551" s="80"/>
      <c r="D551" s="80"/>
      <c r="E551" s="80"/>
      <c r="F551" s="80"/>
      <c r="G551" s="79"/>
      <c r="H551" s="79"/>
      <c r="I551" s="80"/>
      <c r="J551" s="80"/>
      <c r="K551" s="79"/>
      <c r="L551" s="80"/>
      <c r="M551" s="80"/>
      <c r="N551" s="125"/>
      <c r="O551" s="80"/>
    </row>
    <row r="552" customFormat="false" ht="31.5" hidden="false" customHeight="true" outlineLevel="0" collapsed="false">
      <c r="A552" s="80"/>
      <c r="B552" s="80"/>
      <c r="C552" s="80"/>
      <c r="D552" s="80"/>
      <c r="E552" s="80"/>
      <c r="F552" s="80"/>
      <c r="G552" s="79"/>
      <c r="H552" s="79"/>
      <c r="I552" s="80"/>
      <c r="J552" s="80"/>
      <c r="K552" s="79"/>
      <c r="L552" s="80"/>
      <c r="M552" s="80"/>
      <c r="N552" s="125"/>
      <c r="O552" s="80"/>
    </row>
    <row r="553" customFormat="false" ht="31.5" hidden="false" customHeight="true" outlineLevel="0" collapsed="false">
      <c r="A553" s="80"/>
      <c r="B553" s="80"/>
      <c r="C553" s="80"/>
      <c r="D553" s="80"/>
      <c r="E553" s="80"/>
      <c r="F553" s="80"/>
      <c r="G553" s="79"/>
      <c r="H553" s="79"/>
      <c r="I553" s="80"/>
      <c r="J553" s="80"/>
      <c r="K553" s="79"/>
      <c r="L553" s="80"/>
      <c r="M553" s="80"/>
      <c r="N553" s="125"/>
      <c r="O553" s="80"/>
    </row>
    <row r="554" customFormat="false" ht="31.5" hidden="false" customHeight="true" outlineLevel="0" collapsed="false">
      <c r="A554" s="80"/>
      <c r="B554" s="80"/>
      <c r="C554" s="80"/>
      <c r="D554" s="80"/>
      <c r="E554" s="80"/>
      <c r="F554" s="80"/>
      <c r="G554" s="79"/>
      <c r="H554" s="79"/>
      <c r="I554" s="80"/>
      <c r="J554" s="80"/>
      <c r="K554" s="79"/>
      <c r="L554" s="80"/>
      <c r="M554" s="80"/>
      <c r="N554" s="125"/>
      <c r="O554" s="80"/>
    </row>
    <row r="555" customFormat="false" ht="31.5" hidden="false" customHeight="true" outlineLevel="0" collapsed="false">
      <c r="A555" s="80"/>
      <c r="B555" s="80"/>
      <c r="C555" s="80"/>
      <c r="D555" s="80"/>
      <c r="E555" s="80"/>
      <c r="F555" s="80"/>
      <c r="G555" s="79"/>
      <c r="H555" s="79"/>
      <c r="I555" s="80"/>
      <c r="J555" s="80"/>
      <c r="K555" s="79"/>
      <c r="L555" s="80"/>
      <c r="M555" s="80"/>
      <c r="N555" s="125"/>
      <c r="O555" s="80"/>
    </row>
    <row r="556" customFormat="false" ht="31.5" hidden="false" customHeight="true" outlineLevel="0" collapsed="false">
      <c r="A556" s="80"/>
      <c r="B556" s="80"/>
      <c r="C556" s="80"/>
      <c r="D556" s="80"/>
      <c r="E556" s="80"/>
      <c r="F556" s="80"/>
      <c r="G556" s="79"/>
      <c r="H556" s="79"/>
      <c r="I556" s="80"/>
      <c r="J556" s="80"/>
      <c r="K556" s="79"/>
      <c r="L556" s="80"/>
      <c r="M556" s="80"/>
      <c r="N556" s="125"/>
      <c r="O556" s="80"/>
    </row>
    <row r="557" customFormat="false" ht="31.5" hidden="false" customHeight="true" outlineLevel="0" collapsed="false">
      <c r="A557" s="80"/>
      <c r="B557" s="80"/>
      <c r="C557" s="80"/>
      <c r="D557" s="80"/>
      <c r="E557" s="80"/>
      <c r="F557" s="80"/>
      <c r="G557" s="79"/>
      <c r="H557" s="79"/>
      <c r="I557" s="80"/>
      <c r="J557" s="80"/>
      <c r="K557" s="79"/>
      <c r="L557" s="80"/>
      <c r="M557" s="80"/>
      <c r="N557" s="125"/>
      <c r="O557" s="80"/>
    </row>
    <row r="558" customFormat="false" ht="31.5" hidden="false" customHeight="true" outlineLevel="0" collapsed="false">
      <c r="A558" s="80"/>
      <c r="B558" s="80"/>
      <c r="C558" s="80"/>
      <c r="D558" s="80"/>
      <c r="E558" s="80"/>
      <c r="F558" s="80"/>
      <c r="G558" s="79"/>
      <c r="H558" s="79"/>
      <c r="I558" s="80"/>
      <c r="J558" s="80"/>
      <c r="K558" s="79"/>
      <c r="L558" s="80"/>
      <c r="M558" s="80"/>
      <c r="N558" s="125"/>
      <c r="O558" s="80"/>
    </row>
    <row r="559" customFormat="false" ht="31.5" hidden="false" customHeight="true" outlineLevel="0" collapsed="false">
      <c r="A559" s="80"/>
      <c r="B559" s="80"/>
      <c r="C559" s="80"/>
      <c r="D559" s="80"/>
      <c r="E559" s="80"/>
      <c r="F559" s="80"/>
      <c r="G559" s="79"/>
      <c r="H559" s="79"/>
      <c r="I559" s="80"/>
      <c r="J559" s="80"/>
      <c r="K559" s="79"/>
      <c r="L559" s="80"/>
      <c r="M559" s="80"/>
      <c r="N559" s="125"/>
      <c r="O559" s="80"/>
    </row>
    <row r="560" customFormat="false" ht="31.5" hidden="false" customHeight="true" outlineLevel="0" collapsed="false">
      <c r="A560" s="80"/>
      <c r="B560" s="80"/>
      <c r="C560" s="80"/>
      <c r="D560" s="80"/>
      <c r="E560" s="80"/>
      <c r="F560" s="80"/>
      <c r="G560" s="79"/>
      <c r="H560" s="79"/>
      <c r="I560" s="80"/>
      <c r="J560" s="80"/>
      <c r="K560" s="79"/>
      <c r="L560" s="80"/>
      <c r="M560" s="80"/>
      <c r="N560" s="125"/>
      <c r="O560" s="80"/>
    </row>
    <row r="561" customFormat="false" ht="31.5" hidden="false" customHeight="true" outlineLevel="0" collapsed="false">
      <c r="A561" s="80"/>
      <c r="B561" s="80"/>
      <c r="C561" s="80"/>
      <c r="D561" s="80"/>
      <c r="E561" s="80"/>
      <c r="F561" s="80"/>
      <c r="G561" s="79"/>
      <c r="H561" s="79"/>
      <c r="I561" s="80"/>
      <c r="J561" s="80"/>
      <c r="K561" s="79"/>
      <c r="L561" s="80"/>
      <c r="M561" s="80"/>
      <c r="N561" s="125"/>
      <c r="O561" s="80"/>
    </row>
    <row r="562" customFormat="false" ht="31.5" hidden="false" customHeight="true" outlineLevel="0" collapsed="false">
      <c r="A562" s="80"/>
      <c r="B562" s="80"/>
      <c r="C562" s="80"/>
      <c r="D562" s="80"/>
      <c r="E562" s="80"/>
      <c r="F562" s="80"/>
      <c r="G562" s="79"/>
      <c r="H562" s="79"/>
      <c r="I562" s="80"/>
      <c r="J562" s="80"/>
      <c r="K562" s="79"/>
      <c r="L562" s="80"/>
      <c r="M562" s="80"/>
      <c r="N562" s="125"/>
      <c r="O562" s="80"/>
    </row>
    <row r="563" customFormat="false" ht="31.5" hidden="false" customHeight="true" outlineLevel="0" collapsed="false">
      <c r="A563" s="80"/>
      <c r="B563" s="80"/>
      <c r="C563" s="80"/>
      <c r="D563" s="80"/>
      <c r="E563" s="80"/>
      <c r="F563" s="80"/>
      <c r="G563" s="79"/>
      <c r="H563" s="79"/>
      <c r="I563" s="80"/>
      <c r="J563" s="80"/>
      <c r="K563" s="79"/>
      <c r="L563" s="80"/>
      <c r="M563" s="80"/>
      <c r="N563" s="125"/>
      <c r="O563" s="80"/>
    </row>
    <row r="564" customFormat="false" ht="31.5" hidden="false" customHeight="true" outlineLevel="0" collapsed="false">
      <c r="A564" s="80"/>
      <c r="B564" s="80"/>
      <c r="C564" s="80"/>
      <c r="D564" s="80"/>
      <c r="E564" s="80"/>
      <c r="F564" s="80"/>
      <c r="G564" s="79"/>
      <c r="H564" s="79"/>
      <c r="I564" s="80"/>
      <c r="J564" s="80"/>
      <c r="K564" s="79"/>
      <c r="L564" s="80"/>
      <c r="M564" s="80"/>
      <c r="N564" s="125"/>
      <c r="O564" s="80"/>
    </row>
    <row r="565" customFormat="false" ht="31.5" hidden="false" customHeight="true" outlineLevel="0" collapsed="false">
      <c r="A565" s="80"/>
      <c r="B565" s="80"/>
      <c r="C565" s="80"/>
      <c r="D565" s="80"/>
      <c r="E565" s="80"/>
      <c r="F565" s="80"/>
      <c r="G565" s="79"/>
      <c r="H565" s="79"/>
      <c r="I565" s="80"/>
      <c r="J565" s="80"/>
      <c r="K565" s="79"/>
      <c r="L565" s="80"/>
      <c r="M565" s="80"/>
      <c r="N565" s="125"/>
      <c r="O565" s="80"/>
    </row>
    <row r="566" customFormat="false" ht="31.5" hidden="false" customHeight="true" outlineLevel="0" collapsed="false">
      <c r="A566" s="80"/>
      <c r="B566" s="80"/>
      <c r="C566" s="80"/>
      <c r="D566" s="80"/>
      <c r="E566" s="80"/>
      <c r="F566" s="80"/>
      <c r="G566" s="79"/>
      <c r="H566" s="79"/>
      <c r="I566" s="80"/>
      <c r="J566" s="80"/>
      <c r="K566" s="79"/>
      <c r="L566" s="80"/>
      <c r="M566" s="80"/>
      <c r="N566" s="125"/>
      <c r="O566" s="80"/>
    </row>
    <row r="567" customFormat="false" ht="31.5" hidden="false" customHeight="true" outlineLevel="0" collapsed="false">
      <c r="A567" s="80"/>
      <c r="B567" s="80"/>
      <c r="C567" s="80"/>
      <c r="D567" s="80"/>
      <c r="E567" s="80"/>
      <c r="F567" s="80"/>
      <c r="G567" s="79"/>
      <c r="H567" s="79"/>
      <c r="I567" s="80"/>
      <c r="J567" s="80"/>
      <c r="K567" s="79"/>
      <c r="L567" s="80"/>
      <c r="M567" s="80"/>
      <c r="N567" s="125"/>
      <c r="O567" s="80"/>
    </row>
    <row r="568" customFormat="false" ht="31.5" hidden="false" customHeight="true" outlineLevel="0" collapsed="false">
      <c r="A568" s="80"/>
      <c r="B568" s="80"/>
      <c r="C568" s="80"/>
      <c r="D568" s="80"/>
      <c r="E568" s="80"/>
      <c r="F568" s="80"/>
      <c r="G568" s="79"/>
      <c r="H568" s="79"/>
      <c r="I568" s="80"/>
      <c r="J568" s="80"/>
      <c r="K568" s="79"/>
      <c r="L568" s="80"/>
      <c r="M568" s="80"/>
      <c r="N568" s="125"/>
      <c r="O568" s="80"/>
    </row>
    <row r="569" customFormat="false" ht="31.5" hidden="false" customHeight="true" outlineLevel="0" collapsed="false">
      <c r="A569" s="80"/>
      <c r="B569" s="80"/>
      <c r="C569" s="80"/>
      <c r="D569" s="80"/>
      <c r="E569" s="80"/>
      <c r="F569" s="80"/>
      <c r="G569" s="79"/>
      <c r="H569" s="79"/>
      <c r="I569" s="80"/>
      <c r="J569" s="80"/>
      <c r="K569" s="79"/>
      <c r="L569" s="80"/>
      <c r="M569" s="80"/>
      <c r="N569" s="125"/>
      <c r="O569" s="80"/>
    </row>
    <row r="570" customFormat="false" ht="31.5" hidden="false" customHeight="true" outlineLevel="0" collapsed="false">
      <c r="A570" s="80"/>
      <c r="B570" s="80"/>
      <c r="C570" s="80"/>
      <c r="D570" s="80"/>
      <c r="E570" s="80"/>
      <c r="F570" s="80"/>
      <c r="G570" s="79"/>
      <c r="H570" s="79"/>
      <c r="I570" s="80"/>
      <c r="J570" s="80"/>
      <c r="K570" s="79"/>
      <c r="L570" s="80"/>
      <c r="M570" s="80"/>
      <c r="N570" s="125"/>
      <c r="O570" s="80"/>
    </row>
    <row r="571" customFormat="false" ht="31.5" hidden="false" customHeight="true" outlineLevel="0" collapsed="false">
      <c r="A571" s="80"/>
      <c r="B571" s="80"/>
      <c r="C571" s="80"/>
      <c r="D571" s="80"/>
      <c r="E571" s="80"/>
      <c r="F571" s="80"/>
      <c r="G571" s="79"/>
      <c r="H571" s="79"/>
      <c r="I571" s="80"/>
      <c r="J571" s="80"/>
      <c r="K571" s="79"/>
      <c r="L571" s="80"/>
      <c r="M571" s="80"/>
      <c r="N571" s="125"/>
      <c r="O571" s="80"/>
    </row>
    <row r="572" customFormat="false" ht="31.5" hidden="false" customHeight="true" outlineLevel="0" collapsed="false">
      <c r="A572" s="80"/>
      <c r="B572" s="80"/>
      <c r="C572" s="80"/>
      <c r="D572" s="80"/>
      <c r="E572" s="80"/>
      <c r="F572" s="80"/>
      <c r="G572" s="79"/>
      <c r="H572" s="79"/>
      <c r="I572" s="80"/>
      <c r="J572" s="80"/>
      <c r="K572" s="79"/>
      <c r="L572" s="80"/>
      <c r="M572" s="80"/>
      <c r="N572" s="125"/>
      <c r="O572" s="80"/>
    </row>
    <row r="573" customFormat="false" ht="31.5" hidden="false" customHeight="true" outlineLevel="0" collapsed="false">
      <c r="A573" s="80"/>
      <c r="B573" s="80"/>
      <c r="C573" s="80"/>
      <c r="D573" s="80"/>
      <c r="E573" s="80"/>
      <c r="F573" s="80"/>
      <c r="G573" s="79"/>
      <c r="H573" s="79"/>
      <c r="I573" s="80"/>
      <c r="J573" s="80"/>
      <c r="K573" s="79"/>
      <c r="L573" s="80"/>
      <c r="M573" s="80"/>
      <c r="N573" s="125"/>
      <c r="O573" s="80"/>
    </row>
    <row r="574" customFormat="false" ht="31.5" hidden="false" customHeight="true" outlineLevel="0" collapsed="false">
      <c r="A574" s="80"/>
      <c r="B574" s="80"/>
      <c r="C574" s="80"/>
      <c r="D574" s="80"/>
      <c r="E574" s="80"/>
      <c r="F574" s="80"/>
      <c r="G574" s="79"/>
      <c r="H574" s="79"/>
      <c r="I574" s="80"/>
      <c r="J574" s="80"/>
      <c r="K574" s="79"/>
      <c r="L574" s="80"/>
      <c r="M574" s="80"/>
      <c r="N574" s="125"/>
      <c r="O574" s="80"/>
    </row>
    <row r="575" customFormat="false" ht="31.5" hidden="false" customHeight="true" outlineLevel="0" collapsed="false">
      <c r="A575" s="80"/>
      <c r="B575" s="80"/>
      <c r="C575" s="80"/>
      <c r="D575" s="80"/>
      <c r="E575" s="80"/>
      <c r="F575" s="80"/>
      <c r="G575" s="79"/>
      <c r="H575" s="79"/>
      <c r="I575" s="80"/>
      <c r="J575" s="80"/>
      <c r="K575" s="79"/>
      <c r="L575" s="80"/>
      <c r="M575" s="80"/>
      <c r="N575" s="125"/>
      <c r="O575" s="80"/>
    </row>
    <row r="576" customFormat="false" ht="31.5" hidden="false" customHeight="true" outlineLevel="0" collapsed="false">
      <c r="A576" s="80"/>
      <c r="B576" s="80"/>
      <c r="C576" s="80"/>
      <c r="D576" s="80"/>
      <c r="E576" s="80"/>
      <c r="F576" s="80"/>
      <c r="G576" s="79"/>
      <c r="H576" s="79"/>
      <c r="I576" s="80"/>
      <c r="J576" s="80"/>
      <c r="K576" s="79"/>
      <c r="L576" s="80"/>
      <c r="M576" s="80"/>
      <c r="N576" s="125"/>
      <c r="O576" s="80"/>
    </row>
    <row r="577" customFormat="false" ht="31.5" hidden="false" customHeight="true" outlineLevel="0" collapsed="false">
      <c r="A577" s="80"/>
      <c r="B577" s="80"/>
      <c r="C577" s="80"/>
      <c r="D577" s="80"/>
      <c r="E577" s="80"/>
      <c r="F577" s="80"/>
      <c r="G577" s="79"/>
      <c r="H577" s="79"/>
      <c r="I577" s="80"/>
      <c r="J577" s="80"/>
      <c r="K577" s="79"/>
      <c r="L577" s="80"/>
      <c r="M577" s="80"/>
      <c r="N577" s="125"/>
      <c r="O577" s="80"/>
    </row>
    <row r="578" customFormat="false" ht="31.5" hidden="false" customHeight="true" outlineLevel="0" collapsed="false">
      <c r="A578" s="80"/>
      <c r="B578" s="80"/>
      <c r="C578" s="80"/>
      <c r="D578" s="80"/>
      <c r="E578" s="80"/>
      <c r="F578" s="80"/>
      <c r="G578" s="79"/>
      <c r="H578" s="79"/>
      <c r="I578" s="80"/>
      <c r="J578" s="80"/>
      <c r="K578" s="79"/>
      <c r="L578" s="80"/>
      <c r="M578" s="80"/>
      <c r="N578" s="125"/>
      <c r="O578" s="80"/>
    </row>
    <row r="579" customFormat="false" ht="31.5" hidden="false" customHeight="true" outlineLevel="0" collapsed="false">
      <c r="A579" s="80"/>
      <c r="B579" s="80"/>
      <c r="C579" s="80"/>
      <c r="D579" s="80"/>
      <c r="E579" s="80"/>
      <c r="F579" s="80"/>
      <c r="G579" s="79"/>
      <c r="H579" s="79"/>
      <c r="I579" s="80"/>
      <c r="J579" s="80"/>
      <c r="K579" s="79"/>
      <c r="L579" s="80"/>
      <c r="M579" s="80"/>
      <c r="N579" s="125"/>
      <c r="O579" s="80"/>
    </row>
    <row r="580" customFormat="false" ht="31.5" hidden="false" customHeight="true" outlineLevel="0" collapsed="false">
      <c r="A580" s="80"/>
      <c r="B580" s="80"/>
      <c r="C580" s="80"/>
      <c r="D580" s="80"/>
      <c r="E580" s="80"/>
      <c r="F580" s="80"/>
      <c r="G580" s="79"/>
      <c r="H580" s="79"/>
      <c r="I580" s="80"/>
      <c r="J580" s="80"/>
      <c r="K580" s="79"/>
      <c r="L580" s="80"/>
      <c r="M580" s="80"/>
      <c r="N580" s="125"/>
      <c r="O580" s="80"/>
    </row>
    <row r="581" customFormat="false" ht="31.5" hidden="false" customHeight="true" outlineLevel="0" collapsed="false">
      <c r="A581" s="80"/>
      <c r="B581" s="80"/>
      <c r="C581" s="80"/>
      <c r="D581" s="80"/>
      <c r="E581" s="80"/>
      <c r="F581" s="80"/>
      <c r="G581" s="79"/>
      <c r="H581" s="79"/>
      <c r="I581" s="80"/>
      <c r="J581" s="80"/>
      <c r="K581" s="79"/>
      <c r="L581" s="80"/>
      <c r="M581" s="80"/>
      <c r="N581" s="125"/>
      <c r="O581" s="80"/>
    </row>
    <row r="582" customFormat="false" ht="31.5" hidden="false" customHeight="true" outlineLevel="0" collapsed="false">
      <c r="A582" s="80"/>
      <c r="B582" s="80"/>
      <c r="C582" s="80"/>
      <c r="D582" s="80"/>
      <c r="E582" s="80"/>
      <c r="F582" s="80"/>
      <c r="G582" s="79"/>
      <c r="H582" s="79"/>
      <c r="I582" s="80"/>
      <c r="J582" s="80"/>
      <c r="K582" s="79"/>
      <c r="L582" s="80"/>
      <c r="M582" s="80"/>
      <c r="N582" s="125"/>
      <c r="O582" s="80"/>
    </row>
    <row r="583" customFormat="false" ht="31.5" hidden="false" customHeight="true" outlineLevel="0" collapsed="false">
      <c r="A583" s="80"/>
      <c r="B583" s="80"/>
      <c r="C583" s="80"/>
      <c r="D583" s="80"/>
      <c r="E583" s="80"/>
      <c r="F583" s="80"/>
      <c r="G583" s="79"/>
      <c r="H583" s="79"/>
      <c r="I583" s="80"/>
      <c r="J583" s="80"/>
      <c r="K583" s="79"/>
      <c r="L583" s="80"/>
      <c r="M583" s="80"/>
      <c r="N583" s="125"/>
      <c r="O583" s="80"/>
    </row>
    <row r="584" customFormat="false" ht="31.5" hidden="false" customHeight="true" outlineLevel="0" collapsed="false">
      <c r="A584" s="80"/>
      <c r="B584" s="80"/>
      <c r="C584" s="80"/>
      <c r="D584" s="80"/>
      <c r="E584" s="80"/>
      <c r="F584" s="80"/>
      <c r="G584" s="79"/>
      <c r="H584" s="79"/>
      <c r="I584" s="80"/>
      <c r="J584" s="80"/>
      <c r="K584" s="79"/>
      <c r="L584" s="80"/>
      <c r="M584" s="80"/>
      <c r="N584" s="125"/>
      <c r="O584" s="80"/>
    </row>
    <row r="585" customFormat="false" ht="31.5" hidden="false" customHeight="true" outlineLevel="0" collapsed="false">
      <c r="A585" s="80"/>
      <c r="B585" s="80"/>
      <c r="C585" s="80"/>
      <c r="D585" s="80"/>
      <c r="E585" s="80"/>
      <c r="F585" s="80"/>
      <c r="G585" s="79"/>
      <c r="H585" s="79"/>
      <c r="I585" s="80"/>
      <c r="J585" s="80"/>
      <c r="K585" s="79"/>
      <c r="L585" s="80"/>
      <c r="M585" s="80"/>
      <c r="N585" s="125"/>
      <c r="O585" s="80"/>
    </row>
    <row r="586" customFormat="false" ht="31.5" hidden="false" customHeight="true" outlineLevel="0" collapsed="false">
      <c r="A586" s="80"/>
      <c r="B586" s="80"/>
      <c r="C586" s="80"/>
      <c r="D586" s="80"/>
      <c r="E586" s="80"/>
      <c r="F586" s="80"/>
      <c r="G586" s="79"/>
      <c r="H586" s="79"/>
      <c r="I586" s="80"/>
      <c r="J586" s="80"/>
      <c r="K586" s="79"/>
      <c r="L586" s="80"/>
      <c r="M586" s="80"/>
      <c r="N586" s="125"/>
      <c r="O586" s="80"/>
    </row>
    <row r="587" customFormat="false" ht="31.5" hidden="false" customHeight="true" outlineLevel="0" collapsed="false">
      <c r="A587" s="80"/>
      <c r="B587" s="80"/>
      <c r="C587" s="80"/>
      <c r="D587" s="80"/>
      <c r="E587" s="80"/>
      <c r="F587" s="80"/>
      <c r="G587" s="79"/>
      <c r="H587" s="79"/>
      <c r="I587" s="80"/>
      <c r="J587" s="80"/>
      <c r="K587" s="79"/>
      <c r="L587" s="80"/>
      <c r="M587" s="80"/>
      <c r="N587" s="125"/>
      <c r="O587" s="80"/>
    </row>
    <row r="588" customFormat="false" ht="31.5" hidden="false" customHeight="true" outlineLevel="0" collapsed="false">
      <c r="A588" s="80"/>
      <c r="B588" s="80"/>
      <c r="C588" s="80"/>
      <c r="D588" s="80"/>
      <c r="E588" s="80"/>
      <c r="F588" s="80"/>
      <c r="G588" s="79"/>
      <c r="H588" s="79"/>
      <c r="I588" s="80"/>
      <c r="J588" s="80"/>
      <c r="K588" s="79"/>
      <c r="L588" s="80"/>
      <c r="M588" s="80"/>
      <c r="N588" s="125"/>
      <c r="O588" s="80"/>
    </row>
    <row r="589" customFormat="false" ht="31.5" hidden="false" customHeight="true" outlineLevel="0" collapsed="false">
      <c r="A589" s="80"/>
      <c r="B589" s="80"/>
      <c r="C589" s="80"/>
      <c r="D589" s="80"/>
      <c r="E589" s="80"/>
      <c r="F589" s="80"/>
      <c r="G589" s="79"/>
      <c r="H589" s="79"/>
      <c r="I589" s="80"/>
      <c r="J589" s="80"/>
      <c r="K589" s="79"/>
      <c r="L589" s="80"/>
      <c r="M589" s="80"/>
      <c r="N589" s="125"/>
      <c r="O589" s="80"/>
    </row>
    <row r="590" customFormat="false" ht="31.5" hidden="false" customHeight="true" outlineLevel="0" collapsed="false">
      <c r="A590" s="80"/>
      <c r="B590" s="80"/>
      <c r="C590" s="80"/>
      <c r="D590" s="80"/>
      <c r="E590" s="80"/>
      <c r="F590" s="80"/>
      <c r="G590" s="79"/>
      <c r="H590" s="79"/>
      <c r="I590" s="80"/>
      <c r="J590" s="80"/>
      <c r="K590" s="79"/>
      <c r="L590" s="80"/>
      <c r="M590" s="80"/>
      <c r="N590" s="125"/>
      <c r="O590" s="80"/>
    </row>
    <row r="591" customFormat="false" ht="31.5" hidden="false" customHeight="true" outlineLevel="0" collapsed="false">
      <c r="A591" s="80"/>
      <c r="B591" s="80"/>
      <c r="C591" s="80"/>
      <c r="D591" s="80"/>
      <c r="E591" s="80"/>
      <c r="F591" s="80"/>
      <c r="G591" s="79"/>
      <c r="H591" s="79"/>
      <c r="I591" s="80"/>
      <c r="J591" s="80"/>
      <c r="K591" s="79"/>
      <c r="L591" s="80"/>
      <c r="M591" s="80"/>
      <c r="N591" s="125"/>
      <c r="O591" s="80"/>
    </row>
    <row r="592" customFormat="false" ht="31.5" hidden="false" customHeight="true" outlineLevel="0" collapsed="false">
      <c r="A592" s="80"/>
      <c r="B592" s="80"/>
      <c r="C592" s="80"/>
      <c r="D592" s="80"/>
      <c r="E592" s="80"/>
      <c r="F592" s="80"/>
      <c r="G592" s="79"/>
      <c r="H592" s="79"/>
      <c r="I592" s="80"/>
      <c r="J592" s="80"/>
      <c r="K592" s="79"/>
      <c r="L592" s="80"/>
      <c r="M592" s="80"/>
      <c r="N592" s="125"/>
      <c r="O592" s="80"/>
    </row>
    <row r="593" customFormat="false" ht="31.5" hidden="false" customHeight="true" outlineLevel="0" collapsed="false">
      <c r="A593" s="80"/>
      <c r="B593" s="80"/>
      <c r="C593" s="80"/>
      <c r="D593" s="80"/>
      <c r="E593" s="80"/>
      <c r="F593" s="80"/>
      <c r="G593" s="79"/>
      <c r="H593" s="79"/>
      <c r="I593" s="80"/>
      <c r="J593" s="80"/>
      <c r="K593" s="79"/>
      <c r="L593" s="80"/>
      <c r="M593" s="80"/>
      <c r="N593" s="125"/>
      <c r="O593" s="80"/>
    </row>
    <row r="594" customFormat="false" ht="31.5" hidden="false" customHeight="true" outlineLevel="0" collapsed="false">
      <c r="A594" s="80"/>
      <c r="B594" s="80"/>
      <c r="C594" s="80"/>
      <c r="D594" s="80"/>
      <c r="E594" s="80"/>
      <c r="F594" s="80"/>
      <c r="G594" s="79"/>
      <c r="H594" s="79"/>
      <c r="I594" s="80"/>
      <c r="J594" s="80"/>
      <c r="K594" s="79"/>
      <c r="L594" s="80"/>
      <c r="M594" s="80"/>
      <c r="N594" s="125"/>
      <c r="O594" s="80"/>
    </row>
    <row r="595" customFormat="false" ht="31.5" hidden="false" customHeight="true" outlineLevel="0" collapsed="false">
      <c r="A595" s="80"/>
      <c r="B595" s="80"/>
      <c r="C595" s="80"/>
      <c r="D595" s="80"/>
      <c r="E595" s="80"/>
      <c r="F595" s="80"/>
      <c r="G595" s="79"/>
      <c r="H595" s="79"/>
      <c r="I595" s="80"/>
      <c r="J595" s="80"/>
      <c r="K595" s="79"/>
      <c r="L595" s="80"/>
      <c r="M595" s="80"/>
      <c r="N595" s="125"/>
      <c r="O595" s="80"/>
    </row>
    <row r="596" customFormat="false" ht="31.5" hidden="false" customHeight="true" outlineLevel="0" collapsed="false">
      <c r="A596" s="80"/>
      <c r="B596" s="80"/>
      <c r="C596" s="80"/>
      <c r="D596" s="80"/>
      <c r="E596" s="80"/>
      <c r="F596" s="80"/>
      <c r="G596" s="79"/>
      <c r="H596" s="79"/>
      <c r="I596" s="80"/>
      <c r="J596" s="80"/>
      <c r="K596" s="79"/>
      <c r="L596" s="80"/>
      <c r="M596" s="80"/>
      <c r="N596" s="125"/>
      <c r="O596" s="80"/>
    </row>
    <row r="597" customFormat="false" ht="31.5" hidden="false" customHeight="true" outlineLevel="0" collapsed="false">
      <c r="A597" s="80"/>
      <c r="B597" s="80"/>
      <c r="C597" s="80"/>
      <c r="D597" s="80"/>
      <c r="E597" s="80"/>
      <c r="F597" s="80"/>
      <c r="G597" s="79"/>
      <c r="H597" s="79"/>
      <c r="I597" s="80"/>
      <c r="J597" s="80"/>
      <c r="K597" s="79"/>
      <c r="L597" s="80"/>
      <c r="M597" s="80"/>
      <c r="N597" s="125"/>
      <c r="O597" s="80"/>
    </row>
    <row r="598" customFormat="false" ht="31.5" hidden="false" customHeight="true" outlineLevel="0" collapsed="false">
      <c r="A598" s="80"/>
      <c r="B598" s="80"/>
      <c r="C598" s="80"/>
      <c r="D598" s="80"/>
      <c r="E598" s="80"/>
      <c r="F598" s="80"/>
      <c r="G598" s="79"/>
      <c r="H598" s="79"/>
      <c r="I598" s="80"/>
      <c r="J598" s="80"/>
      <c r="K598" s="79"/>
      <c r="L598" s="80"/>
      <c r="M598" s="80"/>
      <c r="N598" s="125"/>
      <c r="O598" s="80"/>
    </row>
    <row r="599" customFormat="false" ht="31.5" hidden="false" customHeight="true" outlineLevel="0" collapsed="false">
      <c r="A599" s="80"/>
      <c r="B599" s="80"/>
      <c r="C599" s="80"/>
      <c r="D599" s="80"/>
      <c r="E599" s="80"/>
      <c r="F599" s="80"/>
      <c r="G599" s="79"/>
      <c r="H599" s="79"/>
      <c r="I599" s="80"/>
      <c r="J599" s="80"/>
      <c r="K599" s="79"/>
      <c r="L599" s="80"/>
      <c r="M599" s="80"/>
      <c r="N599" s="125"/>
      <c r="O599" s="80"/>
    </row>
    <row r="600" customFormat="false" ht="31.5" hidden="false" customHeight="true" outlineLevel="0" collapsed="false">
      <c r="A600" s="80"/>
      <c r="B600" s="80"/>
      <c r="C600" s="80"/>
      <c r="D600" s="80"/>
      <c r="E600" s="80"/>
      <c r="F600" s="80"/>
      <c r="G600" s="79"/>
      <c r="H600" s="79"/>
      <c r="I600" s="80"/>
      <c r="J600" s="80"/>
      <c r="K600" s="79"/>
      <c r="L600" s="80"/>
      <c r="M600" s="80"/>
      <c r="N600" s="125"/>
      <c r="O600" s="80"/>
    </row>
    <row r="601" customFormat="false" ht="31.5" hidden="false" customHeight="true" outlineLevel="0" collapsed="false">
      <c r="A601" s="80"/>
      <c r="B601" s="80"/>
      <c r="C601" s="80"/>
      <c r="D601" s="80"/>
      <c r="E601" s="80"/>
      <c r="F601" s="80"/>
      <c r="G601" s="79"/>
      <c r="H601" s="79"/>
      <c r="I601" s="80"/>
      <c r="J601" s="80"/>
      <c r="K601" s="79"/>
      <c r="L601" s="80"/>
      <c r="M601" s="80"/>
      <c r="N601" s="125"/>
      <c r="O601" s="80"/>
    </row>
    <row r="602" customFormat="false" ht="31.5" hidden="false" customHeight="true" outlineLevel="0" collapsed="false">
      <c r="A602" s="80"/>
      <c r="B602" s="80"/>
      <c r="C602" s="80"/>
      <c r="D602" s="80"/>
      <c r="E602" s="80"/>
      <c r="F602" s="80"/>
      <c r="G602" s="79"/>
      <c r="H602" s="79"/>
      <c r="I602" s="80"/>
      <c r="J602" s="80"/>
      <c r="K602" s="79"/>
      <c r="L602" s="80"/>
      <c r="M602" s="80"/>
      <c r="N602" s="125"/>
      <c r="O602" s="80"/>
    </row>
    <row r="603" customFormat="false" ht="31.5" hidden="false" customHeight="true" outlineLevel="0" collapsed="false">
      <c r="A603" s="80"/>
      <c r="B603" s="80"/>
      <c r="C603" s="80"/>
      <c r="D603" s="80"/>
      <c r="E603" s="80"/>
      <c r="F603" s="80"/>
      <c r="G603" s="79"/>
      <c r="H603" s="79"/>
      <c r="I603" s="80"/>
      <c r="J603" s="80"/>
      <c r="K603" s="79"/>
      <c r="L603" s="80"/>
      <c r="M603" s="80"/>
      <c r="N603" s="125"/>
      <c r="O603" s="80"/>
    </row>
    <row r="604" customFormat="false" ht="31.5" hidden="false" customHeight="true" outlineLevel="0" collapsed="false">
      <c r="A604" s="80"/>
      <c r="B604" s="80"/>
      <c r="C604" s="80"/>
      <c r="D604" s="80"/>
      <c r="E604" s="80"/>
      <c r="F604" s="80"/>
      <c r="G604" s="79"/>
      <c r="H604" s="79"/>
      <c r="I604" s="80"/>
      <c r="J604" s="80"/>
      <c r="K604" s="79"/>
      <c r="L604" s="80"/>
      <c r="M604" s="80"/>
      <c r="N604" s="125"/>
      <c r="O604" s="80"/>
    </row>
    <row r="605" customFormat="false" ht="31.5" hidden="false" customHeight="true" outlineLevel="0" collapsed="false">
      <c r="A605" s="80"/>
      <c r="B605" s="80"/>
      <c r="C605" s="80"/>
      <c r="D605" s="80"/>
      <c r="E605" s="80"/>
      <c r="F605" s="80"/>
      <c r="G605" s="79"/>
      <c r="H605" s="79"/>
      <c r="I605" s="80"/>
      <c r="J605" s="80"/>
      <c r="K605" s="79"/>
      <c r="L605" s="80"/>
      <c r="M605" s="80"/>
      <c r="N605" s="125"/>
      <c r="O605" s="80"/>
    </row>
    <row r="606" customFormat="false" ht="31.5" hidden="false" customHeight="true" outlineLevel="0" collapsed="false">
      <c r="A606" s="80"/>
      <c r="B606" s="80"/>
      <c r="C606" s="80"/>
      <c r="D606" s="80"/>
      <c r="E606" s="80"/>
      <c r="F606" s="80"/>
      <c r="G606" s="79"/>
      <c r="H606" s="79"/>
      <c r="I606" s="80"/>
      <c r="J606" s="80"/>
      <c r="K606" s="79"/>
      <c r="L606" s="80"/>
      <c r="M606" s="80"/>
      <c r="N606" s="125"/>
      <c r="O606" s="80"/>
    </row>
    <row r="607" customFormat="false" ht="31.5" hidden="false" customHeight="true" outlineLevel="0" collapsed="false">
      <c r="A607" s="80"/>
      <c r="B607" s="80"/>
      <c r="C607" s="80"/>
      <c r="D607" s="80"/>
      <c r="E607" s="80"/>
      <c r="F607" s="80"/>
      <c r="G607" s="79"/>
      <c r="H607" s="79"/>
      <c r="I607" s="80"/>
      <c r="J607" s="80"/>
      <c r="K607" s="79"/>
      <c r="L607" s="80"/>
      <c r="M607" s="80"/>
      <c r="N607" s="125"/>
      <c r="O607" s="80"/>
    </row>
    <row r="608" customFormat="false" ht="31.5" hidden="false" customHeight="true" outlineLevel="0" collapsed="false">
      <c r="A608" s="80"/>
      <c r="B608" s="80"/>
      <c r="C608" s="80"/>
      <c r="D608" s="80"/>
      <c r="E608" s="80"/>
      <c r="F608" s="80"/>
      <c r="G608" s="79"/>
      <c r="H608" s="79"/>
      <c r="I608" s="80"/>
      <c r="J608" s="80"/>
      <c r="K608" s="79"/>
      <c r="L608" s="80"/>
      <c r="M608" s="80"/>
      <c r="N608" s="125"/>
      <c r="O608" s="80"/>
    </row>
    <row r="609" customFormat="false" ht="31.5" hidden="false" customHeight="true" outlineLevel="0" collapsed="false">
      <c r="A609" s="80"/>
      <c r="B609" s="80"/>
      <c r="C609" s="80"/>
      <c r="D609" s="80"/>
      <c r="E609" s="80"/>
      <c r="F609" s="80"/>
      <c r="G609" s="79"/>
      <c r="H609" s="79"/>
      <c r="I609" s="80"/>
      <c r="J609" s="80"/>
      <c r="K609" s="79"/>
      <c r="L609" s="80"/>
      <c r="M609" s="80"/>
      <c r="N609" s="125"/>
      <c r="O609" s="80"/>
    </row>
    <row r="610" customFormat="false" ht="31.5" hidden="false" customHeight="true" outlineLevel="0" collapsed="false">
      <c r="A610" s="80"/>
      <c r="B610" s="80"/>
      <c r="C610" s="80"/>
      <c r="D610" s="80"/>
      <c r="E610" s="80"/>
      <c r="F610" s="80"/>
      <c r="G610" s="79"/>
      <c r="H610" s="79"/>
      <c r="I610" s="80"/>
      <c r="J610" s="80"/>
      <c r="K610" s="79"/>
      <c r="L610" s="80"/>
      <c r="M610" s="80"/>
      <c r="N610" s="125"/>
      <c r="O610" s="80"/>
    </row>
  </sheetData>
  <mergeCells count="3">
    <mergeCell ref="A1:L1"/>
    <mergeCell ref="A2:L2"/>
    <mergeCell ref="A29:N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5390625" defaultRowHeight="15" customHeight="false" zeroHeight="false" outlineLevelRow="0" outlineLevelCol="0"/>
  <sheetData>
    <row r="1" customFormat="false" ht="16.5" hidden="false" customHeight="true" outlineLevel="0" collapsed="false">
      <c r="A1" s="108" t="s">
        <v>883</v>
      </c>
      <c r="B1" s="108" t="s">
        <v>884</v>
      </c>
    </row>
    <row r="2" customFormat="false" ht="16.5" hidden="false" customHeight="true" outlineLevel="0" collapsed="false">
      <c r="A2" s="135" t="s">
        <v>885</v>
      </c>
      <c r="B2" s="135" t="s">
        <v>886</v>
      </c>
    </row>
    <row r="3" customFormat="false" ht="16.5" hidden="false" customHeight="true" outlineLevel="0" collapsed="false">
      <c r="A3" s="108" t="s">
        <v>887</v>
      </c>
      <c r="B3" s="108" t="s">
        <v>3</v>
      </c>
    </row>
    <row r="4" customFormat="false" ht="16.5" hidden="false" customHeight="true" outlineLevel="0" collapsed="false">
      <c r="A4" s="108" t="s">
        <v>888</v>
      </c>
      <c r="B4" s="135" t="s">
        <v>889</v>
      </c>
    </row>
    <row r="5" customFormat="false" ht="16.5" hidden="false" customHeight="true" outlineLevel="0" collapsed="false">
      <c r="A5" s="108" t="s">
        <v>890</v>
      </c>
      <c r="B5" s="135" t="s">
        <v>891</v>
      </c>
    </row>
    <row r="6" customFormat="false" ht="16.5" hidden="false" customHeight="true" outlineLevel="0" collapsed="false">
      <c r="A6" s="108" t="s">
        <v>892</v>
      </c>
      <c r="B6" s="135" t="s">
        <v>893</v>
      </c>
    </row>
    <row r="7" customFormat="false" ht="16.5" hidden="false" customHeight="true" outlineLevel="0" collapsed="false">
      <c r="A7" s="108" t="s">
        <v>894</v>
      </c>
      <c r="B7" s="136" t="n">
        <v>46281</v>
      </c>
    </row>
    <row r="8" customFormat="false" ht="16.5" hidden="false" customHeight="true" outlineLevel="0" collapsed="false">
      <c r="A8" s="108" t="s">
        <v>895</v>
      </c>
      <c r="B8" s="136" t="n">
        <v>46283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2026-09-24T00:52:00Z</dcterms:created>
  <dc:creator>openpyxl</dc:creator>
  <dc:description/>
  <dc:language>zh-CN</dc:language>
  <cp:lastModifiedBy>zlyyh</cp:lastModifiedBy>
  <dcterms:modified xsi:type="dcterms:W3CDTF">2026-10-16T01:25:22Z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2F81A53385B4E10F80D1B16A8C219D73_42</vt:lpwstr>
  </property>
  <property fmtid="{D5CDD505-2E9C-101B-9397-08002B2CF9AE}" pid="4" name="KSOProductBuildVer">
    <vt:lpwstr>2052-12.1.25869.25869</vt:lpwstr>
  </property>
  <property fmtid="{D5CDD505-2E9C-101B-9397-08002B2CF9AE}" pid="5" name="OfficeCLI.LastModified">
    <vt:lpwstr>2026-09-23T00:34:51Z</vt:lpwstr>
  </property>
  <property fmtid="{D5CDD505-2E9C-101B-9397-08002B2CF9AE}" pid="6" name="OfficeCLI.Version">
    <vt:lpwstr>1.0.103</vt:lpwstr>
  </property>
</Properties>
</file>
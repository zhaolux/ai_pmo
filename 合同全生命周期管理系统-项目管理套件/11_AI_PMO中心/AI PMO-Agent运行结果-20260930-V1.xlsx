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9cfc85a81749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gent总览" sheetId="1" r:id="R486a5dfd172242df"/>
    <x:sheet xmlns:r="http://schemas.openxmlformats.org/officeDocument/2006/relationships" name="管理层摘要" sheetId="2" r:id="R7b8224ceaf844eb5"/>
    <x:sheet xmlns:r="http://schemas.openxmlformats.org/officeDocument/2006/relationships" name="发现清单" sheetId="3" r:id="Rcdceec60468b44c7"/>
    <x:sheet xmlns:r="http://schemas.openxmlformats.org/officeDocument/2006/relationships" name="证据明细" sheetId="4" r:id="R5189caf2f72c48f4"/>
    <x:sheet xmlns:r="http://schemas.openxmlformats.org/officeDocument/2006/relationships" name="使用说明" sheetId="5" r:id="R4755c5668c984a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5"/>
      <x:color rgb="FF1F4E78"/>
      <x:name val="Arial"/>
    </x:font>
    <x:font>
      <x:i/>
      <x:sz val="10"/>
      <x:color rgb="FF667085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2"/>
      <x:color rgb="FF1F2937"/>
      <x:name val="Arial"/>
    </x:font>
    <x:font>
      <x:b/>
      <x:sz val="10"/>
      <x:color rgb="FF1F2937"/>
      <x:name val="Arial"/>
    </x:font>
    <x:font>
      <x:b/>
      <x:sz val="10"/>
      <x:color rgb="FF1F4E78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4CCCC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D9EAF7"/>
      </x:patternFill>
    </x:fill>
  </x:fills>
  <x:borders count="4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left style="thin">
        <x:color rgb="FFD6B656"/>
      </x:left>
      <x:right style="thin">
        <x:color rgb="FFD6B656"/>
      </x:right>
      <x:top style="thin">
        <x:color rgb="FFD6B656"/>
      </x:top>
      <x:bottom style="thin">
        <x:color rgb="FFD6B656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horizontal="center" vertical="center"/>
    </x:xf>
    <x:xf numFmtId="0" fontId="5" fillId="3" borderId="2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3" xfId="0" applyNumberFormat="1" applyFont="1" applyFill="1" applyBorder="1"/>
    <x:xf numFmtId="0" fontId="6" fillId="4" borderId="3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0" fillId="4" borderId="3" xfId="0" applyNumberFormat="1" applyFont="1" applyFill="1" applyBorder="1"/>
    <x:xf numFmtId="200" fontId="4" fillId="0" borderId="2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0" fontId="4" fillId="5" borderId="2" xfId="0" applyNumberFormat="1" applyFont="1" applyFill="1" applyBorder="1" applyAlignment="1">
      <x:alignment vertical="center"/>
    </x:xf>
    <x:xf numFmtId="0" fontId="4" fillId="6" borderId="2" xfId="0" applyNumberFormat="1" applyFont="1" applyFill="1" applyBorder="1" applyAlignment="1">
      <x:alignment vertical="center"/>
    </x:xf>
    <x:xf numFmtId="0" fontId="7" fillId="6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f67fe887894ab4" /><Relationship Type="http://schemas.openxmlformats.org/officeDocument/2006/relationships/theme" Target="/xl/theme/theme1.xml" Id="Ra69828ea07634214" /><Relationship Type="http://schemas.openxmlformats.org/officeDocument/2006/relationships/sharedStrings" Target="/xl/sharedStrings.xml" Id="R14479dcc216a4181" /><Relationship Type="http://schemas.openxmlformats.org/officeDocument/2006/relationships/worksheet" Target="/xl/worksheets/sheet1.xml" Id="R486a5dfd172242df" /><Relationship Type="http://schemas.openxmlformats.org/officeDocument/2006/relationships/worksheet" Target="/xl/worksheets/sheet2.xml" Id="R7b8224ceaf844eb5" /><Relationship Type="http://schemas.openxmlformats.org/officeDocument/2006/relationships/worksheet" Target="/xl/worksheets/sheet3.xml" Id="Rcdceec60468b44c7" /><Relationship Type="http://schemas.openxmlformats.org/officeDocument/2006/relationships/worksheet" Target="/xl/worksheets/sheet4.xml" Id="R5189caf2f72c48f4" /><Relationship Type="http://schemas.openxmlformats.org/officeDocument/2006/relationships/worksheet" Target="/xl/worksheets/sheet5.xml" Id="R4755c5668c984ac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14" hidden="0" customWidth="1"/>
    <x:col min="4" max="4" width="38" hidden="0" customWidth="1"/>
    <x:col min="5" max="5" width="14" hidden="0" customWidth="1"/>
    <x:col min="6" max="6" width="14" hidden="0" customWidth="1"/>
    <x:col min="7" max="7" width="14" hidden="0" customWidth="1"/>
    <x:col min="8" max="8" width="28" hidden="0" customWidth="1"/>
  </x:cols>
  <x:sheetData>
    <x:row r="2">
      <x:c r="A2" s="1" t="str">
        <x:v>AI PMO Agent运行总览</x:v>
      </x:c>
    </x:row>
    <x:row r="3">
      <x:c r="A3" s="2" t="str">
        <x:v>数据日期 2026-09-30｜运行ID AGENT-20260930-141342</x:v>
      </x:c>
    </x:row>
    <x:row r="5" ht="28" customHeight="1">
      <x:c r="A5" s="7" t="str">
        <x:v>项目健康度</x:v>
      </x:c>
      <x:c r="B5" s="7" t="str">
        <x:v>发现总数</x:v>
      </x:c>
      <x:c r="C5" s="7" t="str">
        <x:v>重大</x:v>
      </x:c>
      <x:c r="D5" s="7" t="str">
        <x:v>高</x:v>
      </x:c>
      <x:c r="E5" s="7" t="str">
        <x:v>中</x:v>
      </x:c>
      <x:c r="F5" s="7" t="str">
        <x:v>需人工审批</x:v>
      </x:c>
      <x:c r="G5" s="7" t="str">
        <x:v>待确认</x:v>
      </x:c>
      <x:c r="H5" s="7" t="str">
        <x:v>运行策略</x:v>
      </x:c>
    </x:row>
    <x:row r="6" ht="28" customHeight="1">
      <x:c r="A6" s="13" t="str">
        <x:f>"红"</x:f>
        <x:v>红</x:v>
      </x:c>
      <x:c r="B6" s="12" t="n">
        <x:f>COUNTA('发现清单'!$A$5:$A$204)</x:f>
        <x:v>79</x:v>
      </x:c>
      <x:c r="C6" s="12" t="n">
        <x:f>COUNTIF('发现清单'!$C$5:$C$204,"重大")</x:f>
        <x:v>46</x:v>
      </x:c>
      <x:c r="D6" s="12" t="n">
        <x:f>COUNTIF('发现清单'!$C$5:$C$204,"高")</x:f>
        <x:v>30</x:v>
      </x:c>
      <x:c r="E6" s="12" t="n">
        <x:f>COUNTIF('发现清单'!$C$5:$C$204,"中")</x:f>
        <x:v>3</x:v>
      </x:c>
      <x:c r="F6" s="12" t="n">
        <x:f>COUNTIF('发现清单'!$I$5:$I$204,"是")</x:f>
        <x:v>31</x:v>
      </x:c>
      <x:c r="G6" s="12" t="n">
        <x:f>COUNTIF('发现清单'!$M$5:$M$204,"待确认")</x:f>
        <x:v>79</x:v>
      </x:c>
      <x:c r="H6" s="12" t="str">
        <x:f>"只读建议"</x:f>
        <x:v>只读建议</x:v>
      </x:c>
    </x:row>
    <x:row r="9">
      <x:c r="A9" s="7" t="str">
        <x:v>Agent</x:v>
      </x:c>
      <x:c r="B9" s="7" t="str">
        <x:v>职责</x:v>
      </x:c>
      <x:c r="C9" s="7" t="str">
        <x:v>发现数量</x:v>
      </x:c>
      <x:c r="D9" s="7" t="str">
        <x:v>运行摘要</x:v>
      </x:c>
    </x:row>
    <x:row r="10">
      <x:c r="A10" s="10" t="str">
        <x:v>进度资源Agent</x:v>
      </x:c>
      <x:c r="B10" s="10" t="str">
        <x:v>识别延期、近期到期和责任信息</x:v>
      </x:c>
      <x:c r="C10" s="10" t="n">
        <x:v>50</x:v>
      </x:c>
      <x:c r="D10" s="10" t="str">
        <x:v>识别50项进度关注事项</x:v>
      </x:c>
    </x:row>
    <x:row r="11">
      <x:c r="A11" s="10" t="str">
        <x:v>风险问题Agent</x:v>
      </x:c>
      <x:c r="B11" s="10" t="str">
        <x:v>识别风险、问题、变更和待决策事项</x:v>
      </x:c>
      <x:c r="C11" s="10" t="n">
        <x:v>26</x:v>
      </x:c>
      <x:c r="D11" s="10" t="str">
        <x:v>识别26项风险、问题、变更或决策事项</x:v>
      </x:c>
    </x:row>
    <x:row r="12">
      <x:c r="A12" s="10" t="str">
        <x:v>成本合同Agent</x:v>
      </x:c>
      <x:c r="B12" s="10" t="str">
        <x:v>识别预算完整性、采购估算和付款证据风险</x:v>
      </x:c>
      <x:c r="C12" s="10" t="n">
        <x:v>0</x:v>
      </x:c>
      <x:c r="D12" s="10" t="str">
        <x:v>识别0项成本与合同关注事项</x:v>
      </x:c>
    </x:row>
    <x:row r="13">
      <x:c r="A13" s="10" t="str">
        <x:v>质量验收Agent</x:v>
      </x:c>
      <x:c r="B13" s="10" t="str">
        <x:v>识别质量门禁、严重缺陷、交付物和UAT证据风险</x:v>
      </x:c>
      <x:c r="C13" s="10" t="n">
        <x:v>0</x:v>
      </x:c>
      <x:c r="D13" s="10" t="str">
        <x:v>识别0项质量与验收关注事项</x:v>
      </x:c>
    </x:row>
    <x:row r="14">
      <x:c r="A14" s="10" t="str">
        <x:v>沟通报告Agent</x:v>
      </x:c>
      <x:c r="B14" s="10" t="str">
        <x:v>识别逾期行动、待决策和升级事项</x:v>
      </x:c>
      <x:c r="C14" s="10" t="n">
        <x:v>3</x:v>
      </x:c>
      <x:c r="D14" s="10" t="str">
        <x:v>识别3项沟通、决策或升级关注事项</x:v>
      </x:c>
    </x:row>
    <x:row r="16" ht="36" customHeight="1">
      <x:c r="A16" s="16" t="str">
        <x:v>人工确认边界</x:v>
      </x:c>
      <x:c r="B16" s="17" t="str">
        <x:v>项目基线、预算、风险等级、任务状态和关闭结论必须由项目经理或授权人确认。</x:v>
      </x:c>
      <x:c r="C16" s="16" t="str"/>
      <x:c r="D16" s="16" t="str"/>
      <x:c r="E16" s="16" t="str"/>
      <x:c r="F16" s="16" t="str"/>
      <x:c r="G16" s="16" t="str"/>
      <x:c r="H16" s="16" t="str"/>
    </x:row>
  </x:sheetData>
  <x:mergeCells>
    <x:mergeCell ref="A2:H2"/>
    <x:mergeCell ref="A3:H3"/>
    <x:mergeCell ref="B16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70AD47"/>
  </x:sheetPr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20" hidden="0" customWidth="1"/>
    <x:col min="4" max="4" width="18" hidden="0" customWidth="1"/>
    <x:col min="5" max="5" width="58" hidden="0" customWidth="1"/>
    <x:col min="6" max="6" width="14" hidden="0" customWidth="1"/>
  </x:cols>
  <x:sheetData>
    <x:row r="2">
      <x:c r="A2" s="1" t="str">
        <x:v>AI PMO管理层摘要</x:v>
      </x:c>
    </x:row>
    <x:row r="3">
      <x:c r="A3" s="2" t="str">
        <x:v>数据日期 2026-09-30｜仅基于已验证的台账事实</x:v>
      </x:c>
    </x:row>
    <x:row r="5">
      <x:c r="A5" s="7" t="str">
        <x:v>状态判断</x:v>
      </x:c>
      <x:c r="B5" s="7" t="str">
        <x:v>发现总数</x:v>
      </x:c>
      <x:c r="C5" s="7" t="str">
        <x:v>重大</x:v>
      </x:c>
      <x:c r="D5" s="7" t="str">
        <x:v>高</x:v>
      </x:c>
      <x:c r="E5" s="7" t="str">
        <x:v>中</x:v>
      </x:c>
      <x:c r="F5" s="7" t="str">
        <x:v>需审批</x:v>
      </x:c>
    </x:row>
    <x:row r="6">
      <x:c r="A6" s="13" t="str">
        <x:v>红</x:v>
      </x:c>
      <x:c r="B6" s="12" t="n">
        <x:v>79</x:v>
      </x:c>
      <x:c r="C6" s="12" t="n">
        <x:v>46</x:v>
      </x:c>
      <x:c r="D6" s="12" t="n">
        <x:v>30</x:v>
      </x:c>
      <x:c r="E6" s="12" t="n">
        <x:v>3</x:v>
      </x:c>
      <x:c r="F6" s="12" t="n">
        <x:v>31</x:v>
      </x:c>
    </x:row>
    <x:row r="9">
      <x:c r="A9" s="7" t="str">
        <x:v>严重度</x:v>
      </x:c>
      <x:c r="B9" s="7" t="str">
        <x:v>关注事项</x:v>
      </x:c>
      <x:c r="C9" s="7" t="str">
        <x:v>对象ID</x:v>
      </x:c>
      <x:c r="D9" s="7" t="str">
        <x:v>责任人</x:v>
      </x:c>
      <x:c r="E9" s="7" t="str">
        <x:v>建议动作</x:v>
      </x:c>
    </x:row>
    <x:row r="10">
      <x:c r="A10" s="10" t="str">
        <x:v>重大</x:v>
      </x:c>
      <x:c r="B10" s="18" t="str">
        <x:v>决策事项已逾期</x:v>
      </x:c>
      <x:c r="C10" s="18" t="str">
        <x:v>D-001</x:v>
      </x:c>
      <x:c r="D10" s="18" t="str">
        <x:v>项目指导委员会</x:v>
      </x:c>
      <x:c r="E10" s="18" t="str">
        <x:v>明确决策人、最迟日期、备选方案和延迟后果。</x:v>
      </x:c>
    </x:row>
    <x:row r="11">
      <x:c r="A11" s="10" t="str">
        <x:v>重大</x:v>
      </x:c>
      <x:c r="B11" s="18" t="str">
        <x:v>待决策事项</x:v>
      </x:c>
      <x:c r="C11" s="18" t="str">
        <x:v>D-002</x:v>
      </x:c>
      <x:c r="D11" s="18" t="str">
        <x:v>业务负责人/项目发起人</x:v>
      </x:c>
      <x:c r="E11" s="18" t="str">
        <x:v>明确决策人、最迟日期、备选方案和延迟后果。</x:v>
      </x:c>
    </x:row>
    <x:row r="12">
      <x:c r="A12" s="10" t="str">
        <x:v>重大</x:v>
      </x:c>
      <x:c r="B12" s="18" t="str">
        <x:v>待决策事项</x:v>
      </x:c>
      <x:c r="C12" s="18" t="str">
        <x:v>D-003</x:v>
      </x:c>
      <x:c r="D12" s="18" t="str">
        <x:v>项目发起人</x:v>
      </x:c>
      <x:c r="E12" s="18" t="str">
        <x:v>明确决策人、最迟日期、备选方案和延迟后果。</x:v>
      </x:c>
    </x:row>
    <x:row r="13">
      <x:c r="A13" s="10" t="str">
        <x:v>重大</x:v>
      </x:c>
      <x:c r="B13" s="18" t="str">
        <x:v>待决策事项</x:v>
      </x:c>
      <x:c r="C13" s="18" t="str">
        <x:v>D-004</x:v>
      </x:c>
      <x:c r="D13" s="18" t="str">
        <x:v>项目指导委员会</x:v>
      </x:c>
      <x:c r="E13" s="18" t="str">
        <x:v>明确决策人、最迟日期、备选方案和延迟后果。</x:v>
      </x:c>
    </x:row>
    <x:row r="14">
      <x:c r="A14" s="10" t="str">
        <x:v>重大</x:v>
      </x:c>
      <x:c r="B14" s="18" t="str">
        <x:v>未关闭问题</x:v>
      </x:c>
      <x:c r="C14" s="18" t="str">
        <x:v>G01/G19/G20</x:v>
      </x:c>
      <x:c r="D14" s="18" t="str">
        <x:v>项目集经理</x:v>
      </x:c>
      <x:c r="E14" s="18" t="str">
        <x:v>确认根因、行动、期限和关闭证据。</x:v>
      </x:c>
    </x:row>
    <x:row r="17">
      <x:c r="A17" s="16" t="str">
        <x:v>建议次序</x:v>
      </x:c>
      <x:c r="B17" s="16" t="str">
        <x:v>先处理重大和高严重度事项，再由项目经理确认待审批结论。</x:v>
      </x:c>
      <x:c r="C17" s="16" t="str"/>
      <x:c r="D17" s="16" t="str"/>
      <x:c r="E17" s="16" t="str"/>
    </x:row>
  </x:sheetData>
  <x:mergeCells>
    <x:mergeCell ref="A2:H2"/>
    <x:mergeCell ref="A3:H3"/>
    <x:mergeCell ref="B17:E1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4" ySplit="4" topLeftCell="E5" activePane="bottomRight" state="frozen"/>
    </x:sheetView>
  </x:sheetViews>
  <x:sheetFormatPr defaultRowHeight="15"/>
  <x:cols>
    <x:col min="1" max="1" width="22" hidden="0" customWidth="1"/>
    <x:col min="2" max="2" width="16" hidden="0" customWidth="1"/>
    <x:col min="3" max="3" width="10" hidden="0" customWidth="1"/>
    <x:col min="4" max="4" width="16" hidden="0" customWidth="1"/>
    <x:col min="5" max="5" width="22" hidden="0" customWidth="1"/>
    <x:col min="6" max="6" width="46" hidden="0" customWidth="1"/>
    <x:col min="7" max="7" width="44" hidden="0" customWidth="1"/>
    <x:col min="8" max="8" width="16" hidden="0" customWidth="1"/>
    <x:col min="9" max="9" width="10" hidden="0" customWidth="1"/>
    <x:col min="10" max="10" width="13" hidden="0" customWidth="1"/>
    <x:col min="11" max="11" width="13" hidden="0" customWidth="1"/>
    <x:col min="12" max="12" width="36" hidden="0" customWidth="1"/>
  </x:cols>
  <x:sheetData>
    <x:row r="2">
      <x:c r="A2" s="1" t="str">
        <x:v>Agent发现清单</x:v>
      </x:c>
    </x:row>
    <x:row r="3">
      <x:c r="A3" s="2" t="str">
        <x:v>黄色列由项目经理或授权人确认；源项目台账不会被本文件自动修改。</x:v>
      </x:c>
    </x:row>
    <x:row r="4">
      <x:c r="A4" s="7" t="str">
        <x:v>发现ID</x:v>
      </x:c>
      <x:c r="B4" s="7" t="str">
        <x:v>Agent</x:v>
      </x:c>
      <x:c r="C4" s="7" t="str">
        <x:v>严重度</x:v>
      </x:c>
      <x:c r="D4" s="7" t="str">
        <x:v>对象ID</x:v>
      </x:c>
      <x:c r="E4" s="7" t="str">
        <x:v>标题</x:v>
      </x:c>
      <x:c r="F4" s="7" t="str">
        <x:v>详细说明</x:v>
      </x:c>
      <x:c r="G4" s="7" t="str">
        <x:v>建议动作</x:v>
      </x:c>
      <x:c r="H4" s="7" t="str">
        <x:v>责任人</x:v>
      </x:c>
      <x:c r="I4" s="7" t="str">
        <x:v>需审批</x:v>
      </x:c>
      <x:c r="J4" s="7" t="str">
        <x:v>数据日期</x:v>
      </x:c>
      <x:c r="K4" s="7" t="str">
        <x:v>持续期数</x:v>
      </x:c>
      <x:c r="L4" s="7" t="str">
        <x:v>处置状态</x:v>
      </x:c>
      <x:c r="M4" s="7" t="str">
        <x:v>确认状态</x:v>
      </x:c>
      <x:c r="N4" s="7" t="str">
        <x:v>人工结论</x:v>
      </x:c>
    </x:row>
    <x:row r="5" ht="42" customHeight="1">
      <x:c r="A5" s="10" t="str">
        <x:v>SCH-T008-OVERDUE</x:v>
      </x:c>
      <x:c r="B5" s="10" t="str">
        <x:v>进度资源Agent</x:v>
      </x:c>
      <x:c r="C5" s="22" t="str">
        <x:v>重大</x:v>
      </x:c>
      <x:c r="D5" s="10" t="str">
        <x:v>T008</x:v>
      </x:c>
      <x:c r="E5" s="10" t="str">
        <x:v>任务已延期</x:v>
      </x:c>
      <x:c r="F5" s="18" t="str">
        <x:v>【连续第7期出现】汇编可研报告并组织评审计划完成日为2026-09-18，当前状态为进行中。</x:v>
      </x:c>
      <x:c r="G5" s="18" t="str">
        <x:v>确认实际状态、纠偏计划、承诺日期和完成证据。</x:v>
      </x:c>
      <x:c r="H5" s="10" t="str">
        <x:v>项目经理</x:v>
      </x:c>
      <x:c r="I5" s="10" t="str">
        <x:v>是</x:v>
      </x:c>
      <x:c r="J5" s="20" t="n">
        <x:v>46295</x:v>
      </x:c>
      <x:c r="K5" s="10" t="n">
        <x:v>7</x:v>
      </x:c>
      <x:c r="L5" s="10" t="str"/>
      <x:c r="M5" s="21" t="str">
        <x:v>待确认</x:v>
      </x:c>
      <x:c r="N5" s="21" t="str"/>
    </x:row>
    <x:row r="6" ht="42" customHeight="1">
      <x:c r="A6" s="10" t="str">
        <x:v>SCH-T008-NORISK</x:v>
      </x:c>
      <x:c r="B6" s="10" t="str">
        <x:v>进度资源Agent</x:v>
      </x:c>
      <x:c r="C6" s="23" t="str">
        <x:v>高</x:v>
      </x:c>
      <x:c r="D6" s="10" t="str">
        <x:v>T008</x:v>
      </x:c>
      <x:c r="E6" s="10" t="str">
        <x:v>延期任务未关联风险登记</x:v>
      </x:c>
      <x:c r="F6" s="18" t="str">
        <x:v>【连续第3期出现】汇编可研报告并组织评审（T008）已延期，但风险登记册中未提及该任务编号，建议评估是否登记风险。</x:v>
      </x:c>
      <x:c r="G6" s="18" t="str">
        <x:v>结合延期原因评估是否新增风险条目并指定应对措施。</x:v>
      </x:c>
      <x:c r="H6" s="10" t="str">
        <x:v>项目经理</x:v>
      </x:c>
      <x:c r="I6" s="10" t="str">
        <x:v>否</x:v>
      </x:c>
      <x:c r="J6" s="20" t="n">
        <x:v>46295</x:v>
      </x:c>
      <x:c r="K6" s="10" t="n">
        <x:v>3</x:v>
      </x:c>
      <x:c r="L6" s="10" t="str"/>
      <x:c r="M6" s="21" t="str">
        <x:v>待确认</x:v>
      </x:c>
      <x:c r="N6" s="21" t="str"/>
    </x:row>
    <x:row r="7" ht="42" customHeight="1">
      <x:c r="A7" s="10" t="str">
        <x:v>SCH-T011-OVERDUE</x:v>
      </x:c>
      <x:c r="B7" s="10" t="str">
        <x:v>进度资源Agent</x:v>
      </x:c>
      <x:c r="C7" s="22" t="str">
        <x:v>重大</x:v>
      </x:c>
      <x:c r="D7" s="10" t="str">
        <x:v>T011</x:v>
      </x:c>
      <x:c r="E7" s="10" t="str">
        <x:v>任务已延期</x:v>
      </x:c>
      <x:c r="F7" s="18" t="str">
        <x:v>【连续第13期出现】盘点既有系统、接口与数据计划完成日为2026-05-05，当前状态为进行中。</x:v>
      </x:c>
      <x:c r="G7" s="18" t="str">
        <x:v>确认实际状态、纠偏计划、承诺日期和完成证据。</x:v>
      </x:c>
      <x:c r="H7" s="10" t="str">
        <x:v>技术经理</x:v>
      </x:c>
      <x:c r="I7" s="10" t="str">
        <x:v>是</x:v>
      </x:c>
      <x:c r="J7" s="20" t="n">
        <x:v>46295</x:v>
      </x:c>
      <x:c r="K7" s="10" t="n">
        <x:v>13</x:v>
      </x:c>
      <x:c r="L7" s="10" t="str"/>
      <x:c r="M7" s="21" t="str">
        <x:v>待确认</x:v>
      </x:c>
      <x:c r="N7" s="21" t="str"/>
    </x:row>
    <x:row r="8" ht="42" customHeight="1">
      <x:c r="A8" s="10" t="str">
        <x:v>SCH-T011-NORISK</x:v>
      </x:c>
      <x:c r="B8" s="10" t="str">
        <x:v>进度资源Agent</x:v>
      </x:c>
      <x:c r="C8" s="23" t="str">
        <x:v>高</x:v>
      </x:c>
      <x:c r="D8" s="10" t="str">
        <x:v>T011</x:v>
      </x:c>
      <x:c r="E8" s="10" t="str">
        <x:v>延期任务未关联风险登记</x:v>
      </x:c>
      <x:c r="F8" s="18" t="str">
        <x:v>【连续第3期出现】盘点既有系统、接口与数据（T011）已延期，但风险登记册中未提及该任务编号，建议评估是否登记风险。</x:v>
      </x:c>
      <x:c r="G8" s="18" t="str">
        <x:v>结合延期原因评估是否新增风险条目并指定应对措施。</x:v>
      </x:c>
      <x:c r="H8" s="10" t="str">
        <x:v>技术经理</x:v>
      </x:c>
      <x:c r="I8" s="10" t="str">
        <x:v>否</x:v>
      </x:c>
      <x:c r="J8" s="20" t="n">
        <x:v>46295</x:v>
      </x:c>
      <x:c r="K8" s="10" t="n">
        <x:v>3</x:v>
      </x:c>
      <x:c r="L8" s="10" t="str"/>
      <x:c r="M8" s="21" t="str">
        <x:v>待确认</x:v>
      </x:c>
      <x:c r="N8" s="21" t="str"/>
    </x:row>
    <x:row r="9" ht="42" customHeight="1">
      <x:c r="A9" s="10" t="str">
        <x:v>SCH-T012-OVERDUE</x:v>
      </x:c>
      <x:c r="B9" s="10" t="str">
        <x:v>进度资源Agent</x:v>
      </x:c>
      <x:c r="C9" s="22" t="str">
        <x:v>重大</x:v>
      </x:c>
      <x:c r="D9" s="10" t="str">
        <x:v>T012</x:v>
      </x:c>
      <x:c r="E9" s="10" t="str">
        <x:v>任务已延期</x:v>
      </x:c>
      <x:c r="F9" s="18" t="str">
        <x:v>【连续第13期出现】访谈业务部门并形成痛点清单计划完成日为2026-06-02，当前状态为待确认。</x:v>
      </x:c>
      <x:c r="G9" s="18" t="str">
        <x:v>确认实际状态、纠偏计划、承诺日期和完成证据。</x:v>
      </x:c>
      <x:c r="H9" s="10" t="str">
        <x:v>产品经理</x:v>
      </x:c>
      <x:c r="I9" s="10" t="str">
        <x:v>是</x:v>
      </x:c>
      <x:c r="J9" s="20" t="n">
        <x:v>46295</x:v>
      </x:c>
      <x:c r="K9" s="10" t="n">
        <x:v>13</x:v>
      </x:c>
      <x:c r="L9" s="10" t="str"/>
      <x:c r="M9" s="21" t="str">
        <x:v>待确认</x:v>
      </x:c>
      <x:c r="N9" s="21" t="str"/>
    </x:row>
    <x:row r="10" ht="42" customHeight="1">
      <x:c r="A10" s="10" t="str">
        <x:v>SCH-T012-NORISK</x:v>
      </x:c>
      <x:c r="B10" s="10" t="str">
        <x:v>进度资源Agent</x:v>
      </x:c>
      <x:c r="C10" s="23" t="str">
        <x:v>高</x:v>
      </x:c>
      <x:c r="D10" s="10" t="str">
        <x:v>T012</x:v>
      </x:c>
      <x:c r="E10" s="10" t="str">
        <x:v>延期任务未关联风险登记</x:v>
      </x:c>
      <x:c r="F10" s="18" t="str">
        <x:v>【连续第3期出现】访谈业务部门并形成痛点清单（T012）已延期，但风险登记册中未提及该任务编号，建议评估是否登记风险。</x:v>
      </x:c>
      <x:c r="G10" s="18" t="str">
        <x:v>结合延期原因评估是否新增风险条目并指定应对措施。</x:v>
      </x:c>
      <x:c r="H10" s="10" t="str">
        <x:v>产品经理</x:v>
      </x:c>
      <x:c r="I10" s="10" t="str">
        <x:v>否</x:v>
      </x:c>
      <x:c r="J10" s="20" t="n">
        <x:v>46295</x:v>
      </x:c>
      <x:c r="K10" s="10" t="n">
        <x:v>3</x:v>
      </x:c>
      <x:c r="L10" s="10" t="str"/>
      <x:c r="M10" s="21" t="str">
        <x:v>待确认</x:v>
      </x:c>
      <x:c r="N10" s="21" t="str"/>
    </x:row>
    <x:row r="11" ht="42" customHeight="1">
      <x:c r="A11" s="10" t="str">
        <x:v>SCH-T013-OVERDUE</x:v>
      </x:c>
      <x:c r="B11" s="10" t="str">
        <x:v>进度资源Agent</x:v>
      </x:c>
      <x:c r="C11" s="22" t="str">
        <x:v>重大</x:v>
      </x:c>
      <x:c r="D11" s="10" t="str">
        <x:v>T013</x:v>
      </x:c>
      <x:c r="E11" s="10" t="str">
        <x:v>任务已延期</x:v>
      </x:c>
      <x:c r="F11" s="18" t="str">
        <x:v>【连续第13期出现】确认现状流程、问题与改进机会基线计划完成日为2026-06-30，当前状态为待确认。</x:v>
      </x:c>
      <x:c r="G11" s="18" t="str">
        <x:v>确认实际状态、纠偏计划、承诺日期和完成证据。</x:v>
      </x:c>
      <x:c r="H11" s="10" t="str">
        <x:v>项目经理</x:v>
      </x:c>
      <x:c r="I11" s="10" t="str">
        <x:v>是</x:v>
      </x:c>
      <x:c r="J11" s="20" t="n">
        <x:v>46295</x:v>
      </x:c>
      <x:c r="K11" s="10" t="n">
        <x:v>13</x:v>
      </x:c>
      <x:c r="L11" s="10" t="str"/>
      <x:c r="M11" s="21" t="str">
        <x:v>待确认</x:v>
      </x:c>
      <x:c r="N11" s="21" t="str"/>
    </x:row>
    <x:row r="12" ht="42" customHeight="1">
      <x:c r="A12" s="10" t="str">
        <x:v>SCH-T013-NORISK</x:v>
      </x:c>
      <x:c r="B12" s="10" t="str">
        <x:v>进度资源Agent</x:v>
      </x:c>
      <x:c r="C12" s="23" t="str">
        <x:v>高</x:v>
      </x:c>
      <x:c r="D12" s="10" t="str">
        <x:v>T013</x:v>
      </x:c>
      <x:c r="E12" s="10" t="str">
        <x:v>延期任务未关联风险登记</x:v>
      </x:c>
      <x:c r="F12" s="18" t="str">
        <x:v>【连续第3期出现】确认现状流程、问题与改进机会基线（T013）已延期，但风险登记册中未提及该任务编号，建议评估是否登记风险。</x:v>
      </x:c>
      <x:c r="G12" s="18" t="str">
        <x:v>结合延期原因评估是否新增风险条目并指定应对措施。</x:v>
      </x:c>
      <x:c r="H12" s="10" t="str">
        <x:v>项目经理</x:v>
      </x:c>
      <x:c r="I12" s="10" t="str">
        <x:v>否</x:v>
      </x:c>
      <x:c r="J12" s="20" t="n">
        <x:v>46295</x:v>
      </x:c>
      <x:c r="K12" s="10" t="n">
        <x:v>3</x:v>
      </x:c>
      <x:c r="L12" s="10" t="str"/>
      <x:c r="M12" s="21" t="str">
        <x:v>待确认</x:v>
      </x:c>
      <x:c r="N12" s="21" t="str"/>
    </x:row>
    <x:row r="13" ht="42" customHeight="1">
      <x:c r="A13" s="10" t="str">
        <x:v>SCH-T014-OVERDUE</x:v>
      </x:c>
      <x:c r="B13" s="10" t="str">
        <x:v>进度资源Agent</x:v>
      </x:c>
      <x:c r="C13" s="22" t="str">
        <x:v>重大</x:v>
      </x:c>
      <x:c r="D13" s="10" t="str">
        <x:v>T014</x:v>
      </x:c>
      <x:c r="E13" s="10" t="str">
        <x:v>任务已延期</x:v>
      </x:c>
      <x:c r="F13" s="18" t="str">
        <x:v>【连续第13期出现】制定项目治理、会议与报告机制计划完成日为2026-07-12，当前状态为待确认。</x:v>
      </x:c>
      <x:c r="G13" s="18" t="str">
        <x:v>确认实际状态、纠偏计划、承诺日期和完成证据。</x:v>
      </x:c>
      <x:c r="H13" s="10" t="str">
        <x:v>项目经理</x:v>
      </x:c>
      <x:c r="I13" s="10" t="str">
        <x:v>是</x:v>
      </x:c>
      <x:c r="J13" s="20" t="n">
        <x:v>46295</x:v>
      </x:c>
      <x:c r="K13" s="10" t="n">
        <x:v>13</x:v>
      </x:c>
      <x:c r="L13" s="10" t="str"/>
      <x:c r="M13" s="21" t="str">
        <x:v>待确认</x:v>
      </x:c>
      <x:c r="N13" s="21" t="str"/>
    </x:row>
    <x:row r="14" ht="42" customHeight="1">
      <x:c r="A14" s="10" t="str">
        <x:v>SCH-T014-NORISK</x:v>
      </x:c>
      <x:c r="B14" s="10" t="str">
        <x:v>进度资源Agent</x:v>
      </x:c>
      <x:c r="C14" s="23" t="str">
        <x:v>高</x:v>
      </x:c>
      <x:c r="D14" s="10" t="str">
        <x:v>T014</x:v>
      </x:c>
      <x:c r="E14" s="10" t="str">
        <x:v>延期任务未关联风险登记</x:v>
      </x:c>
      <x:c r="F14" s="18" t="str">
        <x:v>【连续第3期出现】制定项目治理、会议与报告机制（T014）已延期，但风险登记册中未提及该任务编号，建议评估是否登记风险。</x:v>
      </x:c>
      <x:c r="G14" s="18" t="str">
        <x:v>结合延期原因评估是否新增风险条目并指定应对措施。</x:v>
      </x:c>
      <x:c r="H14" s="10" t="str">
        <x:v>项目经理</x:v>
      </x:c>
      <x:c r="I14" s="10" t="str">
        <x:v>否</x:v>
      </x:c>
      <x:c r="J14" s="20" t="n">
        <x:v>46295</x:v>
      </x:c>
      <x:c r="K14" s="10" t="n">
        <x:v>3</x:v>
      </x:c>
      <x:c r="L14" s="10" t="str"/>
      <x:c r="M14" s="21" t="str">
        <x:v>待确认</x:v>
      </x:c>
      <x:c r="N14" s="21" t="str"/>
    </x:row>
    <x:row r="15" ht="42" customHeight="1">
      <x:c r="A15" s="10" t="str">
        <x:v>SCH-T015-OVERDUE</x:v>
      </x:c>
      <x:c r="B15" s="10" t="str">
        <x:v>进度资源Agent</x:v>
      </x:c>
      <x:c r="C15" s="22" t="str">
        <x:v>重大</x:v>
      </x:c>
      <x:c r="D15" s="10" t="str">
        <x:v>T015</x:v>
      </x:c>
      <x:c r="E15" s="10" t="str">
        <x:v>任务已延期</x:v>
      </x:c>
      <x:c r="F15" s="18" t="str">
        <x:v>【连续第13期出现】制定需求分级、跟踪与变更规范计划完成日为2026-07-24，当前状态为待确认。</x:v>
      </x:c>
      <x:c r="G15" s="18" t="str">
        <x:v>确认实际状态、纠偏计划、承诺日期和完成证据。</x:v>
      </x:c>
      <x:c r="H15" s="10" t="str">
        <x:v>产品经理</x:v>
      </x:c>
      <x:c r="I15" s="10" t="str">
        <x:v>是</x:v>
      </x:c>
      <x:c r="J15" s="20" t="n">
        <x:v>46295</x:v>
      </x:c>
      <x:c r="K15" s="10" t="n">
        <x:v>13</x:v>
      </x:c>
      <x:c r="L15" s="10" t="str"/>
      <x:c r="M15" s="21" t="str">
        <x:v>待确认</x:v>
      </x:c>
      <x:c r="N15" s="21" t="str"/>
    </x:row>
    <x:row r="16" ht="42" customHeight="1">
      <x:c r="A16" s="10" t="str">
        <x:v>SCH-T015-NORISK</x:v>
      </x:c>
      <x:c r="B16" s="10" t="str">
        <x:v>进度资源Agent</x:v>
      </x:c>
      <x:c r="C16" s="23" t="str">
        <x:v>高</x:v>
      </x:c>
      <x:c r="D16" s="10" t="str">
        <x:v>T015</x:v>
      </x:c>
      <x:c r="E16" s="10" t="str">
        <x:v>延期任务未关联风险登记</x:v>
      </x:c>
      <x:c r="F16" s="18" t="str">
        <x:v>【连续第3期出现】制定需求分级、跟踪与变更规范（T015）已延期，但风险登记册中未提及该任务编号，建议评估是否登记风险。</x:v>
      </x:c>
      <x:c r="G16" s="18" t="str">
        <x:v>结合延期原因评估是否新增风险条目并指定应对措施。</x:v>
      </x:c>
      <x:c r="H16" s="10" t="str">
        <x:v>产品经理</x:v>
      </x:c>
      <x:c r="I16" s="10" t="str">
        <x:v>否</x:v>
      </x:c>
      <x:c r="J16" s="20" t="n">
        <x:v>46295</x:v>
      </x:c>
      <x:c r="K16" s="10" t="n">
        <x:v>3</x:v>
      </x:c>
      <x:c r="L16" s="10" t="str"/>
      <x:c r="M16" s="21" t="str">
        <x:v>待确认</x:v>
      </x:c>
      <x:c r="N16" s="21" t="str"/>
    </x:row>
    <x:row r="17" ht="42" customHeight="1">
      <x:c r="A17" s="10" t="str">
        <x:v>SCH-T016-OVERDUE</x:v>
      </x:c>
      <x:c r="B17" s="10" t="str">
        <x:v>进度资源Agent</x:v>
      </x:c>
      <x:c r="C17" s="22" t="str">
        <x:v>重大</x:v>
      </x:c>
      <x:c r="D17" s="10" t="str">
        <x:v>T016</x:v>
      </x:c>
      <x:c r="E17" s="10" t="str">
        <x:v>任务已延期</x:v>
      </x:c>
      <x:c r="F17" s="18" t="str">
        <x:v>【连续第13期出现】制定设计、编码与代码评审规范计划完成日为2026-08-06，当前状态为待确认。</x:v>
      </x:c>
      <x:c r="G17" s="18" t="str">
        <x:v>确认实际状态、纠偏计划、承诺日期和完成证据。</x:v>
      </x:c>
      <x:c r="H17" s="10" t="str">
        <x:v>技术经理</x:v>
      </x:c>
      <x:c r="I17" s="10" t="str">
        <x:v>是</x:v>
      </x:c>
      <x:c r="J17" s="20" t="n">
        <x:v>46295</x:v>
      </x:c>
      <x:c r="K17" s="10" t="n">
        <x:v>13</x:v>
      </x:c>
      <x:c r="L17" s="10" t="str"/>
      <x:c r="M17" s="21" t="str">
        <x:v>待确认</x:v>
      </x:c>
      <x:c r="N17" s="21" t="str"/>
    </x:row>
    <x:row r="18" ht="42" customHeight="1">
      <x:c r="A18" s="10" t="str">
        <x:v>SCH-T016-NORISK</x:v>
      </x:c>
      <x:c r="B18" s="10" t="str">
        <x:v>进度资源Agent</x:v>
      </x:c>
      <x:c r="C18" s="23" t="str">
        <x:v>高</x:v>
      </x:c>
      <x:c r="D18" s="10" t="str">
        <x:v>T016</x:v>
      </x:c>
      <x:c r="E18" s="10" t="str">
        <x:v>延期任务未关联风险登记</x:v>
      </x:c>
      <x:c r="F18" s="18" t="str">
        <x:v>【连续第3期出现】制定设计、编码与代码评审规范（T016）已延期，但风险登记册中未提及该任务编号，建议评估是否登记风险。</x:v>
      </x:c>
      <x:c r="G18" s="18" t="str">
        <x:v>结合延期原因评估是否新增风险条目并指定应对措施。</x:v>
      </x:c>
      <x:c r="H18" s="10" t="str">
        <x:v>技术经理</x:v>
      </x:c>
      <x:c r="I18" s="10" t="str">
        <x:v>否</x:v>
      </x:c>
      <x:c r="J18" s="20" t="n">
        <x:v>46295</x:v>
      </x:c>
      <x:c r="K18" s="10" t="n">
        <x:v>3</x:v>
      </x:c>
      <x:c r="L18" s="10" t="str"/>
      <x:c r="M18" s="21" t="str">
        <x:v>待确认</x:v>
      </x:c>
      <x:c r="N18" s="21" t="str"/>
    </x:row>
    <x:row r="19" ht="42" customHeight="1">
      <x:c r="A19" s="10" t="str">
        <x:v>SCH-T017-OVERDUE</x:v>
      </x:c>
      <x:c r="B19" s="10" t="str">
        <x:v>进度资源Agent</x:v>
      </x:c>
      <x:c r="C19" s="22" t="str">
        <x:v>重大</x:v>
      </x:c>
      <x:c r="D19" s="10" t="str">
        <x:v>T017</x:v>
      </x:c>
      <x:c r="E19" s="10" t="str">
        <x:v>任务已延期</x:v>
      </x:c>
      <x:c r="F19" s="18" t="str">
        <x:v>【连续第13期出现】制定测试、缺陷与质量门禁规范计划完成日为2026-08-18，当前状态为待确认。</x:v>
      </x:c>
      <x:c r="G19" s="18" t="str">
        <x:v>确认实际状态、纠偏计划、承诺日期和完成证据。</x:v>
      </x:c>
      <x:c r="H19" s="10" t="str">
        <x:v>高级测试人员、中级测试人员</x:v>
      </x:c>
      <x:c r="I19" s="10" t="str">
        <x:v>是</x:v>
      </x:c>
      <x:c r="J19" s="20" t="n">
        <x:v>46295</x:v>
      </x:c>
      <x:c r="K19" s="10" t="n">
        <x:v>13</x:v>
      </x:c>
      <x:c r="L19" s="10" t="str"/>
      <x:c r="M19" s="21" t="str">
        <x:v>待确认</x:v>
      </x:c>
      <x:c r="N19" s="21" t="str"/>
    </x:row>
    <x:row r="20" ht="42" customHeight="1">
      <x:c r="A20" s="10" t="str">
        <x:v>SCH-T017-NORISK</x:v>
      </x:c>
      <x:c r="B20" s="10" t="str">
        <x:v>进度资源Agent</x:v>
      </x:c>
      <x:c r="C20" s="23" t="str">
        <x:v>高</x:v>
      </x:c>
      <x:c r="D20" s="10" t="str">
        <x:v>T017</x:v>
      </x:c>
      <x:c r="E20" s="10" t="str">
        <x:v>延期任务未关联风险登记</x:v>
      </x:c>
      <x:c r="F20" s="18" t="str">
        <x:v>【连续第3期出现】制定测试、缺陷与质量门禁规范（T017）已延期，但风险登记册中未提及该任务编号，建议评估是否登记风险。</x:v>
      </x:c>
      <x:c r="G20" s="18" t="str">
        <x:v>结合延期原因评估是否新增风险条目并指定应对措施。</x:v>
      </x:c>
      <x:c r="H20" s="10" t="str">
        <x:v>高级测试人员、中级测试人员</x:v>
      </x:c>
      <x:c r="I20" s="10" t="str">
        <x:v>否</x:v>
      </x:c>
      <x:c r="J20" s="20" t="n">
        <x:v>46295</x:v>
      </x:c>
      <x:c r="K20" s="10" t="n">
        <x:v>3</x:v>
      </x:c>
      <x:c r="L20" s="10" t="str"/>
      <x:c r="M20" s="21" t="str">
        <x:v>待确认</x:v>
      </x:c>
      <x:c r="N20" s="21" t="str"/>
    </x:row>
    <x:row r="21" ht="42" customHeight="1">
      <x:c r="A21" s="10" t="str">
        <x:v>SCH-T018-OVERDUE</x:v>
      </x:c>
      <x:c r="B21" s="10" t="str">
        <x:v>进度资源Agent</x:v>
      </x:c>
      <x:c r="C21" s="22" t="str">
        <x:v>重大</x:v>
      </x:c>
      <x:c r="D21" s="10" t="str">
        <x:v>T018</x:v>
      </x:c>
      <x:c r="E21" s="10" t="str">
        <x:v>任务已延期</x:v>
      </x:c>
      <x:c r="F21" s="18" t="str">
        <x:v>【连续第13期出现】制定配置、发布与文档归档规范计划完成日为2026-08-31，当前状态为待确认。</x:v>
      </x:c>
      <x:c r="G21" s="18" t="str">
        <x:v>确认实际状态、纠偏计划、承诺日期和完成证据。</x:v>
      </x:c>
      <x:c r="H21" s="10" t="str">
        <x:v>配置人员</x:v>
      </x:c>
      <x:c r="I21" s="10" t="str">
        <x:v>是</x:v>
      </x:c>
      <x:c r="J21" s="20" t="n">
        <x:v>46295</x:v>
      </x:c>
      <x:c r="K21" s="10" t="n">
        <x:v>13</x:v>
      </x:c>
      <x:c r="L21" s="10" t="str"/>
      <x:c r="M21" s="21" t="str">
        <x:v>待确认</x:v>
      </x:c>
      <x:c r="N21" s="21" t="str"/>
    </x:row>
    <x:row r="22" ht="42" customHeight="1">
      <x:c r="A22" s="10" t="str">
        <x:v>SCH-T018-NORISK</x:v>
      </x:c>
      <x:c r="B22" s="10" t="str">
        <x:v>进度资源Agent</x:v>
      </x:c>
      <x:c r="C22" s="23" t="str">
        <x:v>高</x:v>
      </x:c>
      <x:c r="D22" s="10" t="str">
        <x:v>T018</x:v>
      </x:c>
      <x:c r="E22" s="10" t="str">
        <x:v>延期任务未关联风险登记</x:v>
      </x:c>
      <x:c r="F22" s="18" t="str">
        <x:v>【连续第3期出现】制定配置、发布与文档归档规范（T018）已延期，但风险登记册中未提及该任务编号，建议评估是否登记风险。</x:v>
      </x:c>
      <x:c r="G22" s="18" t="str">
        <x:v>结合延期原因评估是否新增风险条目并指定应对措施。</x:v>
      </x:c>
      <x:c r="H22" s="10" t="str">
        <x:v>配置人员</x:v>
      </x:c>
      <x:c r="I22" s="10" t="str">
        <x:v>否</x:v>
      </x:c>
      <x:c r="J22" s="20" t="n">
        <x:v>46295</x:v>
      </x:c>
      <x:c r="K22" s="10" t="n">
        <x:v>3</x:v>
      </x:c>
      <x:c r="L22" s="10" t="str"/>
      <x:c r="M22" s="21" t="str">
        <x:v>待确认</x:v>
      </x:c>
      <x:c r="N22" s="21" t="str"/>
    </x:row>
    <x:row r="23" ht="42" customHeight="1">
      <x:c r="A23" s="10" t="str">
        <x:v>SCH-T019-OVERDUE</x:v>
      </x:c>
      <x:c r="B23" s="10" t="str">
        <x:v>进度资源Agent</x:v>
      </x:c>
      <x:c r="C23" s="22" t="str">
        <x:v>重大</x:v>
      </x:c>
      <x:c r="D23" s="10" t="str">
        <x:v>T019</x:v>
      </x:c>
      <x:c r="E23" s="10" t="str">
        <x:v>任务已延期</x:v>
      </x:c>
      <x:c r="F23" s="18" t="str">
        <x:v>【连续第13期出现】完成系统分层、模块与服务边界设计计划完成日为2026-07-15，当前状态为待确认。</x:v>
      </x:c>
      <x:c r="G23" s="18" t="str">
        <x:v>确认实际状态、纠偏计划、承诺日期和完成证据。</x:v>
      </x:c>
      <x:c r="H23" s="10" t="str">
        <x:v>技术经理</x:v>
      </x:c>
      <x:c r="I23" s="10" t="str">
        <x:v>是</x:v>
      </x:c>
      <x:c r="J23" s="20" t="n">
        <x:v>46295</x:v>
      </x:c>
      <x:c r="K23" s="10" t="n">
        <x:v>13</x:v>
      </x:c>
      <x:c r="L23" s="10" t="str"/>
      <x:c r="M23" s="21" t="str">
        <x:v>待确认</x:v>
      </x:c>
      <x:c r="N23" s="21" t="str"/>
    </x:row>
    <x:row r="24" ht="42" customHeight="1">
      <x:c r="A24" s="10" t="str">
        <x:v>SCH-T019-NORISK</x:v>
      </x:c>
      <x:c r="B24" s="10" t="str">
        <x:v>进度资源Agent</x:v>
      </x:c>
      <x:c r="C24" s="23" t="str">
        <x:v>高</x:v>
      </x:c>
      <x:c r="D24" s="10" t="str">
        <x:v>T019</x:v>
      </x:c>
      <x:c r="E24" s="10" t="str">
        <x:v>延期任务未关联风险登记</x:v>
      </x:c>
      <x:c r="F24" s="18" t="str">
        <x:v>【连续第3期出现】完成系统分层、模块与服务边界设计（T019）已延期，但风险登记册中未提及该任务编号，建议评估是否登记风险。</x:v>
      </x:c>
      <x:c r="G24" s="18" t="str">
        <x:v>结合延期原因评估是否新增风险条目并指定应对措施。</x:v>
      </x:c>
      <x:c r="H24" s="10" t="str">
        <x:v>技术经理</x:v>
      </x:c>
      <x:c r="I24" s="10" t="str">
        <x:v>否</x:v>
      </x:c>
      <x:c r="J24" s="20" t="n">
        <x:v>46295</x:v>
      </x:c>
      <x:c r="K24" s="10" t="n">
        <x:v>3</x:v>
      </x:c>
      <x:c r="L24" s="10" t="str"/>
      <x:c r="M24" s="21" t="str">
        <x:v>待确认</x:v>
      </x:c>
      <x:c r="N24" s="21" t="str"/>
    </x:row>
    <x:row r="25" ht="42" customHeight="1">
      <x:c r="A25" s="10" t="str">
        <x:v>SCH-T020-OVERDUE</x:v>
      </x:c>
      <x:c r="B25" s="10" t="str">
        <x:v>进度资源Agent</x:v>
      </x:c>
      <x:c r="C25" s="22" t="str">
        <x:v>重大</x:v>
      </x:c>
      <x:c r="D25" s="10" t="str">
        <x:v>T020</x:v>
      </x:c>
      <x:c r="E25" s="10" t="str">
        <x:v>任务已延期</x:v>
      </x:c>
      <x:c r="F25" s="18" t="str">
        <x:v>【连续第13期出现】完成主数据、交易数据与分析数据架构计划完成日为2026-07-30，当前状态为待确认。</x:v>
      </x:c>
      <x:c r="G25" s="18" t="str">
        <x:v>确认实际状态、纠偏计划、承诺日期和完成证据。</x:v>
      </x:c>
      <x:c r="H25" s="10" t="str">
        <x:v>技术经理</x:v>
      </x:c>
      <x:c r="I25" s="10" t="str">
        <x:v>是</x:v>
      </x:c>
      <x:c r="J25" s="20" t="n">
        <x:v>46295</x:v>
      </x:c>
      <x:c r="K25" s="10" t="n">
        <x:v>13</x:v>
      </x:c>
      <x:c r="L25" s="10" t="str"/>
      <x:c r="M25" s="21" t="str">
        <x:v>待确认</x:v>
      </x:c>
      <x:c r="N25" s="21" t="str"/>
    </x:row>
    <x:row r="26" ht="42" customHeight="1">
      <x:c r="A26" s="10" t="str">
        <x:v>SCH-T020-NORISK</x:v>
      </x:c>
      <x:c r="B26" s="10" t="str">
        <x:v>进度资源Agent</x:v>
      </x:c>
      <x:c r="C26" s="23" t="str">
        <x:v>高</x:v>
      </x:c>
      <x:c r="D26" s="10" t="str">
        <x:v>T020</x:v>
      </x:c>
      <x:c r="E26" s="10" t="str">
        <x:v>延期任务未关联风险登记</x:v>
      </x:c>
      <x:c r="F26" s="18" t="str">
        <x:v>【连续第3期出现】完成主数据、交易数据与分析数据架构（T020）已延期，但风险登记册中未提及该任务编号，建议评估是否登记风险。</x:v>
      </x:c>
      <x:c r="G26" s="18" t="str">
        <x:v>结合延期原因评估是否新增风险条目并指定应对措施。</x:v>
      </x:c>
      <x:c r="H26" s="10" t="str">
        <x:v>技术经理</x:v>
      </x:c>
      <x:c r="I26" s="10" t="str">
        <x:v>否</x:v>
      </x:c>
      <x:c r="J26" s="20" t="n">
        <x:v>46295</x:v>
      </x:c>
      <x:c r="K26" s="10" t="n">
        <x:v>3</x:v>
      </x:c>
      <x:c r="L26" s="10" t="str"/>
      <x:c r="M26" s="21" t="str">
        <x:v>待确认</x:v>
      </x:c>
      <x:c r="N26" s="21" t="str"/>
    </x:row>
    <x:row r="27" ht="42" customHeight="1">
      <x:c r="A27" s="10" t="str">
        <x:v>SCH-T021-OVERDUE</x:v>
      </x:c>
      <x:c r="B27" s="10" t="str">
        <x:v>进度资源Agent</x:v>
      </x:c>
      <x:c r="C27" s="22" t="str">
        <x:v>重大</x:v>
      </x:c>
      <x:c r="D27" s="10" t="str">
        <x:v>T021</x:v>
      </x:c>
      <x:c r="E27" s="10" t="str">
        <x:v>任务已延期</x:v>
      </x:c>
      <x:c r="F27" s="18" t="str">
        <x:v>【连续第13期出现】完成内部及外部接口总体架构计划完成日为2026-08-15，当前状态为待确认。</x:v>
      </x:c>
      <x:c r="G27" s="18" t="str">
        <x:v>确认实际状态、纠偏计划、承诺日期和完成证据。</x:v>
      </x:c>
      <x:c r="H27" s="10" t="str">
        <x:v>高级开发人员</x:v>
      </x:c>
      <x:c r="I27" s="10" t="str">
        <x:v>是</x:v>
      </x:c>
      <x:c r="J27" s="20" t="n">
        <x:v>46295</x:v>
      </x:c>
      <x:c r="K27" s="10" t="n">
        <x:v>13</x:v>
      </x:c>
      <x:c r="L27" s="10" t="str"/>
      <x:c r="M27" s="21" t="str">
        <x:v>待确认</x:v>
      </x:c>
      <x:c r="N27" s="21" t="str"/>
    </x:row>
    <x:row r="28" ht="42" customHeight="1">
      <x:c r="A28" s="10" t="str">
        <x:v>SCH-T021-NORISK</x:v>
      </x:c>
      <x:c r="B28" s="10" t="str">
        <x:v>进度资源Agent</x:v>
      </x:c>
      <x:c r="C28" s="23" t="str">
        <x:v>高</x:v>
      </x:c>
      <x:c r="D28" s="10" t="str">
        <x:v>T021</x:v>
      </x:c>
      <x:c r="E28" s="10" t="str">
        <x:v>延期任务未关联风险登记</x:v>
      </x:c>
      <x:c r="F28" s="18" t="str">
        <x:v>【连续第3期出现】完成内部及外部接口总体架构（T021）已延期，但风险登记册中未提及该任务编号，建议评估是否登记风险。</x:v>
      </x:c>
      <x:c r="G28" s="18" t="str">
        <x:v>结合延期原因评估是否新增风险条目并指定应对措施。</x:v>
      </x:c>
      <x:c r="H28" s="10" t="str">
        <x:v>高级开发人员</x:v>
      </x:c>
      <x:c r="I28" s="10" t="str">
        <x:v>否</x:v>
      </x:c>
      <x:c r="J28" s="20" t="n">
        <x:v>46295</x:v>
      </x:c>
      <x:c r="K28" s="10" t="n">
        <x:v>3</x:v>
      </x:c>
      <x:c r="L28" s="10" t="str"/>
      <x:c r="M28" s="21" t="str">
        <x:v>待确认</x:v>
      </x:c>
      <x:c r="N28" s="21" t="str"/>
    </x:row>
    <x:row r="29" ht="42" customHeight="1">
      <x:c r="A29" s="10" t="str">
        <x:v>SCH-T022-OVERDUE</x:v>
      </x:c>
      <x:c r="B29" s="10" t="str">
        <x:v>进度资源Agent</x:v>
      </x:c>
      <x:c r="C29" s="22" t="str">
        <x:v>重大</x:v>
      </x:c>
      <x:c r="D29" s="10" t="str">
        <x:v>T022</x:v>
      </x:c>
      <x:c r="E29" s="10" t="str">
        <x:v>任务已延期</x:v>
      </x:c>
      <x:c r="F29" s="18" t="str">
        <x:v>【连续第13期出现】完成身份、权限、审计与数据安全设计计划完成日为2026-08-30，当前状态为待确认。</x:v>
      </x:c>
      <x:c r="G29" s="18" t="str">
        <x:v>确认实际状态、纠偏计划、承诺日期和完成证据。</x:v>
      </x:c>
      <x:c r="H29" s="10" t="str">
        <x:v>技术经理</x:v>
      </x:c>
      <x:c r="I29" s="10" t="str">
        <x:v>是</x:v>
      </x:c>
      <x:c r="J29" s="20" t="n">
        <x:v>46295</x:v>
      </x:c>
      <x:c r="K29" s="10" t="n">
        <x:v>13</x:v>
      </x:c>
      <x:c r="L29" s="10" t="str"/>
      <x:c r="M29" s="21" t="str">
        <x:v>待确认</x:v>
      </x:c>
      <x:c r="N29" s="21" t="str"/>
    </x:row>
    <x:row r="30" ht="42" customHeight="1">
      <x:c r="A30" s="10" t="str">
        <x:v>SCH-T022-NORISK</x:v>
      </x:c>
      <x:c r="B30" s="10" t="str">
        <x:v>进度资源Agent</x:v>
      </x:c>
      <x:c r="C30" s="23" t="str">
        <x:v>高</x:v>
      </x:c>
      <x:c r="D30" s="10" t="str">
        <x:v>T022</x:v>
      </x:c>
      <x:c r="E30" s="10" t="str">
        <x:v>延期任务未关联风险登记</x:v>
      </x:c>
      <x:c r="F30" s="18" t="str">
        <x:v>【连续第3期出现】完成身份、权限、审计与数据安全设计（T022）已延期，但风险登记册中未提及该任务编号，建议评估是否登记风险。</x:v>
      </x:c>
      <x:c r="G30" s="18" t="str">
        <x:v>结合延期原因评估是否新增风险条目并指定应对措施。</x:v>
      </x:c>
      <x:c r="H30" s="10" t="str">
        <x:v>技术经理</x:v>
      </x:c>
      <x:c r="I30" s="10" t="str">
        <x:v>否</x:v>
      </x:c>
      <x:c r="J30" s="20" t="n">
        <x:v>46295</x:v>
      </x:c>
      <x:c r="K30" s="10" t="n">
        <x:v>3</x:v>
      </x:c>
      <x:c r="L30" s="10" t="str"/>
      <x:c r="M30" s="21" t="str">
        <x:v>待确认</x:v>
      </x:c>
      <x:c r="N30" s="21" t="str"/>
    </x:row>
    <x:row r="31" ht="42" customHeight="1">
      <x:c r="A31" s="10" t="str">
        <x:v>SCH-T023-OVERDUE</x:v>
      </x:c>
      <x:c r="B31" s="10" t="str">
        <x:v>进度资源Agent</x:v>
      </x:c>
      <x:c r="C31" s="22" t="str">
        <x:v>重大</x:v>
      </x:c>
      <x:c r="D31" s="10" t="str">
        <x:v>T023</x:v>
      </x:c>
      <x:c r="E31" s="10" t="str">
        <x:v>任务已延期</x:v>
      </x:c>
      <x:c r="F31" s="18" t="str">
        <x:v>【连续第13期出现】完成环境、网络、容灾和DevOps设计计划完成日为2026-09-14，当前状态为待确认。</x:v>
      </x:c>
      <x:c r="G31" s="18" t="str">
        <x:v>确认实际状态、纠偏计划、承诺日期和完成证据。</x:v>
      </x:c>
      <x:c r="H31" s="10" t="str">
        <x:v>配置人员</x:v>
      </x:c>
      <x:c r="I31" s="10" t="str">
        <x:v>是</x:v>
      </x:c>
      <x:c r="J31" s="20" t="n">
        <x:v>46295</x:v>
      </x:c>
      <x:c r="K31" s="10" t="n">
        <x:v>13</x:v>
      </x:c>
      <x:c r="L31" s="10" t="str"/>
      <x:c r="M31" s="21" t="str">
        <x:v>待确认</x:v>
      </x:c>
      <x:c r="N31" s="21" t="str"/>
    </x:row>
    <x:row r="32" ht="42" customHeight="1">
      <x:c r="A32" s="10" t="str">
        <x:v>SCH-T023-NORISK</x:v>
      </x:c>
      <x:c r="B32" s="10" t="str">
        <x:v>进度资源Agent</x:v>
      </x:c>
      <x:c r="C32" s="23" t="str">
        <x:v>高</x:v>
      </x:c>
      <x:c r="D32" s="10" t="str">
        <x:v>T023</x:v>
      </x:c>
      <x:c r="E32" s="10" t="str">
        <x:v>延期任务未关联风险登记</x:v>
      </x:c>
      <x:c r="F32" s="18" t="str">
        <x:v>【连续第3期出现】完成环境、网络、容灾和DevOps设计（T023）已延期，但风险登记册中未提及该任务编号，建议评估是否登记风险。</x:v>
      </x:c>
      <x:c r="G32" s="18" t="str">
        <x:v>结合延期原因评估是否新增风险条目并指定应对措施。</x:v>
      </x:c>
      <x:c r="H32" s="10" t="str">
        <x:v>配置人员</x:v>
      </x:c>
      <x:c r="I32" s="10" t="str">
        <x:v>否</x:v>
      </x:c>
      <x:c r="J32" s="20" t="n">
        <x:v>46295</x:v>
      </x:c>
      <x:c r="K32" s="10" t="n">
        <x:v>3</x:v>
      </x:c>
      <x:c r="L32" s="10" t="str"/>
      <x:c r="M32" s="21" t="str">
        <x:v>待确认</x:v>
      </x:c>
      <x:c r="N32" s="21" t="str"/>
    </x:row>
    <x:row r="33" ht="42" customHeight="1">
      <x:c r="A33" s="10" t="str">
        <x:v>SCH-T024-DUE14</x:v>
      </x:c>
      <x:c r="B33" s="10" t="str">
        <x:v>进度资源Agent</x:v>
      </x:c>
      <x:c r="C33" s="23" t="str">
        <x:v>高</x:v>
      </x:c>
      <x:c r="D33" s="10" t="str">
        <x:v>T024</x:v>
      </x:c>
      <x:c r="E33" s="10" t="str">
        <x:v>任务14天内到期</x:v>
      </x:c>
      <x:c r="F33" s="18" t="str">
        <x:v>【连续第13期出现】汇编总体技术架构并完成基线评审将在2026-09-30到期，当前状态为进行中。</x:v>
      </x:c>
      <x:c r="G33" s="18" t="str">
        <x:v>确认交付物、验收人和按期完成证据。</x:v>
      </x:c>
      <x:c r="H33" s="10" t="str">
        <x:v>技术经理</x:v>
      </x:c>
      <x:c r="I33" s="10" t="str">
        <x:v>否</x:v>
      </x:c>
      <x:c r="J33" s="20" t="n">
        <x:v>46295</x:v>
      </x:c>
      <x:c r="K33" s="10" t="n">
        <x:v>13</x:v>
      </x:c>
      <x:c r="L33" s="10" t="str"/>
      <x:c r="M33" s="21" t="str">
        <x:v>待确认</x:v>
      </x:c>
      <x:c r="N33" s="21" t="str"/>
    </x:row>
    <x:row r="34" ht="42" customHeight="1">
      <x:c r="A34" s="10" t="str">
        <x:v>SCH-T025-OVERDUE</x:v>
      </x:c>
      <x:c r="B34" s="10" t="str">
        <x:v>进度资源Agent</x:v>
      </x:c>
      <x:c r="C34" s="22" t="str">
        <x:v>重大</x:v>
      </x:c>
      <x:c r="D34" s="10" t="str">
        <x:v>T025</x:v>
      </x:c>
      <x:c r="E34" s="10" t="str">
        <x:v>任务已延期</x:v>
      </x:c>
      <x:c r="F34" s="18" t="str">
        <x:v>【连续第13期出现】编制CA、电子文档、BI报表POC方案与评分标准计划完成日为2026-08-19，当前状态为待确认。</x:v>
      </x:c>
      <x:c r="G34" s="18" t="str">
        <x:v>确认实际状态、纠偏计划、承诺日期和完成证据。</x:v>
      </x:c>
      <x:c r="H34" s="10" t="str">
        <x:v>技术经理</x:v>
      </x:c>
      <x:c r="I34" s="10" t="str">
        <x:v>是</x:v>
      </x:c>
      <x:c r="J34" s="20" t="n">
        <x:v>46295</x:v>
      </x:c>
      <x:c r="K34" s="10" t="n">
        <x:v>13</x:v>
      </x:c>
      <x:c r="L34" s="10" t="str"/>
      <x:c r="M34" s="21" t="str">
        <x:v>待确认</x:v>
      </x:c>
      <x:c r="N34" s="21" t="str"/>
    </x:row>
    <x:row r="35" ht="42" customHeight="1">
      <x:c r="A35" s="10" t="str">
        <x:v>SCH-T025-NORISK</x:v>
      </x:c>
      <x:c r="B35" s="10" t="str">
        <x:v>进度资源Agent</x:v>
      </x:c>
      <x:c r="C35" s="23" t="str">
        <x:v>高</x:v>
      </x:c>
      <x:c r="D35" s="10" t="str">
        <x:v>T025</x:v>
      </x:c>
      <x:c r="E35" s="10" t="str">
        <x:v>延期任务未关联风险登记</x:v>
      </x:c>
      <x:c r="F35" s="18" t="str">
        <x:v>【连续第3期出现】编制CA、电子文档、BI报表POC方案与评分标准（T025）已延期，但风险登记册中未提及该任务编号，建议评估是否登记风险。</x:v>
      </x:c>
      <x:c r="G35" s="18" t="str">
        <x:v>结合延期原因评估是否新增风险条目并指定应对措施。</x:v>
      </x:c>
      <x:c r="H35" s="10" t="str">
        <x:v>技术经理</x:v>
      </x:c>
      <x:c r="I35" s="10" t="str">
        <x:v>否</x:v>
      </x:c>
      <x:c r="J35" s="20" t="n">
        <x:v>46295</x:v>
      </x:c>
      <x:c r="K35" s="10" t="n">
        <x:v>3</x:v>
      </x:c>
      <x:c r="L35" s="10" t="str"/>
      <x:c r="M35" s="21" t="str">
        <x:v>待确认</x:v>
      </x:c>
      <x:c r="N35" s="21" t="str"/>
    </x:row>
    <x:row r="36" ht="42" customHeight="1">
      <x:c r="A36" s="10" t="str">
        <x:v>SCH-T026-OVERDUE</x:v>
      </x:c>
      <x:c r="B36" s="10" t="str">
        <x:v>进度资源Agent</x:v>
      </x:c>
      <x:c r="C36" s="22" t="str">
        <x:v>重大</x:v>
      </x:c>
      <x:c r="D36" s="10" t="str">
        <x:v>T026</x:v>
      </x:c>
      <x:c r="E36" s="10" t="str">
        <x:v>任务已延期</x:v>
      </x:c>
      <x:c r="F36" s="18" t="str">
        <x:v>【连续第13期出现】验证证书签发、身份认证和证书管理计划完成日为2026-08-24，当前状态为待确认。</x:v>
      </x:c>
      <x:c r="G36" s="18" t="str">
        <x:v>确认实际状态、纠偏计划、承诺日期和完成证据。</x:v>
      </x:c>
      <x:c r="H36" s="10" t="str">
        <x:v>高级开发人员</x:v>
      </x:c>
      <x:c r="I36" s="10" t="str">
        <x:v>是</x:v>
      </x:c>
      <x:c r="J36" s="20" t="n">
        <x:v>46295</x:v>
      </x:c>
      <x:c r="K36" s="10" t="n">
        <x:v>13</x:v>
      </x:c>
      <x:c r="L36" s="10" t="str"/>
      <x:c r="M36" s="21" t="str">
        <x:v>待确认</x:v>
      </x:c>
      <x:c r="N36" s="21" t="str"/>
    </x:row>
    <x:row r="37" ht="42" customHeight="1">
      <x:c r="A37" s="10" t="str">
        <x:v>SCH-T026-NORISK</x:v>
      </x:c>
      <x:c r="B37" s="10" t="str">
        <x:v>进度资源Agent</x:v>
      </x:c>
      <x:c r="C37" s="23" t="str">
        <x:v>高</x:v>
      </x:c>
      <x:c r="D37" s="10" t="str">
        <x:v>T026</x:v>
      </x:c>
      <x:c r="E37" s="10" t="str">
        <x:v>延期任务未关联风险登记</x:v>
      </x:c>
      <x:c r="F37" s="18" t="str">
        <x:v>【连续第3期出现】验证证书签发、身份认证和证书管理（T026）已延期，但风险登记册中未提及该任务编号，建议评估是否登记风险。</x:v>
      </x:c>
      <x:c r="G37" s="18" t="str">
        <x:v>结合延期原因评估是否新增风险条目并指定应对措施。</x:v>
      </x:c>
      <x:c r="H37" s="10" t="str">
        <x:v>高级开发人员</x:v>
      </x:c>
      <x:c r="I37" s="10" t="str">
        <x:v>否</x:v>
      </x:c>
      <x:c r="J37" s="20" t="n">
        <x:v>46295</x:v>
      </x:c>
      <x:c r="K37" s="10" t="n">
        <x:v>3</x:v>
      </x:c>
      <x:c r="L37" s="10" t="str"/>
      <x:c r="M37" s="21" t="str">
        <x:v>待确认</x:v>
      </x:c>
      <x:c r="N37" s="21" t="str"/>
    </x:row>
    <x:row r="38" ht="42" customHeight="1">
      <x:c r="A38" s="10" t="str">
        <x:v>SCH-T027-OVERDUE</x:v>
      </x:c>
      <x:c r="B38" s="10" t="str">
        <x:v>进度资源Agent</x:v>
      </x:c>
      <x:c r="C38" s="22" t="str">
        <x:v>重大</x:v>
      </x:c>
      <x:c r="D38" s="10" t="str">
        <x:v>T027</x:v>
      </x:c>
      <x:c r="E38" s="10" t="str">
        <x:v>任务已延期</x:v>
      </x:c>
      <x:c r="F38" s="18" t="str">
        <x:v>【连续第13期出现】验证电子签名、验签、时间戳和审计追溯计划完成日为2026-08-29，当前状态为待确认。</x:v>
      </x:c>
      <x:c r="G38" s="18" t="str">
        <x:v>确认实际状态、纠偏计划、承诺日期和完成证据。</x:v>
      </x:c>
      <x:c r="H38" s="10" t="str">
        <x:v>高级测试人员、中级测试人员</x:v>
      </x:c>
      <x:c r="I38" s="10" t="str">
        <x:v>是</x:v>
      </x:c>
      <x:c r="J38" s="20" t="n">
        <x:v>46295</x:v>
      </x:c>
      <x:c r="K38" s="10" t="n">
        <x:v>13</x:v>
      </x:c>
      <x:c r="L38" s="10" t="str"/>
      <x:c r="M38" s="21" t="str">
        <x:v>待确认</x:v>
      </x:c>
      <x:c r="N38" s="21" t="str"/>
    </x:row>
    <x:row r="39" ht="42" customHeight="1">
      <x:c r="A39" s="10" t="str">
        <x:v>SCH-T027-NORISK</x:v>
      </x:c>
      <x:c r="B39" s="10" t="str">
        <x:v>进度资源Agent</x:v>
      </x:c>
      <x:c r="C39" s="23" t="str">
        <x:v>高</x:v>
      </x:c>
      <x:c r="D39" s="10" t="str">
        <x:v>T027</x:v>
      </x:c>
      <x:c r="E39" s="10" t="str">
        <x:v>延期任务未关联风险登记</x:v>
      </x:c>
      <x:c r="F39" s="18" t="str">
        <x:v>【连续第3期出现】验证电子签名、验签、时间戳和审计追溯（T027）已延期，但风险登记册中未提及该任务编号，建议评估是否登记风险。</x:v>
      </x:c>
      <x:c r="G39" s="18" t="str">
        <x:v>结合延期原因评估是否新增风险条目并指定应对措施。</x:v>
      </x:c>
      <x:c r="H39" s="10" t="str">
        <x:v>高级测试人员、中级测试人员</x:v>
      </x:c>
      <x:c r="I39" s="10" t="str">
        <x:v>否</x:v>
      </x:c>
      <x:c r="J39" s="20" t="n">
        <x:v>46295</x:v>
      </x:c>
      <x:c r="K39" s="10" t="n">
        <x:v>3</x:v>
      </x:c>
      <x:c r="L39" s="10" t="str"/>
      <x:c r="M39" s="21" t="str">
        <x:v>待确认</x:v>
      </x:c>
      <x:c r="N39" s="21" t="str"/>
    </x:row>
    <x:row r="40" ht="42" customHeight="1">
      <x:c r="A40" s="10" t="str">
        <x:v>SCH-T028-OVERDUE</x:v>
      </x:c>
      <x:c r="B40" s="10" t="str">
        <x:v>进度资源Agent</x:v>
      </x:c>
      <x:c r="C40" s="22" t="str">
        <x:v>重大</x:v>
      </x:c>
      <x:c r="D40" s="10" t="str">
        <x:v>T028</x:v>
      </x:c>
      <x:c r="E40" s="10" t="str">
        <x:v>任务已延期</x:v>
      </x:c>
      <x:c r="F40" s="18" t="str">
        <x:v>【连续第13期出现】验证模板生成、在线预览和格式转换计划完成日为2026-09-04，当前状态为待确认。</x:v>
      </x:c>
      <x:c r="G40" s="18" t="str">
        <x:v>确认实际状态、纠偏计划、承诺日期和完成证据。</x:v>
      </x:c>
      <x:c r="H40" s="10" t="str">
        <x:v>中级开发人员</x:v>
      </x:c>
      <x:c r="I40" s="10" t="str">
        <x:v>是</x:v>
      </x:c>
      <x:c r="J40" s="20" t="n">
        <x:v>46295</x:v>
      </x:c>
      <x:c r="K40" s="10" t="n">
        <x:v>13</x:v>
      </x:c>
      <x:c r="L40" s="10" t="str"/>
      <x:c r="M40" s="21" t="str">
        <x:v>待确认</x:v>
      </x:c>
      <x:c r="N40" s="21" t="str"/>
    </x:row>
    <x:row r="41" ht="42" customHeight="1">
      <x:c r="A41" s="10" t="str">
        <x:v>SCH-T028-NORISK</x:v>
      </x:c>
      <x:c r="B41" s="10" t="str">
        <x:v>进度资源Agent</x:v>
      </x:c>
      <x:c r="C41" s="23" t="str">
        <x:v>高</x:v>
      </x:c>
      <x:c r="D41" s="10" t="str">
        <x:v>T028</x:v>
      </x:c>
      <x:c r="E41" s="10" t="str">
        <x:v>延期任务未关联风险登记</x:v>
      </x:c>
      <x:c r="F41" s="18" t="str">
        <x:v>【连续第3期出现】验证模板生成、在线预览和格式转换（T028）已延期，但风险登记册中未提及该任务编号，建议评估是否登记风险。</x:v>
      </x:c>
      <x:c r="G41" s="18" t="str">
        <x:v>结合延期原因评估是否新增风险条目并指定应对措施。</x:v>
      </x:c>
      <x:c r="H41" s="10" t="str">
        <x:v>中级开发人员</x:v>
      </x:c>
      <x:c r="I41" s="10" t="str">
        <x:v>否</x:v>
      </x:c>
      <x:c r="J41" s="20" t="n">
        <x:v>46295</x:v>
      </x:c>
      <x:c r="K41" s="10" t="n">
        <x:v>3</x:v>
      </x:c>
      <x:c r="L41" s="10" t="str"/>
      <x:c r="M41" s="21" t="str">
        <x:v>待确认</x:v>
      </x:c>
      <x:c r="N41" s="21" t="str"/>
    </x:row>
    <x:row r="42" ht="42" customHeight="1">
      <x:c r="A42" s="10" t="str">
        <x:v>SCH-T029-OVERDUE</x:v>
      </x:c>
      <x:c r="B42" s="10" t="str">
        <x:v>进度资源Agent</x:v>
      </x:c>
      <x:c r="C42" s="22" t="str">
        <x:v>重大</x:v>
      </x:c>
      <x:c r="D42" s="10" t="str">
        <x:v>T029</x:v>
      </x:c>
      <x:c r="E42" s="10" t="str">
        <x:v>任务已延期</x:v>
      </x:c>
      <x:c r="F42" s="18" t="str">
        <x:v>【连续第13期出现】验证水印、权限控制、归档和大文件性能计划完成日为2026-09-09，当前状态为待确认。</x:v>
      </x:c>
      <x:c r="G42" s="18" t="str">
        <x:v>确认实际状态、纠偏计划、承诺日期和完成证据。</x:v>
      </x:c>
      <x:c r="H42" s="10" t="str">
        <x:v>高级测试人员、中级测试人员</x:v>
      </x:c>
      <x:c r="I42" s="10" t="str">
        <x:v>是</x:v>
      </x:c>
      <x:c r="J42" s="20" t="n">
        <x:v>46295</x:v>
      </x:c>
      <x:c r="K42" s="10" t="n">
        <x:v>13</x:v>
      </x:c>
      <x:c r="L42" s="10" t="str"/>
      <x:c r="M42" s="21" t="str">
        <x:v>待确认</x:v>
      </x:c>
      <x:c r="N42" s="21" t="str"/>
    </x:row>
    <x:row r="43" ht="42" customHeight="1">
      <x:c r="A43" s="10" t="str">
        <x:v>SCH-T029-NORISK</x:v>
      </x:c>
      <x:c r="B43" s="10" t="str">
        <x:v>进度资源Agent</x:v>
      </x:c>
      <x:c r="C43" s="23" t="str">
        <x:v>高</x:v>
      </x:c>
      <x:c r="D43" s="10" t="str">
        <x:v>T029</x:v>
      </x:c>
      <x:c r="E43" s="10" t="str">
        <x:v>延期任务未关联风险登记</x:v>
      </x:c>
      <x:c r="F43" s="18" t="str">
        <x:v>【连续第3期出现】验证水印、权限控制、归档和大文件性能（T029）已延期，但风险登记册中未提及该任务编号，建议评估是否登记风险。</x:v>
      </x:c>
      <x:c r="G43" s="18" t="str">
        <x:v>结合延期原因评估是否新增风险条目并指定应对措施。</x:v>
      </x:c>
      <x:c r="H43" s="10" t="str">
        <x:v>高级测试人员、中级测试人员</x:v>
      </x:c>
      <x:c r="I43" s="10" t="str">
        <x:v>否</x:v>
      </x:c>
      <x:c r="J43" s="20" t="n">
        <x:v>46295</x:v>
      </x:c>
      <x:c r="K43" s="10" t="n">
        <x:v>3</x:v>
      </x:c>
      <x:c r="L43" s="10" t="str"/>
      <x:c r="M43" s="21" t="str">
        <x:v>待确认</x:v>
      </x:c>
      <x:c r="N43" s="21" t="str"/>
    </x:row>
    <x:row r="44" ht="42" customHeight="1">
      <x:c r="A44" s="10" t="str">
        <x:v>SCH-T030-OVERDUE</x:v>
      </x:c>
      <x:c r="B44" s="10" t="str">
        <x:v>进度资源Agent</x:v>
      </x:c>
      <x:c r="C44" s="22" t="str">
        <x:v>重大</x:v>
      </x:c>
      <x:c r="D44" s="10" t="str">
        <x:v>T030</x:v>
      </x:c>
      <x:c r="E44" s="10" t="str">
        <x:v>任务已延期</x:v>
      </x:c>
      <x:c r="F44" s="18" t="str">
        <x:v>【连续第13期出现】验证数据接入、指标模型和经营报表计划完成日为2026-09-14，当前状态为待确认。</x:v>
      </x:c>
      <x:c r="G44" s="18" t="str">
        <x:v>确认实际状态、纠偏计划、承诺日期和完成证据。</x:v>
      </x:c>
      <x:c r="H44" s="10" t="str">
        <x:v>高级开发人员</x:v>
      </x:c>
      <x:c r="I44" s="10" t="str">
        <x:v>是</x:v>
      </x:c>
      <x:c r="J44" s="20" t="n">
        <x:v>46295</x:v>
      </x:c>
      <x:c r="K44" s="10" t="n">
        <x:v>13</x:v>
      </x:c>
      <x:c r="L44" s="10" t="str"/>
      <x:c r="M44" s="21" t="str">
        <x:v>待确认</x:v>
      </x:c>
      <x:c r="N44" s="21" t="str"/>
    </x:row>
    <x:row r="45" ht="42" customHeight="1">
      <x:c r="A45" s="10" t="str">
        <x:v>SCH-T030-NORISK</x:v>
      </x:c>
      <x:c r="B45" s="10" t="str">
        <x:v>进度资源Agent</x:v>
      </x:c>
      <x:c r="C45" s="23" t="str">
        <x:v>高</x:v>
      </x:c>
      <x:c r="D45" s="10" t="str">
        <x:v>T030</x:v>
      </x:c>
      <x:c r="E45" s="10" t="str">
        <x:v>延期任务未关联风险登记</x:v>
      </x:c>
      <x:c r="F45" s="18" t="str">
        <x:v>【连续第3期出现】验证数据接入、指标模型和经营报表（T030）已延期，但风险登记册中未提及该任务编号，建议评估是否登记风险。</x:v>
      </x:c>
      <x:c r="G45" s="18" t="str">
        <x:v>结合延期原因评估是否新增风险条目并指定应对措施。</x:v>
      </x:c>
      <x:c r="H45" s="10" t="str">
        <x:v>高级开发人员</x:v>
      </x:c>
      <x:c r="I45" s="10" t="str">
        <x:v>否</x:v>
      </x:c>
      <x:c r="J45" s="20" t="n">
        <x:v>46295</x:v>
      </x:c>
      <x:c r="K45" s="10" t="n">
        <x:v>3</x:v>
      </x:c>
      <x:c r="L45" s="10" t="str"/>
      <x:c r="M45" s="21" t="str">
        <x:v>待确认</x:v>
      </x:c>
      <x:c r="N45" s="21" t="str"/>
    </x:row>
    <x:row r="46" ht="42" customHeight="1">
      <x:c r="A46" s="10" t="str">
        <x:v>SCH-T031-OVERDUE</x:v>
      </x:c>
      <x:c r="B46" s="10" t="str">
        <x:v>进度资源Agent</x:v>
      </x:c>
      <x:c r="C46" s="22" t="str">
        <x:v>重大</x:v>
      </x:c>
      <x:c r="D46" s="10" t="str">
        <x:v>T031</x:v>
      </x:c>
      <x:c r="E46" s="10" t="str">
        <x:v>任务已延期</x:v>
      </x:c>
      <x:c r="F46" s="18" t="str">
        <x:v>【连续第7期出现】验证权限、钻取、导出和查询性能计划完成日为2026-09-19，当前状态为进行中。</x:v>
      </x:c>
      <x:c r="G46" s="18" t="str">
        <x:v>确认实际状态、纠偏计划、承诺日期和完成证据。</x:v>
      </x:c>
      <x:c r="H46" s="10" t="str">
        <x:v>高级测试人员、中级测试人员</x:v>
      </x:c>
      <x:c r="I46" s="10" t="str">
        <x:v>是</x:v>
      </x:c>
      <x:c r="J46" s="20" t="n">
        <x:v>46295</x:v>
      </x:c>
      <x:c r="K46" s="10" t="n">
        <x:v>7</x:v>
      </x:c>
      <x:c r="L46" s="10" t="str"/>
      <x:c r="M46" s="21" t="str">
        <x:v>待确认</x:v>
      </x:c>
      <x:c r="N46" s="21" t="str"/>
    </x:row>
    <x:row r="47" ht="42" customHeight="1">
      <x:c r="A47" s="10" t="str">
        <x:v>SCH-T031-NORISK</x:v>
      </x:c>
      <x:c r="B47" s="10" t="str">
        <x:v>进度资源Agent</x:v>
      </x:c>
      <x:c r="C47" s="23" t="str">
        <x:v>高</x:v>
      </x:c>
      <x:c r="D47" s="10" t="str">
        <x:v>T031</x:v>
      </x:c>
      <x:c r="E47" s="10" t="str">
        <x:v>延期任务未关联风险登记</x:v>
      </x:c>
      <x:c r="F47" s="18" t="str">
        <x:v>【连续第3期出现】验证权限、钻取、导出和查询性能（T031）已延期，但风险登记册中未提及该任务编号，建议评估是否登记风险。</x:v>
      </x:c>
      <x:c r="G47" s="18" t="str">
        <x:v>结合延期原因评估是否新增风险条目并指定应对措施。</x:v>
      </x:c>
      <x:c r="H47" s="10" t="str">
        <x:v>高级测试人员、中级测试人员</x:v>
      </x:c>
      <x:c r="I47" s="10" t="str">
        <x:v>否</x:v>
      </x:c>
      <x:c r="J47" s="20" t="n">
        <x:v>46295</x:v>
      </x:c>
      <x:c r="K47" s="10" t="n">
        <x:v>3</x:v>
      </x:c>
      <x:c r="L47" s="10" t="str"/>
      <x:c r="M47" s="21" t="str">
        <x:v>待确认</x:v>
      </x:c>
      <x:c r="N47" s="21" t="str"/>
    </x:row>
    <x:row r="48" ht="42" customHeight="1">
      <x:c r="A48" s="10" t="str">
        <x:v>SCH-T032-OVERDUE</x:v>
      </x:c>
      <x:c r="B48" s="10" t="str">
        <x:v>进度资源Agent</x:v>
      </x:c>
      <x:c r="C48" s="23" t="str">
        <x:v>高</x:v>
      </x:c>
      <x:c r="D48" s="10" t="str">
        <x:v>T032</x:v>
      </x:c>
      <x:c r="E48" s="10" t="str">
        <x:v>任务已延期</x:v>
      </x:c>
      <x:c r="F48" s="18" t="str">
        <x:v>汇总问题清单、适配结论和产品选型建议计划完成日为2026-09-25，当前状态为未开始。</x:v>
      </x:c>
      <x:c r="G48" s="18" t="str">
        <x:v>确认实际状态、纠偏计划、承诺日期和完成证据。</x:v>
      </x:c>
      <x:c r="H48" s="10" t="str">
        <x:v>项目经理</x:v>
      </x:c>
      <x:c r="I48" s="10" t="str">
        <x:v>是</x:v>
      </x:c>
      <x:c r="J48" s="20" t="n">
        <x:v>46295</x:v>
      </x:c>
      <x:c r="K48" s="10" t="n">
        <x:v>1</x:v>
      </x:c>
      <x:c r="L48" s="10" t="str"/>
      <x:c r="M48" s="21" t="str">
        <x:v>待确认</x:v>
      </x:c>
      <x:c r="N48" s="21" t="str"/>
    </x:row>
    <x:row r="49" ht="42" customHeight="1">
      <x:c r="A49" s="10" t="str">
        <x:v>SCH-T032-NORISK</x:v>
      </x:c>
      <x:c r="B49" s="10" t="str">
        <x:v>进度资源Agent</x:v>
      </x:c>
      <x:c r="C49" s="21" t="str">
        <x:v>中</x:v>
      </x:c>
      <x:c r="D49" s="10" t="str">
        <x:v>T032</x:v>
      </x:c>
      <x:c r="E49" s="10" t="str">
        <x:v>延期任务未关联风险登记</x:v>
      </x:c>
      <x:c r="F49" s="18" t="str">
        <x:v>汇总问题清单、适配结论和产品选型建议（T032）已延期，但风险登记册中未提及该任务编号，建议评估是否登记风险。</x:v>
      </x:c>
      <x:c r="G49" s="18" t="str">
        <x:v>结合延期原因评估是否新增风险条目并指定应对措施。</x:v>
      </x:c>
      <x:c r="H49" s="10" t="str">
        <x:v>项目经理</x:v>
      </x:c>
      <x:c r="I49" s="10" t="str">
        <x:v>否</x:v>
      </x:c>
      <x:c r="J49" s="20" t="n">
        <x:v>46295</x:v>
      </x:c>
      <x:c r="K49" s="10" t="n">
        <x:v>1</x:v>
      </x:c>
      <x:c r="L49" s="10" t="str"/>
      <x:c r="M49" s="21" t="str">
        <x:v>待确认</x:v>
      </x:c>
      <x:c r="N49" s="21" t="str"/>
    </x:row>
    <x:row r="50" ht="42" customHeight="1">
      <x:c r="A50" s="10" t="str">
        <x:v>SCH-T033-DUE14</x:v>
      </x:c>
      <x:c r="B50" s="10" t="str">
        <x:v>进度资源Agent</x:v>
      </x:c>
      <x:c r="C50" s="23" t="str">
        <x:v>高</x:v>
      </x:c>
      <x:c r="D50" s="10" t="str">
        <x:v>T033</x:v>
      </x:c>
      <x:c r="E50" s="10" t="str">
        <x:v>任务14天内到期</x:v>
      </x:c>
      <x:c r="F50" s="18" t="str">
        <x:v>【连续第13期出现】编制并审批项目章程将在2026-10-02到期，当前状态为未开始。</x:v>
      </x:c>
      <x:c r="G50" s="18" t="str">
        <x:v>确认交付物、验收人和按期完成证据。</x:v>
      </x:c>
      <x:c r="H50" s="10" t="str">
        <x:v>项目集经理</x:v>
      </x:c>
      <x:c r="I50" s="10" t="str">
        <x:v>否</x:v>
      </x:c>
      <x:c r="J50" s="20" t="n">
        <x:v>46295</x:v>
      </x:c>
      <x:c r="K50" s="10" t="n">
        <x:v>13</x:v>
      </x:c>
      <x:c r="L50" s="10" t="str"/>
      <x:c r="M50" s="21" t="str">
        <x:v>待确认</x:v>
      </x:c>
      <x:c r="N50" s="21" t="str"/>
    </x:row>
    <x:row r="51" ht="42" customHeight="1">
      <x:c r="A51" s="10" t="str">
        <x:v>SCH-T034-DUE14</x:v>
      </x:c>
      <x:c r="B51" s="10" t="str">
        <x:v>进度资源Agent</x:v>
      </x:c>
      <x:c r="C51" s="23" t="str">
        <x:v>高</x:v>
      </x:c>
      <x:c r="D51" s="10" t="str">
        <x:v>T034</x:v>
      </x:c>
      <x:c r="E51" s="10" t="str">
        <x:v>任务14天内到期</x:v>
      </x:c>
      <x:c r="F51" s="18" t="str">
        <x:v>【连续第7期出现】编制范围、里程碑和主进度计划将在2026-10-05到期，当前状态为未开始。</x:v>
      </x:c>
      <x:c r="G51" s="18" t="str">
        <x:v>确认交付物、验收人和按期完成证据。</x:v>
      </x:c>
      <x:c r="H51" s="10" t="str">
        <x:v>项目经理</x:v>
      </x:c>
      <x:c r="I51" s="10" t="str">
        <x:v>否</x:v>
      </x:c>
      <x:c r="J51" s="20" t="n">
        <x:v>46295</x:v>
      </x:c>
      <x:c r="K51" s="10" t="n">
        <x:v>7</x:v>
      </x:c>
      <x:c r="L51" s="10" t="str"/>
      <x:c r="M51" s="21" t="str">
        <x:v>待确认</x:v>
      </x:c>
      <x:c r="N51" s="21" t="str"/>
    </x:row>
    <x:row r="52" ht="42" customHeight="1">
      <x:c r="A52" s="10" t="str">
        <x:v>SCH-T035-DUE14</x:v>
      </x:c>
      <x:c r="B52" s="10" t="str">
        <x:v>进度资源Agent</x:v>
      </x:c>
      <x:c r="C52" s="23" t="str">
        <x:v>高</x:v>
      </x:c>
      <x:c r="D52" s="10" t="str">
        <x:v>T035</x:v>
      </x:c>
      <x:c r="E52" s="10" t="str">
        <x:v>任务14天内到期</x:v>
      </x:c>
      <x:c r="F52" s="18" t="str">
        <x:v>【连续第6期出现】建立项目组织、RACI与沟通机制将在2026-10-08到期，当前状态为未开始。</x:v>
      </x:c>
      <x:c r="G52" s="18" t="str">
        <x:v>确认交付物、验收人和按期完成证据。</x:v>
      </x:c>
      <x:c r="H52" s="10" t="str">
        <x:v>项目经理</x:v>
      </x:c>
      <x:c r="I52" s="10" t="str">
        <x:v>否</x:v>
      </x:c>
      <x:c r="J52" s="20" t="n">
        <x:v>46295</x:v>
      </x:c>
      <x:c r="K52" s="10" t="n">
        <x:v>6</x:v>
      </x:c>
      <x:c r="L52" s="10" t="str"/>
      <x:c r="M52" s="21" t="str">
        <x:v>待确认</x:v>
      </x:c>
      <x:c r="N52" s="21" t="str"/>
    </x:row>
    <x:row r="53" ht="42" customHeight="1">
      <x:c r="A53" s="10" t="str">
        <x:v>SCH-T036-DUE14</x:v>
      </x:c>
      <x:c r="B53" s="10" t="str">
        <x:v>进度资源Agent</x:v>
      </x:c>
      <x:c r="C53" s="21" t="str">
        <x:v>中</x:v>
      </x:c>
      <x:c r="D53" s="10" t="str">
        <x:v>T036</x:v>
      </x:c>
      <x:c r="E53" s="10" t="str">
        <x:v>任务14天内到期</x:v>
      </x:c>
      <x:c r="F53" s="18" t="str">
        <x:v>确认30人团队投入与阶段资源计划将在2026-10-10到期，当前状态为未开始。</x:v>
      </x:c>
      <x:c r="G53" s="18" t="str">
        <x:v>确认交付物、验收人和按期完成证据。</x:v>
      </x:c>
      <x:c r="H53" s="10" t="str">
        <x:v>项目集经理</x:v>
      </x:c>
      <x:c r="I53" s="10" t="str">
        <x:v>否</x:v>
      </x:c>
      <x:c r="J53" s="20" t="n">
        <x:v>46295</x:v>
      </x:c>
      <x:c r="K53" s="10" t="n">
        <x:v>1</x:v>
      </x:c>
      <x:c r="L53" s="10" t="str"/>
      <x:c r="M53" s="21" t="str">
        <x:v>待确认</x:v>
      </x:c>
      <x:c r="N53" s="21" t="str"/>
    </x:row>
    <x:row r="54" ht="42" customHeight="1">
      <x:c r="A54" s="10" t="str">
        <x:v>SCH-T037-DUE14</x:v>
      </x:c>
      <x:c r="B54" s="10" t="str">
        <x:v>进度资源Agent</x:v>
      </x:c>
      <x:c r="C54" s="21" t="str">
        <x:v>中</x:v>
      </x:c>
      <x:c r="D54" s="10" t="str">
        <x:v>T037</x:v>
      </x:c>
      <x:c r="E54" s="10" t="str">
        <x:v>任务14天内到期</x:v>
      </x:c>
      <x:c r="F54" s="18" t="str">
        <x:v>建立风险、问题、变更和决策台账将在2026-10-13到期，当前状态为未开始。</x:v>
      </x:c>
      <x:c r="G54" s="18" t="str">
        <x:v>确认交付物、验收人和按期完成证据。</x:v>
      </x:c>
      <x:c r="H54" s="10" t="str">
        <x:v>项目经理</x:v>
      </x:c>
      <x:c r="I54" s="10" t="str">
        <x:v>否</x:v>
      </x:c>
      <x:c r="J54" s="20" t="n">
        <x:v>46295</x:v>
      </x:c>
      <x:c r="K54" s="10" t="n">
        <x:v>1</x:v>
      </x:c>
      <x:c r="L54" s="10" t="str"/>
      <x:c r="M54" s="21" t="str">
        <x:v>待确认</x:v>
      </x:c>
      <x:c r="N54" s="21" t="str"/>
    </x:row>
    <x:row r="55" ht="42" customHeight="1">
      <x:c r="A55" s="10" t="str">
        <x:v>RSK-RSK-001</x:v>
      </x:c>
      <x:c r="B55" s="10" t="str">
        <x:v>风险问题Agent</x:v>
      </x:c>
      <x:c r="C55" s="22" t="str">
        <x:v>重大</x:v>
      </x:c>
      <x:c r="D55" s="10" t="str">
        <x:v>RSK-001</x:v>
      </x:c>
      <x:c r="E55" s="10" t="str">
        <x:v>高剩余风险</x:v>
      </x:c>
      <x:c r="F55" s="18" t="str">
        <x:v>【连续第13期出现】CA、电子文档、BI产品POC与选型未按期完成</x:v>
      </x:c>
      <x:c r="G55" s="18" t="str">
        <x:v>复核触发条件、应对行动、剩余风险和升级结论。</x:v>
      </x:c>
      <x:c r="H55" s="10" t="str">
        <x:v>技术经理</x:v>
      </x:c>
      <x:c r="I55" s="10" t="str">
        <x:v>否</x:v>
      </x:c>
      <x:c r="J55" s="20" t="n">
        <x:v>46295</x:v>
      </x:c>
      <x:c r="K55" s="10" t="n">
        <x:v>13</x:v>
      </x:c>
      <x:c r="L55" s="10" t="str"/>
      <x:c r="M55" s="21" t="str">
        <x:v>待确认</x:v>
      </x:c>
      <x:c r="N55" s="21" t="str"/>
    </x:row>
    <x:row r="56" ht="42" customHeight="1">
      <x:c r="A56" s="10" t="str">
        <x:v>RSK-RSK-001-RESPONSE</x:v>
      </x:c>
      <x:c r="B56" s="10" t="str">
        <x:v>风险问题Agent</x:v>
      </x:c>
      <x:c r="C56" s="23" t="str">
        <x:v>高</x:v>
      </x:c>
      <x:c r="D56" s="10" t="str">
        <x:v>RSK-001</x:v>
      </x:c>
      <x:c r="E56" s="10" t="str">
        <x:v>风险应对已逾期</x:v>
      </x:c>
      <x:c r="F56" s="18" t="str">
        <x:v>CA、电子文档、BI产品POC与选型未按期完成最迟应对日期为2026-09-25，当前状态为处理中。</x:v>
      </x:c>
      <x:c r="G56" s="18" t="str">
        <x:v>确认应对行动进展、剩余风险结论和新的承诺日期。</x:v>
      </x:c>
      <x:c r="H56" s="10" t="str">
        <x:v>技术经理</x:v>
      </x:c>
      <x:c r="I56" s="10" t="str">
        <x:v>是</x:v>
      </x:c>
      <x:c r="J56" s="20" t="n">
        <x:v>46295</x:v>
      </x:c>
      <x:c r="K56" s="10" t="n">
        <x:v>1</x:v>
      </x:c>
      <x:c r="L56" s="10" t="str"/>
      <x:c r="M56" s="21" t="str">
        <x:v>待确认</x:v>
      </x:c>
      <x:c r="N56" s="21" t="str"/>
    </x:row>
    <x:row r="57" ht="42" customHeight="1">
      <x:c r="A57" s="10" t="str">
        <x:v>RSK-RSK-002</x:v>
      </x:c>
      <x:c r="B57" s="10" t="str">
        <x:v>风险问题Agent</x:v>
      </x:c>
      <x:c r="C57" s="22" t="str">
        <x:v>重大</x:v>
      </x:c>
      <x:c r="D57" s="10" t="str">
        <x:v>RSK-002</x:v>
      </x:c>
      <x:c r="E57" s="10" t="str">
        <x:v>高剩余风险</x:v>
      </x:c>
      <x:c r="F57" s="18" t="str">
        <x:v>【连续第13期出现】总体技术架构基线未通过评审</x:v>
      </x:c>
      <x:c r="G57" s="18" t="str">
        <x:v>复核触发条件、应对行动、剩余风险和升级结论。</x:v>
      </x:c>
      <x:c r="H57" s="10" t="str">
        <x:v>技术经理</x:v>
      </x:c>
      <x:c r="I57" s="10" t="str">
        <x:v>否</x:v>
      </x:c>
      <x:c r="J57" s="20" t="n">
        <x:v>46295</x:v>
      </x:c>
      <x:c r="K57" s="10" t="n">
        <x:v>13</x:v>
      </x:c>
      <x:c r="L57" s="10" t="str"/>
      <x:c r="M57" s="21" t="str">
        <x:v>待确认</x:v>
      </x:c>
      <x:c r="N57" s="21" t="str"/>
    </x:row>
    <x:row r="58" ht="42" customHeight="1">
      <x:c r="A58" s="10" t="str">
        <x:v>RSK-RSK-003</x:v>
      </x:c>
      <x:c r="B58" s="10" t="str">
        <x:v>风险问题Agent</x:v>
      </x:c>
      <x:c r="C58" s="22" t="str">
        <x:v>重大</x:v>
      </x:c>
      <x:c r="D58" s="10" t="str">
        <x:v>RSK-003</x:v>
      </x:c>
      <x:c r="E58" s="10" t="str">
        <x:v>高剩余风险</x:v>
      </x:c>
      <x:c r="F58" s="18" t="str">
        <x:v>【连续第13期出现】外部系统接口边界与联调窗口不明确</x:v>
      </x:c>
      <x:c r="G58" s="18" t="str">
        <x:v>复核触发条件、应对行动、剩余风险和升级结论。</x:v>
      </x:c>
      <x:c r="H58" s="10" t="str">
        <x:v>项目经理</x:v>
      </x:c>
      <x:c r="I58" s="10" t="str">
        <x:v>否</x:v>
      </x:c>
      <x:c r="J58" s="20" t="n">
        <x:v>46295</x:v>
      </x:c>
      <x:c r="K58" s="10" t="n">
        <x:v>13</x:v>
      </x:c>
      <x:c r="L58" s="10" t="str"/>
      <x:c r="M58" s="21" t="str">
        <x:v>待确认</x:v>
      </x:c>
      <x:c r="N58" s="21" t="str"/>
    </x:row>
    <x:row r="59" ht="42" customHeight="1">
      <x:c r="A59" s="10" t="str">
        <x:v>RSK-RSK-004</x:v>
      </x:c>
      <x:c r="B59" s="10" t="str">
        <x:v>风险问题Agent</x:v>
      </x:c>
      <x:c r="C59" s="22" t="str">
        <x:v>重大</x:v>
      </x:c>
      <x:c r="D59" s="10" t="str">
        <x:v>RSK-004</x:v>
      </x:c>
      <x:c r="E59" s="10" t="str">
        <x:v>重大剩余风险</x:v>
      </x:c>
      <x:c r="F59" s="18" t="str">
        <x:v>【连续第13期出现】安全合规基线未形成或外部产品不满足要求</x:v>
      </x:c>
      <x:c r="G59" s="18" t="str">
        <x:v>复核触发条件、应对行动、剩余风险和升级结论。</x:v>
      </x:c>
      <x:c r="H59" s="10" t="str">
        <x:v>技术经理</x:v>
      </x:c>
      <x:c r="I59" s="10" t="str">
        <x:v>是</x:v>
      </x:c>
      <x:c r="J59" s="20" t="n">
        <x:v>46295</x:v>
      </x:c>
      <x:c r="K59" s="10" t="n">
        <x:v>13</x:v>
      </x:c>
      <x:c r="L59" s="10" t="str"/>
      <x:c r="M59" s="21" t="str">
        <x:v>待确认</x:v>
      </x:c>
      <x:c r="N59" s="21" t="str"/>
    </x:row>
    <x:row r="60" ht="42" customHeight="1">
      <x:c r="A60" s="10" t="str">
        <x:v>RSK-RSK-005</x:v>
      </x:c>
      <x:c r="B60" s="10" t="str">
        <x:v>风险问题Agent</x:v>
      </x:c>
      <x:c r="C60" s="22" t="str">
        <x:v>重大</x:v>
      </x:c>
      <x:c r="D60" s="10" t="str">
        <x:v>RSK-005</x:v>
      </x:c>
      <x:c r="E60" s="10" t="str">
        <x:v>高剩余风险</x:v>
      </x:c>
      <x:c r="F60" s="18" t="str">
        <x:v>【连续第13期出现】30人团队未按阶段计划到位</x:v>
      </x:c>
      <x:c r="G60" s="18" t="str">
        <x:v>复核触发条件、应对行动、剩余风险和升级结论。</x:v>
      </x:c>
      <x:c r="H60" s="10" t="str">
        <x:v>项目集经理</x:v>
      </x:c>
      <x:c r="I60" s="10" t="str">
        <x:v>否</x:v>
      </x:c>
      <x:c r="J60" s="20" t="n">
        <x:v>46295</x:v>
      </x:c>
      <x:c r="K60" s="10" t="n">
        <x:v>13</x:v>
      </x:c>
      <x:c r="L60" s="10" t="str"/>
      <x:c r="M60" s="21" t="str">
        <x:v>待确认</x:v>
      </x:c>
      <x:c r="N60" s="21" t="str"/>
    </x:row>
    <x:row r="61" ht="42" customHeight="1">
      <x:c r="A61" s="10" t="str">
        <x:v>RSK-RSK-006</x:v>
      </x:c>
      <x:c r="B61" s="10" t="str">
        <x:v>风险问题Agent</x:v>
      </x:c>
      <x:c r="C61" s="22" t="str">
        <x:v>重大</x:v>
      </x:c>
      <x:c r="D61" s="10" t="str">
        <x:v>RSK-006</x:v>
      </x:c>
      <x:c r="E61" s="10" t="str">
        <x:v>高剩余风险</x:v>
      </x:c>
      <x:c r="F61" s="18" t="str">
        <x:v>【连续第13期出现】一期范围与需求基线未确认</x:v>
      </x:c>
      <x:c r="G61" s="18" t="str">
        <x:v>复核触发条件、应对行动、剩余风险和升级结论。</x:v>
      </x:c>
      <x:c r="H61" s="10" t="str">
        <x:v>产品经理</x:v>
      </x:c>
      <x:c r="I61" s="10" t="str">
        <x:v>否</x:v>
      </x:c>
      <x:c r="J61" s="20" t="n">
        <x:v>46295</x:v>
      </x:c>
      <x:c r="K61" s="10" t="n">
        <x:v>13</x:v>
      </x:c>
      <x:c r="L61" s="10" t="str"/>
      <x:c r="M61" s="21" t="str">
        <x:v>待确认</x:v>
      </x:c>
      <x:c r="N61" s="21" t="str"/>
    </x:row>
    <x:row r="62" ht="42" customHeight="1">
      <x:c r="A62" s="10" t="str">
        <x:v>RSK-RSK-007</x:v>
      </x:c>
      <x:c r="B62" s="10" t="str">
        <x:v>风险问题Agent</x:v>
      </x:c>
      <x:c r="C62" s="22" t="str">
        <x:v>重大</x:v>
      </x:c>
      <x:c r="D62" s="10" t="str">
        <x:v>RSK-007</x:v>
      </x:c>
      <x:c r="E62" s="10" t="str">
        <x:v>高剩余风险</x:v>
      </x:c>
      <x:c r="F62" s="18" t="str">
        <x:v>【连续第13期出现】历史合同数据质量不足或迁移范围失控</x:v>
      </x:c>
      <x:c r="G62" s="18" t="str">
        <x:v>复核触发条件、应对行动、剩余风险和升级结论。</x:v>
      </x:c>
      <x:c r="H62" s="10" t="str">
        <x:v>产品经理</x:v>
      </x:c>
      <x:c r="I62" s="10" t="str">
        <x:v>否</x:v>
      </x:c>
      <x:c r="J62" s="20" t="n">
        <x:v>46295</x:v>
      </x:c>
      <x:c r="K62" s="10" t="n">
        <x:v>13</x:v>
      </x:c>
      <x:c r="L62" s="10" t="str"/>
      <x:c r="M62" s="21" t="str">
        <x:v>待确认</x:v>
      </x:c>
      <x:c r="N62" s="21" t="str"/>
    </x:row>
    <x:row r="63" ht="42" customHeight="1">
      <x:c r="A63" s="10" t="str">
        <x:v>RSK-RSK-008</x:v>
      </x:c>
      <x:c r="B63" s="10" t="str">
        <x:v>风险问题Agent</x:v>
      </x:c>
      <x:c r="C63" s="22" t="str">
        <x:v>重大</x:v>
      </x:c>
      <x:c r="D63" s="10" t="str">
        <x:v>RSK-008</x:v>
      </x:c>
      <x:c r="E63" s="10" t="str">
        <x:v>高剩余风险</x:v>
      </x:c>
      <x:c r="F63" s="18" t="str">
        <x:v>【连续第13期出现】外部产品采购与合同条款不能支撑项目计划</x:v>
      </x:c>
      <x:c r="G63" s="18" t="str">
        <x:v>复核触发条件、应对行动、剩余风险和升级结论。</x:v>
      </x:c>
      <x:c r="H63" s="10" t="str">
        <x:v>项目集经理</x:v>
      </x:c>
      <x:c r="I63" s="10" t="str">
        <x:v>否</x:v>
      </x:c>
      <x:c r="J63" s="20" t="n">
        <x:v>46295</x:v>
      </x:c>
      <x:c r="K63" s="10" t="n">
        <x:v>13</x:v>
      </x:c>
      <x:c r="L63" s="10" t="str"/>
      <x:c r="M63" s="21" t="str">
        <x:v>待确认</x:v>
      </x:c>
      <x:c r="N63" s="21" t="str"/>
    </x:row>
    <x:row r="64" ht="42" customHeight="1">
      <x:c r="A64" s="10" t="str">
        <x:v>RSK-RSK-009</x:v>
      </x:c>
      <x:c r="B64" s="10" t="str">
        <x:v>风险问题Agent</x:v>
      </x:c>
      <x:c r="C64" s="22" t="str">
        <x:v>重大</x:v>
      </x:c>
      <x:c r="D64" s="10" t="str">
        <x:v>RSK-009</x:v>
      </x:c>
      <x:c r="E64" s="10" t="str">
        <x:v>高剩余风险</x:v>
      </x:c>
      <x:c r="F64" s="18" t="str">
        <x:v>【连续第13期出现】项目章程和整体管理计划未正式批准</x:v>
      </x:c>
      <x:c r="G64" s="18" t="str">
        <x:v>复核触发条件、应对行动、剩余风险和升级结论。</x:v>
      </x:c>
      <x:c r="H64" s="10" t="str">
        <x:v>项目集经理</x:v>
      </x:c>
      <x:c r="I64" s="10" t="str">
        <x:v>否</x:v>
      </x:c>
      <x:c r="J64" s="20" t="n">
        <x:v>46295</x:v>
      </x:c>
      <x:c r="K64" s="10" t="n">
        <x:v>13</x:v>
      </x:c>
      <x:c r="L64" s="10" t="str"/>
      <x:c r="M64" s="21" t="str">
        <x:v>待确认</x:v>
      </x:c>
      <x:c r="N64" s="21" t="str"/>
    </x:row>
    <x:row r="65" ht="42" customHeight="1">
      <x:c r="A65" s="10" t="str">
        <x:v>ISS-G10</x:v>
      </x:c>
      <x:c r="B65" s="10" t="str">
        <x:v>风险问题Agent</x:v>
      </x:c>
      <x:c r="C65" s="22" t="str">
        <x:v>重大</x:v>
      </x:c>
      <x:c r="D65" s="10" t="str">
        <x:v>G10</x:v>
      </x:c>
      <x:c r="E65" s="10" t="str">
        <x:v>未关闭问题</x:v>
      </x:c>
      <x:c r="F65" s="18" t="str">
        <x:v>【连续第13期出现】CA、电子文档、BI产品POC与选型未按期完成：需在正式启动前完成证据确认</x:v>
      </x:c>
      <x:c r="G65" s="18" t="str">
        <x:v>确认根因、行动、期限和关闭证据。</x:v>
      </x:c>
      <x:c r="H65" s="10" t="str">
        <x:v>技术经理</x:v>
      </x:c>
      <x:c r="I65" s="10" t="str">
        <x:v>否</x:v>
      </x:c>
      <x:c r="J65" s="20" t="n">
        <x:v>46295</x:v>
      </x:c>
      <x:c r="K65" s="10" t="n">
        <x:v>13</x:v>
      </x:c>
      <x:c r="L65" s="10" t="str"/>
      <x:c r="M65" s="21" t="str">
        <x:v>待确认</x:v>
      </x:c>
      <x:c r="N65" s="21" t="str"/>
    </x:row>
    <x:row r="66" ht="42" customHeight="1">
      <x:c r="A66" s="10" t="str">
        <x:v>ISS-G09</x:v>
      </x:c>
      <x:c r="B66" s="10" t="str">
        <x:v>风险问题Agent</x:v>
      </x:c>
      <x:c r="C66" s="22" t="str">
        <x:v>重大</x:v>
      </x:c>
      <x:c r="D66" s="10" t="str">
        <x:v>G09</x:v>
      </x:c>
      <x:c r="E66" s="10" t="str">
        <x:v>未关闭问题</x:v>
      </x:c>
      <x:c r="F66" s="18" t="str">
        <x:v>【连续第13期出现】总体技术架构基线未通过评审：需在正式启动前完成证据确认</x:v>
      </x:c>
      <x:c r="G66" s="18" t="str">
        <x:v>确认根因、行动、期限和关闭证据。</x:v>
      </x:c>
      <x:c r="H66" s="10" t="str">
        <x:v>技术经理</x:v>
      </x:c>
      <x:c r="I66" s="10" t="str">
        <x:v>否</x:v>
      </x:c>
      <x:c r="J66" s="20" t="n">
        <x:v>46295</x:v>
      </x:c>
      <x:c r="K66" s="10" t="n">
        <x:v>13</x:v>
      </x:c>
      <x:c r="L66" s="10" t="str"/>
      <x:c r="M66" s="21" t="str">
        <x:v>待确认</x:v>
      </x:c>
      <x:c r="N66" s="21" t="str"/>
    </x:row>
    <x:row r="67" ht="42" customHeight="1">
      <x:c r="A67" s="10" t="str">
        <x:v>ISS-G19</x:v>
      </x:c>
      <x:c r="B67" s="10" t="str">
        <x:v>风险问题Agent</x:v>
      </x:c>
      <x:c r="C67" s="22" t="str">
        <x:v>重大</x:v>
      </x:c>
      <x:c r="D67" s="10" t="str">
        <x:v>G19</x:v>
      </x:c>
      <x:c r="E67" s="10" t="str">
        <x:v>未关闭问题</x:v>
      </x:c>
      <x:c r="F67" s="18" t="str">
        <x:v>【连续第13期出现】外部系统接口边界与联调窗口不明确：需在正式启动前完成证据确认</x:v>
      </x:c>
      <x:c r="G67" s="18" t="str">
        <x:v>确认根因、行动、期限和关闭证据。</x:v>
      </x:c>
      <x:c r="H67" s="10" t="str">
        <x:v>项目经理</x:v>
      </x:c>
      <x:c r="I67" s="10" t="str">
        <x:v>否</x:v>
      </x:c>
      <x:c r="J67" s="20" t="n">
        <x:v>46295</x:v>
      </x:c>
      <x:c r="K67" s="10" t="n">
        <x:v>13</x:v>
      </x:c>
      <x:c r="L67" s="10" t="str"/>
      <x:c r="M67" s="21" t="str">
        <x:v>待确认</x:v>
      </x:c>
      <x:c r="N67" s="21" t="str"/>
    </x:row>
    <x:row r="68" ht="42" customHeight="1">
      <x:c r="A68" s="10" t="str">
        <x:v>ISS-G16</x:v>
      </x:c>
      <x:c r="B68" s="10" t="str">
        <x:v>风险问题Agent</x:v>
      </x:c>
      <x:c r="C68" s="22" t="str">
        <x:v>重大</x:v>
      </x:c>
      <x:c r="D68" s="10" t="str">
        <x:v>G16</x:v>
      </x:c>
      <x:c r="E68" s="10" t="str">
        <x:v>未关闭问题</x:v>
      </x:c>
      <x:c r="F68" s="18" t="str">
        <x:v>【连续第13期出现】安全合规基线未形成或外部产品不满足要求：需在正式启动前完成证据确认</x:v>
      </x:c>
      <x:c r="G68" s="18" t="str">
        <x:v>确认根因、行动、期限和关闭证据。</x:v>
      </x:c>
      <x:c r="H68" s="10" t="str">
        <x:v>技术经理</x:v>
      </x:c>
      <x:c r="I68" s="10" t="str">
        <x:v>否</x:v>
      </x:c>
      <x:c r="J68" s="20" t="n">
        <x:v>46295</x:v>
      </x:c>
      <x:c r="K68" s="10" t="n">
        <x:v>13</x:v>
      </x:c>
      <x:c r="L68" s="10" t="str"/>
      <x:c r="M68" s="21" t="str">
        <x:v>待确认</x:v>
      </x:c>
      <x:c r="N68" s="21" t="str"/>
    </x:row>
    <x:row r="69" ht="42" customHeight="1">
      <x:c r="A69" s="10" t="str">
        <x:v>ISS-G08</x:v>
      </x:c>
      <x:c r="B69" s="10" t="str">
        <x:v>风险问题Agent</x:v>
      </x:c>
      <x:c r="C69" s="22" t="str">
        <x:v>重大</x:v>
      </x:c>
      <x:c r="D69" s="10" t="str">
        <x:v>G08</x:v>
      </x:c>
      <x:c r="E69" s="10" t="str">
        <x:v>未关闭问题</x:v>
      </x:c>
      <x:c r="F69" s="18" t="str">
        <x:v>【连续第13期出现】30人团队未按阶段计划到位：需在正式启动前完成证据确认</x:v>
      </x:c>
      <x:c r="G69" s="18" t="str">
        <x:v>确认根因、行动、期限和关闭证据。</x:v>
      </x:c>
      <x:c r="H69" s="10" t="str">
        <x:v>项目集经理</x:v>
      </x:c>
      <x:c r="I69" s="10" t="str">
        <x:v>否</x:v>
      </x:c>
      <x:c r="J69" s="20" t="n">
        <x:v>46295</x:v>
      </x:c>
      <x:c r="K69" s="10" t="n">
        <x:v>13</x:v>
      </x:c>
      <x:c r="L69" s="10" t="str"/>
      <x:c r="M69" s="21" t="str">
        <x:v>待确认</x:v>
      </x:c>
      <x:c r="N69" s="21" t="str"/>
    </x:row>
    <x:row r="70" ht="42" customHeight="1">
      <x:c r="A70" s="10" t="str">
        <x:v>ISS-G03/G11</x:v>
      </x:c>
      <x:c r="B70" s="10" t="str">
        <x:v>风险问题Agent</x:v>
      </x:c>
      <x:c r="C70" s="22" t="str">
        <x:v>重大</x:v>
      </x:c>
      <x:c r="D70" s="10" t="str">
        <x:v>G03/G11</x:v>
      </x:c>
      <x:c r="E70" s="10" t="str">
        <x:v>未关闭问题</x:v>
      </x:c>
      <x:c r="F70" s="18" t="str">
        <x:v>【连续第13期出现】一期范围与需求基线未确认：需在正式启动前完成证据确认</x:v>
      </x:c>
      <x:c r="G70" s="18" t="str">
        <x:v>确认根因、行动、期限和关闭证据。</x:v>
      </x:c>
      <x:c r="H70" s="10" t="str">
        <x:v>产品经理</x:v>
      </x:c>
      <x:c r="I70" s="10" t="str">
        <x:v>否</x:v>
      </x:c>
      <x:c r="J70" s="20" t="n">
        <x:v>46295</x:v>
      </x:c>
      <x:c r="K70" s="10" t="n">
        <x:v>13</x:v>
      </x:c>
      <x:c r="L70" s="10" t="str"/>
      <x:c r="M70" s="21" t="str">
        <x:v>待确认</x:v>
      </x:c>
      <x:c r="N70" s="21" t="str"/>
    </x:row>
    <x:row r="71" ht="42" customHeight="1">
      <x:c r="A71" s="10" t="str">
        <x:v>ISS-G15</x:v>
      </x:c>
      <x:c r="B71" s="10" t="str">
        <x:v>风险问题Agent</x:v>
      </x:c>
      <x:c r="C71" s="22" t="str">
        <x:v>重大</x:v>
      </x:c>
      <x:c r="D71" s="10" t="str">
        <x:v>G15</x:v>
      </x:c>
      <x:c r="E71" s="10" t="str">
        <x:v>未关闭问题</x:v>
      </x:c>
      <x:c r="F71" s="18" t="str">
        <x:v>【连续第13期出现】历史合同数据质量不足或迁移范围失控：需在正式启动前完成证据确认</x:v>
      </x:c>
      <x:c r="G71" s="18" t="str">
        <x:v>确认根因、行动、期限和关闭证据。</x:v>
      </x:c>
      <x:c r="H71" s="10" t="str">
        <x:v>产品经理</x:v>
      </x:c>
      <x:c r="I71" s="10" t="str">
        <x:v>否</x:v>
      </x:c>
      <x:c r="J71" s="20" t="n">
        <x:v>46295</x:v>
      </x:c>
      <x:c r="K71" s="10" t="n">
        <x:v>13</x:v>
      </x:c>
      <x:c r="L71" s="10" t="str"/>
      <x:c r="M71" s="21" t="str">
        <x:v>待确认</x:v>
      </x:c>
      <x:c r="N71" s="21" t="str"/>
    </x:row>
    <x:row r="72" ht="42" customHeight="1">
      <x:c r="A72" s="10" t="str">
        <x:v>ISS-G14</x:v>
      </x:c>
      <x:c r="B72" s="10" t="str">
        <x:v>风险问题Agent</x:v>
      </x:c>
      <x:c r="C72" s="22" t="str">
        <x:v>重大</x:v>
      </x:c>
      <x:c r="D72" s="10" t="str">
        <x:v>G14</x:v>
      </x:c>
      <x:c r="E72" s="10" t="str">
        <x:v>未关闭问题</x:v>
      </x:c>
      <x:c r="F72" s="18" t="str">
        <x:v>【连续第13期出现】外部产品采购与合同条款不能支撑项目计划：需在正式启动前完成证据确认</x:v>
      </x:c>
      <x:c r="G72" s="18" t="str">
        <x:v>确认根因、行动、期限和关闭证据。</x:v>
      </x:c>
      <x:c r="H72" s="10" t="str">
        <x:v>项目集经理</x:v>
      </x:c>
      <x:c r="I72" s="10" t="str">
        <x:v>否</x:v>
      </x:c>
      <x:c r="J72" s="20" t="n">
        <x:v>46295</x:v>
      </x:c>
      <x:c r="K72" s="10" t="n">
        <x:v>13</x:v>
      </x:c>
      <x:c r="L72" s="10" t="str"/>
      <x:c r="M72" s="21" t="str">
        <x:v>待确认</x:v>
      </x:c>
      <x:c r="N72" s="21" t="str"/>
    </x:row>
    <x:row r="73" ht="42" customHeight="1">
      <x:c r="A73" s="10" t="str">
        <x:v>ISS-G01/G19/G20</x:v>
      </x:c>
      <x:c r="B73" s="10" t="str">
        <x:v>风险问题Agent</x:v>
      </x:c>
      <x:c r="C73" s="22" t="str">
        <x:v>重大</x:v>
      </x:c>
      <x:c r="D73" s="10" t="str">
        <x:v>G01/G19/G20</x:v>
      </x:c>
      <x:c r="E73" s="10" t="str">
        <x:v>未关闭问题</x:v>
      </x:c>
      <x:c r="F73" s="18" t="str">
        <x:v>【连续第13期出现】项目章程和整体管理计划未正式批准：需在正式启动前完成证据确认</x:v>
      </x:c>
      <x:c r="G73" s="18" t="str">
        <x:v>确认根因、行动、期限和关闭证据。</x:v>
      </x:c>
      <x:c r="H73" s="10" t="str">
        <x:v>项目集经理</x:v>
      </x:c>
      <x:c r="I73" s="10" t="str">
        <x:v>否</x:v>
      </x:c>
      <x:c r="J73" s="20" t="n">
        <x:v>46295</x:v>
      </x:c>
      <x:c r="K73" s="10" t="n">
        <x:v>13</x:v>
      </x:c>
      <x:c r="L73" s="10" t="str"/>
      <x:c r="M73" s="21" t="str">
        <x:v>待确认</x:v>
      </x:c>
      <x:c r="N73" s="21" t="str"/>
    </x:row>
    <x:row r="74" ht="42" customHeight="1">
      <x:c r="A74" s="10" t="str">
        <x:v>ISS-G17</x:v>
      </x:c>
      <x:c r="B74" s="10" t="str">
        <x:v>风险问题Agent</x:v>
      </x:c>
      <x:c r="C74" s="22" t="str">
        <x:v>重大</x:v>
      </x:c>
      <x:c r="D74" s="10" t="str">
        <x:v>G17</x:v>
      </x:c>
      <x:c r="E74" s="10" t="str">
        <x:v>未关闭问题</x:v>
      </x:c>
      <x:c r="F74" s="18" t="str">
        <x:v>【连续第13期出现】开发测试环境和配置管理未就绪：需在正式启动前完成证据确认</x:v>
      </x:c>
      <x:c r="G74" s="18" t="str">
        <x:v>确认根因、行动、期限和关闭证据。</x:v>
      </x:c>
      <x:c r="H74" s="10" t="str">
        <x:v>配置人员</x:v>
      </x:c>
      <x:c r="I74" s="10" t="str">
        <x:v>否</x:v>
      </x:c>
      <x:c r="J74" s="20" t="n">
        <x:v>46295</x:v>
      </x:c>
      <x:c r="K74" s="10" t="n">
        <x:v>13</x:v>
      </x:c>
      <x:c r="L74" s="10" t="str"/>
      <x:c r="M74" s="21" t="str">
        <x:v>待确认</x:v>
      </x:c>
      <x:c r="N74" s="21" t="str"/>
    </x:row>
    <x:row r="75" ht="42" customHeight="1">
      <x:c r="A75" s="10" t="str">
        <x:v>ISS-G05</x:v>
      </x:c>
      <x:c r="B75" s="10" t="str">
        <x:v>风险问题Agent</x:v>
      </x:c>
      <x:c r="C75" s="22" t="str">
        <x:v>重大</x:v>
      </x:c>
      <x:c r="D75" s="10" t="str">
        <x:v>G05</x:v>
      </x:c>
      <x:c r="E75" s="10" t="str">
        <x:v>未关闭问题</x:v>
      </x:c>
      <x:c r="F75" s="18" t="str">
        <x:v>【连续第13期出现】预算与成本控制口径未批准：需在正式启动前完成证据确认</x:v>
      </x:c>
      <x:c r="G75" s="18" t="str">
        <x:v>确认根因、行动、期限和关闭证据。</x:v>
      </x:c>
      <x:c r="H75" s="10" t="str">
        <x:v>项目集经理</x:v>
      </x:c>
      <x:c r="I75" s="10" t="str">
        <x:v>否</x:v>
      </x:c>
      <x:c r="J75" s="20" t="n">
        <x:v>46295</x:v>
      </x:c>
      <x:c r="K75" s="10" t="n">
        <x:v>13</x:v>
      </x:c>
      <x:c r="L75" s="10" t="str"/>
      <x:c r="M75" s="21" t="str">
        <x:v>待确认</x:v>
      </x:c>
      <x:c r="N75" s="21" t="str"/>
    </x:row>
    <x:row r="76" ht="42" customHeight="1">
      <x:c r="A76" s="10" t="str">
        <x:v>ISS-G07</x:v>
      </x:c>
      <x:c r="B76" s="10" t="str">
        <x:v>风险问题Agent</x:v>
      </x:c>
      <x:c r="C76" s="22" t="str">
        <x:v>重大</x:v>
      </x:c>
      <x:c r="D76" s="10" t="str">
        <x:v>G07</x:v>
      </x:c>
      <x:c r="E76" s="10" t="str">
        <x:v>未关闭问题</x:v>
      </x:c>
      <x:c r="F76" s="18" t="str">
        <x:v>【连续第13期出现】关键相关方对目标、范围和职责认知不一致：需在正式启动前完成证据确认</x:v>
      </x:c>
      <x:c r="G76" s="18" t="str">
        <x:v>确认根因、行动、期限和关闭证据。</x:v>
      </x:c>
      <x:c r="H76" s="10" t="str">
        <x:v>项目经理</x:v>
      </x:c>
      <x:c r="I76" s="10" t="str">
        <x:v>否</x:v>
      </x:c>
      <x:c r="J76" s="20" t="n">
        <x:v>46295</x:v>
      </x:c>
      <x:c r="K76" s="10" t="n">
        <x:v>13</x:v>
      </x:c>
      <x:c r="L76" s="10" t="str"/>
      <x:c r="M76" s="21" t="str">
        <x:v>待确认</x:v>
      </x:c>
      <x:c r="N76" s="21" t="str"/>
    </x:row>
    <x:row r="77" ht="42" customHeight="1">
      <x:c r="A77" s="10" t="str">
        <x:v>DEC-D-001</x:v>
      </x:c>
      <x:c r="B77" s="10" t="str">
        <x:v>风险问题Agent</x:v>
      </x:c>
      <x:c r="C77" s="22" t="str">
        <x:v>重大</x:v>
      </x:c>
      <x:c r="D77" s="10" t="str">
        <x:v>D-001</x:v>
      </x:c>
      <x:c r="E77" s="10" t="str">
        <x:v>决策事项已逾期</x:v>
      </x:c>
      <x:c r="F77" s="18" t="str">
        <x:v>【连续第13期出现】CA、电子文档、BI产品选型（需要日期2026-09-25）</x:v>
      </x:c>
      <x:c r="G77" s="18" t="str">
        <x:v>明确决策人、最迟日期、备选方案和延迟后果。</x:v>
      </x:c>
      <x:c r="H77" s="10" t="str">
        <x:v>项目指导委员会</x:v>
      </x:c>
      <x:c r="I77" s="10" t="str">
        <x:v>是</x:v>
      </x:c>
      <x:c r="J77" s="20" t="n">
        <x:v>46295</x:v>
      </x:c>
      <x:c r="K77" s="10" t="n">
        <x:v>13</x:v>
      </x:c>
      <x:c r="L77" s="10" t="str"/>
      <x:c r="M77" s="21" t="str">
        <x:v>待确认</x:v>
      </x:c>
      <x:c r="N77" s="21" t="str"/>
    </x:row>
    <x:row r="78" ht="42" customHeight="1">
      <x:c r="A78" s="10" t="str">
        <x:v>DEC-D-002</x:v>
      </x:c>
      <x:c r="B78" s="10" t="str">
        <x:v>风险问题Agent</x:v>
      </x:c>
      <x:c r="C78" s="22" t="str">
        <x:v>重大</x:v>
      </x:c>
      <x:c r="D78" s="10" t="str">
        <x:v>D-002</x:v>
      </x:c>
      <x:c r="E78" s="10" t="str">
        <x:v>待决策事项</x:v>
      </x:c>
      <x:c r="F78" s="18" t="str">
        <x:v>【连续第13期出现】一期范围与P0需求基线（需要日期2026-10-09）</x:v>
      </x:c>
      <x:c r="G78" s="18" t="str">
        <x:v>明确决策人、最迟日期、备选方案和延迟后果。</x:v>
      </x:c>
      <x:c r="H78" s="10" t="str">
        <x:v>业务负责人/项目发起人</x:v>
      </x:c>
      <x:c r="I78" s="10" t="str">
        <x:v>是</x:v>
      </x:c>
      <x:c r="J78" s="20" t="n">
        <x:v>46295</x:v>
      </x:c>
      <x:c r="K78" s="10" t="n">
        <x:v>13</x:v>
      </x:c>
      <x:c r="L78" s="10" t="str"/>
      <x:c r="M78" s="21" t="str">
        <x:v>待确认</x:v>
      </x:c>
      <x:c r="N78" s="21" t="str"/>
    </x:row>
    <x:row r="79" ht="42" customHeight="1">
      <x:c r="A79" s="10" t="str">
        <x:v>DEC-D-003</x:v>
      </x:c>
      <x:c r="B79" s="10" t="str">
        <x:v>风险问题Agent</x:v>
      </x:c>
      <x:c r="C79" s="22" t="str">
        <x:v>重大</x:v>
      </x:c>
      <x:c r="D79" s="10" t="str">
        <x:v>D-003</x:v>
      </x:c>
      <x:c r="E79" s="10" t="str">
        <x:v>待决策事项</x:v>
      </x:c>
      <x:c r="F79" s="18" t="str">
        <x:v>【连续第13期出现】项目预算与采购路径（需要日期2026-10-08）</x:v>
      </x:c>
      <x:c r="G79" s="18" t="str">
        <x:v>明确决策人、最迟日期、备选方案和延迟后果。</x:v>
      </x:c>
      <x:c r="H79" s="10" t="str">
        <x:v>项目发起人</x:v>
      </x:c>
      <x:c r="I79" s="10" t="str">
        <x:v>是</x:v>
      </x:c>
      <x:c r="J79" s="20" t="n">
        <x:v>46295</x:v>
      </x:c>
      <x:c r="K79" s="10" t="n">
        <x:v>13</x:v>
      </x:c>
      <x:c r="L79" s="10" t="str"/>
      <x:c r="M79" s="21" t="str">
        <x:v>待确认</x:v>
      </x:c>
      <x:c r="N79" s="21" t="str"/>
    </x:row>
    <x:row r="80" ht="42" customHeight="1">
      <x:c r="A80" s="10" t="str">
        <x:v>DEC-D-004</x:v>
      </x:c>
      <x:c r="B80" s="10" t="str">
        <x:v>风险问题Agent</x:v>
      </x:c>
      <x:c r="C80" s="22" t="str">
        <x:v>重大</x:v>
      </x:c>
      <x:c r="D80" s="10" t="str">
        <x:v>D-004</x:v>
      </x:c>
      <x:c r="E80" s="10" t="str">
        <x:v>待决策事项</x:v>
      </x:c>
      <x:c r="F80" s="18" t="str">
        <x:v>【连续第13期出现】2026年10月20日正式启动决策（需要日期2026-10-16）</x:v>
      </x:c>
      <x:c r="G80" s="18" t="str">
        <x:v>明确决策人、最迟日期、备选方案和延迟后果。</x:v>
      </x:c>
      <x:c r="H80" s="10" t="str">
        <x:v>项目指导委员会</x:v>
      </x:c>
      <x:c r="I80" s="10" t="str">
        <x:v>是</x:v>
      </x:c>
      <x:c r="J80" s="20" t="n">
        <x:v>46295</x:v>
      </x:c>
      <x:c r="K80" s="10" t="n">
        <x:v>13</x:v>
      </x:c>
      <x:c r="L80" s="10" t="str"/>
      <x:c r="M80" s="21" t="str">
        <x:v>待确认</x:v>
      </x:c>
      <x:c r="N80" s="21" t="str"/>
    </x:row>
    <x:row r="81" ht="42" customHeight="1">
      <x:c r="A81" s="10" t="str">
        <x:v>COM-DECISION-DEC-001</x:v>
      </x:c>
      <x:c r="B81" s="10" t="str">
        <x:v>沟通报告Agent</x:v>
      </x:c>
      <x:c r="C81" s="23" t="str">
        <x:v>高</x:v>
      </x:c>
      <x:c r="D81" s="10" t="str">
        <x:v>DEC-001</x:v>
      </x:c>
      <x:c r="E81" s="10" t="str">
        <x:v>决策事项14天内到期</x:v>
      </x:c>
      <x:c r="F81" s="18" t="str">
        <x:v>【连续第8期出现】CA产品POC选型决策截止日为2026-09-30，当前状态为待决策。</x:v>
      </x:c>
      <x:c r="G81" s="18" t="str">
        <x:v>将事实、备选方案、影响、建议和所需授权统一提交决策人。</x:v>
      </x:c>
      <x:c r="H81" s="10" t="str">
        <x:v>项目治理委员会</x:v>
      </x:c>
      <x:c r="I81" s="10" t="str">
        <x:v>是</x:v>
      </x:c>
      <x:c r="J81" s="20" t="n">
        <x:v>46295</x:v>
      </x:c>
      <x:c r="K81" s="10" t="n">
        <x:v>8</x:v>
      </x:c>
      <x:c r="L81" s="10" t="str"/>
      <x:c r="M81" s="21" t="str">
        <x:v>待确认</x:v>
      </x:c>
      <x:c r="N81" s="21" t="str"/>
    </x:row>
    <x:row r="82" ht="42" customHeight="1">
      <x:c r="A82" s="10" t="str">
        <x:v>COM-DECISION-DEC-002</x:v>
      </x:c>
      <x:c r="B82" s="10" t="str">
        <x:v>沟通报告Agent</x:v>
      </x:c>
      <x:c r="C82" s="23" t="str">
        <x:v>高</x:v>
      </x:c>
      <x:c r="D82" s="10" t="str">
        <x:v>DEC-002</x:v>
      </x:c>
      <x:c r="E82" s="10" t="str">
        <x:v>决策事项14天内到期</x:v>
      </x:c>
      <x:c r="F82" s="18" t="str">
        <x:v>【连续第8期出现】电子文档产品POC选型决策截止日为2026-09-30，当前状态为待决策。</x:v>
      </x:c>
      <x:c r="G82" s="18" t="str">
        <x:v>将事实、备选方案、影响、建议和所需授权统一提交决策人。</x:v>
      </x:c>
      <x:c r="H82" s="10" t="str">
        <x:v>项目治理委员会</x:v>
      </x:c>
      <x:c r="I82" s="10" t="str">
        <x:v>是</x:v>
      </x:c>
      <x:c r="J82" s="20" t="n">
        <x:v>46295</x:v>
      </x:c>
      <x:c r="K82" s="10" t="n">
        <x:v>8</x:v>
      </x:c>
      <x:c r="L82" s="10" t="str"/>
      <x:c r="M82" s="21" t="str">
        <x:v>待确认</x:v>
      </x:c>
      <x:c r="N82" s="21" t="str"/>
    </x:row>
    <x:row r="83" ht="42" customHeight="1">
      <x:c r="A83" s="10" t="str">
        <x:v>COM-DECISION-DEC-003</x:v>
      </x:c>
      <x:c r="B83" s="10" t="str">
        <x:v>沟通报告Agent</x:v>
      </x:c>
      <x:c r="C83" s="23" t="str">
        <x:v>高</x:v>
      </x:c>
      <x:c r="D83" s="10" t="str">
        <x:v>DEC-003</x:v>
      </x:c>
      <x:c r="E83" s="10" t="str">
        <x:v>决策事项14天内到期</x:v>
      </x:c>
      <x:c r="F83" s="18" t="str">
        <x:v>【连续第8期出现】BI报表产品POC选型决策截止日为2026-09-30，当前状态为待决策。</x:v>
      </x:c>
      <x:c r="G83" s="18" t="str">
        <x:v>将事实、备选方案、影响、建议和所需授权统一提交决策人。</x:v>
      </x:c>
      <x:c r="H83" s="10" t="str">
        <x:v>项目治理委员会</x:v>
      </x:c>
      <x:c r="I83" s="10" t="str">
        <x:v>是</x:v>
      </x:c>
      <x:c r="J83" s="20" t="n">
        <x:v>46295</x:v>
      </x:c>
      <x:c r="K83" s="10" t="n">
        <x:v>8</x:v>
      </x:c>
      <x:c r="L83" s="10" t="str"/>
      <x:c r="M83" s="21" t="str">
        <x:v>待确认</x:v>
      </x:c>
      <x:c r="N83" s="21" t="str"/>
    </x:row>
  </x:sheetData>
  <x:mergeCells>
    <x:mergeCell ref="A2:L2"/>
    <x:mergeCell ref="A3:L3"/>
  </x:mergeCells>
  <x:dataValidations count="1">
    <x:dataValidation type="list" sqref="M5:M83">
      <x:formula1>"待确认,已接受,需调整,已关闭"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38" hidden="0" customWidth="1"/>
    <x:col min="3" max="3" width="22" hidden="0" customWidth="1"/>
    <x:col min="4" max="4" width="18" hidden="0" customWidth="1"/>
    <x:col min="5" max="5" width="12" hidden="0" customWidth="1"/>
  </x:cols>
  <x:sheetData>
    <x:row r="2">
      <x:c r="A2" s="1" t="str">
        <x:v>Agent证据明细</x:v>
      </x:c>
    </x:row>
    <x:row r="3">
      <x:c r="A3" s="2" t="str">
        <x:v>每项发现对应到来源文件、工作表、记录ID和源行号。请依据证据确认AI建议。</x:v>
      </x:c>
    </x:row>
    <x:row r="4">
      <x:c r="A4" s="7" t="str">
        <x:v>发现ID</x:v>
      </x:c>
      <x:c r="B4" s="7" t="str">
        <x:v>来源文件</x:v>
      </x:c>
      <x:c r="C4" s="7" t="str">
        <x:v>工作表</x:v>
      </x:c>
      <x:c r="D4" s="7" t="str">
        <x:v>记录ID</x:v>
      </x:c>
      <x:c r="E4" s="7" t="str">
        <x:v>源行号</x:v>
      </x:c>
    </x:row>
    <x:row r="5">
      <x:c r="A5" s="10" t="str">
        <x:v>SCH-T008-OVERDUE</x:v>
      </x:c>
      <x:c r="B5" s="10" t="str">
        <x:v>计划与进度管理-20260921-V1.xlsx</x:v>
      </x:c>
      <x:c r="C5" s="10" t="str">
        <x:v>项目总控台账</x:v>
      </x:c>
      <x:c r="D5" s="10" t="str">
        <x:v>T008</x:v>
      </x:c>
      <x:c r="E5" s="10" t="n">
        <x:v>11</x:v>
      </x:c>
    </x:row>
    <x:row r="6">
      <x:c r="A6" s="10" t="str">
        <x:v>SCH-T008-NORISK</x:v>
      </x:c>
      <x:c r="B6" s="10" t="str">
        <x:v>计划与进度管理-20260921-V1.xlsx</x:v>
      </x:c>
      <x:c r="C6" s="10" t="str">
        <x:v>项目总控台账</x:v>
      </x:c>
      <x:c r="D6" s="10" t="str">
        <x:v>T008</x:v>
      </x:c>
      <x:c r="E6" s="10" t="n">
        <x:v>11</x:v>
      </x:c>
    </x:row>
    <x:row r="7">
      <x:c r="A7" s="10" t="str">
        <x:v>SCH-T011-OVERDUE</x:v>
      </x:c>
      <x:c r="B7" s="10" t="str">
        <x:v>计划与进度管理-20260921-V1.xlsx</x:v>
      </x:c>
      <x:c r="C7" s="10" t="str">
        <x:v>项目总控台账</x:v>
      </x:c>
      <x:c r="D7" s="10" t="str">
        <x:v>T011</x:v>
      </x:c>
      <x:c r="E7" s="10" t="n">
        <x:v>14</x:v>
      </x:c>
    </x:row>
    <x:row r="8">
      <x:c r="A8" s="10" t="str">
        <x:v>SCH-T011-NORISK</x:v>
      </x:c>
      <x:c r="B8" s="10" t="str">
        <x:v>计划与进度管理-20260921-V1.xlsx</x:v>
      </x:c>
      <x:c r="C8" s="10" t="str">
        <x:v>项目总控台账</x:v>
      </x:c>
      <x:c r="D8" s="10" t="str">
        <x:v>T011</x:v>
      </x:c>
      <x:c r="E8" s="10" t="n">
        <x:v>14</x:v>
      </x:c>
    </x:row>
    <x:row r="9">
      <x:c r="A9" s="10" t="str">
        <x:v>SCH-T012-OVERDUE</x:v>
      </x:c>
      <x:c r="B9" s="10" t="str">
        <x:v>计划与进度管理-20260921-V1.xlsx</x:v>
      </x:c>
      <x:c r="C9" s="10" t="str">
        <x:v>项目总控台账</x:v>
      </x:c>
      <x:c r="D9" s="10" t="str">
        <x:v>T012</x:v>
      </x:c>
      <x:c r="E9" s="10" t="n">
        <x:v>15</x:v>
      </x:c>
    </x:row>
    <x:row r="10">
      <x:c r="A10" s="10" t="str">
        <x:v>SCH-T012-NORISK</x:v>
      </x:c>
      <x:c r="B10" s="10" t="str">
        <x:v>计划与进度管理-20260921-V1.xlsx</x:v>
      </x:c>
      <x:c r="C10" s="10" t="str">
        <x:v>项目总控台账</x:v>
      </x:c>
      <x:c r="D10" s="10" t="str">
        <x:v>T012</x:v>
      </x:c>
      <x:c r="E10" s="10" t="n">
        <x:v>15</x:v>
      </x:c>
    </x:row>
    <x:row r="11">
      <x:c r="A11" s="10" t="str">
        <x:v>SCH-T013-OVERDUE</x:v>
      </x:c>
      <x:c r="B11" s="10" t="str">
        <x:v>计划与进度管理-20260921-V1.xlsx</x:v>
      </x:c>
      <x:c r="C11" s="10" t="str">
        <x:v>项目总控台账</x:v>
      </x:c>
      <x:c r="D11" s="10" t="str">
        <x:v>T013</x:v>
      </x:c>
      <x:c r="E11" s="10" t="n">
        <x:v>16</x:v>
      </x:c>
    </x:row>
    <x:row r="12">
      <x:c r="A12" s="10" t="str">
        <x:v>SCH-T013-NORISK</x:v>
      </x:c>
      <x:c r="B12" s="10" t="str">
        <x:v>计划与进度管理-20260921-V1.xlsx</x:v>
      </x:c>
      <x:c r="C12" s="10" t="str">
        <x:v>项目总控台账</x:v>
      </x:c>
      <x:c r="D12" s="10" t="str">
        <x:v>T013</x:v>
      </x:c>
      <x:c r="E12" s="10" t="n">
        <x:v>16</x:v>
      </x:c>
    </x:row>
    <x:row r="13">
      <x:c r="A13" s="10" t="str">
        <x:v>SCH-T014-OVERDUE</x:v>
      </x:c>
      <x:c r="B13" s="10" t="str">
        <x:v>计划与进度管理-20260921-V1.xlsx</x:v>
      </x:c>
      <x:c r="C13" s="10" t="str">
        <x:v>项目总控台账</x:v>
      </x:c>
      <x:c r="D13" s="10" t="str">
        <x:v>T014</x:v>
      </x:c>
      <x:c r="E13" s="10" t="n">
        <x:v>17</x:v>
      </x:c>
    </x:row>
    <x:row r="14">
      <x:c r="A14" s="10" t="str">
        <x:v>SCH-T014-NORISK</x:v>
      </x:c>
      <x:c r="B14" s="10" t="str">
        <x:v>计划与进度管理-20260921-V1.xlsx</x:v>
      </x:c>
      <x:c r="C14" s="10" t="str">
        <x:v>项目总控台账</x:v>
      </x:c>
      <x:c r="D14" s="10" t="str">
        <x:v>T014</x:v>
      </x:c>
      <x:c r="E14" s="10" t="n">
        <x:v>17</x:v>
      </x:c>
    </x:row>
    <x:row r="15">
      <x:c r="A15" s="10" t="str">
        <x:v>SCH-T015-OVERDUE</x:v>
      </x:c>
      <x:c r="B15" s="10" t="str">
        <x:v>计划与进度管理-20260921-V1.xlsx</x:v>
      </x:c>
      <x:c r="C15" s="10" t="str">
        <x:v>项目总控台账</x:v>
      </x:c>
      <x:c r="D15" s="10" t="str">
        <x:v>T015</x:v>
      </x:c>
      <x:c r="E15" s="10" t="n">
        <x:v>18</x:v>
      </x:c>
    </x:row>
    <x:row r="16">
      <x:c r="A16" s="10" t="str">
        <x:v>SCH-T015-NORISK</x:v>
      </x:c>
      <x:c r="B16" s="10" t="str">
        <x:v>计划与进度管理-20260921-V1.xlsx</x:v>
      </x:c>
      <x:c r="C16" s="10" t="str">
        <x:v>项目总控台账</x:v>
      </x:c>
      <x:c r="D16" s="10" t="str">
        <x:v>T015</x:v>
      </x:c>
      <x:c r="E16" s="10" t="n">
        <x:v>18</x:v>
      </x:c>
    </x:row>
    <x:row r="17">
      <x:c r="A17" s="10" t="str">
        <x:v>SCH-T016-OVERDUE</x:v>
      </x:c>
      <x:c r="B17" s="10" t="str">
        <x:v>计划与进度管理-20260921-V1.xlsx</x:v>
      </x:c>
      <x:c r="C17" s="10" t="str">
        <x:v>项目总控台账</x:v>
      </x:c>
      <x:c r="D17" s="10" t="str">
        <x:v>T016</x:v>
      </x:c>
      <x:c r="E17" s="10" t="n">
        <x:v>19</x:v>
      </x:c>
    </x:row>
    <x:row r="18">
      <x:c r="A18" s="10" t="str">
        <x:v>SCH-T016-NORISK</x:v>
      </x:c>
      <x:c r="B18" s="10" t="str">
        <x:v>计划与进度管理-20260921-V1.xlsx</x:v>
      </x:c>
      <x:c r="C18" s="10" t="str">
        <x:v>项目总控台账</x:v>
      </x:c>
      <x:c r="D18" s="10" t="str">
        <x:v>T016</x:v>
      </x:c>
      <x:c r="E18" s="10" t="n">
        <x:v>19</x:v>
      </x:c>
    </x:row>
    <x:row r="19">
      <x:c r="A19" s="10" t="str">
        <x:v>SCH-T017-OVERDUE</x:v>
      </x:c>
      <x:c r="B19" s="10" t="str">
        <x:v>计划与进度管理-20260921-V1.xlsx</x:v>
      </x:c>
      <x:c r="C19" s="10" t="str">
        <x:v>项目总控台账</x:v>
      </x:c>
      <x:c r="D19" s="10" t="str">
        <x:v>T017</x:v>
      </x:c>
      <x:c r="E19" s="10" t="n">
        <x:v>20</x:v>
      </x:c>
    </x:row>
    <x:row r="20">
      <x:c r="A20" s="10" t="str">
        <x:v>SCH-T017-NORISK</x:v>
      </x:c>
      <x:c r="B20" s="10" t="str">
        <x:v>计划与进度管理-20260921-V1.xlsx</x:v>
      </x:c>
      <x:c r="C20" s="10" t="str">
        <x:v>项目总控台账</x:v>
      </x:c>
      <x:c r="D20" s="10" t="str">
        <x:v>T017</x:v>
      </x:c>
      <x:c r="E20" s="10" t="n">
        <x:v>20</x:v>
      </x:c>
    </x:row>
    <x:row r="21">
      <x:c r="A21" s="10" t="str">
        <x:v>SCH-T018-OVERDUE</x:v>
      </x:c>
      <x:c r="B21" s="10" t="str">
        <x:v>计划与进度管理-20260921-V1.xlsx</x:v>
      </x:c>
      <x:c r="C21" s="10" t="str">
        <x:v>项目总控台账</x:v>
      </x:c>
      <x:c r="D21" s="10" t="str">
        <x:v>T018</x:v>
      </x:c>
      <x:c r="E21" s="10" t="n">
        <x:v>21</x:v>
      </x:c>
    </x:row>
    <x:row r="22">
      <x:c r="A22" s="10" t="str">
        <x:v>SCH-T018-NORISK</x:v>
      </x:c>
      <x:c r="B22" s="10" t="str">
        <x:v>计划与进度管理-20260921-V1.xlsx</x:v>
      </x:c>
      <x:c r="C22" s="10" t="str">
        <x:v>项目总控台账</x:v>
      </x:c>
      <x:c r="D22" s="10" t="str">
        <x:v>T018</x:v>
      </x:c>
      <x:c r="E22" s="10" t="n">
        <x:v>21</x:v>
      </x:c>
    </x:row>
    <x:row r="23">
      <x:c r="A23" s="10" t="str">
        <x:v>SCH-T019-OVERDUE</x:v>
      </x:c>
      <x:c r="B23" s="10" t="str">
        <x:v>计划与进度管理-20260921-V1.xlsx</x:v>
      </x:c>
      <x:c r="C23" s="10" t="str">
        <x:v>项目总控台账</x:v>
      </x:c>
      <x:c r="D23" s="10" t="str">
        <x:v>T019</x:v>
      </x:c>
      <x:c r="E23" s="10" t="n">
        <x:v>22</x:v>
      </x:c>
    </x:row>
    <x:row r="24">
      <x:c r="A24" s="10" t="str">
        <x:v>SCH-T019-NORISK</x:v>
      </x:c>
      <x:c r="B24" s="10" t="str">
        <x:v>计划与进度管理-20260921-V1.xlsx</x:v>
      </x:c>
      <x:c r="C24" s="10" t="str">
        <x:v>项目总控台账</x:v>
      </x:c>
      <x:c r="D24" s="10" t="str">
        <x:v>T019</x:v>
      </x:c>
      <x:c r="E24" s="10" t="n">
        <x:v>22</x:v>
      </x:c>
    </x:row>
    <x:row r="25">
      <x:c r="A25" s="10" t="str">
        <x:v>SCH-T020-OVERDUE</x:v>
      </x:c>
      <x:c r="B25" s="10" t="str">
        <x:v>计划与进度管理-20260921-V1.xlsx</x:v>
      </x:c>
      <x:c r="C25" s="10" t="str">
        <x:v>项目总控台账</x:v>
      </x:c>
      <x:c r="D25" s="10" t="str">
        <x:v>T020</x:v>
      </x:c>
      <x:c r="E25" s="10" t="n">
        <x:v>23</x:v>
      </x:c>
    </x:row>
    <x:row r="26">
      <x:c r="A26" s="10" t="str">
        <x:v>SCH-T020-NORISK</x:v>
      </x:c>
      <x:c r="B26" s="10" t="str">
        <x:v>计划与进度管理-20260921-V1.xlsx</x:v>
      </x:c>
      <x:c r="C26" s="10" t="str">
        <x:v>项目总控台账</x:v>
      </x:c>
      <x:c r="D26" s="10" t="str">
        <x:v>T020</x:v>
      </x:c>
      <x:c r="E26" s="10" t="n">
        <x:v>23</x:v>
      </x:c>
    </x:row>
    <x:row r="27">
      <x:c r="A27" s="10" t="str">
        <x:v>SCH-T021-OVERDUE</x:v>
      </x:c>
      <x:c r="B27" s="10" t="str">
        <x:v>计划与进度管理-20260921-V1.xlsx</x:v>
      </x:c>
      <x:c r="C27" s="10" t="str">
        <x:v>项目总控台账</x:v>
      </x:c>
      <x:c r="D27" s="10" t="str">
        <x:v>T021</x:v>
      </x:c>
      <x:c r="E27" s="10" t="n">
        <x:v>24</x:v>
      </x:c>
    </x:row>
    <x:row r="28">
      <x:c r="A28" s="10" t="str">
        <x:v>SCH-T021-NORISK</x:v>
      </x:c>
      <x:c r="B28" s="10" t="str">
        <x:v>计划与进度管理-20260921-V1.xlsx</x:v>
      </x:c>
      <x:c r="C28" s="10" t="str">
        <x:v>项目总控台账</x:v>
      </x:c>
      <x:c r="D28" s="10" t="str">
        <x:v>T021</x:v>
      </x:c>
      <x:c r="E28" s="10" t="n">
        <x:v>24</x:v>
      </x:c>
    </x:row>
    <x:row r="29">
      <x:c r="A29" s="10" t="str">
        <x:v>SCH-T022-OVERDUE</x:v>
      </x:c>
      <x:c r="B29" s="10" t="str">
        <x:v>计划与进度管理-20260921-V1.xlsx</x:v>
      </x:c>
      <x:c r="C29" s="10" t="str">
        <x:v>项目总控台账</x:v>
      </x:c>
      <x:c r="D29" s="10" t="str">
        <x:v>T022</x:v>
      </x:c>
      <x:c r="E29" s="10" t="n">
        <x:v>25</x:v>
      </x:c>
    </x:row>
    <x:row r="30">
      <x:c r="A30" s="10" t="str">
        <x:v>SCH-T022-NORISK</x:v>
      </x:c>
      <x:c r="B30" s="10" t="str">
        <x:v>计划与进度管理-20260921-V1.xlsx</x:v>
      </x:c>
      <x:c r="C30" s="10" t="str">
        <x:v>项目总控台账</x:v>
      </x:c>
      <x:c r="D30" s="10" t="str">
        <x:v>T022</x:v>
      </x:c>
      <x:c r="E30" s="10" t="n">
        <x:v>25</x:v>
      </x:c>
    </x:row>
    <x:row r="31">
      <x:c r="A31" s="10" t="str">
        <x:v>SCH-T023-OVERDUE</x:v>
      </x:c>
      <x:c r="B31" s="10" t="str">
        <x:v>计划与进度管理-20260921-V1.xlsx</x:v>
      </x:c>
      <x:c r="C31" s="10" t="str">
        <x:v>项目总控台账</x:v>
      </x:c>
      <x:c r="D31" s="10" t="str">
        <x:v>T023</x:v>
      </x:c>
      <x:c r="E31" s="10" t="n">
        <x:v>26</x:v>
      </x:c>
    </x:row>
    <x:row r="32">
      <x:c r="A32" s="10" t="str">
        <x:v>SCH-T023-NORISK</x:v>
      </x:c>
      <x:c r="B32" s="10" t="str">
        <x:v>计划与进度管理-20260921-V1.xlsx</x:v>
      </x:c>
      <x:c r="C32" s="10" t="str">
        <x:v>项目总控台账</x:v>
      </x:c>
      <x:c r="D32" s="10" t="str">
        <x:v>T023</x:v>
      </x:c>
      <x:c r="E32" s="10" t="n">
        <x:v>26</x:v>
      </x:c>
    </x:row>
    <x:row r="33">
      <x:c r="A33" s="10" t="str">
        <x:v>SCH-T024-DUE14</x:v>
      </x:c>
      <x:c r="B33" s="10" t="str">
        <x:v>计划与进度管理-20260921-V1.xlsx</x:v>
      </x:c>
      <x:c r="C33" s="10" t="str">
        <x:v>项目总控台账</x:v>
      </x:c>
      <x:c r="D33" s="10" t="str">
        <x:v>T024</x:v>
      </x:c>
      <x:c r="E33" s="10" t="n">
        <x:v>27</x:v>
      </x:c>
    </x:row>
    <x:row r="34">
      <x:c r="A34" s="10" t="str">
        <x:v>SCH-T025-OVERDUE</x:v>
      </x:c>
      <x:c r="B34" s="10" t="str">
        <x:v>计划与进度管理-20260921-V1.xlsx</x:v>
      </x:c>
      <x:c r="C34" s="10" t="str">
        <x:v>项目总控台账</x:v>
      </x:c>
      <x:c r="D34" s="10" t="str">
        <x:v>T025</x:v>
      </x:c>
      <x:c r="E34" s="10" t="n">
        <x:v>28</x:v>
      </x:c>
    </x:row>
    <x:row r="35">
      <x:c r="A35" s="10" t="str">
        <x:v>SCH-T025-NORISK</x:v>
      </x:c>
      <x:c r="B35" s="10" t="str">
        <x:v>计划与进度管理-20260921-V1.xlsx</x:v>
      </x:c>
      <x:c r="C35" s="10" t="str">
        <x:v>项目总控台账</x:v>
      </x:c>
      <x:c r="D35" s="10" t="str">
        <x:v>T025</x:v>
      </x:c>
      <x:c r="E35" s="10" t="n">
        <x:v>28</x:v>
      </x:c>
    </x:row>
    <x:row r="36">
      <x:c r="A36" s="10" t="str">
        <x:v>SCH-T026-OVERDUE</x:v>
      </x:c>
      <x:c r="B36" s="10" t="str">
        <x:v>计划与进度管理-20260921-V1.xlsx</x:v>
      </x:c>
      <x:c r="C36" s="10" t="str">
        <x:v>项目总控台账</x:v>
      </x:c>
      <x:c r="D36" s="10" t="str">
        <x:v>T026</x:v>
      </x:c>
      <x:c r="E36" s="10" t="n">
        <x:v>29</x:v>
      </x:c>
    </x:row>
    <x:row r="37">
      <x:c r="A37" s="10" t="str">
        <x:v>SCH-T026-NORISK</x:v>
      </x:c>
      <x:c r="B37" s="10" t="str">
        <x:v>计划与进度管理-20260921-V1.xlsx</x:v>
      </x:c>
      <x:c r="C37" s="10" t="str">
        <x:v>项目总控台账</x:v>
      </x:c>
      <x:c r="D37" s="10" t="str">
        <x:v>T026</x:v>
      </x:c>
      <x:c r="E37" s="10" t="n">
        <x:v>29</x:v>
      </x:c>
    </x:row>
    <x:row r="38">
      <x:c r="A38" s="10" t="str">
        <x:v>SCH-T027-OVERDUE</x:v>
      </x:c>
      <x:c r="B38" s="10" t="str">
        <x:v>计划与进度管理-20260921-V1.xlsx</x:v>
      </x:c>
      <x:c r="C38" s="10" t="str">
        <x:v>项目总控台账</x:v>
      </x:c>
      <x:c r="D38" s="10" t="str">
        <x:v>T027</x:v>
      </x:c>
      <x:c r="E38" s="10" t="n">
        <x:v>30</x:v>
      </x:c>
    </x:row>
    <x:row r="39">
      <x:c r="A39" s="10" t="str">
        <x:v>SCH-T027-NORISK</x:v>
      </x:c>
      <x:c r="B39" s="10" t="str">
        <x:v>计划与进度管理-20260921-V1.xlsx</x:v>
      </x:c>
      <x:c r="C39" s="10" t="str">
        <x:v>项目总控台账</x:v>
      </x:c>
      <x:c r="D39" s="10" t="str">
        <x:v>T027</x:v>
      </x:c>
      <x:c r="E39" s="10" t="n">
        <x:v>30</x:v>
      </x:c>
    </x:row>
    <x:row r="40">
      <x:c r="A40" s="10" t="str">
        <x:v>SCH-T028-OVERDUE</x:v>
      </x:c>
      <x:c r="B40" s="10" t="str">
        <x:v>计划与进度管理-20260921-V1.xlsx</x:v>
      </x:c>
      <x:c r="C40" s="10" t="str">
        <x:v>项目总控台账</x:v>
      </x:c>
      <x:c r="D40" s="10" t="str">
        <x:v>T028</x:v>
      </x:c>
      <x:c r="E40" s="10" t="n">
        <x:v>31</x:v>
      </x:c>
    </x:row>
    <x:row r="41">
      <x:c r="A41" s="10" t="str">
        <x:v>SCH-T028-NORISK</x:v>
      </x:c>
      <x:c r="B41" s="10" t="str">
        <x:v>计划与进度管理-20260921-V1.xlsx</x:v>
      </x:c>
      <x:c r="C41" s="10" t="str">
        <x:v>项目总控台账</x:v>
      </x:c>
      <x:c r="D41" s="10" t="str">
        <x:v>T028</x:v>
      </x:c>
      <x:c r="E41" s="10" t="n">
        <x:v>31</x:v>
      </x:c>
    </x:row>
    <x:row r="42">
      <x:c r="A42" s="10" t="str">
        <x:v>SCH-T029-OVERDUE</x:v>
      </x:c>
      <x:c r="B42" s="10" t="str">
        <x:v>计划与进度管理-20260921-V1.xlsx</x:v>
      </x:c>
      <x:c r="C42" s="10" t="str">
        <x:v>项目总控台账</x:v>
      </x:c>
      <x:c r="D42" s="10" t="str">
        <x:v>T029</x:v>
      </x:c>
      <x:c r="E42" s="10" t="n">
        <x:v>32</x:v>
      </x:c>
    </x:row>
    <x:row r="43">
      <x:c r="A43" s="10" t="str">
        <x:v>SCH-T029-NORISK</x:v>
      </x:c>
      <x:c r="B43" s="10" t="str">
        <x:v>计划与进度管理-20260921-V1.xlsx</x:v>
      </x:c>
      <x:c r="C43" s="10" t="str">
        <x:v>项目总控台账</x:v>
      </x:c>
      <x:c r="D43" s="10" t="str">
        <x:v>T029</x:v>
      </x:c>
      <x:c r="E43" s="10" t="n">
        <x:v>32</x:v>
      </x:c>
    </x:row>
    <x:row r="44">
      <x:c r="A44" s="10" t="str">
        <x:v>SCH-T030-OVERDUE</x:v>
      </x:c>
      <x:c r="B44" s="10" t="str">
        <x:v>计划与进度管理-20260921-V1.xlsx</x:v>
      </x:c>
      <x:c r="C44" s="10" t="str">
        <x:v>项目总控台账</x:v>
      </x:c>
      <x:c r="D44" s="10" t="str">
        <x:v>T030</x:v>
      </x:c>
      <x:c r="E44" s="10" t="n">
        <x:v>33</x:v>
      </x:c>
    </x:row>
    <x:row r="45">
      <x:c r="A45" s="10" t="str">
        <x:v>SCH-T030-NORISK</x:v>
      </x:c>
      <x:c r="B45" s="10" t="str">
        <x:v>计划与进度管理-20260921-V1.xlsx</x:v>
      </x:c>
      <x:c r="C45" s="10" t="str">
        <x:v>项目总控台账</x:v>
      </x:c>
      <x:c r="D45" s="10" t="str">
        <x:v>T030</x:v>
      </x:c>
      <x:c r="E45" s="10" t="n">
        <x:v>33</x:v>
      </x:c>
    </x:row>
    <x:row r="46">
      <x:c r="A46" s="10" t="str">
        <x:v>SCH-T031-OVERDUE</x:v>
      </x:c>
      <x:c r="B46" s="10" t="str">
        <x:v>计划与进度管理-20260921-V1.xlsx</x:v>
      </x:c>
      <x:c r="C46" s="10" t="str">
        <x:v>项目总控台账</x:v>
      </x:c>
      <x:c r="D46" s="10" t="str">
        <x:v>T031</x:v>
      </x:c>
      <x:c r="E46" s="10" t="n">
        <x:v>34</x:v>
      </x:c>
    </x:row>
    <x:row r="47">
      <x:c r="A47" s="10" t="str">
        <x:v>SCH-T031-NORISK</x:v>
      </x:c>
      <x:c r="B47" s="10" t="str">
        <x:v>计划与进度管理-20260921-V1.xlsx</x:v>
      </x:c>
      <x:c r="C47" s="10" t="str">
        <x:v>项目总控台账</x:v>
      </x:c>
      <x:c r="D47" s="10" t="str">
        <x:v>T031</x:v>
      </x:c>
      <x:c r="E47" s="10" t="n">
        <x:v>34</x:v>
      </x:c>
    </x:row>
    <x:row r="48">
      <x:c r="A48" s="10" t="str">
        <x:v>SCH-T032-OVERDUE</x:v>
      </x:c>
      <x:c r="B48" s="10" t="str">
        <x:v>计划与进度管理-20260921-V1.xlsx</x:v>
      </x:c>
      <x:c r="C48" s="10" t="str">
        <x:v>项目总控台账</x:v>
      </x:c>
      <x:c r="D48" s="10" t="str">
        <x:v>T032</x:v>
      </x:c>
      <x:c r="E48" s="10" t="n">
        <x:v>35</x:v>
      </x:c>
    </x:row>
    <x:row r="49">
      <x:c r="A49" s="10" t="str">
        <x:v>SCH-T032-NORISK</x:v>
      </x:c>
      <x:c r="B49" s="10" t="str">
        <x:v>计划与进度管理-20260921-V1.xlsx</x:v>
      </x:c>
      <x:c r="C49" s="10" t="str">
        <x:v>项目总控台账</x:v>
      </x:c>
      <x:c r="D49" s="10" t="str">
        <x:v>T032</x:v>
      </x:c>
      <x:c r="E49" s="10" t="n">
        <x:v>35</x:v>
      </x:c>
    </x:row>
    <x:row r="50">
      <x:c r="A50" s="10" t="str">
        <x:v>SCH-T033-DUE14</x:v>
      </x:c>
      <x:c r="B50" s="10" t="str">
        <x:v>计划与进度管理-20260921-V1.xlsx</x:v>
      </x:c>
      <x:c r="C50" s="10" t="str">
        <x:v>项目总控台账</x:v>
      </x:c>
      <x:c r="D50" s="10" t="str">
        <x:v>T033</x:v>
      </x:c>
      <x:c r="E50" s="10" t="n">
        <x:v>36</x:v>
      </x:c>
    </x:row>
    <x:row r="51">
      <x:c r="A51" s="10" t="str">
        <x:v>SCH-T034-DUE14</x:v>
      </x:c>
      <x:c r="B51" s="10" t="str">
        <x:v>计划与进度管理-20260921-V1.xlsx</x:v>
      </x:c>
      <x:c r="C51" s="10" t="str">
        <x:v>项目总控台账</x:v>
      </x:c>
      <x:c r="D51" s="10" t="str">
        <x:v>T034</x:v>
      </x:c>
      <x:c r="E51" s="10" t="n">
        <x:v>37</x:v>
      </x:c>
    </x:row>
    <x:row r="52">
      <x:c r="A52" s="10" t="str">
        <x:v>SCH-T035-DUE14</x:v>
      </x:c>
      <x:c r="B52" s="10" t="str">
        <x:v>计划与进度管理-20260921-V1.xlsx</x:v>
      </x:c>
      <x:c r="C52" s="10" t="str">
        <x:v>项目总控台账</x:v>
      </x:c>
      <x:c r="D52" s="10" t="str">
        <x:v>T035</x:v>
      </x:c>
      <x:c r="E52" s="10" t="n">
        <x:v>38</x:v>
      </x:c>
    </x:row>
    <x:row r="53">
      <x:c r="A53" s="10" t="str">
        <x:v>SCH-T036-DUE14</x:v>
      </x:c>
      <x:c r="B53" s="10" t="str">
        <x:v>计划与进度管理-20260921-V1.xlsx</x:v>
      </x:c>
      <x:c r="C53" s="10" t="str">
        <x:v>项目总控台账</x:v>
      </x:c>
      <x:c r="D53" s="10" t="str">
        <x:v>T036</x:v>
      </x:c>
      <x:c r="E53" s="10" t="n">
        <x:v>39</x:v>
      </x:c>
    </x:row>
    <x:row r="54">
      <x:c r="A54" s="10" t="str">
        <x:v>SCH-T037-DUE14</x:v>
      </x:c>
      <x:c r="B54" s="10" t="str">
        <x:v>计划与进度管理-20260921-V1.xlsx</x:v>
      </x:c>
      <x:c r="C54" s="10" t="str">
        <x:v>项目总控台账</x:v>
      </x:c>
      <x:c r="D54" s="10" t="str">
        <x:v>T037</x:v>
      </x:c>
      <x:c r="E54" s="10" t="n">
        <x:v>40</x:v>
      </x:c>
    </x:row>
    <x:row r="55">
      <x:c r="A55" s="10" t="str">
        <x:v>RSK-RSK-001</x:v>
      </x:c>
      <x:c r="B55" s="10" t="str">
        <x:v>风险管理-20260918-V1.xlsx</x:v>
      </x:c>
      <x:c r="C55" s="10" t="str">
        <x:v>风险登记册</x:v>
      </x:c>
      <x:c r="D55" s="10" t="str">
        <x:v>RSK-001</x:v>
      </x:c>
      <x:c r="E55" s="10" t="n">
        <x:v>9</x:v>
      </x:c>
    </x:row>
    <x:row r="56">
      <x:c r="A56" s="10" t="str">
        <x:v>RSK-RSK-001-RESPONSE</x:v>
      </x:c>
      <x:c r="B56" s="10" t="str">
        <x:v>风险管理-20260918-V1.xlsx</x:v>
      </x:c>
      <x:c r="C56" s="10" t="str">
        <x:v>风险登记册</x:v>
      </x:c>
      <x:c r="D56" s="10" t="str">
        <x:v>RSK-001</x:v>
      </x:c>
      <x:c r="E56" s="10" t="n">
        <x:v>9</x:v>
      </x:c>
    </x:row>
    <x:row r="57">
      <x:c r="A57" s="10" t="str">
        <x:v>RSK-RSK-002</x:v>
      </x:c>
      <x:c r="B57" s="10" t="str">
        <x:v>风险管理-20260918-V1.xlsx</x:v>
      </x:c>
      <x:c r="C57" s="10" t="str">
        <x:v>风险登记册</x:v>
      </x:c>
      <x:c r="D57" s="10" t="str">
        <x:v>RSK-002</x:v>
      </x:c>
      <x:c r="E57" s="10" t="n">
        <x:v>10</x:v>
      </x:c>
    </x:row>
    <x:row r="58">
      <x:c r="A58" s="10" t="str">
        <x:v>RSK-RSK-003</x:v>
      </x:c>
      <x:c r="B58" s="10" t="str">
        <x:v>风险管理-20260918-V1.xlsx</x:v>
      </x:c>
      <x:c r="C58" s="10" t="str">
        <x:v>风险登记册</x:v>
      </x:c>
      <x:c r="D58" s="10" t="str">
        <x:v>RSK-003</x:v>
      </x:c>
      <x:c r="E58" s="10" t="n">
        <x:v>11</x:v>
      </x:c>
    </x:row>
    <x:row r="59">
      <x:c r="A59" s="10" t="str">
        <x:v>RSK-RSK-004</x:v>
      </x:c>
      <x:c r="B59" s="10" t="str">
        <x:v>风险管理-20260918-V1.xlsx</x:v>
      </x:c>
      <x:c r="C59" s="10" t="str">
        <x:v>风险登记册</x:v>
      </x:c>
      <x:c r="D59" s="10" t="str">
        <x:v>RSK-004</x:v>
      </x:c>
      <x:c r="E59" s="10" t="n">
        <x:v>12</x:v>
      </x:c>
    </x:row>
    <x:row r="60">
      <x:c r="A60" s="10" t="str">
        <x:v>RSK-RSK-005</x:v>
      </x:c>
      <x:c r="B60" s="10" t="str">
        <x:v>风险管理-20260918-V1.xlsx</x:v>
      </x:c>
      <x:c r="C60" s="10" t="str">
        <x:v>风险登记册</x:v>
      </x:c>
      <x:c r="D60" s="10" t="str">
        <x:v>RSK-005</x:v>
      </x:c>
      <x:c r="E60" s="10" t="n">
        <x:v>13</x:v>
      </x:c>
    </x:row>
    <x:row r="61">
      <x:c r="A61" s="10" t="str">
        <x:v>RSK-RSK-006</x:v>
      </x:c>
      <x:c r="B61" s="10" t="str">
        <x:v>风险管理-20260918-V1.xlsx</x:v>
      </x:c>
      <x:c r="C61" s="10" t="str">
        <x:v>风险登记册</x:v>
      </x:c>
      <x:c r="D61" s="10" t="str">
        <x:v>RSK-006</x:v>
      </x:c>
      <x:c r="E61" s="10" t="n">
        <x:v>14</x:v>
      </x:c>
    </x:row>
    <x:row r="62">
      <x:c r="A62" s="10" t="str">
        <x:v>RSK-RSK-007</x:v>
      </x:c>
      <x:c r="B62" s="10" t="str">
        <x:v>风险管理-20260918-V1.xlsx</x:v>
      </x:c>
      <x:c r="C62" s="10" t="str">
        <x:v>风险登记册</x:v>
      </x:c>
      <x:c r="D62" s="10" t="str">
        <x:v>RSK-007</x:v>
      </x:c>
      <x:c r="E62" s="10" t="n">
        <x:v>15</x:v>
      </x:c>
    </x:row>
    <x:row r="63">
      <x:c r="A63" s="10" t="str">
        <x:v>RSK-RSK-008</x:v>
      </x:c>
      <x:c r="B63" s="10" t="str">
        <x:v>风险管理-20260918-V1.xlsx</x:v>
      </x:c>
      <x:c r="C63" s="10" t="str">
        <x:v>风险登记册</x:v>
      </x:c>
      <x:c r="D63" s="10" t="str">
        <x:v>RSK-008</x:v>
      </x:c>
      <x:c r="E63" s="10" t="n">
        <x:v>16</x:v>
      </x:c>
    </x:row>
    <x:row r="64">
      <x:c r="A64" s="10" t="str">
        <x:v>RSK-RSK-009</x:v>
      </x:c>
      <x:c r="B64" s="10" t="str">
        <x:v>风险管理-20260918-V1.xlsx</x:v>
      </x:c>
      <x:c r="C64" s="10" t="str">
        <x:v>风险登记册</x:v>
      </x:c>
      <x:c r="D64" s="10" t="str">
        <x:v>RSK-009</x:v>
      </x:c>
      <x:c r="E64" s="10" t="n">
        <x:v>17</x:v>
      </x:c>
    </x:row>
    <x:row r="65">
      <x:c r="A65" s="10" t="str">
        <x:v>ISS-G10</x:v>
      </x:c>
      <x:c r="B65" s="10" t="str">
        <x:v>问题与变更管理-20260918-V1.xlsx</x:v>
      </x:c>
      <x:c r="C65" s="10" t="str">
        <x:v>问题台账</x:v>
      </x:c>
      <x:c r="D65" s="10" t="str">
        <x:v>G10</x:v>
      </x:c>
      <x:c r="E65" s="10" t="n">
        <x:v>4</x:v>
      </x:c>
    </x:row>
    <x:row r="66">
      <x:c r="A66" s="10" t="str">
        <x:v>ISS-G09</x:v>
      </x:c>
      <x:c r="B66" s="10" t="str">
        <x:v>问题与变更管理-20260918-V1.xlsx</x:v>
      </x:c>
      <x:c r="C66" s="10" t="str">
        <x:v>问题台账</x:v>
      </x:c>
      <x:c r="D66" s="10" t="str">
        <x:v>G09</x:v>
      </x:c>
      <x:c r="E66" s="10" t="n">
        <x:v>5</x:v>
      </x:c>
    </x:row>
    <x:row r="67">
      <x:c r="A67" s="10" t="str">
        <x:v>ISS-G19</x:v>
      </x:c>
      <x:c r="B67" s="10" t="str">
        <x:v>问题与变更管理-20260918-V1.xlsx</x:v>
      </x:c>
      <x:c r="C67" s="10" t="str">
        <x:v>问题台账</x:v>
      </x:c>
      <x:c r="D67" s="10" t="str">
        <x:v>G19</x:v>
      </x:c>
      <x:c r="E67" s="10" t="n">
        <x:v>6</x:v>
      </x:c>
    </x:row>
    <x:row r="68">
      <x:c r="A68" s="10" t="str">
        <x:v>ISS-G16</x:v>
      </x:c>
      <x:c r="B68" s="10" t="str">
        <x:v>问题与变更管理-20260918-V1.xlsx</x:v>
      </x:c>
      <x:c r="C68" s="10" t="str">
        <x:v>问题台账</x:v>
      </x:c>
      <x:c r="D68" s="10" t="str">
        <x:v>G16</x:v>
      </x:c>
      <x:c r="E68" s="10" t="n">
        <x:v>7</x:v>
      </x:c>
    </x:row>
    <x:row r="69">
      <x:c r="A69" s="10" t="str">
        <x:v>ISS-G08</x:v>
      </x:c>
      <x:c r="B69" s="10" t="str">
        <x:v>问题与变更管理-20260918-V1.xlsx</x:v>
      </x:c>
      <x:c r="C69" s="10" t="str">
        <x:v>问题台账</x:v>
      </x:c>
      <x:c r="D69" s="10" t="str">
        <x:v>G08</x:v>
      </x:c>
      <x:c r="E69" s="10" t="n">
        <x:v>8</x:v>
      </x:c>
    </x:row>
    <x:row r="70">
      <x:c r="A70" s="10" t="str">
        <x:v>ISS-G03/G11</x:v>
      </x:c>
      <x:c r="B70" s="10" t="str">
        <x:v>问题与变更管理-20260918-V1.xlsx</x:v>
      </x:c>
      <x:c r="C70" s="10" t="str">
        <x:v>问题台账</x:v>
      </x:c>
      <x:c r="D70" s="10" t="str">
        <x:v>G03/G11</x:v>
      </x:c>
      <x:c r="E70" s="10" t="n">
        <x:v>9</x:v>
      </x:c>
    </x:row>
    <x:row r="71">
      <x:c r="A71" s="10" t="str">
        <x:v>ISS-G15</x:v>
      </x:c>
      <x:c r="B71" s="10" t="str">
        <x:v>问题与变更管理-20260918-V1.xlsx</x:v>
      </x:c>
      <x:c r="C71" s="10" t="str">
        <x:v>问题台账</x:v>
      </x:c>
      <x:c r="D71" s="10" t="str">
        <x:v>G15</x:v>
      </x:c>
      <x:c r="E71" s="10" t="n">
        <x:v>10</x:v>
      </x:c>
    </x:row>
    <x:row r="72">
      <x:c r="A72" s="10" t="str">
        <x:v>ISS-G14</x:v>
      </x:c>
      <x:c r="B72" s="10" t="str">
        <x:v>问题与变更管理-20260918-V1.xlsx</x:v>
      </x:c>
      <x:c r="C72" s="10" t="str">
        <x:v>问题台账</x:v>
      </x:c>
      <x:c r="D72" s="10" t="str">
        <x:v>G14</x:v>
      </x:c>
      <x:c r="E72" s="10" t="n">
        <x:v>11</x:v>
      </x:c>
    </x:row>
    <x:row r="73">
      <x:c r="A73" s="10" t="str">
        <x:v>ISS-G01/G19/G20</x:v>
      </x:c>
      <x:c r="B73" s="10" t="str">
        <x:v>问题与变更管理-20260918-V1.xlsx</x:v>
      </x:c>
      <x:c r="C73" s="10" t="str">
        <x:v>问题台账</x:v>
      </x:c>
      <x:c r="D73" s="10" t="str">
        <x:v>G01/G19/G20</x:v>
      </x:c>
      <x:c r="E73" s="10" t="n">
        <x:v>12</x:v>
      </x:c>
    </x:row>
    <x:row r="74">
      <x:c r="A74" s="10" t="str">
        <x:v>ISS-G17</x:v>
      </x:c>
      <x:c r="B74" s="10" t="str">
        <x:v>问题与变更管理-20260918-V1.xlsx</x:v>
      </x:c>
      <x:c r="C74" s="10" t="str">
        <x:v>问题台账</x:v>
      </x:c>
      <x:c r="D74" s="10" t="str">
        <x:v>G17</x:v>
      </x:c>
      <x:c r="E74" s="10" t="n">
        <x:v>13</x:v>
      </x:c>
    </x:row>
    <x:row r="75">
      <x:c r="A75" s="10" t="str">
        <x:v>ISS-G05</x:v>
      </x:c>
      <x:c r="B75" s="10" t="str">
        <x:v>问题与变更管理-20260918-V1.xlsx</x:v>
      </x:c>
      <x:c r="C75" s="10" t="str">
        <x:v>问题台账</x:v>
      </x:c>
      <x:c r="D75" s="10" t="str">
        <x:v>G05</x:v>
      </x:c>
      <x:c r="E75" s="10" t="n">
        <x:v>14</x:v>
      </x:c>
    </x:row>
    <x:row r="76">
      <x:c r="A76" s="10" t="str">
        <x:v>ISS-G07</x:v>
      </x:c>
      <x:c r="B76" s="10" t="str">
        <x:v>问题与变更管理-20260918-V1.xlsx</x:v>
      </x:c>
      <x:c r="C76" s="10" t="str">
        <x:v>问题台账</x:v>
      </x:c>
      <x:c r="D76" s="10" t="str">
        <x:v>G07</x:v>
      </x:c>
      <x:c r="E76" s="10" t="n">
        <x:v>15</x:v>
      </x:c>
    </x:row>
    <x:row r="77">
      <x:c r="A77" s="10" t="str">
        <x:v>DEC-D-001</x:v>
      </x:c>
      <x:c r="B77" s="10" t="str">
        <x:v>问题与变更管理-20260918-V1.xlsx</x:v>
      </x:c>
      <x:c r="C77" s="10" t="str">
        <x:v>待决策事项</x:v>
      </x:c>
      <x:c r="D77" s="10" t="str">
        <x:v>D-001</x:v>
      </x:c>
      <x:c r="E77" s="10" t="n">
        <x:v>5</x:v>
      </x:c>
    </x:row>
    <x:row r="78">
      <x:c r="A78" s="10" t="str">
        <x:v>DEC-D-002</x:v>
      </x:c>
      <x:c r="B78" s="10" t="str">
        <x:v>问题与变更管理-20260918-V1.xlsx</x:v>
      </x:c>
      <x:c r="C78" s="10" t="str">
        <x:v>待决策事项</x:v>
      </x:c>
      <x:c r="D78" s="10" t="str">
        <x:v>D-002</x:v>
      </x:c>
      <x:c r="E78" s="10" t="n">
        <x:v>6</x:v>
      </x:c>
    </x:row>
    <x:row r="79">
      <x:c r="A79" s="10" t="str">
        <x:v>DEC-D-003</x:v>
      </x:c>
      <x:c r="B79" s="10" t="str">
        <x:v>问题与变更管理-20260918-V1.xlsx</x:v>
      </x:c>
      <x:c r="C79" s="10" t="str">
        <x:v>待决策事项</x:v>
      </x:c>
      <x:c r="D79" s="10" t="str">
        <x:v>D-003</x:v>
      </x:c>
      <x:c r="E79" s="10" t="n">
        <x:v>7</x:v>
      </x:c>
    </x:row>
    <x:row r="80">
      <x:c r="A80" s="10" t="str">
        <x:v>DEC-D-004</x:v>
      </x:c>
      <x:c r="B80" s="10" t="str">
        <x:v>问题与变更管理-20260918-V1.xlsx</x:v>
      </x:c>
      <x:c r="C80" s="10" t="str">
        <x:v>待决策事项</x:v>
      </x:c>
      <x:c r="D80" s="10" t="str">
        <x:v>D-004</x:v>
      </x:c>
      <x:c r="E80" s="10" t="n">
        <x:v>8</x:v>
      </x:c>
    </x:row>
    <x:row r="81">
      <x:c r="A81" s="10" t="str">
        <x:v>COM-DECISION-DEC-001</x:v>
      </x:c>
      <x:c r="B81" s="10" t="str">
        <x:v>沟通会议与报告-20260918-V3.xlsx</x:v>
      </x:c>
      <x:c r="C81" s="10" t="str">
        <x:v>决策日志</x:v>
      </x:c>
      <x:c r="D81" s="10" t="str">
        <x:v>DEC-001</x:v>
      </x:c>
      <x:c r="E81" s="10" t="n">
        <x:v>5</x:v>
      </x:c>
    </x:row>
    <x:row r="82">
      <x:c r="A82" s="10" t="str">
        <x:v>COM-DECISION-DEC-002</x:v>
      </x:c>
      <x:c r="B82" s="10" t="str">
        <x:v>沟通会议与报告-20260918-V3.xlsx</x:v>
      </x:c>
      <x:c r="C82" s="10" t="str">
        <x:v>决策日志</x:v>
      </x:c>
      <x:c r="D82" s="10" t="str">
        <x:v>DEC-002</x:v>
      </x:c>
      <x:c r="E82" s="10" t="n">
        <x:v>6</x:v>
      </x:c>
    </x:row>
    <x:row r="83">
      <x:c r="A83" s="10" t="str">
        <x:v>COM-DECISION-DEC-003</x:v>
      </x:c>
      <x:c r="B83" s="10" t="str">
        <x:v>沟通会议与报告-20260918-V3.xlsx</x:v>
      </x:c>
      <x:c r="C83" s="10" t="str">
        <x:v>决策日志</x:v>
      </x:c>
      <x:c r="D83" s="10" t="str">
        <x:v>DEC-003</x:v>
      </x:c>
      <x:c r="E83" s="10" t="n">
        <x:v>7</x:v>
      </x:c>
    </x:row>
  </x:sheetData>
  <x:mergeCells>
    <x:mergeCell ref="A2:E2"/>
    <x:mergeCell ref="A3:E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A6A6A6"/>
  </x:sheetPr>
  <x:sheetViews>
    <x:sheetView showGridLines="0" workbookViewId="0"/>
  </x:sheetViews>
  <x:sheetFormatPr defaultRowHeight="15"/>
  <x:cols>
    <x:col min="1" max="1" width="18" hidden="0" customWidth="1"/>
    <x:col min="2" max="2" width="90" hidden="0" customWidth="1"/>
  </x:cols>
  <x:sheetData>
    <x:row r="2">
      <x:c r="A2" s="1" t="str">
        <x:v>Agent运行结果使用说明</x:v>
      </x:c>
    </x:row>
    <x:row r="3">
      <x:c r="A3" s="2" t="str">
        <x:v>本工作簿是Agent分析快照；确认结果应回写源项目台账后重新运行Agent。 </x:v>
      </x:c>
    </x:row>
    <x:row r="5" ht="30" customHeight="1">
      <x:c r="A5" s="25" t="str">
        <x:v>项目</x:v>
      </x:c>
      <x:c r="B5" s="18" t="str">
        <x:v>能源行业合同全生命周期管理系统</x:v>
      </x:c>
    </x:row>
    <x:row r="6" ht="30" customHeight="1">
      <x:c r="A6" s="25" t="str">
        <x:v>数据日期</x:v>
      </x:c>
      <x:c r="B6" s="18" t="str">
        <x:v>2026-09-30</x:v>
      </x:c>
    </x:row>
    <x:row r="7" ht="30" customHeight="1">
      <x:c r="A7" s="25" t="str">
        <x:v>运行ID</x:v>
      </x:c>
      <x:c r="B7" s="18" t="str">
        <x:v>AGENT-20260930-141342</x:v>
      </x:c>
    </x:row>
    <x:row r="8" ht="30" customHeight="1">
      <x:c r="A8" s="25" t="str">
        <x:v>来源报告</x:v>
      </x:c>
      <x:c r="B8" s="18" t="str">
        <x:v>agent-report-20260930.json</x:v>
      </x:c>
    </x:row>
    <x:row r="9" ht="30" customHeight="1">
      <x:c r="A9" s="25" t="str">
        <x:v>运行命令</x:v>
      </x:c>
      <x:c r="B9" s="18" t="str">
        <x:v>automation/run.sh agents --date YYYY-MM-DD</x:v>
      </x:c>
    </x:row>
    <x:row r="10" ht="30" customHeight="1">
      <x:c r="A10" s="25" t="str">
        <x:v>更新方式</x:v>
      </x:c>
      <x:c r="B10" s="18" t="str">
        <x:v>先更新源Excel，再运行Agent；命令会自动刷新JSON、数据库审计和本工作簿</x:v>
      </x:c>
    </x:row>
    <x:row r="11" ht="30" customHeight="1">
      <x:c r="A11" s="25" t="str">
        <x:v>黄色字段</x:v>
      </x:c>
      <x:c r="B11" s="18" t="str">
        <x:v>由项目经理或授权人填写确认状态和人工结论</x:v>
      </x:c>
    </x:row>
    <x:row r="12" ht="30" customHeight="1">
      <x:c r="A12" s="25" t="str">
        <x:v>审批边界</x:v>
      </x:c>
      <x:c r="B12" s="18" t="str">
        <x:v>Agent只提出建议，不直接修改基线、预算、状态、风险等级或关闭结论</x:v>
      </x:c>
    </x:row>
    <x:row r="13" ht="30" customHeight="1">
      <x:c r="A13" s="25" t="str">
        <x:v>证据要求</x:v>
      </x:c>
      <x:c r="B13" s="18" t="str">
        <x:v>正式结论须能追溯到来源文件、工作表、记录ID和源行号</x:v>
      </x:c>
    </x:row>
  </x:sheetData>
  <x:mergeCells>
    <x:mergeCell ref="A2:B2"/>
    <x:mergeCell ref="A3:B3"/>
  </x:mergeCells>
  <x:pageMargins left="0.7" right="0.7" top="0.75" bottom="0.75" header="0.3" footer="0.3"/>
</x:worksheet>
</file>
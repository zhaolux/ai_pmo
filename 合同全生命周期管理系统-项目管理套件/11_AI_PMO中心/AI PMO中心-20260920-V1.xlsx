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260" windowHeight="12660" activeTab="1"/>
  </x:bookViews>
  <x:sheets>
    <x:sheet name="使用说明" sheetId="8" r:id="rId1"/>
    <x:sheet name="项目驾驶舱" sheetId="1" r:id="rId2"/>
    <x:sheet name="AI项目诊断" sheetId="2" r:id="rId3"/>
    <x:sheet name="数据质量检查" sheetId="3" r:id="rId4"/>
    <x:sheet name="两周督办" sheetId="4" r:id="rId5"/>
    <x:sheet name="PMO周报" sheetId="5" r:id="rId6"/>
    <x:sheet name="AI运行日志" sheetId="6" r:id="rId7"/>
    <x:sheet name="_数据接口" sheetId="7" r:id="rId8"/>
  </x:sheet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<x:sst xmlns:x="http://schemas.openxmlformats.org/spreadsheetml/2006/main" count="846" uniqueCount="344">
  <x:si>
    <x:t>AI PMO中心-20260917-V1 使用说明</x:t>
  </x:si>
  <x:si>
    <x:t/>
  </x:si>
  <x:si>
    <x:t>用途</x:t>
  </x:si>
  <x:si>
    <x:t>整合项目驾驶舱、AI诊断、数据质量、督办和周报，形成项目组合级监控入口。</x:t>
  </x:si>
  <x:si>
    <x:t>适用对象</x:t>
  </x:si>
  <x:si>
    <x:t>项目集经理、项目经理、PMO、治理委员会和数据维护人</x:t>
  </x:si>
  <x:si>
    <x:t>更新频率</x:t>
  </x:si>
  <x:si>
    <x:t>上游模块更新后刷新；周报发布前至少完成一次数据质量检查。</x:t>
  </x:si>
  <x:si>
    <x:t>颜色约定</x:t>
  </x:si>
  <x:si>
    <x:t>浅蓝为表头；黄色为人工输入；图表和汇总来自上游或运行结果。</x:t>
  </x:si>
  <x:si>
    <x:t>推荐使用流程</x:t>
  </x:si>
  <x:si>
    <x:t>先更新01—09模块及90项目数据中心</x:t>
  </x:si>
  <x:si>
    <x:t>执行标准刷新程序，读取各模块_data接口或数据库</x:t>
  </x:si>
  <x:si>
    <x:t>查看数据质量检查并处理缺失、重复、日期和状态异常</x:t>
  </x:si>
  <x:si>
    <x:t>查看项目驾驶舱和AI项目诊断，识别红黄项</x:t>
  </x:si>
  <x:si>
    <x:t>形成两周督办及PMO周报，明确责任人和期限</x:t>
  </x:si>
  <x:si>
    <x:t>将每次运行结果写入AI运行日志，保留来源和异常信息</x:t>
  </x:si>
  <x:si>
    <x:t>工作表</x:t>
  </x:si>
  <x:si>
    <x:t>维护提示</x:t>
  </x:si>
  <x:si>
    <x:t>项目驾驶舱</x:t>
  </x:si>
  <x:si>
    <x:t>查看进度、风险、资源、质量和成本等综合指标。</x:t>
  </x:si>
  <x:si>
    <x:t>刷新后检查数据日期和图表范围。</x:t>
  </x:si>
  <x:si>
    <x:t>AI项目诊断</x:t>
  </x:si>
  <x:si>
    <x:t>汇总项目异常、成因、影响和建议动作。</x:t>
  </x:si>
  <x:si>
    <x:t>诊断结论须由项目经理确认。</x:t>
  </x:si>
  <x:si>
    <x:t>数据质量检查</x:t>
  </x:si>
  <x:si>
    <x:t>检查缺失字段、非法状态、重复编号和跨表不一致。</x:t>
  </x:si>
  <x:si>
    <x:t>先处理阻断级错误，再处理提示项。</x:t>
  </x:si>
  <x:si>
    <x:t>两周督办</x:t>
  </x:si>
  <x:si>
    <x:t>聚焦未来两周到期、逾期和关键门禁事项。</x:t>
  </x:si>
  <x:si>
    <x:t>每项必须有责任人、期限和状态。</x:t>
  </x:si>
  <x:si>
    <x:t>PMO周报</x:t>
  </x:si>
  <x:si>
    <x:t>形成治理层周度汇报。</x:t>
  </x:si>
  <x:si>
    <x:t>发布前核对数据日期、结论和待决策事项。</x:t>
  </x:si>
  <x:si>
    <x:t>AI运行日志</x:t>
  </x:si>
  <x:si>
    <x:t>记录刷新时间、输入文件、结果、异常和处理状态。</x:t>
  </x:si>
  <x:si>
    <x:t>自动刷新后必须新增一条日志，不覆盖历史。</x:t>
  </x:si>
  <x:si>
    <x:t>_数据接口</x:t>
  </x:si>
  <x:si>
    <x:t>供Python程序读取PMO状态和版本信息。</x:t>
  </x:si>
  <x:si>
    <x:t>人工一般不直接修改。</x:t>
  </x:si>
  <x:si>
    <x:t>维护与检查规则</x:t>
  </x:si>
  <x:si>
    <x:t>上游模块是事实来源，AI PMO中心不替代业务台账。</x:t>
  </x:si>
  <x:si>
    <x:t>运行日志必须写入，失败运行也要记录错误原因。</x:t>
  </x:si>
  <x:si>
    <x:t>发现数据日期落后、文件缺失或字段变化时停止发布周报。</x:t>
  </x:si>
  <x:si>
    <x:t>图表、诊断和督办项必须能追溯至来源模块和记录编号。</x:t>
  </x:si>
  <x:si>
    <x:t>周报发布前检查公式错误、空责任人、逾期事项和未决策事项。</x:t>
  </x:si>
  <x:si>
    <x:t>版本升级后将被替换文件移入本模块_archive目录。</x:t>
  </x:si>
  <x:si>
    <x:t>能源行业合同全生命周期管理系统｜AI PMO项目驾驶舱</x:t>
  </x:si>
  <x:si>
    <x:t>统计日期</x:t>
  </x:si>
  <x:si>
    <x:t>总任务数</x:t>
  </x:si>
  <x:si>
    <x:t>已完成</x:t>
  </x:si>
  <x:si>
    <x:t>进行中</x:t>
  </x:si>
  <x:si>
    <x:t>未开始/待确认</x:t>
  </x:si>
  <x:si>
    <x:t>暂停/挂起</x:t>
  </x:si>
  <x:si>
    <x:t>平均进度</x:t>
  </x:si>
  <x:si>
    <x:t>已延期</x:t>
  </x:si>
  <x:si>
    <x:t>14天内到期</x:t>
  </x:si>
  <x:si>
    <x:t>重大风险</x:t>
  </x:si>
  <x:si>
    <x:t>高风险</x:t>
  </x:si>
  <x:si>
    <x:t>未关闭门禁</x:t>
  </x:si>
  <x:si>
    <x:t>待决策</x:t>
  </x:si>
  <x:si>
    <x:t>里程碑完成</x:t>
  </x:si>
  <x:si>
    <x:t>项目健康度</x:t>
  </x:si>
  <x:si>
    <x:t>0/17</x:t>
  </x:si>
  <x:si>
    <x:t>红</x:t>
  </x:si>
  <x:si>
    <x:t>综合进度</x:t>
  </x:si>
  <x:si>
    <x:t>计划投入人天</x:t>
  </x:si>
  <x:si>
    <x:t>计划人工成本</x:t>
  </x:si>
  <x:si>
    <x:t>人日单价</x:t>
  </x:si>
  <x:si>
    <x:t>必过门禁未通过</x:t>
  </x:si>
  <x:si>
    <x:t>重点相关方</x:t>
  </x:si>
  <x:si>
    <x:t>不支持相关方</x:t>
  </x:si>
  <x:si>
    <x:t>沟通逾期</x:t>
  </x:si>
  <x:si>
    <x:t>任务状态</x:t>
  </x:si>
  <x:si>
    <x:t>数量</x:t>
  </x:si>
  <x:si>
    <x:t>管理判断</x:t>
  </x:si>
  <x:si>
    <x:t>风险与门禁</x:t>
  </x:si>
  <x:si>
    <x:t>里程碑</x:t>
  </x:si>
  <x:si>
    <x:t>计划完成</x:t>
  </x:si>
  <x:si>
    <x:t>状态</x:t>
  </x:si>
  <x:si>
    <x:t>健康度</x:t>
  </x:si>
  <x:si>
    <x:t>责任人</x:t>
  </x:si>
  <x:si>
    <x:t>交付物</x:t>
  </x:si>
  <x:si>
    <x:t>以验收证据为准</x:t>
  </x:si>
  <x:si>
    <x:t>重大剩余风险</x:t>
  </x:si>
  <x:si>
    <x:t>立即升级指导委员会</x:t>
  </x:si>
  <x:si>
    <x:t>可研工作启动</x:t>
  </x:si>
  <x:si>
    <x:t>计划日期已到，待确认</x:t>
  </x:si>
  <x:si>
    <x:t>项目经理</x:t>
  </x:si>
  <x:si>
    <x:t>可研工作方案</x:t>
  </x:si>
  <x:si>
    <x:t>跟踪承诺日期</x:t>
  </x:si>
  <x:si>
    <x:t>高剩余风险</x:t>
  </x:si>
  <x:si>
    <x:t>每周检查应对证据</x:t>
  </x:si>
  <x:si>
    <x:t>可行性研究完成</x:t>
  </x:si>
  <x:si>
    <x:t>进行中（待确认）</x:t>
  </x:si>
  <x:si>
    <x:t>黄</x:t>
  </x:si>
  <x:si>
    <x:t>项目集经理</x:t>
  </x:si>
  <x:si>
    <x:t>项目可行性研究报告</x:t>
  </x:si>
  <x:si>
    <x:t>确认历史任务实际状态</x:t>
  </x:si>
  <x:si>
    <x:t>趋势上升风险</x:t>
  </x:si>
  <x:si>
    <x:t>触发专项评审</x:t>
  </x:si>
  <x:si>
    <x:t>原业务梳理完成</x:t>
  </x:si>
  <x:si>
    <x:t>产品经理</x:t>
  </x:si>
  <x:si>
    <x:t>现状流程、问题及改进机会清单</x:t>
  </x:si>
  <x:si>
    <x:t>必须记录恢复条件</x:t>
  </x:si>
  <x:si>
    <x:t>未关闭不得正式启动</x:t>
  </x:si>
  <x:si>
    <x:t>项目规范基线确认</x:t>
  </x:si>
  <x:si>
    <x:t>项目管理与研发规范</x:t>
  </x:si>
  <x:si>
    <x:t>制定纠偏或基线变更</x:t>
  </x:si>
  <x:si>
    <x:t>待决策事项</x:t>
  </x:si>
  <x:si>
    <x:t>按需要日期完成决策</x:t>
  </x:si>
  <x:si>
    <x:t>技术架构基线确认</x:t>
  </x:si>
  <x:si>
    <x:t>绿</x:t>
  </x:si>
  <x:si>
    <x:t>技术经理</x:t>
  </x:si>
  <x:si>
    <x:t>总体技术架构和环境基础</x:t>
  </x:si>
  <x:si>
    <x:t>管理关注点</x:t>
  </x:si>
  <x:si>
    <x:t>序号</x:t>
  </x:si>
  <x:si>
    <x:t>关注事项</x:t>
  </x:si>
  <x:si>
    <x:t>下一步</x:t>
  </x:si>
  <x:si>
    <x:t>等级</x:t>
  </x:si>
  <x:si>
    <x:t>1</x:t>
  </x:si>
  <x:si>
    <x:t>POC选型</x:t>
  </x:si>
  <x:si>
    <x:t>9月25日前完成CA、电子文档和BI量化评分及选型建议</x:t>
  </x:si>
  <x:si>
    <x:t>重大</x:t>
  </x:si>
  <x:si>
    <x:t>2</x:t>
  </x:si>
  <x:si>
    <x:t>架构基线</x:t>
  </x:si>
  <x:si>
    <x:t>9月30日前关闭重大评审意见并发布架构基线</x:t>
  </x:si>
  <x:si>
    <x:t>高</x:t>
  </x:si>
  <x:si>
    <x:t>3</x:t>
  </x:si>
  <x:si>
    <x:t>启动门禁</x:t>
  </x:si>
  <x:si>
    <x:t>10月16日前关闭17项必过门禁并形成正式评审结论</x:t>
  </x:si>
  <x:si>
    <x:t>4</x:t>
  </x:si>
  <x:si>
    <x:t>项目基线</x:t>
  </x:si>
  <x:si>
    <x:t>完成章程、范围、预算、资源及整体管理计划批准</x:t>
  </x:si>
  <x:si>
    <x:t>5</x:t>
  </x:si>
  <x:si>
    <x:t>外部接口</x:t>
  </x:si>
  <x:si>
    <x:t>确认ERP、财务、OA及电子签章的接口人和联调窗口</x:t>
  </x:si>
  <x:si>
    <x:t>数据截止2026-09-16。客观状态根据总控、风险和启动门禁快照形成，管理结论须由项目经理确认。</x:t>
  </x:si>
  <x:si>
    <x:t>数据日期</x:t>
  </x:si>
  <x:si>
    <x:t>项目经理判断</x:t>
  </x:si>
  <x:si>
    <x:t>待确认</x:t>
  </x:si>
  <x:si>
    <x:t>总体判断</x:t>
  </x:si>
  <x:si>
    <x:t>项目当前为红色：正式启动前的基线、POC、风险和门禁证据尚未闭环。</x:t>
  </x:si>
  <x:si>
    <x:t>任务总数</x:t>
  </x:si>
  <x:si>
    <x:t>已完成任务</x:t>
  </x:si>
  <x:si>
    <x:t>逾期任务</x:t>
  </x:si>
  <x:si>
    <x:t>维度</x:t>
  </x:si>
  <x:si>
    <x:t>客观判断</x:t>
  </x:si>
  <x:si>
    <x:t>触发规则</x:t>
  </x:si>
  <x:si>
    <x:t>建议动作</x:t>
  </x:si>
  <x:si>
    <x:t>责任角色</x:t>
  </x:si>
  <x:si>
    <x:t>进度</x:t>
  </x:si>
  <x:si>
    <x:t>28项任务已延期或计划完成日已过</x:t>
  </x:si>
  <x:si>
    <x:t>红色需升级；黄色需纠偏；绿色保持监控</x:t>
  </x:si>
  <x:si>
    <x:t>先确认历史任务实际状态，再形成纠偏或基线变更</x:t>
  </x:si>
  <x:si>
    <x:t>风险</x:t>
  </x:si>
  <x:si>
    <x:t>1项重大、8项高剩余风险</x:t>
  </x:si>
  <x:si>
    <x:t>重大风险提请指导委员会审议</x:t>
  </x:si>
  <x:si>
    <x:t>风险责任人</x:t>
  </x:si>
  <x:si>
    <x:t>启动准备</x:t>
  </x:si>
  <x:si>
    <x:t>17项必过门禁尚未通过</x:t>
  </x:si>
  <x:si>
    <x:t>按10月16日门禁评审倒排证据提交</x:t>
  </x:si>
  <x:si>
    <x:t>决策</x:t>
  </x:si>
  <x:si>
    <x:t>4项事项等待管理层决策</x:t>
  </x:si>
  <x:si>
    <x:t>按需要日期准备方案和推荐意见</x:t>
  </x:si>
  <x:si>
    <x:t>灰</x:t>
  </x:si>
  <x:si>
    <x:t>数据</x:t>
  </x:si>
  <x:si>
    <x:t>28项历史任务缺少实际状态或问题说明</x:t>
  </x:si>
  <x:si>
    <x:t>在源总控台账补齐状态、实际日期和说明</x:t>
  </x:si>
  <x:si>
    <x:t>台账维护人</x:t>
  </x:si>
  <x:si>
    <x:t>相关方</x:t>
  </x:si>
  <x:si>
    <x:t>4名重点管理相关方，0名不支持</x:t>
  </x:si>
  <x:si>
    <x:t>持续执行分层沟通并记录结果</x:t>
  </x:si>
  <x:si>
    <x:t>检查计划完成日已过但状态仍为待确认/未开始，且未记录问题说明的任务。请在源总控台账修正。</x:t>
  </x:si>
  <x:si>
    <x:t>来源</x:t>
  </x:si>
  <x:si>
    <x:t>记录ID</x:t>
  </x:si>
  <x:si>
    <x:t>任务名称</x:t>
  </x:si>
  <x:si>
    <x:t>计划开始</x:t>
  </x:si>
  <x:si>
    <x:t>发现的问题</x:t>
  </x:si>
  <x:si>
    <x:t>检查状态</x:t>
  </x:si>
  <x:si>
    <x:t>源行号</x:t>
  </x:si>
  <x:si>
    <x:t>项目总控台账</x:t>
  </x:si>
  <x:si>
    <x:t>T001</x:t>
  </x:si>
  <x:si>
    <x:t>明确可研目标、范围与边界</x:t>
  </x:si>
  <x:si>
    <x:t>计划完成日已过，执行状态和实际证据未确认</x:t>
  </x:si>
  <x:si>
    <x:t>需整改</x:t>
  </x:si>
  <x:si>
    <x:t>补充实际状态、实际日期、问题/阻塞及完成证据</x:t>
  </x:si>
  <x:si>
    <x:t>T002</x:t>
  </x:si>
  <x:si>
    <x:t>建立相关方清单与访谈计划</x:t>
  </x:si>
  <x:si>
    <x:t>T003</x:t>
  </x:si>
  <x:si>
    <x:t>评审并发布可研工作方案</x:t>
  </x:si>
  <x:si>
    <x:t>T009</x:t>
  </x:si>
  <x:si>
    <x:t>梳理合同业务组织与职责</x:t>
  </x:si>
  <x:si>
    <x:t>T004</x:t>
  </x:si>
  <x:si>
    <x:t>完成业务可行性与需求价值分析</x:t>
  </x:si>
  <x:si>
    <x:t>T010</x:t>
  </x:si>
  <x:si>
    <x:t>盘点合同全生命周期业务流程</x:t>
  </x:si>
  <x:si>
    <x:t>T005</x:t>
  </x:si>
  <x:si>
    <x:t>完成技术路线与系统边界论证</x:t>
  </x:si>
  <x:si>
    <x:t>T011</x:t>
  </x:si>
  <x:si>
    <x:t>盘点既有系统、接口与数据</x:t>
  </x:si>
  <x:si>
    <x:t>T012</x:t>
  </x:si>
  <x:si>
    <x:t>访谈业务部门并形成痛点清单</x:t>
  </x:si>
  <x:si>
    <x:t>T006</x:t>
  </x:si>
  <x:si>
    <x:t>测算投资、成本与预期收益</x:t>
  </x:si>
  <x:si>
    <x:t>T013</x:t>
  </x:si>
  <x:si>
    <x:t>确认现状流程、问题与改进机会基线</x:t>
  </x:si>
  <x:si>
    <x:t>T014</x:t>
  </x:si>
  <x:si>
    <x:t>制定项目治理、会议与报告机制</x:t>
  </x:si>
  <x:si>
    <x:t>T019</x:t>
  </x:si>
  <x:si>
    <x:t>完成系统分层、模块与服务边界设计</x:t>
  </x:si>
  <x:si>
    <x:t>T015</x:t>
  </x:si>
  <x:si>
    <x:t>制定需求分级、跟踪与变更规范</x:t>
  </x:si>
  <x:si>
    <x:t>T020</x:t>
  </x:si>
  <x:si>
    <x:t>完成主数据、交易数据与分析数据架构</x:t>
  </x:si>
  <x:si>
    <x:t>T007</x:t>
  </x:si>
  <x:si>
    <x:t>形成实施路径、资源与风险建议</x:t>
  </x:si>
  <x:si>
    <x:t>T016</x:t>
  </x:si>
  <x:si>
    <x:t>制定设计、编码与代码评审规范</x:t>
  </x:si>
  <x:si>
    <x:t>T021</x:t>
  </x:si>
  <x:si>
    <x:t>完成内部及外部接口总体架构</x:t>
  </x:si>
  <x:si>
    <x:t>高级开发人员</x:t>
  </x:si>
  <x:si>
    <x:t>T017</x:t>
  </x:si>
  <x:si>
    <x:t>制定测试、缺陷与质量门禁规范</x:t>
  </x:si>
  <x:si>
    <x:t>测试人员</x:t>
  </x:si>
  <x:si>
    <x:t>T025</x:t>
  </x:si>
  <x:si>
    <x:t>编制CA、电子文档、BI报表POC方案与评分标准</x:t>
  </x:si>
  <x:si>
    <x:t>T026</x:t>
  </x:si>
  <x:si>
    <x:t>验证证书签发、身份认证和证书管理</x:t>
  </x:si>
  <x:si>
    <x:t>T027</x:t>
  </x:si>
  <x:si>
    <x:t>验证电子签名、验签、时间戳和审计追溯</x:t>
  </x:si>
  <x:si>
    <x:t>T022</x:t>
  </x:si>
  <x:si>
    <x:t>完成身份、权限、审计与数据安全设计</x:t>
  </x:si>
  <x:si>
    <x:t>T018</x:t>
  </x:si>
  <x:si>
    <x:t>制定配置、发布与文档归档规范</x:t>
  </x:si>
  <x:si>
    <x:t>配置人员</x:t>
  </x:si>
  <x:si>
    <x:t>T028</x:t>
  </x:si>
  <x:si>
    <x:t>验证模板生成、在线预览和格式转换</x:t>
  </x:si>
  <x:si>
    <x:t>中级开发人员</x:t>
  </x:si>
  <x:si>
    <x:t>T029</x:t>
  </x:si>
  <x:si>
    <x:t>验证水印、权限控制、归档和大文件性能</x:t>
  </x:si>
  <x:si>
    <x:t>T023</x:t>
  </x:si>
  <x:si>
    <x:t>完成环境、网络、容灾和DevOps设计</x:t>
  </x:si>
  <x:si>
    <x:t>T030</x:t>
  </x:si>
  <x:si>
    <x:t>验证数据接入、指标模型和经营报表</x:t>
  </x:si>
  <x:si>
    <x:t>纳入已延期任务及未来14天到期的未完成任务；承诺日期和完成证据由责任人维护。</x:t>
  </x:si>
  <x:si>
    <x:t>是否纳入</x:t>
  </x:si>
  <x:si>
    <x:t>任务ID</x:t>
  </x:si>
  <x:si>
    <x:t>总体状态</x:t>
  </x:si>
  <x:si>
    <x:t>主责人</x:t>
  </x:si>
  <x:si>
    <x:t>距截止天数</x:t>
  </x:si>
  <x:si>
    <x:t>延期状态</x:t>
  </x:si>
  <x:si>
    <x:t>当前问题/阻塞</x:t>
  </x:si>
  <x:si>
    <x:t>承诺完成</x:t>
  </x:si>
  <x:si>
    <x:t>完成证据</x:t>
  </x:si>
  <x:si>
    <x:t>是</x:t>
  </x:si>
  <x:si>
    <x:t>MS001</x:t>
  </x:si>
  <x:si>
    <x:t>确认实际状态；完成、纠偏或提交基线变更</x:t>
  </x:si>
  <x:si>
    <x:t>MS003</x:t>
  </x:si>
  <x:si>
    <x:t>MS002</x:t>
  </x:si>
  <x:si>
    <x:t>MS004</x:t>
  </x:si>
  <x:si>
    <x:t>MS005</x:t>
  </x:si>
  <x:si>
    <x:t>MS017</x:t>
  </x:si>
  <x:si>
    <x:t>T008</x:t>
  </x:si>
  <x:si>
    <x:t>汇编可研报告并组织评审</x:t>
  </x:si>
  <x:si>
    <x:t>临近到期</x:t>
  </x:si>
  <x:si>
    <x:t>按计划提交可验收证据</x:t>
  </x:si>
  <x:si>
    <x:t>T031</x:t>
  </x:si>
  <x:si>
    <x:t>验证权限、钻取、导出和查询性能</x:t>
  </x:si>
  <x:si>
    <x:t>T032</x:t>
  </x:si>
  <x:si>
    <x:t>汇总问题清单、适配结论和产品选型建议</x:t>
  </x:si>
  <x:si>
    <x:t>未开始</x:t>
  </x:si>
  <x:si>
    <x:t>正常</x:t>
  </x:si>
  <x:si>
    <x:t>T024</x:t>
  </x:si>
  <x:si>
    <x:t>汇编总体技术架构并完成基线评审</x:t>
  </x:si>
  <x:si>
    <x:t>数据截止2026-09-16。面向项目领导，重点呈现状态、风险、决策和未来两周行动。</x:t>
  </x:si>
  <x:si>
    <x:t>报告日期</x:t>
  </x:si>
  <x:si>
    <x:t>项目状态</x:t>
  </x:si>
  <x:si>
    <x:t>状态说明</x:t>
  </x:si>
  <x:si>
    <x:t>正式启动前仍有17项必过门禁未通过、1项重大剩余风险和4项待决策事项。</x:t>
  </x:si>
  <x:si>
    <x:t>一、本周总体判断</x:t>
  </x:si>
  <x:si>
    <x:t>项目总体为红色。最大失控点是历史计划执行状态未及时回写，同时POC选型、技术架构、预算资源和启动门禁尚未形成批准证据。</x:t>
  </x:si>
  <x:si>
    <x:t>二、本周完成事项</x:t>
  </x:si>
  <x:si>
    <x:t>完成相关方管理整合、POC评分工具、启动门禁清单以及风险问题闭环工具，并同步形成12项风险和4项待决策事项。</x:t>
  </x:si>
  <x:si>
    <x:t>三、未来两周重点</x:t>
  </x:si>
  <x:si>
    <x:t>完成POC评分与选型建议；关闭架构评审意见；确认30人团队到位计划；完成章程、范围、预算和风险治理材料。</x:t>
  </x:si>
  <x:si>
    <x:t>四、主要风险与问题</x:t>
  </x:si>
  <x:si>
    <x:t>重大剩余风险1项，高剩余风险8项。重点关注安全合规基线、外部接口联调窗口、POC选型和项目正式授权。</x:t>
  </x:si>
  <x:si>
    <x:t>五、待决策与需协调事项</x:t>
  </x:si>
  <x:si>
    <x:t>需决定CA/电子文档/BI产品选型、一期P0范围、项目预算与采购路径，以及2026年10月20日正式启动结论。</x:t>
  </x:si>
  <x:si>
    <x:t>自动指标</x:t>
  </x:si>
  <x:si>
    <x:t>本期值</x:t>
  </x:si>
  <x:si>
    <x:t>管理含义</x:t>
  </x:si>
  <x:si>
    <x:t>任务完成率</x:t>
  </x:si>
  <x:si>
    <x:t>观察总体交付进展</x:t>
  </x:si>
  <x:si>
    <x:t>逾期任务数</x:t>
  </x:si>
  <x:si>
    <x:t>确认实际状态并制定纠偏</x:t>
  </x:si>
  <x:si>
    <x:t>重大/高剩余风险</x:t>
  </x:si>
  <x:si>
    <x:t>确认应对责任和升级需求</x:t>
  </x:si>
  <x:si>
    <x:t>明确决策人和最迟日期</x:t>
  </x:si>
  <x:si>
    <x:t>数据质量问题</x:t>
  </x:si>
  <x:si>
    <x:t>提高AI诊断可信度</x:t>
  </x:si>
  <x:si>
    <x:t>记录每次AI分析的输入范围、发现、建议、人工确认和处理结果，便于追踪与复盘。</x:t>
  </x:si>
  <x:si>
    <x:t>运行ID</x:t>
  </x:si>
  <x:si>
    <x:t>运行时间</x:t>
  </x:si>
  <x:si>
    <x:t>分析类型</x:t>
  </x:si>
  <x:si>
    <x:t>分析范围</x:t>
  </x:si>
  <x:si>
    <x:t>主要发现</x:t>
  </x:si>
  <x:si>
    <x:t>风险等级</x:t>
  </x:si>
  <x:si>
    <x:t>AI建议</x:t>
  </x:si>
  <x:si>
    <x:t>人工结论</x:t>
  </x:si>
  <x:si>
    <x:t>处理人</x:t>
  </x:si>
  <x:si>
    <x:t>处理状态</x:t>
  </x:si>
  <x:si>
    <x:t>完成时间</x:t>
  </x:si>
  <x:si>
    <x:t>RUN-20260916-001</x:t>
  </x:si>
  <x:si>
    <x:t>项目综合诊断</x:t>
  </x:si>
  <x:si>
    <x:t>里程碑、总控、资源、相关方、门禁、风险和决策</x:t>
  </x:si>
  <x:si>
    <x:t>项目健康度为红；必过门禁、重大风险和待决策事项尚未闭环</x:t>
  </x:si>
  <x:si>
    <x:t>按9月25日、9月30日和10月16日三个节点推进POC、架构和启动门禁</x:t>
  </x:si>
  <x:si>
    <x:t>待项目经理确认</x:t>
  </x:si>
  <x:si>
    <x:t>待处理</x:t>
  </x:si>
  <x:si>
    <x:t>字段</x:t>
  </x:si>
  <x:si>
    <x:t>值</x:t>
  </x:si>
  <x:si>
    <x:t>Project_ID</x:t>
  </x:si>
  <x:si>
    <x:t>ECM-2026</x:t>
  </x:si>
  <x:si>
    <x:t>项目名称</x:t>
  </x:si>
  <x:si>
    <x:t>能源行业合同全生命周期管理系统</x:t>
  </x:si>
  <x:si>
    <x:t>模块编码</x:t>
  </x:si>
  <x:si>
    <x:t>10</x:t>
  </x:si>
  <x:si>
    <x:t>2026-09-16</x:t>
  </x:si>
  <x:si>
    <x:t>数据模式</x:t>
  </x:si>
  <x:si>
    <x:t>跨工作簿快照</x:t>
  </x:si>
  <x:si>
    <x:t>里程碑来源</x:t>
  </x:si>
  <x:si>
    <x:t>02_计划与进度管理/计划与进度管理-20260916-V1.xlsx</x:t>
  </x:si>
  <x:si>
    <x:t>启动门禁来源</x:t>
  </x:si>
  <x:si>
    <x:t>01_项目启动与治理/项目启动与治理-20260916-V1.xlsx</x:t>
  </x:si>
  <x:si>
    <x:t>风险来源</x:t>
  </x:si>
  <x:si>
    <x:t>06_风险问题与变更/风险问题与变更-20260917-V3.xlsx</x:t>
  </x:si>
  <x:si>
    <x:t>刷新说明</x:t>
  </x:si>
  <x:si>
    <x:t>源台账更新后重新运行AI PMO同步</x:t>
  </x:si>
  <x:si>
    <x:t>风险总数</x:t>
  </x:si>
  <x:si>
    <x:t>启动门禁数</x:t>
  </x:si>
  <x:si>
    <x:t>待决策数</x:t>
  </x:si>
  <x:si>
    <x:t>生成日期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</x:si>
</x:sst>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1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yyyy\-mm\-dd\ hh:mm"/>
    <x:numFmt numFmtId="178" formatCode="0.0%"/>
    <x:numFmt numFmtId="179" formatCode="0.0"/>
    <x:numFmt numFmtId="180" formatCode="\¥#,##0"/>
    <x:numFmt numFmtId="181" formatCode="#,##0.0"/>
    <x:numFmt numFmtId="182" formatCode="¥#,##0"/>
    <x:numFmt numFmtId="183" formatCode="¥#,##0.00"/>
    <x:numFmt numFmtId="184" formatCode="yyyy-mm-dd"/>
    <x:numFmt numFmtId="185" formatCode="yyyy-mm-dd hh:mm"/>
  </x:numFmts>
  <x:fonts count="31">
    <x:font>
      <x:sz val="11"/>
      <x:color theme="1"/>
      <x:name val="Calibri"/>
      <x:charset val="134"/>
    </x:font>
    <x:font>
      <x:b/>
      <x:sz val="10"/>
      <x:color rgb="FFFFFFFF"/>
      <x:name val="Arial"/>
      <x:charset val="134"/>
    </x:font>
    <x:font>
      <x:sz val="10"/>
      <x:color rgb="FF1F2937"/>
      <x:name val="Arial"/>
      <x:charset val="134"/>
    </x:font>
    <x:font>
      <x:b/>
      <x:sz val="14"/>
      <x:color rgb="FF17365D"/>
      <x:name val="Arial"/>
      <x:charset val="134"/>
    </x:font>
    <x:font>
      <x:i/>
      <x:sz val="10"/>
      <x:color rgb="FF1F2937"/>
      <x:name val="Arial"/>
      <x:charset val="134"/>
    </x:font>
    <x:font>
      <x:b/>
      <x:sz val="10"/>
      <x:color rgb="FF1F2937"/>
      <x:name val="Arial"/>
      <x:charset val="134"/>
    </x:font>
    <x:font>
      <x:b/>
      <x:sz val="10"/>
      <x:color rgb="FF17365D"/>
      <x:name val="Arial"/>
      <x:charset val="134"/>
    </x:font>
    <x:font>
      <x:b/>
      <x:sz val="14"/>
      <x:color rgb="FFFFFFFF"/>
      <x:name val="Arial"/>
      <x:charset val="134"/>
    </x:font>
    <x:font>
      <x:b/>
      <x:sz val="16"/>
      <x:color rgb="FF1F4E78"/>
      <x:name val="Arial"/>
      <x:charset val="134"/>
    </x:font>
    <x:font>
      <x:sz val="10"/>
      <x:color theme="1"/>
      <x:name val="Arial"/>
      <x:charset val="134"/>
    </x:font>
    <x:font>
      <x:b/>
      <x:sz val="10"/>
      <x:color rgb="FF1F4E78"/>
      <x:name val="Arial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</x:fonts>
  <x:fills count="40">
    <x:fill>
      <x:patternFill patternType="none"/>
    </x:fill>
    <x:fill>
      <x:patternFill patternType="gray125"/>
    </x:fill>
    <x:fill>
      <x:patternFill patternType="solid">
        <x:fgColor rgb="FF0B6FA4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9EAF7"/>
        <x:bgColor indexed="64"/>
      </x:patternFill>
    </x:fill>
    <x:fill>
      <x:patternFill patternType="solid">
        <x:fgColor rgb="FF17365D"/>
        <x:bgColor indexed="64"/>
      </x:patternFill>
    </x:fill>
    <x:fill>
      <x:patternFill patternType="solid">
        <x:fgColor theme="3" tint="0.6"/>
        <x:bgColor indexed="64"/>
      </x:patternFill>
    </x:fill>
    <x:fill>
      <x:patternFill patternType="solid">
        <x:fgColor rgb="FFBDD7E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0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 style="thin">
        <x:color rgb="FFD9E1F2"/>
      </x:bottom>
      <x:diagonal/>
    </x:border>
    <x:border>
      <x:left/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/>
      <x:diagonal/>
    </x:border>
    <x:border>
      <x:left/>
      <x:right style="thin">
        <x:color rgb="FFD9E1F2"/>
      </x:right>
      <x:top style="thin">
        <x:color rgb="FFD9E1F2"/>
      </x:top>
      <x:bottom/>
      <x:diagonal/>
    </x:border>
    <x:border>
      <x:left style="thin">
        <x:color rgb="FFD9E1F2"/>
      </x:left>
      <x:right/>
      <x:top/>
      <x:bottom/>
      <x:diagonal/>
    </x:border>
    <x:border>
      <x:left/>
      <x:right style="thin">
        <x:color rgb="FFD9E1F2"/>
      </x:right>
      <x:top/>
      <x:bottom/>
      <x:diagonal/>
    </x:border>
    <x:border>
      <x:left style="thin">
        <x:color rgb="FFD9E1F2"/>
      </x:left>
      <x:right/>
      <x:top/>
      <x:bottom style="thin">
        <x:color rgb="FFD9E1F2"/>
      </x:bottom>
      <x:diagonal/>
    </x:border>
    <x:border>
      <x:left/>
      <x:right/>
      <x:top/>
      <x:bottom style="thin">
        <x:color rgb="FFD9E1F2"/>
      </x:bottom>
      <x:diagonal/>
    </x:border>
    <x:border>
      <x:left/>
      <x:right style="thin">
        <x:color rgb="FFD9E1F2"/>
      </x:right>
      <x:top/>
      <x:bottom style="thin">
        <x:color rgb="FFD9E1F2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11" fillId="0" borderId="0" applyFont="0" applyFill="0" applyBorder="0" applyAlignment="0" applyProtection="0">
      <x:alignment vertical="center"/>
    </x:xf>
    <x:xf numFmtId="44" fontId="11" fillId="0" borderId="0" applyFont="0" applyFill="0" applyBorder="0" applyAlignment="0" applyProtection="0">
      <x:alignment vertical="center"/>
    </x:xf>
    <x:xf numFmtId="9" fontId="11" fillId="0" borderId="0" applyFont="0" applyFill="0" applyBorder="0" applyAlignment="0" applyProtection="0">
      <x:alignment vertical="center"/>
    </x:xf>
    <x:xf numFmtId="41" fontId="11" fillId="0" borderId="0" applyFont="0" applyFill="0" applyBorder="0" applyAlignment="0" applyProtection="0">
      <x:alignment vertical="center"/>
    </x:xf>
    <x:xf numFmtId="42" fontId="1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1" fillId="9" borderId="12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13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0" borderId="14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10" borderId="15" applyNumberFormat="0" applyAlignment="0" applyProtection="0">
      <x:alignment vertical="center"/>
    </x:xf>
    <x:xf numFmtId="0" fontId="21" fillId="11" borderId="16" applyNumberFormat="0" applyAlignment="0" applyProtection="0">
      <x:alignment vertical="center"/>
    </x:xf>
    <x:xf numFmtId="0" fontId="22" fillId="11" borderId="15" applyNumberFormat="0" applyAlignment="0" applyProtection="0">
      <x:alignment vertical="center"/>
    </x:xf>
    <x:xf numFmtId="0" fontId="23" fillId="12" borderId="17" applyNumberFormat="0" applyAlignment="0" applyProtection="0">
      <x:alignment vertical="center"/>
    </x:xf>
    <x:xf numFmtId="0" fontId="24" fillId="0" borderId="18" applyNumberFormat="0" applyFill="0" applyAlignment="0" applyProtection="0">
      <x:alignment vertical="center"/>
    </x:xf>
    <x:xf numFmtId="0" fontId="25" fillId="0" borderId="19" applyNumberFormat="0" applyFill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30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30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30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3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30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30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0" fillId="0" borderId="0"/>
  </x:cellStyleXfs>
  <x:cellXfs count="107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3" borderId="0" xfId="49" applyNumberFormat="1" applyFont="1" applyFill="1" applyBorder="1" applyAlignment="1">
      <x:alignment horizontal="left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2" fillId="3" borderId="2" xfId="49" applyNumberFormat="1" applyFont="1" applyFill="1" applyBorder="1" applyAlignment="1">
      <x:alignment horizontal="left" vertical="center"/>
    </x:xf>
    <x:xf numFmtId="0" fontId="2" fillId="3" borderId="3" xfId="49" applyNumberFormat="1" applyFont="1" applyFill="1" applyBorder="1" applyAlignment="1">
      <x:alignment horizontal="left" vertical="center"/>
    </x:xf>
    <x:xf numFmtId="0" fontId="4" fillId="3" borderId="1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left" vertical="center"/>
    </x:xf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left" vertical="center" wrapText="1"/>
    </x:xf>
    <x:xf numFmtId="176" fontId="2" fillId="3" borderId="1" xfId="49" applyNumberFormat="1" applyFont="1" applyFill="1" applyBorder="1" applyAlignment="1">
      <x:alignment horizontal="left" vertical="center" wrapText="1"/>
    </x:xf>
    <x:xf numFmtId="177" fontId="2" fillId="3" borderId="1" xfId="49" applyNumberFormat="1" applyFont="1" applyFill="1" applyBorder="1" applyAlignment="1">
      <x:alignment horizontal="left" vertical="center"/>
    </x:xf>
    <x:xf numFmtId="176" fontId="2" fillId="3" borderId="1" xfId="49" applyNumberFormat="1" applyFont="1" applyFill="1" applyBorder="1" applyAlignment="1">
      <x:alignment horizontal="left" vertical="center"/>
    </x:xf>
    <x:xf numFmtId="0" fontId="2" fillId="0" borderId="1" xfId="49" applyNumberFormat="1" applyFont="1" applyFill="1" applyBorder="1" applyAlignment="1">
      <x:alignment vertical="center" wrapText="1"/>
    </x:xf>
    <x:xf numFmtId="177" fontId="2" fillId="4" borderId="1" xfId="49" applyNumberFormat="1" applyFont="1" applyFill="1" applyBorder="1" applyAlignment="1">
      <x:alignment vertical="center" wrapText="1"/>
    </x:xf>
    <x:xf numFmtId="0" fontId="2" fillId="4" borderId="1" xfId="49" applyNumberFormat="1" applyFont="1" applyFill="1" applyBorder="1" applyAlignment="1">
      <x:alignment vertical="center" wrapText="1"/>
    </x:xf>
    <x:xf numFmtId="176" fontId="2" fillId="4" borderId="1" xfId="49" applyNumberFormat="1" applyFont="1" applyFill="1" applyBorder="1" applyAlignment="1">
      <x:alignment vertical="center" wrapText="1"/>
    </x:xf>
    <x:xf numFmtId="0" fontId="2" fillId="0" borderId="2" xfId="49" applyNumberFormat="1" applyFont="1" applyFill="1" applyBorder="1" applyAlignment="1">
      <x:alignment vertical="center"/>
    </x:xf>
    <x:xf numFmtId="0" fontId="2" fillId="0" borderId="3" xfId="49" applyNumberFormat="1" applyFont="1" applyFill="1" applyBorder="1" applyAlignment="1">
      <x:alignment vertical="center"/>
    </x:xf>
    <x:xf numFmtId="0" fontId="2" fillId="0" borderId="1" xfId="49" applyNumberFormat="1" applyFont="1" applyFill="1" applyBorder="1" applyAlignment="1">
      <x:alignment vertical="center"/>
    </x:xf>
    <x:xf numFmtId="0" fontId="5" fillId="3" borderId="1" xfId="49" applyNumberFormat="1" applyFont="1" applyFill="1" applyBorder="1" applyAlignment="1">
      <x:alignment horizontal="left" vertical="center"/>
    </x:xf>
    <x:xf numFmtId="176" fontId="2" fillId="4" borderId="1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horizontal="left" vertical="center" wrapText="1"/>
    </x:xf>
    <x:xf numFmtId="0" fontId="2" fillId="0" borderId="0" xfId="49" applyNumberFormat="1" applyFont="1" applyFill="1" applyBorder="1" applyAlignment="1">
      <x:alignment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2" xfId="49" applyNumberFormat="1" applyFont="1" applyFill="1" applyBorder="1" applyAlignment="1">
      <x:alignment horizontal="left" vertical="center"/>
    </x:xf>
    <x:xf numFmtId="0" fontId="2" fillId="3" borderId="4" xfId="49" applyNumberFormat="1" applyFont="1" applyFill="1" applyBorder="1" applyAlignment="1">
      <x:alignment horizontal="left" vertical="center"/>
    </x:xf>
    <x:xf numFmtId="0" fontId="2" fillId="0" borderId="4" xfId="49" applyNumberFormat="1" applyFont="1" applyFill="1" applyBorder="1" applyAlignment="1">
      <x:alignment vertical="center"/>
    </x:xf>
    <x:xf numFmtId="0" fontId="2" fillId="0" borderId="5" xfId="49" applyNumberFormat="1" applyFont="1" applyFill="1" applyBorder="1" applyAlignment="1">
      <x:alignment vertical="center"/>
    </x:xf>
    <x:xf numFmtId="0" fontId="2" fillId="3" borderId="6" xfId="49" applyNumberFormat="1" applyFont="1" applyFill="1" applyBorder="1" applyAlignment="1">
      <x:alignment horizontal="left" vertical="center" wrapText="1"/>
    </x:xf>
    <x:xf numFmtId="0" fontId="2" fillId="0" borderId="7" xfId="49" applyNumberFormat="1" applyFont="1" applyFill="1" applyBorder="1" applyAlignment="1">
      <x:alignment vertical="center"/>
    </x:xf>
    <x:xf numFmtId="0" fontId="2" fillId="3" borderId="8" xfId="49" applyNumberFormat="1" applyFont="1" applyFill="1" applyBorder="1" applyAlignment="1">
      <x:alignment horizontal="left" vertical="center" wrapText="1"/>
    </x:xf>
    <x:xf numFmtId="0" fontId="2" fillId="3" borderId="9" xfId="49" applyNumberFormat="1" applyFont="1" applyFill="1" applyBorder="1" applyAlignment="1">
      <x:alignment horizontal="left" vertical="center"/>
    </x:xf>
    <x:xf numFmtId="0" fontId="2" fillId="0" borderId="9" xfId="49" applyNumberFormat="1" applyFont="1" applyFill="1" applyBorder="1" applyAlignment="1">
      <x:alignment vertical="center"/>
    </x:xf>
    <x:xf numFmtId="0" fontId="2" fillId="0" borderId="10" xfId="49" applyNumberFormat="1" applyFont="1" applyFill="1" applyBorder="1" applyAlignment="1">
      <x:alignment vertical="center"/>
    </x:xf>
    <x:xf numFmtId="0" fontId="6" fillId="5" borderId="1" xfId="49" applyNumberFormat="1" applyFont="1" applyFill="1" applyBorder="1" applyAlignment="1">
      <x:alignment horizontal="left" vertical="center" wrapText="1"/>
    </x:xf>
    <x:xf numFmtId="0" fontId="6" fillId="5" borderId="0" xfId="49" applyNumberFormat="1" applyFont="1" applyFill="1" applyBorder="1" applyAlignment="1">
      <x:alignment horizontal="left" vertical="center" wrapText="1"/>
    </x:xf>
    <x:xf numFmtId="0" fontId="6" fillId="5" borderId="0" xfId="49" applyNumberFormat="1" applyFont="1" applyFill="1" applyBorder="1" applyAlignment="1">
      <x:alignment horizontal="left" vertical="center"/>
    </x:xf>
    <x:xf numFmtId="0" fontId="5" fillId="3" borderId="1" xfId="49" applyNumberFormat="1" applyFont="1" applyFill="1" applyBorder="1" applyAlignment="1">
      <x:alignment horizontal="left" vertical="center" wrapText="1"/>
    </x:xf>
    <x:xf numFmtId="0" fontId="6" fillId="5" borderId="8" xfId="49" applyNumberFormat="1" applyFont="1" applyFill="1" applyBorder="1" applyAlignment="1">
      <x:alignment horizontal="left" vertical="center" wrapText="1"/>
    </x:xf>
    <x:xf numFmtId="0" fontId="6" fillId="5" borderId="9" xfId="49" applyNumberFormat="1" applyFont="1" applyFill="1" applyBorder="1" applyAlignment="1">
      <x:alignment horizontal="left" vertical="center"/>
    </x:xf>
    <x:xf numFmtId="0" fontId="2" fillId="3" borderId="0" xfId="49" applyNumberFormat="1" applyFont="1" applyFill="1" applyBorder="1" applyAlignment="1">
      <x:alignment horizontal="left" vertical="center" wrapText="1"/>
    </x:xf>
    <x:xf numFmtId="0" fontId="6" fillId="5" borderId="6" xfId="49" applyNumberFormat="1" applyFont="1" applyFill="1" applyBorder="1" applyAlignment="1">
      <x:alignment horizontal="left" vertical="center" wrapText="1"/>
    </x:xf>
    <x:xf numFmtId="0" fontId="1" fillId="2" borderId="4" xfId="49" applyNumberFormat="1" applyFont="1" applyFill="1" applyBorder="1" applyAlignment="1">
      <x:alignment horizontal="center" vertical="center" wrapText="1"/>
    </x:xf>
    <x:xf numFmtId="0" fontId="2" fillId="3" borderId="6" xfId="49" applyNumberFormat="1" applyFont="1" applyFill="1" applyBorder="1" applyAlignment="1">
      <x:alignment horizontal="left" vertical="center"/>
    </x:xf>
    <x:xf numFmtId="178" fontId="2" fillId="3" borderId="0" xfId="49" applyNumberFormat="1" applyFont="1" applyFill="1" applyBorder="1" applyAlignment="1">
      <x:alignment horizontal="left" vertical="center"/>
    </x:xf>
    <x:xf numFmtId="0" fontId="2" fillId="3" borderId="8" xfId="49" applyNumberFormat="1" applyFont="1" applyFill="1" applyBorder="1" applyAlignment="1">
      <x:alignment horizontal="left" vertical="center"/>
    </x:xf>
    <x:xf numFmtId="1" fontId="2" fillId="3" borderId="9" xfId="49" applyNumberFormat="1" applyFont="1" applyFill="1" applyBorder="1" applyAlignment="1">
      <x:alignment horizontal="left" vertical="center"/>
    </x:xf>
    <x:xf numFmtId="1" fontId="2" fillId="3" borderId="0" xfId="49" applyNumberFormat="1" applyFont="1" applyFill="1" applyBorder="1" applyAlignment="1">
      <x:alignment horizontal="left" vertical="center"/>
    </x:xf>
    <x:xf numFmtId="1" fontId="5" fillId="3" borderId="1" xfId="49" applyNumberFormat="1" applyFont="1" applyFill="1" applyBorder="1" applyAlignment="1">
      <x:alignment horizontal="left" vertical="center"/>
    </x:xf>
    <x:xf numFmtId="1" fontId="2" fillId="3" borderId="1" xfId="49" applyNumberFormat="1" applyFont="1" applyFill="1" applyBorder="1" applyAlignment="1">
      <x:alignment horizontal="left" vertical="center"/>
    </x:xf>
    <x:xf numFmtId="0" fontId="1" fillId="2" borderId="3" xfId="49" applyNumberFormat="1" applyFont="1" applyFill="1" applyBorder="1" applyAlignment="1">
      <x:alignment horizontal="center" vertical="center" wrapText="1"/>
    </x:xf>
    <x:xf numFmtId="0" fontId="7" fillId="6" borderId="1" xfId="49" applyNumberFormat="1" applyFont="1" applyFill="1" applyBorder="1" applyAlignment="1">
      <x:alignment horizontal="left" vertical="center"/>
    </x:xf>
    <x:xf numFmtId="0" fontId="2" fillId="6" borderId="2" xfId="49" applyNumberFormat="1" applyFont="1" applyFill="1" applyBorder="1" applyAlignment="1">
      <x:alignment horizontal="left" vertical="center"/>
    </x:xf>
    <x:xf numFmtId="0" fontId="2" fillId="6" borderId="3" xfId="49" applyNumberFormat="1" applyFont="1" applyFill="1" applyBorder="1" applyAlignment="1">
      <x:alignment horizontal="left" vertical="center"/>
    </x:xf>
    <x:xf numFmtId="176" fontId="5" fillId="3" borderId="1" xfId="49" applyNumberFormat="1" applyFont="1" applyFill="1" applyBorder="1" applyAlignment="1">
      <x:alignment horizontal="left" vertical="center"/>
    </x:xf>
    <x:xf numFmtId="1" fontId="5" fillId="3" borderId="1" xfId="49" applyNumberFormat="1" applyFont="1" applyFill="1" applyBorder="1" applyAlignment="1">
      <x:alignment horizontal="center" vertical="center"/>
    </x:xf>
    <x:xf numFmtId="178" fontId="5" fillId="3" borderId="1" xfId="49" applyNumberFormat="1" applyFont="1" applyFill="1" applyBorder="1" applyAlignment="1">
      <x:alignment horizontal="center" vertical="center"/>
    </x:xf>
    <x:xf numFmtId="9" fontId="5" fillId="3" borderId="1" xfId="49" applyNumberFormat="1" applyFont="1" applyFill="1" applyBorder="1" applyAlignment="1">
      <x:alignment horizontal="center" vertical="center"/>
    </x:xf>
    <x:xf numFmtId="9" fontId="1" fillId="2" borderId="1" xfId="49" applyNumberFormat="1" applyFont="1" applyFill="1" applyBorder="1" applyAlignment="1">
      <x:alignment horizontal="center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179" fontId="1" fillId="2" borderId="1" xfId="49" applyNumberFormat="1" applyFont="1" applyFill="1" applyBorder="1" applyAlignment="1">
      <x:alignment horizontal="center" vertical="center" wrapText="1"/>
    </x:xf>
    <x:xf numFmtId="180" fontId="5" fillId="3" borderId="1" xfId="49" applyNumberFormat="1" applyFont="1" applyFill="1" applyBorder="1" applyAlignment="1">
      <x:alignment horizontal="left" vertical="center"/>
    </x:xf>
    <x:xf numFmtId="178" fontId="5" fillId="3" borderId="1" xfId="49" applyNumberFormat="1" applyFont="1" applyFill="1" applyBorder="1" applyAlignment="1">
      <x:alignment horizontal="left" vertical="center"/>
    </x:xf>
    <x:xf numFmtId="181" fontId="5" fillId="3" borderId="1" xfId="49" applyNumberFormat="1" applyFont="1" applyFill="1" applyBorder="1" applyAlignment="1">
      <x:alignment horizontal="left" vertical="center"/>
    </x:xf>
    <x:xf numFmtId="180" fontId="2" fillId="3" borderId="0" xfId="49" applyNumberFormat="1" applyFont="1" applyFill="1" applyBorder="1" applyAlignment="1">
      <x:alignment horizontal="left" vertical="center"/>
    </x:xf>
    <x:xf numFmtId="9" fontId="2" fillId="3" borderId="1" xfId="49" applyNumberFormat="1" applyFont="1" applyFill="1" applyBorder="1" applyAlignment="1">
      <x:alignment horizontal="left" vertical="center"/>
    </x:xf>
    <x:xf numFmtId="176" fontId="2" fillId="3" borderId="0" xfId="49" applyNumberFormat="1" applyFont="1" applyFill="1" applyBorder="1" applyAlignment="1">
      <x:alignment horizontal="left" vertical="center" wrapText="1"/>
    </x:xf>
    <x:xf numFmtId="0" fontId="2" fillId="3" borderId="2" xfId="49" applyNumberFormat="1" applyFont="1" applyFill="1" applyBorder="1" applyAlignment="1">
      <x:alignment horizontal="left" vertical="center" wrapText="1"/>
    </x:xf>
    <x:xf numFmtId="176" fontId="2" fillId="3" borderId="2" xfId="49" applyNumberFormat="1" applyFont="1" applyFill="1" applyBorder="1" applyAlignment="1">
      <x:alignment horizontal="left" vertical="center" wrapText="1"/>
    </x:xf>
    <x:xf numFmtId="0" fontId="2" fillId="3" borderId="3" xfId="49" applyNumberFormat="1" applyFont="1" applyFill="1" applyBorder="1" applyAlignment="1">
      <x:alignment horizontal="left" vertical="center" wrapText="1"/>
    </x:xf>
    <x:xf numFmtId="0" fontId="2" fillId="3" borderId="5" xfId="49" applyNumberFormat="1" applyFont="1" applyFill="1" applyBorder="1" applyAlignment="1">
      <x:alignment horizontal="left" vertical="center"/>
    </x:xf>
    <x:xf numFmtId="0" fontId="1" fillId="6" borderId="6" xfId="49" applyNumberFormat="1" applyFont="1" applyFill="1" applyBorder="1" applyAlignment="1">
      <x:alignment horizontal="left" vertical="center"/>
    </x:xf>
    <x:xf numFmtId="0" fontId="1" fillId="6" borderId="0" xfId="49" applyNumberFormat="1" applyFont="1" applyFill="1" applyBorder="1" applyAlignment="1">
      <x:alignment horizontal="left" vertical="center"/>
    </x:xf>
    <x:xf numFmtId="0" fontId="1" fillId="6" borderId="7" xfId="49" applyNumberFormat="1" applyFont="1" applyFill="1" applyBorder="1" applyAlignment="1">
      <x:alignment horizontal="left" vertical="center"/>
    </x:xf>
    <x:xf numFmtId="0" fontId="1" fillId="2" borderId="6" xfId="49" applyNumberFormat="1" applyFont="1" applyFill="1" applyBorder="1" applyAlignment="1">
      <x:alignment horizontal="center" vertical="center" wrapText="1"/>
    </x:xf>
    <x:xf numFmtId="0" fontId="2" fillId="3" borderId="7" xfId="49" applyNumberFormat="1" applyFont="1" applyFill="1" applyBorder="1" applyAlignment="1">
      <x:alignment horizontal="left" vertical="center"/>
    </x:xf>
    <x:xf numFmtId="0" fontId="2" fillId="3" borderId="9" xfId="49" applyNumberFormat="1" applyFont="1" applyFill="1" applyBorder="1" applyAlignment="1">
      <x:alignment horizontal="left" vertical="center" wrapText="1"/>
    </x:xf>
    <x:xf numFmtId="0" fontId="2" fillId="3" borderId="10" xfId="49" applyNumberFormat="1" applyFont="1" applyFill="1" applyBorder="1" applyAlignment="1">
      <x:alignment horizontal="left" vertical="center"/>
    </x:xf>
    <x:xf numFmtId="0" fontId="5" fillId="3" borderId="0" xfId="49" applyNumberFormat="1" applyFont="1" applyFill="1" applyBorder="1" applyAlignment="1">
      <x:alignment horizontal="left" vertical="center" wrapText="1"/>
    </x:xf>
    <x:xf numFmtId="180" fontId="2" fillId="3" borderId="1" xfId="49" applyNumberFormat="1" applyFont="1" applyFill="1" applyBorder="1" applyAlignment="1">
      <x:alignment horizontal="left" vertical="center"/>
    </x:xf>
    <x:xf numFmtId="179" fontId="2" fillId="3" borderId="1" xfId="49" applyNumberFormat="1" applyFont="1" applyFill="1" applyBorder="1" applyAlignment="1">
      <x:alignment horizontal="left" vertical="center"/>
    </x:xf>
    <x:xf numFmtId="0" fontId="5" fillId="3" borderId="10" xfId="49" applyNumberFormat="1" applyFont="1" applyFill="1" applyBorder="1" applyAlignment="1">
      <x:alignment horizontal="left" vertical="center"/>
    </x:xf>
    <x:xf numFmtId="0" fontId="8" fillId="7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9" fillId="0" borderId="11" xfId="0" applyFont="1" applyBorder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10" fillId="8" borderId="0" xfId="0" applyFont="1" applyFill="1" applyAlignment="1">
      <x:alignment vertical="center" wrapText="1"/>
    </x:xf>
    <x:xf numFmtId="182" fontId="2" fillId="3" borderId="0" applyNumberFormat="1" applyFont="1" applyFill="1" applyBorder="1" applyAlignment="1">
      <x:alignment horizontal="left" vertical="center"/>
    </x:xf>
    <x:xf numFmtId="183" fontId="5" fillId="3" borderId="1" applyNumberFormat="1" applyFont="1" applyFill="1" applyBorder="1" applyAlignment="1">
      <x:alignment horizontal="left" vertical="center"/>
    </x:xf>
    <x:xf numFmtId="184" fontId="5" fillId="3" borderId="1" applyNumberFormat="1" applyFont="1" applyFill="1" applyBorder="1" applyAlignment="1">
      <x:alignment horizontal="left" vertical="center"/>
    </x:xf>
    <x:xf numFmtId="181" fontId="0" fillId="0" borderId="0" applyNumberFormat="1"/>
    <x:xf numFmtId="182" fontId="0" fillId="0" borderId="0" applyNumberFormat="1"/>
    <x:xf numFmtId="183" fontId="0" fillId="0" borderId="0" applyNumberFormat="1"/>
    <x:xf numFmtId="184" fontId="2" fillId="3" borderId="1" applyNumberFormat="1" applyFont="1" applyFill="1" applyBorder="1" applyAlignment="1">
      <x:alignment horizontal="left" vertical="center" wrapText="1"/>
    </x:xf>
    <x:xf numFmtId="184" fontId="2" fillId="3" borderId="1" applyNumberFormat="1" applyFont="1" applyFill="1" applyBorder="1" applyAlignment="1">
      <x:alignment horizontal="left" vertical="center"/>
    </x:xf>
    <x:xf numFmtId="185" fontId="2" fillId="3" borderId="1" applyNumberFormat="1" applyFont="1" applyFill="1" applyBorder="1" applyAlignment="1">
      <x:alignment horizontal="left" vertical="center"/>
    </x:xf>
    <x:xf numFmtId="184" fontId="2" fillId="3" borderId="0" applyNumberFormat="1" applyFont="1" applyFill="1" applyBorder="1" applyAlignment="1">
      <x:alignment horizontal="left" vertical="center" wrapText="1"/>
    </x:xf>
    <x:xf numFmtId="184" fontId="2" fillId="3" borderId="2" applyNumberFormat="1" applyFont="1" applyFill="1" applyBorder="1" applyAlignment="1">
      <x:alignment horizontal="left" vertical="center" wrapText="1"/>
    </x:xf>
    <x:xf numFmtId="0" fontId="2" fillId="3" borderId="1" xfId="49" applyNumberFormat="1" applyFont="1" applyFill="1" applyBorder="1" applyAlignment="1">
      <x:alignment horizontal="left" vertical="center" wrapText="1"/>
    </x:xf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left" vertical="center" wrapText="1"/>
    </x:xf>
    <x:xf numFmtId="0" fontId="2" fillId="3" borderId="0" xfId="49" applyNumberFormat="1" applyFont="1" applyFill="1" applyBorder="1" applyAlignment="1">
      <x:alignment horizontal="left" vertical="center" wrapText="1"/>
    </x:xf>
    <x:xf numFmtId="0" fontId="2" fillId="3" borderId="2" xfId="49" applyNumberFormat="1" applyFont="1" applyFill="1" applyBorder="1" applyAlignment="1">
      <x:alignment horizontal="left" vertical="center" wrapText="1"/>
    </x:xf>
    <x:xf numFmtId="0" fontId="1" fillId="2" borderId="3" applyNumberFormat="1" applyFont="1" applyFill="1" applyBorder="1" applyAlignment="1">
      <x:alignment horizontal="center" vertical="center"/>
    </x:xf>
    <x:xf numFmtId="9" fontId="2" fillId="3" borderId="0" applyNumberFormat="1" applyFont="1" applyFill="1" applyBorder="1" applyAlignment="1">
      <x:alignment horizontal="left" vertical="center"/>
    </x:xf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Normal" xfId="49"/>
  </x:cellStyles>
  <x:dxfs count="17"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</x:dxf>
    <x:dxf>
      <x:font>
        <x:b val="1"/>
        <x:color theme="1"/>
      </x:font>
    </x:dxf>
    <x:dxf>
      <x:font>
        <x:b val="1"/>
        <x:color theme="1"/>
      </x:font>
      <x:border>
        <x:top style="double">
          <x:color theme="4"/>
        </x:top>
      </x:border>
    </x:dxf>
    <x:dxf>
      <x:font>
        <x:b val="1"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75585192419"/>
        </x:horizontal>
      </x:border>
    </x:dxf>
    <x:dxf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b val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75585192419"/>
        </x:bottom>
      </x:border>
    </x:dxf>
    <x:dxf>
      <x:font>
        <x:b val="1"/>
        <x:color theme="1"/>
      </x:font>
    </x:dxf>
    <x:dxf>
      <x:font>
        <x:b val="1"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top style="thin">
          <x:color theme="4" tint="0.399975585192419"/>
        </x:top>
        <x:bottom style="thin">
          <x:color theme="4" tint="0.399975585192419"/>
        </x:bottom>
      </x:border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</x:dxf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 mc:Ignorable="c14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任务状态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2F75B5"/>
            </a:solidFill>
          </c:spPr>
          <c:invertIfNegative val="0"/>
          <c:dLbls>
            <c:delete val="1"/>
          </c:dLbls>
          <c:cat>
            <c:strRef>
              <c:f>项目驾驶舱!$A$12:$A$16</c:f>
              <c:strCache>
                <c:ptCount val="5"/>
                <c:pt idx="0">
                  <c:v>已完成</c:v>
                </c:pt>
                <c:pt idx="1">
                  <c:v>进行中</c:v>
                </c:pt>
                <c:pt idx="2">
                  <c:v>未开始/待确认</c:v>
                </c:pt>
                <c:pt idx="3">
                  <c:v>暂停/挂起</c:v>
                </c:pt>
                <c:pt idx="4">
                  <c:v>已延期</c:v>
                </c:pt>
              </c:strCache>
            </c:strRef>
          </c:cat>
          <c:val>
            <c:numRef>
              <c:f>项目驾驶舱!$B$12:$B$16</c:f>
              <c:numCache>
                <c:formatCode>General</c:formatCode>
                <c:ptCount val="5"/>
                <c:pt idx="0">
                  <c:v>12</c:v>
                </c:pt>
                <c:pt idx="1">
                  <c:v>3</c:v>
                </c:pt>
                <c:pt idx="2">
                  <c:v>120</c:v>
                </c:pt>
                <c:pt idx="3">
                  <c:v>0</c:v>
                </c:pt>
                <c:pt idx="4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 mc:Ignorable="c14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风险与启动门禁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项目驾驶舱!$E$12:$E$16</c:f>
              <c:strCache>
                <c:ptCount val="5"/>
                <c:pt idx="0">
                  <c:v>重大剩余风险</c:v>
                </c:pt>
                <c:pt idx="1">
                  <c:v>高剩余风险</c:v>
                </c:pt>
                <c:pt idx="2">
                  <c:v>趋势上升风险</c:v>
                </c:pt>
                <c:pt idx="3">
                  <c:v>必过门禁未通过</c:v>
                </c:pt>
                <c:pt idx="4">
                  <c:v>待决策事项</c:v>
                </c:pt>
              </c:strCache>
            </c:strRef>
          </c:cat>
          <c:val>
            <c:numRef>
              <c:f>项目驾驶舱!$F$12:$F$16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l="0.7" r="0.7" t="0.75" b="0.75" header="0.3" footer="0.3"/>
    <c:pageSetup/>
  </c:printSettings>
</c:chartSpace>
</file>

<file path=xl/charts/chart3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 mc:Ignorable="c14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  <a:endParaRPr sz="1800" b="1" i="0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chemeClr val="lt1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AI项目诊断!$H$15:$H$18</c:f>
              <c:numCache>
                <c:formatCode>General</c:formatCode>
                <c:ptCount val="4"/>
              </c:numCache>
            </c:numRef>
          </c:cat>
          <c:val>
            <c:numRef>
              <c:f>AI项目诊断!$I$15:$I$18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  <a:endPara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l="0.7" r="0.7" t="0.75" b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0</xdr:colOff>
      <xdr:row>39</xdr:row>
      <xdr:rowOff>0</xdr:rowOff>
    </xdr:to>
    <xdr:graphicFrame>
      <xdr:nvGraphicFramePr>
        <xdr:cNvPr id="2" name="Chart"/>
        <xdr:cNvGraphicFramePr/>
      </xdr:nvGraphicFramePr>
      <xdr:xfrm>
        <a:off x="0" y="8331200"/>
        <a:ext cx="1121664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>
      <xdr:nvGraphicFramePr>
        <xdr:cNvPr id="3" name="Chart"/>
        <xdr:cNvGraphicFramePr/>
      </xdr:nvGraphicFramePr>
      <xdr:xfrm>
        <a:off x="11216640" y="8331200"/>
        <a:ext cx="1048512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19</xdr:row>
      <xdr:rowOff>0</xdr:rowOff>
    </xdr:from>
    <xdr:ext cx="3600000" cy="2629900"/>
    <xdr:graphicFrame>
      <xdr:nvGraphicFramePr>
        <xdr:cNvPr id="2" name="Chart"/>
        <xdr:cNvGraphicFramePr/>
      </xdr:nvGraphicFramePr>
      <xdr:xfrm>
        <a:off x="10078720" y="4826000"/>
        <a:ext cx="359981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F8C8D"/>
  </x:sheetPr>
  <x:dimension ref="A1:C30"/>
  <x:sheetViews>
    <x:sheetView workbookViewId="0">
      <x:pane ySplit="1" topLeftCell="A2" activePane="bottomLeft" state="frozen"/>
      <x:selection/>
      <x:selection pane="bottomLeft" activeCell="B3" sqref="B3"/>
    </x:sheetView>
  </x:sheetViews>
  <x:sheetFormatPr defaultColWidth="8.4375" defaultRowHeight="16.8" outlineLevelCol="2"/>
  <x:cols>
    <x:col min="1" max="1" width="18" customWidth="1"/>
    <x:col min="2" max="2" width="64" customWidth="1"/>
    <x:col min="3" max="3" width="34" customWidth="1"/>
  </x:cols>
  <x:sheetData>
    <x:row r="1" spans="1:3" ht="24">
      <x:c r="A1" s="84" t="str">
        <x:v>AI PMO中心-20260920-V1 使用说明</x:v>
      </x:c>
      <x:c r="B1" s="84"/>
      <x:c r="C1" s="85" t="s">
        <x:v>1</x:v>
      </x:c>
    </x:row>
    <x:row r="2" spans="1:3">
      <x:c r="A2" s="86" t="s">
        <x:v>2</x:v>
      </x:c>
      <x:c r="B2" s="86" t="s">
        <x:v>3</x:v>
      </x:c>
      <x:c r="C2" s="87" t="s">
        <x:v>1</x:v>
      </x:c>
    </x:row>
    <x:row r="3" spans="1:3">
      <x:c r="A3" s="86" t="s">
        <x:v>4</x:v>
      </x:c>
      <x:c r="B3" s="86" t="s">
        <x:v>5</x:v>
      </x:c>
      <x:c r="C3" s="87" t="s">
        <x:v>1</x:v>
      </x:c>
    </x:row>
    <x:row r="4" spans="1:3">
      <x:c r="A4" s="86" t="s">
        <x:v>6</x:v>
      </x:c>
      <x:c r="B4" s="86" t="str">
        <x:v>上游台账更新并核对当前版本登记后刷新；全量与成本分别运行，默认仅预览；周报发布前检查数据质量。</x:v>
      </x:c>
      <x:c r="C4" s="87" t="s">
        <x:v>1</x:v>
      </x:c>
    </x:row>
    <x:row r="5" spans="1:3">
      <x:c r="A5" s="86" t="s">
        <x:v>8</x:v>
      </x:c>
      <x:c r="B5" s="86" t="s">
        <x:v>9</x:v>
      </x:c>
      <x:c r="C5" s="87" t="s">
        <x:v>1</x:v>
      </x:c>
    </x:row>
    <x:row r="6" spans="1:3">
      <x:c r="A6" s="87" t="s">
        <x:v>1</x:v>
      </x:c>
      <x:c r="B6" s="87" t="s">
        <x:v>1</x:v>
      </x:c>
      <x:c r="C6" s="87" t="s">
        <x:v>1</x:v>
      </x:c>
    </x:row>
    <x:row r="7" spans="1:3">
      <x:c r="A7" s="88" t="s">
        <x:v>10</x:v>
      </x:c>
      <x:c r="B7" s="88" t="s">
        <x:v>1</x:v>
      </x:c>
      <x:c r="C7" s="88" t="s">
        <x:v>1</x:v>
      </x:c>
    </x:row>
    <x:row r="8" spans="1:3">
      <x:c r="A8" s="87">
        <x:v>1</x:v>
      </x:c>
      <x:c r="B8" s="87" t="str">
        <x:v>先在各领域权威台账维护事实和人工审批结论；数据库与本工作簿不替代源台账。</x:v>
      </x:c>
      <x:c r="C8" s="87" t="s">
        <x:v>1</x:v>
      </x:c>
    </x:row>
    <x:row r="9" spans="1:3">
      <x:c r="A9" s="87">
        <x:v>2</x:v>
      </x:c>
      <x:c r="B9" s="87" t="str">
        <x:v>执行标准刷新程序 sync_all_to_ai_pmo.py，将进度、门禁、风险、决策、相关方、前 5 项里程碑及管理关注点同步至本工作簿_data接口；成本指标请使用单独成本同步程序</x:v>
      </x:c>
      <x:c r="C9" s="87" t="s">
        <x:v>1</x:v>
      </x:c>
    </x:row>
    <x:row r="10" spans="1:3">
      <x:c r="A10" s="87">
        <x:v>3</x:v>
      </x:c>
      <x:c r="B10" s="87" t="str">
        <x:v>核对当前版本登记、刷新日期和数据质量检查；存在缺失、重复、状态日期异常时先回源处理。</x:v>
      </x:c>
      <x:c r="C10" s="87" t="s">
        <x:v>1</x:v>
      </x:c>
    </x:row>
    <x:row r="11" spans="1:3">
      <x:c r="A11" s="87">
        <x:v>4</x:v>
      </x:c>
      <x:c r="B11" s="87" t="s">
        <x:v>14</x:v>
      </x:c>
      <x:c r="C11" s="87" t="s">
        <x:v>1</x:v>
      </x:c>
    </x:row>
    <x:row r="12" spans="1:3">
      <x:c r="A12" s="87">
        <x:v>5</x:v>
      </x:c>
      <x:c r="B12" s="87" t="s">
        <x:v>15</x:v>
      </x:c>
      <x:c r="C12" s="87" t="s">
        <x:v>1</x:v>
      </x:c>
    </x:row>
    <x:row r="13" spans="1:3">
      <x:c r="A13" s="87">
        <x:v>6</x:v>
      </x:c>
      <x:c r="B13" s="87" t="str">
        <x:v>正式刷新在安全检查与备份后追加运行记录；人工确认意见在源台账或约定人工区维护，不由程序代填。</x:v>
      </x:c>
      <x:c r="C13" s="87" t="s">
        <x:v>1</x:v>
      </x:c>
    </x:row>
    <x:row r="14" spans="1:3">
      <x:c r="A14" s="87" t="s">
        <x:v>1</x:v>
      </x:c>
      <x:c r="B14" s="87" t="s">
        <x:v>1</x:v>
      </x:c>
      <x:c r="C14" s="87" t="s">
        <x:v>1</x:v>
      </x:c>
    </x:row>
    <x:row r="15" spans="1:3">
      <x:c r="A15" s="88" t="s">
        <x:v>17</x:v>
      </x:c>
      <x:c r="B15" s="88" t="s">
        <x:v>2</x:v>
      </x:c>
      <x:c r="C15" s="88" t="s">
        <x:v>18</x:v>
      </x:c>
    </x:row>
    <x:row r="16" spans="1:3">
      <x:c r="A16" s="87" t="s">
        <x:v>19</x:v>
      </x:c>
      <x:c r="B16" s="87" t="s">
        <x:v>20</x:v>
      </x:c>
      <x:c r="C16" s="87" t="str">
        <x:v>全量与成本分别刷新后，核对统计日期、来源文件、关键指标和图表。</x:v>
      </x:c>
    </x:row>
    <x:row r="17" spans="1:3">
      <x:c r="A17" s="87" t="s">
        <x:v>22</x:v>
      </x:c>
      <x:c r="B17" s="87" t="s">
        <x:v>23</x:v>
      </x:c>
      <x:c r="C17" s="87" t="s">
        <x:v>24</x:v>
      </x:c>
    </x:row>
    <x:row r="18" spans="1:3">
      <x:c r="A18" s="87" t="s">
        <x:v>25</x:v>
      </x:c>
      <x:c r="B18" s="87" t="s">
        <x:v>26</x:v>
      </x:c>
      <x:c r="C18" s="87" t="s">
        <x:v>27</x:v>
      </x:c>
    </x:row>
    <x:row r="19" spans="1:3">
      <x:c r="A19" s="87" t="s">
        <x:v>28</x:v>
      </x:c>
      <x:c r="B19" s="87" t="s">
        <x:v>29</x:v>
      </x:c>
      <x:c r="C19" s="87" t="s">
        <x:v>30</x:v>
      </x:c>
    </x:row>
    <x:row r="20" spans="1:3">
      <x:c r="A20" s="87" t="s">
        <x:v>31</x:v>
      </x:c>
      <x:c r="B20" s="87" t="s">
        <x:v>32</x:v>
      </x:c>
      <x:c r="C20" s="87" t="s">
        <x:v>33</x:v>
      </x:c>
    </x:row>
    <x:row r="21" spans="1:3">
      <x:c r="A21" s="87" t="s">
        <x:v>34</x:v>
      </x:c>
      <x:c r="B21" s="87" t="s">
        <x:v>35</x:v>
      </x:c>
      <x:c r="C21" s="87" t="s">
        <x:v>36</x:v>
      </x:c>
    </x:row>
    <x:row r="22" spans="1:3">
      <x:c r="A22" s="87" t="s">
        <x:v>37</x:v>
      </x:c>
      <x:c r="B22" s="87" t="s">
        <x:v>38</x:v>
      </x:c>
      <x:c r="C22" s="87" t="str">
        <x:v>仅供程序读取和刷新；不作为人工事实的唯一录入点。</x:v>
      </x:c>
    </x:row>
    <x:row r="23" spans="1:3">
      <x:c r="A23" s="87" t="s">
        <x:v>1</x:v>
      </x:c>
      <x:c r="B23" s="87" t="s">
        <x:v>1</x:v>
      </x:c>
      <x:c r="C23" s="87" t="s">
        <x:v>1</x:v>
      </x:c>
    </x:row>
    <x:row r="24" spans="1:3">
      <x:c r="A24" s="88" t="s">
        <x:v>40</x:v>
      </x:c>
      <x:c r="B24" s="88" t="s">
        <x:v>1</x:v>
      </x:c>
      <x:c r="C24" s="88" t="s">
        <x:v>1</x:v>
      </x:c>
    </x:row>
    <x:row r="25" spans="1:3">
      <x:c r="A25" s="87">
        <x:v>1</x:v>
      </x:c>
      <x:c r="B25" s="87" t="s">
        <x:v>41</x:v>
      </x:c>
      <x:c r="C25" s="87" t="s">
        <x:v>1</x:v>
      </x:c>
    </x:row>
    <x:row r="26" spans="1:3">
      <x:c r="A26" s="87">
        <x:v>2</x:v>
      </x:c>
      <x:c r="B26" s="87" t="s">
        <x:v>42</x:v>
      </x:c>
      <x:c r="C26" s="87" t="s">
        <x:v>1</x:v>
      </x:c>
    </x:row>
    <x:row r="27" spans="1:3">
      <x:c r="A27" s="87">
        <x:v>3</x:v>
      </x:c>
      <x:c r="B27" s="87" t="s">
        <x:v>43</x:v>
      </x:c>
      <x:c r="C27" s="87" t="s">
        <x:v>1</x:v>
      </x:c>
    </x:row>
    <x:row r="28" spans="1:3">
      <x:c r="A28" s="87">
        <x:v>4</x:v>
      </x:c>
      <x:c r="B28" s="87" t="s">
        <x:v>44</x:v>
      </x:c>
      <x:c r="C28" s="87" t="s">
        <x:v>1</x:v>
      </x:c>
    </x:row>
    <x:row r="29" spans="1:3">
      <x:c r="A29" s="87">
        <x:v>5</x:v>
      </x:c>
      <x:c r="B29" s="87" t="s">
        <x:v>45</x:v>
      </x:c>
      <x:c r="C29" s="87" t="s">
        <x:v>1</x:v>
      </x:c>
    </x:row>
    <x:row r="30" spans="1:3">
      <x:c r="A30" s="87">
        <x:v>6</x:v>
      </x:c>
      <x:c r="B30" s="87" t="s">
        <x:v>46</x:v>
      </x:c>
      <x:c r="C30" s="87" t="s">
        <x:v>1</x:v>
      </x:c>
    </x:row>
  </x:sheetData>
  <x:mergeCells count="1">
    <x:mergeCell ref="A1:B1"/>
  </x:mergeCells>
  <x:pageMargins left="0.75" right="0.75" top="1" bottom="1" header="0.5" footer="0.5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N40"/>
  <x:sheetViews>
    <x:sheetView showGridLines="0" tabSelected="1" workbookViewId="0">
      <x:selection activeCell="D9" sqref="D9"/>
    </x:sheetView>
  </x:sheetViews>
  <x:sheetFormatPr defaultColWidth="9" defaultRowHeight="16.8"/>
  <x:cols>
    <x:col min="1" max="1" width="14.0" customWidth="1"/>
    <x:col min="2" max="2" width="18.0" customWidth="1"/>
    <x:col min="3" max="3" width="34.0" customWidth="1"/>
    <x:col min="4" max="4" width="18.0" customWidth="1"/>
    <x:col min="5" max="6" width="14.0" customWidth="1"/>
    <x:col min="7" max="7" width="26.0" customWidth="1"/>
    <x:col min="8" max="8" width="14.0" customWidth="1"/>
    <x:col min="9" max="9" width="18.0" customWidth="1"/>
    <x:col min="10" max="10" width="11.0" customWidth="1"/>
    <x:col min="11" max="11" width="16.0" customWidth="1"/>
    <x:col min="12" max="12" width="8.0" customWidth="1"/>
    <x:col min="13" max="13" width="12.0" customWidth="1"/>
    <x:col min="14" max="14" width="10.0" customWidth="1"/>
  </x:cols>
  <x:sheetData>
    <x:row r="1" spans="1:14" ht="20" customHeight="1">
      <x:c r="A1" s="53" t="s">
        <x:v>47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5"/>
    </x:row>
    <x:row r="2" spans="1:14" ht="2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spans="1:14" ht="20" customHeight="1">
      <x:c r="A3" s="20" t="str">
        <x:v>统计日期</x:v>
      </x:c>
      <x:c r="B3" s="91">
        <x:v>46311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spans="1:1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spans="1:14" ht="32" customHeight="1">
      <x:c r="A5" s="8" t="s">
        <x:v>49</x:v>
      </x:c>
      <x:c r="B5" s="8" t="s">
        <x:v>50</x:v>
      </x:c>
      <x:c r="C5" s="8" t="s">
        <x:v>51</x:v>
      </x:c>
      <x:c r="D5" s="8" t="s">
        <x:v>52</x:v>
      </x:c>
      <x:c r="E5" s="8" t="s">
        <x:v>53</x:v>
      </x:c>
      <x:c r="F5" s="8" t="s">
        <x:v>54</x:v>
      </x:c>
      <x:c r="G5" s="8" t="s">
        <x:v>55</x:v>
      </x:c>
      <x:c r="H5" s="8" t="s">
        <x:v>56</x:v>
      </x:c>
      <x:c r="I5" s="8" t="s">
        <x:v>57</x:v>
      </x:c>
      <x:c r="J5" s="8" t="s">
        <x:v>58</x:v>
      </x:c>
      <x:c r="K5" s="8" t="s">
        <x:v>59</x:v>
      </x:c>
      <x:c r="L5" s="8" t="s">
        <x:v>60</x:v>
      </x:c>
      <x:c r="M5" s="8" t="s">
        <x:v>61</x:v>
      </x:c>
      <x:c r="N5" s="8" t="s">
        <x:v>62</x:v>
      </x:c>
    </x:row>
    <x:row r="6" spans="1:14" ht="28" customHeight="1">
      <x:c r="A6" s="57">
        <x:f>'_数据接口'!B11</x:f>
        <x:v>135</x:v>
      </x:c>
      <x:c r="B6" s="57">
        <x:f>'_数据接口'!B22</x:f>
      </x:c>
      <x:c r="C6" s="57">
        <x:f>'_数据接口'!B23</x:f>
      </x:c>
      <x:c r="D6" s="57">
        <x:f>'_数据接口'!B24</x:f>
      </x:c>
      <x:c r="E6" s="57">
        <x:f>'_数据接口'!B25</x:f>
        <x:v>0</x:v>
      </x:c>
      <x:c r="F6" s="58">
        <x:f>'_数据接口'!B26</x:f>
      </x:c>
      <x:c r="G6" s="57">
        <x:f>'_数据接口'!B27</x:f>
      </x:c>
      <x:c r="H6" s="57">
        <x:f>'_数据接口'!B28</x:f>
        <x:v>5</x:v>
      </x:c>
      <x:c r="I6" s="57">
        <x:f>'_数据接口'!B33</x:f>
        <x:v>1</x:v>
      </x:c>
      <x:c r="J6" s="57">
        <x:f>'_数据接口'!B34</x:f>
        <x:v>8</x:v>
      </x:c>
      <x:c r="K6" s="57">
        <x:f>'_数据接口'!B35</x:f>
        <x:v>20</x:v>
      </x:c>
      <x:c r="L6" s="57">
        <x:f>'_数据接口'!B14</x:f>
        <x:v>4</x:v>
      </x:c>
      <x:c r="M6" s="59" t="str">
        <x:f>'_数据接口'!B37&amp;"/"&amp;'_数据接口'!B36</x:f>
        <x:v>3/17</x:v>
      </x:c>
      <x:c r="N6" s="59" t="str">
        <x:f>'_数据接口'!B38</x:f>
        <x:v>红</x:v>
      </x:c>
    </x:row>
    <x:row r="7" spans="1:14" ht="20" customHeight="1">
      <x:c r="A7" s="20"/>
      <x:c r="B7" s="4"/>
      <x:c r="C7" s="5"/>
      <x:c r="D7" s="20"/>
      <x:c r="E7" s="4"/>
      <x:c r="F7" s="5"/>
      <x:c r="G7" s="20"/>
      <x:c r="H7" s="4"/>
      <x:c r="I7" s="5"/>
      <x:c r="J7" s="20"/>
      <x:c r="K7" s="4"/>
      <x:c r="L7" s="5"/>
      <x:c r="M7" s="20"/>
      <x:c r="N7" s="5"/>
    </x:row>
    <x:row r="8" spans="1:14" ht="30" customHeight="1">
      <x:c r="A8" s="60" t="s">
        <x:v>65</x:v>
      </x:c>
      <x:c r="B8" s="61" t="s">
        <x:v>66</x:v>
      </x:c>
      <x:c r="C8" s="52" t="s">
        <x:v>67</x:v>
      </x:c>
      <x:c r="D8" s="60" t="s">
        <x:v>68</x:v>
      </x:c>
      <x:c r="E8" s="61" t="s">
        <x:v>69</x:v>
      </x:c>
      <x:c r="F8" s="52" t="s">
        <x:v>70</x:v>
      </x:c>
      <x:c r="G8" s="62" t="s">
        <x:v>71</x:v>
      </x:c>
      <x:c r="H8" s="61" t="s">
        <x:v>72</x:v>
      </x:c>
      <x:c r="I8" s="60" t="str">
        <x:v>已量化总预算</x:v>
      </x:c>
      <x:c r="J8" s="63" t="str">
        <x:v>迭代承诺完成率</x:v>
      </x:c>
      <x:c r="K8" s="4" t="str">
        <x:v>迭代负载率</x:v>
      </x:c>
      <x:c r="L8" s="5" t="str">
        <x:v>预测超基线任务</x:v>
      </x:c>
      <x:c r="M8" s="63" t="str">
        <x:v>平均偏差天数</x:v>
      </x:c>
      <x:c r="N8" s="5" t="str">
        <x:v>当前迭代周</x:v>
      </x:c>
    </x:row>
    <x:row r="9" spans="1:14" ht="26" customHeight="1">
      <x:c r="A9" s="64">
        <x:f>'_数据接口'!B26</x:f>
      </x:c>
      <x:c r="B9" s="65">
        <x:f>'_数据接口'!B17</x:f>
        <x:v>4337</x:v>
      </x:c>
      <x:c r="C9" s="89">
        <x:f>'_数据接口'!B18</x:f>
        <x:v>6070900</x:v>
      </x:c>
      <x:c r="D9" s="90">
        <x:f>'_数据接口'!B19</x:f>
        <x:v>1399.79248328338</x:v>
      </x:c>
      <x:c r="E9" s="20">
        <x:f>'_数据接口'!B29</x:f>
        <x:v>17</x:v>
      </x:c>
      <x:c r="F9" s="20">
        <x:f>'_数据接口'!B30</x:f>
        <x:v>4</x:v>
      </x:c>
      <x:c r="G9" s="20">
        <x:f>'_数据接口'!B31</x:f>
        <x:v>0</x:v>
      </x:c>
      <x:c r="H9" s="2">
        <x:f>'_数据接口'!B32</x:f>
        <x:v>34</x:v>
      </x:c>
      <x:c r="I9" s="89">
        <x:f>'_数据接口'!B43</x:f>
        <x:v>15252170</x:v>
      </x:c>
      <x:c r="J9" s="106">
        <x:f>'_数据接口'!B44</x:f>
        <x:v>0.25</x:v>
      </x:c>
      <x:c r="K9" s="106">
        <x:f>'_数据接口'!B45</x:f>
        <x:v>1.3333</x:v>
      </x:c>
      <x:c r="L9" s="2">
        <x:f>'_数据接口'!B46</x:f>
        <x:v>0</x:v>
      </x:c>
      <x:c r="M9" s="2">
        <x:f>'_数据接口'!B47</x:f>
      </x:c>
      <x:c r="N9" s="2" t="str">
        <x:f>'_数据接口'!B48</x:f>
        <x:v>2026-W40</x:v>
      </x:c>
    </x:row>
    <x:row r="10" spans="1:14" ht="20" customHeight="1">
      <x:c r="A10" s="7"/>
      <x:c r="B10" s="7"/>
      <x:c r="C10" s="2"/>
      <x:c r="D10" s="7"/>
      <x:c r="E10" s="7"/>
      <x:c r="F10" s="7"/>
      <x:c r="G10" s="67"/>
      <x:c r="H10" s="2"/>
      <x:c r="I10" s="2"/>
      <x:c r="J10" s="2"/>
      <x:c r="K10" s="2"/>
      <x:c r="L10" s="2"/>
      <x:c r="M10" s="2"/>
      <x:c r="N10" s="2"/>
    </x:row>
    <x:row r="11" spans="1:14" ht="20" customHeight="1">
      <x:c r="A11" s="8" t="s">
        <x:v>73</x:v>
      </x:c>
      <x:c r="B11" s="8" t="s">
        <x:v>74</x:v>
      </x:c>
      <x:c r="C11" s="1" t="s">
        <x:v>75</x:v>
      </x:c>
      <x:c r="D11" s="7"/>
      <x:c r="E11" s="8" t="s">
        <x:v>76</x:v>
      </x:c>
      <x:c r="F11" s="8" t="s">
        <x:v>74</x:v>
      </x:c>
      <x:c r="G11" s="60" t="s">
        <x:v>75</x:v>
      </x:c>
      <x:c r="H11" s="2"/>
      <x:c r="I11" s="1" t="s">
        <x:v>77</x:v>
      </x:c>
      <x:c r="J11" s="1" t="s">
        <x:v>78</x:v>
      </x:c>
      <x:c r="K11" s="1" t="s">
        <x:v>79</x:v>
      </x:c>
      <x:c r="L11" s="1" t="s">
        <x:v>80</x:v>
      </x:c>
      <x:c r="M11" s="1" t="s">
        <x:v>81</x:v>
      </x:c>
      <x:c r="N11" s="1"/>
    </x:row>
    <x:row r="12" spans="1:14" ht="32" customHeight="1">
      <x:c r="A12" s="7" t="s">
        <x:v>50</x:v>
      </x:c>
      <x:c r="B12" s="7">
        <x:f>'_数据接口'!B22</x:f>
      </x:c>
      <x:c r="C12" s="2" t="s">
        <x:v>83</x:v>
      </x:c>
      <x:c r="D12" s="7"/>
      <x:c r="E12" s="7" t="s">
        <x:v>84</x:v>
      </x:c>
      <x:c r="F12" s="7">
        <x:f>'_数据接口'!B33</x:f>
        <x:v>1</x:v>
      </x:c>
      <x:c r="G12" s="67" t="s">
        <x:v>85</x:v>
      </x:c>
      <x:c r="H12" s="2"/>
      <x:c r="I12" s="42" t="str">
        <x:v>可研工作启动</x:v>
      </x:c>
      <x:c r="J12" s="98">
        <x:v>46063</x:v>
      </x:c>
      <x:c r="K12" s="103" t="str">
        <x:v>已完成</x:v>
      </x:c>
      <x:c r="L12" s="42" t="str">
        <x:v>绿</x:v>
      </x:c>
      <x:c r="M12" s="42" t="str">
        <x:v>项目经理</x:v>
      </x:c>
      <x:c r="N12" s="42"/>
    </x:row>
    <x:row r="13" spans="1:14" ht="32" customHeight="1">
      <x:c r="A13" s="7" t="s">
        <x:v>51</x:v>
      </x:c>
      <x:c r="B13" s="7">
        <x:f>'_数据接口'!B23</x:f>
      </x:c>
      <x:c r="C13" s="2" t="s">
        <x:v>90</x:v>
      </x:c>
      <x:c r="D13" s="2"/>
      <x:c r="E13" s="2" t="s">
        <x:v>91</x:v>
      </x:c>
      <x:c r="F13" s="2">
        <x:f>'_数据接口'!B34</x:f>
        <x:v>8</x:v>
      </x:c>
      <x:c r="G13" s="2" t="s">
        <x:v>92</x:v>
      </x:c>
      <x:c r="H13" s="2"/>
      <x:c r="I13" s="42" t="str">
        <x:v>可行性研究完成</x:v>
      </x:c>
      <x:c r="J13" s="98">
        <x:v>46283</x:v>
      </x:c>
      <x:c r="K13" s="103" t="str">
        <x:v>已完成</x:v>
      </x:c>
      <x:c r="L13" s="42" t="str">
        <x:v>绿</x:v>
      </x:c>
      <x:c r="M13" s="42" t="str">
        <x:v>项目经理</x:v>
      </x:c>
      <x:c r="N13" s="42"/>
    </x:row>
    <x:row r="14" spans="1:14" ht="32" customHeight="1">
      <x:c r="A14" s="2" t="s">
        <x:v>52</x:v>
      </x:c>
      <x:c r="B14" s="2">
        <x:f>'_数据接口'!B24</x:f>
      </x:c>
      <x:c r="C14" s="2" t="s">
        <x:v>98</x:v>
      </x:c>
      <x:c r="D14" s="2"/>
      <x:c r="E14" s="2" t="s">
        <x:v>99</x:v>
      </x:c>
      <x:c r="F14" s="2">
        <x:v>1</x:v>
      </x:c>
      <x:c r="G14" s="2" t="s">
        <x:v>100</x:v>
      </x:c>
      <x:c r="H14" s="2"/>
      <x:c r="I14" s="42" t="str">
        <x:v>原业务梳理完成</x:v>
      </x:c>
      <x:c r="J14" s="98">
        <x:v>46295</x:v>
      </x:c>
      <x:c r="K14" s="103" t="str">
        <x:v>进行中</x:v>
      </x:c>
      <x:c r="L14" s="42" t="str">
        <x:v>绿</x:v>
      </x:c>
      <x:c r="M14" s="42" t="str">
        <x:v>产品经理</x:v>
      </x:c>
      <x:c r="N14" s="42"/>
    </x:row>
    <x:row r="15" spans="1:14" ht="32" customHeight="1">
      <x:c r="A15" s="2" t="s">
        <x:v>53</x:v>
      </x:c>
      <x:c r="B15" s="2">
        <x:f>'_数据接口'!B25</x:f>
        <x:v>0</x:v>
      </x:c>
      <x:c r="C15" s="2" t="s">
        <x:v>104</x:v>
      </x:c>
      <x:c r="D15" s="2"/>
      <x:c r="E15" s="2" t="s">
        <x:v>69</x:v>
      </x:c>
      <x:c r="F15" s="2">
        <x:f>'_数据接口'!B29</x:f>
        <x:v>17</x:v>
      </x:c>
      <x:c r="G15" s="2" t="s">
        <x:v>105</x:v>
      </x:c>
      <x:c r="H15" s="2"/>
      <x:c r="I15" s="42" t="str">
        <x:v>项目规范基线确认</x:v>
      </x:c>
      <x:c r="J15" s="98">
        <x:v>46265</x:v>
      </x:c>
      <x:c r="K15" s="103" t="str">
        <x:v>已完成</x:v>
      </x:c>
      <x:c r="L15" s="42" t="str">
        <x:v>绿</x:v>
      </x:c>
      <x:c r="M15" s="42" t="str">
        <x:v>项目经理</x:v>
      </x:c>
      <x:c r="N15" s="42"/>
    </x:row>
    <x:row r="16" spans="1:14" ht="32" customHeight="1">
      <x:c r="A16" s="20" t="s">
        <x:v>55</x:v>
      </x:c>
      <x:c r="B16" s="4">
        <x:f>'_数据接口'!B27</x:f>
      </x:c>
      <x:c r="C16" s="4" t="s">
        <x:v>108</x:v>
      </x:c>
      <x:c r="D16" s="4"/>
      <x:c r="E16" s="4" t="s">
        <x:v>109</x:v>
      </x:c>
      <x:c r="F16" s="4">
        <x:f>'_数据接口'!B14</x:f>
        <x:v>4</x:v>
      </x:c>
      <x:c r="G16" s="4" t="s">
        <x:v>110</x:v>
      </x:c>
      <x:c r="H16" s="4"/>
      <x:c r="I16" s="69" t="str">
        <x:v>技术架构基线确认</x:v>
      </x:c>
      <x:c r="J16" s="99">
        <x:v>46295</x:v>
      </x:c>
      <x:c r="K16" s="104" t="str">
        <x:v>进行中</x:v>
      </x:c>
      <x:c r="L16" s="69" t="str">
        <x:v>绿</x:v>
      </x:c>
      <x:c r="M16" s="69" t="str">
        <x:v>技术经理</x:v>
      </x:c>
      <x:c r="N16" s="71"/>
    </x:row>
    <x:row r="17" spans="1:14" ht="20" customHeight="1">
      <x:c r="A17" s="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72"/>
    </x:row>
    <x:row r="18" spans="1:14" ht="20" customHeight="1">
      <x:c r="A18" s="73" t="s">
        <x:v>115</x:v>
      </x:c>
      <x:c r="B18" s="74"/>
      <x:c r="C18" s="74"/>
      <x:c r="D18" s="74"/>
      <x:c r="E18" s="74"/>
      <x:c r="F18" s="74"/>
      <x:c r="G18" s="74"/>
      <x:c r="H18" s="74"/>
      <x:c r="I18" s="74" t="str">
        <x:v>迁移来源线索</x:v>
      </x:c>
      <x:c r="J18" s="74" t="str">
        <x:v>已盘点来源</x:v>
      </x:c>
      <x:c r="K18" s="74" t="str">
        <x:v>G15目标日期</x:v>
      </x:c>
      <x:c r="L18" s="74" t="str">
        <x:v>迁移门禁</x:v>
      </x:c>
      <x:c r="M18" s="74"/>
      <x:c r="N18" s="75"/>
    </x:row>
    <x:row r="19" spans="1:14" ht="20" customHeight="1">
      <x:c r="A19" s="76" t="s">
        <x:v>116</x:v>
      </x:c>
      <x:c r="B19" s="1" t="s">
        <x:v>117</x:v>
      </x:c>
      <x:c r="C19" s="1" t="s">
        <x:v>118</x:v>
      </x:c>
      <x:c r="D19" s="1" t="s">
        <x:v>81</x:v>
      </x:c>
      <x:c r="E19" s="1" t="s">
        <x:v>119</x:v>
      </x:c>
      <x:c r="F19" s="2"/>
      <x:c r="G19" s="2"/>
      <x:c r="H19" s="2"/>
      <x:c r="I19" s="2">
        <x:f>'_数据接口'!B39</x:f>
      </x:c>
      <x:c r="J19" s="2">
        <x:f>'_数据接口'!B40</x:f>
      </x:c>
      <x:c r="K19" s="2" t="str">
        <x:f>'_数据接口'!B41</x:f>
        <x:v>2026-10-13</x:v>
      </x:c>
      <x:c r="L19" s="2">
        <x:f>'_数据接口'!B42</x:f>
      </x:c>
      <x:c r="M19" s="2"/>
      <x:c r="N19" s="77"/>
    </x:row>
    <x:row r="20" spans="1:14" ht="32" customHeight="1">
      <x:c r="A20" s="32">
        <x:v>1</x:v>
      </x:c>
      <x:c r="B20" s="78" t="str">
        <x:v>CA、电子文档、BI产品选型</x:v>
      </x:c>
      <x:c r="C20" s="78" t="str">
        <x:v>2026-09-25 前完成决策：按产品类别择优入围，安全合规不通过即淘汰</x:v>
      </x:c>
      <x:c r="D20" s="78" t="str">
        <x:v>项目指导委员会</x:v>
      </x:c>
      <x:c r="E20" s="78" t="str">
        <x:v>重大</x:v>
      </x:c>
      <x:c r="F20" s="33"/>
      <x:c r="G20" s="33"/>
      <x:c r="H20" s="33"/>
      <x:c r="I20" s="33"/>
      <x:c r="J20" s="33"/>
      <x:c r="K20" s="33"/>
      <x:c r="L20" s="33"/>
      <x:c r="M20" s="33"/>
      <x:c r="N20" s="79"/>
    </x:row>
    <x:row r="21" spans="1:14" ht="32" customHeight="1">
      <x:c r="A21" s="42">
        <x:v>2</x:v>
      </x:c>
      <x:c r="B21" s="42" t="str">
        <x:v>项目预算与采购路径</x:v>
      </x:c>
      <x:c r="C21" s="42" t="str">
        <x:v>2026-10-08 前完成决策：按产品分项验收，付款绑定可验证交付物</x:v>
      </x:c>
      <x:c r="D21" s="42" t="str">
        <x:v>项目发起人</x:v>
      </x:c>
      <x:c r="E21" s="42" t="str">
        <x:v>重大</x:v>
      </x:c>
      <x:c r="F21" s="2"/>
      <x:c r="G21" s="2"/>
      <x:c r="H21" s="2"/>
      <x:c r="I21" s="2"/>
      <x:c r="J21" s="2"/>
      <x:c r="K21" s="2"/>
      <x:c r="L21" s="2"/>
      <x:c r="M21" s="2"/>
      <x:c r="N21" s="2"/>
    </x:row>
    <x:row r="22" spans="1:14" ht="32" customHeight="1">
      <x:c r="A22" s="80">
        <x:v>3</x:v>
      </x:c>
      <x:c r="B22" s="42" t="str">
        <x:v>一期范围与P0需求基线</x:v>
      </x:c>
      <x:c r="C22" s="42" t="str">
        <x:v>2026-10-09 前完成决策：以P0业务闭环为一期基线，P1/P2进入后续版本</x:v>
      </x:c>
      <x:c r="D22" s="42" t="str">
        <x:v>业务负责人/项目发起人</x:v>
      </x:c>
      <x:c r="E22" s="42" t="str">
        <x:v>重大</x:v>
      </x:c>
      <x:c r="F22" s="2"/>
      <x:c r="G22" s="2"/>
      <x:c r="H22" s="2"/>
      <x:c r="I22" s="2"/>
      <x:c r="J22" s="2"/>
      <x:c r="K22" s="2"/>
      <x:c r="L22" s="2"/>
      <x:c r="M22" s="2"/>
      <x:c r="N22" s="2"/>
    </x:row>
    <x:row r="23" spans="1:14" ht="32" customHeight="1">
      <x:c r="A23" s="39">
        <x:v>4</x:v>
      </x:c>
      <x:c r="B23" s="69" t="str">
        <x:v>安全合规基线未形成或外部产品不满足要求</x:v>
      </x:c>
      <x:c r="C23" s="71" t="str">
        <x:v>最迟 2026-10-13 完成应对（策略：规避）</x:v>
      </x:c>
      <x:c r="D23" s="39" t="str">
        <x:v>技术经理</x:v>
      </x:c>
      <x:c r="E23" s="69" t="str">
        <x:v>重大</x:v>
      </x:c>
      <x:c r="F23" s="5"/>
      <x:c r="G23" s="20"/>
      <x:c r="H23" s="4"/>
      <x:c r="I23" s="5"/>
      <x:c r="J23" s="20"/>
      <x:c r="K23" s="4"/>
      <x:c r="L23" s="5"/>
      <x:c r="M23" s="20"/>
      <x:c r="N23" s="81"/>
    </x:row>
    <x:row r="24" spans="1:14" ht="32" customHeight="1">
      <x:c r="A24" s="39">
        <x:v>5</x:v>
      </x:c>
      <x:c r="B24" s="69" t="str">
        <x:v>2026年10月20日正式启动决策</x:v>
      </x:c>
      <x:c r="C24" s="71" t="str">
        <x:v>2026-10-16 前完成决策：必过项全部关闭后通过；例外须有书面批准和补救期限</x:v>
      </x:c>
      <x:c r="D24" s="39" t="str">
        <x:v>项目指导委员会</x:v>
      </x:c>
      <x:c r="E24" s="69" t="str">
        <x:v>重大</x:v>
      </x:c>
      <x:c r="F24" s="5"/>
      <x:c r="G24" s="20"/>
      <x:c r="H24" s="4"/>
      <x:c r="I24" s="5"/>
      <x:c r="J24" s="20"/>
      <x:c r="K24" s="4"/>
      <x:c r="L24" s="5"/>
      <x:c r="M24" s="20"/>
      <x:c r="N24" s="81"/>
    </x:row>
    <x:row r="25" spans="1:14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0"/>
      <x:c r="K25" s="82"/>
      <x:c r="L25" s="2"/>
      <x:c r="M25" s="20"/>
      <x:c r="N25" s="81"/>
    </x:row>
    <x:row r="26" spans="1:14" ht="20" customHeight="1">
      <x:c r="A26" s="83" t="str">
        <x:v/>
      </x:c>
      <x:c r="B26" s="33" t="str">
        <x:v/>
      </x:c>
      <x:c r="C26" s="33" t="str">
        <x:v/>
      </x:c>
      <x:c r="D26" s="33" t="str">
        <x:v/>
      </x:c>
      <x:c r="E26" s="33"/>
      <x:c r="F26" s="33"/>
      <x:c r="G26" s="33"/>
      <x:c r="H26" s="33"/>
      <x:c r="I26" s="33"/>
      <x:c r="J26" s="33"/>
      <x:c r="K26" s="33"/>
      <x:c r="L26" s="33"/>
      <x:c r="M26" s="33"/>
      <x:c r="N26" s="79"/>
    </x:row>
    <x:row r="27" spans="1:14" ht="20" customHeight="1">
      <x:c r="A27" s="20" t="str">
        <x:v/>
      </x:c>
      <x:c r="B27" s="4" t="str">
        <x:v/>
      </x:c>
      <x:c r="C27" s="5" t="str">
        <x:v/>
      </x:c>
      <x:c r="D27" s="20" t="str">
        <x:v/>
      </x:c>
      <x:c r="E27" s="4"/>
      <x:c r="F27" s="5"/>
      <x:c r="G27" s="20"/>
      <x:c r="H27" s="4"/>
      <x:c r="I27" s="5"/>
      <x:c r="J27" s="20"/>
      <x:c r="K27" s="4"/>
      <x:c r="L27" s="5"/>
      <x:c r="M27" s="20"/>
      <x:c r="N27" s="81"/>
    </x:row>
    <x:row r="28" spans="1:14" ht="20" customHeight="1">
      <x:c r="A28" s="20"/>
      <x:c r="B28" s="4"/>
      <x:c r="C28" s="5"/>
      <x:c r="D28" s="20"/>
      <x:c r="E28" s="4"/>
      <x:c r="F28" s="5"/>
      <x:c r="G28" s="20"/>
      <x:c r="H28" s="4"/>
      <x:c r="I28" s="5"/>
      <x:c r="J28" s="20"/>
      <x:c r="K28" s="4"/>
      <x:c r="L28" s="5"/>
      <x:c r="M28" s="2"/>
      <x:c r="N28" s="2"/>
    </x:row>
    <x:row r="29" spans="1:14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6"/>
      <x:c r="K29" s="2"/>
      <x:c r="L29" s="2"/>
      <x:c r="M29" s="2"/>
      <x:c r="N29" s="2"/>
    </x:row>
    <x:row r="30" spans="1:14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spans="1:14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spans="1:14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spans="1:14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spans="1:1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spans="1:14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spans="1:14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spans="1:14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spans="1:14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spans="1:14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spans="1:14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pageMargins left="0.7" right="0.7" top="0.75" bottom="0.75" header="0.3" footer="0.3"/>
  <x:headerFooter/>
  <x:drawing r:id="rId1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0070C0"/>
  </x:sheetPr>
  <x:dimension ref="A1:L30"/>
  <x:sheetViews>
    <x:sheetView showGridLines="0" workbookViewId="0">
      <x:pane ySplit="4" topLeftCell="A5" activePane="bottomLeft" state="frozen"/>
      <x:selection/>
      <x:selection pane="bottomLeft" activeCell="A1" sqref="A1"/>
    </x:sheetView>
  </x:sheetViews>
  <x:sheetFormatPr defaultColWidth="9" defaultRowHeight="16.8"/>
  <x:cols>
    <x:col min="1" max="1" width="18" customWidth="1"/>
    <x:col min="2" max="2" width="16" customWidth="1"/>
    <x:col min="3" max="3" width="20" customWidth="1"/>
    <x:col min="4" max="5" width="24" customWidth="1"/>
    <x:col min="6" max="6" width="18" customWidth="1"/>
    <x:col min="7" max="7" width="4" customWidth="1"/>
    <x:col min="8" max="8" width="16" customWidth="1"/>
    <x:col min="9" max="10" width="12" customWidth="1"/>
  </x:cols>
  <x:sheetData>
    <x:row r="1" spans="1:12" ht="20" customHeight="1">
      <x:c r="A1" s="3" t="s">
        <x:v>22</x:v>
      </x:c>
      <x:c r="B1" s="4"/>
      <x:c r="C1" s="4"/>
      <x:c r="D1" s="4"/>
      <x:c r="E1" s="4"/>
      <x:c r="F1" s="4"/>
      <x:c r="G1" s="4"/>
      <x:c r="H1" s="4"/>
      <x:c r="I1" s="4"/>
      <x:c r="J1" s="4"/>
      <x:c r="K1" s="17"/>
      <x:c r="L1" s="18"/>
    </x:row>
    <x:row r="2" spans="1:12" ht="20" customHeight="1">
      <x:c r="A2" s="6" t="str">
        <x:f>"数据截止"&amp;'_数据接口'!B5&amp;"。客观状态根据总控、风险和启动门禁快照形成，管理结论须由项目经理确认。"</x:f>
        <x:v>数据截止2026-10-16。客观状态根据总控、风险和启动门禁快照形成，管理结论须由项目经理确认。</x:v>
      </x:c>
      <x:c r="B2" s="4"/>
      <x:c r="C2" s="4"/>
      <x:c r="D2" s="4"/>
      <x:c r="E2" s="4"/>
      <x:c r="F2" s="4"/>
      <x:c r="G2" s="4"/>
      <x:c r="H2" s="4"/>
      <x:c r="I2" s="4"/>
      <x:c r="J2" s="4"/>
      <x:c r="K2" s="17"/>
      <x:c r="L2" s="18"/>
    </x:row>
    <x:row r="3" spans="1:12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19"/>
      <x:c r="L3" s="19"/>
    </x:row>
    <x:row r="4" spans="1:12" ht="20" customHeight="1">
      <x:c r="A4" s="7" t="s">
        <x:v>138</x:v>
      </x:c>
      <x:c r="B4" s="12" t="str">
        <x:f>'_数据接口'!B5</x:f>
        <x:v>2026-10-16</x:v>
      </x:c>
      <x:c r="C4" s="2"/>
      <x:c r="D4" s="7" t="s">
        <x:v>139</x:v>
      </x:c>
      <x:c r="E4" s="22" t="s">
        <x:v>140</x:v>
      </x:c>
      <x:c r="F4" s="2"/>
      <x:c r="G4" s="7" t="s">
        <x:v>141</x:v>
      </x:c>
      <x:c r="H4" s="7" t="s">
        <x:v>142</x:v>
      </x:c>
      <x:c r="I4" s="4"/>
      <x:c r="J4" s="4"/>
      <x:c r="K4" s="17"/>
      <x:c r="L4" s="18"/>
    </x:row>
    <x:row r="5" spans="1:12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4"/>
      <x:c r="L5" s="24"/>
    </x:row>
    <x:row r="6" spans="1:12" ht="20" customHeight="1">
      <x:c r="A6" s="8" t="s">
        <x:v>143</x:v>
      </x:c>
      <x:c r="B6" s="52" t="s">
        <x:v>144</x:v>
      </x:c>
      <x:c r="C6" s="1" t="s">
        <x:v>145</x:v>
      </x:c>
      <x:c r="D6" s="8" t="s">
        <x:v>56</x:v>
      </x:c>
      <x:c r="E6" s="52" t="s">
        <x:v>57</x:v>
      </x:c>
      <x:c r="F6" s="1" t="s">
        <x:v>58</x:v>
      </x:c>
      <x:c r="G6" s="8" t="s">
        <x:v>69</x:v>
      </x:c>
      <x:c r="H6" s="52" t="s">
        <x:v>109</x:v>
      </x:c>
      <x:c r="I6" s="2"/>
      <x:c r="J6" s="7"/>
      <x:c r="K6" s="18"/>
      <x:c r="L6" s="24"/>
    </x:row>
    <x:row r="7" spans="1:12" ht="20" customHeight="1">
      <x:c r="A7" s="20">
        <x:f>'_数据接口'!B11</x:f>
        <x:v>135</x:v>
      </x:c>
      <x:c r="B7" s="5">
        <x:f>'_数据接口'!B22</x:f>
        <x:v>12</x:v>
      </x:c>
      <x:c r="C7" s="2">
        <x:f>'_数据接口'!B27</x:f>
        <x:v>17</x:v>
      </x:c>
      <x:c r="D7" s="20">
        <x:f>'_数据接口'!B28</x:f>
        <x:v>5</x:v>
      </x:c>
      <x:c r="E7" s="5">
        <x:f>'_数据接口'!B33</x:f>
        <x:v>1</x:v>
      </x:c>
      <x:c r="F7" s="2">
        <x:f>'_数据接口'!B34</x:f>
        <x:v>8</x:v>
      </x:c>
      <x:c r="G7" s="20">
        <x:f>'_数据接口'!B29</x:f>
        <x:v>17</x:v>
      </x:c>
      <x:c r="H7" s="5">
        <x:f>'_数据接口'!B14</x:f>
        <x:v>4</x:v>
      </x:c>
      <x:c r="I7" s="2"/>
      <x:c r="J7" s="20"/>
      <x:c r="K7" s="18"/>
      <x:c r="L7" s="24"/>
    </x:row>
    <x:row r="8" spans="1:12" ht="2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4"/>
      <x:c r="L8" s="24"/>
    </x:row>
    <x:row r="9" spans="1:12" ht="20" customHeight="1">
      <x:c r="A9" s="7"/>
      <x:c r="B9" s="5"/>
      <x:c r="C9" s="2"/>
      <x:c r="D9" s="7"/>
      <x:c r="E9" s="5"/>
      <x:c r="F9" s="2"/>
      <x:c r="G9" s="7"/>
      <x:c r="H9" s="5"/>
      <x:c r="I9" s="2"/>
      <x:c r="J9" s="7"/>
      <x:c r="K9" s="18"/>
      <x:c r="L9" s="24"/>
    </x:row>
    <x:row r="10" spans="1:12" ht="20" customHeight="1">
      <x:c r="A10" s="8" t="s">
        <x:v>146</x:v>
      </x:c>
      <x:c r="B10" s="52" t="s">
        <x:v>79</x:v>
      </x:c>
      <x:c r="C10" s="1" t="s">
        <x:v>147</x:v>
      </x:c>
      <x:c r="D10" s="8" t="s">
        <x:v>148</x:v>
      </x:c>
      <x:c r="E10" s="52" t="s">
        <x:v>149</x:v>
      </x:c>
      <x:c r="F10" s="1" t="s">
        <x:v>150</x:v>
      </x:c>
      <x:c r="G10" s="20"/>
      <x:c r="H10" s="52" t="s">
        <x:v>79</x:v>
      </x:c>
      <x:c r="I10" s="1" t="s">
        <x:v>74</x:v>
      </x:c>
      <x:c r="J10" s="20"/>
      <x:c r="K10" s="18"/>
      <x:c r="L10" s="24"/>
    </x:row>
    <x:row r="11" spans="1:12" ht="20" customHeight="1">
      <x:c r="A11" s="2" t="s">
        <x:v>151</x:v>
      </x:c>
      <x:c r="B11" s="2" t="s">
        <x:v>64</x:v>
      </x:c>
      <x:c r="C11" s="2" t="str">
        <x:f>'_数据接口'!B27&amp;"项任务已延期或计划完成日已过"</x:f>
        <x:v>17项任务已延期或计划完成日已过</x:v>
      </x:c>
      <x:c r="D11" s="2" t="s">
        <x:v>153</x:v>
      </x:c>
      <x:c r="E11" s="2" t="s">
        <x:v>154</x:v>
      </x:c>
      <x:c r="F11" s="2" t="s">
        <x:v>88</x:v>
      </x:c>
      <x:c r="G11" s="2"/>
      <x:c r="H11" s="2" t="s">
        <x:v>112</x:v>
      </x:c>
      <x:c r="I11" s="2">
        <x:v>1</x:v>
      </x:c>
      <x:c r="J11" s="2"/>
      <x:c r="K11" s="24"/>
      <x:c r="L11" s="24"/>
    </x:row>
    <x:row r="12" spans="1:12" ht="20" customHeight="1">
      <x:c r="A12" s="2" t="s">
        <x:v>155</x:v>
      </x:c>
      <x:c r="B12" s="2" t="s">
        <x:v>64</x:v>
      </x:c>
      <x:c r="C12" s="2" t="str">
        <x:f>'_数据接口'!B33&amp;"项重大、"&amp;'_数据接口'!B34&amp;"项高剩余风险"</x:f>
        <x:v>1项重大、8项高剩余风险</x:v>
      </x:c>
      <x:c r="D12" s="2" t="s">
        <x:v>153</x:v>
      </x:c>
      <x:c r="E12" s="2" t="s">
        <x:v>157</x:v>
      </x:c>
      <x:c r="F12" s="2" t="s">
        <x:v>158</x:v>
      </x:c>
      <x:c r="G12" s="2"/>
      <x:c r="H12" s="2" t="s">
        <x:v>95</x:v>
      </x:c>
      <x:c r="I12" s="2">
        <x:v>0</x:v>
      </x:c>
      <x:c r="J12" s="2"/>
      <x:c r="K12" s="24"/>
      <x:c r="L12" s="24"/>
    </x:row>
    <x:row r="13" spans="1:12" ht="20" customHeight="1">
      <x:c r="A13" s="20" t="s">
        <x:v>159</x:v>
      </x:c>
      <x:c r="B13" s="2" t="s">
        <x:v>64</x:v>
      </x:c>
      <x:c r="C13" s="2" t="str">
        <x:f>'_数据接口'!B29&amp;"项必过门禁尚未通过"</x:f>
        <x:v>17项必过门禁尚未通过</x:v>
      </x:c>
      <x:c r="D13" s="2" t="s">
        <x:v>153</x:v>
      </x:c>
      <x:c r="E13" s="2" t="s">
        <x:v>161</x:v>
      </x:c>
      <x:c r="F13" s="2" t="s">
        <x:v>96</x:v>
      </x:c>
      <x:c r="G13" s="2"/>
      <x:c r="H13" s="20" t="s">
        <x:v>64</x:v>
      </x:c>
      <x:c r="I13" s="2">
        <x:v>5</x:v>
      </x:c>
      <x:c r="J13" s="2"/>
      <x:c r="K13" s="24"/>
      <x:c r="L13" s="24"/>
    </x:row>
    <x:row r="14" spans="1:12" ht="20" customHeight="1">
      <x:c r="A14" s="20" t="s">
        <x:v>162</x:v>
      </x:c>
      <x:c r="B14" s="20" t="s">
        <x:v>64</x:v>
      </x:c>
      <x:c r="C14" s="20" t="str">
        <x:f>'_数据接口'!B14&amp;"项事项等待管理层决策"</x:f>
        <x:v>4项事项等待管理层决策</x:v>
      </x:c>
      <x:c r="D14" s="20" t="s">
        <x:v>153</x:v>
      </x:c>
      <x:c r="E14" s="20" t="s">
        <x:v>164</x:v>
      </x:c>
      <x:c r="F14" s="20" t="s">
        <x:v>96</x:v>
      </x:c>
      <x:c r="G14" s="2"/>
      <x:c r="H14" s="20" t="s">
        <x:v>165</x:v>
      </x:c>
      <x:c r="I14" s="20">
        <x:v>0</x:v>
      </x:c>
      <x:c r="J14" s="2"/>
      <x:c r="K14" s="24"/>
      <x:c r="L14" s="24"/>
    </x:row>
    <x:row r="15" spans="1:12" ht="20" customHeight="1">
      <x:c r="A15" s="7" t="s">
        <x:v>166</x:v>
      </x:c>
      <x:c r="B15" s="7" t="s">
        <x:v>64</x:v>
      </x:c>
      <x:c r="C15" s="7" t="s">
        <x:v>167</x:v>
      </x:c>
      <x:c r="D15" s="7" t="s">
        <x:v>153</x:v>
      </x:c>
      <x:c r="E15" s="7" t="s">
        <x:v>168</x:v>
      </x:c>
      <x:c r="F15" s="7" t="s">
        <x:v>169</x:v>
      </x:c>
      <x:c r="G15" s="2"/>
      <x:c r="H15" s="7"/>
      <x:c r="I15" s="7"/>
      <x:c r="J15" s="2"/>
      <x:c r="K15" s="24"/>
      <x:c r="L15" s="24"/>
    </x:row>
    <x:row r="16" spans="1:12" ht="20" customHeight="1">
      <x:c r="A16" s="7" t="s">
        <x:v>170</x:v>
      </x:c>
      <x:c r="B16" s="7" t="s">
        <x:v>112</x:v>
      </x:c>
      <x:c r="C16" s="7" t="str">
        <x:f>'_数据接口'!B30&amp;"名重点管理相关方，"&amp;'_数据接口'!B31&amp;"名不支持"</x:f>
        <x:v>4名重点管理相关方，0名不支持</x:v>
      </x:c>
      <x:c r="D16" s="7" t="s">
        <x:v>153</x:v>
      </x:c>
      <x:c r="E16" s="7" t="s">
        <x:v>172</x:v>
      </x:c>
      <x:c r="F16" s="7" t="s">
        <x:v>88</x:v>
      </x:c>
      <x:c r="G16" s="2"/>
      <x:c r="H16" s="7"/>
      <x:c r="I16" s="7"/>
      <x:c r="J16" s="2"/>
      <x:c r="K16" s="24"/>
      <x:c r="L16" s="24"/>
    </x:row>
    <x:row r="17" spans="1:12" ht="20" customHeight="1">
      <x:c r="A17" s="7"/>
      <x:c r="B17" s="7"/>
      <x:c r="C17" s="7"/>
      <x:c r="D17" s="7"/>
      <x:c r="E17" s="7"/>
      <x:c r="F17" s="7"/>
      <x:c r="G17" s="2"/>
      <x:c r="H17" s="7"/>
      <x:c r="I17" s="7"/>
      <x:c r="J17" s="2"/>
      <x:c r="K17" s="24"/>
      <x:c r="L17" s="24"/>
    </x:row>
    <x:row r="18" spans="1:12" ht="20" customHeight="1">
      <x:c r="A18" s="7"/>
      <x:c r="B18" s="7"/>
      <x:c r="C18" s="7"/>
      <x:c r="D18" s="7"/>
      <x:c r="E18" s="7"/>
      <x:c r="F18" s="7"/>
      <x:c r="G18" s="2"/>
      <x:c r="H18" s="7"/>
      <x:c r="I18" s="7"/>
      <x:c r="J18" s="2"/>
      <x:c r="K18" s="24"/>
      <x:c r="L18" s="24"/>
    </x:row>
    <x:row r="19" spans="1:12" ht="20" customHeight="1">
      <x:c r="A19" s="7"/>
      <x:c r="B19" s="7"/>
      <x:c r="C19" s="7"/>
      <x:c r="D19" s="7"/>
      <x:c r="E19" s="7"/>
      <x:c r="F19" s="7"/>
      <x:c r="G19" s="2"/>
      <x:c r="H19" s="2"/>
      <x:c r="I19" s="2"/>
      <x:c r="J19" s="2"/>
      <x:c r="K19" s="24"/>
      <x:c r="L19" s="24"/>
    </x:row>
    <x:row r="20" spans="1:12" ht="20" customHeight="1">
      <x:c r="A20" s="7"/>
      <x:c r="B20" s="7"/>
      <x:c r="C20" s="7"/>
      <x:c r="D20" s="7"/>
      <x:c r="E20" s="7"/>
      <x:c r="F20" s="7"/>
      <x:c r="G20" s="2"/>
      <x:c r="H20" s="2"/>
      <x:c r="I20" s="2"/>
      <x:c r="J20" s="2"/>
      <x:c r="K20" s="24"/>
      <x:c r="L20" s="24"/>
    </x:row>
    <x:row r="21" spans="1:12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4"/>
      <x:c r="L21" s="24"/>
    </x:row>
    <x:row r="22" spans="1:1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4"/>
      <x:c r="L22" s="24"/>
    </x:row>
    <x:row r="23" spans="1:12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4"/>
      <x:c r="L23" s="24"/>
    </x:row>
    <x:row r="24" spans="1:12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4"/>
      <x:c r="L24" s="24"/>
    </x:row>
    <x:row r="25" spans="1:12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4"/>
      <x:c r="L25" s="24"/>
    </x:row>
    <x:row r="26" spans="1:12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4"/>
      <x:c r="L26" s="24"/>
    </x:row>
    <x:row r="27" spans="1:12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4"/>
      <x:c r="L27" s="24"/>
    </x:row>
    <x:row r="28" spans="1:12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4"/>
      <x:c r="L28" s="24"/>
    </x:row>
    <x:row r="29" spans="1:12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4"/>
      <x:c r="L29" s="24"/>
    </x:row>
    <x:row r="30" spans="1:12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4"/>
      <x:c r="L30" s="24"/>
    </x:row>
  </x:sheetData>
  <x:pageMargins left="0.7" right="0.7" top="0.75" bottom="0.75" header="0.3" footer="0.3"/>
  <x:headerFooter/>
  <x:drawing r:id="rId1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FFC000"/>
  </x:sheetPr>
  <x:dimension ref="A1:J149"/>
  <x:sheetViews>
    <x:sheetView showGridLines="0" workbookViewId="0">
      <x:pane ySplit="4" topLeftCell="A18" activePane="bottomLeft" state="frozen"/>
      <x:selection/>
      <x:selection pane="bottomLeft" activeCell="A1" sqref="A1"/>
    </x:sheetView>
  </x:sheetViews>
  <x:sheetFormatPr defaultColWidth="9" defaultRowHeight="16.8"/>
  <x:cols>
    <x:col min="1" max="1" width="18" customWidth="1"/>
    <x:col min="2" max="2" width="14" customWidth="1"/>
    <x:col min="3" max="3" width="30" customWidth="1"/>
    <x:col min="4" max="4" width="16" customWidth="1"/>
    <x:col min="5" max="6" width="14" customWidth="1"/>
    <x:col min="7" max="7" width="42" customWidth="1"/>
    <x:col min="8" max="8" width="14" customWidth="1"/>
    <x:col min="9" max="9" width="42" customWidth="1"/>
    <x:col min="10" max="10" width="10" customWidth="1"/>
  </x:cols>
  <x:sheetData>
    <x:row r="1" spans="1:10" ht="20" customHeight="1">
      <x:c r="A1" s="3" t="s">
        <x:v>25</x:v>
      </x:c>
      <x:c r="B1" s="4"/>
      <x:c r="C1" s="4"/>
      <x:c r="D1" s="4"/>
      <x:c r="E1" s="4"/>
      <x:c r="F1" s="4"/>
      <x:c r="G1" s="4"/>
      <x:c r="H1" s="4"/>
      <x:c r="I1" s="4"/>
      <x:c r="J1" s="5"/>
    </x:row>
    <x:row r="2" spans="1:10" ht="20" customHeight="1">
      <x:c r="A2" s="6" t="str">
        <x:v>自动检查模块文件、模块编号、重复ID、状态、负责人、日期及逾期任务执行证据。请在源台账修正后重新运行刷新。</x:v>
      </x:c>
      <x:c r="B2" s="4"/>
      <x:c r="C2" s="4"/>
      <x:c r="D2" s="4"/>
      <x:c r="E2" s="4"/>
      <x:c r="F2" s="4"/>
      <x:c r="G2" s="4"/>
      <x:c r="H2" s="4"/>
      <x:c r="I2" s="4"/>
      <x:c r="J2" s="5"/>
    </x:row>
    <x:row r="3" spans="1:10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 spans="1:10" ht="20" customHeight="1">
      <x:c r="A4" s="8" t="s">
        <x:v>174</x:v>
      </x:c>
      <x:c r="B4" s="8" t="s">
        <x:v>175</x:v>
      </x:c>
      <x:c r="C4" s="8" t="s">
        <x:v>176</x:v>
      </x:c>
      <x:c r="D4" s="8" t="s">
        <x:v>81</x:v>
      </x:c>
      <x:c r="E4" s="8" t="s">
        <x:v>177</x:v>
      </x:c>
      <x:c r="F4" s="8" t="s">
        <x:v>78</x:v>
      </x:c>
      <x:c r="G4" s="8" t="s">
        <x:v>178</x:v>
      </x:c>
      <x:c r="H4" s="8" t="s">
        <x:v>179</x:v>
      </x:c>
      <x:c r="I4" s="8" t="s">
        <x:v>149</x:v>
      </x:c>
      <x:c r="J4" s="8" t="s">
        <x:v>180</x:v>
      </x:c>
    </x:row>
    <x:row r="5" spans="1:10" ht="34" customHeight="1">
      <x:c r="A5" s="9" t="str">
        <x:v>G15-会前签认跟踪-20260924-V1.xlsx</x:v>
      </x:c>
      <x:c r="B5" s="9" t="str">
        <x:v>MODULE-CODE</x:v>
      </x:c>
      <x:c r="C5" s="9" t="str">
        <x:v>模块编号检查</x:v>
      </x:c>
      <x:c r="D5" s="9" t="str">
        <x:v>项目经理</x:v>
      </x:c>
      <x:c r="E5" s="95" t="str">
        <x:v/>
      </x:c>
      <x:c r="F5" s="95" t="str">
        <x:v/>
      </x:c>
      <x:c r="G5" s="9" t="str">
        <x:v>缺少_data接口工作表</x:v>
      </x:c>
      <x:c r="H5" s="9" t="str">
        <x:v>阻断</x:v>
      </x:c>
      <x:c r="I5" s="9" t="str">
        <x:v>补充_data接口并填写模块编号</x:v>
      </x:c>
      <x:c r="J5" s="9" t="str">
        <x:v>-</x:v>
      </x:c>
    </x:row>
    <x:row r="6" spans="1:10" ht="34" customHeight="1">
      <x:c r="A6" s="9" t="str">
        <x:v>安全合规会签清单-20260924-V1.xlsx</x:v>
      </x:c>
      <x:c r="B6" s="9" t="str">
        <x:v>MODULE-CODE</x:v>
      </x:c>
      <x:c r="C6" s="9" t="str">
        <x:v>模块编号检查</x:v>
      </x:c>
      <x:c r="D6" s="9" t="str">
        <x:v>项目经理</x:v>
      </x:c>
      <x:c r="E6" s="95" t="str">
        <x:v/>
      </x:c>
      <x:c r="F6" s="95" t="str">
        <x:v/>
      </x:c>
      <x:c r="G6" s="9" t="str">
        <x:v>缺少_data接口工作表</x:v>
      </x:c>
      <x:c r="H6" s="9" t="str">
        <x:v>阻断</x:v>
      </x:c>
      <x:c r="I6" s="9" t="str">
        <x:v>补充_data接口并填写模块编号</x:v>
      </x:c>
      <x:c r="J6" s="9" t="str">
        <x:v>-</x:v>
      </x:c>
    </x:row>
    <x:row r="7" spans="1:10" ht="34" customHeight="1">
      <x:c r="A7" s="9" t="str">
        <x:v>厂商报价对比-20260924-V1.xlsx</x:v>
      </x:c>
      <x:c r="B7" s="9" t="str">
        <x:v>MODULE-CODE</x:v>
      </x:c>
      <x:c r="C7" s="9" t="str">
        <x:v>模块编号检查</x:v>
      </x:c>
      <x:c r="D7" s="9" t="str">
        <x:v>项目经理</x:v>
      </x:c>
      <x:c r="E7" s="95" t="str">
        <x:v/>
      </x:c>
      <x:c r="F7" s="95" t="str">
        <x:v/>
      </x:c>
      <x:c r="G7" s="9" t="str">
        <x:v>缺少_data接口工作表</x:v>
      </x:c>
      <x:c r="H7" s="9" t="str">
        <x:v>阻断</x:v>
      </x:c>
      <x:c r="I7" s="9" t="str">
        <x:v>补充_data接口并填写模块编号</x:v>
      </x:c>
      <x:c r="J7" s="9" t="str">
        <x:v>-</x:v>
      </x:c>
    </x:row>
    <x:row r="8" spans="1:10" ht="34" customHeight="1">
      <x:c r="A8" s="9" t="str">
        <x:v>POC评分表-20260924-V1.xlsx</x:v>
      </x:c>
      <x:c r="B8" s="9" t="str">
        <x:v>MODULE-CODE</x:v>
      </x:c>
      <x:c r="C8" s="9" t="str">
        <x:v>模块编号检查</x:v>
      </x:c>
      <x:c r="D8" s="9" t="str">
        <x:v>项目经理</x:v>
      </x:c>
      <x:c r="E8" s="95" t="str">
        <x:v/>
      </x:c>
      <x:c r="F8" s="95" t="str">
        <x:v/>
      </x:c>
      <x:c r="G8" s="9" t="str">
        <x:v>缺少_data接口工作表</x:v>
      </x:c>
      <x:c r="H8" s="9" t="str">
        <x:v>阻断</x:v>
      </x:c>
      <x:c r="I8" s="9" t="str">
        <x:v>补充_data接口并填写模块编号</x:v>
      </x:c>
      <x:c r="J8" s="9" t="str">
        <x:v>-</x:v>
      </x:c>
    </x:row>
    <x:row r="9" spans="1:10" ht="34" customHeight="1">
      <x:c r="A9" s="9" t="str">
        <x:v>开发前检查清单-20261008-V1.xlsx</x:v>
      </x:c>
      <x:c r="B9" s="9" t="str">
        <x:v>MODULE-CODE</x:v>
      </x:c>
      <x:c r="C9" s="9" t="str">
        <x:v>模块编号检查</x:v>
      </x:c>
      <x:c r="D9" s="9" t="str">
        <x:v>项目经理</x:v>
      </x:c>
      <x:c r="E9" s="95" t="str">
        <x:v/>
      </x:c>
      <x:c r="F9" s="95" t="str">
        <x:v/>
      </x:c>
      <x:c r="G9" s="9" t="str">
        <x:v>缺少_data接口工作表</x:v>
      </x:c>
      <x:c r="H9" s="9" t="str">
        <x:v>阻断</x:v>
      </x:c>
      <x:c r="I9" s="9" t="str">
        <x:v>补充_data接口并填写模块编号</x:v>
      </x:c>
      <x:c r="J9" s="9" t="str">
        <x:v>-</x:v>
      </x:c>
    </x:row>
    <x:row r="10" spans="1:10" ht="34" customHeight="1">
      <x:c r="A10" s="9" t="str">
        <x:v>项目总控台账</x:v>
      </x:c>
      <x:c r="B10" s="9" t="str">
        <x:v>T011</x:v>
      </x:c>
      <x:c r="C10" s="9" t="str">
        <x:v>盘点既有系统、接口与数据</x:v>
      </x:c>
      <x:c r="D10" s="9" t="str">
        <x:v>技术经理</x:v>
      </x:c>
      <x:c r="E10" s="95">
        <x:v>46120</x:v>
      </x:c>
      <x:c r="F10" s="95">
        <x:v>46147</x:v>
      </x:c>
      <x:c r="G10" s="9" t="str">
        <x:v>计划完成日已过，执行状态和实际证据未确认</x:v>
      </x:c>
      <x:c r="H10" s="9" t="str">
        <x:v>需整改</x:v>
      </x:c>
      <x:c r="I10" s="9" t="str">
        <x:v>补充实际状态、实际日期、问题/阻塞及完成证据</x:v>
      </x:c>
      <x:c r="J10" s="9">
        <x:v>14</x:v>
      </x:c>
    </x:row>
    <x:row r="11" spans="1:10" ht="34" customHeight="1">
      <x:c r="A11" s="9" t="str">
        <x:v>项目总控台账</x:v>
      </x:c>
      <x:c r="B11" s="9" t="str">
        <x:v>T014</x:v>
      </x:c>
      <x:c r="C11" s="9" t="str">
        <x:v>制定项目治理、会议与报告机制</x:v>
      </x:c>
      <x:c r="D11" s="9" t="str">
        <x:v>项目经理</x:v>
      </x:c>
      <x:c r="E11" s="95">
        <x:v>46204</x:v>
      </x:c>
      <x:c r="F11" s="95">
        <x:v>46215</x:v>
      </x:c>
      <x:c r="G11" s="9" t="str">
        <x:v>计划完成日已过，执行状态和实际证据未确认</x:v>
      </x:c>
      <x:c r="H11" s="9" t="str">
        <x:v>需整改</x:v>
      </x:c>
      <x:c r="I11" s="9" t="str">
        <x:v>补充实际状态、实际日期、问题/阻塞及完成证据</x:v>
      </x:c>
      <x:c r="J11" s="9">
        <x:v>17</x:v>
      </x:c>
    </x:row>
    <x:row r="12" spans="1:10" ht="34" customHeight="1">
      <x:c r="A12" s="9" t="str">
        <x:v>项目总控台账</x:v>
      </x:c>
      <x:c r="B12" s="9" t="str">
        <x:v>T015</x:v>
      </x:c>
      <x:c r="C12" s="9" t="str">
        <x:v>制定需求分级、跟踪与变更规范</x:v>
      </x:c>
      <x:c r="D12" s="9" t="str">
        <x:v>产品经理</x:v>
      </x:c>
      <x:c r="E12" s="95">
        <x:v>46216</x:v>
      </x:c>
      <x:c r="F12" s="95">
        <x:v>46227</x:v>
      </x:c>
      <x:c r="G12" s="9" t="str">
        <x:v>计划完成日已过，执行状态和实际证据未确认</x:v>
      </x:c>
      <x:c r="H12" s="9" t="str">
        <x:v>需整改</x:v>
      </x:c>
      <x:c r="I12" s="9" t="str">
        <x:v>补充实际状态、实际日期、问题/阻塞及完成证据</x:v>
      </x:c>
      <x:c r="J12" s="9">
        <x:v>18</x:v>
      </x:c>
    </x:row>
    <x:row r="13" spans="1:10" ht="34" customHeight="1">
      <x:c r="A13" s="9" t="str">
        <x:v>项目总控台账</x:v>
      </x:c>
      <x:c r="B13" s="9" t="str">
        <x:v>T016</x:v>
      </x:c>
      <x:c r="C13" s="9" t="str">
        <x:v>制定设计、编码与代码评审规范</x:v>
      </x:c>
      <x:c r="D13" s="9" t="str">
        <x:v>技术经理</x:v>
      </x:c>
      <x:c r="E13" s="95">
        <x:v>46228</x:v>
      </x:c>
      <x:c r="F13" s="95">
        <x:v>46240</x:v>
      </x:c>
      <x:c r="G13" s="9" t="str">
        <x:v>计划完成日已过，执行状态和实际证据未确认</x:v>
      </x:c>
      <x:c r="H13" s="9" t="str">
        <x:v>需整改</x:v>
      </x:c>
      <x:c r="I13" s="9" t="str">
        <x:v>补充实际状态、实际日期、问题/阻塞及完成证据</x:v>
      </x:c>
      <x:c r="J13" s="9">
        <x:v>19</x:v>
      </x:c>
    </x:row>
    <x:row r="14" spans="1:10" ht="34" customHeight="1">
      <x:c r="A14" s="9" t="str">
        <x:v>项目总控台账</x:v>
      </x:c>
      <x:c r="B14" s="9" t="str">
        <x:v>T017</x:v>
      </x:c>
      <x:c r="C14" s="9" t="str">
        <x:v>制定测试、缺陷与质量门禁规范</x:v>
      </x:c>
      <x:c r="D14" s="9" t="str">
        <x:v>高级测试人员、中级测试人员</x:v>
      </x:c>
      <x:c r="E14" s="95">
        <x:v>46241</x:v>
      </x:c>
      <x:c r="F14" s="95">
        <x:v>46252</x:v>
      </x:c>
      <x:c r="G14" s="9" t="str">
        <x:v>计划完成日已过，执行状态和实际证据未确认</x:v>
      </x:c>
      <x:c r="H14" s="9" t="str">
        <x:v>需整改</x:v>
      </x:c>
      <x:c r="I14" s="9" t="str">
        <x:v>补充实际状态、实际日期、问题/阻塞及完成证据</x:v>
      </x:c>
      <x:c r="J14" s="9">
        <x:v>20</x:v>
      </x:c>
    </x:row>
    <x:row r="15" spans="1:10" ht="34" customHeight="1">
      <x:c r="A15" s="9" t="str">
        <x:v>项目总控台账</x:v>
      </x:c>
      <x:c r="B15" s="9" t="str">
        <x:v>T018</x:v>
      </x:c>
      <x:c r="C15" s="9" t="str">
        <x:v>制定配置、发布与文档归档规范</x:v>
      </x:c>
      <x:c r="D15" s="9" t="str">
        <x:v>配置人员</x:v>
      </x:c>
      <x:c r="E15" s="95">
        <x:v>46253</x:v>
      </x:c>
      <x:c r="F15" s="95">
        <x:v>46265</x:v>
      </x:c>
      <x:c r="G15" s="9" t="str">
        <x:v>计划完成日已过，执行状态和实际证据未确认</x:v>
      </x:c>
      <x:c r="H15" s="9" t="str">
        <x:v>需整改</x:v>
      </x:c>
      <x:c r="I15" s="9" t="str">
        <x:v>补充实际状态、实际日期、问题/阻塞及完成证据</x:v>
      </x:c>
      <x:c r="J15" s="9">
        <x:v>21</x:v>
      </x:c>
    </x:row>
    <x:row r="16" spans="1:10" ht="34" customHeight="1">
      <x:c r="A16" s="9" t="str">
        <x:v>项目总控台账</x:v>
      </x:c>
      <x:c r="B16" s="9" t="str">
        <x:v>T019</x:v>
      </x:c>
      <x:c r="C16" s="9" t="str">
        <x:v>完成系统分层、模块与服务边界设计</x:v>
      </x:c>
      <x:c r="D16" s="9" t="str">
        <x:v>技术经理</x:v>
      </x:c>
      <x:c r="E16" s="95">
        <x:v>46204</x:v>
      </x:c>
      <x:c r="F16" s="95">
        <x:v>46218</x:v>
      </x:c>
      <x:c r="G16" s="9" t="str">
        <x:v>计划完成日已过，执行状态和实际证据未确认</x:v>
      </x:c>
      <x:c r="H16" s="9" t="str">
        <x:v>需整改</x:v>
      </x:c>
      <x:c r="I16" s="9" t="str">
        <x:v>补充实际状态、实际日期、问题/阻塞及完成证据</x:v>
      </x:c>
      <x:c r="J16" s="9">
        <x:v>22</x:v>
      </x:c>
    </x:row>
    <x:row r="17" spans="1:10" ht="34" customHeight="1">
      <x:c r="A17" s="9" t="str">
        <x:v>项目总控台账</x:v>
      </x:c>
      <x:c r="B17" s="9" t="str">
        <x:v>T020</x:v>
      </x:c>
      <x:c r="C17" s="9" t="str">
        <x:v>完成主数据、交易数据与分析数据架构</x:v>
      </x:c>
      <x:c r="D17" s="9" t="str">
        <x:v>技术经理</x:v>
      </x:c>
      <x:c r="E17" s="95">
        <x:v>46219</x:v>
      </x:c>
      <x:c r="F17" s="95">
        <x:v>46233</x:v>
      </x:c>
      <x:c r="G17" s="9" t="str">
        <x:v>计划完成日已过，执行状态和实际证据未确认</x:v>
      </x:c>
      <x:c r="H17" s="9" t="str">
        <x:v>需整改</x:v>
      </x:c>
      <x:c r="I17" s="9" t="str">
        <x:v>补充实际状态、实际日期、问题/阻塞及完成证据</x:v>
      </x:c>
      <x:c r="J17" s="9">
        <x:v>23</x:v>
      </x:c>
    </x:row>
    <x:row r="18" spans="1:10" ht="34" customHeight="1">
      <x:c r="A18" s="9" t="str">
        <x:v>项目总控台账</x:v>
      </x:c>
      <x:c r="B18" s="9" t="str">
        <x:v>T021</x:v>
      </x:c>
      <x:c r="C18" s="9" t="str">
        <x:v>完成内部及外部接口总体架构</x:v>
      </x:c>
      <x:c r="D18" s="9" t="str">
        <x:v>高级开发人员</x:v>
      </x:c>
      <x:c r="E18" s="95">
        <x:v>46234</x:v>
      </x:c>
      <x:c r="F18" s="95">
        <x:v>46249</x:v>
      </x:c>
      <x:c r="G18" s="9" t="str">
        <x:v>计划完成日已过，执行状态和实际证据未确认</x:v>
      </x:c>
      <x:c r="H18" s="9" t="str">
        <x:v>需整改</x:v>
      </x:c>
      <x:c r="I18" s="9" t="str">
        <x:v>补充实际状态、实际日期、问题/阻塞及完成证据</x:v>
      </x:c>
      <x:c r="J18" s="9">
        <x:v>24</x:v>
      </x:c>
    </x:row>
    <x:row r="19" spans="1:10" ht="34" customHeight="1">
      <x:c r="A19" s="9" t="str">
        <x:v>项目总控台账</x:v>
      </x:c>
      <x:c r="B19" s="9" t="str">
        <x:v>T022</x:v>
      </x:c>
      <x:c r="C19" s="9" t="str">
        <x:v>完成身份、权限、审计与数据安全设计</x:v>
      </x:c>
      <x:c r="D19" s="9" t="str">
        <x:v>技术经理</x:v>
      </x:c>
      <x:c r="E19" s="95">
        <x:v>46250</x:v>
      </x:c>
      <x:c r="F19" s="95">
        <x:v>46264</x:v>
      </x:c>
      <x:c r="G19" s="9" t="str">
        <x:v>计划完成日已过，执行状态和实际证据未确认</x:v>
      </x:c>
      <x:c r="H19" s="9" t="str">
        <x:v>需整改</x:v>
      </x:c>
      <x:c r="I19" s="9" t="str">
        <x:v>补充实际状态、实际日期、问题/阻塞及完成证据</x:v>
      </x:c>
      <x:c r="J19" s="9">
        <x:v>25</x:v>
      </x:c>
    </x:row>
    <x:row r="20" spans="1:10" ht="34" customHeight="1">
      <x:c r="A20" s="9" t="str">
        <x:v>项目总控台账</x:v>
      </x:c>
      <x:c r="B20" s="9" t="str">
        <x:v>T023</x:v>
      </x:c>
      <x:c r="C20" s="9" t="str">
        <x:v>完成环境、网络、容灾和DevOps设计</x:v>
      </x:c>
      <x:c r="D20" s="9" t="str">
        <x:v>配置人员</x:v>
      </x:c>
      <x:c r="E20" s="95">
        <x:v>46265</x:v>
      </x:c>
      <x:c r="F20" s="95">
        <x:v>46279</x:v>
      </x:c>
      <x:c r="G20" s="9" t="str">
        <x:v>计划完成日已过，执行状态和实际证据未确认</x:v>
      </x:c>
      <x:c r="H20" s="9" t="str">
        <x:v>需整改</x:v>
      </x:c>
      <x:c r="I20" s="9" t="str">
        <x:v>补充实际状态、实际日期、问题/阻塞及完成证据</x:v>
      </x:c>
      <x:c r="J20" s="9">
        <x:v>26</x:v>
      </x:c>
    </x:row>
    <x:row r="21" spans="1:10" ht="34" customHeight="1">
      <x:c r="A21" s="9" t="str">
        <x:v>项目总控台账</x:v>
      </x:c>
      <x:c r="B21" s="9" t="str">
        <x:v>T024</x:v>
      </x:c>
      <x:c r="C21" s="9" t="str">
        <x:v>汇编总体技术架构并完成基线评审</x:v>
      </x:c>
      <x:c r="D21" s="9" t="str">
        <x:v>技术经理</x:v>
      </x:c>
      <x:c r="E21" s="95">
        <x:v>46280</x:v>
      </x:c>
      <x:c r="F21" s="95">
        <x:v>46295</x:v>
      </x:c>
      <x:c r="G21" s="9" t="str">
        <x:v>计划完成日已过，执行状态和实际证据未确认</x:v>
      </x:c>
      <x:c r="H21" s="9" t="str">
        <x:v>需整改</x:v>
      </x:c>
      <x:c r="I21" s="9" t="str">
        <x:v>补充实际状态、实际日期、问题/阻塞及完成证据</x:v>
      </x:c>
      <x:c r="J21" s="9">
        <x:v>27</x:v>
      </x:c>
    </x:row>
    <x:row r="22" spans="1:10" ht="34" customHeight="1">
      <x:c r="A22" s="9" t="str">
        <x:v>项目总控台账</x:v>
      </x:c>
      <x:c r="B22" s="9" t="str">
        <x:v>T025</x:v>
      </x:c>
      <x:c r="C22" s="9" t="str">
        <x:v>编制CA、电子文档、BI报表POC方案与评分标准</x:v>
      </x:c>
      <x:c r="D22" s="9" t="str">
        <x:v>技术经理</x:v>
      </x:c>
      <x:c r="E22" s="95">
        <x:v>46249</x:v>
      </x:c>
      <x:c r="F22" s="95">
        <x:v>46253</x:v>
      </x:c>
      <x:c r="G22" s="9" t="str">
        <x:v>计划完成日已过，执行状态和实际证据未确认</x:v>
      </x:c>
      <x:c r="H22" s="9" t="str">
        <x:v>需整改</x:v>
      </x:c>
      <x:c r="I22" s="9" t="str">
        <x:v>补充实际状态、实际日期、问题/阻塞及完成证据</x:v>
      </x:c>
      <x:c r="J22" s="9">
        <x:v>28</x:v>
      </x:c>
    </x:row>
    <x:row r="23" spans="1:10" ht="34" customHeight="1">
      <x:c r="A23" s="9" t="str">
        <x:v>项目总控台账</x:v>
      </x:c>
      <x:c r="B23" s="9" t="str">
        <x:v>T026</x:v>
      </x:c>
      <x:c r="C23" s="9" t="str">
        <x:v>验证证书签发、身份认证和证书管理</x:v>
      </x:c>
      <x:c r="D23" s="9" t="str">
        <x:v>高级开发人员</x:v>
      </x:c>
      <x:c r="E23" s="95">
        <x:v>46254</x:v>
      </x:c>
      <x:c r="F23" s="95">
        <x:v>46258</x:v>
      </x:c>
      <x:c r="G23" s="9" t="str">
        <x:v>计划完成日已过，执行状态和实际证据未确认</x:v>
      </x:c>
      <x:c r="H23" s="9" t="str">
        <x:v>需整改</x:v>
      </x:c>
      <x:c r="I23" s="9" t="str">
        <x:v>补充实际状态、实际日期、问题/阻塞及完成证据</x:v>
      </x:c>
      <x:c r="J23" s="9">
        <x:v>29</x:v>
      </x:c>
    </x:row>
    <x:row r="24" spans="1:10" ht="34" customHeight="1">
      <x:c r="A24" s="9" t="str">
        <x:v>项目总控台账</x:v>
      </x:c>
      <x:c r="B24" s="9" t="str">
        <x:v>T027</x:v>
      </x:c>
      <x:c r="C24" s="9" t="str">
        <x:v>验证电子签名、验签、时间戳和审计追溯</x:v>
      </x:c>
      <x:c r="D24" s="9" t="str">
        <x:v>高级测试人员、中级测试人员</x:v>
      </x:c>
      <x:c r="E24" s="95">
        <x:v>46259</x:v>
      </x:c>
      <x:c r="F24" s="95">
        <x:v>46263</x:v>
      </x:c>
      <x:c r="G24" s="9" t="str">
        <x:v>计划完成日已过，执行状态和实际证据未确认</x:v>
      </x:c>
      <x:c r="H24" s="9" t="str">
        <x:v>需整改</x:v>
      </x:c>
      <x:c r="I24" s="9" t="str">
        <x:v>补充实际状态、实际日期、问题/阻塞及完成证据</x:v>
      </x:c>
      <x:c r="J24" s="9">
        <x:v>30</x:v>
      </x:c>
    </x:row>
    <x:row r="25" spans="1:10" ht="34" customHeight="1">
      <x:c r="A25" s="9" t="str">
        <x:v>项目总控台账</x:v>
      </x:c>
      <x:c r="B25" s="9" t="str">
        <x:v>T028</x:v>
      </x:c>
      <x:c r="C25" s="9" t="str">
        <x:v>验证模板生成、在线预览和格式转换</x:v>
      </x:c>
      <x:c r="D25" s="9" t="str">
        <x:v>中级开发人员</x:v>
      </x:c>
      <x:c r="E25" s="95">
        <x:v>46264</x:v>
      </x:c>
      <x:c r="F25" s="95">
        <x:v>46269</x:v>
      </x:c>
      <x:c r="G25" s="9" t="str">
        <x:v>计划完成日已过，执行状态和实际证据未确认</x:v>
      </x:c>
      <x:c r="H25" s="9" t="str">
        <x:v>需整改</x:v>
      </x:c>
      <x:c r="I25" s="9" t="str">
        <x:v>补充实际状态、实际日期、问题/阻塞及完成证据</x:v>
      </x:c>
      <x:c r="J25" s="9">
        <x:v>31</x:v>
      </x:c>
    </x:row>
    <x:row r="26" spans="1:10" ht="34" customHeight="1">
      <x:c r="A26" s="9" t="str">
        <x:v>项目总控台账</x:v>
      </x:c>
      <x:c r="B26" s="9" t="str">
        <x:v>T029</x:v>
      </x:c>
      <x:c r="C26" s="9" t="str">
        <x:v>验证水印、权限控制、归档和大文件性能</x:v>
      </x:c>
      <x:c r="D26" s="9" t="str">
        <x:v>高级测试人员、中级测试人员</x:v>
      </x:c>
      <x:c r="E26" s="95">
        <x:v>46270</x:v>
      </x:c>
      <x:c r="F26" s="95">
        <x:v>46274</x:v>
      </x:c>
      <x:c r="G26" s="9" t="str">
        <x:v>计划完成日已过，执行状态和实际证据未确认</x:v>
      </x:c>
      <x:c r="H26" s="9" t="str">
        <x:v>需整改</x:v>
      </x:c>
      <x:c r="I26" s="9" t="str">
        <x:v>补充实际状态、实际日期、问题/阻塞及完成证据</x:v>
      </x:c>
      <x:c r="J26" s="9">
        <x:v>32</x:v>
      </x:c>
    </x:row>
    <x:row r="27" spans="1:10" ht="34" customHeight="1">
      <x:c r="A27" s="9" t="str">
        <x:v>项目总控台账</x:v>
      </x:c>
      <x:c r="B27" s="9" t="str">
        <x:v>T030</x:v>
      </x:c>
      <x:c r="C27" s="9" t="str">
        <x:v>验证数据接入、指标模型和经营报表</x:v>
      </x:c>
      <x:c r="D27" s="9" t="str">
        <x:v>高级开发人员</x:v>
      </x:c>
      <x:c r="E27" s="95">
        <x:v>46275</x:v>
      </x:c>
      <x:c r="F27" s="95">
        <x:v>46279</x:v>
      </x:c>
      <x:c r="G27" s="9" t="str">
        <x:v>计划完成日已过，执行状态和实际证据未确认</x:v>
      </x:c>
      <x:c r="H27" s="9" t="str">
        <x:v>需整改</x:v>
      </x:c>
      <x:c r="I27" s="9" t="str">
        <x:v>补充实际状态、实际日期、问题/阻塞及完成证据</x:v>
      </x:c>
      <x:c r="J27" s="9">
        <x:v>33</x:v>
      </x:c>
    </x:row>
    <x:row r="28" spans="1:10" ht="34" customHeight="1">
      <x:c r="A28" s="9" t="str">
        <x:v>项目总控台账</x:v>
      </x:c>
      <x:c r="B28" s="9" t="str">
        <x:v>T031</x:v>
      </x:c>
      <x:c r="C28" s="9" t="str">
        <x:v>验证权限、钻取、导出和查询性能</x:v>
      </x:c>
      <x:c r="D28" s="9" t="str">
        <x:v>高级测试人员、中级测试人员</x:v>
      </x:c>
      <x:c r="E28" s="95">
        <x:v>46280</x:v>
      </x:c>
      <x:c r="F28" s="95">
        <x:v>46284</x:v>
      </x:c>
      <x:c r="G28" s="9" t="str">
        <x:v>计划完成日已过，执行状态和实际证据未确认</x:v>
      </x:c>
      <x:c r="H28" s="9" t="str">
        <x:v>需整改</x:v>
      </x:c>
      <x:c r="I28" s="9" t="str">
        <x:v>补充实际状态、实际日期、问题/阻塞及完成证据</x:v>
      </x:c>
      <x:c r="J28" s="9">
        <x:v>34</x:v>
      </x:c>
    </x:row>
    <x:row r="29" spans="1:10" ht="34" customHeight="1">
      <x:c r="A29" s="9" t="str">
        <x:v>项目总控台账</x:v>
      </x:c>
      <x:c r="B29" s="9" t="str">
        <x:v>T032</x:v>
      </x:c>
      <x:c r="C29" s="9" t="str">
        <x:v>汇总问题清单、适配结论和产品选型建议</x:v>
      </x:c>
      <x:c r="D29" s="9" t="str">
        <x:v>项目经理</x:v>
      </x:c>
      <x:c r="E29" s="95">
        <x:v>46285</x:v>
      </x:c>
      <x:c r="F29" s="95">
        <x:v>46290</x:v>
      </x:c>
      <x:c r="G29" s="9" t="str">
        <x:v>计划完成日已过，执行状态和实际证据未确认</x:v>
      </x:c>
      <x:c r="H29" s="9" t="str">
        <x:v>需整改</x:v>
      </x:c>
      <x:c r="I29" s="9" t="str">
        <x:v>补充实际状态、实际日期、问题/阻塞及完成证据</x:v>
      </x:c>
      <x:c r="J29" s="9">
        <x:v>35</x:v>
      </x:c>
    </x:row>
    <x:row r="30" spans="1:10" ht="34" customHeight="1">
      <x:c r="A30" s="9" t="str">
        <x:v>项目总控台账</x:v>
      </x:c>
      <x:c r="B30" s="9" t="str">
        <x:v>T033</x:v>
      </x:c>
      <x:c r="C30" s="9" t="str">
        <x:v>编制并审批项目章程</x:v>
      </x:c>
      <x:c r="D30" s="9" t="str">
        <x:v>项目集经理</x:v>
      </x:c>
      <x:c r="E30" s="95">
        <x:v>46296</x:v>
      </x:c>
      <x:c r="F30" s="95">
        <x:v>46297</x:v>
      </x:c>
      <x:c r="G30" s="9" t="str">
        <x:v>计划完成日已过，执行状态和实际证据未确认</x:v>
      </x:c>
      <x:c r="H30" s="9" t="str">
        <x:v>需整改</x:v>
      </x:c>
      <x:c r="I30" s="9" t="str">
        <x:v>补充实际状态、实际日期、问题/阻塞及完成证据</x:v>
      </x:c>
      <x:c r="J30" s="9">
        <x:v>36</x:v>
      </x:c>
    </x:row>
    <x:row r="31" spans="1:10" ht="34" customHeight="1">
      <x:c r="A31" s="9" t="str">
        <x:v>项目总控台账</x:v>
      </x:c>
      <x:c r="B31" s="9" t="str">
        <x:v>T034</x:v>
      </x:c>
      <x:c r="C31" s="9" t="str">
        <x:v>编制范围、里程碑和主进度计划</x:v>
      </x:c>
      <x:c r="D31" s="9" t="str">
        <x:v>项目经理</x:v>
      </x:c>
      <x:c r="E31" s="95">
        <x:v>46298</x:v>
      </x:c>
      <x:c r="F31" s="95">
        <x:v>46300</x:v>
      </x:c>
      <x:c r="G31" s="9" t="str">
        <x:v>计划完成日已过，执行状态和实际证据未确认</x:v>
      </x:c>
      <x:c r="H31" s="9" t="str">
        <x:v>需整改</x:v>
      </x:c>
      <x:c r="I31" s="9" t="str">
        <x:v>补充实际状态、实际日期、问题/阻塞及完成证据</x:v>
      </x:c>
      <x:c r="J31" s="9">
        <x:v>37</x:v>
      </x:c>
    </x:row>
    <x:row r="32" spans="1:10" ht="34" customHeight="1">
      <x:c r="A32" s="9" t="str">
        <x:v>项目总控台账</x:v>
      </x:c>
      <x:c r="B32" s="9" t="str">
        <x:v>T035</x:v>
      </x:c>
      <x:c r="C32" s="9" t="str">
        <x:v>建立项目组织、RACI与沟通机制</x:v>
      </x:c>
      <x:c r="D32" s="9" t="str">
        <x:v>项目经理</x:v>
      </x:c>
      <x:c r="E32" s="95">
        <x:v>46301</x:v>
      </x:c>
      <x:c r="F32" s="95">
        <x:v>46303</x:v>
      </x:c>
      <x:c r="G32" s="9" t="str">
        <x:v>计划完成日已过，执行状态和实际证据未确认</x:v>
      </x:c>
      <x:c r="H32" s="9" t="str">
        <x:v>需整改</x:v>
      </x:c>
      <x:c r="I32" s="9" t="str">
        <x:v>补充实际状态、实际日期、问题/阻塞及完成证据</x:v>
      </x:c>
      <x:c r="J32" s="9">
        <x:v>38</x:v>
      </x:c>
    </x:row>
    <x:row r="33" spans="1:10" ht="20" customHeight="1">
      <x:c r="A33" s="7" t="str">
        <x:v>项目总控台账</x:v>
      </x:c>
      <x:c r="B33" s="7" t="str">
        <x:v>T036</x:v>
      </x:c>
      <x:c r="C33" s="7" t="str">
        <x:v>确认30人团队投入与阶段资源计划</x:v>
      </x:c>
      <x:c r="D33" s="7" t="str">
        <x:v>项目集经理</x:v>
      </x:c>
      <x:c r="E33" s="96">
        <x:v>46304</x:v>
      </x:c>
      <x:c r="F33" s="96">
        <x:v>46305</x:v>
      </x:c>
      <x:c r="G33" s="7" t="str">
        <x:v>计划完成日已过，执行状态和实际证据未确认</x:v>
      </x:c>
      <x:c r="H33" s="7" t="str">
        <x:v>需整改</x:v>
      </x:c>
      <x:c r="I33" s="7" t="str">
        <x:v>补充实际状态、实际日期、问题/阻塞及完成证据</x:v>
      </x:c>
      <x:c r="J33" s="7">
        <x:v>39</x:v>
      </x:c>
    </x:row>
    <x:row r="34" spans="1:10" ht="20" customHeight="1">
      <x:c r="A34" s="7" t="str">
        <x:v>项目总控台账</x:v>
      </x:c>
      <x:c r="B34" s="7" t="str">
        <x:v>T037</x:v>
      </x:c>
      <x:c r="C34" s="7" t="str">
        <x:v>建立风险、问题、变更和决策台账</x:v>
      </x:c>
      <x:c r="D34" s="7" t="str">
        <x:v>项目经理</x:v>
      </x:c>
      <x:c r="E34" s="96">
        <x:v>46306</x:v>
      </x:c>
      <x:c r="F34" s="96">
        <x:v>46308</x:v>
      </x:c>
      <x:c r="G34" s="7" t="str">
        <x:v>计划完成日已过，执行状态和实际证据未确认</x:v>
      </x:c>
      <x:c r="H34" s="7" t="str">
        <x:v>需整改</x:v>
      </x:c>
      <x:c r="I34" s="7" t="str">
        <x:v>补充实际状态、实际日期、问题/阻塞及完成证据</x:v>
      </x:c>
      <x:c r="J34" s="7">
        <x:v>40</x:v>
      </x:c>
    </x:row>
    <x:row r="35" spans="1:10" ht="20" customHeight="1">
      <x:c r="A35" s="7" t="str">
        <x:v/>
      </x:c>
      <x:c r="B35" s="7" t="str">
        <x:v/>
      </x:c>
      <x:c r="C35" s="7" t="str">
        <x:v/>
      </x:c>
      <x:c r="D35" s="7" t="str">
        <x:v/>
      </x:c>
      <x:c r="E35" s="96" t="str">
        <x:v/>
      </x:c>
      <x:c r="F35" s="96" t="str">
        <x:v/>
      </x:c>
      <x:c r="G35" s="7" t="str">
        <x:v/>
      </x:c>
      <x:c r="H35" s="7" t="str">
        <x:v/>
      </x:c>
      <x:c r="I35" s="7" t="str">
        <x:v/>
      </x:c>
      <x:c r="J35" s="7" t="str">
        <x:v/>
      </x:c>
    </x:row>
    <x:row r="36" spans="1:10" ht="20" customHeight="1">
      <x:c r="A36" s="7" t="str">
        <x:v/>
      </x:c>
      <x:c r="B36" s="7" t="str">
        <x:v/>
      </x:c>
      <x:c r="C36" s="7" t="str">
        <x:v/>
      </x:c>
      <x:c r="D36" s="7" t="str">
        <x:v/>
      </x:c>
      <x:c r="E36" s="12" t="str">
        <x:v/>
      </x:c>
      <x:c r="F36" s="12" t="str">
        <x:v/>
      </x:c>
      <x:c r="G36" s="7" t="str">
        <x:v/>
      </x:c>
      <x:c r="H36" s="7" t="str">
        <x:v/>
      </x:c>
      <x:c r="I36" s="7" t="str">
        <x:v/>
      </x:c>
      <x:c r="J36" s="7" t="str">
        <x:v/>
      </x:c>
    </x:row>
    <x:row r="37" spans="1:10" ht="20" customHeight="1">
      <x:c r="A37" s="7" t="str">
        <x:v/>
      </x:c>
      <x:c r="B37" s="7" t="str">
        <x:v/>
      </x:c>
      <x:c r="C37" s="7" t="str">
        <x:v/>
      </x:c>
      <x:c r="D37" s="7" t="str">
        <x:v/>
      </x:c>
      <x:c r="E37" s="12" t="str">
        <x:v/>
      </x:c>
      <x:c r="F37" s="12" t="str">
        <x:v/>
      </x:c>
      <x:c r="G37" s="7" t="str">
        <x:v/>
      </x:c>
      <x:c r="H37" s="7" t="str">
        <x:v/>
      </x:c>
      <x:c r="I37" s="7" t="str">
        <x:v/>
      </x:c>
      <x:c r="J37" s="7" t="str">
        <x:v/>
      </x:c>
    </x:row>
    <x:row r="38" spans="1:10" ht="20" customHeight="1">
      <x:c r="A38" s="7" t="str">
        <x:v/>
      </x:c>
      <x:c r="B38" s="7" t="str">
        <x:v/>
      </x:c>
      <x:c r="C38" s="7" t="str">
        <x:v/>
      </x:c>
      <x:c r="D38" s="7" t="str">
        <x:v/>
      </x:c>
      <x:c r="E38" s="12" t="str">
        <x:v/>
      </x:c>
      <x:c r="F38" s="12" t="str">
        <x:v/>
      </x:c>
      <x:c r="G38" s="7" t="str">
        <x:v/>
      </x:c>
      <x:c r="H38" s="7" t="str">
        <x:v/>
      </x:c>
      <x:c r="I38" s="7" t="str">
        <x:v/>
      </x:c>
      <x:c r="J38" s="7" t="str">
        <x:v/>
      </x:c>
    </x:row>
    <x:row r="39" spans="1:10" ht="20" customHeight="1">
      <x:c r="A39" s="7" t="str">
        <x:v/>
      </x:c>
      <x:c r="B39" s="7" t="str">
        <x:v/>
      </x:c>
      <x:c r="C39" s="7" t="str">
        <x:v/>
      </x:c>
      <x:c r="D39" s="7" t="str">
        <x:v/>
      </x:c>
      <x:c r="E39" s="12" t="str">
        <x:v/>
      </x:c>
      <x:c r="F39" s="12" t="str">
        <x:v/>
      </x:c>
      <x:c r="G39" s="7" t="str">
        <x:v/>
      </x:c>
      <x:c r="H39" s="7" t="str">
        <x:v/>
      </x:c>
      <x:c r="I39" s="7" t="str">
        <x:v/>
      </x:c>
      <x:c r="J39" s="7" t="str">
        <x:v/>
      </x:c>
    </x:row>
    <x:row r="40" spans="1:10" ht="20" customHeight="1">
      <x:c r="A40" s="7" t="str">
        <x:v/>
      </x:c>
      <x:c r="B40" s="7" t="str">
        <x:v/>
      </x:c>
      <x:c r="C40" s="7" t="str">
        <x:v/>
      </x:c>
      <x:c r="D40" s="7" t="str">
        <x:v/>
      </x:c>
      <x:c r="E40" s="12" t="str">
        <x:v/>
      </x:c>
      <x:c r="F40" s="12" t="str">
        <x:v/>
      </x:c>
      <x:c r="G40" s="7" t="str">
        <x:v/>
      </x:c>
      <x:c r="H40" s="7" t="str">
        <x:v/>
      </x:c>
      <x:c r="I40" s="7" t="str">
        <x:v/>
      </x:c>
      <x:c r="J40" s="7" t="str">
        <x:v/>
      </x:c>
    </x:row>
    <x:row r="41" spans="1:10" ht="20" customHeight="1">
      <x:c r="A41" s="7" t="str">
        <x:v/>
      </x:c>
      <x:c r="B41" s="7" t="str">
        <x:v/>
      </x:c>
      <x:c r="C41" s="7" t="str">
        <x:v/>
      </x:c>
      <x:c r="D41" s="7" t="str">
        <x:v/>
      </x:c>
      <x:c r="E41" s="12" t="str">
        <x:v/>
      </x:c>
      <x:c r="F41" s="12" t="str">
        <x:v/>
      </x:c>
      <x:c r="G41" s="7" t="str">
        <x:v/>
      </x:c>
      <x:c r="H41" s="7" t="str">
        <x:v/>
      </x:c>
      <x:c r="I41" s="7" t="str">
        <x:v/>
      </x:c>
      <x:c r="J41" s="7" t="str">
        <x:v/>
      </x:c>
    </x:row>
    <x:row r="42" spans="1:10" ht="20" customHeight="1">
      <x:c r="A42" s="7" t="str">
        <x:v/>
      </x:c>
      <x:c r="B42" s="7" t="str">
        <x:v/>
      </x:c>
      <x:c r="C42" s="7" t="str">
        <x:v/>
      </x:c>
      <x:c r="D42" s="7" t="str">
        <x:v/>
      </x:c>
      <x:c r="E42" s="12" t="str">
        <x:v/>
      </x:c>
      <x:c r="F42" s="12" t="str">
        <x:v/>
      </x:c>
      <x:c r="G42" s="7" t="str">
        <x:v/>
      </x:c>
      <x:c r="H42" s="7" t="str">
        <x:v/>
      </x:c>
      <x:c r="I42" s="7" t="str">
        <x:v/>
      </x:c>
      <x:c r="J42" s="7" t="str">
        <x:v/>
      </x:c>
    </x:row>
    <x:row r="43" spans="1:10" ht="20" customHeight="1">
      <x:c r="A43" s="7" t="str">
        <x:v/>
      </x:c>
      <x:c r="B43" s="7" t="str">
        <x:v/>
      </x:c>
      <x:c r="C43" s="7" t="str">
        <x:v/>
      </x:c>
      <x:c r="D43" s="7" t="str">
        <x:v/>
      </x:c>
      <x:c r="E43" s="12" t="str">
        <x:v/>
      </x:c>
      <x:c r="F43" s="12" t="str">
        <x:v/>
      </x:c>
      <x:c r="G43" s="7" t="str">
        <x:v/>
      </x:c>
      <x:c r="H43" s="7" t="str">
        <x:v/>
      </x:c>
      <x:c r="I43" s="7" t="str">
        <x:v/>
      </x:c>
      <x:c r="J43" s="7" t="str">
        <x:v/>
      </x:c>
    </x:row>
    <x:row r="44" spans="1:10" ht="20" customHeight="1">
      <x:c r="A44" s="7" t="str">
        <x:v/>
      </x:c>
      <x:c r="B44" s="7" t="str">
        <x:v/>
      </x:c>
      <x:c r="C44" s="7" t="str">
        <x:v/>
      </x:c>
      <x:c r="D44" s="7" t="str">
        <x:v/>
      </x:c>
      <x:c r="E44" s="12" t="str">
        <x:v/>
      </x:c>
      <x:c r="F44" s="12" t="str">
        <x:v/>
      </x:c>
      <x:c r="G44" s="7" t="str">
        <x:v/>
      </x:c>
      <x:c r="H44" s="7" t="str">
        <x:v/>
      </x:c>
      <x:c r="I44" s="7" t="str">
        <x:v/>
      </x:c>
      <x:c r="J44" s="7" t="str">
        <x:v/>
      </x:c>
    </x:row>
    <x:row r="45" spans="1:10" ht="20" customHeight="1">
      <x:c r="A45" s="7" t="str">
        <x:v/>
      </x:c>
      <x:c r="B45" s="7" t="str">
        <x:v/>
      </x:c>
      <x:c r="C45" s="7" t="str">
        <x:v/>
      </x:c>
      <x:c r="D45" s="7" t="str">
        <x:v/>
      </x:c>
      <x:c r="E45" s="12" t="str">
        <x:v/>
      </x:c>
      <x:c r="F45" s="12" t="str">
        <x:v/>
      </x:c>
      <x:c r="G45" s="7" t="str">
        <x:v/>
      </x:c>
      <x:c r="H45" s="7" t="str">
        <x:v/>
      </x:c>
      <x:c r="I45" s="7" t="str">
        <x:v/>
      </x:c>
      <x:c r="J45" s="7" t="str">
        <x:v/>
      </x:c>
    </x:row>
    <x:row r="46" spans="1:10" ht="20" customHeight="1">
      <x:c r="A46" s="7" t="str">
        <x:v/>
      </x:c>
      <x:c r="B46" s="7" t="str">
        <x:v/>
      </x:c>
      <x:c r="C46" s="7" t="str">
        <x:v/>
      </x:c>
      <x:c r="D46" s="7" t="str">
        <x:v/>
      </x:c>
      <x:c r="E46" s="12" t="str">
        <x:v/>
      </x:c>
      <x:c r="F46" s="12" t="str">
        <x:v/>
      </x:c>
      <x:c r="G46" s="7" t="str">
        <x:v/>
      </x:c>
      <x:c r="H46" s="7" t="str">
        <x:v/>
      </x:c>
      <x:c r="I46" s="7" t="str">
        <x:v/>
      </x:c>
      <x:c r="J46" s="7" t="str">
        <x:v/>
      </x:c>
    </x:row>
    <x:row r="47" spans="1:10" ht="20" customHeight="1">
      <x:c r="A47" s="7" t="str">
        <x:v/>
      </x:c>
      <x:c r="B47" s="7" t="str">
        <x:v/>
      </x:c>
      <x:c r="C47" s="7" t="str">
        <x:v/>
      </x:c>
      <x:c r="D47" s="7" t="str">
        <x:v/>
      </x:c>
      <x:c r="E47" s="12" t="str">
        <x:v/>
      </x:c>
      <x:c r="F47" s="12" t="str">
        <x:v/>
      </x:c>
      <x:c r="G47" s="7" t="str">
        <x:v/>
      </x:c>
      <x:c r="H47" s="7" t="str">
        <x:v/>
      </x:c>
      <x:c r="I47" s="7" t="str">
        <x:v/>
      </x:c>
      <x:c r="J47" s="7" t="str">
        <x:v/>
      </x:c>
    </x:row>
    <x:row r="48" spans="1:10" ht="20" customHeight="1">
      <x:c r="A48" s="7" t="str">
        <x:v/>
      </x:c>
      <x:c r="B48" s="7" t="str">
        <x:v/>
      </x:c>
      <x:c r="C48" s="7" t="str">
        <x:v/>
      </x:c>
      <x:c r="D48" s="7" t="str">
        <x:v/>
      </x:c>
      <x:c r="E48" s="12" t="str">
        <x:v/>
      </x:c>
      <x:c r="F48" s="12" t="str">
        <x:v/>
      </x:c>
      <x:c r="G48" s="7" t="str">
        <x:v/>
      </x:c>
      <x:c r="H48" s="7" t="str">
        <x:v/>
      </x:c>
      <x:c r="I48" s="7" t="str">
        <x:v/>
      </x:c>
      <x:c r="J48" s="7" t="str">
        <x:v/>
      </x:c>
    </x:row>
    <x:row r="49" spans="1:10" ht="20" customHeight="1">
      <x:c r="A49" s="7" t="str">
        <x:v/>
      </x:c>
      <x:c r="B49" s="7" t="str">
        <x:v/>
      </x:c>
      <x:c r="C49" s="7" t="str">
        <x:v/>
      </x:c>
      <x:c r="D49" s="7" t="str">
        <x:v/>
      </x:c>
      <x:c r="E49" s="12" t="str">
        <x:v/>
      </x:c>
      <x:c r="F49" s="12" t="str">
        <x:v/>
      </x:c>
      <x:c r="G49" s="7" t="str">
        <x:v/>
      </x:c>
      <x:c r="H49" s="7" t="str">
        <x:v/>
      </x:c>
      <x:c r="I49" s="7" t="str">
        <x:v/>
      </x:c>
      <x:c r="J49" s="7" t="str">
        <x:v/>
      </x:c>
    </x:row>
    <x:row r="50" spans="1:10" ht="20" customHeight="1">
      <x:c r="A50" s="7" t="str">
        <x:v/>
      </x:c>
      <x:c r="B50" s="7" t="str">
        <x:v/>
      </x:c>
      <x:c r="C50" s="7" t="str">
        <x:v/>
      </x:c>
      <x:c r="D50" s="7" t="str">
        <x:v/>
      </x:c>
      <x:c r="E50" s="12" t="str">
        <x:v/>
      </x:c>
      <x:c r="F50" s="12" t="str">
        <x:v/>
      </x:c>
      <x:c r="G50" s="7" t="str">
        <x:v/>
      </x:c>
      <x:c r="H50" s="7" t="str">
        <x:v/>
      </x:c>
      <x:c r="I50" s="7" t="str">
        <x:v/>
      </x:c>
      <x:c r="J50" s="7" t="str">
        <x:v/>
      </x:c>
    </x:row>
    <x:row r="51" spans="1:10" ht="20" customHeight="1">
      <x:c r="A51" s="7" t="str">
        <x:v/>
      </x:c>
      <x:c r="B51" s="7" t="str">
        <x:v/>
      </x:c>
      <x:c r="C51" s="7" t="str">
        <x:v/>
      </x:c>
      <x:c r="D51" s="7" t="str">
        <x:v/>
      </x:c>
      <x:c r="E51" s="12" t="str">
        <x:v/>
      </x:c>
      <x:c r="F51" s="12" t="str">
        <x:v/>
      </x:c>
      <x:c r="G51" s="7" t="str">
        <x:v/>
      </x:c>
      <x:c r="H51" s="7" t="str">
        <x:v/>
      </x:c>
      <x:c r="I51" s="7" t="str">
        <x:v/>
      </x:c>
      <x:c r="J51" s="7" t="str">
        <x:v/>
      </x:c>
    </x:row>
    <x:row r="52" spans="1:10" ht="20" customHeight="1">
      <x:c r="A52" s="7" t="str">
        <x:v/>
      </x:c>
      <x:c r="B52" s="7" t="str">
        <x:v/>
      </x:c>
      <x:c r="C52" s="7" t="str">
        <x:v/>
      </x:c>
      <x:c r="D52" s="7" t="str">
        <x:v/>
      </x:c>
      <x:c r="E52" s="12" t="str">
        <x:v/>
      </x:c>
      <x:c r="F52" s="12" t="str">
        <x:v/>
      </x:c>
      <x:c r="G52" s="7" t="str">
        <x:v/>
      </x:c>
      <x:c r="H52" s="7" t="str">
        <x:v/>
      </x:c>
      <x:c r="I52" s="7" t="str">
        <x:v/>
      </x:c>
      <x:c r="J52" s="7" t="str">
        <x:v/>
      </x:c>
    </x:row>
    <x:row r="53" spans="1:10" ht="20" customHeight="1">
      <x:c r="A53" s="7" t="str">
        <x:v/>
      </x:c>
      <x:c r="B53" s="7" t="str">
        <x:v/>
      </x:c>
      <x:c r="C53" s="7" t="str">
        <x:v/>
      </x:c>
      <x:c r="D53" s="7" t="str">
        <x:v/>
      </x:c>
      <x:c r="E53" s="12" t="str">
        <x:v/>
      </x:c>
      <x:c r="F53" s="12" t="str">
        <x:v/>
      </x:c>
      <x:c r="G53" s="7" t="str">
        <x:v/>
      </x:c>
      <x:c r="H53" s="7" t="str">
        <x:v/>
      </x:c>
      <x:c r="I53" s="7" t="str">
        <x:v/>
      </x:c>
      <x:c r="J53" s="7" t="str">
        <x:v/>
      </x:c>
    </x:row>
    <x:row r="54" spans="1:10" ht="20" customHeight="1">
      <x:c r="A54" s="7" t="str">
        <x:v/>
      </x:c>
      <x:c r="B54" s="7" t="str">
        <x:v/>
      </x:c>
      <x:c r="C54" s="7" t="str">
        <x:v/>
      </x:c>
      <x:c r="D54" s="7" t="str">
        <x:v/>
      </x:c>
      <x:c r="E54" s="12" t="str">
        <x:v/>
      </x:c>
      <x:c r="F54" s="12" t="str">
        <x:v/>
      </x:c>
      <x:c r="G54" s="7" t="str">
        <x:v/>
      </x:c>
      <x:c r="H54" s="7" t="str">
        <x:v/>
      </x:c>
      <x:c r="I54" s="7" t="str">
        <x:v/>
      </x:c>
      <x:c r="J54" s="7" t="str">
        <x:v/>
      </x:c>
    </x:row>
    <x:row r="55" spans="1:10" ht="20" customHeight="1">
      <x:c r="A55" s="7" t="str">
        <x:v/>
      </x:c>
      <x:c r="B55" s="7" t="str">
        <x:v/>
      </x:c>
      <x:c r="C55" s="7" t="str">
        <x:v/>
      </x:c>
      <x:c r="D55" s="7" t="str">
        <x:v/>
      </x:c>
      <x:c r="E55" s="12" t="str">
        <x:v/>
      </x:c>
      <x:c r="F55" s="12" t="str">
        <x:v/>
      </x:c>
      <x:c r="G55" s="7" t="str">
        <x:v/>
      </x:c>
      <x:c r="H55" s="7" t="str">
        <x:v/>
      </x:c>
      <x:c r="I55" s="7" t="str">
        <x:v/>
      </x:c>
      <x:c r="J55" s="7" t="str">
        <x:v/>
      </x:c>
    </x:row>
    <x:row r="56" spans="1:10" ht="20" customHeight="1">
      <x:c r="A56" s="7" t="str">
        <x:v/>
      </x:c>
      <x:c r="B56" s="7" t="str">
        <x:v/>
      </x:c>
      <x:c r="C56" s="7" t="str">
        <x:v/>
      </x:c>
      <x:c r="D56" s="7" t="str">
        <x:v/>
      </x:c>
      <x:c r="E56" s="12" t="str">
        <x:v/>
      </x:c>
      <x:c r="F56" s="12" t="str">
        <x:v/>
      </x:c>
      <x:c r="G56" s="7" t="str">
        <x:v/>
      </x:c>
      <x:c r="H56" s="7" t="str">
        <x:v/>
      </x:c>
      <x:c r="I56" s="7" t="str">
        <x:v/>
      </x:c>
      <x:c r="J56" s="7" t="str">
        <x:v/>
      </x:c>
    </x:row>
    <x:row r="57" spans="1:10" ht="20" customHeight="1">
      <x:c r="A57" s="7" t="str">
        <x:v/>
      </x:c>
      <x:c r="B57" s="7" t="str">
        <x:v/>
      </x:c>
      <x:c r="C57" s="7" t="str">
        <x:v/>
      </x:c>
      <x:c r="D57" s="7" t="str">
        <x:v/>
      </x:c>
      <x:c r="E57" s="12" t="str">
        <x:v/>
      </x:c>
      <x:c r="F57" s="12" t="str">
        <x:v/>
      </x:c>
      <x:c r="G57" s="7" t="str">
        <x:v/>
      </x:c>
      <x:c r="H57" s="7" t="str">
        <x:v/>
      </x:c>
      <x:c r="I57" s="7" t="str">
        <x:v/>
      </x:c>
      <x:c r="J57" s="7" t="str">
        <x:v/>
      </x:c>
    </x:row>
    <x:row r="58" spans="1:10" ht="20" customHeight="1">
      <x:c r="A58" s="7" t="str">
        <x:v/>
      </x:c>
      <x:c r="B58" s="7" t="str">
        <x:v/>
      </x:c>
      <x:c r="C58" s="7" t="str">
        <x:v/>
      </x:c>
      <x:c r="D58" s="7" t="str">
        <x:v/>
      </x:c>
      <x:c r="E58" s="12" t="str">
        <x:v/>
      </x:c>
      <x:c r="F58" s="12" t="str">
        <x:v/>
      </x:c>
      <x:c r="G58" s="7" t="str">
        <x:v/>
      </x:c>
      <x:c r="H58" s="7" t="str">
        <x:v/>
      </x:c>
      <x:c r="I58" s="7" t="str">
        <x:v/>
      </x:c>
      <x:c r="J58" s="7" t="str">
        <x:v/>
      </x:c>
    </x:row>
    <x:row r="59" spans="1:10" ht="20" customHeight="1">
      <x:c r="A59" s="7" t="str">
        <x:v/>
      </x:c>
      <x:c r="B59" s="7" t="str">
        <x:v/>
      </x:c>
      <x:c r="C59" s="7" t="str">
        <x:v/>
      </x:c>
      <x:c r="D59" s="7" t="str">
        <x:v/>
      </x:c>
      <x:c r="E59" s="12" t="str">
        <x:v/>
      </x:c>
      <x:c r="F59" s="12" t="str">
        <x:v/>
      </x:c>
      <x:c r="G59" s="7" t="str">
        <x:v/>
      </x:c>
      <x:c r="H59" s="7" t="str">
        <x:v/>
      </x:c>
      <x:c r="I59" s="7" t="str">
        <x:v/>
      </x:c>
      <x:c r="J59" s="7" t="str">
        <x:v/>
      </x:c>
    </x:row>
    <x:row r="60" spans="1:10" ht="20" customHeight="1">
      <x:c r="A60" s="7" t="str">
        <x:v/>
      </x:c>
      <x:c r="B60" s="7" t="str">
        <x:v/>
      </x:c>
      <x:c r="C60" s="7" t="str">
        <x:v/>
      </x:c>
      <x:c r="D60" s="7" t="str">
        <x:v/>
      </x:c>
      <x:c r="E60" s="12" t="str">
        <x:v/>
      </x:c>
      <x:c r="F60" s="12" t="str">
        <x:v/>
      </x:c>
      <x:c r="G60" s="7" t="str">
        <x:v/>
      </x:c>
      <x:c r="H60" s="7" t="str">
        <x:v/>
      </x:c>
      <x:c r="I60" s="7" t="str">
        <x:v/>
      </x:c>
      <x:c r="J60" s="7" t="str">
        <x:v/>
      </x:c>
    </x:row>
    <x:row r="61" spans="1:10" ht="20" customHeight="1">
      <x:c r="A61" s="7" t="str">
        <x:v/>
      </x:c>
      <x:c r="B61" s="7" t="str">
        <x:v/>
      </x:c>
      <x:c r="C61" s="7" t="str">
        <x:v/>
      </x:c>
      <x:c r="D61" s="7" t="str">
        <x:v/>
      </x:c>
      <x:c r="E61" s="12" t="str">
        <x:v/>
      </x:c>
      <x:c r="F61" s="12" t="str">
        <x:v/>
      </x:c>
      <x:c r="G61" s="7" t="str">
        <x:v/>
      </x:c>
      <x:c r="H61" s="7" t="str">
        <x:v/>
      </x:c>
      <x:c r="I61" s="7" t="str">
        <x:v/>
      </x:c>
      <x:c r="J61" s="7" t="str">
        <x:v/>
      </x:c>
    </x:row>
    <x:row r="62" spans="1:10" ht="20" customHeight="1">
      <x:c r="A62" s="7" t="str">
        <x:v/>
      </x:c>
      <x:c r="B62" s="7" t="str">
        <x:v/>
      </x:c>
      <x:c r="C62" s="7" t="str">
        <x:v/>
      </x:c>
      <x:c r="D62" s="7" t="str">
        <x:v/>
      </x:c>
      <x:c r="E62" s="12" t="str">
        <x:v/>
      </x:c>
      <x:c r="F62" s="12" t="str">
        <x:v/>
      </x:c>
      <x:c r="G62" s="7" t="str">
        <x:v/>
      </x:c>
      <x:c r="H62" s="7" t="str">
        <x:v/>
      </x:c>
      <x:c r="I62" s="7" t="str">
        <x:v/>
      </x:c>
      <x:c r="J62" s="7" t="str">
        <x:v/>
      </x:c>
    </x:row>
    <x:row r="63" spans="1:10" ht="20" customHeight="1">
      <x:c r="A63" s="7" t="str">
        <x:v/>
      </x:c>
      <x:c r="B63" s="7" t="str">
        <x:v/>
      </x:c>
      <x:c r="C63" s="7" t="str">
        <x:v/>
      </x:c>
      <x:c r="D63" s="7" t="str">
        <x:v/>
      </x:c>
      <x:c r="E63" s="12" t="str">
        <x:v/>
      </x:c>
      <x:c r="F63" s="12" t="str">
        <x:v/>
      </x:c>
      <x:c r="G63" s="7" t="str">
        <x:v/>
      </x:c>
      <x:c r="H63" s="7" t="str">
        <x:v/>
      </x:c>
      <x:c r="I63" s="7" t="str">
        <x:v/>
      </x:c>
      <x:c r="J63" s="7" t="str">
        <x:v/>
      </x:c>
    </x:row>
    <x:row r="64" spans="1:10" ht="20" customHeight="1">
      <x:c r="A64" s="7" t="str">
        <x:v/>
      </x:c>
      <x:c r="B64" s="7" t="str">
        <x:v/>
      </x:c>
      <x:c r="C64" s="7" t="str">
        <x:v/>
      </x:c>
      <x:c r="D64" s="7" t="str">
        <x:v/>
      </x:c>
      <x:c r="E64" s="12" t="str">
        <x:v/>
      </x:c>
      <x:c r="F64" s="12" t="str">
        <x:v/>
      </x:c>
      <x:c r="G64" s="7" t="str">
        <x:v/>
      </x:c>
      <x:c r="H64" s="7" t="str">
        <x:v/>
      </x:c>
      <x:c r="I64" s="7" t="str">
        <x:v/>
      </x:c>
      <x:c r="J64" s="7" t="str">
        <x:v/>
      </x:c>
    </x:row>
    <x:row r="65" spans="1:10" ht="20" customHeight="1">
      <x:c r="A65" s="7" t="str">
        <x:v/>
      </x:c>
      <x:c r="B65" s="7" t="str">
        <x:v/>
      </x:c>
      <x:c r="C65" s="7" t="str">
        <x:v/>
      </x:c>
      <x:c r="D65" s="7" t="str">
        <x:v/>
      </x:c>
      <x:c r="E65" s="12" t="str">
        <x:v/>
      </x:c>
      <x:c r="F65" s="12" t="str">
        <x:v/>
      </x:c>
      <x:c r="G65" s="7" t="str">
        <x:v/>
      </x:c>
      <x:c r="H65" s="7" t="str">
        <x:v/>
      </x:c>
      <x:c r="I65" s="7" t="str">
        <x:v/>
      </x:c>
      <x:c r="J65" s="7" t="str">
        <x:v/>
      </x:c>
    </x:row>
    <x:row r="66" spans="1:10" ht="20" customHeight="1">
      <x:c r="A66" s="7" t="str">
        <x:v/>
      </x:c>
      <x:c r="B66" s="7" t="str">
        <x:v/>
      </x:c>
      <x:c r="C66" s="7" t="str">
        <x:v/>
      </x:c>
      <x:c r="D66" s="7" t="str">
        <x:v/>
      </x:c>
      <x:c r="E66" s="12" t="str">
        <x:v/>
      </x:c>
      <x:c r="F66" s="12" t="str">
        <x:v/>
      </x:c>
      <x:c r="G66" s="7" t="str">
        <x:v/>
      </x:c>
      <x:c r="H66" s="7" t="str">
        <x:v/>
      </x:c>
      <x:c r="I66" s="7" t="str">
        <x:v/>
      </x:c>
      <x:c r="J66" s="7" t="str">
        <x:v/>
      </x:c>
    </x:row>
    <x:row r="67" spans="1:10" ht="20" customHeight="1">
      <x:c r="A67" s="7" t="str">
        <x:v/>
      </x:c>
      <x:c r="B67" s="7" t="str">
        <x:v/>
      </x:c>
      <x:c r="C67" s="7" t="str">
        <x:v/>
      </x:c>
      <x:c r="D67" s="7" t="str">
        <x:v/>
      </x:c>
      <x:c r="E67" s="12" t="str">
        <x:v/>
      </x:c>
      <x:c r="F67" s="12" t="str">
        <x:v/>
      </x:c>
      <x:c r="G67" s="7" t="str">
        <x:v/>
      </x:c>
      <x:c r="H67" s="7" t="str">
        <x:v/>
      </x:c>
      <x:c r="I67" s="7" t="str">
        <x:v/>
      </x:c>
      <x:c r="J67" s="7" t="str">
        <x:v/>
      </x:c>
    </x:row>
    <x:row r="68" spans="1:10" ht="20" customHeight="1">
      <x:c r="A68" s="7" t="str">
        <x:v/>
      </x:c>
      <x:c r="B68" s="7" t="str">
        <x:v/>
      </x:c>
      <x:c r="C68" s="7" t="str">
        <x:v/>
      </x:c>
      <x:c r="D68" s="7" t="str">
        <x:v/>
      </x:c>
      <x:c r="E68" s="12" t="str">
        <x:v/>
      </x:c>
      <x:c r="F68" s="12" t="str">
        <x:v/>
      </x:c>
      <x:c r="G68" s="7" t="str">
        <x:v/>
      </x:c>
      <x:c r="H68" s="7" t="str">
        <x:v/>
      </x:c>
      <x:c r="I68" s="7" t="str">
        <x:v/>
      </x:c>
      <x:c r="J68" s="7" t="str">
        <x:v/>
      </x:c>
    </x:row>
    <x:row r="69" spans="1:10" ht="20" customHeight="1">
      <x:c r="A69" s="7" t="str">
        <x:v/>
      </x:c>
      <x:c r="B69" s="7" t="str">
        <x:v/>
      </x:c>
      <x:c r="C69" s="7" t="str">
        <x:v/>
      </x:c>
      <x:c r="D69" s="7" t="str">
        <x:v/>
      </x:c>
      <x:c r="E69" s="12" t="str">
        <x:v/>
      </x:c>
      <x:c r="F69" s="12" t="str">
        <x:v/>
      </x:c>
      <x:c r="G69" s="7" t="str">
        <x:v/>
      </x:c>
      <x:c r="H69" s="7" t="str">
        <x:v/>
      </x:c>
      <x:c r="I69" s="7" t="str">
        <x:v/>
      </x:c>
      <x:c r="J69" s="7" t="str">
        <x:v/>
      </x:c>
    </x:row>
    <x:row r="70" spans="1:10" ht="20" customHeight="1">
      <x:c r="A70" s="7" t="str">
        <x:v/>
      </x:c>
      <x:c r="B70" s="7" t="str">
        <x:v/>
      </x:c>
      <x:c r="C70" s="7" t="str">
        <x:v/>
      </x:c>
      <x:c r="D70" s="7" t="str">
        <x:v/>
      </x:c>
      <x:c r="E70" s="12" t="str">
        <x:v/>
      </x:c>
      <x:c r="F70" s="12" t="str">
        <x:v/>
      </x:c>
      <x:c r="G70" s="7" t="str">
        <x:v/>
      </x:c>
      <x:c r="H70" s="7" t="str">
        <x:v/>
      </x:c>
      <x:c r="I70" s="7" t="str">
        <x:v/>
      </x:c>
      <x:c r="J70" s="7" t="str">
        <x:v/>
      </x:c>
    </x:row>
    <x:row r="71" spans="1:10" ht="20" customHeight="1">
      <x:c r="A71" s="7" t="str">
        <x:v/>
      </x:c>
      <x:c r="B71" s="7" t="str">
        <x:v/>
      </x:c>
      <x:c r="C71" s="7" t="str">
        <x:v/>
      </x:c>
      <x:c r="D71" s="7" t="str">
        <x:v/>
      </x:c>
      <x:c r="E71" s="12" t="str">
        <x:v/>
      </x:c>
      <x:c r="F71" s="12" t="str">
        <x:v/>
      </x:c>
      <x:c r="G71" s="7" t="str">
        <x:v/>
      </x:c>
      <x:c r="H71" s="7" t="str">
        <x:v/>
      </x:c>
      <x:c r="I71" s="7" t="str">
        <x:v/>
      </x:c>
      <x:c r="J71" s="7" t="str">
        <x:v/>
      </x:c>
    </x:row>
    <x:row r="72" spans="1:10" ht="20" customHeight="1">
      <x:c r="A72" s="7" t="str">
        <x:v/>
      </x:c>
      <x:c r="B72" s="7" t="str">
        <x:v/>
      </x:c>
      <x:c r="C72" s="7" t="str">
        <x:v/>
      </x:c>
      <x:c r="D72" s="7" t="str">
        <x:v/>
      </x:c>
      <x:c r="E72" s="12" t="str">
        <x:v/>
      </x:c>
      <x:c r="F72" s="12" t="str">
        <x:v/>
      </x:c>
      <x:c r="G72" s="7" t="str">
        <x:v/>
      </x:c>
      <x:c r="H72" s="7" t="str">
        <x:v/>
      </x:c>
      <x:c r="I72" s="7" t="str">
        <x:v/>
      </x:c>
      <x:c r="J72" s="7" t="str">
        <x:v/>
      </x:c>
    </x:row>
    <x:row r="73" spans="1:10" ht="20" customHeight="1">
      <x:c r="A73" s="7" t="str">
        <x:v/>
      </x:c>
      <x:c r="B73" s="7" t="str">
        <x:v/>
      </x:c>
      <x:c r="C73" s="7" t="str">
        <x:v/>
      </x:c>
      <x:c r="D73" s="7" t="str">
        <x:v/>
      </x:c>
      <x:c r="E73" s="12" t="str">
        <x:v/>
      </x:c>
      <x:c r="F73" s="12" t="str">
        <x:v/>
      </x:c>
      <x:c r="G73" s="7" t="str">
        <x:v/>
      </x:c>
      <x:c r="H73" s="7" t="str">
        <x:v/>
      </x:c>
      <x:c r="I73" s="7" t="str">
        <x:v/>
      </x:c>
      <x:c r="J73" s="7" t="str">
        <x:v/>
      </x:c>
    </x:row>
    <x:row r="74" spans="1:10" ht="20" customHeight="1">
      <x:c r="A74" s="7" t="str">
        <x:v/>
      </x:c>
      <x:c r="B74" s="7" t="str">
        <x:v/>
      </x:c>
      <x:c r="C74" s="7" t="str">
        <x:v/>
      </x:c>
      <x:c r="D74" s="7" t="str">
        <x:v/>
      </x:c>
      <x:c r="E74" s="12" t="str">
        <x:v/>
      </x:c>
      <x:c r="F74" s="12" t="str">
        <x:v/>
      </x:c>
      <x:c r="G74" s="7" t="str">
        <x:v/>
      </x:c>
      <x:c r="H74" s="7" t="str">
        <x:v/>
      </x:c>
      <x:c r="I74" s="7" t="str">
        <x:v/>
      </x:c>
      <x:c r="J74" s="7" t="str">
        <x:v/>
      </x:c>
    </x:row>
    <x:row r="75" spans="1:10" ht="20" customHeight="1">
      <x:c r="A75" s="7" t="str">
        <x:v/>
      </x:c>
      <x:c r="B75" s="7" t="str">
        <x:v/>
      </x:c>
      <x:c r="C75" s="7" t="str">
        <x:v/>
      </x:c>
      <x:c r="D75" s="7" t="str">
        <x:v/>
      </x:c>
      <x:c r="E75" s="12" t="str">
        <x:v/>
      </x:c>
      <x:c r="F75" s="12" t="str">
        <x:v/>
      </x:c>
      <x:c r="G75" s="7" t="str">
        <x:v/>
      </x:c>
      <x:c r="H75" s="7" t="str">
        <x:v/>
      </x:c>
      <x:c r="I75" s="7" t="str">
        <x:v/>
      </x:c>
      <x:c r="J75" s="7" t="str">
        <x:v/>
      </x:c>
    </x:row>
    <x:row r="76" spans="1:10" ht="20" customHeight="1">
      <x:c r="A76" s="7" t="str">
        <x:v/>
      </x:c>
      <x:c r="B76" s="7" t="str">
        <x:v/>
      </x:c>
      <x:c r="C76" s="7" t="str">
        <x:v/>
      </x:c>
      <x:c r="D76" s="7" t="str">
        <x:v/>
      </x:c>
      <x:c r="E76" s="12" t="str">
        <x:v/>
      </x:c>
      <x:c r="F76" s="12" t="str">
        <x:v/>
      </x:c>
      <x:c r="G76" s="7" t="str">
        <x:v/>
      </x:c>
      <x:c r="H76" s="7" t="str">
        <x:v/>
      </x:c>
      <x:c r="I76" s="7" t="str">
        <x:v/>
      </x:c>
      <x:c r="J76" s="7" t="str">
        <x:v/>
      </x:c>
    </x:row>
    <x:row r="77" spans="1:10" ht="20" customHeight="1">
      <x:c r="A77" s="7" t="str">
        <x:v/>
      </x:c>
      <x:c r="B77" s="7" t="str">
        <x:v/>
      </x:c>
      <x:c r="C77" s="7" t="str">
        <x:v/>
      </x:c>
      <x:c r="D77" s="7" t="str">
        <x:v/>
      </x:c>
      <x:c r="E77" s="12" t="str">
        <x:v/>
      </x:c>
      <x:c r="F77" s="12" t="str">
        <x:v/>
      </x:c>
      <x:c r="G77" s="7" t="str">
        <x:v/>
      </x:c>
      <x:c r="H77" s="7" t="str">
        <x:v/>
      </x:c>
      <x:c r="I77" s="7" t="str">
        <x:v/>
      </x:c>
      <x:c r="J77" s="7" t="str">
        <x:v/>
      </x:c>
    </x:row>
    <x:row r="78" spans="1:10" ht="20" customHeight="1">
      <x:c r="A78" s="7" t="str">
        <x:v/>
      </x:c>
      <x:c r="B78" s="7" t="str">
        <x:v/>
      </x:c>
      <x:c r="C78" s="7" t="str">
        <x:v/>
      </x:c>
      <x:c r="D78" s="7" t="str">
        <x:v/>
      </x:c>
      <x:c r="E78" s="12" t="str">
        <x:v/>
      </x:c>
      <x:c r="F78" s="12" t="str">
        <x:v/>
      </x:c>
      <x:c r="G78" s="7" t="str">
        <x:v/>
      </x:c>
      <x:c r="H78" s="7" t="str">
        <x:v/>
      </x:c>
      <x:c r="I78" s="7" t="str">
        <x:v/>
      </x:c>
      <x:c r="J78" s="7" t="str">
        <x:v/>
      </x:c>
    </x:row>
    <x:row r="79" spans="1:10" ht="20" customHeight="1">
      <x:c r="A79" s="7" t="str">
        <x:v/>
      </x:c>
      <x:c r="B79" s="7" t="str">
        <x:v/>
      </x:c>
      <x:c r="C79" s="7" t="str">
        <x:v/>
      </x:c>
      <x:c r="D79" s="7" t="str">
        <x:v/>
      </x:c>
      <x:c r="E79" s="12" t="str">
        <x:v/>
      </x:c>
      <x:c r="F79" s="12" t="str">
        <x:v/>
      </x:c>
      <x:c r="G79" s="7" t="str">
        <x:v/>
      </x:c>
      <x:c r="H79" s="7" t="str">
        <x:v/>
      </x:c>
      <x:c r="I79" s="7" t="str">
        <x:v/>
      </x:c>
      <x:c r="J79" s="7" t="str">
        <x:v/>
      </x:c>
    </x:row>
    <x:row r="80" spans="1:10" ht="20" customHeight="1">
      <x:c r="A80" s="7" t="str">
        <x:v/>
      </x:c>
      <x:c r="B80" s="7" t="str">
        <x:v/>
      </x:c>
      <x:c r="C80" s="7" t="str">
        <x:v/>
      </x:c>
      <x:c r="D80" s="7" t="str">
        <x:v/>
      </x:c>
      <x:c r="E80" s="12" t="str">
        <x:v/>
      </x:c>
      <x:c r="F80" s="12" t="str">
        <x:v/>
      </x:c>
      <x:c r="G80" s="7" t="str">
        <x:v/>
      </x:c>
      <x:c r="H80" s="7" t="str">
        <x:v/>
      </x:c>
      <x:c r="I80" s="7" t="str">
        <x:v/>
      </x:c>
      <x:c r="J80" s="7" t="str">
        <x:v/>
      </x:c>
    </x:row>
    <x:row r="81" spans="1:10" ht="20" customHeight="1">
      <x:c r="A81" s="7" t="str">
        <x:v/>
      </x:c>
      <x:c r="B81" s="7" t="str">
        <x:v/>
      </x:c>
      <x:c r="C81" s="7" t="str">
        <x:v/>
      </x:c>
      <x:c r="D81" s="7" t="str">
        <x:v/>
      </x:c>
      <x:c r="E81" s="12" t="str">
        <x:v/>
      </x:c>
      <x:c r="F81" s="12" t="str">
        <x:v/>
      </x:c>
      <x:c r="G81" s="7" t="str">
        <x:v/>
      </x:c>
      <x:c r="H81" s="7" t="str">
        <x:v/>
      </x:c>
      <x:c r="I81" s="7" t="str">
        <x:v/>
      </x:c>
      <x:c r="J81" s="7" t="str">
        <x:v/>
      </x:c>
    </x:row>
    <x:row r="82" spans="1:10" ht="20" customHeight="1">
      <x:c r="A82" s="7" t="str">
        <x:v/>
      </x:c>
      <x:c r="B82" s="7" t="str">
        <x:v/>
      </x:c>
      <x:c r="C82" s="7" t="str">
        <x:v/>
      </x:c>
      <x:c r="D82" s="7" t="str">
        <x:v/>
      </x:c>
      <x:c r="E82" s="12" t="str">
        <x:v/>
      </x:c>
      <x:c r="F82" s="12" t="str">
        <x:v/>
      </x:c>
      <x:c r="G82" s="7" t="str">
        <x:v/>
      </x:c>
      <x:c r="H82" s="7" t="str">
        <x:v/>
      </x:c>
      <x:c r="I82" s="7" t="str">
        <x:v/>
      </x:c>
      <x:c r="J82" s="7" t="str">
        <x:v/>
      </x:c>
    </x:row>
    <x:row r="83" spans="1:10" ht="20" customHeight="1">
      <x:c r="A83" s="7" t="str">
        <x:v/>
      </x:c>
      <x:c r="B83" s="7" t="str">
        <x:v/>
      </x:c>
      <x:c r="C83" s="7" t="str">
        <x:v/>
      </x:c>
      <x:c r="D83" s="7" t="str">
        <x:v/>
      </x:c>
      <x:c r="E83" s="12" t="str">
        <x:v/>
      </x:c>
      <x:c r="F83" s="12" t="str">
        <x:v/>
      </x:c>
      <x:c r="G83" s="7" t="str">
        <x:v/>
      </x:c>
      <x:c r="H83" s="7" t="str">
        <x:v/>
      </x:c>
      <x:c r="I83" s="7" t="str">
        <x:v/>
      </x:c>
      <x:c r="J83" s="7" t="str">
        <x:v/>
      </x:c>
    </x:row>
    <x:row r="84" spans="1:10" ht="20" customHeight="1">
      <x:c r="A84" s="7" t="str">
        <x:v/>
      </x:c>
      <x:c r="B84" s="7" t="str">
        <x:v/>
      </x:c>
      <x:c r="C84" s="7" t="str">
        <x:v/>
      </x:c>
      <x:c r="D84" s="7" t="str">
        <x:v/>
      </x:c>
      <x:c r="E84" s="12" t="str">
        <x:v/>
      </x:c>
      <x:c r="F84" s="12" t="str">
        <x:v/>
      </x:c>
      <x:c r="G84" s="7" t="str">
        <x:v/>
      </x:c>
      <x:c r="H84" s="7" t="str">
        <x:v/>
      </x:c>
      <x:c r="I84" s="7" t="str">
        <x:v/>
      </x:c>
      <x:c r="J84" s="7" t="str">
        <x:v/>
      </x:c>
    </x:row>
    <x:row r="85" spans="1:10" ht="20" customHeight="1">
      <x:c r="A85" s="7" t="str">
        <x:v/>
      </x:c>
      <x:c r="B85" s="7" t="str">
        <x:v/>
      </x:c>
      <x:c r="C85" s="7" t="str">
        <x:v/>
      </x:c>
      <x:c r="D85" s="7" t="str">
        <x:v/>
      </x:c>
      <x:c r="E85" s="12" t="str">
        <x:v/>
      </x:c>
      <x:c r="F85" s="12" t="str">
        <x:v/>
      </x:c>
      <x:c r="G85" s="7" t="str">
        <x:v/>
      </x:c>
      <x:c r="H85" s="7" t="str">
        <x:v/>
      </x:c>
      <x:c r="I85" s="7" t="str">
        <x:v/>
      </x:c>
      <x:c r="J85" s="7" t="str">
        <x:v/>
      </x:c>
    </x:row>
    <x:row r="86" spans="1:10" ht="20" customHeight="1">
      <x:c r="A86" s="7" t="str">
        <x:v/>
      </x:c>
      <x:c r="B86" s="7" t="str">
        <x:v/>
      </x:c>
      <x:c r="C86" s="7" t="str">
        <x:v/>
      </x:c>
      <x:c r="D86" s="7" t="str">
        <x:v/>
      </x:c>
      <x:c r="E86" s="12" t="str">
        <x:v/>
      </x:c>
      <x:c r="F86" s="12" t="str">
        <x:v/>
      </x:c>
      <x:c r="G86" s="7" t="str">
        <x:v/>
      </x:c>
      <x:c r="H86" s="7" t="str">
        <x:v/>
      </x:c>
      <x:c r="I86" s="7" t="str">
        <x:v/>
      </x:c>
      <x:c r="J86" s="7" t="str">
        <x:v/>
      </x:c>
    </x:row>
    <x:row r="87" spans="1:10" ht="20" customHeight="1">
      <x:c r="A87" s="7" t="str">
        <x:v/>
      </x:c>
      <x:c r="B87" s="7" t="str">
        <x:v/>
      </x:c>
      <x:c r="C87" s="7" t="str">
        <x:v/>
      </x:c>
      <x:c r="D87" s="7" t="str">
        <x:v/>
      </x:c>
      <x:c r="E87" s="12" t="str">
        <x:v/>
      </x:c>
      <x:c r="F87" s="12" t="str">
        <x:v/>
      </x:c>
      <x:c r="G87" s="7" t="str">
        <x:v/>
      </x:c>
      <x:c r="H87" s="7" t="str">
        <x:v/>
      </x:c>
      <x:c r="I87" s="7" t="str">
        <x:v/>
      </x:c>
      <x:c r="J87" s="7" t="str">
        <x:v/>
      </x:c>
    </x:row>
    <x:row r="88" spans="1:10" ht="20" customHeight="1">
      <x:c r="A88" s="7" t="str">
        <x:v/>
      </x:c>
      <x:c r="B88" s="7" t="str">
        <x:v/>
      </x:c>
      <x:c r="C88" s="7" t="str">
        <x:v/>
      </x:c>
      <x:c r="D88" s="7" t="str">
        <x:v/>
      </x:c>
      <x:c r="E88" s="12" t="str">
        <x:v/>
      </x:c>
      <x:c r="F88" s="12" t="str">
        <x:v/>
      </x:c>
      <x:c r="G88" s="7" t="str">
        <x:v/>
      </x:c>
      <x:c r="H88" s="7" t="str">
        <x:v/>
      </x:c>
      <x:c r="I88" s="7" t="str">
        <x:v/>
      </x:c>
      <x:c r="J88" s="7" t="str">
        <x:v/>
      </x:c>
    </x:row>
    <x:row r="89" spans="1:10" ht="20" customHeight="1">
      <x:c r="A89" s="7" t="str">
        <x:v/>
      </x:c>
      <x:c r="B89" s="7" t="str">
        <x:v/>
      </x:c>
      <x:c r="C89" s="7" t="str">
        <x:v/>
      </x:c>
      <x:c r="D89" s="7" t="str">
        <x:v/>
      </x:c>
      <x:c r="E89" s="12" t="str">
        <x:v/>
      </x:c>
      <x:c r="F89" s="12" t="str">
        <x:v/>
      </x:c>
      <x:c r="G89" s="7" t="str">
        <x:v/>
      </x:c>
      <x:c r="H89" s="7" t="str">
        <x:v/>
      </x:c>
      <x:c r="I89" s="7" t="str">
        <x:v/>
      </x:c>
      <x:c r="J89" s="7" t="str">
        <x:v/>
      </x:c>
    </x:row>
    <x:row r="90" spans="1:10" ht="20" customHeight="1">
      <x:c r="A90" s="7" t="str">
        <x:v/>
      </x:c>
      <x:c r="B90" s="7" t="str">
        <x:v/>
      </x:c>
      <x:c r="C90" s="7" t="str">
        <x:v/>
      </x:c>
      <x:c r="D90" s="7" t="str">
        <x:v/>
      </x:c>
      <x:c r="E90" s="12" t="str">
        <x:v/>
      </x:c>
      <x:c r="F90" s="12" t="str">
        <x:v/>
      </x:c>
      <x:c r="G90" s="7" t="str">
        <x:v/>
      </x:c>
      <x:c r="H90" s="7" t="str">
        <x:v/>
      </x:c>
      <x:c r="I90" s="7" t="str">
        <x:v/>
      </x:c>
      <x:c r="J90" s="7" t="str">
        <x:v/>
      </x:c>
    </x:row>
    <x:row r="91" spans="1:10" ht="20" customHeight="1">
      <x:c r="A91" s="7" t="str">
        <x:v/>
      </x:c>
      <x:c r="B91" s="7" t="str">
        <x:v/>
      </x:c>
      <x:c r="C91" s="7" t="str">
        <x:v/>
      </x:c>
      <x:c r="D91" s="7" t="str">
        <x:v/>
      </x:c>
      <x:c r="E91" s="12" t="str">
        <x:v/>
      </x:c>
      <x:c r="F91" s="12" t="str">
        <x:v/>
      </x:c>
      <x:c r="G91" s="7" t="str">
        <x:v/>
      </x:c>
      <x:c r="H91" s="7" t="str">
        <x:v/>
      </x:c>
      <x:c r="I91" s="7" t="str">
        <x:v/>
      </x:c>
      <x:c r="J91" s="7" t="str">
        <x:v/>
      </x:c>
    </x:row>
    <x:row r="92" spans="1:10" ht="20" customHeight="1">
      <x:c r="A92" s="7" t="str">
        <x:v/>
      </x:c>
      <x:c r="B92" s="7" t="str">
        <x:v/>
      </x:c>
      <x:c r="C92" s="7" t="str">
        <x:v/>
      </x:c>
      <x:c r="D92" s="7" t="str">
        <x:v/>
      </x:c>
      <x:c r="E92" s="12" t="str">
        <x:v/>
      </x:c>
      <x:c r="F92" s="12" t="str">
        <x:v/>
      </x:c>
      <x:c r="G92" s="7" t="str">
        <x:v/>
      </x:c>
      <x:c r="H92" s="7" t="str">
        <x:v/>
      </x:c>
      <x:c r="I92" s="7" t="str">
        <x:v/>
      </x:c>
      <x:c r="J92" s="7" t="str">
        <x:v/>
      </x:c>
    </x:row>
    <x:row r="93" spans="1:10" ht="20" customHeight="1">
      <x:c r="A93" s="7" t="str">
        <x:v/>
      </x:c>
      <x:c r="B93" s="7" t="str">
        <x:v/>
      </x:c>
      <x:c r="C93" s="7" t="str">
        <x:v/>
      </x:c>
      <x:c r="D93" s="7" t="str">
        <x:v/>
      </x:c>
      <x:c r="E93" s="12" t="str">
        <x:v/>
      </x:c>
      <x:c r="F93" s="12" t="str">
        <x:v/>
      </x:c>
      <x:c r="G93" s="7" t="str">
        <x:v/>
      </x:c>
      <x:c r="H93" s="7" t="str">
        <x:v/>
      </x:c>
      <x:c r="I93" s="7" t="str">
        <x:v/>
      </x:c>
      <x:c r="J93" s="7" t="str">
        <x:v/>
      </x:c>
    </x:row>
    <x:row r="94" spans="1:10" ht="20" customHeight="1">
      <x:c r="A94" s="7" t="str">
        <x:v/>
      </x:c>
      <x:c r="B94" s="7" t="str">
        <x:v/>
      </x:c>
      <x:c r="C94" s="7" t="str">
        <x:v/>
      </x:c>
      <x:c r="D94" s="7" t="str">
        <x:v/>
      </x:c>
      <x:c r="E94" s="12" t="str">
        <x:v/>
      </x:c>
      <x:c r="F94" s="12" t="str">
        <x:v/>
      </x:c>
      <x:c r="G94" s="7" t="str">
        <x:v/>
      </x:c>
      <x:c r="H94" s="7" t="str">
        <x:v/>
      </x:c>
      <x:c r="I94" s="7" t="str">
        <x:v/>
      </x:c>
      <x:c r="J94" s="7" t="str">
        <x:v/>
      </x:c>
    </x:row>
    <x:row r="95" spans="1:10" ht="20" customHeight="1">
      <x:c r="A95" s="7" t="str">
        <x:v/>
      </x:c>
      <x:c r="B95" s="7" t="str">
        <x:v/>
      </x:c>
      <x:c r="C95" s="7" t="str">
        <x:v/>
      </x:c>
      <x:c r="D95" s="7" t="str">
        <x:v/>
      </x:c>
      <x:c r="E95" s="12" t="str">
        <x:v/>
      </x:c>
      <x:c r="F95" s="12" t="str">
        <x:v/>
      </x:c>
      <x:c r="G95" s="7" t="str">
        <x:v/>
      </x:c>
      <x:c r="H95" s="7" t="str">
        <x:v/>
      </x:c>
      <x:c r="I95" s="7" t="str">
        <x:v/>
      </x:c>
      <x:c r="J95" s="7" t="str">
        <x:v/>
      </x:c>
    </x:row>
    <x:row r="96" spans="1:10" ht="20" customHeight="1">
      <x:c r="A96" s="7" t="str">
        <x:v/>
      </x:c>
      <x:c r="B96" s="7" t="str">
        <x:v/>
      </x:c>
      <x:c r="C96" s="7" t="str">
        <x:v/>
      </x:c>
      <x:c r="D96" s="7" t="str">
        <x:v/>
      </x:c>
      <x:c r="E96" s="12" t="str">
        <x:v/>
      </x:c>
      <x:c r="F96" s="12" t="str">
        <x:v/>
      </x:c>
      <x:c r="G96" s="7" t="str">
        <x:v/>
      </x:c>
      <x:c r="H96" s="7" t="str">
        <x:v/>
      </x:c>
      <x:c r="I96" s="7" t="str">
        <x:v/>
      </x:c>
      <x:c r="J96" s="7" t="str">
        <x:v/>
      </x:c>
    </x:row>
    <x:row r="97" spans="1:10" ht="20" customHeight="1">
      <x:c r="A97" s="7" t="str">
        <x:v/>
      </x:c>
      <x:c r="B97" s="7" t="str">
        <x:v/>
      </x:c>
      <x:c r="C97" s="7" t="str">
        <x:v/>
      </x:c>
      <x:c r="D97" s="7" t="str">
        <x:v/>
      </x:c>
      <x:c r="E97" s="12" t="str">
        <x:v/>
      </x:c>
      <x:c r="F97" s="12" t="str">
        <x:v/>
      </x:c>
      <x:c r="G97" s="7" t="str">
        <x:v/>
      </x:c>
      <x:c r="H97" s="7" t="str">
        <x:v/>
      </x:c>
      <x:c r="I97" s="7" t="str">
        <x:v/>
      </x:c>
      <x:c r="J97" s="7" t="str">
        <x:v/>
      </x:c>
    </x:row>
    <x:row r="98" spans="1:10" ht="20" customHeight="1">
      <x:c r="A98" s="7" t="str">
        <x:v/>
      </x:c>
      <x:c r="B98" s="7" t="str">
        <x:v/>
      </x:c>
      <x:c r="C98" s="7" t="str">
        <x:v/>
      </x:c>
      <x:c r="D98" s="7" t="str">
        <x:v/>
      </x:c>
      <x:c r="E98" s="12" t="str">
        <x:v/>
      </x:c>
      <x:c r="F98" s="12" t="str">
        <x:v/>
      </x:c>
      <x:c r="G98" s="7" t="str">
        <x:v/>
      </x:c>
      <x:c r="H98" s="7" t="str">
        <x:v/>
      </x:c>
      <x:c r="I98" s="7" t="str">
        <x:v/>
      </x:c>
      <x:c r="J98" s="7" t="str">
        <x:v/>
      </x:c>
    </x:row>
    <x:row r="99" spans="1:10" ht="20" customHeight="1">
      <x:c r="A99" s="7" t="str">
        <x:v/>
      </x:c>
      <x:c r="B99" s="7" t="str">
        <x:v/>
      </x:c>
      <x:c r="C99" s="7" t="str">
        <x:v/>
      </x:c>
      <x:c r="D99" s="7" t="str">
        <x:v/>
      </x:c>
      <x:c r="E99" s="12" t="str">
        <x:v/>
      </x:c>
      <x:c r="F99" s="12" t="str">
        <x:v/>
      </x:c>
      <x:c r="G99" s="7" t="str">
        <x:v/>
      </x:c>
      <x:c r="H99" s="7" t="str">
        <x:v/>
      </x:c>
      <x:c r="I99" s="7" t="str">
        <x:v/>
      </x:c>
      <x:c r="J99" s="7" t="str">
        <x:v/>
      </x:c>
    </x:row>
    <x:row r="100" spans="1:10" ht="20" customHeight="1">
      <x:c r="A100" s="7" t="str">
        <x:v/>
      </x:c>
      <x:c r="B100" s="7" t="str">
        <x:v/>
      </x:c>
      <x:c r="C100" s="7" t="str">
        <x:v/>
      </x:c>
      <x:c r="D100" s="7" t="str">
        <x:v/>
      </x:c>
      <x:c r="E100" s="12" t="str">
        <x:v/>
      </x:c>
      <x:c r="F100" s="12" t="str">
        <x:v/>
      </x:c>
      <x:c r="G100" s="7" t="str">
        <x:v/>
      </x:c>
      <x:c r="H100" s="7" t="str">
        <x:v/>
      </x:c>
      <x:c r="I100" s="7" t="str">
        <x:v/>
      </x:c>
      <x:c r="J100" s="7" t="str">
        <x:v/>
      </x:c>
    </x:row>
    <x:row r="101" spans="1:10" ht="20" customHeight="1">
      <x:c r="A101" s="7" t="str">
        <x:v/>
      </x:c>
      <x:c r="B101" s="7" t="str">
        <x:v/>
      </x:c>
      <x:c r="C101" s="7" t="str">
        <x:v/>
      </x:c>
      <x:c r="D101" s="7" t="str">
        <x:v/>
      </x:c>
      <x:c r="E101" s="12" t="str">
        <x:v/>
      </x:c>
      <x:c r="F101" s="12" t="str">
        <x:v/>
      </x:c>
      <x:c r="G101" s="7" t="str">
        <x:v/>
      </x:c>
      <x:c r="H101" s="7" t="str">
        <x:v/>
      </x:c>
      <x:c r="I101" s="7" t="str">
        <x:v/>
      </x:c>
      <x:c r="J101" s="7" t="str">
        <x:v/>
      </x:c>
    </x:row>
    <x:row r="102" spans="1:10" ht="20" customHeight="1">
      <x:c r="A102" s="7" t="str">
        <x:v/>
      </x:c>
      <x:c r="B102" s="7" t="str">
        <x:v/>
      </x:c>
      <x:c r="C102" s="7" t="str">
        <x:v/>
      </x:c>
      <x:c r="D102" s="7" t="str">
        <x:v/>
      </x:c>
      <x:c r="E102" s="12" t="str">
        <x:v/>
      </x:c>
      <x:c r="F102" s="12" t="str">
        <x:v/>
      </x:c>
      <x:c r="G102" s="7" t="str">
        <x:v/>
      </x:c>
      <x:c r="H102" s="7" t="str">
        <x:v/>
      </x:c>
      <x:c r="I102" s="7" t="str">
        <x:v/>
      </x:c>
      <x:c r="J102" s="7" t="str">
        <x:v/>
      </x:c>
    </x:row>
    <x:row r="103" spans="1:10" ht="20" customHeight="1">
      <x:c r="A103" s="7" t="str">
        <x:v/>
      </x:c>
      <x:c r="B103" s="7" t="str">
        <x:v/>
      </x:c>
      <x:c r="C103" s="7" t="str">
        <x:v/>
      </x:c>
      <x:c r="D103" s="7" t="str">
        <x:v/>
      </x:c>
      <x:c r="E103" s="12" t="str">
        <x:v/>
      </x:c>
      <x:c r="F103" s="12" t="str">
        <x:v/>
      </x:c>
      <x:c r="G103" s="7" t="str">
        <x:v/>
      </x:c>
      <x:c r="H103" s="7" t="str">
        <x:v/>
      </x:c>
      <x:c r="I103" s="7" t="str">
        <x:v/>
      </x:c>
      <x:c r="J103" s="7" t="str">
        <x:v/>
      </x:c>
    </x:row>
    <x:row r="104" spans="1:10" ht="20" customHeight="1">
      <x:c r="A104" s="7" t="str">
        <x:v/>
      </x:c>
      <x:c r="B104" s="7" t="str">
        <x:v/>
      </x:c>
      <x:c r="C104" s="7" t="str">
        <x:v/>
      </x:c>
      <x:c r="D104" s="7" t="str">
        <x:v/>
      </x:c>
      <x:c r="E104" s="12" t="str">
        <x:v/>
      </x:c>
      <x:c r="F104" s="12" t="str">
        <x:v/>
      </x:c>
      <x:c r="G104" s="7" t="str">
        <x:v/>
      </x:c>
      <x:c r="H104" s="7" t="str">
        <x:v/>
      </x:c>
      <x:c r="I104" s="7" t="str">
        <x:v/>
      </x:c>
      <x:c r="J104" s="7" t="str">
        <x:v/>
      </x:c>
    </x:row>
    <x:row r="105" spans="1:10" ht="20" customHeight="1">
      <x:c r="A105" s="7"/>
      <x:c r="B105" s="7"/>
      <x:c r="C105" s="7"/>
      <x:c r="D105" s="7"/>
      <x:c r="E105" s="12"/>
      <x:c r="F105" s="12"/>
      <x:c r="G105" s="7"/>
      <x:c r="H105" s="7"/>
      <x:c r="I105" s="7"/>
      <x:c r="J105" s="7"/>
    </x:row>
    <x:row r="106" spans="1:10" ht="20" customHeight="1">
      <x:c r="A106" s="7"/>
      <x:c r="B106" s="7"/>
      <x:c r="C106" s="7"/>
      <x:c r="D106" s="7"/>
      <x:c r="E106" s="12"/>
      <x:c r="F106" s="12"/>
      <x:c r="G106" s="7"/>
      <x:c r="H106" s="7"/>
      <x:c r="I106" s="7"/>
      <x:c r="J106" s="7"/>
    </x:row>
    <x:row r="107" spans="1:10" ht="20" customHeight="1">
      <x:c r="A107" s="7"/>
      <x:c r="B107" s="7"/>
      <x:c r="C107" s="7"/>
      <x:c r="D107" s="7"/>
      <x:c r="E107" s="12"/>
      <x:c r="F107" s="12"/>
      <x:c r="G107" s="7"/>
      <x:c r="H107" s="7"/>
      <x:c r="I107" s="7"/>
      <x:c r="J107" s="7"/>
    </x:row>
    <x:row r="108" spans="1:10" ht="20" customHeight="1">
      <x:c r="A108" s="7"/>
      <x:c r="B108" s="7"/>
      <x:c r="C108" s="7"/>
      <x:c r="D108" s="7"/>
      <x:c r="E108" s="12"/>
      <x:c r="F108" s="12"/>
      <x:c r="G108" s="7"/>
      <x:c r="H108" s="7"/>
      <x:c r="I108" s="7"/>
      <x:c r="J108" s="7"/>
    </x:row>
    <x:row r="109" spans="1:10" ht="20" customHeight="1">
      <x:c r="A109" s="7"/>
      <x:c r="B109" s="7"/>
      <x:c r="C109" s="7"/>
      <x:c r="D109" s="7"/>
      <x:c r="E109" s="12"/>
      <x:c r="F109" s="12"/>
      <x:c r="G109" s="7"/>
      <x:c r="H109" s="7"/>
      <x:c r="I109" s="7"/>
      <x:c r="J109" s="7"/>
    </x:row>
    <x:row r="110" spans="1:10" ht="20" customHeight="1">
      <x:c r="A110" s="7"/>
      <x:c r="B110" s="7"/>
      <x:c r="C110" s="7"/>
      <x:c r="D110" s="7"/>
      <x:c r="E110" s="12"/>
      <x:c r="F110" s="12"/>
      <x:c r="G110" s="7"/>
      <x:c r="H110" s="7"/>
      <x:c r="I110" s="7"/>
      <x:c r="J110" s="7"/>
    </x:row>
    <x:row r="111" spans="1:10" ht="20" customHeight="1">
      <x:c r="A111" s="7"/>
      <x:c r="B111" s="7"/>
      <x:c r="C111" s="7"/>
      <x:c r="D111" s="7"/>
      <x:c r="E111" s="12"/>
      <x:c r="F111" s="12"/>
      <x:c r="G111" s="7"/>
      <x:c r="H111" s="7"/>
      <x:c r="I111" s="7"/>
      <x:c r="J111" s="7"/>
    </x:row>
    <x:row r="112" spans="1:10" ht="20" customHeight="1">
      <x:c r="A112" s="7"/>
      <x:c r="B112" s="7"/>
      <x:c r="C112" s="7"/>
      <x:c r="D112" s="7"/>
      <x:c r="E112" s="12"/>
      <x:c r="F112" s="12"/>
      <x:c r="G112" s="7"/>
      <x:c r="H112" s="7"/>
      <x:c r="I112" s="7"/>
      <x:c r="J112" s="7"/>
    </x:row>
    <x:row r="113" spans="1:10" ht="20" customHeight="1">
      <x:c r="A113" s="7"/>
      <x:c r="B113" s="7"/>
      <x:c r="C113" s="7"/>
      <x:c r="D113" s="7"/>
      <x:c r="E113" s="12"/>
      <x:c r="F113" s="12"/>
      <x:c r="G113" s="7"/>
      <x:c r="H113" s="7"/>
      <x:c r="I113" s="7"/>
      <x:c r="J113" s="7"/>
    </x:row>
    <x:row r="114" spans="1:10" ht="20" customHeight="1">
      <x:c r="A114" s="7"/>
      <x:c r="B114" s="7"/>
      <x:c r="C114" s="7"/>
      <x:c r="D114" s="7"/>
      <x:c r="E114" s="12"/>
      <x:c r="F114" s="12"/>
      <x:c r="G114" s="7"/>
      <x:c r="H114" s="7"/>
      <x:c r="I114" s="7"/>
      <x:c r="J114" s="7"/>
    </x:row>
    <x:row r="115" spans="1:10" ht="20" customHeight="1">
      <x:c r="A115" s="7"/>
      <x:c r="B115" s="7"/>
      <x:c r="C115" s="7"/>
      <x:c r="D115" s="7"/>
      <x:c r="E115" s="12"/>
      <x:c r="F115" s="12"/>
      <x:c r="G115" s="7"/>
      <x:c r="H115" s="7"/>
      <x:c r="I115" s="7"/>
      <x:c r="J115" s="7"/>
    </x:row>
    <x:row r="116" spans="1:10" ht="20" customHeight="1">
      <x:c r="A116" s="7"/>
      <x:c r="B116" s="7"/>
      <x:c r="C116" s="7"/>
      <x:c r="D116" s="7"/>
      <x:c r="E116" s="12"/>
      <x:c r="F116" s="12"/>
      <x:c r="G116" s="7"/>
      <x:c r="H116" s="7"/>
      <x:c r="I116" s="7"/>
      <x:c r="J116" s="7"/>
    </x:row>
    <x:row r="117" spans="1:10" ht="20" customHeight="1">
      <x:c r="A117" s="7"/>
      <x:c r="B117" s="7"/>
      <x:c r="C117" s="7"/>
      <x:c r="D117" s="7"/>
      <x:c r="E117" s="12"/>
      <x:c r="F117" s="12"/>
      <x:c r="G117" s="7"/>
      <x:c r="H117" s="7"/>
      <x:c r="I117" s="7"/>
      <x:c r="J117" s="7"/>
    </x:row>
    <x:row r="118" spans="1:10" ht="20" customHeight="1">
      <x:c r="A118" s="7"/>
      <x:c r="B118" s="7"/>
      <x:c r="C118" s="7"/>
      <x:c r="D118" s="7"/>
      <x:c r="E118" s="12"/>
      <x:c r="F118" s="12"/>
      <x:c r="G118" s="7"/>
      <x:c r="H118" s="7"/>
      <x:c r="I118" s="7"/>
      <x:c r="J118" s="7"/>
    </x:row>
    <x:row r="119" spans="1:10" ht="20" customHeight="1">
      <x:c r="A119" s="7"/>
      <x:c r="B119" s="7"/>
      <x:c r="C119" s="7"/>
      <x:c r="D119" s="7"/>
      <x:c r="E119" s="12"/>
      <x:c r="F119" s="12"/>
      <x:c r="G119" s="7"/>
      <x:c r="H119" s="7"/>
      <x:c r="I119" s="7"/>
      <x:c r="J119" s="7"/>
    </x:row>
    <x:row r="120" spans="1:10" ht="20" customHeight="1">
      <x:c r="A120" s="7"/>
      <x:c r="B120" s="7"/>
      <x:c r="C120" s="7"/>
      <x:c r="D120" s="7"/>
      <x:c r="E120" s="12"/>
      <x:c r="F120" s="12"/>
      <x:c r="G120" s="7"/>
      <x:c r="H120" s="7"/>
      <x:c r="I120" s="7"/>
      <x:c r="J120" s="7"/>
    </x:row>
    <x:row r="121" spans="1:10" ht="20" customHeight="1">
      <x:c r="A121" s="7"/>
      <x:c r="B121" s="7"/>
      <x:c r="C121" s="7"/>
      <x:c r="D121" s="7"/>
      <x:c r="E121" s="12"/>
      <x:c r="F121" s="12"/>
      <x:c r="G121" s="7"/>
      <x:c r="H121" s="7"/>
      <x:c r="I121" s="7"/>
      <x:c r="J121" s="7"/>
    </x:row>
    <x:row r="122" spans="1:10" ht="20" customHeight="1">
      <x:c r="A122" s="7"/>
      <x:c r="B122" s="7"/>
      <x:c r="C122" s="7"/>
      <x:c r="D122" s="7"/>
      <x:c r="E122" s="12"/>
      <x:c r="F122" s="12"/>
      <x:c r="G122" s="7"/>
      <x:c r="H122" s="7"/>
      <x:c r="I122" s="7"/>
      <x:c r="J122" s="7"/>
    </x:row>
    <x:row r="123" spans="1:10" ht="20" customHeight="1">
      <x:c r="A123" s="7"/>
      <x:c r="B123" s="7"/>
      <x:c r="C123" s="7"/>
      <x:c r="D123" s="7"/>
      <x:c r="E123" s="12"/>
      <x:c r="F123" s="12"/>
      <x:c r="G123" s="7"/>
      <x:c r="H123" s="7"/>
      <x:c r="I123" s="7"/>
      <x:c r="J123" s="7"/>
    </x:row>
    <x:row r="124" spans="1:10" ht="20" customHeight="1">
      <x:c r="A124" s="7"/>
      <x:c r="B124" s="7"/>
      <x:c r="C124" s="7"/>
      <x:c r="D124" s="7"/>
      <x:c r="E124" s="12"/>
      <x:c r="F124" s="12"/>
      <x:c r="G124" s="7"/>
      <x:c r="H124" s="7"/>
      <x:c r="I124" s="7"/>
      <x:c r="J124" s="7"/>
    </x:row>
    <x:row r="125" spans="1:10" ht="20" customHeight="1">
      <x:c r="A125" s="7"/>
      <x:c r="B125" s="7"/>
      <x:c r="C125" s="7"/>
      <x:c r="D125" s="7"/>
      <x:c r="E125" s="12"/>
      <x:c r="F125" s="12"/>
      <x:c r="G125" s="7"/>
      <x:c r="H125" s="7"/>
      <x:c r="I125" s="7"/>
      <x:c r="J125" s="7"/>
    </x:row>
    <x:row r="126" spans="1:10" ht="20" customHeight="1">
      <x:c r="A126" s="7"/>
      <x:c r="B126" s="7"/>
      <x:c r="C126" s="7"/>
      <x:c r="D126" s="7"/>
      <x:c r="E126" s="12"/>
      <x:c r="F126" s="12"/>
      <x:c r="G126" s="7"/>
      <x:c r="H126" s="7"/>
      <x:c r="I126" s="7"/>
      <x:c r="J126" s="7"/>
    </x:row>
    <x:row r="127" spans="1:10" ht="20" customHeight="1">
      <x:c r="A127" s="7"/>
      <x:c r="B127" s="7"/>
      <x:c r="C127" s="7"/>
      <x:c r="D127" s="7"/>
      <x:c r="E127" s="12"/>
      <x:c r="F127" s="12"/>
      <x:c r="G127" s="7"/>
      <x:c r="H127" s="7"/>
      <x:c r="I127" s="7"/>
      <x:c r="J127" s="7"/>
    </x:row>
    <x:row r="128" spans="1:10" ht="20" customHeight="1">
      <x:c r="A128" s="7"/>
      <x:c r="B128" s="7"/>
      <x:c r="C128" s="7"/>
      <x:c r="D128" s="7"/>
      <x:c r="E128" s="12"/>
      <x:c r="F128" s="12"/>
      <x:c r="G128" s="7"/>
      <x:c r="H128" s="7"/>
      <x:c r="I128" s="7"/>
      <x:c r="J128" s="7"/>
    </x:row>
    <x:row r="129" spans="1:10" ht="20" customHeight="1">
      <x:c r="A129" s="7"/>
      <x:c r="B129" s="7"/>
      <x:c r="C129" s="7"/>
      <x:c r="D129" s="7"/>
      <x:c r="E129" s="12"/>
      <x:c r="F129" s="12"/>
      <x:c r="G129" s="7"/>
      <x:c r="H129" s="7"/>
      <x:c r="I129" s="7"/>
      <x:c r="J129" s="7"/>
    </x:row>
    <x:row r="130" spans="1:10" ht="20" customHeight="1">
      <x:c r="A130" s="7"/>
      <x:c r="B130" s="7"/>
      <x:c r="C130" s="7"/>
      <x:c r="D130" s="7"/>
      <x:c r="E130" s="12"/>
      <x:c r="F130" s="12"/>
      <x:c r="G130" s="7"/>
      <x:c r="H130" s="7"/>
      <x:c r="I130" s="7"/>
      <x:c r="J130" s="7"/>
    </x:row>
    <x:row r="131" spans="1:10" ht="20" customHeight="1">
      <x:c r="A131" s="7"/>
      <x:c r="B131" s="7"/>
      <x:c r="C131" s="7"/>
      <x:c r="D131" s="7"/>
      <x:c r="E131" s="12"/>
      <x:c r="F131" s="12"/>
      <x:c r="G131" s="7"/>
      <x:c r="H131" s="7"/>
      <x:c r="I131" s="7"/>
      <x:c r="J131" s="7"/>
    </x:row>
    <x:row r="132" spans="1:10" ht="20" customHeight="1">
      <x:c r="A132" s="7"/>
      <x:c r="B132" s="7"/>
      <x:c r="C132" s="7"/>
      <x:c r="D132" s="7"/>
      <x:c r="E132" s="12"/>
      <x:c r="F132" s="12"/>
      <x:c r="G132" s="7"/>
      <x:c r="H132" s="7"/>
      <x:c r="I132" s="7"/>
      <x:c r="J132" s="7"/>
    </x:row>
    <x:row r="133" spans="1:10" ht="20" customHeight="1">
      <x:c r="A133" s="7"/>
      <x:c r="B133" s="7"/>
      <x:c r="C133" s="7"/>
      <x:c r="D133" s="7"/>
      <x:c r="E133" s="12"/>
      <x:c r="F133" s="12"/>
      <x:c r="G133" s="7"/>
      <x:c r="H133" s="7"/>
      <x:c r="I133" s="7"/>
      <x:c r="J133" s="7"/>
    </x:row>
    <x:row r="134" spans="1:10" ht="20" customHeight="1">
      <x:c r="A134" s="7"/>
      <x:c r="B134" s="7"/>
      <x:c r="C134" s="7"/>
      <x:c r="D134" s="7"/>
      <x:c r="E134" s="12"/>
      <x:c r="F134" s="12"/>
      <x:c r="G134" s="7"/>
      <x:c r="H134" s="7"/>
      <x:c r="I134" s="7"/>
      <x:c r="J134" s="7"/>
    </x:row>
    <x:row r="135" spans="1:10" ht="20" customHeight="1">
      <x:c r="A135" s="7"/>
      <x:c r="B135" s="7"/>
      <x:c r="C135" s="7"/>
      <x:c r="D135" s="7"/>
      <x:c r="E135" s="12"/>
      <x:c r="F135" s="12"/>
      <x:c r="G135" s="7"/>
      <x:c r="H135" s="7"/>
      <x:c r="I135" s="7"/>
      <x:c r="J135" s="7"/>
    </x:row>
    <x:row r="136" spans="1:10" ht="20" customHeight="1">
      <x:c r="A136" s="7"/>
      <x:c r="B136" s="7"/>
      <x:c r="C136" s="7"/>
      <x:c r="D136" s="7"/>
      <x:c r="E136" s="12"/>
      <x:c r="F136" s="12"/>
      <x:c r="G136" s="7"/>
      <x:c r="H136" s="7"/>
      <x:c r="I136" s="7"/>
      <x:c r="J136" s="7"/>
    </x:row>
    <x:row r="137" spans="1:10" ht="20" customHeight="1">
      <x:c r="A137" s="7"/>
      <x:c r="B137" s="7"/>
      <x:c r="C137" s="7"/>
      <x:c r="D137" s="7"/>
      <x:c r="E137" s="12"/>
      <x:c r="F137" s="12"/>
      <x:c r="G137" s="7"/>
      <x:c r="H137" s="7"/>
      <x:c r="I137" s="7"/>
      <x:c r="J137" s="7"/>
    </x:row>
    <x:row r="138" spans="1:10" ht="20" customHeight="1">
      <x:c r="A138" s="7"/>
      <x:c r="B138" s="7"/>
      <x:c r="C138" s="7"/>
      <x:c r="D138" s="7"/>
      <x:c r="E138" s="12"/>
      <x:c r="F138" s="12"/>
      <x:c r="G138" s="7"/>
      <x:c r="H138" s="7"/>
      <x:c r="I138" s="7"/>
      <x:c r="J138" s="7"/>
    </x:row>
    <x:row r="139" spans="1:10" ht="20" customHeight="1">
      <x:c r="A139" s="7"/>
      <x:c r="B139" s="7"/>
      <x:c r="C139" s="7"/>
      <x:c r="D139" s="7"/>
      <x:c r="E139" s="12"/>
      <x:c r="F139" s="12"/>
      <x:c r="G139" s="7"/>
      <x:c r="H139" s="7"/>
      <x:c r="I139" s="7"/>
      <x:c r="J139" s="7"/>
    </x:row>
    <x:row r="140" spans="1:10" ht="20" customHeight="1">
      <x:c r="A140" s="7"/>
      <x:c r="B140" s="7"/>
      <x:c r="C140" s="7"/>
      <x:c r="D140" s="7"/>
      <x:c r="E140" s="12"/>
      <x:c r="F140" s="12"/>
      <x:c r="G140" s="7"/>
      <x:c r="H140" s="7"/>
      <x:c r="I140" s="7"/>
      <x:c r="J140" s="7"/>
    </x:row>
    <x:row r="141" spans="1:10" ht="20" customHeight="1">
      <x:c r="A141" s="7"/>
      <x:c r="B141" s="7"/>
      <x:c r="C141" s="7"/>
      <x:c r="D141" s="7"/>
      <x:c r="E141" s="12"/>
      <x:c r="F141" s="12"/>
      <x:c r="G141" s="7"/>
      <x:c r="H141" s="7"/>
      <x:c r="I141" s="7"/>
      <x:c r="J141" s="7"/>
    </x:row>
    <x:row r="142" spans="1:10" ht="20" customHeight="1">
      <x:c r="A142" s="7"/>
      <x:c r="B142" s="7"/>
      <x:c r="C142" s="7"/>
      <x:c r="D142" s="7"/>
      <x:c r="E142" s="12"/>
      <x:c r="F142" s="12"/>
      <x:c r="G142" s="7"/>
      <x:c r="H142" s="7"/>
      <x:c r="I142" s="7"/>
      <x:c r="J142" s="7"/>
    </x:row>
    <x:row r="143" spans="1:10" ht="20" customHeight="1">
      <x:c r="A143" s="7"/>
      <x:c r="B143" s="7"/>
      <x:c r="C143" s="7"/>
      <x:c r="D143" s="7"/>
      <x:c r="E143" s="12"/>
      <x:c r="F143" s="12"/>
      <x:c r="G143" s="7"/>
      <x:c r="H143" s="7"/>
      <x:c r="I143" s="7"/>
      <x:c r="J143" s="7"/>
    </x:row>
    <x:row r="144" spans="1:10" ht="20" customHeight="1">
      <x:c r="A144" s="7"/>
      <x:c r="B144" s="7"/>
      <x:c r="C144" s="7"/>
      <x:c r="D144" s="7"/>
      <x:c r="E144" s="12"/>
      <x:c r="F144" s="12"/>
      <x:c r="G144" s="7"/>
      <x:c r="H144" s="7"/>
      <x:c r="I144" s="7"/>
      <x:c r="J144" s="7"/>
    </x:row>
    <x:row r="145" spans="1:10" ht="20" customHeight="1">
      <x:c r="A145" s="7"/>
      <x:c r="B145" s="7"/>
      <x:c r="C145" s="7"/>
      <x:c r="D145" s="7"/>
      <x:c r="E145" s="12"/>
      <x:c r="F145" s="12"/>
      <x:c r="G145" s="7"/>
      <x:c r="H145" s="7"/>
      <x:c r="I145" s="7"/>
      <x:c r="J145" s="7"/>
    </x:row>
    <x:row r="146" spans="1:10" ht="20" customHeight="1">
      <x:c r="A146" s="7"/>
      <x:c r="B146" s="7"/>
      <x:c r="C146" s="7"/>
      <x:c r="D146" s="7"/>
      <x:c r="E146" s="12"/>
      <x:c r="F146" s="12"/>
      <x:c r="G146" s="7"/>
      <x:c r="H146" s="7"/>
      <x:c r="I146" s="7"/>
      <x:c r="J146" s="7"/>
    </x:row>
    <x:row r="147" spans="1:10" ht="20" customHeight="1">
      <x:c r="A147" s="7"/>
      <x:c r="B147" s="7"/>
      <x:c r="C147" s="7"/>
      <x:c r="D147" s="7"/>
      <x:c r="E147" s="12"/>
      <x:c r="F147" s="12"/>
      <x:c r="G147" s="7"/>
      <x:c r="H147" s="7"/>
      <x:c r="I147" s="7"/>
      <x:c r="J147" s="7"/>
    </x:row>
    <x:row r="148" spans="1:10" ht="20" customHeight="1">
      <x:c r="A148" s="7"/>
      <x:c r="B148" s="7"/>
      <x:c r="C148" s="7"/>
      <x:c r="D148" s="7"/>
      <x:c r="E148" s="12"/>
      <x:c r="F148" s="12"/>
      <x:c r="G148" s="7"/>
      <x:c r="H148" s="7"/>
      <x:c r="I148" s="7"/>
      <x:c r="J148" s="7"/>
    </x:row>
    <x:row r="149" spans="1:10" ht="20" customHeight="1">
      <x:c r="A149" s="7"/>
      <x:c r="B149" s="7"/>
      <x:c r="C149" s="7"/>
      <x:c r="D149" s="7"/>
      <x:c r="E149" s="12"/>
      <x:c r="F149" s="12"/>
      <x:c r="G149" s="7"/>
      <x:c r="H149" s="7"/>
      <x:c r="I149" s="7"/>
      <x:c r="J149" s="7"/>
    </x:row>
  </x:sheetData>
  <x:pageMargins left="0.7" right="0.7" top="0.75" bottom="0.75" header="0.3" footer="0.3"/>
  <x:headerFooter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0AD47"/>
  </x:sheetPr>
  <x:dimension ref="A1:M149"/>
  <x:sheetViews>
    <x:sheetView showGridLines="0" workbookViewId="0">
      <x:pane xSplit="2" ySplit="4" topLeftCell="C27" activePane="bottomRight" state="frozen"/>
      <x:selection/>
      <x:selection pane="topRight"/>
      <x:selection pane="bottomLeft"/>
      <x:selection pane="bottomRight" activeCell="A1" sqref="A1"/>
    </x:sheetView>
  </x:sheetViews>
  <x:sheetFormatPr defaultColWidth="9" defaultRowHeight="16.8"/>
  <x:cols>
    <x:col min="1" max="1" width="8.0" customWidth="1"/>
    <x:col min="2" max="2" width="9.0" customWidth="1"/>
    <x:col min="3" max="3" width="26.0" customWidth="1"/>
    <x:col min="4" max="4" width="10.0" customWidth="1"/>
    <x:col min="5" max="5" width="10.0" customWidth="1"/>
    <x:col min="6" max="6" width="10.0" customWidth="1"/>
    <x:col min="7" max="7" width="11.0" customWidth="1"/>
    <x:col min="8" max="8" width="10.0" customWidth="1"/>
    <x:col min="9" max="9" width="10.0" customWidth="1"/>
    <x:col min="10" max="10" width="30.0" customWidth="1"/>
    <x:col min="11" max="11" width="32.0" customWidth="1"/>
    <x:col min="12" max="12" width="11.0" customWidth="1"/>
    <x:col min="13" max="13" width="22.0" customWidth="1"/>
  </x:cols>
  <x:sheetData>
    <x:row r="1" spans="1:13" ht="20" customHeight="1">
      <x:c r="A1" s="3" t="s">
        <x:v>28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"/>
    </x:row>
    <x:row r="2" spans="1:13" ht="20" customHeight="1">
      <x:c r="A2" s="6" t="s">
        <x:v>245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5"/>
    </x:row>
    <x:row r="3" spans="1:13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spans="1:13" ht="20" customHeight="1">
      <x:c r="A4" s="8" t="s">
        <x:v>246</x:v>
      </x:c>
      <x:c r="B4" s="8" t="s">
        <x:v>247</x:v>
      </x:c>
      <x:c r="C4" s="101" t="s">
        <x:v>176</x:v>
      </x:c>
      <x:c r="D4" s="8" t="s">
        <x:v>77</x:v>
      </x:c>
      <x:c r="E4" s="8" t="s">
        <x:v>248</x:v>
      </x:c>
      <x:c r="F4" s="8" t="s">
        <x:v>249</x:v>
      </x:c>
      <x:c r="G4" s="8" t="s">
        <x:v>78</x:v>
      </x:c>
      <x:c r="H4" s="8" t="s">
        <x:v>250</x:v>
      </x:c>
      <x:c r="I4" s="8" t="s">
        <x:v>251</x:v>
      </x:c>
      <x:c r="J4" s="101" t="s">
        <x:v>252</x:v>
      </x:c>
      <x:c r="K4" s="101" t="s">
        <x:v>149</x:v>
      </x:c>
      <x:c r="L4" s="8" t="s">
        <x:v>253</x:v>
      </x:c>
      <x:c r="M4" s="101" t="s">
        <x:v>254</x:v>
      </x:c>
    </x:row>
    <x:row r="5" spans="1:13" ht="34" customHeight="1">
      <x:c r="A5" s="9" t="str">
        <x:v>是</x:v>
      </x:c>
      <x:c r="B5" s="9" t="str">
        <x:v>T011</x:v>
      </x:c>
      <x:c r="C5" s="102" t="str">
        <x:v>盘点既有系统、接口与数据</x:v>
      </x:c>
      <x:c r="D5" s="9" t="str">
        <x:v>MS003</x:v>
      </x:c>
      <x:c r="E5" s="9" t="str">
        <x:v>进行中</x:v>
      </x:c>
      <x:c r="F5" s="9" t="str">
        <x:v>技术经理</x:v>
      </x:c>
      <x:c r="G5" s="95">
        <x:v>46147</x:v>
      </x:c>
      <x:c r="H5" s="9">
        <x:v>-164</x:v>
      </x:c>
      <x:c r="I5" s="9" t="str">
        <x:v>已延期</x:v>
      </x:c>
      <x:c r="J5" s="102" t="str">
        <x:v/>
      </x:c>
      <x:c r="K5" s="102" t="str">
        <x:v>确认实际状态；完成、纠偏或提交基线变更</x:v>
      </x:c>
      <x:c r="L5" s="10"/>
      <x:c r="M5" s="102"/>
    </x:row>
    <x:row r="6" spans="1:13" ht="34" customHeight="1">
      <x:c r="A6" s="9" t="str">
        <x:v>是</x:v>
      </x:c>
      <x:c r="B6" s="9" t="str">
        <x:v>T014</x:v>
      </x:c>
      <x:c r="C6" s="102" t="str">
        <x:v>制定项目治理、会议与报告机制</x:v>
      </x:c>
      <x:c r="D6" s="9" t="str">
        <x:v>MS004</x:v>
      </x:c>
      <x:c r="E6" s="9" t="str">
        <x:v>待确认</x:v>
      </x:c>
      <x:c r="F6" s="9" t="str">
        <x:v>项目经理</x:v>
      </x:c>
      <x:c r="G6" s="95">
        <x:v>46215</x:v>
      </x:c>
      <x:c r="H6" s="9">
        <x:v>-96</x:v>
      </x:c>
      <x:c r="I6" s="9" t="str">
        <x:v>已延期</x:v>
      </x:c>
      <x:c r="J6" s="102" t="str">
        <x:v/>
      </x:c>
      <x:c r="K6" s="102" t="str">
        <x:v>确认实际状态；完成、纠偏或提交基线变更</x:v>
      </x:c>
      <x:c r="L6" s="10"/>
      <x:c r="M6" s="102"/>
    </x:row>
    <x:row r="7" spans="1:13" ht="34" customHeight="1">
      <x:c r="A7" s="9" t="str">
        <x:v>是</x:v>
      </x:c>
      <x:c r="B7" s="9" t="str">
        <x:v>T019</x:v>
      </x:c>
      <x:c r="C7" s="102" t="str">
        <x:v>完成系统分层、模块与服务边界设计</x:v>
      </x:c>
      <x:c r="D7" s="9" t="str">
        <x:v>MS005</x:v>
      </x:c>
      <x:c r="E7" s="9" t="str">
        <x:v>待确认</x:v>
      </x:c>
      <x:c r="F7" s="9" t="str">
        <x:v>技术经理</x:v>
      </x:c>
      <x:c r="G7" s="95">
        <x:v>46218</x:v>
      </x:c>
      <x:c r="H7" s="9">
        <x:v>-93</x:v>
      </x:c>
      <x:c r="I7" s="9" t="str">
        <x:v>已延期</x:v>
      </x:c>
      <x:c r="J7" s="102" t="str">
        <x:v/>
      </x:c>
      <x:c r="K7" s="102" t="str">
        <x:v>确认实际状态；完成、纠偏或提交基线变更</x:v>
      </x:c>
      <x:c r="L7" s="10"/>
      <x:c r="M7" s="102"/>
    </x:row>
    <x:row r="8" spans="1:13" ht="34" customHeight="1">
      <x:c r="A8" s="9" t="str">
        <x:v>是</x:v>
      </x:c>
      <x:c r="B8" s="9" t="str">
        <x:v>T015</x:v>
      </x:c>
      <x:c r="C8" s="102" t="str">
        <x:v>制定需求分级、跟踪与变更规范</x:v>
      </x:c>
      <x:c r="D8" s="9" t="str">
        <x:v>MS004</x:v>
      </x:c>
      <x:c r="E8" s="9" t="str">
        <x:v>待确认</x:v>
      </x:c>
      <x:c r="F8" s="9" t="str">
        <x:v>产品经理</x:v>
      </x:c>
      <x:c r="G8" s="95">
        <x:v>46227</x:v>
      </x:c>
      <x:c r="H8" s="9">
        <x:v>-84</x:v>
      </x:c>
      <x:c r="I8" s="9" t="str">
        <x:v>已延期</x:v>
      </x:c>
      <x:c r="J8" s="102" t="str">
        <x:v/>
      </x:c>
      <x:c r="K8" s="102" t="str">
        <x:v>确认实际状态；完成、纠偏或提交基线变更</x:v>
      </x:c>
      <x:c r="L8" s="10"/>
      <x:c r="M8" s="102"/>
    </x:row>
    <x:row r="9" spans="1:13" ht="34" customHeight="1">
      <x:c r="A9" s="9" t="str">
        <x:v>是</x:v>
      </x:c>
      <x:c r="B9" s="9" t="str">
        <x:v>T020</x:v>
      </x:c>
      <x:c r="C9" s="102" t="str">
        <x:v>完成主数据、交易数据与分析数据架构</x:v>
      </x:c>
      <x:c r="D9" s="9" t="str">
        <x:v>MS005</x:v>
      </x:c>
      <x:c r="E9" s="9" t="str">
        <x:v>待确认</x:v>
      </x:c>
      <x:c r="F9" s="9" t="str">
        <x:v>技术经理</x:v>
      </x:c>
      <x:c r="G9" s="95">
        <x:v>46233</x:v>
      </x:c>
      <x:c r="H9" s="9">
        <x:v>-78</x:v>
      </x:c>
      <x:c r="I9" s="9" t="str">
        <x:v>已延期</x:v>
      </x:c>
      <x:c r="J9" s="102" t="str">
        <x:v/>
      </x:c>
      <x:c r="K9" s="102" t="str">
        <x:v>确认实际状态；完成、纠偏或提交基线变更</x:v>
      </x:c>
      <x:c r="L9" s="10"/>
      <x:c r="M9" s="102"/>
    </x:row>
    <x:row r="10" spans="1:13" ht="34" customHeight="1">
      <x:c r="A10" s="9" t="str">
        <x:v>是</x:v>
      </x:c>
      <x:c r="B10" s="9" t="str">
        <x:v>T016</x:v>
      </x:c>
      <x:c r="C10" s="102" t="str">
        <x:v>制定设计、编码与代码评审规范</x:v>
      </x:c>
      <x:c r="D10" s="9" t="str">
        <x:v>MS004</x:v>
      </x:c>
      <x:c r="E10" s="9" t="str">
        <x:v>待确认</x:v>
      </x:c>
      <x:c r="F10" s="9" t="str">
        <x:v>技术经理</x:v>
      </x:c>
      <x:c r="G10" s="95">
        <x:v>46240</x:v>
      </x:c>
      <x:c r="H10" s="9">
        <x:v>-71</x:v>
      </x:c>
      <x:c r="I10" s="9" t="str">
        <x:v>已延期</x:v>
      </x:c>
      <x:c r="J10" s="102" t="str">
        <x:v/>
      </x:c>
      <x:c r="K10" s="102" t="str">
        <x:v>确认实际状态；完成、纠偏或提交基线变更</x:v>
      </x:c>
      <x:c r="L10" s="10"/>
      <x:c r="M10" s="102"/>
    </x:row>
    <x:row r="11" spans="1:13" ht="34" customHeight="1">
      <x:c r="A11" s="9" t="str">
        <x:v>是</x:v>
      </x:c>
      <x:c r="B11" s="9" t="str">
        <x:v>T021</x:v>
      </x:c>
      <x:c r="C11" s="102" t="str">
        <x:v>完成内部及外部接口总体架构</x:v>
      </x:c>
      <x:c r="D11" s="9" t="str">
        <x:v>MS005</x:v>
      </x:c>
      <x:c r="E11" s="9" t="str">
        <x:v>待确认</x:v>
      </x:c>
      <x:c r="F11" s="9" t="str">
        <x:v>高级开发人员</x:v>
      </x:c>
      <x:c r="G11" s="95">
        <x:v>46249</x:v>
      </x:c>
      <x:c r="H11" s="9">
        <x:v>-62</x:v>
      </x:c>
      <x:c r="I11" s="9" t="str">
        <x:v>已延期</x:v>
      </x:c>
      <x:c r="J11" s="102" t="str">
        <x:v/>
      </x:c>
      <x:c r="K11" s="102" t="str">
        <x:v>确认实际状态；完成、纠偏或提交基线变更</x:v>
      </x:c>
      <x:c r="L11" s="10"/>
      <x:c r="M11" s="102"/>
    </x:row>
    <x:row r="12" spans="1:13" ht="34" customHeight="1">
      <x:c r="A12" s="9" t="str">
        <x:v>是</x:v>
      </x:c>
      <x:c r="B12" s="9" t="str">
        <x:v>T017</x:v>
      </x:c>
      <x:c r="C12" s="102" t="str">
        <x:v>制定测试、缺陷与质量门禁规范</x:v>
      </x:c>
      <x:c r="D12" s="9" t="str">
        <x:v>MS004</x:v>
      </x:c>
      <x:c r="E12" s="9" t="str">
        <x:v>待确认</x:v>
      </x:c>
      <x:c r="F12" s="9" t="str">
        <x:v>高级测试人员、中级测试人员</x:v>
      </x:c>
      <x:c r="G12" s="95">
        <x:v>46252</x:v>
      </x:c>
      <x:c r="H12" s="9">
        <x:v>-59</x:v>
      </x:c>
      <x:c r="I12" s="9" t="str">
        <x:v>已延期</x:v>
      </x:c>
      <x:c r="J12" s="102" t="str">
        <x:v/>
      </x:c>
      <x:c r="K12" s="102" t="str">
        <x:v>确认实际状态；完成、纠偏或提交基线变更</x:v>
      </x:c>
      <x:c r="L12" s="10"/>
      <x:c r="M12" s="102"/>
    </x:row>
    <x:row r="13" spans="1:13" ht="34" customHeight="1">
      <x:c r="A13" s="9" t="str">
        <x:v>是</x:v>
      </x:c>
      <x:c r="B13" s="9" t="str">
        <x:v>T025</x:v>
      </x:c>
      <x:c r="C13" s="102" t="str">
        <x:v>编制CA、电子文档、BI报表POC方案与评分标准</x:v>
      </x:c>
      <x:c r="D13" s="9" t="str">
        <x:v>MS017</x:v>
      </x:c>
      <x:c r="E13" s="9" t="str">
        <x:v>待确认</x:v>
      </x:c>
      <x:c r="F13" s="9" t="str">
        <x:v>技术经理</x:v>
      </x:c>
      <x:c r="G13" s="95">
        <x:v>46253</x:v>
      </x:c>
      <x:c r="H13" s="9">
        <x:v>-58</x:v>
      </x:c>
      <x:c r="I13" s="9" t="str">
        <x:v>已延期</x:v>
      </x:c>
      <x:c r="J13" s="102" t="str">
        <x:v/>
      </x:c>
      <x:c r="K13" s="102" t="str">
        <x:v>确认实际状态；完成、纠偏或提交基线变更</x:v>
      </x:c>
      <x:c r="L13" s="10"/>
      <x:c r="M13" s="102"/>
    </x:row>
    <x:row r="14" spans="1:13" ht="34" customHeight="1">
      <x:c r="A14" s="9" t="str">
        <x:v>是</x:v>
      </x:c>
      <x:c r="B14" s="9" t="str">
        <x:v>T026</x:v>
      </x:c>
      <x:c r="C14" s="102" t="str">
        <x:v>验证证书签发、身份认证和证书管理</x:v>
      </x:c>
      <x:c r="D14" s="9" t="str">
        <x:v>MS017</x:v>
      </x:c>
      <x:c r="E14" s="9" t="str">
        <x:v>待确认</x:v>
      </x:c>
      <x:c r="F14" s="9" t="str">
        <x:v>高级开发人员</x:v>
      </x:c>
      <x:c r="G14" s="95">
        <x:v>46258</x:v>
      </x:c>
      <x:c r="H14" s="9">
        <x:v>-53</x:v>
      </x:c>
      <x:c r="I14" s="9" t="str">
        <x:v>已延期</x:v>
      </x:c>
      <x:c r="J14" s="102" t="str">
        <x:v/>
      </x:c>
      <x:c r="K14" s="102" t="str">
        <x:v>确认实际状态；完成、纠偏或提交基线变更</x:v>
      </x:c>
      <x:c r="L14" s="10"/>
      <x:c r="M14" s="102"/>
    </x:row>
    <x:row r="15" spans="1:13" ht="34" customHeight="1">
      <x:c r="A15" s="9" t="str">
        <x:v>是</x:v>
      </x:c>
      <x:c r="B15" s="9" t="str">
        <x:v>T027</x:v>
      </x:c>
      <x:c r="C15" s="102" t="str">
        <x:v>验证电子签名、验签、时间戳和审计追溯</x:v>
      </x:c>
      <x:c r="D15" s="9" t="str">
        <x:v>MS017</x:v>
      </x:c>
      <x:c r="E15" s="9" t="str">
        <x:v>待确认</x:v>
      </x:c>
      <x:c r="F15" s="9" t="str">
        <x:v>高级测试人员、中级测试人员</x:v>
      </x:c>
      <x:c r="G15" s="95">
        <x:v>46263</x:v>
      </x:c>
      <x:c r="H15" s="9">
        <x:v>-48</x:v>
      </x:c>
      <x:c r="I15" s="9" t="str">
        <x:v>已延期</x:v>
      </x:c>
      <x:c r="J15" s="102" t="str">
        <x:v/>
      </x:c>
      <x:c r="K15" s="102" t="str">
        <x:v>确认实际状态；完成、纠偏或提交基线变更</x:v>
      </x:c>
      <x:c r="L15" s="10"/>
      <x:c r="M15" s="102"/>
    </x:row>
    <x:row r="16" spans="1:13" ht="34" customHeight="1">
      <x:c r="A16" s="9" t="str">
        <x:v>是</x:v>
      </x:c>
      <x:c r="B16" s="9" t="str">
        <x:v>T022</x:v>
      </x:c>
      <x:c r="C16" s="102" t="str">
        <x:v>完成身份、权限、审计与数据安全设计</x:v>
      </x:c>
      <x:c r="D16" s="9" t="str">
        <x:v>MS005</x:v>
      </x:c>
      <x:c r="E16" s="9" t="str">
        <x:v>待确认</x:v>
      </x:c>
      <x:c r="F16" s="9" t="str">
        <x:v>技术经理</x:v>
      </x:c>
      <x:c r="G16" s="95">
        <x:v>46264</x:v>
      </x:c>
      <x:c r="H16" s="9">
        <x:v>-47</x:v>
      </x:c>
      <x:c r="I16" s="9" t="str">
        <x:v>已延期</x:v>
      </x:c>
      <x:c r="J16" s="102" t="str">
        <x:v/>
      </x:c>
      <x:c r="K16" s="102" t="str">
        <x:v>确认实际状态；完成、纠偏或提交基线变更</x:v>
      </x:c>
      <x:c r="L16" s="10"/>
      <x:c r="M16" s="102"/>
    </x:row>
    <x:row r="17" spans="1:13" ht="34" customHeight="1">
      <x:c r="A17" s="9" t="str">
        <x:v>是</x:v>
      </x:c>
      <x:c r="B17" s="9" t="str">
        <x:v>T018</x:v>
      </x:c>
      <x:c r="C17" s="102" t="str">
        <x:v>制定配置、发布与文档归档规范</x:v>
      </x:c>
      <x:c r="D17" s="9" t="str">
        <x:v>MS004</x:v>
      </x:c>
      <x:c r="E17" s="9" t="str">
        <x:v>待确认</x:v>
      </x:c>
      <x:c r="F17" s="9" t="str">
        <x:v>配置人员</x:v>
      </x:c>
      <x:c r="G17" s="95">
        <x:v>46265</x:v>
      </x:c>
      <x:c r="H17" s="9">
        <x:v>-46</x:v>
      </x:c>
      <x:c r="I17" s="9" t="str">
        <x:v>已延期</x:v>
      </x:c>
      <x:c r="J17" s="102" t="str">
        <x:v/>
      </x:c>
      <x:c r="K17" s="102" t="str">
        <x:v>确认实际状态；完成、纠偏或提交基线变更</x:v>
      </x:c>
      <x:c r="L17" s="10"/>
      <x:c r="M17" s="102"/>
    </x:row>
    <x:row r="18" spans="1:13" ht="34" customHeight="1">
      <x:c r="A18" s="9" t="str">
        <x:v>是</x:v>
      </x:c>
      <x:c r="B18" s="9" t="str">
        <x:v>T028</x:v>
      </x:c>
      <x:c r="C18" s="102" t="str">
        <x:v>验证模板生成、在线预览和格式转换</x:v>
      </x:c>
      <x:c r="D18" s="9" t="str">
        <x:v>MS017</x:v>
      </x:c>
      <x:c r="E18" s="9" t="str">
        <x:v>待确认</x:v>
      </x:c>
      <x:c r="F18" s="9" t="str">
        <x:v>中级开发人员</x:v>
      </x:c>
      <x:c r="G18" s="95">
        <x:v>46269</x:v>
      </x:c>
      <x:c r="H18" s="9">
        <x:v>-42</x:v>
      </x:c>
      <x:c r="I18" s="9" t="str">
        <x:v>已延期</x:v>
      </x:c>
      <x:c r="J18" s="102" t="str">
        <x:v/>
      </x:c>
      <x:c r="K18" s="102" t="str">
        <x:v>确认实际状态；完成、纠偏或提交基线变更</x:v>
      </x:c>
      <x:c r="L18" s="10"/>
      <x:c r="M18" s="102"/>
    </x:row>
    <x:row r="19" spans="1:13" ht="34" customHeight="1">
      <x:c r="A19" s="9" t="str">
        <x:v>是</x:v>
      </x:c>
      <x:c r="B19" s="9" t="str">
        <x:v>T029</x:v>
      </x:c>
      <x:c r="C19" s="102" t="str">
        <x:v>验证水印、权限控制、归档和大文件性能</x:v>
      </x:c>
      <x:c r="D19" s="9" t="str">
        <x:v>MS017</x:v>
      </x:c>
      <x:c r="E19" s="9" t="str">
        <x:v>待确认</x:v>
      </x:c>
      <x:c r="F19" s="9" t="str">
        <x:v>高级测试人员、中级测试人员</x:v>
      </x:c>
      <x:c r="G19" s="95">
        <x:v>46274</x:v>
      </x:c>
      <x:c r="H19" s="9">
        <x:v>-37</x:v>
      </x:c>
      <x:c r="I19" s="9" t="str">
        <x:v>已延期</x:v>
      </x:c>
      <x:c r="J19" s="102" t="str">
        <x:v/>
      </x:c>
      <x:c r="K19" s="102" t="str">
        <x:v>确认实际状态；完成、纠偏或提交基线变更</x:v>
      </x:c>
      <x:c r="L19" s="10"/>
      <x:c r="M19" s="102"/>
    </x:row>
    <x:row r="20" spans="1:13" ht="34" customHeight="1">
      <x:c r="A20" s="9" t="str">
        <x:v>是</x:v>
      </x:c>
      <x:c r="B20" s="9" t="str">
        <x:v>T023</x:v>
      </x:c>
      <x:c r="C20" s="102" t="str">
        <x:v>完成环境、网络、容灾和DevOps设计</x:v>
      </x:c>
      <x:c r="D20" s="9" t="str">
        <x:v>MS005</x:v>
      </x:c>
      <x:c r="E20" s="9" t="str">
        <x:v>待确认</x:v>
      </x:c>
      <x:c r="F20" s="9" t="str">
        <x:v>配置人员</x:v>
      </x:c>
      <x:c r="G20" s="95">
        <x:v>46279</x:v>
      </x:c>
      <x:c r="H20" s="9">
        <x:v>-32</x:v>
      </x:c>
      <x:c r="I20" s="9" t="str">
        <x:v>已延期</x:v>
      </x:c>
      <x:c r="J20" s="102" t="str">
        <x:v/>
      </x:c>
      <x:c r="K20" s="102" t="str">
        <x:v>确认实际状态；完成、纠偏或提交基线变更</x:v>
      </x:c>
      <x:c r="L20" s="10"/>
      <x:c r="M20" s="102"/>
    </x:row>
    <x:row r="21" spans="1:13" ht="34" customHeight="1">
      <x:c r="A21" s="9" t="str">
        <x:v>是</x:v>
      </x:c>
      <x:c r="B21" s="9" t="str">
        <x:v>T030</x:v>
      </x:c>
      <x:c r="C21" s="102" t="str">
        <x:v>验证数据接入、指标模型和经营报表</x:v>
      </x:c>
      <x:c r="D21" s="9" t="str">
        <x:v>MS017</x:v>
      </x:c>
      <x:c r="E21" s="9" t="str">
        <x:v>待确认</x:v>
      </x:c>
      <x:c r="F21" s="9" t="str">
        <x:v>高级开发人员</x:v>
      </x:c>
      <x:c r="G21" s="95">
        <x:v>46279</x:v>
      </x:c>
      <x:c r="H21" s="9">
        <x:v>-32</x:v>
      </x:c>
      <x:c r="I21" s="9" t="str">
        <x:v>已延期</x:v>
      </x:c>
      <x:c r="J21" s="102" t="str">
        <x:v/>
      </x:c>
      <x:c r="K21" s="102" t="str">
        <x:v>确认实际状态；完成、纠偏或提交基线变更</x:v>
      </x:c>
      <x:c r="L21" s="10"/>
      <x:c r="M21" s="102"/>
    </x:row>
    <x:row r="22" spans="1:13" ht="34" customHeight="1">
      <x:c r="A22" s="9" t="str">
        <x:v>是</x:v>
      </x:c>
      <x:c r="B22" s="9" t="str">
        <x:v>T031</x:v>
      </x:c>
      <x:c r="C22" s="102" t="str">
        <x:v>验证权限、钻取、导出和查询性能</x:v>
      </x:c>
      <x:c r="D22" s="9" t="str">
        <x:v>MS017</x:v>
      </x:c>
      <x:c r="E22" s="9" t="str">
        <x:v>进行中</x:v>
      </x:c>
      <x:c r="F22" s="9" t="str">
        <x:v>高级测试人员、中级测试人员</x:v>
      </x:c>
      <x:c r="G22" s="95">
        <x:v>46284</x:v>
      </x:c>
      <x:c r="H22" s="9">
        <x:v>-27</x:v>
      </x:c>
      <x:c r="I22" s="9" t="str">
        <x:v>已延期</x:v>
      </x:c>
      <x:c r="J22" s="102" t="str">
        <x:v/>
      </x:c>
      <x:c r="K22" s="102" t="str">
        <x:v>确认实际状态；完成、纠偏或提交基线变更</x:v>
      </x:c>
      <x:c r="L22" s="10"/>
      <x:c r="M22" s="102"/>
    </x:row>
    <x:row r="23" spans="1:13" ht="34" customHeight="1">
      <x:c r="A23" s="9" t="str">
        <x:v>是</x:v>
      </x:c>
      <x:c r="B23" s="9" t="str">
        <x:v>T032</x:v>
      </x:c>
      <x:c r="C23" s="102" t="str">
        <x:v>汇总问题清单、适配结论和产品选型建议</x:v>
      </x:c>
      <x:c r="D23" s="9" t="str">
        <x:v>MS017</x:v>
      </x:c>
      <x:c r="E23" s="9" t="str">
        <x:v>未开始</x:v>
      </x:c>
      <x:c r="F23" s="9" t="str">
        <x:v>项目经理</x:v>
      </x:c>
      <x:c r="G23" s="95">
        <x:v>46290</x:v>
      </x:c>
      <x:c r="H23" s="9">
        <x:v>-21</x:v>
      </x:c>
      <x:c r="I23" s="9" t="str">
        <x:v>已延期</x:v>
      </x:c>
      <x:c r="J23" s="102" t="str">
        <x:v/>
      </x:c>
      <x:c r="K23" s="102" t="str">
        <x:v>确认实际状态；完成、纠偏或提交基线变更</x:v>
      </x:c>
      <x:c r="L23" s="10"/>
      <x:c r="M23" s="102"/>
    </x:row>
    <x:row r="24" spans="1:13" ht="34" customHeight="1">
      <x:c r="A24" s="9" t="str">
        <x:v>是</x:v>
      </x:c>
      <x:c r="B24" s="9" t="str">
        <x:v>T024</x:v>
      </x:c>
      <x:c r="C24" s="102" t="str">
        <x:v>汇编总体技术架构并完成基线评审</x:v>
      </x:c>
      <x:c r="D24" s="9" t="str">
        <x:v>MS005</x:v>
      </x:c>
      <x:c r="E24" s="9" t="str">
        <x:v>进行中</x:v>
      </x:c>
      <x:c r="F24" s="9" t="str">
        <x:v>技术经理</x:v>
      </x:c>
      <x:c r="G24" s="95">
        <x:v>46295</x:v>
      </x:c>
      <x:c r="H24" s="9">
        <x:v>-16</x:v>
      </x:c>
      <x:c r="I24" s="9" t="str">
        <x:v>已延期</x:v>
      </x:c>
      <x:c r="J24" s="102" t="str">
        <x:v/>
      </x:c>
      <x:c r="K24" s="102" t="str">
        <x:v>确认实际状态；完成、纠偏或提交基线变更</x:v>
      </x:c>
      <x:c r="L24" s="10"/>
      <x:c r="M24" s="102"/>
    </x:row>
    <x:row r="25" spans="1:13" ht="34" customHeight="1">
      <x:c r="A25" s="9" t="str">
        <x:v>是</x:v>
      </x:c>
      <x:c r="B25" s="9" t="str">
        <x:v>T033</x:v>
      </x:c>
      <x:c r="C25" s="102" t="str">
        <x:v>编制并审批项目章程</x:v>
      </x:c>
      <x:c r="D25" s="9" t="str">
        <x:v>MS006</x:v>
      </x:c>
      <x:c r="E25" s="9" t="str">
        <x:v>未开始</x:v>
      </x:c>
      <x:c r="F25" s="9" t="str">
        <x:v>项目集经理</x:v>
      </x:c>
      <x:c r="G25" s="95">
        <x:v>46297</x:v>
      </x:c>
      <x:c r="H25" s="9">
        <x:v>-14</x:v>
      </x:c>
      <x:c r="I25" s="9" t="str">
        <x:v>已延期</x:v>
      </x:c>
      <x:c r="J25" s="102" t="str">
        <x:v/>
      </x:c>
      <x:c r="K25" s="102" t="str">
        <x:v>确认实际状态；完成、纠偏或提交基线变更</x:v>
      </x:c>
      <x:c r="L25" s="10"/>
      <x:c r="M25" s="102"/>
    </x:row>
    <x:row r="26" spans="1:13" ht="34" customHeight="1">
      <x:c r="A26" s="9" t="str">
        <x:v>是</x:v>
      </x:c>
      <x:c r="B26" s="9" t="str">
        <x:v>T034</x:v>
      </x:c>
      <x:c r="C26" s="102" t="str">
        <x:v>编制范围、里程碑和主进度计划</x:v>
      </x:c>
      <x:c r="D26" s="9" t="str">
        <x:v>MS006</x:v>
      </x:c>
      <x:c r="E26" s="9" t="str">
        <x:v>未开始</x:v>
      </x:c>
      <x:c r="F26" s="9" t="str">
        <x:v>项目经理</x:v>
      </x:c>
      <x:c r="G26" s="95">
        <x:v>46300</x:v>
      </x:c>
      <x:c r="H26" s="9">
        <x:v>-11</x:v>
      </x:c>
      <x:c r="I26" s="9" t="str">
        <x:v>已延期</x:v>
      </x:c>
      <x:c r="J26" s="102" t="str">
        <x:v/>
      </x:c>
      <x:c r="K26" s="102" t="str">
        <x:v>确认实际状态；完成、纠偏或提交基线变更</x:v>
      </x:c>
      <x:c r="L26" s="10"/>
      <x:c r="M26" s="102"/>
    </x:row>
    <x:row r="27" spans="1:13" ht="34" customHeight="1">
      <x:c r="A27" s="9" t="str">
        <x:v>是</x:v>
      </x:c>
      <x:c r="B27" s="9" t="str">
        <x:v>T035</x:v>
      </x:c>
      <x:c r="C27" s="102" t="str">
        <x:v>建立项目组织、RACI与沟通机制</x:v>
      </x:c>
      <x:c r="D27" s="9" t="str">
        <x:v>MS006</x:v>
      </x:c>
      <x:c r="E27" s="9" t="str">
        <x:v>未开始</x:v>
      </x:c>
      <x:c r="F27" s="9" t="str">
        <x:v>项目经理</x:v>
      </x:c>
      <x:c r="G27" s="95">
        <x:v>46303</x:v>
      </x:c>
      <x:c r="H27" s="9">
        <x:v>-8</x:v>
      </x:c>
      <x:c r="I27" s="9" t="str">
        <x:v>已延期</x:v>
      </x:c>
      <x:c r="J27" s="102" t="str">
        <x:v/>
      </x:c>
      <x:c r="K27" s="102" t="str">
        <x:v>确认实际状态；完成、纠偏或提交基线变更</x:v>
      </x:c>
      <x:c r="L27" s="10"/>
      <x:c r="M27" s="102"/>
    </x:row>
    <x:row r="28" spans="1:13" ht="34" customHeight="1">
      <x:c r="A28" s="9" t="str">
        <x:v>是</x:v>
      </x:c>
      <x:c r="B28" s="9" t="str">
        <x:v>T036</x:v>
      </x:c>
      <x:c r="C28" s="102" t="str">
        <x:v>确认30人团队投入与阶段资源计划</x:v>
      </x:c>
      <x:c r="D28" s="9" t="str">
        <x:v>MS006</x:v>
      </x:c>
      <x:c r="E28" s="9" t="str">
        <x:v>未开始</x:v>
      </x:c>
      <x:c r="F28" s="9" t="str">
        <x:v>项目集经理</x:v>
      </x:c>
      <x:c r="G28" s="95">
        <x:v>46305</x:v>
      </x:c>
      <x:c r="H28" s="9">
        <x:v>-6</x:v>
      </x:c>
      <x:c r="I28" s="9" t="str">
        <x:v>已延期</x:v>
      </x:c>
      <x:c r="J28" s="102" t="str">
        <x:v/>
      </x:c>
      <x:c r="K28" s="102" t="str">
        <x:v>确认实际状态；完成、纠偏或提交基线变更</x:v>
      </x:c>
      <x:c r="L28" s="10"/>
      <x:c r="M28" s="102"/>
    </x:row>
    <x:row r="29" spans="1:13" ht="34" customHeight="1">
      <x:c r="A29" s="9" t="str">
        <x:v>是</x:v>
      </x:c>
      <x:c r="B29" s="9" t="str">
        <x:v>T037</x:v>
      </x:c>
      <x:c r="C29" s="102" t="str">
        <x:v>建立风险、问题、变更和决策台账</x:v>
      </x:c>
      <x:c r="D29" s="9" t="str">
        <x:v>MS006</x:v>
      </x:c>
      <x:c r="E29" s="9" t="str">
        <x:v>未开始</x:v>
      </x:c>
      <x:c r="F29" s="9" t="str">
        <x:v>项目经理</x:v>
      </x:c>
      <x:c r="G29" s="95">
        <x:v>46308</x:v>
      </x:c>
      <x:c r="H29" s="9">
        <x:v>-3</x:v>
      </x:c>
      <x:c r="I29" s="9" t="str">
        <x:v>已延期</x:v>
      </x:c>
      <x:c r="J29" s="102" t="str">
        <x:v/>
      </x:c>
      <x:c r="K29" s="102" t="str">
        <x:v>确认实际状态；完成、纠偏或提交基线变更</x:v>
      </x:c>
      <x:c r="L29" s="10"/>
      <x:c r="M29" s="102"/>
    </x:row>
    <x:row r="30" spans="1:13" ht="34" customHeight="1">
      <x:c r="A30" s="9" t="str">
        <x:v>是</x:v>
      </x:c>
      <x:c r="B30" s="9" t="str">
        <x:v>T038</x:v>
      </x:c>
      <x:c r="C30" s="102" t="str">
        <x:v>完成启动条件检查与评审</x:v>
      </x:c>
      <x:c r="D30" s="9" t="str">
        <x:v>MS006</x:v>
      </x:c>
      <x:c r="E30" s="9" t="str">
        <x:v>未开始</x:v>
      </x:c>
      <x:c r="F30" s="9" t="str">
        <x:v>项目集经理</x:v>
      </x:c>
      <x:c r="G30" s="95">
        <x:v>46311</x:v>
      </x:c>
      <x:c r="H30" s="9">
        <x:v>0</x:v>
      </x:c>
      <x:c r="I30" s="9" t="str">
        <x:v>临近到期</x:v>
      </x:c>
      <x:c r="J30" s="102" t="str">
        <x:v/>
      </x:c>
      <x:c r="K30" s="102" t="str">
        <x:v>按计划提交可验收证据</x:v>
      </x:c>
      <x:c r="L30" s="10"/>
      <x:c r="M30" s="102"/>
    </x:row>
    <x:row r="31" spans="1:13" ht="34" customHeight="1">
      <x:c r="A31" s="9" t="str">
        <x:v>是</x:v>
      </x:c>
      <x:c r="B31" s="9" t="str">
        <x:v>T039</x:v>
      </x:c>
      <x:c r="C31" s="102" t="str">
        <x:v>准备启动会材料与项目目标宣贯</x:v>
      </x:c>
      <x:c r="D31" s="9" t="str">
        <x:v>MS007</x:v>
      </x:c>
      <x:c r="E31" s="9" t="str">
        <x:v>未开始</x:v>
      </x:c>
      <x:c r="F31" s="9" t="str">
        <x:v>项目经理</x:v>
      </x:c>
      <x:c r="G31" s="95">
        <x:v>46315</x:v>
      </x:c>
      <x:c r="H31" s="9">
        <x:v>4</x:v>
      </x:c>
      <x:c r="I31" s="9" t="str">
        <x:v>正常</x:v>
      </x:c>
      <x:c r="J31" s="102" t="str">
        <x:v/>
      </x:c>
      <x:c r="K31" s="102" t="str">
        <x:v>按计划提交可验收证据</x:v>
      </x:c>
      <x:c r="L31" s="10"/>
      <x:c r="M31" s="102"/>
    </x:row>
    <x:row r="32" spans="1:13" ht="34" customHeight="1">
      <x:c r="A32" s="9" t="str">
        <x:v>是</x:v>
      </x:c>
      <x:c r="B32" s="9" t="str">
        <x:v>T040</x:v>
      </x:c>
      <x:c r="C32" s="102" t="str">
        <x:v>召开项目启动会并确认职责</x:v>
      </x:c>
      <x:c r="D32" s="9" t="str">
        <x:v>MS007</x:v>
      </x:c>
      <x:c r="E32" s="9" t="str">
        <x:v>未开始</x:v>
      </x:c>
      <x:c r="F32" s="9" t="str">
        <x:v>项目集经理</x:v>
      </x:c>
      <x:c r="G32" s="95">
        <x:v>46315</x:v>
      </x:c>
      <x:c r="H32" s="9">
        <x:v>4</x:v>
      </x:c>
      <x:c r="I32" s="9" t="str">
        <x:v>正常</x:v>
      </x:c>
      <x:c r="J32" s="102" t="str">
        <x:v/>
      </x:c>
      <x:c r="K32" s="102" t="str">
        <x:v>按计划提交可验收证据</x:v>
      </x:c>
      <x:c r="L32" s="10"/>
      <x:c r="M32" s="102"/>
    </x:row>
    <x:row r="33" spans="1:13" ht="34" customHeight="1">
      <x:c r="A33" s="9" t="str">
        <x:v>是</x:v>
      </x:c>
      <x:c r="B33" s="9" t="str">
        <x:v>T041</x:v>
      </x:c>
      <x:c r="C33" s="102" t="str">
        <x:v>发布会议纪要、行动项和基准计划</x:v>
      </x:c>
      <x:c r="D33" s="9" t="str">
        <x:v>MS007</x:v>
      </x:c>
      <x:c r="E33" s="9" t="str">
        <x:v>未开始</x:v>
      </x:c>
      <x:c r="F33" s="9" t="str">
        <x:v>项目经理</x:v>
      </x:c>
      <x:c r="G33" s="95">
        <x:v>46315</x:v>
      </x:c>
      <x:c r="H33" s="9">
        <x:v>4</x:v>
      </x:c>
      <x:c r="I33" s="9" t="str">
        <x:v>正常</x:v>
      </x:c>
      <x:c r="J33" s="102" t="str">
        <x:v/>
      </x:c>
      <x:c r="K33" s="102" t="str">
        <x:v>按计划提交可验收证据</x:v>
      </x:c>
      <x:c r="L33" s="10"/>
      <x:c r="M33" s="102"/>
    </x:row>
    <x:row r="34" spans="1:13" ht="34" customHeight="1">
      <x:c r="A34" s="9" t="str">
        <x:v>是</x:v>
      </x:c>
      <x:c r="B34" s="9" t="str">
        <x:v>T042</x:v>
      </x:c>
      <x:c r="C34" s="102" t="str">
        <x:v>开展业务场景与用户需求工作坊</x:v>
      </x:c>
      <x:c r="D34" s="9" t="str">
        <x:v>MS008</x:v>
      </x:c>
      <x:c r="E34" s="9" t="str">
        <x:v>未开始</x:v>
      </x:c>
      <x:c r="F34" s="9" t="str">
        <x:v>产品经理</x:v>
      </x:c>
      <x:c r="G34" s="95">
        <x:v>46321</x:v>
      </x:c>
      <x:c r="H34" s="9">
        <x:v>10</x:v>
      </x:c>
      <x:c r="I34" s="9" t="str">
        <x:v>正常</x:v>
      </x:c>
      <x:c r="J34" s="102" t="str">
        <x:v/>
      </x:c>
      <x:c r="K34" s="102" t="str">
        <x:v>按计划提交可验收证据</x:v>
      </x:c>
      <x:c r="L34" s="10"/>
      <x:c r="M34" s="102"/>
    </x:row>
    <x:row r="35" spans="1:13" ht="34" customHeight="1">
      <x:c r="A35" s="9" t="str">
        <x:v/>
      </x:c>
      <x:c r="B35" s="9" t="str">
        <x:v/>
      </x:c>
      <x:c r="C35" s="102" t="str">
        <x:v/>
      </x:c>
      <x:c r="D35" s="9" t="str">
        <x:v/>
      </x:c>
      <x:c r="E35" s="9" t="str">
        <x:v/>
      </x:c>
      <x:c r="F35" s="9" t="str">
        <x:v/>
      </x:c>
      <x:c r="G35" s="95" t="str">
        <x:v/>
      </x:c>
      <x:c r="H35" s="9" t="str">
        <x:v/>
      </x:c>
      <x:c r="I35" s="9" t="str">
        <x:v/>
      </x:c>
      <x:c r="J35" s="102" t="str">
        <x:v/>
      </x:c>
      <x:c r="K35" s="102" t="str">
        <x:v/>
      </x:c>
      <x:c r="L35" s="10"/>
      <x:c r="M35" s="102"/>
    </x:row>
    <x:row r="36" spans="1:13" ht="34" customHeight="1">
      <x:c r="A36" s="9" t="str">
        <x:v/>
      </x:c>
      <x:c r="B36" s="9" t="str">
        <x:v/>
      </x:c>
      <x:c r="C36" s="102" t="str">
        <x:v/>
      </x:c>
      <x:c r="D36" s="9" t="str">
        <x:v/>
      </x:c>
      <x:c r="E36" s="9" t="str">
        <x:v/>
      </x:c>
      <x:c r="F36" s="9" t="str">
        <x:v/>
      </x:c>
      <x:c r="G36" s="95" t="str">
        <x:v/>
      </x:c>
      <x:c r="H36" s="9" t="str">
        <x:v/>
      </x:c>
      <x:c r="I36" s="9" t="str">
        <x:v/>
      </x:c>
      <x:c r="J36" s="102" t="str">
        <x:v/>
      </x:c>
      <x:c r="K36" s="102" t="str">
        <x:v/>
      </x:c>
      <x:c r="L36" s="10"/>
      <x:c r="M36" s="102"/>
    </x:row>
    <x:row r="37" spans="1:13" ht="20" customHeight="1">
      <x:c r="A37" s="7" t="str">
        <x:v/>
      </x:c>
      <x:c r="B37" s="7" t="str">
        <x:v/>
      </x:c>
      <x:c r="C37" s="100" t="str">
        <x:v/>
      </x:c>
      <x:c r="D37" s="7" t="str">
        <x:v/>
      </x:c>
      <x:c r="E37" s="7" t="str">
        <x:v/>
      </x:c>
      <x:c r="F37" s="7" t="str">
        <x:v/>
      </x:c>
      <x:c r="G37" s="96" t="str">
        <x:v/>
      </x:c>
      <x:c r="H37" s="7" t="str">
        <x:v/>
      </x:c>
      <x:c r="I37" s="7" t="str">
        <x:v/>
      </x:c>
      <x:c r="J37" s="100" t="str">
        <x:v/>
      </x:c>
      <x:c r="K37" s="100" t="str">
        <x:v/>
      </x:c>
      <x:c r="L37" s="12"/>
      <x:c r="M37" s="100"/>
    </x:row>
    <x:row r="38" spans="1:13" ht="20" customHeight="1">
      <x:c r="A38" s="7" t="str">
        <x:v/>
      </x:c>
      <x:c r="B38" s="7" t="str">
        <x:v/>
      </x:c>
      <x:c r="C38" s="100" t="str">
        <x:v/>
      </x:c>
      <x:c r="D38" s="7" t="str">
        <x:v/>
      </x:c>
      <x:c r="E38" s="7" t="str">
        <x:v/>
      </x:c>
      <x:c r="F38" s="7" t="str">
        <x:v/>
      </x:c>
      <x:c r="G38" s="96" t="str">
        <x:v/>
      </x:c>
      <x:c r="H38" s="7" t="str">
        <x:v/>
      </x:c>
      <x:c r="I38" s="7" t="str">
        <x:v/>
      </x:c>
      <x:c r="J38" s="100" t="str">
        <x:v/>
      </x:c>
      <x:c r="K38" s="100" t="str">
        <x:v/>
      </x:c>
      <x:c r="L38" s="12"/>
      <x:c r="M38" s="100"/>
    </x:row>
    <x:row r="39" spans="1:13" ht="20" customHeight="1">
      <x:c r="A39" s="7"/>
      <x:c r="B39" s="7"/>
      <x:c r="C39" s="100"/>
      <x:c r="D39" s="7"/>
      <x:c r="E39" s="7"/>
      <x:c r="F39" s="7"/>
      <x:c r="G39" s="12"/>
      <x:c r="H39" s="7"/>
      <x:c r="I39" s="7"/>
      <x:c r="J39" s="100"/>
      <x:c r="K39" s="100"/>
      <x:c r="L39" s="12"/>
      <x:c r="M39" s="100"/>
    </x:row>
    <x:row r="40" spans="1:13" ht="20" customHeight="1">
      <x:c r="A40" s="7"/>
      <x:c r="B40" s="7"/>
      <x:c r="C40" s="100"/>
      <x:c r="D40" s="7"/>
      <x:c r="E40" s="7"/>
      <x:c r="F40" s="7"/>
      <x:c r="G40" s="12"/>
      <x:c r="H40" s="7"/>
      <x:c r="I40" s="7"/>
      <x:c r="J40" s="100"/>
      <x:c r="K40" s="100"/>
      <x:c r="L40" s="12"/>
      <x:c r="M40" s="100"/>
    </x:row>
    <x:row r="41" spans="1:13" ht="20" customHeight="1">
      <x:c r="A41" s="7"/>
      <x:c r="B41" s="7"/>
      <x:c r="C41" s="100"/>
      <x:c r="D41" s="7"/>
      <x:c r="E41" s="7"/>
      <x:c r="F41" s="7"/>
      <x:c r="G41" s="12"/>
      <x:c r="H41" s="7"/>
      <x:c r="I41" s="7"/>
      <x:c r="J41" s="100"/>
      <x:c r="K41" s="100"/>
      <x:c r="L41" s="12"/>
      <x:c r="M41" s="100"/>
    </x:row>
    <x:row r="42" spans="1:13" ht="20" customHeight="1">
      <x:c r="A42" s="7"/>
      <x:c r="B42" s="7"/>
      <x:c r="C42" s="100"/>
      <x:c r="D42" s="7"/>
      <x:c r="E42" s="7"/>
      <x:c r="F42" s="7"/>
      <x:c r="G42" s="12"/>
      <x:c r="H42" s="7"/>
      <x:c r="I42" s="7"/>
      <x:c r="J42" s="100"/>
      <x:c r="K42" s="100"/>
      <x:c r="L42" s="12"/>
      <x:c r="M42" s="100"/>
    </x:row>
    <x:row r="43" spans="1:13" ht="20" customHeight="1">
      <x:c r="A43" s="7"/>
      <x:c r="B43" s="7"/>
      <x:c r="C43" s="100"/>
      <x:c r="D43" s="7"/>
      <x:c r="E43" s="7"/>
      <x:c r="F43" s="7"/>
      <x:c r="G43" s="12"/>
      <x:c r="H43" s="7"/>
      <x:c r="I43" s="7"/>
      <x:c r="J43" s="100"/>
      <x:c r="K43" s="100"/>
      <x:c r="L43" s="12"/>
      <x:c r="M43" s="100"/>
    </x:row>
    <x:row r="44" spans="1:13" ht="20" customHeight="1">
      <x:c r="A44" s="7"/>
      <x:c r="B44" s="7"/>
      <x:c r="C44" s="100"/>
      <x:c r="D44" s="7"/>
      <x:c r="E44" s="7"/>
      <x:c r="F44" s="7"/>
      <x:c r="G44" s="12"/>
      <x:c r="H44" s="7"/>
      <x:c r="I44" s="7"/>
      <x:c r="J44" s="100"/>
      <x:c r="K44" s="100"/>
      <x:c r="L44" s="12"/>
      <x:c r="M44" s="100"/>
    </x:row>
    <x:row r="45" spans="1:13" ht="20" customHeight="1">
      <x:c r="A45" s="7"/>
      <x:c r="B45" s="7"/>
      <x:c r="C45" s="100"/>
      <x:c r="D45" s="7"/>
      <x:c r="E45" s="7"/>
      <x:c r="F45" s="7"/>
      <x:c r="G45" s="12"/>
      <x:c r="H45" s="7"/>
      <x:c r="I45" s="7"/>
      <x:c r="J45" s="100"/>
      <x:c r="K45" s="100"/>
      <x:c r="L45" s="12"/>
      <x:c r="M45" s="100"/>
    </x:row>
    <x:row r="46" spans="1:13" ht="20" customHeight="1">
      <x:c r="A46" s="7"/>
      <x:c r="B46" s="7"/>
      <x:c r="C46" s="100"/>
      <x:c r="D46" s="7"/>
      <x:c r="E46" s="7"/>
      <x:c r="F46" s="7"/>
      <x:c r="G46" s="12"/>
      <x:c r="H46" s="7"/>
      <x:c r="I46" s="7"/>
      <x:c r="J46" s="100"/>
      <x:c r="K46" s="100"/>
      <x:c r="L46" s="12"/>
      <x:c r="M46" s="100"/>
    </x:row>
    <x:row r="47" spans="1:13" ht="20" customHeight="1">
      <x:c r="A47" s="7"/>
      <x:c r="B47" s="7"/>
      <x:c r="C47" s="100"/>
      <x:c r="D47" s="7"/>
      <x:c r="E47" s="7"/>
      <x:c r="F47" s="7"/>
      <x:c r="G47" s="12"/>
      <x:c r="H47" s="7"/>
      <x:c r="I47" s="7"/>
      <x:c r="J47" s="100"/>
      <x:c r="K47" s="100"/>
      <x:c r="L47" s="12"/>
      <x:c r="M47" s="100"/>
    </x:row>
    <x:row r="48" spans="1:13" ht="20" customHeight="1">
      <x:c r="A48" s="7"/>
      <x:c r="B48" s="7"/>
      <x:c r="C48" s="100"/>
      <x:c r="D48" s="7"/>
      <x:c r="E48" s="7"/>
      <x:c r="F48" s="7"/>
      <x:c r="G48" s="12"/>
      <x:c r="H48" s="7"/>
      <x:c r="I48" s="7"/>
      <x:c r="J48" s="100"/>
      <x:c r="K48" s="100"/>
      <x:c r="L48" s="12"/>
      <x:c r="M48" s="100"/>
    </x:row>
    <x:row r="49" spans="1:13" ht="20" customHeight="1">
      <x:c r="A49" s="7"/>
      <x:c r="B49" s="7"/>
      <x:c r="C49" s="100"/>
      <x:c r="D49" s="7"/>
      <x:c r="E49" s="7"/>
      <x:c r="F49" s="7"/>
      <x:c r="G49" s="12"/>
      <x:c r="H49" s="7"/>
      <x:c r="I49" s="7"/>
      <x:c r="J49" s="100"/>
      <x:c r="K49" s="100"/>
      <x:c r="L49" s="12"/>
      <x:c r="M49" s="100"/>
    </x:row>
    <x:row r="50" spans="1:13" ht="20" customHeight="1">
      <x:c r="A50" s="7"/>
      <x:c r="B50" s="7"/>
      <x:c r="C50" s="100"/>
      <x:c r="D50" s="7"/>
      <x:c r="E50" s="7"/>
      <x:c r="F50" s="7"/>
      <x:c r="G50" s="12"/>
      <x:c r="H50" s="7"/>
      <x:c r="I50" s="7"/>
      <x:c r="J50" s="100"/>
      <x:c r="K50" s="100"/>
      <x:c r="L50" s="12"/>
      <x:c r="M50" s="100"/>
    </x:row>
    <x:row r="51" spans="1:13" ht="20" customHeight="1">
      <x:c r="A51" s="7"/>
      <x:c r="B51" s="7"/>
      <x:c r="C51" s="100"/>
      <x:c r="D51" s="7"/>
      <x:c r="E51" s="7"/>
      <x:c r="F51" s="7"/>
      <x:c r="G51" s="12"/>
      <x:c r="H51" s="7"/>
      <x:c r="I51" s="7"/>
      <x:c r="J51" s="100"/>
      <x:c r="K51" s="100"/>
      <x:c r="L51" s="12"/>
      <x:c r="M51" s="100"/>
    </x:row>
    <x:row r="52" spans="1:13" ht="20" customHeight="1">
      <x:c r="A52" s="7"/>
      <x:c r="B52" s="7"/>
      <x:c r="C52" s="100"/>
      <x:c r="D52" s="7"/>
      <x:c r="E52" s="7"/>
      <x:c r="F52" s="7"/>
      <x:c r="G52" s="12"/>
      <x:c r="H52" s="7"/>
      <x:c r="I52" s="7"/>
      <x:c r="J52" s="100"/>
      <x:c r="K52" s="100"/>
      <x:c r="L52" s="12"/>
      <x:c r="M52" s="100"/>
    </x:row>
    <x:row r="53" spans="1:13" ht="20" customHeight="1">
      <x:c r="A53" s="7"/>
      <x:c r="B53" s="7"/>
      <x:c r="C53" s="100"/>
      <x:c r="D53" s="7"/>
      <x:c r="E53" s="7"/>
      <x:c r="F53" s="7"/>
      <x:c r="G53" s="12"/>
      <x:c r="H53" s="7"/>
      <x:c r="I53" s="7"/>
      <x:c r="J53" s="100"/>
      <x:c r="K53" s="100"/>
      <x:c r="L53" s="12"/>
      <x:c r="M53" s="100"/>
    </x:row>
    <x:row r="54" spans="1:13" ht="20" customHeight="1">
      <x:c r="A54" s="7"/>
      <x:c r="B54" s="7"/>
      <x:c r="C54" s="100"/>
      <x:c r="D54" s="7"/>
      <x:c r="E54" s="7"/>
      <x:c r="F54" s="7"/>
      <x:c r="G54" s="12"/>
      <x:c r="H54" s="7"/>
      <x:c r="I54" s="7"/>
      <x:c r="J54" s="100"/>
      <x:c r="K54" s="100"/>
      <x:c r="L54" s="12"/>
      <x:c r="M54" s="100"/>
    </x:row>
    <x:row r="55" spans="1:13" ht="20" customHeight="1">
      <x:c r="A55" s="7"/>
      <x:c r="B55" s="7"/>
      <x:c r="C55" s="100"/>
      <x:c r="D55" s="7"/>
      <x:c r="E55" s="7"/>
      <x:c r="F55" s="7"/>
      <x:c r="G55" s="12"/>
      <x:c r="H55" s="7"/>
      <x:c r="I55" s="7"/>
      <x:c r="J55" s="100"/>
      <x:c r="K55" s="100"/>
      <x:c r="L55" s="12"/>
      <x:c r="M55" s="100"/>
    </x:row>
    <x:row r="56" spans="1:13" ht="20" customHeight="1">
      <x:c r="A56" s="7"/>
      <x:c r="B56" s="7"/>
      <x:c r="C56" s="100"/>
      <x:c r="D56" s="7"/>
      <x:c r="E56" s="7"/>
      <x:c r="F56" s="7"/>
      <x:c r="G56" s="12"/>
      <x:c r="H56" s="7"/>
      <x:c r="I56" s="7"/>
      <x:c r="J56" s="100"/>
      <x:c r="K56" s="100"/>
      <x:c r="L56" s="12"/>
      <x:c r="M56" s="100"/>
    </x:row>
    <x:row r="57" spans="1:13" ht="20" customHeight="1">
      <x:c r="A57" s="7"/>
      <x:c r="B57" s="7"/>
      <x:c r="C57" s="100"/>
      <x:c r="D57" s="7"/>
      <x:c r="E57" s="7"/>
      <x:c r="F57" s="7"/>
      <x:c r="G57" s="12"/>
      <x:c r="H57" s="7"/>
      <x:c r="I57" s="7"/>
      <x:c r="J57" s="100"/>
      <x:c r="K57" s="100"/>
      <x:c r="L57" s="12"/>
      <x:c r="M57" s="100"/>
    </x:row>
    <x:row r="58" spans="1:13" ht="20" customHeight="1">
      <x:c r="A58" s="7"/>
      <x:c r="B58" s="7"/>
      <x:c r="C58" s="100"/>
      <x:c r="D58" s="7"/>
      <x:c r="E58" s="7"/>
      <x:c r="F58" s="7"/>
      <x:c r="G58" s="12"/>
      <x:c r="H58" s="7"/>
      <x:c r="I58" s="7"/>
      <x:c r="J58" s="100"/>
      <x:c r="K58" s="100"/>
      <x:c r="L58" s="12"/>
      <x:c r="M58" s="100"/>
    </x:row>
    <x:row r="59" spans="1:13" ht="20" customHeight="1">
      <x:c r="A59" s="7"/>
      <x:c r="B59" s="7"/>
      <x:c r="C59" s="100"/>
      <x:c r="D59" s="7"/>
      <x:c r="E59" s="7"/>
      <x:c r="F59" s="7"/>
      <x:c r="G59" s="12"/>
      <x:c r="H59" s="7"/>
      <x:c r="I59" s="7"/>
      <x:c r="J59" s="100"/>
      <x:c r="K59" s="100"/>
      <x:c r="L59" s="12"/>
      <x:c r="M59" s="100"/>
    </x:row>
    <x:row r="60" spans="1:13" ht="20" customHeight="1">
      <x:c r="A60" s="7"/>
      <x:c r="B60" s="7"/>
      <x:c r="C60" s="100"/>
      <x:c r="D60" s="7"/>
      <x:c r="E60" s="7"/>
      <x:c r="F60" s="7"/>
      <x:c r="G60" s="12"/>
      <x:c r="H60" s="7"/>
      <x:c r="I60" s="7"/>
      <x:c r="J60" s="100"/>
      <x:c r="K60" s="100"/>
      <x:c r="L60" s="12"/>
      <x:c r="M60" s="100"/>
    </x:row>
    <x:row r="61" spans="1:13" ht="20" customHeight="1">
      <x:c r="A61" s="7"/>
      <x:c r="B61" s="7"/>
      <x:c r="C61" s="100"/>
      <x:c r="D61" s="7"/>
      <x:c r="E61" s="7"/>
      <x:c r="F61" s="7"/>
      <x:c r="G61" s="12"/>
      <x:c r="H61" s="7"/>
      <x:c r="I61" s="7"/>
      <x:c r="J61" s="100"/>
      <x:c r="K61" s="100"/>
      <x:c r="L61" s="12"/>
      <x:c r="M61" s="100"/>
    </x:row>
    <x:row r="62" spans="1:13" ht="20" customHeight="1">
      <x:c r="A62" s="7"/>
      <x:c r="B62" s="7"/>
      <x:c r="C62" s="100"/>
      <x:c r="D62" s="7"/>
      <x:c r="E62" s="7"/>
      <x:c r="F62" s="7"/>
      <x:c r="G62" s="12"/>
      <x:c r="H62" s="7"/>
      <x:c r="I62" s="7"/>
      <x:c r="J62" s="100"/>
      <x:c r="K62" s="100"/>
      <x:c r="L62" s="12"/>
      <x:c r="M62" s="100"/>
    </x:row>
    <x:row r="63" spans="1:13" ht="20" customHeight="1">
      <x:c r="A63" s="7"/>
      <x:c r="B63" s="7"/>
      <x:c r="C63" s="100"/>
      <x:c r="D63" s="7"/>
      <x:c r="E63" s="7"/>
      <x:c r="F63" s="7"/>
      <x:c r="G63" s="12"/>
      <x:c r="H63" s="7"/>
      <x:c r="I63" s="7"/>
      <x:c r="J63" s="100"/>
      <x:c r="K63" s="100"/>
      <x:c r="L63" s="12"/>
      <x:c r="M63" s="100"/>
    </x:row>
    <x:row r="64" spans="1:13" ht="20" customHeight="1">
      <x:c r="A64" s="7"/>
      <x:c r="B64" s="7"/>
      <x:c r="C64" s="100"/>
      <x:c r="D64" s="7"/>
      <x:c r="E64" s="7"/>
      <x:c r="F64" s="7"/>
      <x:c r="G64" s="12"/>
      <x:c r="H64" s="7"/>
      <x:c r="I64" s="7"/>
      <x:c r="J64" s="100"/>
      <x:c r="K64" s="100"/>
      <x:c r="L64" s="12"/>
      <x:c r="M64" s="100"/>
    </x:row>
    <x:row r="65" spans="1:13" ht="20" customHeight="1">
      <x:c r="A65" s="7"/>
      <x:c r="B65" s="7"/>
      <x:c r="C65" s="100"/>
      <x:c r="D65" s="7"/>
      <x:c r="E65" s="7"/>
      <x:c r="F65" s="7"/>
      <x:c r="G65" s="12"/>
      <x:c r="H65" s="7"/>
      <x:c r="I65" s="7"/>
      <x:c r="J65" s="100"/>
      <x:c r="K65" s="100"/>
      <x:c r="L65" s="12"/>
      <x:c r="M65" s="100"/>
    </x:row>
    <x:row r="66" spans="1:13" ht="20" customHeight="1">
      <x:c r="A66" s="7"/>
      <x:c r="B66" s="7"/>
      <x:c r="C66" s="100"/>
      <x:c r="D66" s="7"/>
      <x:c r="E66" s="7"/>
      <x:c r="F66" s="7"/>
      <x:c r="G66" s="12"/>
      <x:c r="H66" s="7"/>
      <x:c r="I66" s="7"/>
      <x:c r="J66" s="100"/>
      <x:c r="K66" s="100"/>
      <x:c r="L66" s="12"/>
      <x:c r="M66" s="100"/>
    </x:row>
    <x:row r="67" spans="1:13" ht="20" customHeight="1">
      <x:c r="A67" s="7"/>
      <x:c r="B67" s="7"/>
      <x:c r="C67" s="100"/>
      <x:c r="D67" s="7"/>
      <x:c r="E67" s="7"/>
      <x:c r="F67" s="7"/>
      <x:c r="G67" s="12"/>
      <x:c r="H67" s="7"/>
      <x:c r="I67" s="7"/>
      <x:c r="J67" s="100"/>
      <x:c r="K67" s="100"/>
      <x:c r="L67" s="12"/>
      <x:c r="M67" s="100"/>
    </x:row>
    <x:row r="68" spans="1:13" ht="20" customHeight="1">
      <x:c r="A68" s="7"/>
      <x:c r="B68" s="7"/>
      <x:c r="C68" s="100"/>
      <x:c r="D68" s="7"/>
      <x:c r="E68" s="7"/>
      <x:c r="F68" s="7"/>
      <x:c r="G68" s="12"/>
      <x:c r="H68" s="7"/>
      <x:c r="I68" s="7"/>
      <x:c r="J68" s="100"/>
      <x:c r="K68" s="100"/>
      <x:c r="L68" s="12"/>
      <x:c r="M68" s="100"/>
    </x:row>
    <x:row r="69" spans="1:13" ht="20" customHeight="1">
      <x:c r="A69" s="7"/>
      <x:c r="B69" s="7"/>
      <x:c r="C69" s="100"/>
      <x:c r="D69" s="7"/>
      <x:c r="E69" s="7"/>
      <x:c r="F69" s="7"/>
      <x:c r="G69" s="12"/>
      <x:c r="H69" s="7"/>
      <x:c r="I69" s="7"/>
      <x:c r="J69" s="100"/>
      <x:c r="K69" s="100"/>
      <x:c r="L69" s="12"/>
      <x:c r="M69" s="100"/>
    </x:row>
    <x:row r="70" spans="1:13" ht="20" customHeight="1">
      <x:c r="A70" s="7"/>
      <x:c r="B70" s="7"/>
      <x:c r="C70" s="100"/>
      <x:c r="D70" s="7"/>
      <x:c r="E70" s="7"/>
      <x:c r="F70" s="7"/>
      <x:c r="G70" s="12"/>
      <x:c r="H70" s="7"/>
      <x:c r="I70" s="7"/>
      <x:c r="J70" s="100"/>
      <x:c r="K70" s="100"/>
      <x:c r="L70" s="12"/>
      <x:c r="M70" s="100"/>
    </x:row>
    <x:row r="71" spans="1:13" ht="20" customHeight="1">
      <x:c r="A71" s="7"/>
      <x:c r="B71" s="7"/>
      <x:c r="C71" s="100"/>
      <x:c r="D71" s="7"/>
      <x:c r="E71" s="7"/>
      <x:c r="F71" s="7"/>
      <x:c r="G71" s="12"/>
      <x:c r="H71" s="7"/>
      <x:c r="I71" s="7"/>
      <x:c r="J71" s="100"/>
      <x:c r="K71" s="100"/>
      <x:c r="L71" s="12"/>
      <x:c r="M71" s="100"/>
    </x:row>
    <x:row r="72" spans="1:13" ht="20" customHeight="1">
      <x:c r="A72" s="7"/>
      <x:c r="B72" s="7"/>
      <x:c r="C72" s="100"/>
      <x:c r="D72" s="7"/>
      <x:c r="E72" s="7"/>
      <x:c r="F72" s="7"/>
      <x:c r="G72" s="12"/>
      <x:c r="H72" s="7"/>
      <x:c r="I72" s="7"/>
      <x:c r="J72" s="100"/>
      <x:c r="K72" s="100"/>
      <x:c r="L72" s="12"/>
      <x:c r="M72" s="100"/>
    </x:row>
    <x:row r="73" spans="1:13" ht="20" customHeight="1">
      <x:c r="A73" s="7"/>
      <x:c r="B73" s="7"/>
      <x:c r="C73" s="100"/>
      <x:c r="D73" s="7"/>
      <x:c r="E73" s="7"/>
      <x:c r="F73" s="7"/>
      <x:c r="G73" s="12"/>
      <x:c r="H73" s="7"/>
      <x:c r="I73" s="7"/>
      <x:c r="J73" s="100"/>
      <x:c r="K73" s="100"/>
      <x:c r="L73" s="12"/>
      <x:c r="M73" s="100"/>
    </x:row>
    <x:row r="74" spans="1:13" ht="20" customHeight="1">
      <x:c r="A74" s="7"/>
      <x:c r="B74" s="7"/>
      <x:c r="C74" s="100"/>
      <x:c r="D74" s="7"/>
      <x:c r="E74" s="7"/>
      <x:c r="F74" s="7"/>
      <x:c r="G74" s="12"/>
      <x:c r="H74" s="7"/>
      <x:c r="I74" s="7"/>
      <x:c r="J74" s="100"/>
      <x:c r="K74" s="100"/>
      <x:c r="L74" s="12"/>
      <x:c r="M74" s="100"/>
    </x:row>
    <x:row r="75" spans="1:13" ht="20" customHeight="1">
      <x:c r="A75" s="7"/>
      <x:c r="B75" s="7"/>
      <x:c r="C75" s="100"/>
      <x:c r="D75" s="7"/>
      <x:c r="E75" s="7"/>
      <x:c r="F75" s="7"/>
      <x:c r="G75" s="12"/>
      <x:c r="H75" s="7"/>
      <x:c r="I75" s="7"/>
      <x:c r="J75" s="100"/>
      <x:c r="K75" s="100"/>
      <x:c r="L75" s="12"/>
      <x:c r="M75" s="100"/>
    </x:row>
    <x:row r="76" spans="1:13" ht="20" customHeight="1">
      <x:c r="A76" s="7"/>
      <x:c r="B76" s="7"/>
      <x:c r="C76" s="100"/>
      <x:c r="D76" s="7"/>
      <x:c r="E76" s="7"/>
      <x:c r="F76" s="7"/>
      <x:c r="G76" s="12"/>
      <x:c r="H76" s="7"/>
      <x:c r="I76" s="7"/>
      <x:c r="J76" s="100"/>
      <x:c r="K76" s="100"/>
      <x:c r="L76" s="12"/>
      <x:c r="M76" s="100"/>
    </x:row>
    <x:row r="77" spans="1:13" ht="20" customHeight="1">
      <x:c r="A77" s="7"/>
      <x:c r="B77" s="7"/>
      <x:c r="C77" s="100"/>
      <x:c r="D77" s="7"/>
      <x:c r="E77" s="7"/>
      <x:c r="F77" s="7"/>
      <x:c r="G77" s="12"/>
      <x:c r="H77" s="7"/>
      <x:c r="I77" s="7"/>
      <x:c r="J77" s="100"/>
      <x:c r="K77" s="100"/>
      <x:c r="L77" s="12"/>
      <x:c r="M77" s="100"/>
    </x:row>
    <x:row r="78" spans="1:13" ht="20" customHeight="1">
      <x:c r="A78" s="7"/>
      <x:c r="B78" s="7"/>
      <x:c r="C78" s="100"/>
      <x:c r="D78" s="7"/>
      <x:c r="E78" s="7"/>
      <x:c r="F78" s="7"/>
      <x:c r="G78" s="12"/>
      <x:c r="H78" s="7"/>
      <x:c r="I78" s="7"/>
      <x:c r="J78" s="100"/>
      <x:c r="K78" s="100"/>
      <x:c r="L78" s="12"/>
      <x:c r="M78" s="100"/>
    </x:row>
    <x:row r="79" spans="1:13" ht="20" customHeight="1">
      <x:c r="A79" s="7"/>
      <x:c r="B79" s="7"/>
      <x:c r="C79" s="100"/>
      <x:c r="D79" s="7"/>
      <x:c r="E79" s="7"/>
      <x:c r="F79" s="7"/>
      <x:c r="G79" s="12"/>
      <x:c r="H79" s="7"/>
      <x:c r="I79" s="7"/>
      <x:c r="J79" s="100"/>
      <x:c r="K79" s="100"/>
      <x:c r="L79" s="12"/>
      <x:c r="M79" s="100"/>
    </x:row>
    <x:row r="80" spans="1:13" ht="20" customHeight="1">
      <x:c r="A80" s="7"/>
      <x:c r="B80" s="7"/>
      <x:c r="C80" s="100"/>
      <x:c r="D80" s="7"/>
      <x:c r="E80" s="7"/>
      <x:c r="F80" s="7"/>
      <x:c r="G80" s="12"/>
      <x:c r="H80" s="7"/>
      <x:c r="I80" s="7"/>
      <x:c r="J80" s="100"/>
      <x:c r="K80" s="100"/>
      <x:c r="L80" s="12"/>
      <x:c r="M80" s="100"/>
    </x:row>
    <x:row r="81" spans="1:13" ht="20" customHeight="1">
      <x:c r="A81" s="7"/>
      <x:c r="B81" s="7"/>
      <x:c r="C81" s="100"/>
      <x:c r="D81" s="7"/>
      <x:c r="E81" s="7"/>
      <x:c r="F81" s="7"/>
      <x:c r="G81" s="12"/>
      <x:c r="H81" s="7"/>
      <x:c r="I81" s="7"/>
      <x:c r="J81" s="100"/>
      <x:c r="K81" s="100"/>
      <x:c r="L81" s="12"/>
      <x:c r="M81" s="100"/>
    </x:row>
    <x:row r="82" spans="1:13" ht="20" customHeight="1">
      <x:c r="A82" s="7"/>
      <x:c r="B82" s="7"/>
      <x:c r="C82" s="100"/>
      <x:c r="D82" s="7"/>
      <x:c r="E82" s="7"/>
      <x:c r="F82" s="7"/>
      <x:c r="G82" s="12"/>
      <x:c r="H82" s="7"/>
      <x:c r="I82" s="7"/>
      <x:c r="J82" s="100"/>
      <x:c r="K82" s="100"/>
      <x:c r="L82" s="12"/>
      <x:c r="M82" s="100"/>
    </x:row>
    <x:row r="83" spans="1:13" ht="20" customHeight="1">
      <x:c r="A83" s="7"/>
      <x:c r="B83" s="7"/>
      <x:c r="C83" s="100"/>
      <x:c r="D83" s="7"/>
      <x:c r="E83" s="7"/>
      <x:c r="F83" s="7"/>
      <x:c r="G83" s="12"/>
      <x:c r="H83" s="7"/>
      <x:c r="I83" s="7"/>
      <x:c r="J83" s="100"/>
      <x:c r="K83" s="100"/>
      <x:c r="L83" s="12"/>
      <x:c r="M83" s="100"/>
    </x:row>
    <x:row r="84" spans="1:13" ht="20" customHeight="1">
      <x:c r="A84" s="7"/>
      <x:c r="B84" s="7"/>
      <x:c r="C84" s="100"/>
      <x:c r="D84" s="7"/>
      <x:c r="E84" s="7"/>
      <x:c r="F84" s="7"/>
      <x:c r="G84" s="12"/>
      <x:c r="H84" s="7"/>
      <x:c r="I84" s="7"/>
      <x:c r="J84" s="100"/>
      <x:c r="K84" s="100"/>
      <x:c r="L84" s="12"/>
      <x:c r="M84" s="100"/>
    </x:row>
    <x:row r="85" spans="1:13" ht="20" customHeight="1">
      <x:c r="A85" s="7"/>
      <x:c r="B85" s="7"/>
      <x:c r="C85" s="100"/>
      <x:c r="D85" s="7"/>
      <x:c r="E85" s="7"/>
      <x:c r="F85" s="7"/>
      <x:c r="G85" s="12"/>
      <x:c r="H85" s="7"/>
      <x:c r="I85" s="7"/>
      <x:c r="J85" s="100"/>
      <x:c r="K85" s="100"/>
      <x:c r="L85" s="12"/>
      <x:c r="M85" s="100"/>
    </x:row>
    <x:row r="86" spans="1:13" ht="20" customHeight="1">
      <x:c r="A86" s="7"/>
      <x:c r="B86" s="7"/>
      <x:c r="C86" s="100"/>
      <x:c r="D86" s="7"/>
      <x:c r="E86" s="7"/>
      <x:c r="F86" s="7"/>
      <x:c r="G86" s="12"/>
      <x:c r="H86" s="7"/>
      <x:c r="I86" s="7"/>
      <x:c r="J86" s="100"/>
      <x:c r="K86" s="100"/>
      <x:c r="L86" s="12"/>
      <x:c r="M86" s="100"/>
    </x:row>
    <x:row r="87" spans="1:13" ht="20" customHeight="1">
      <x:c r="A87" s="7"/>
      <x:c r="B87" s="7"/>
      <x:c r="C87" s="100"/>
      <x:c r="D87" s="7"/>
      <x:c r="E87" s="7"/>
      <x:c r="F87" s="7"/>
      <x:c r="G87" s="12"/>
      <x:c r="H87" s="7"/>
      <x:c r="I87" s="7"/>
      <x:c r="J87" s="100"/>
      <x:c r="K87" s="100"/>
      <x:c r="L87" s="12"/>
      <x:c r="M87" s="100"/>
    </x:row>
    <x:row r="88" spans="1:13" ht="20" customHeight="1">
      <x:c r="A88" s="7"/>
      <x:c r="B88" s="7"/>
      <x:c r="C88" s="100"/>
      <x:c r="D88" s="7"/>
      <x:c r="E88" s="7"/>
      <x:c r="F88" s="7"/>
      <x:c r="G88" s="12"/>
      <x:c r="H88" s="7"/>
      <x:c r="I88" s="7"/>
      <x:c r="J88" s="100"/>
      <x:c r="K88" s="100"/>
      <x:c r="L88" s="12"/>
      <x:c r="M88" s="100"/>
    </x:row>
    <x:row r="89" spans="1:13" ht="20" customHeight="1">
      <x:c r="A89" s="7"/>
      <x:c r="B89" s="7"/>
      <x:c r="C89" s="100"/>
      <x:c r="D89" s="7"/>
      <x:c r="E89" s="7"/>
      <x:c r="F89" s="7"/>
      <x:c r="G89" s="12"/>
      <x:c r="H89" s="7"/>
      <x:c r="I89" s="7"/>
      <x:c r="J89" s="100"/>
      <x:c r="K89" s="100"/>
      <x:c r="L89" s="12"/>
      <x:c r="M89" s="100"/>
    </x:row>
    <x:row r="90" spans="1:13" ht="20" customHeight="1">
      <x:c r="A90" s="7"/>
      <x:c r="B90" s="7"/>
      <x:c r="C90" s="100"/>
      <x:c r="D90" s="7"/>
      <x:c r="E90" s="7"/>
      <x:c r="F90" s="7"/>
      <x:c r="G90" s="12"/>
      <x:c r="H90" s="7"/>
      <x:c r="I90" s="7"/>
      <x:c r="J90" s="100"/>
      <x:c r="K90" s="100"/>
      <x:c r="L90" s="12"/>
      <x:c r="M90" s="100"/>
    </x:row>
    <x:row r="91" spans="1:13" ht="20" customHeight="1">
      <x:c r="A91" s="7"/>
      <x:c r="B91" s="7"/>
      <x:c r="C91" s="100"/>
      <x:c r="D91" s="7"/>
      <x:c r="E91" s="7"/>
      <x:c r="F91" s="7"/>
      <x:c r="G91" s="12"/>
      <x:c r="H91" s="7"/>
      <x:c r="I91" s="7"/>
      <x:c r="J91" s="100"/>
      <x:c r="K91" s="100"/>
      <x:c r="L91" s="12"/>
      <x:c r="M91" s="100"/>
    </x:row>
    <x:row r="92" spans="1:13" ht="20" customHeight="1">
      <x:c r="A92" s="7"/>
      <x:c r="B92" s="7"/>
      <x:c r="C92" s="100"/>
      <x:c r="D92" s="7"/>
      <x:c r="E92" s="7"/>
      <x:c r="F92" s="7"/>
      <x:c r="G92" s="12"/>
      <x:c r="H92" s="7"/>
      <x:c r="I92" s="7"/>
      <x:c r="J92" s="100"/>
      <x:c r="K92" s="100"/>
      <x:c r="L92" s="12"/>
      <x:c r="M92" s="100"/>
    </x:row>
    <x:row r="93" spans="1:13" ht="20" customHeight="1">
      <x:c r="A93" s="7"/>
      <x:c r="B93" s="7"/>
      <x:c r="C93" s="100"/>
      <x:c r="D93" s="7"/>
      <x:c r="E93" s="7"/>
      <x:c r="F93" s="7"/>
      <x:c r="G93" s="12"/>
      <x:c r="H93" s="7"/>
      <x:c r="I93" s="7"/>
      <x:c r="J93" s="100"/>
      <x:c r="K93" s="100"/>
      <x:c r="L93" s="12"/>
      <x:c r="M93" s="100"/>
    </x:row>
    <x:row r="94" spans="1:13" ht="20" customHeight="1">
      <x:c r="A94" s="7"/>
      <x:c r="B94" s="7"/>
      <x:c r="C94" s="100"/>
      <x:c r="D94" s="7"/>
      <x:c r="E94" s="7"/>
      <x:c r="F94" s="7"/>
      <x:c r="G94" s="12"/>
      <x:c r="H94" s="7"/>
      <x:c r="I94" s="7"/>
      <x:c r="J94" s="100"/>
      <x:c r="K94" s="100"/>
      <x:c r="L94" s="12"/>
      <x:c r="M94" s="100"/>
    </x:row>
    <x:row r="95" spans="1:13" ht="20" customHeight="1">
      <x:c r="A95" s="7"/>
      <x:c r="B95" s="7"/>
      <x:c r="C95" s="100"/>
      <x:c r="D95" s="7"/>
      <x:c r="E95" s="7"/>
      <x:c r="F95" s="7"/>
      <x:c r="G95" s="12"/>
      <x:c r="H95" s="7"/>
      <x:c r="I95" s="7"/>
      <x:c r="J95" s="100"/>
      <x:c r="K95" s="100"/>
      <x:c r="L95" s="12"/>
      <x:c r="M95" s="100"/>
    </x:row>
    <x:row r="96" spans="1:13" ht="20" customHeight="1">
      <x:c r="A96" s="7"/>
      <x:c r="B96" s="7"/>
      <x:c r="C96" s="100"/>
      <x:c r="D96" s="7"/>
      <x:c r="E96" s="7"/>
      <x:c r="F96" s="7"/>
      <x:c r="G96" s="12"/>
      <x:c r="H96" s="7"/>
      <x:c r="I96" s="7"/>
      <x:c r="J96" s="100"/>
      <x:c r="K96" s="100"/>
      <x:c r="L96" s="12"/>
      <x:c r="M96" s="100"/>
    </x:row>
    <x:row r="97" spans="1:13" ht="20" customHeight="1">
      <x:c r="A97" s="7"/>
      <x:c r="B97" s="7"/>
      <x:c r="C97" s="100"/>
      <x:c r="D97" s="7"/>
      <x:c r="E97" s="7"/>
      <x:c r="F97" s="7"/>
      <x:c r="G97" s="12"/>
      <x:c r="H97" s="7"/>
      <x:c r="I97" s="7"/>
      <x:c r="J97" s="100"/>
      <x:c r="K97" s="100"/>
      <x:c r="L97" s="12"/>
      <x:c r="M97" s="100"/>
    </x:row>
    <x:row r="98" spans="1:13" ht="20" customHeight="1">
      <x:c r="A98" s="7"/>
      <x:c r="B98" s="7"/>
      <x:c r="C98" s="100"/>
      <x:c r="D98" s="7"/>
      <x:c r="E98" s="7"/>
      <x:c r="F98" s="7"/>
      <x:c r="G98" s="12"/>
      <x:c r="H98" s="7"/>
      <x:c r="I98" s="7"/>
      <x:c r="J98" s="100"/>
      <x:c r="K98" s="100"/>
      <x:c r="L98" s="12"/>
      <x:c r="M98" s="100"/>
    </x:row>
    <x:row r="99" spans="1:13" ht="20" customHeight="1">
      <x:c r="A99" s="7"/>
      <x:c r="B99" s="7"/>
      <x:c r="C99" s="100"/>
      <x:c r="D99" s="7"/>
      <x:c r="E99" s="7"/>
      <x:c r="F99" s="7"/>
      <x:c r="G99" s="12"/>
      <x:c r="H99" s="7"/>
      <x:c r="I99" s="7"/>
      <x:c r="J99" s="100"/>
      <x:c r="K99" s="100"/>
      <x:c r="L99" s="12"/>
      <x:c r="M99" s="100"/>
    </x:row>
    <x:row r="100" spans="1:13" ht="20" customHeight="1">
      <x:c r="A100" s="7"/>
      <x:c r="B100" s="7"/>
      <x:c r="C100" s="100"/>
      <x:c r="D100" s="7"/>
      <x:c r="E100" s="7"/>
      <x:c r="F100" s="7"/>
      <x:c r="G100" s="12"/>
      <x:c r="H100" s="7"/>
      <x:c r="I100" s="7"/>
      <x:c r="J100" s="100"/>
      <x:c r="K100" s="100"/>
      <x:c r="L100" s="12"/>
      <x:c r="M100" s="100"/>
    </x:row>
    <x:row r="101" spans="1:13" ht="20" customHeight="1">
      <x:c r="A101" s="7"/>
      <x:c r="B101" s="7"/>
      <x:c r="C101" s="100"/>
      <x:c r="D101" s="7"/>
      <x:c r="E101" s="7"/>
      <x:c r="F101" s="7"/>
      <x:c r="G101" s="12"/>
      <x:c r="H101" s="7"/>
      <x:c r="I101" s="7"/>
      <x:c r="J101" s="100"/>
      <x:c r="K101" s="100"/>
      <x:c r="L101" s="12"/>
      <x:c r="M101" s="100"/>
    </x:row>
    <x:row r="102" spans="1:13" ht="20" customHeight="1">
      <x:c r="A102" s="7"/>
      <x:c r="B102" s="7"/>
      <x:c r="C102" s="100"/>
      <x:c r="D102" s="7"/>
      <x:c r="E102" s="7"/>
      <x:c r="F102" s="7"/>
      <x:c r="G102" s="12"/>
      <x:c r="H102" s="7"/>
      <x:c r="I102" s="7"/>
      <x:c r="J102" s="100"/>
      <x:c r="K102" s="100"/>
      <x:c r="L102" s="12"/>
      <x:c r="M102" s="100"/>
    </x:row>
    <x:row r="103" spans="1:13" ht="20" customHeight="1">
      <x:c r="A103" s="7"/>
      <x:c r="B103" s="7"/>
      <x:c r="C103" s="100"/>
      <x:c r="D103" s="7"/>
      <x:c r="E103" s="7"/>
      <x:c r="F103" s="7"/>
      <x:c r="G103" s="12"/>
      <x:c r="H103" s="7"/>
      <x:c r="I103" s="7"/>
      <x:c r="J103" s="100"/>
      <x:c r="K103" s="100"/>
      <x:c r="L103" s="12"/>
      <x:c r="M103" s="100"/>
    </x:row>
    <x:row r="104" spans="1:13" ht="20" customHeight="1">
      <x:c r="A104" s="7"/>
      <x:c r="B104" s="7"/>
      <x:c r="C104" s="100"/>
      <x:c r="D104" s="7"/>
      <x:c r="E104" s="7"/>
      <x:c r="F104" s="7"/>
      <x:c r="G104" s="12"/>
      <x:c r="H104" s="7"/>
      <x:c r="I104" s="7"/>
      <x:c r="J104" s="100"/>
      <x:c r="K104" s="100"/>
      <x:c r="L104" s="12"/>
      <x:c r="M104" s="100"/>
    </x:row>
    <x:row r="105" spans="1:13" ht="20" customHeight="1">
      <x:c r="A105" s="7"/>
      <x:c r="B105" s="7"/>
      <x:c r="C105" s="100"/>
      <x:c r="D105" s="7"/>
      <x:c r="E105" s="7"/>
      <x:c r="F105" s="7"/>
      <x:c r="G105" s="12"/>
      <x:c r="H105" s="7"/>
      <x:c r="I105" s="7"/>
      <x:c r="J105" s="100"/>
      <x:c r="K105" s="100"/>
      <x:c r="L105" s="12"/>
      <x:c r="M105" s="100"/>
    </x:row>
    <x:row r="106" spans="1:13" ht="20" customHeight="1">
      <x:c r="A106" s="7"/>
      <x:c r="B106" s="7"/>
      <x:c r="C106" s="100"/>
      <x:c r="D106" s="7"/>
      <x:c r="E106" s="7"/>
      <x:c r="F106" s="7"/>
      <x:c r="G106" s="12"/>
      <x:c r="H106" s="7"/>
      <x:c r="I106" s="7"/>
      <x:c r="J106" s="100"/>
      <x:c r="K106" s="100"/>
      <x:c r="L106" s="12"/>
      <x:c r="M106" s="100"/>
    </x:row>
    <x:row r="107" spans="1:13" ht="20" customHeight="1">
      <x:c r="A107" s="7"/>
      <x:c r="B107" s="7"/>
      <x:c r="C107" s="100"/>
      <x:c r="D107" s="7"/>
      <x:c r="E107" s="7"/>
      <x:c r="F107" s="7"/>
      <x:c r="G107" s="12"/>
      <x:c r="H107" s="7"/>
      <x:c r="I107" s="7"/>
      <x:c r="J107" s="100"/>
      <x:c r="K107" s="100"/>
      <x:c r="L107" s="12"/>
      <x:c r="M107" s="100"/>
    </x:row>
    <x:row r="108" spans="1:13" ht="20" customHeight="1">
      <x:c r="A108" s="7"/>
      <x:c r="B108" s="7"/>
      <x:c r="C108" s="100"/>
      <x:c r="D108" s="7"/>
      <x:c r="E108" s="7"/>
      <x:c r="F108" s="7"/>
      <x:c r="G108" s="12"/>
      <x:c r="H108" s="7"/>
      <x:c r="I108" s="7"/>
      <x:c r="J108" s="100"/>
      <x:c r="K108" s="100"/>
      <x:c r="L108" s="12"/>
      <x:c r="M108" s="100"/>
    </x:row>
    <x:row r="109" spans="1:13" ht="20" customHeight="1">
      <x:c r="A109" s="7"/>
      <x:c r="B109" s="7"/>
      <x:c r="C109" s="100"/>
      <x:c r="D109" s="7"/>
      <x:c r="E109" s="7"/>
      <x:c r="F109" s="7"/>
      <x:c r="G109" s="12"/>
      <x:c r="H109" s="7"/>
      <x:c r="I109" s="7"/>
      <x:c r="J109" s="100"/>
      <x:c r="K109" s="100"/>
      <x:c r="L109" s="12"/>
      <x:c r="M109" s="100"/>
    </x:row>
    <x:row r="110" spans="1:13" ht="20" customHeight="1">
      <x:c r="A110" s="7"/>
      <x:c r="B110" s="7"/>
      <x:c r="C110" s="100"/>
      <x:c r="D110" s="7"/>
      <x:c r="E110" s="7"/>
      <x:c r="F110" s="7"/>
      <x:c r="G110" s="12"/>
      <x:c r="H110" s="7"/>
      <x:c r="I110" s="7"/>
      <x:c r="J110" s="100"/>
      <x:c r="K110" s="100"/>
      <x:c r="L110" s="12"/>
      <x:c r="M110" s="100"/>
    </x:row>
    <x:row r="111" spans="1:13" ht="20" customHeight="1">
      <x:c r="A111" s="7"/>
      <x:c r="B111" s="7"/>
      <x:c r="C111" s="100"/>
      <x:c r="D111" s="7"/>
      <x:c r="E111" s="7"/>
      <x:c r="F111" s="7"/>
      <x:c r="G111" s="12"/>
      <x:c r="H111" s="7"/>
      <x:c r="I111" s="7"/>
      <x:c r="J111" s="100"/>
      <x:c r="K111" s="100"/>
      <x:c r="L111" s="12"/>
      <x:c r="M111" s="100"/>
    </x:row>
    <x:row r="112" spans="1:13" ht="20" customHeight="1">
      <x:c r="A112" s="7"/>
      <x:c r="B112" s="7"/>
      <x:c r="C112" s="100"/>
      <x:c r="D112" s="7"/>
      <x:c r="E112" s="7"/>
      <x:c r="F112" s="7"/>
      <x:c r="G112" s="12"/>
      <x:c r="H112" s="7"/>
      <x:c r="I112" s="7"/>
      <x:c r="J112" s="100"/>
      <x:c r="K112" s="100"/>
      <x:c r="L112" s="12"/>
      <x:c r="M112" s="100"/>
    </x:row>
    <x:row r="113" spans="1:13" ht="20" customHeight="1">
      <x:c r="A113" s="7"/>
      <x:c r="B113" s="7"/>
      <x:c r="C113" s="100"/>
      <x:c r="D113" s="7"/>
      <x:c r="E113" s="7"/>
      <x:c r="F113" s="7"/>
      <x:c r="G113" s="12"/>
      <x:c r="H113" s="7"/>
      <x:c r="I113" s="7"/>
      <x:c r="J113" s="100"/>
      <x:c r="K113" s="100"/>
      <x:c r="L113" s="12"/>
      <x:c r="M113" s="100"/>
    </x:row>
    <x:row r="114" spans="1:13" ht="20" customHeight="1">
      <x:c r="A114" s="7"/>
      <x:c r="B114" s="7"/>
      <x:c r="C114" s="100"/>
      <x:c r="D114" s="7"/>
      <x:c r="E114" s="7"/>
      <x:c r="F114" s="7"/>
      <x:c r="G114" s="12"/>
      <x:c r="H114" s="7"/>
      <x:c r="I114" s="7"/>
      <x:c r="J114" s="100"/>
      <x:c r="K114" s="100"/>
      <x:c r="L114" s="12"/>
      <x:c r="M114" s="100"/>
    </x:row>
    <x:row r="115" spans="1:13" ht="20" customHeight="1">
      <x:c r="A115" s="7"/>
      <x:c r="B115" s="7"/>
      <x:c r="C115" s="100"/>
      <x:c r="D115" s="7"/>
      <x:c r="E115" s="7"/>
      <x:c r="F115" s="7"/>
      <x:c r="G115" s="12"/>
      <x:c r="H115" s="7"/>
      <x:c r="I115" s="7"/>
      <x:c r="J115" s="100"/>
      <x:c r="K115" s="100"/>
      <x:c r="L115" s="12"/>
      <x:c r="M115" s="100"/>
    </x:row>
    <x:row r="116" spans="1:13" ht="20" customHeight="1">
      <x:c r="A116" s="7"/>
      <x:c r="B116" s="7"/>
      <x:c r="C116" s="100"/>
      <x:c r="D116" s="7"/>
      <x:c r="E116" s="7"/>
      <x:c r="F116" s="7"/>
      <x:c r="G116" s="12"/>
      <x:c r="H116" s="7"/>
      <x:c r="I116" s="7"/>
      <x:c r="J116" s="100"/>
      <x:c r="K116" s="100"/>
      <x:c r="L116" s="12"/>
      <x:c r="M116" s="100"/>
    </x:row>
    <x:row r="117" spans="1:13" ht="20" customHeight="1">
      <x:c r="A117" s="7"/>
      <x:c r="B117" s="7"/>
      <x:c r="C117" s="100"/>
      <x:c r="D117" s="7"/>
      <x:c r="E117" s="7"/>
      <x:c r="F117" s="7"/>
      <x:c r="G117" s="12"/>
      <x:c r="H117" s="7"/>
      <x:c r="I117" s="7"/>
      <x:c r="J117" s="100"/>
      <x:c r="K117" s="100"/>
      <x:c r="L117" s="12"/>
      <x:c r="M117" s="100"/>
    </x:row>
    <x:row r="118" spans="1:13" ht="20" customHeight="1">
      <x:c r="A118" s="7"/>
      <x:c r="B118" s="7"/>
      <x:c r="C118" s="100"/>
      <x:c r="D118" s="7"/>
      <x:c r="E118" s="7"/>
      <x:c r="F118" s="7"/>
      <x:c r="G118" s="12"/>
      <x:c r="H118" s="7"/>
      <x:c r="I118" s="7"/>
      <x:c r="J118" s="100"/>
      <x:c r="K118" s="100"/>
      <x:c r="L118" s="12"/>
      <x:c r="M118" s="100"/>
    </x:row>
    <x:row r="119" spans="1:13" ht="20" customHeight="1">
      <x:c r="A119" s="7"/>
      <x:c r="B119" s="7"/>
      <x:c r="C119" s="100"/>
      <x:c r="D119" s="7"/>
      <x:c r="E119" s="7"/>
      <x:c r="F119" s="7"/>
      <x:c r="G119" s="12"/>
      <x:c r="H119" s="7"/>
      <x:c r="I119" s="7"/>
      <x:c r="J119" s="100"/>
      <x:c r="K119" s="100"/>
      <x:c r="L119" s="12"/>
      <x:c r="M119" s="100"/>
    </x:row>
    <x:row r="120" spans="1:13" ht="20" customHeight="1">
      <x:c r="A120" s="7"/>
      <x:c r="B120" s="7"/>
      <x:c r="C120" s="100"/>
      <x:c r="D120" s="7"/>
      <x:c r="E120" s="7"/>
      <x:c r="F120" s="7"/>
      <x:c r="G120" s="12"/>
      <x:c r="H120" s="7"/>
      <x:c r="I120" s="7"/>
      <x:c r="J120" s="100"/>
      <x:c r="K120" s="100"/>
      <x:c r="L120" s="12"/>
      <x:c r="M120" s="100"/>
    </x:row>
    <x:row r="121" spans="1:13" ht="20" customHeight="1">
      <x:c r="A121" s="7"/>
      <x:c r="B121" s="7"/>
      <x:c r="C121" s="100"/>
      <x:c r="D121" s="7"/>
      <x:c r="E121" s="7"/>
      <x:c r="F121" s="7"/>
      <x:c r="G121" s="12"/>
      <x:c r="H121" s="7"/>
      <x:c r="I121" s="7"/>
      <x:c r="J121" s="100"/>
      <x:c r="K121" s="100"/>
      <x:c r="L121" s="12"/>
      <x:c r="M121" s="100"/>
    </x:row>
    <x:row r="122" spans="1:13" ht="20" customHeight="1">
      <x:c r="A122" s="7"/>
      <x:c r="B122" s="7"/>
      <x:c r="C122" s="100"/>
      <x:c r="D122" s="7"/>
      <x:c r="E122" s="7"/>
      <x:c r="F122" s="7"/>
      <x:c r="G122" s="12"/>
      <x:c r="H122" s="7"/>
      <x:c r="I122" s="7"/>
      <x:c r="J122" s="100"/>
      <x:c r="K122" s="100"/>
      <x:c r="L122" s="12"/>
      <x:c r="M122" s="100"/>
    </x:row>
    <x:row r="123" spans="1:13" ht="20" customHeight="1">
      <x:c r="A123" s="7"/>
      <x:c r="B123" s="7"/>
      <x:c r="C123" s="100"/>
      <x:c r="D123" s="7"/>
      <x:c r="E123" s="7"/>
      <x:c r="F123" s="7"/>
      <x:c r="G123" s="12"/>
      <x:c r="H123" s="7"/>
      <x:c r="I123" s="7"/>
      <x:c r="J123" s="100"/>
      <x:c r="K123" s="100"/>
      <x:c r="L123" s="12"/>
      <x:c r="M123" s="100"/>
    </x:row>
    <x:row r="124" spans="1:13" ht="20" customHeight="1">
      <x:c r="A124" s="7"/>
      <x:c r="B124" s="7"/>
      <x:c r="C124" s="100"/>
      <x:c r="D124" s="7"/>
      <x:c r="E124" s="7"/>
      <x:c r="F124" s="7"/>
      <x:c r="G124" s="12"/>
      <x:c r="H124" s="7"/>
      <x:c r="I124" s="7"/>
      <x:c r="J124" s="100"/>
      <x:c r="K124" s="100"/>
      <x:c r="L124" s="12"/>
      <x:c r="M124" s="100"/>
    </x:row>
    <x:row r="125" spans="1:13" ht="20" customHeight="1">
      <x:c r="A125" s="7"/>
      <x:c r="B125" s="7"/>
      <x:c r="C125" s="100"/>
      <x:c r="D125" s="7"/>
      <x:c r="E125" s="7"/>
      <x:c r="F125" s="7"/>
      <x:c r="G125" s="12"/>
      <x:c r="H125" s="7"/>
      <x:c r="I125" s="7"/>
      <x:c r="J125" s="100"/>
      <x:c r="K125" s="100"/>
      <x:c r="L125" s="12"/>
      <x:c r="M125" s="100"/>
    </x:row>
    <x:row r="126" spans="1:13" ht="20" customHeight="1">
      <x:c r="A126" s="7"/>
      <x:c r="B126" s="7"/>
      <x:c r="C126" s="100"/>
      <x:c r="D126" s="7"/>
      <x:c r="E126" s="7"/>
      <x:c r="F126" s="7"/>
      <x:c r="G126" s="12"/>
      <x:c r="H126" s="7"/>
      <x:c r="I126" s="7"/>
      <x:c r="J126" s="100"/>
      <x:c r="K126" s="100"/>
      <x:c r="L126" s="12"/>
      <x:c r="M126" s="100"/>
    </x:row>
    <x:row r="127" spans="1:13" ht="20" customHeight="1">
      <x:c r="A127" s="7"/>
      <x:c r="B127" s="7"/>
      <x:c r="C127" s="100"/>
      <x:c r="D127" s="7"/>
      <x:c r="E127" s="7"/>
      <x:c r="F127" s="7"/>
      <x:c r="G127" s="12"/>
      <x:c r="H127" s="7"/>
      <x:c r="I127" s="7"/>
      <x:c r="J127" s="100"/>
      <x:c r="K127" s="100"/>
      <x:c r="L127" s="12"/>
      <x:c r="M127" s="100"/>
    </x:row>
    <x:row r="128" spans="1:13" ht="20" customHeight="1">
      <x:c r="A128" s="7"/>
      <x:c r="B128" s="7"/>
      <x:c r="C128" s="100"/>
      <x:c r="D128" s="7"/>
      <x:c r="E128" s="7"/>
      <x:c r="F128" s="7"/>
      <x:c r="G128" s="12"/>
      <x:c r="H128" s="7"/>
      <x:c r="I128" s="7"/>
      <x:c r="J128" s="100"/>
      <x:c r="K128" s="100"/>
      <x:c r="L128" s="12"/>
      <x:c r="M128" s="100"/>
    </x:row>
    <x:row r="129" spans="1:13" ht="20" customHeight="1">
      <x:c r="A129" s="7"/>
      <x:c r="B129" s="7"/>
      <x:c r="C129" s="100"/>
      <x:c r="D129" s="7"/>
      <x:c r="E129" s="7"/>
      <x:c r="F129" s="7"/>
      <x:c r="G129" s="12"/>
      <x:c r="H129" s="7"/>
      <x:c r="I129" s="7"/>
      <x:c r="J129" s="100"/>
      <x:c r="K129" s="100"/>
      <x:c r="L129" s="12"/>
      <x:c r="M129" s="100"/>
    </x:row>
    <x:row r="130" spans="1:13" ht="20" customHeight="1">
      <x:c r="A130" s="7"/>
      <x:c r="B130" s="7"/>
      <x:c r="C130" s="100"/>
      <x:c r="D130" s="7"/>
      <x:c r="E130" s="7"/>
      <x:c r="F130" s="7"/>
      <x:c r="G130" s="12"/>
      <x:c r="H130" s="7"/>
      <x:c r="I130" s="7"/>
      <x:c r="J130" s="100"/>
      <x:c r="K130" s="100"/>
      <x:c r="L130" s="12"/>
      <x:c r="M130" s="100"/>
    </x:row>
    <x:row r="131" spans="1:13" ht="20" customHeight="1">
      <x:c r="A131" s="7"/>
      <x:c r="B131" s="7"/>
      <x:c r="C131" s="100"/>
      <x:c r="D131" s="7"/>
      <x:c r="E131" s="7"/>
      <x:c r="F131" s="7"/>
      <x:c r="G131" s="12"/>
      <x:c r="H131" s="7"/>
      <x:c r="I131" s="7"/>
      <x:c r="J131" s="100"/>
      <x:c r="K131" s="100"/>
      <x:c r="L131" s="12"/>
      <x:c r="M131" s="100"/>
    </x:row>
    <x:row r="132" spans="1:13" ht="20" customHeight="1">
      <x:c r="A132" s="7"/>
      <x:c r="B132" s="7"/>
      <x:c r="C132" s="100"/>
      <x:c r="D132" s="7"/>
      <x:c r="E132" s="7"/>
      <x:c r="F132" s="7"/>
      <x:c r="G132" s="12"/>
      <x:c r="H132" s="7"/>
      <x:c r="I132" s="7"/>
      <x:c r="J132" s="100"/>
      <x:c r="K132" s="100"/>
      <x:c r="L132" s="12"/>
      <x:c r="M132" s="100"/>
    </x:row>
    <x:row r="133" spans="1:13" ht="20" customHeight="1">
      <x:c r="A133" s="7"/>
      <x:c r="B133" s="7"/>
      <x:c r="C133" s="100"/>
      <x:c r="D133" s="7"/>
      <x:c r="E133" s="7"/>
      <x:c r="F133" s="7"/>
      <x:c r="G133" s="12"/>
      <x:c r="H133" s="7"/>
      <x:c r="I133" s="7"/>
      <x:c r="J133" s="100"/>
      <x:c r="K133" s="100"/>
      <x:c r="L133" s="12"/>
      <x:c r="M133" s="100"/>
    </x:row>
    <x:row r="134" spans="1:13" ht="20" customHeight="1">
      <x:c r="A134" s="7"/>
      <x:c r="B134" s="7"/>
      <x:c r="C134" s="100"/>
      <x:c r="D134" s="7"/>
      <x:c r="E134" s="7"/>
      <x:c r="F134" s="7"/>
      <x:c r="G134" s="12"/>
      <x:c r="H134" s="7"/>
      <x:c r="I134" s="7"/>
      <x:c r="J134" s="100"/>
      <x:c r="K134" s="100"/>
      <x:c r="L134" s="12"/>
      <x:c r="M134" s="100"/>
    </x:row>
    <x:row r="135" spans="1:13" ht="20" customHeight="1">
      <x:c r="A135" s="7"/>
      <x:c r="B135" s="7"/>
      <x:c r="C135" s="100"/>
      <x:c r="D135" s="7"/>
      <x:c r="E135" s="7"/>
      <x:c r="F135" s="7"/>
      <x:c r="G135" s="12"/>
      <x:c r="H135" s="7"/>
      <x:c r="I135" s="7"/>
      <x:c r="J135" s="100"/>
      <x:c r="K135" s="100"/>
      <x:c r="L135" s="12"/>
      <x:c r="M135" s="100"/>
    </x:row>
    <x:row r="136" spans="1:13" ht="20" customHeight="1">
      <x:c r="A136" s="7"/>
      <x:c r="B136" s="7"/>
      <x:c r="C136" s="100"/>
      <x:c r="D136" s="7"/>
      <x:c r="E136" s="7"/>
      <x:c r="F136" s="7"/>
      <x:c r="G136" s="12"/>
      <x:c r="H136" s="7"/>
      <x:c r="I136" s="7"/>
      <x:c r="J136" s="100"/>
      <x:c r="K136" s="100"/>
      <x:c r="L136" s="12"/>
      <x:c r="M136" s="100"/>
    </x:row>
    <x:row r="137" spans="1:13" ht="20" customHeight="1">
      <x:c r="A137" s="7"/>
      <x:c r="B137" s="7"/>
      <x:c r="C137" s="100"/>
      <x:c r="D137" s="7"/>
      <x:c r="E137" s="7"/>
      <x:c r="F137" s="7"/>
      <x:c r="G137" s="12"/>
      <x:c r="H137" s="7"/>
      <x:c r="I137" s="7"/>
      <x:c r="J137" s="100"/>
      <x:c r="K137" s="100"/>
      <x:c r="L137" s="12"/>
      <x:c r="M137" s="100"/>
    </x:row>
    <x:row r="138" spans="1:13" ht="20" customHeight="1">
      <x:c r="A138" s="7"/>
      <x:c r="B138" s="7"/>
      <x:c r="C138" s="100"/>
      <x:c r="D138" s="7"/>
      <x:c r="E138" s="7"/>
      <x:c r="F138" s="7"/>
      <x:c r="G138" s="12"/>
      <x:c r="H138" s="7"/>
      <x:c r="I138" s="7"/>
      <x:c r="J138" s="100"/>
      <x:c r="K138" s="100"/>
      <x:c r="L138" s="12"/>
      <x:c r="M138" s="100"/>
    </x:row>
    <x:row r="139" spans="1:13" ht="20" customHeight="1">
      <x:c r="A139" s="7"/>
      <x:c r="B139" s="7"/>
      <x:c r="C139" s="100"/>
      <x:c r="D139" s="7"/>
      <x:c r="E139" s="7"/>
      <x:c r="F139" s="7"/>
      <x:c r="G139" s="12"/>
      <x:c r="H139" s="7"/>
      <x:c r="I139" s="7"/>
      <x:c r="J139" s="100"/>
      <x:c r="K139" s="100"/>
      <x:c r="L139" s="12"/>
      <x:c r="M139" s="100"/>
    </x:row>
    <x:row r="140" spans="1:13" ht="20" customHeight="1">
      <x:c r="A140" s="7"/>
      <x:c r="B140" s="7"/>
      <x:c r="C140" s="100"/>
      <x:c r="D140" s="7"/>
      <x:c r="E140" s="7"/>
      <x:c r="F140" s="7"/>
      <x:c r="G140" s="12"/>
      <x:c r="H140" s="7"/>
      <x:c r="I140" s="7"/>
      <x:c r="J140" s="100"/>
      <x:c r="K140" s="100"/>
      <x:c r="L140" s="12"/>
      <x:c r="M140" s="100"/>
    </x:row>
    <x:row r="141" spans="1:13" ht="20" customHeight="1">
      <x:c r="A141" s="7"/>
      <x:c r="B141" s="7"/>
      <x:c r="C141" s="100"/>
      <x:c r="D141" s="7"/>
      <x:c r="E141" s="7"/>
      <x:c r="F141" s="7"/>
      <x:c r="G141" s="12"/>
      <x:c r="H141" s="7"/>
      <x:c r="I141" s="7"/>
      <x:c r="J141" s="100"/>
      <x:c r="K141" s="100"/>
      <x:c r="L141" s="12"/>
      <x:c r="M141" s="100"/>
    </x:row>
    <x:row r="142" spans="1:13" ht="20" customHeight="1">
      <x:c r="A142" s="7"/>
      <x:c r="B142" s="7"/>
      <x:c r="C142" s="100"/>
      <x:c r="D142" s="7"/>
      <x:c r="E142" s="7"/>
      <x:c r="F142" s="7"/>
      <x:c r="G142" s="12"/>
      <x:c r="H142" s="7"/>
      <x:c r="I142" s="7"/>
      <x:c r="J142" s="100"/>
      <x:c r="K142" s="100"/>
      <x:c r="L142" s="12"/>
      <x:c r="M142" s="100"/>
    </x:row>
    <x:row r="143" spans="1:13" ht="20" customHeight="1">
      <x:c r="A143" s="7"/>
      <x:c r="B143" s="7"/>
      <x:c r="C143" s="100"/>
      <x:c r="D143" s="7"/>
      <x:c r="E143" s="7"/>
      <x:c r="F143" s="7"/>
      <x:c r="G143" s="12"/>
      <x:c r="H143" s="7"/>
      <x:c r="I143" s="7"/>
      <x:c r="J143" s="100"/>
      <x:c r="K143" s="100"/>
      <x:c r="L143" s="12"/>
      <x:c r="M143" s="100"/>
    </x:row>
    <x:row r="144" spans="1:13" ht="20" customHeight="1">
      <x:c r="A144" s="7"/>
      <x:c r="B144" s="7"/>
      <x:c r="C144" s="100"/>
      <x:c r="D144" s="7"/>
      <x:c r="E144" s="7"/>
      <x:c r="F144" s="7"/>
      <x:c r="G144" s="12"/>
      <x:c r="H144" s="7"/>
      <x:c r="I144" s="7"/>
      <x:c r="J144" s="100"/>
      <x:c r="K144" s="100"/>
      <x:c r="L144" s="12"/>
      <x:c r="M144" s="100"/>
    </x:row>
    <x:row r="145" spans="1:13" ht="20" customHeight="1">
      <x:c r="A145" s="7"/>
      <x:c r="B145" s="7"/>
      <x:c r="C145" s="100"/>
      <x:c r="D145" s="7"/>
      <x:c r="E145" s="7"/>
      <x:c r="F145" s="7"/>
      <x:c r="G145" s="12"/>
      <x:c r="H145" s="7"/>
      <x:c r="I145" s="7"/>
      <x:c r="J145" s="100"/>
      <x:c r="K145" s="100"/>
      <x:c r="L145" s="12"/>
      <x:c r="M145" s="100"/>
    </x:row>
    <x:row r="146" spans="1:13" ht="20" customHeight="1">
      <x:c r="A146" s="7"/>
      <x:c r="B146" s="7"/>
      <x:c r="C146" s="100"/>
      <x:c r="D146" s="7"/>
      <x:c r="E146" s="7"/>
      <x:c r="F146" s="7"/>
      <x:c r="G146" s="12"/>
      <x:c r="H146" s="7"/>
      <x:c r="I146" s="7"/>
      <x:c r="J146" s="100"/>
      <x:c r="K146" s="100"/>
      <x:c r="L146" s="12"/>
      <x:c r="M146" s="100"/>
    </x:row>
    <x:row r="147" spans="1:13" ht="20" customHeight="1">
      <x:c r="A147" s="7"/>
      <x:c r="B147" s="7"/>
      <x:c r="C147" s="100"/>
      <x:c r="D147" s="7"/>
      <x:c r="E147" s="7"/>
      <x:c r="F147" s="7"/>
      <x:c r="G147" s="12"/>
      <x:c r="H147" s="7"/>
      <x:c r="I147" s="7"/>
      <x:c r="J147" s="100"/>
      <x:c r="K147" s="100"/>
      <x:c r="L147" s="12"/>
      <x:c r="M147" s="100"/>
    </x:row>
    <x:row r="148" spans="1:13" ht="20" customHeight="1">
      <x:c r="A148" s="7"/>
      <x:c r="B148" s="7"/>
      <x:c r="C148" s="100"/>
      <x:c r="D148" s="7"/>
      <x:c r="E148" s="7"/>
      <x:c r="F148" s="7"/>
      <x:c r="G148" s="12"/>
      <x:c r="H148" s="7"/>
      <x:c r="I148" s="7"/>
      <x:c r="J148" s="100"/>
      <x:c r="K148" s="100"/>
      <x:c r="L148" s="12"/>
      <x:c r="M148" s="100"/>
    </x:row>
    <x:row r="149" spans="1:13" ht="20" customHeight="1">
      <x:c r="A149" s="7"/>
      <x:c r="B149" s="7"/>
      <x:c r="C149" s="100"/>
      <x:c r="D149" s="7"/>
      <x:c r="E149" s="7"/>
      <x:c r="F149" s="7"/>
      <x:c r="G149" s="12"/>
      <x:c r="H149" s="7"/>
      <x:c r="I149" s="7"/>
      <x:c r="J149" s="100"/>
      <x:c r="K149" s="100"/>
      <x:c r="L149" s="12"/>
      <x:c r="M149" s="100"/>
    </x:row>
  </x:sheetData>
  <x:pageMargins left="0.7" right="0.7" top="0.75" bottom="0.75" header="0.3" footer="0.3"/>
  <x:headerFooter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17365D"/>
  </x:sheetPr>
  <x:dimension ref="A1:J45"/>
  <x:sheetViews>
    <x:sheetView showGridLines="0" workbookViewId="0">
      <x:selection activeCell="A1" sqref="A1"/>
    </x:sheetView>
  </x:sheetViews>
  <x:sheetFormatPr defaultColWidth="9" defaultRowHeight="16.8"/>
  <x:cols>
    <x:col min="1" max="1" width="74" customWidth="1"/>
    <x:col min="2" max="2" width="40" customWidth="1"/>
    <x:col min="3" max="3" width="30" customWidth="1"/>
    <x:col min="4" max="4" width="4" customWidth="1"/>
    <x:col min="5" max="5" width="14" customWidth="1"/>
  </x:cols>
  <x:sheetData>
    <x:row r="1" spans="1:10" ht="20" customHeight="1">
      <x:c r="A1" s="3" t="s">
        <x:v>31</x:v>
      </x:c>
      <x:c r="B1" s="4"/>
      <x:c r="C1" s="4"/>
      <x:c r="D1" s="17"/>
      <x:c r="E1" s="17"/>
      <x:c r="F1" s="17"/>
      <x:c r="G1" s="17"/>
      <x:c r="H1" s="17"/>
      <x:c r="I1" s="17"/>
      <x:c r="J1" s="18"/>
    </x:row>
    <x:row r="2" spans="1:10" ht="20" customHeight="1">
      <x:c r="A2" s="6">
        <x:f>"数据截止"&amp;_数据接口!B5&amp;"。面向项目领导，重点呈现状态、风险、决策和未来两周行动。"</x:f>
      </x:c>
      <x:c r="B2" s="4"/>
      <x:c r="C2" s="4"/>
      <x:c r="D2" s="17"/>
      <x:c r="E2" s="17"/>
      <x:c r="F2" s="17"/>
      <x:c r="G2" s="17"/>
      <x:c r="H2" s="17"/>
      <x:c r="I2" s="17"/>
      <x:c r="J2" s="18"/>
    </x:row>
    <x:row r="3" spans="1:10" ht="20" customHeight="1">
      <x:c r="A3" s="7"/>
      <x:c r="B3" s="7" t="str">
        <x:f>'_数据接口'!B5</x:f>
        <x:v>2026-10-16</x:v>
      </x:c>
      <x:c r="C3" s="7"/>
      <x:c r="D3" s="19"/>
      <x:c r="E3" s="19"/>
      <x:c r="F3" s="19"/>
      <x:c r="G3" s="19"/>
      <x:c r="H3" s="19"/>
      <x:c r="I3" s="19"/>
      <x:c r="J3" s="19"/>
    </x:row>
    <x:row r="4" spans="1:10" ht="26" customHeight="1">
      <x:c r="A4" s="20" t="s">
        <x:v>276</x:v>
      </x:c>
      <x:c r="B4" s="21">
        <x:v>46281</x:v>
      </x:c>
      <x:c r="C4" s="4"/>
      <x:c r="D4" s="17"/>
      <x:c r="E4" s="17"/>
      <x:c r="F4" s="17"/>
      <x:c r="G4" s="17"/>
      <x:c r="H4" s="17"/>
      <x:c r="I4" s="17"/>
      <x:c r="J4" s="18"/>
    </x:row>
    <x:row r="5" spans="1:10" ht="26" customHeight="1">
      <x:c r="A5" s="20" t="s">
        <x:v>277</x:v>
      </x:c>
      <x:c r="B5" s="22" t="s">
        <x:v>64</x:v>
      </x:c>
      <x:c r="C5" s="4"/>
      <x:c r="D5" s="17"/>
      <x:c r="E5" s="17"/>
      <x:c r="F5" s="17"/>
      <x:c r="G5" s="17"/>
      <x:c r="H5" s="17"/>
      <x:c r="I5" s="17"/>
      <x:c r="J5" s="18"/>
    </x:row>
    <x:row r="6" spans="1:10" ht="44" customHeight="1">
      <x:c r="A6" s="20" t="s">
        <x:v>278</x:v>
      </x:c>
      <x:c r="B6" s="23" t="s">
        <x:v>279</x:v>
      </x:c>
      <x:c r="C6" s="4"/>
      <x:c r="D6" s="17"/>
      <x:c r="E6" s="17"/>
      <x:c r="F6" s="17"/>
      <x:c r="G6" s="17"/>
      <x:c r="H6" s="17"/>
      <x:c r="I6" s="17"/>
      <x:c r="J6" s="18"/>
    </x:row>
    <x:row r="7" spans="1:10" ht="20" customHeight="1">
      <x:c r="A7" s="2"/>
      <x:c r="B7" s="2"/>
      <x:c r="C7" s="2"/>
      <x:c r="D7" s="24"/>
      <x:c r="E7" s="24"/>
      <x:c r="F7" s="24"/>
      <x:c r="G7" s="24"/>
      <x:c r="H7" s="24"/>
      <x:c r="I7" s="24"/>
      <x:c r="J7" s="24"/>
    </x:row>
    <x:row r="8" spans="1:10" ht="20" customHeight="1">
      <x:c r="A8" s="25" t="s">
        <x:v>280</x:v>
      </x:c>
      <x:c r="B8" s="26"/>
      <x:c r="C8" s="26"/>
      <x:c r="D8" s="17"/>
      <x:c r="E8" s="17"/>
      <x:c r="F8" s="17"/>
      <x:c r="G8" s="17"/>
      <x:c r="H8" s="17"/>
      <x:c r="I8" s="17"/>
      <x:c r="J8" s="18"/>
    </x:row>
    <x:row r="9" spans="1:10" ht="44" customHeight="1">
      <x:c r="A9" s="9" t="s">
        <x:v>281</x:v>
      </x:c>
      <x:c r="B9" s="27"/>
      <x:c r="C9" s="27"/>
      <x:c r="D9" s="28"/>
      <x:c r="E9" s="28"/>
      <x:c r="F9" s="28"/>
      <x:c r="G9" s="28"/>
      <x:c r="H9" s="28"/>
      <x:c r="I9" s="28"/>
      <x:c r="J9" s="29"/>
    </x:row>
    <x:row r="10" spans="1:10" ht="44" customHeight="1">
      <x:c r="A10" s="30"/>
      <x:c r="B10" s="2"/>
      <x:c r="C10" s="2"/>
      <x:c r="D10" s="24"/>
      <x:c r="E10" s="24"/>
      <x:c r="F10" s="24"/>
      <x:c r="G10" s="24"/>
      <x:c r="H10" s="24"/>
      <x:c r="I10" s="24"/>
      <x:c r="J10" s="31"/>
    </x:row>
    <x:row r="11" spans="1:10" ht="44" customHeight="1">
      <x:c r="A11" s="32"/>
      <x:c r="B11" s="33"/>
      <x:c r="C11" s="33"/>
      <x:c r="D11" s="34"/>
      <x:c r="E11" s="34"/>
      <x:c r="F11" s="34"/>
      <x:c r="G11" s="34"/>
      <x:c r="H11" s="34"/>
      <x:c r="I11" s="34"/>
      <x:c r="J11" s="35"/>
    </x:row>
    <x:row r="12" spans="1:10" ht="44" customHeight="1">
      <x:c r="A12" s="36" t="s">
        <x:v>282</x:v>
      </x:c>
      <x:c r="B12" s="26"/>
      <x:c r="C12" s="26"/>
      <x:c r="D12" s="17"/>
      <x:c r="E12" s="17"/>
      <x:c r="F12" s="17"/>
      <x:c r="G12" s="17"/>
      <x:c r="H12" s="17"/>
      <x:c r="I12" s="17"/>
      <x:c r="J12" s="18"/>
    </x:row>
    <x:row r="13" spans="1:10" ht="44" customHeight="1">
      <x:c r="A13" s="9" t="s">
        <x:v>283</x:v>
      </x:c>
      <x:c r="B13" s="27"/>
      <x:c r="C13" s="27"/>
      <x:c r="D13" s="28"/>
      <x:c r="E13" s="28"/>
      <x:c r="F13" s="28"/>
      <x:c r="G13" s="28"/>
      <x:c r="H13" s="28"/>
      <x:c r="I13" s="28"/>
      <x:c r="J13" s="29"/>
    </x:row>
    <x:row r="14" spans="1:10" ht="44" customHeight="1">
      <x:c r="A14" s="30"/>
      <x:c r="B14" s="2"/>
      <x:c r="C14" s="2"/>
      <x:c r="D14" s="24"/>
      <x:c r="E14" s="24"/>
      <x:c r="F14" s="24"/>
      <x:c r="G14" s="24"/>
      <x:c r="H14" s="24"/>
      <x:c r="I14" s="24"/>
      <x:c r="J14" s="31"/>
    </x:row>
    <x:row r="15" spans="1:10" ht="44" customHeight="1">
      <x:c r="A15" s="32"/>
      <x:c r="B15" s="33"/>
      <x:c r="C15" s="33"/>
      <x:c r="D15" s="34"/>
      <x:c r="E15" s="34"/>
      <x:c r="F15" s="34"/>
      <x:c r="G15" s="34"/>
      <x:c r="H15" s="34"/>
      <x:c r="I15" s="34"/>
      <x:c r="J15" s="35"/>
    </x:row>
    <x:row r="16" spans="1:10" ht="44" customHeight="1">
      <x:c r="A16" s="37" t="s">
        <x:v>284</x:v>
      </x:c>
      <x:c r="B16" s="38"/>
      <x:c r="C16" s="38"/>
      <x:c r="D16" s="24"/>
      <x:c r="E16" s="24"/>
      <x:c r="F16" s="24"/>
      <x:c r="G16" s="24"/>
      <x:c r="H16" s="24"/>
      <x:c r="I16" s="24"/>
      <x:c r="J16" s="24"/>
    </x:row>
    <x:row r="17" spans="1:10" ht="44" customHeight="1">
      <x:c r="A17" s="39" t="s">
        <x:v>285</x:v>
      </x:c>
      <x:c r="B17" s="4"/>
      <x:c r="C17" s="4"/>
      <x:c r="D17" s="17"/>
      <x:c r="E17" s="17"/>
      <x:c r="F17" s="17"/>
      <x:c r="G17" s="17"/>
      <x:c r="H17" s="17"/>
      <x:c r="I17" s="17"/>
      <x:c r="J17" s="18"/>
    </x:row>
    <x:row r="18" spans="1:10" ht="44" customHeight="1">
      <x:c r="A18" s="9"/>
      <x:c r="B18" s="27"/>
      <x:c r="C18" s="27"/>
      <x:c r="D18" s="28"/>
      <x:c r="E18" s="28"/>
      <x:c r="F18" s="28"/>
      <x:c r="G18" s="28"/>
      <x:c r="H18" s="28"/>
      <x:c r="I18" s="28"/>
      <x:c r="J18" s="29"/>
    </x:row>
    <x:row r="19" spans="1:10" ht="44" customHeight="1">
      <x:c r="A19" s="30"/>
      <x:c r="B19" s="2"/>
      <x:c r="C19" s="2"/>
      <x:c r="D19" s="24"/>
      <x:c r="E19" s="24"/>
      <x:c r="F19" s="24"/>
      <x:c r="G19" s="24"/>
      <x:c r="H19" s="24"/>
      <x:c r="I19" s="24"/>
      <x:c r="J19" s="31"/>
    </x:row>
    <x:row r="20" spans="1:10" ht="44" customHeight="1">
      <x:c r="A20" s="40" t="s">
        <x:v>286</x:v>
      </x:c>
      <x:c r="B20" s="41"/>
      <x:c r="C20" s="41"/>
      <x:c r="D20" s="34"/>
      <x:c r="E20" s="34"/>
      <x:c r="F20" s="34"/>
      <x:c r="G20" s="34"/>
      <x:c r="H20" s="34"/>
      <x:c r="I20" s="34"/>
      <x:c r="J20" s="35"/>
    </x:row>
    <x:row r="21" spans="1:10" ht="44" customHeight="1">
      <x:c r="A21" s="42" t="s">
        <x:v>287</x:v>
      </x:c>
      <x:c r="B21" s="2"/>
      <x:c r="C21" s="2"/>
      <x:c r="D21" s="24"/>
      <x:c r="E21" s="24"/>
      <x:c r="F21" s="24"/>
      <x:c r="G21" s="24"/>
      <x:c r="H21" s="24"/>
      <x:c r="I21" s="24"/>
      <x:c r="J21" s="24"/>
    </x:row>
    <x:row r="22" spans="1:10" ht="44" customHeight="1">
      <x:c r="A22" s="39"/>
      <x:c r="B22" s="4"/>
      <x:c r="C22" s="4"/>
      <x:c r="D22" s="17"/>
      <x:c r="E22" s="17"/>
      <x:c r="F22" s="17"/>
      <x:c r="G22" s="17"/>
      <x:c r="H22" s="17"/>
      <x:c r="I22" s="17"/>
      <x:c r="J22" s="18"/>
    </x:row>
    <x:row r="23" spans="1:10" ht="44" customHeight="1">
      <x:c r="A23" s="9"/>
      <x:c r="B23" s="27"/>
      <x:c r="C23" s="27"/>
      <x:c r="D23" s="28"/>
      <x:c r="E23" s="28"/>
      <x:c r="F23" s="28"/>
      <x:c r="G23" s="28"/>
      <x:c r="H23" s="28"/>
      <x:c r="I23" s="28"/>
      <x:c r="J23" s="29"/>
    </x:row>
    <x:row r="24" spans="1:10" ht="44" customHeight="1">
      <x:c r="A24" s="43" t="s">
        <x:v>288</x:v>
      </x:c>
      <x:c r="B24" s="38"/>
      <x:c r="C24" s="38"/>
      <x:c r="D24" s="24"/>
      <x:c r="E24" s="24"/>
      <x:c r="F24" s="24"/>
      <x:c r="G24" s="24"/>
      <x:c r="H24" s="24"/>
      <x:c r="I24" s="24"/>
      <x:c r="J24" s="31"/>
    </x:row>
    <x:row r="25" spans="1:10" ht="44" customHeight="1">
      <x:c r="A25" s="32" t="s">
        <x:v>289</x:v>
      </x:c>
      <x:c r="B25" s="33"/>
      <x:c r="C25" s="33"/>
      <x:c r="D25" s="34"/>
      <x:c r="E25" s="34"/>
      <x:c r="F25" s="34"/>
      <x:c r="G25" s="34"/>
      <x:c r="H25" s="34"/>
      <x:c r="I25" s="34"/>
      <x:c r="J25" s="35"/>
    </x:row>
    <x:row r="26" spans="1:10" ht="20" customHeight="1">
      <x:c r="A26" s="2"/>
      <x:c r="B26" s="2"/>
      <x:c r="C26" s="2"/>
      <x:c r="D26" s="24"/>
      <x:c r="E26" s="24"/>
      <x:c r="F26" s="24"/>
      <x:c r="G26" s="24"/>
      <x:c r="H26" s="24"/>
      <x:c r="I26" s="24"/>
      <x:c r="J26" s="24"/>
    </x:row>
    <x:row r="27" spans="1:10" ht="20" customHeight="1">
      <x:c r="A27" s="20"/>
      <x:c r="B27" s="4"/>
      <x:c r="C27" s="4"/>
      <x:c r="D27" s="17"/>
      <x:c r="E27" s="17"/>
      <x:c r="F27" s="17"/>
      <x:c r="G27" s="17"/>
      <x:c r="H27" s="17"/>
      <x:c r="I27" s="17"/>
      <x:c r="J27" s="18"/>
    </x:row>
    <x:row r="28" spans="1:10" ht="20" customHeight="1">
      <x:c r="A28" s="8" t="s">
        <x:v>290</x:v>
      </x:c>
      <x:c r="B28" s="44" t="s">
        <x:v>291</x:v>
      </x:c>
      <x:c r="C28" s="44" t="s">
        <x:v>292</x:v>
      </x:c>
      <x:c r="D28" s="28"/>
      <x:c r="E28" s="28"/>
      <x:c r="F28" s="28"/>
      <x:c r="G28" s="28"/>
      <x:c r="H28" s="28"/>
      <x:c r="I28" s="28"/>
      <x:c r="J28" s="29"/>
    </x:row>
    <x:row r="29" spans="1:10" ht="20" customHeight="1">
      <x:c r="A29" s="45" t="s">
        <x:v>293</x:v>
      </x:c>
      <x:c r="B29" s="46">
        <x:f>IF('_数据接口'!B11=0,0,'_数据接口'!B22/'_数据接口'!B11)</x:f>
        <x:v>0.08888888888888889</x:v>
      </x:c>
      <x:c r="C29" s="2" t="s">
        <x:v>294</x:v>
      </x:c>
      <x:c r="D29" s="24"/>
      <x:c r="E29" s="24"/>
      <x:c r="F29" s="24"/>
      <x:c r="G29" s="24"/>
      <x:c r="H29" s="24"/>
      <x:c r="I29" s="24"/>
      <x:c r="J29" s="31"/>
    </x:row>
    <x:row r="30" spans="1:10" ht="20" customHeight="1">
      <x:c r="A30" s="47" t="s">
        <x:v>295</x:v>
      </x:c>
      <x:c r="B30" s="48">
        <x:f>'_数据接口'!B27</x:f>
        <x:v>17</x:v>
      </x:c>
      <x:c r="C30" s="33" t="s">
        <x:v>296</x:v>
      </x:c>
      <x:c r="D30" s="34"/>
      <x:c r="E30" s="34"/>
      <x:c r="F30" s="34"/>
      <x:c r="G30" s="34"/>
      <x:c r="H30" s="34"/>
      <x:c r="I30" s="34"/>
      <x:c r="J30" s="35"/>
    </x:row>
    <x:row r="31" spans="1:10" ht="20" customHeight="1">
      <x:c r="A31" s="2" t="s">
        <x:v>297</x:v>
      </x:c>
      <x:c r="B31" s="49">
        <x:f>'_数据接口'!B33+'_数据接口'!B34</x:f>
        <x:v>9</x:v>
      </x:c>
      <x:c r="C31" s="2" t="s">
        <x:v>298</x:v>
      </x:c>
      <x:c r="D31" s="24"/>
      <x:c r="E31" s="24"/>
      <x:c r="F31" s="24"/>
      <x:c r="G31" s="24"/>
      <x:c r="H31" s="24"/>
      <x:c r="I31" s="24"/>
      <x:c r="J31" s="24"/>
    </x:row>
    <x:row r="32" spans="1:10" ht="20" customHeight="1">
      <x:c r="A32" s="20" t="s">
        <x:v>69</x:v>
      </x:c>
      <x:c r="B32" s="49">
        <x:f>'_数据接口'!B29</x:f>
        <x:v>17</x:v>
      </x:c>
      <x:c r="C32" s="2" t="s">
        <x:v>105</x:v>
      </x:c>
      <x:c r="D32" s="24"/>
      <x:c r="E32" s="24"/>
      <x:c r="F32" s="24"/>
      <x:c r="G32" s="24"/>
      <x:c r="H32" s="24"/>
      <x:c r="I32" s="24"/>
      <x:c r="J32" s="24"/>
    </x:row>
    <x:row r="33" spans="1:10" ht="20" customHeight="1">
      <x:c r="A33" s="20" t="s">
        <x:v>109</x:v>
      </x:c>
      <x:c r="B33" s="50">
        <x:f>'_数据接口'!B14</x:f>
        <x:v>4</x:v>
      </x:c>
      <x:c r="C33" s="20" t="s">
        <x:v>299</x:v>
      </x:c>
      <x:c r="D33" s="24"/>
      <x:c r="E33" s="24"/>
      <x:c r="F33" s="24"/>
      <x:c r="G33" s="24"/>
      <x:c r="H33" s="24"/>
      <x:c r="I33" s="24"/>
      <x:c r="J33" s="24"/>
    </x:row>
    <x:row r="34" spans="1:10" ht="20" customHeight="1">
      <x:c r="A34" s="7" t="s">
        <x:v>300</x:v>
      </x:c>
      <x:c r="B34" s="51">
        <x:f>'_数据接口'!B27</x:f>
        <x:v>17</x:v>
      </x:c>
      <x:c r="C34" s="7" t="s">
        <x:v>301</x:v>
      </x:c>
      <x:c r="D34" s="24"/>
      <x:c r="E34" s="24"/>
      <x:c r="F34" s="24"/>
      <x:c r="G34" s="24"/>
      <x:c r="H34" s="24"/>
      <x:c r="I34" s="24"/>
      <x:c r="J34" s="24"/>
    </x:row>
    <x:row r="35" spans="1:10" ht="20" customHeight="1">
      <x:c r="A35" s="7" t="str">
        <x:v>迭代承诺完成率</x:v>
      </x:c>
      <x:c r="B35" s="67">
        <x:f>'_数据接口'!B44</x:f>
        <x:v>0.25</x:v>
      </x:c>
      <x:c r="C35" s="7" t="str">
        <x:v>周承诺兑现情况</x:v>
      </x:c>
      <x:c r="D35" s="24"/>
      <x:c r="E35" s="24"/>
      <x:c r="F35" s="24"/>
      <x:c r="G35" s="24"/>
      <x:c r="H35" s="24"/>
      <x:c r="I35" s="24"/>
      <x:c r="J35" s="24"/>
    </x:row>
    <x:row r="36" spans="1:10" ht="20" customHeight="1">
      <x:c r="A36" s="7" t="str">
        <x:v>迭代负载率</x:v>
      </x:c>
      <x:c r="B36" s="67">
        <x:f>'_数据接口'!B45</x:f>
        <x:v>1.3333</x:v>
      </x:c>
      <x:c r="C36" s="7" t="str">
        <x:v>超100%为排产超负荷</x:v>
      </x:c>
      <x:c r="D36" s="24"/>
      <x:c r="E36" s="24"/>
      <x:c r="F36" s="24"/>
      <x:c r="G36" s="24"/>
      <x:c r="H36" s="24"/>
      <x:c r="I36" s="24"/>
      <x:c r="J36" s="24"/>
    </x:row>
    <x:row r="37" spans="1:10" ht="20" customHeight="1">
      <x:c r="A37" s="7" t="str">
        <x:v>预测超基线任务</x:v>
      </x:c>
      <x:c r="B37" s="7">
        <x:f>'_数据接口'!B46</x:f>
        <x:v>0</x:v>
      </x:c>
      <x:c r="C37" s="7" t="str">
        <x:v>预测完成晚于基线的任务数</x:v>
      </x:c>
      <x:c r="D37" s="24"/>
      <x:c r="E37" s="24"/>
      <x:c r="F37" s="24"/>
      <x:c r="G37" s="24"/>
      <x:c r="H37" s="24"/>
      <x:c r="I37" s="24"/>
      <x:c r="J37" s="24"/>
    </x:row>
    <x:row r="38" spans="1:10" ht="20" customHeight="1">
      <x:c r="A38" s="7"/>
      <x:c r="B38" s="7"/>
      <x:c r="C38" s="7"/>
      <x:c r="D38" s="24"/>
      <x:c r="E38" s="24"/>
      <x:c r="F38" s="24"/>
      <x:c r="G38" s="24"/>
      <x:c r="H38" s="24"/>
      <x:c r="I38" s="24"/>
      <x:c r="J38" s="24"/>
    </x:row>
    <x:row r="39" spans="1:10" ht="20" customHeight="1">
      <x:c r="A39" s="7"/>
      <x:c r="B39" s="7"/>
      <x:c r="C39" s="7"/>
      <x:c r="D39" s="24"/>
      <x:c r="E39" s="24"/>
      <x:c r="F39" s="24"/>
      <x:c r="G39" s="24"/>
      <x:c r="H39" s="24"/>
      <x:c r="I39" s="24"/>
      <x:c r="J39" s="24"/>
    </x:row>
    <x:row r="40" spans="1:10" ht="20" customHeight="1">
      <x:c r="A40" s="2"/>
      <x:c r="B40" s="2"/>
      <x:c r="C40" s="2"/>
      <x:c r="D40" s="24"/>
      <x:c r="E40" s="24"/>
      <x:c r="F40" s="24"/>
      <x:c r="G40" s="24"/>
      <x:c r="H40" s="24"/>
      <x:c r="I40" s="24"/>
      <x:c r="J40" s="24"/>
    </x:row>
    <x:row r="41" spans="1:10" ht="20" customHeight="1">
      <x:c r="A41" s="2"/>
      <x:c r="B41" s="2"/>
      <x:c r="C41" s="2"/>
      <x:c r="D41" s="24"/>
      <x:c r="E41" s="24"/>
      <x:c r="F41" s="24"/>
      <x:c r="G41" s="24"/>
      <x:c r="H41" s="24"/>
      <x:c r="I41" s="24"/>
      <x:c r="J41" s="24"/>
    </x:row>
    <x:row r="42" spans="1:10" ht="20" customHeight="1">
      <x:c r="A42" s="2"/>
      <x:c r="B42" s="2"/>
      <x:c r="C42" s="2"/>
      <x:c r="D42" s="24"/>
      <x:c r="E42" s="24"/>
      <x:c r="F42" s="24"/>
      <x:c r="G42" s="24"/>
      <x:c r="H42" s="24"/>
      <x:c r="I42" s="24"/>
      <x:c r="J42" s="24"/>
    </x:row>
    <x:row r="43" spans="1:10" ht="20" customHeight="1">
      <x:c r="A43" s="2"/>
      <x:c r="B43" s="2"/>
      <x:c r="C43" s="2"/>
      <x:c r="D43" s="24"/>
      <x:c r="E43" s="24"/>
      <x:c r="F43" s="24"/>
      <x:c r="G43" s="24"/>
      <x:c r="H43" s="24"/>
      <x:c r="I43" s="24"/>
      <x:c r="J43" s="24"/>
    </x:row>
    <x:row r="44" spans="1:10" ht="20" customHeight="1">
      <x:c r="A44" s="2"/>
      <x:c r="B44" s="2"/>
      <x:c r="C44" s="2"/>
      <x:c r="D44" s="24"/>
      <x:c r="E44" s="24"/>
      <x:c r="F44" s="24"/>
      <x:c r="G44" s="24"/>
      <x:c r="H44" s="24"/>
      <x:c r="I44" s="24"/>
      <x:c r="J44" s="24"/>
    </x:row>
    <x:row r="45" spans="1:10" ht="20" customHeight="1">
      <x:c r="A45" s="2"/>
      <x:c r="B45" s="2"/>
      <x:c r="C45" s="2"/>
      <x:c r="D45" s="24"/>
      <x:c r="E45" s="24"/>
      <x:c r="F45" s="24"/>
      <x:c r="G45" s="24"/>
      <x:c r="H45" s="24"/>
      <x:c r="I45" s="24"/>
      <x:c r="J45" s="24"/>
    </x:row>
  </x:sheetData>
  <x:pageMargins left="0.7" right="0.7" top="0.75" bottom="0.75" header="0.3" footer="0.3"/>
  <x:headerFooter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F7F7F"/>
  </x:sheetPr>
  <x:dimension ref="A1:L104"/>
  <x:sheetViews>
    <x:sheetView showGridLines="0" workbookViewId="0">
      <x:pane ySplit="4" topLeftCell="A5" activePane="bottomLeft" state="frozen"/>
      <x:selection/>
      <x:selection pane="bottomLeft" activeCell="A1" sqref="A1"/>
    </x:sheetView>
  </x:sheetViews>
  <x:sheetFormatPr defaultColWidth="9" defaultRowHeight="16.8"/>
  <x:cols>
    <x:col min="1" max="1" width="18" customWidth="1"/>
    <x:col min="2" max="2" width="22" customWidth="1"/>
    <x:col min="3" max="3" width="18" customWidth="1"/>
    <x:col min="4" max="4" width="16" customWidth="1"/>
    <x:col min="5" max="5" width="28" customWidth="1"/>
    <x:col min="6" max="6" width="44" customWidth="1"/>
    <x:col min="7" max="7" width="12" customWidth="1"/>
    <x:col min="8" max="8" width="44" customWidth="1"/>
    <x:col min="9" max="9" width="28" customWidth="1"/>
    <x:col min="10" max="10" width="16" customWidth="1"/>
    <x:col min="11" max="11" width="14" customWidth="1"/>
    <x:col min="12" max="12" width="16" customWidth="1"/>
  </x:cols>
  <x:sheetData>
    <x:row r="1" spans="1:12" ht="20" customHeight="1">
      <x:c r="A1" s="3" t="s">
        <x:v>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5"/>
    </x:row>
    <x:row r="2" spans="1:12" ht="20" customHeight="1">
      <x:c r="A2" s="6" t="s">
        <x:v>302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5"/>
    </x:row>
    <x:row r="3" spans="1:12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spans="1:12" ht="20" customHeight="1">
      <x:c r="A4" s="8" t="s">
        <x:v>303</x:v>
      </x:c>
      <x:c r="B4" s="8" t="s">
        <x:v>304</x:v>
      </x:c>
      <x:c r="C4" s="8" t="s">
        <x:v>305</x:v>
      </x:c>
      <x:c r="D4" s="8" t="s">
        <x:v>138</x:v>
      </x:c>
      <x:c r="E4" s="8" t="s">
        <x:v>306</x:v>
      </x:c>
      <x:c r="F4" s="8" t="s">
        <x:v>307</x:v>
      </x:c>
      <x:c r="G4" s="8" t="s">
        <x:v>308</x:v>
      </x:c>
      <x:c r="H4" s="8" t="s">
        <x:v>309</x:v>
      </x:c>
      <x:c r="I4" s="8" t="s">
        <x:v>310</x:v>
      </x:c>
      <x:c r="J4" s="8" t="s">
        <x:v>311</x:v>
      </x:c>
      <x:c r="K4" s="8" t="s">
        <x:v>312</x:v>
      </x:c>
      <x:c r="L4" s="8" t="s">
        <x:v>313</x:v>
      </x:c>
    </x:row>
    <x:row r="5" spans="1:12" ht="48" customHeight="1">
      <x:c r="A5" s="9" t="s">
        <x:v>314</x:v>
      </x:c>
      <x:c r="B5" s="10">
        <x:v>46281</x:v>
      </x:c>
      <x:c r="C5" s="10" t="s">
        <x:v>315</x:v>
      </x:c>
      <x:c r="D5" s="10">
        <x:v>46281</x:v>
      </x:c>
      <x:c r="E5" s="9" t="s">
        <x:v>316</x:v>
      </x:c>
      <x:c r="F5" s="9" t="s">
        <x:v>317</x:v>
      </x:c>
      <x:c r="G5" s="9" t="s">
        <x:v>127</x:v>
      </x:c>
      <x:c r="H5" s="9" t="s">
        <x:v>318</x:v>
      </x:c>
      <x:c r="I5" s="9" t="s">
        <x:v>319</x:v>
      </x:c>
      <x:c r="J5" s="9" t="s">
        <x:v>88</x:v>
      </x:c>
      <x:c r="K5" s="9" t="s">
        <x:v>320</x:v>
      </x:c>
      <x:c r="L5" s="10"/>
    </x:row>
    <x:row r="6" spans="1:12" ht="20" customHeight="1">
      <x:c r="A6" s="7" t="str">
        <x:v>RUN-20260918-001</x:v>
      </x:c>
      <x:c r="B6" s="97">
        <x:v>46283.676400462966</x:v>
      </x:c>
      <x:c r="C6" s="7" t="str">
        <x:v>全量刷新与质检</x:v>
      </x:c>
      <x:c r="D6" s="96">
        <x:v>46283</x:v>
      </x:c>
      <x:c r="E6" s="7" t="str">
        <x:v>里程碑、总控、门禁、风险、决策、相关方、成本及模块完整性</x:v>
      </x:c>
      <x:c r="F6" s="7" t="str">
        <x:v>发现28项数据质量问题，其中0项阻断、28项需整改；28项任务已延期</x:v>
      </x:c>
      <x:c r="G6" s="7" t="str">
        <x:v>高</x:v>
      </x:c>
      <x:c r="H6" s="7" t="str">
        <x:v>优先处理阻断项，并由任务负责人补齐逾期任务的实际状态、日期和完成证据</x:v>
      </x:c>
      <x:c r="I6" s="7" t="str">
        <x:v>待项目经理确认</x:v>
      </x:c>
      <x:c r="J6" s="7" t="str">
        <x:v>项目经理</x:v>
      </x:c>
      <x:c r="K6" s="7"/>
      <x:c r="L6" s="12"/>
    </x:row>
    <x:row r="7" spans="1:12" ht="20" customHeight="1">
      <x:c r="A7" s="7" t="str">
        <x:v>RUN-20260918-002</x:v>
      </x:c>
      <x:c r="B7" s="97">
        <x:v>46283.69390046296</x:v>
      </x:c>
      <x:c r="C7" s="7" t="str">
        <x:v>全量刷新与质检</x:v>
      </x:c>
      <x:c r="D7" s="96">
        <x:v>46283</x:v>
      </x:c>
      <x:c r="E7" s="7" t="str">
        <x:v>里程碑、总控、门禁、风险、决策、相关方、成本及模块完整性</x:v>
      </x:c>
      <x:c r="F7" s="7" t="str">
        <x:v>发现28项数据质量问题，其中0项阻断、28项需整改；28项任务已延期</x:v>
      </x:c>
      <x:c r="G7" s="7" t="str">
        <x:v>高</x:v>
      </x:c>
      <x:c r="H7" s="7" t="str">
        <x:v>优先处理阻断项，并由任务负责人补齐逾期任务的实际状态、日期和完成证据</x:v>
      </x:c>
      <x:c r="I7" s="7" t="str">
        <x:v>待项目经理确认</x:v>
      </x:c>
      <x:c r="J7" s="7" t="str">
        <x:v>项目经理</x:v>
      </x:c>
      <x:c r="K7" s="7"/>
      <x:c r="L7" s="12"/>
    </x:row>
    <x:row r="8" spans="1:12" ht="20" customHeight="1">
      <x:c r="A8" s="7" t="str">
        <x:v>RUN-20260922-001</x:v>
      </x:c>
      <x:c r="B8" s="97">
        <x:v>46287.36141203704</x:v>
      </x:c>
      <x:c r="C8" s="7" t="str">
        <x:v>全量刷新与质检</x:v>
      </x:c>
      <x:c r="D8" s="96">
        <x:v>46287</x:v>
      </x:c>
      <x:c r="E8" s="7" t="str">
        <x:v>里程碑、总控、门禁、风险、决策、相关方及模块完整性</x:v>
      </x:c>
      <x:c r="F8" s="7" t="str">
        <x:v>发现31项数据质量问题，其中1项阻断、30项需整改；28项任务已延期</x:v>
      </x:c>
      <x:c r="G8" s="7" t="str">
        <x:v>高</x:v>
      </x:c>
      <x:c r="H8" s="7" t="str">
        <x:v>优先处理阻断项，并由任务负责人补齐逾期任务的实际状态、日期和完成证据</x:v>
      </x:c>
      <x:c r="I8" s="7" t="str">
        <x:v>待项目经理确认</x:v>
      </x:c>
      <x:c r="J8" s="7" t="str">
        <x:v>项目经理</x:v>
      </x:c>
      <x:c r="K8" s="7"/>
      <x:c r="L8" s="12"/>
    </x:row>
    <x:row r="9" spans="1:12" ht="20" customHeight="1">
      <x:c r="A9" s="7" t="str">
        <x:v>RUN-20260923-001</x:v>
      </x:c>
      <x:c r="B9" s="97">
        <x:v>46288.47188657407</x:v>
      </x:c>
      <x:c r="C9" s="7" t="str">
        <x:v>全量刷新与质检</x:v>
      </x:c>
      <x:c r="D9" s="96">
        <x:v>46288</x:v>
      </x:c>
      <x:c r="E9" s="7" t="str">
        <x:v>里程碑、总控、门禁、风险、决策、相关方及模块完整性</x:v>
      </x:c>
      <x:c r="F9" s="7" t="str">
        <x:v>发现21项数据质量问题，其中0项阻断、21项需整改；19项任务已延期</x:v>
      </x:c>
      <x:c r="G9" s="7" t="str">
        <x:v>高</x:v>
      </x:c>
      <x:c r="H9" s="7" t="str">
        <x:v>优先处理需整改事项，并由任务负责人补齐逾期任务的实际状态、日期和完成证据</x:v>
      </x:c>
      <x:c r="I9" s="7" t="str">
        <x:v>待项目经理确认</x:v>
      </x:c>
      <x:c r="J9" s="7" t="str">
        <x:v>项目经理</x:v>
      </x:c>
      <x:c r="K9" s="7"/>
      <x:c r="L9" s="12"/>
    </x:row>
    <x:row r="10" spans="1:12" ht="20" customHeight="1">
      <x:c r="A10" s="7" t="str">
        <x:v>RUN-20260923-002</x:v>
      </x:c>
      <x:c r="B10" s="97">
        <x:v>46288.482303240744</x:v>
      </x:c>
      <x:c r="C10" s="7" t="str">
        <x:v>全量刷新与质检</x:v>
      </x:c>
      <x:c r="D10" s="96">
        <x:v>46288</x:v>
      </x:c>
      <x:c r="E10" s="7" t="str">
        <x:v>里程碑、总控、门禁、风险、决策、相关方及模块完整性</x:v>
      </x:c>
      <x:c r="F10" s="7" t="str">
        <x:v>发现21项数据质量问题，其中0项阻断、21项需整改；19项任务已延期</x:v>
      </x:c>
      <x:c r="G10" s="7" t="str">
        <x:v>高</x:v>
      </x:c>
      <x:c r="H10" s="7" t="str">
        <x:v>优先处理需整改事项，并由任务负责人补齐逾期任务的实际状态、日期和完成证据</x:v>
      </x:c>
      <x:c r="I10" s="7" t="str">
        <x:v>待项目经理确认</x:v>
      </x:c>
      <x:c r="J10" s="7" t="str">
        <x:v>项目经理</x:v>
      </x:c>
      <x:c r="K10" s="7"/>
      <x:c r="L10" s="12"/>
    </x:row>
    <x:row r="11" spans="1:12" ht="20" customHeight="1">
      <x:c r="A11" s="7" t="str">
        <x:v>RUN-20260923-003</x:v>
      </x:c>
      <x:c r="B11" s="97">
        <x:v>46288.85549768519</x:v>
      </x:c>
      <x:c r="C11" s="7" t="str">
        <x:v>全量刷新与质检</x:v>
      </x:c>
      <x:c r="D11" s="96">
        <x:v>46288</x:v>
      </x:c>
      <x:c r="E11" s="7" t="str">
        <x:v>里程碑、总控、门禁、风险、决策、相关方及模块完整性</x:v>
      </x:c>
      <x:c r="F11" s="7" t="str">
        <x:v>发现21项数据质量问题，其中0项阻断、21项需整改；19项任务已延期</x:v>
      </x:c>
      <x:c r="G11" s="7" t="str">
        <x:v>高</x:v>
      </x:c>
      <x:c r="H11" s="7" t="str">
        <x:v>优先处理需整改事项，并由任务负责人补齐逾期任务的实际状态、日期和完成证据</x:v>
      </x:c>
      <x:c r="I11" s="7" t="str">
        <x:v>待项目经理确认</x:v>
      </x:c>
      <x:c r="J11" s="7" t="str">
        <x:v>项目经理</x:v>
      </x:c>
      <x:c r="K11" s="7"/>
      <x:c r="L11" s="12"/>
    </x:row>
    <x:row r="12" spans="1:12" ht="20" customHeight="1">
      <x:c r="A12" s="7" t="str">
        <x:v>RUN-20260923-004</x:v>
      </x:c>
      <x:c r="B12" s="97">
        <x:v>46288.857523148145</x:v>
      </x:c>
      <x:c r="C12" s="7" t="str">
        <x:v>全量刷新与质检</x:v>
      </x:c>
      <x:c r="D12" s="96">
        <x:v>46288</x:v>
      </x:c>
      <x:c r="E12" s="7" t="str">
        <x:v>里程碑、总控、门禁、风险、决策、相关方及模块完整性</x:v>
      </x:c>
      <x:c r="F12" s="7" t="str">
        <x:v>发现21项数据质量问题，其中0项阻断、21项需整改；19项任务已延期</x:v>
      </x:c>
      <x:c r="G12" s="7" t="str">
        <x:v>高</x:v>
      </x:c>
      <x:c r="H12" s="7" t="str">
        <x:v>优先处理需整改事项，并由任务负责人补齐逾期任务的实际状态、日期和完成证据</x:v>
      </x:c>
      <x:c r="I12" s="7" t="str">
        <x:v>待项目经理确认</x:v>
      </x:c>
      <x:c r="J12" s="7" t="str">
        <x:v>项目经理</x:v>
      </x:c>
      <x:c r="K12" s="7"/>
      <x:c r="L12" s="12"/>
    </x:row>
    <x:row r="13" spans="1:12" ht="20" customHeight="1">
      <x:c r="A13" s="7" t="str">
        <x:v>RUN-20260923-005</x:v>
      </x:c>
      <x:c r="B13" s="97">
        <x:v>46288.871041666665</x:v>
      </x:c>
      <x:c r="C13" s="7" t="str">
        <x:v>全量刷新与质检</x:v>
      </x:c>
      <x:c r="D13" s="96">
        <x:v>46288</x:v>
      </x:c>
      <x:c r="E13" s="7" t="str">
        <x:v>里程碑、总控、门禁、风险、决策、相关方及模块完整性</x:v>
      </x:c>
      <x:c r="F13" s="7" t="str">
        <x:v>发现21项数据质量问题，其中0项阻断、21项需整改；19项任务已延期</x:v>
      </x:c>
      <x:c r="G13" s="7" t="str">
        <x:v>高</x:v>
      </x:c>
      <x:c r="H13" s="7" t="str">
        <x:v>优先处理需整改事项，并由任务负责人补齐逾期任务的实际状态、日期和完成证据</x:v>
      </x:c>
      <x:c r="I13" s="7" t="str">
        <x:v>待项目经理确认</x:v>
      </x:c>
      <x:c r="J13" s="7" t="str">
        <x:v>项目经理</x:v>
      </x:c>
      <x:c r="K13" s="7"/>
      <x:c r="L13" s="12"/>
    </x:row>
    <x:row r="14" spans="1:12" ht="20" customHeight="1">
      <x:c r="A14" s="7" t="str">
        <x:v>RUN-20260924-001</x:v>
      </x:c>
      <x:c r="B14" s="97">
        <x:v>46289.45585648148</x:v>
      </x:c>
      <x:c r="C14" s="7" t="str">
        <x:v>全量刷新与质检</x:v>
      </x:c>
      <x:c r="D14" s="96">
        <x:v>46289</x:v>
      </x:c>
      <x:c r="E14" s="7" t="str">
        <x:v>里程碑、总控、门禁、风险、决策、相关方及模块完整性</x:v>
      </x:c>
      <x:c r="F14" s="7" t="str">
        <x:v>发现25项数据质量问题，其中4项阻断、21项需整改；19项任务已延期</x:v>
      </x:c>
      <x:c r="G14" s="7" t="str">
        <x:v>高</x:v>
      </x:c>
      <x:c r="H14" s="7" t="str">
        <x:v>优先处理阻断项，并由任务负责人补齐逾期任务的实际状态、日期和完成证据</x:v>
      </x:c>
      <x:c r="I14" s="7" t="str">
        <x:v>待项目经理确认</x:v>
      </x:c>
      <x:c r="J14" s="7" t="str">
        <x:v>项目经理</x:v>
      </x:c>
      <x:c r="K14" s="7"/>
      <x:c r="L14" s="12"/>
    </x:row>
    <x:row r="15" spans="1:12" ht="20" customHeight="1">
      <x:c r="A15" s="7" t="str">
        <x:v>RUN-20261016-001</x:v>
      </x:c>
      <x:c r="B15" s="97">
        <x:v>46311.63607638889</x:v>
      </x:c>
      <x:c r="C15" s="7" t="str">
        <x:v>全量刷新与质检</x:v>
      </x:c>
      <x:c r="D15" s="96">
        <x:v>46311</x:v>
      </x:c>
      <x:c r="E15" s="7" t="str">
        <x:v>里程碑、总控、门禁、风险、决策、相关方及模块完整性</x:v>
      </x:c>
      <x:c r="F15" s="7" t="str">
        <x:v>发现30项数据质量问题，其中5项阻断、25项需整改；17项任务已延期</x:v>
      </x:c>
      <x:c r="G15" s="7" t="str">
        <x:v>高</x:v>
      </x:c>
      <x:c r="H15" s="7" t="str">
        <x:v>优先处理阻断项，并由任务负责人补齐逾期任务的实际状态、日期和完成证据</x:v>
      </x:c>
      <x:c r="I15" s="7" t="str">
        <x:v>待项目经理确认</x:v>
      </x:c>
      <x:c r="J15" s="7" t="str">
        <x:v>项目经理</x:v>
      </x:c>
      <x:c r="K15" s="7"/>
      <x:c r="L15" s="12"/>
    </x:row>
    <x:row r="16" spans="1:12" ht="20" customHeight="1">
      <x:c r="A16" s="7"/>
      <x:c r="B16" s="11"/>
      <x:c r="C16" s="7"/>
      <x:c r="D16" s="12"/>
      <x:c r="E16" s="7"/>
      <x:c r="F16" s="7"/>
      <x:c r="G16" s="7"/>
      <x:c r="H16" s="7"/>
      <x:c r="I16" s="7"/>
      <x:c r="J16" s="7"/>
      <x:c r="K16" s="7"/>
      <x:c r="L16" s="12"/>
    </x:row>
    <x:row r="17" spans="1:12" ht="20" customHeight="1">
      <x:c r="A17" s="7"/>
      <x:c r="B17" s="11"/>
      <x:c r="C17" s="7"/>
      <x:c r="D17" s="12"/>
      <x:c r="E17" s="7"/>
      <x:c r="F17" s="7"/>
      <x:c r="G17" s="7"/>
      <x:c r="H17" s="7"/>
      <x:c r="I17" s="7"/>
      <x:c r="J17" s="7"/>
      <x:c r="K17" s="7"/>
      <x:c r="L17" s="12"/>
    </x:row>
    <x:row r="18" spans="1:12" ht="20" customHeight="1">
      <x:c r="A18" s="7"/>
      <x:c r="B18" s="11"/>
      <x:c r="C18" s="7"/>
      <x:c r="D18" s="12"/>
      <x:c r="E18" s="7"/>
      <x:c r="F18" s="7"/>
      <x:c r="G18" s="7"/>
      <x:c r="H18" s="7"/>
      <x:c r="I18" s="7"/>
      <x:c r="J18" s="7"/>
      <x:c r="K18" s="7"/>
      <x:c r="L18" s="12"/>
    </x:row>
    <x:row r="19" spans="1:12" ht="20" customHeight="1">
      <x:c r="A19" s="7"/>
      <x:c r="B19" s="11"/>
      <x:c r="C19" s="7"/>
      <x:c r="D19" s="12"/>
      <x:c r="E19" s="7"/>
      <x:c r="F19" s="7"/>
      <x:c r="G19" s="7"/>
      <x:c r="H19" s="7"/>
      <x:c r="I19" s="7"/>
      <x:c r="J19" s="7"/>
      <x:c r="K19" s="7"/>
      <x:c r="L19" s="12"/>
    </x:row>
    <x:row r="20" spans="1:12" ht="20" customHeight="1">
      <x:c r="A20" s="7"/>
      <x:c r="B20" s="11"/>
      <x:c r="C20" s="7"/>
      <x:c r="D20" s="12"/>
      <x:c r="E20" s="7"/>
      <x:c r="F20" s="7"/>
      <x:c r="G20" s="7"/>
      <x:c r="H20" s="7"/>
      <x:c r="I20" s="7"/>
      <x:c r="J20" s="7"/>
      <x:c r="K20" s="7"/>
      <x:c r="L20" s="12"/>
    </x:row>
    <x:row r="21" spans="1:12" ht="20" customHeight="1">
      <x:c r="A21" s="7"/>
      <x:c r="B21" s="11"/>
      <x:c r="C21" s="7"/>
      <x:c r="D21" s="12"/>
      <x:c r="E21" s="7"/>
      <x:c r="F21" s="7"/>
      <x:c r="G21" s="7"/>
      <x:c r="H21" s="7"/>
      <x:c r="I21" s="7"/>
      <x:c r="J21" s="7"/>
      <x:c r="K21" s="7"/>
      <x:c r="L21" s="12"/>
    </x:row>
    <x:row r="22" spans="1:12" ht="20" customHeight="1">
      <x:c r="A22" s="7"/>
      <x:c r="B22" s="11"/>
      <x:c r="C22" s="7"/>
      <x:c r="D22" s="12"/>
      <x:c r="E22" s="7"/>
      <x:c r="F22" s="7"/>
      <x:c r="G22" s="7"/>
      <x:c r="H22" s="7"/>
      <x:c r="I22" s="7"/>
      <x:c r="J22" s="7"/>
      <x:c r="K22" s="7"/>
      <x:c r="L22" s="12"/>
    </x:row>
    <x:row r="23" spans="1:12" ht="20" customHeight="1">
      <x:c r="A23" s="7"/>
      <x:c r="B23" s="11"/>
      <x:c r="C23" s="7"/>
      <x:c r="D23" s="12"/>
      <x:c r="E23" s="7"/>
      <x:c r="F23" s="7"/>
      <x:c r="G23" s="7"/>
      <x:c r="H23" s="7"/>
      <x:c r="I23" s="7"/>
      <x:c r="J23" s="7"/>
      <x:c r="K23" s="7"/>
      <x:c r="L23" s="12"/>
    </x:row>
    <x:row r="24" spans="1:12" ht="20" customHeight="1">
      <x:c r="A24" s="7"/>
      <x:c r="B24" s="11"/>
      <x:c r="C24" s="7"/>
      <x:c r="D24" s="12"/>
      <x:c r="E24" s="7"/>
      <x:c r="F24" s="7"/>
      <x:c r="G24" s="7"/>
      <x:c r="H24" s="7"/>
      <x:c r="I24" s="7"/>
      <x:c r="J24" s="7"/>
      <x:c r="K24" s="7"/>
      <x:c r="L24" s="12"/>
    </x:row>
    <x:row r="25" spans="1:12" ht="20" customHeight="1">
      <x:c r="A25" s="7"/>
      <x:c r="B25" s="11"/>
      <x:c r="C25" s="7"/>
      <x:c r="D25" s="12"/>
      <x:c r="E25" s="7"/>
      <x:c r="F25" s="7"/>
      <x:c r="G25" s="7"/>
      <x:c r="H25" s="7"/>
      <x:c r="I25" s="7"/>
      <x:c r="J25" s="7"/>
      <x:c r="K25" s="7"/>
      <x:c r="L25" s="12"/>
    </x:row>
    <x:row r="26" spans="1:12" ht="20" customHeight="1">
      <x:c r="A26" s="7"/>
      <x:c r="B26" s="11"/>
      <x:c r="C26" s="7"/>
      <x:c r="D26" s="12"/>
      <x:c r="E26" s="7"/>
      <x:c r="F26" s="7"/>
      <x:c r="G26" s="7"/>
      <x:c r="H26" s="7"/>
      <x:c r="I26" s="7"/>
      <x:c r="J26" s="7"/>
      <x:c r="K26" s="7"/>
      <x:c r="L26" s="12"/>
    </x:row>
    <x:row r="27" spans="1:12" ht="20" customHeight="1">
      <x:c r="A27" s="7"/>
      <x:c r="B27" s="11"/>
      <x:c r="C27" s="7"/>
      <x:c r="D27" s="12"/>
      <x:c r="E27" s="7"/>
      <x:c r="F27" s="7"/>
      <x:c r="G27" s="7"/>
      <x:c r="H27" s="7"/>
      <x:c r="I27" s="7"/>
      <x:c r="J27" s="7"/>
      <x:c r="K27" s="7"/>
      <x:c r="L27" s="12"/>
    </x:row>
    <x:row r="28" spans="1:12" ht="20" customHeight="1">
      <x:c r="A28" s="7"/>
      <x:c r="B28" s="11"/>
      <x:c r="C28" s="7"/>
      <x:c r="D28" s="12"/>
      <x:c r="E28" s="7"/>
      <x:c r="F28" s="7"/>
      <x:c r="G28" s="7"/>
      <x:c r="H28" s="7"/>
      <x:c r="I28" s="7"/>
      <x:c r="J28" s="7"/>
      <x:c r="K28" s="7"/>
      <x:c r="L28" s="12"/>
    </x:row>
    <x:row r="29" spans="1:12" ht="20" customHeight="1">
      <x:c r="A29" s="7"/>
      <x:c r="B29" s="11"/>
      <x:c r="C29" s="7"/>
      <x:c r="D29" s="12"/>
      <x:c r="E29" s="7"/>
      <x:c r="F29" s="7"/>
      <x:c r="G29" s="7"/>
      <x:c r="H29" s="7"/>
      <x:c r="I29" s="7"/>
      <x:c r="J29" s="7"/>
      <x:c r="K29" s="7"/>
      <x:c r="L29" s="12"/>
    </x:row>
    <x:row r="30" spans="1:12" ht="20" customHeight="1">
      <x:c r="A30" s="7"/>
      <x:c r="B30" s="11"/>
      <x:c r="C30" s="7"/>
      <x:c r="D30" s="12"/>
      <x:c r="E30" s="7"/>
      <x:c r="F30" s="7"/>
      <x:c r="G30" s="7"/>
      <x:c r="H30" s="7"/>
      <x:c r="I30" s="7"/>
      <x:c r="J30" s="7"/>
      <x:c r="K30" s="7"/>
      <x:c r="L30" s="12"/>
    </x:row>
    <x:row r="31" spans="1:12" ht="20" customHeight="1">
      <x:c r="A31" s="7"/>
      <x:c r="B31" s="11"/>
      <x:c r="C31" s="7"/>
      <x:c r="D31" s="12"/>
      <x:c r="E31" s="7"/>
      <x:c r="F31" s="7"/>
      <x:c r="G31" s="7"/>
      <x:c r="H31" s="7"/>
      <x:c r="I31" s="7"/>
      <x:c r="J31" s="7"/>
      <x:c r="K31" s="7"/>
      <x:c r="L31" s="12"/>
    </x:row>
    <x:row r="32" spans="1:12" ht="20" customHeight="1">
      <x:c r="A32" s="7"/>
      <x:c r="B32" s="11"/>
      <x:c r="C32" s="7"/>
      <x:c r="D32" s="12"/>
      <x:c r="E32" s="7"/>
      <x:c r="F32" s="7"/>
      <x:c r="G32" s="7"/>
      <x:c r="H32" s="7"/>
      <x:c r="I32" s="7"/>
      <x:c r="J32" s="7"/>
      <x:c r="K32" s="7"/>
      <x:c r="L32" s="12"/>
    </x:row>
    <x:row r="33" spans="1:12" ht="20" customHeight="1">
      <x:c r="A33" s="7"/>
      <x:c r="B33" s="11"/>
      <x:c r="C33" s="7"/>
      <x:c r="D33" s="12"/>
      <x:c r="E33" s="7"/>
      <x:c r="F33" s="7"/>
      <x:c r="G33" s="7"/>
      <x:c r="H33" s="7"/>
      <x:c r="I33" s="7"/>
      <x:c r="J33" s="7"/>
      <x:c r="K33" s="7"/>
      <x:c r="L33" s="12"/>
    </x:row>
    <x:row r="34" spans="1:12" ht="20" customHeight="1">
      <x:c r="A34" s="7"/>
      <x:c r="B34" s="11"/>
      <x:c r="C34" s="7"/>
      <x:c r="D34" s="12"/>
      <x:c r="E34" s="7"/>
      <x:c r="F34" s="7"/>
      <x:c r="G34" s="7"/>
      <x:c r="H34" s="7"/>
      <x:c r="I34" s="7"/>
      <x:c r="J34" s="7"/>
      <x:c r="K34" s="7"/>
      <x:c r="L34" s="12"/>
    </x:row>
    <x:row r="35" spans="1:12" ht="20" customHeight="1">
      <x:c r="A35" s="7"/>
      <x:c r="B35" s="11"/>
      <x:c r="C35" s="7"/>
      <x:c r="D35" s="12"/>
      <x:c r="E35" s="7"/>
      <x:c r="F35" s="7"/>
      <x:c r="G35" s="7"/>
      <x:c r="H35" s="7"/>
      <x:c r="I35" s="7"/>
      <x:c r="J35" s="7"/>
      <x:c r="K35" s="7"/>
      <x:c r="L35" s="12"/>
    </x:row>
    <x:row r="36" spans="1:12" ht="20" customHeight="1">
      <x:c r="A36" s="7"/>
      <x:c r="B36" s="11"/>
      <x:c r="C36" s="7"/>
      <x:c r="D36" s="12"/>
      <x:c r="E36" s="7"/>
      <x:c r="F36" s="7"/>
      <x:c r="G36" s="7"/>
      <x:c r="H36" s="7"/>
      <x:c r="I36" s="7"/>
      <x:c r="J36" s="7"/>
      <x:c r="K36" s="7"/>
      <x:c r="L36" s="12"/>
    </x:row>
    <x:row r="37" spans="1:12" ht="20" customHeight="1">
      <x:c r="A37" s="7"/>
      <x:c r="B37" s="11"/>
      <x:c r="C37" s="7"/>
      <x:c r="D37" s="12"/>
      <x:c r="E37" s="7"/>
      <x:c r="F37" s="7"/>
      <x:c r="G37" s="7"/>
      <x:c r="H37" s="7"/>
      <x:c r="I37" s="7"/>
      <x:c r="J37" s="7"/>
      <x:c r="K37" s="7"/>
      <x:c r="L37" s="12"/>
    </x:row>
    <x:row r="38" spans="1:12" ht="20" customHeight="1">
      <x:c r="A38" s="7"/>
      <x:c r="B38" s="11"/>
      <x:c r="C38" s="7"/>
      <x:c r="D38" s="12"/>
      <x:c r="E38" s="7"/>
      <x:c r="F38" s="7"/>
      <x:c r="G38" s="7"/>
      <x:c r="H38" s="7"/>
      <x:c r="I38" s="7"/>
      <x:c r="J38" s="7"/>
      <x:c r="K38" s="7"/>
      <x:c r="L38" s="12"/>
    </x:row>
    <x:row r="39" spans="1:12" ht="20" customHeight="1">
      <x:c r="A39" s="7"/>
      <x:c r="B39" s="11"/>
      <x:c r="C39" s="7"/>
      <x:c r="D39" s="12"/>
      <x:c r="E39" s="7"/>
      <x:c r="F39" s="7"/>
      <x:c r="G39" s="7"/>
      <x:c r="H39" s="7"/>
      <x:c r="I39" s="7"/>
      <x:c r="J39" s="7"/>
      <x:c r="K39" s="7"/>
      <x:c r="L39" s="12"/>
    </x:row>
    <x:row r="40" spans="1:12" ht="20" customHeight="1">
      <x:c r="A40" s="7"/>
      <x:c r="B40" s="11"/>
      <x:c r="C40" s="7"/>
      <x:c r="D40" s="12"/>
      <x:c r="E40" s="7"/>
      <x:c r="F40" s="7"/>
      <x:c r="G40" s="7"/>
      <x:c r="H40" s="7"/>
      <x:c r="I40" s="7"/>
      <x:c r="J40" s="7"/>
      <x:c r="K40" s="7"/>
      <x:c r="L40" s="12"/>
    </x:row>
    <x:row r="41" spans="1:12" ht="20" customHeight="1">
      <x:c r="A41" s="7"/>
      <x:c r="B41" s="11"/>
      <x:c r="C41" s="7"/>
      <x:c r="D41" s="12"/>
      <x:c r="E41" s="7"/>
      <x:c r="F41" s="7"/>
      <x:c r="G41" s="7"/>
      <x:c r="H41" s="7"/>
      <x:c r="I41" s="7"/>
      <x:c r="J41" s="7"/>
      <x:c r="K41" s="7"/>
      <x:c r="L41" s="12"/>
    </x:row>
    <x:row r="42" spans="1:12" ht="20" customHeight="1">
      <x:c r="A42" s="7"/>
      <x:c r="B42" s="11"/>
      <x:c r="C42" s="7"/>
      <x:c r="D42" s="12"/>
      <x:c r="E42" s="7"/>
      <x:c r="F42" s="7"/>
      <x:c r="G42" s="7"/>
      <x:c r="H42" s="7"/>
      <x:c r="I42" s="7"/>
      <x:c r="J42" s="7"/>
      <x:c r="K42" s="7"/>
      <x:c r="L42" s="12"/>
    </x:row>
    <x:row r="43" spans="1:12" ht="20" customHeight="1">
      <x:c r="A43" s="7"/>
      <x:c r="B43" s="11"/>
      <x:c r="C43" s="7"/>
      <x:c r="D43" s="12"/>
      <x:c r="E43" s="7"/>
      <x:c r="F43" s="7"/>
      <x:c r="G43" s="7"/>
      <x:c r="H43" s="7"/>
      <x:c r="I43" s="7"/>
      <x:c r="J43" s="7"/>
      <x:c r="K43" s="7"/>
      <x:c r="L43" s="12"/>
    </x:row>
    <x:row r="44" spans="1:12" ht="20" customHeight="1">
      <x:c r="A44" s="7"/>
      <x:c r="B44" s="11"/>
      <x:c r="C44" s="7"/>
      <x:c r="D44" s="12"/>
      <x:c r="E44" s="7"/>
      <x:c r="F44" s="7"/>
      <x:c r="G44" s="7"/>
      <x:c r="H44" s="7"/>
      <x:c r="I44" s="7"/>
      <x:c r="J44" s="7"/>
      <x:c r="K44" s="7"/>
      <x:c r="L44" s="12"/>
    </x:row>
    <x:row r="45" spans="1:12" ht="20" customHeight="1">
      <x:c r="A45" s="7"/>
      <x:c r="B45" s="11"/>
      <x:c r="C45" s="7"/>
      <x:c r="D45" s="12"/>
      <x:c r="E45" s="7"/>
      <x:c r="F45" s="7"/>
      <x:c r="G45" s="7"/>
      <x:c r="H45" s="7"/>
      <x:c r="I45" s="7"/>
      <x:c r="J45" s="7"/>
      <x:c r="K45" s="7"/>
      <x:c r="L45" s="12"/>
    </x:row>
    <x:row r="46" spans="1:12" ht="20" customHeight="1">
      <x:c r="A46" s="7"/>
      <x:c r="B46" s="11"/>
      <x:c r="C46" s="7"/>
      <x:c r="D46" s="12"/>
      <x:c r="E46" s="7"/>
      <x:c r="F46" s="7"/>
      <x:c r="G46" s="7"/>
      <x:c r="H46" s="7"/>
      <x:c r="I46" s="7"/>
      <x:c r="J46" s="7"/>
      <x:c r="K46" s="7"/>
      <x:c r="L46" s="12"/>
    </x:row>
    <x:row r="47" spans="1:12" ht="20" customHeight="1">
      <x:c r="A47" s="7"/>
      <x:c r="B47" s="11"/>
      <x:c r="C47" s="7"/>
      <x:c r="D47" s="12"/>
      <x:c r="E47" s="7"/>
      <x:c r="F47" s="7"/>
      <x:c r="G47" s="7"/>
      <x:c r="H47" s="7"/>
      <x:c r="I47" s="7"/>
      <x:c r="J47" s="7"/>
      <x:c r="K47" s="7"/>
      <x:c r="L47" s="12"/>
    </x:row>
    <x:row r="48" spans="1:12" ht="20" customHeight="1">
      <x:c r="A48" s="7"/>
      <x:c r="B48" s="11"/>
      <x:c r="C48" s="7"/>
      <x:c r="D48" s="12"/>
      <x:c r="E48" s="7"/>
      <x:c r="F48" s="7"/>
      <x:c r="G48" s="7"/>
      <x:c r="H48" s="7"/>
      <x:c r="I48" s="7"/>
      <x:c r="J48" s="7"/>
      <x:c r="K48" s="7"/>
      <x:c r="L48" s="12"/>
    </x:row>
    <x:row r="49" spans="1:12" ht="20" customHeight="1">
      <x:c r="A49" s="7"/>
      <x:c r="B49" s="11"/>
      <x:c r="C49" s="7"/>
      <x:c r="D49" s="12"/>
      <x:c r="E49" s="7"/>
      <x:c r="F49" s="7"/>
      <x:c r="G49" s="7"/>
      <x:c r="H49" s="7"/>
      <x:c r="I49" s="7"/>
      <x:c r="J49" s="7"/>
      <x:c r="K49" s="7"/>
      <x:c r="L49" s="12"/>
    </x:row>
    <x:row r="50" spans="1:12" ht="20" customHeight="1">
      <x:c r="A50" s="7"/>
      <x:c r="B50" s="11"/>
      <x:c r="C50" s="7"/>
      <x:c r="D50" s="12"/>
      <x:c r="E50" s="7"/>
      <x:c r="F50" s="7"/>
      <x:c r="G50" s="7"/>
      <x:c r="H50" s="7"/>
      <x:c r="I50" s="7"/>
      <x:c r="J50" s="7"/>
      <x:c r="K50" s="7"/>
      <x:c r="L50" s="12"/>
    </x:row>
    <x:row r="51" spans="1:12" ht="20" customHeight="1">
      <x:c r="A51" s="7"/>
      <x:c r="B51" s="11"/>
      <x:c r="C51" s="7"/>
      <x:c r="D51" s="12"/>
      <x:c r="E51" s="7"/>
      <x:c r="F51" s="7"/>
      <x:c r="G51" s="7"/>
      <x:c r="H51" s="7"/>
      <x:c r="I51" s="7"/>
      <x:c r="J51" s="7"/>
      <x:c r="K51" s="7"/>
      <x:c r="L51" s="12"/>
    </x:row>
    <x:row r="52" spans="1:12" ht="20" customHeight="1">
      <x:c r="A52" s="7"/>
      <x:c r="B52" s="11"/>
      <x:c r="C52" s="7"/>
      <x:c r="D52" s="12"/>
      <x:c r="E52" s="7"/>
      <x:c r="F52" s="7"/>
      <x:c r="G52" s="7"/>
      <x:c r="H52" s="7"/>
      <x:c r="I52" s="7"/>
      <x:c r="J52" s="7"/>
      <x:c r="K52" s="7"/>
      <x:c r="L52" s="12"/>
    </x:row>
    <x:row r="53" spans="1:12" ht="20" customHeight="1">
      <x:c r="A53" s="7"/>
      <x:c r="B53" s="11"/>
      <x:c r="C53" s="7"/>
      <x:c r="D53" s="12"/>
      <x:c r="E53" s="7"/>
      <x:c r="F53" s="7"/>
      <x:c r="G53" s="7"/>
      <x:c r="H53" s="7"/>
      <x:c r="I53" s="7"/>
      <x:c r="J53" s="7"/>
      <x:c r="K53" s="7"/>
      <x:c r="L53" s="12"/>
    </x:row>
    <x:row r="54" spans="1:12" ht="20" customHeight="1">
      <x:c r="A54" s="7"/>
      <x:c r="B54" s="11"/>
      <x:c r="C54" s="7"/>
      <x:c r="D54" s="12"/>
      <x:c r="E54" s="7"/>
      <x:c r="F54" s="7"/>
      <x:c r="G54" s="7"/>
      <x:c r="H54" s="7"/>
      <x:c r="I54" s="7"/>
      <x:c r="J54" s="7"/>
      <x:c r="K54" s="7"/>
      <x:c r="L54" s="12"/>
    </x:row>
    <x:row r="55" spans="1:12" ht="20" customHeight="1">
      <x:c r="A55" s="7"/>
      <x:c r="B55" s="11"/>
      <x:c r="C55" s="7"/>
      <x:c r="D55" s="12"/>
      <x:c r="E55" s="7"/>
      <x:c r="F55" s="7"/>
      <x:c r="G55" s="7"/>
      <x:c r="H55" s="7"/>
      <x:c r="I55" s="7"/>
      <x:c r="J55" s="7"/>
      <x:c r="K55" s="7"/>
      <x:c r="L55" s="12"/>
    </x:row>
    <x:row r="56" spans="1:12" ht="20" customHeight="1">
      <x:c r="A56" s="7"/>
      <x:c r="B56" s="11"/>
      <x:c r="C56" s="7"/>
      <x:c r="D56" s="12"/>
      <x:c r="E56" s="7"/>
      <x:c r="F56" s="7"/>
      <x:c r="G56" s="7"/>
      <x:c r="H56" s="7"/>
      <x:c r="I56" s="7"/>
      <x:c r="J56" s="7"/>
      <x:c r="K56" s="7"/>
      <x:c r="L56" s="12"/>
    </x:row>
    <x:row r="57" spans="1:12" ht="20" customHeight="1">
      <x:c r="A57" s="7"/>
      <x:c r="B57" s="11"/>
      <x:c r="C57" s="7"/>
      <x:c r="D57" s="12"/>
      <x:c r="E57" s="7"/>
      <x:c r="F57" s="7"/>
      <x:c r="G57" s="7"/>
      <x:c r="H57" s="7"/>
      <x:c r="I57" s="7"/>
      <x:c r="J57" s="7"/>
      <x:c r="K57" s="7"/>
      <x:c r="L57" s="12"/>
    </x:row>
    <x:row r="58" spans="1:12" ht="20" customHeight="1">
      <x:c r="A58" s="7"/>
      <x:c r="B58" s="11"/>
      <x:c r="C58" s="7"/>
      <x:c r="D58" s="12"/>
      <x:c r="E58" s="7"/>
      <x:c r="F58" s="7"/>
      <x:c r="G58" s="7"/>
      <x:c r="H58" s="7"/>
      <x:c r="I58" s="7"/>
      <x:c r="J58" s="7"/>
      <x:c r="K58" s="7"/>
      <x:c r="L58" s="12"/>
    </x:row>
    <x:row r="59" spans="1:12" ht="20" customHeight="1">
      <x:c r="A59" s="7"/>
      <x:c r="B59" s="11"/>
      <x:c r="C59" s="7"/>
      <x:c r="D59" s="12"/>
      <x:c r="E59" s="7"/>
      <x:c r="F59" s="7"/>
      <x:c r="G59" s="7"/>
      <x:c r="H59" s="7"/>
      <x:c r="I59" s="7"/>
      <x:c r="J59" s="7"/>
      <x:c r="K59" s="7"/>
      <x:c r="L59" s="12"/>
    </x:row>
    <x:row r="60" spans="1:12" ht="20" customHeight="1">
      <x:c r="A60" s="7"/>
      <x:c r="B60" s="11"/>
      <x:c r="C60" s="7"/>
      <x:c r="D60" s="12"/>
      <x:c r="E60" s="7"/>
      <x:c r="F60" s="7"/>
      <x:c r="G60" s="7"/>
      <x:c r="H60" s="7"/>
      <x:c r="I60" s="7"/>
      <x:c r="J60" s="7"/>
      <x:c r="K60" s="7"/>
      <x:c r="L60" s="12"/>
    </x:row>
    <x:row r="61" spans="1:12" ht="20" customHeight="1">
      <x:c r="A61" s="7"/>
      <x:c r="B61" s="11"/>
      <x:c r="C61" s="7"/>
      <x:c r="D61" s="12"/>
      <x:c r="E61" s="7"/>
      <x:c r="F61" s="7"/>
      <x:c r="G61" s="7"/>
      <x:c r="H61" s="7"/>
      <x:c r="I61" s="7"/>
      <x:c r="J61" s="7"/>
      <x:c r="K61" s="7"/>
      <x:c r="L61" s="12"/>
    </x:row>
    <x:row r="62" spans="1:12" ht="20" customHeight="1">
      <x:c r="A62" s="7"/>
      <x:c r="B62" s="11"/>
      <x:c r="C62" s="7"/>
      <x:c r="D62" s="12"/>
      <x:c r="E62" s="7"/>
      <x:c r="F62" s="7"/>
      <x:c r="G62" s="7"/>
      <x:c r="H62" s="7"/>
      <x:c r="I62" s="7"/>
      <x:c r="J62" s="7"/>
      <x:c r="K62" s="7"/>
      <x:c r="L62" s="12"/>
    </x:row>
    <x:row r="63" spans="1:12" ht="20" customHeight="1">
      <x:c r="A63" s="7"/>
      <x:c r="B63" s="11"/>
      <x:c r="C63" s="7"/>
      <x:c r="D63" s="12"/>
      <x:c r="E63" s="7"/>
      <x:c r="F63" s="7"/>
      <x:c r="G63" s="7"/>
      <x:c r="H63" s="7"/>
      <x:c r="I63" s="7"/>
      <x:c r="J63" s="7"/>
      <x:c r="K63" s="7"/>
      <x:c r="L63" s="12"/>
    </x:row>
    <x:row r="64" spans="1:12" ht="20" customHeight="1">
      <x:c r="A64" s="7"/>
      <x:c r="B64" s="11"/>
      <x:c r="C64" s="7"/>
      <x:c r="D64" s="12"/>
      <x:c r="E64" s="7"/>
      <x:c r="F64" s="7"/>
      <x:c r="G64" s="7"/>
      <x:c r="H64" s="7"/>
      <x:c r="I64" s="7"/>
      <x:c r="J64" s="7"/>
      <x:c r="K64" s="7"/>
      <x:c r="L64" s="12"/>
    </x:row>
    <x:row r="65" spans="1:12" ht="20" customHeight="1">
      <x:c r="A65" s="7"/>
      <x:c r="B65" s="11"/>
      <x:c r="C65" s="7"/>
      <x:c r="D65" s="12"/>
      <x:c r="E65" s="7"/>
      <x:c r="F65" s="7"/>
      <x:c r="G65" s="7"/>
      <x:c r="H65" s="7"/>
      <x:c r="I65" s="7"/>
      <x:c r="J65" s="7"/>
      <x:c r="K65" s="7"/>
      <x:c r="L65" s="12"/>
    </x:row>
    <x:row r="66" spans="1:12" ht="20" customHeight="1">
      <x:c r="A66" s="7"/>
      <x:c r="B66" s="11"/>
      <x:c r="C66" s="7"/>
      <x:c r="D66" s="12"/>
      <x:c r="E66" s="7"/>
      <x:c r="F66" s="7"/>
      <x:c r="G66" s="7"/>
      <x:c r="H66" s="7"/>
      <x:c r="I66" s="7"/>
      <x:c r="J66" s="7"/>
      <x:c r="K66" s="7"/>
      <x:c r="L66" s="12"/>
    </x:row>
    <x:row r="67" spans="1:12" ht="20" customHeight="1">
      <x:c r="A67" s="7"/>
      <x:c r="B67" s="11"/>
      <x:c r="C67" s="7"/>
      <x:c r="D67" s="12"/>
      <x:c r="E67" s="7"/>
      <x:c r="F67" s="7"/>
      <x:c r="G67" s="7"/>
      <x:c r="H67" s="7"/>
      <x:c r="I67" s="7"/>
      <x:c r="J67" s="7"/>
      <x:c r="K67" s="7"/>
      <x:c r="L67" s="12"/>
    </x:row>
    <x:row r="68" spans="1:12" ht="20" customHeight="1">
      <x:c r="A68" s="7"/>
      <x:c r="B68" s="11"/>
      <x:c r="C68" s="7"/>
      <x:c r="D68" s="12"/>
      <x:c r="E68" s="7"/>
      <x:c r="F68" s="7"/>
      <x:c r="G68" s="7"/>
      <x:c r="H68" s="7"/>
      <x:c r="I68" s="7"/>
      <x:c r="J68" s="7"/>
      <x:c r="K68" s="7"/>
      <x:c r="L68" s="12"/>
    </x:row>
    <x:row r="69" spans="1:12" ht="20" customHeight="1">
      <x:c r="A69" s="7"/>
      <x:c r="B69" s="11"/>
      <x:c r="C69" s="7"/>
      <x:c r="D69" s="12"/>
      <x:c r="E69" s="7"/>
      <x:c r="F69" s="7"/>
      <x:c r="G69" s="7"/>
      <x:c r="H69" s="7"/>
      <x:c r="I69" s="7"/>
      <x:c r="J69" s="7"/>
      <x:c r="K69" s="7"/>
      <x:c r="L69" s="12"/>
    </x:row>
    <x:row r="70" spans="1:12" ht="20" customHeight="1">
      <x:c r="A70" s="7"/>
      <x:c r="B70" s="11"/>
      <x:c r="C70" s="7"/>
      <x:c r="D70" s="12"/>
      <x:c r="E70" s="7"/>
      <x:c r="F70" s="7"/>
      <x:c r="G70" s="7"/>
      <x:c r="H70" s="7"/>
      <x:c r="I70" s="7"/>
      <x:c r="J70" s="7"/>
      <x:c r="K70" s="7"/>
      <x:c r="L70" s="12"/>
    </x:row>
    <x:row r="71" spans="1:12" ht="20" customHeight="1">
      <x:c r="A71" s="7"/>
      <x:c r="B71" s="11"/>
      <x:c r="C71" s="7"/>
      <x:c r="D71" s="12"/>
      <x:c r="E71" s="7"/>
      <x:c r="F71" s="7"/>
      <x:c r="G71" s="7"/>
      <x:c r="H71" s="7"/>
      <x:c r="I71" s="7"/>
      <x:c r="J71" s="7"/>
      <x:c r="K71" s="7"/>
      <x:c r="L71" s="12"/>
    </x:row>
    <x:row r="72" spans="1:12" ht="20" customHeight="1">
      <x:c r="A72" s="7"/>
      <x:c r="B72" s="11"/>
      <x:c r="C72" s="7"/>
      <x:c r="D72" s="12"/>
      <x:c r="E72" s="7"/>
      <x:c r="F72" s="7"/>
      <x:c r="G72" s="7"/>
      <x:c r="H72" s="7"/>
      <x:c r="I72" s="7"/>
      <x:c r="J72" s="7"/>
      <x:c r="K72" s="7"/>
      <x:c r="L72" s="12"/>
    </x:row>
    <x:row r="73" spans="1:12" ht="20" customHeight="1">
      <x:c r="A73" s="7"/>
      <x:c r="B73" s="11"/>
      <x:c r="C73" s="7"/>
      <x:c r="D73" s="12"/>
      <x:c r="E73" s="7"/>
      <x:c r="F73" s="7"/>
      <x:c r="G73" s="7"/>
      <x:c r="H73" s="7"/>
      <x:c r="I73" s="7"/>
      <x:c r="J73" s="7"/>
      <x:c r="K73" s="7"/>
      <x:c r="L73" s="12"/>
    </x:row>
    <x:row r="74" spans="1:12" ht="20" customHeight="1">
      <x:c r="A74" s="7"/>
      <x:c r="B74" s="11"/>
      <x:c r="C74" s="7"/>
      <x:c r="D74" s="12"/>
      <x:c r="E74" s="7"/>
      <x:c r="F74" s="7"/>
      <x:c r="G74" s="7"/>
      <x:c r="H74" s="7"/>
      <x:c r="I74" s="7"/>
      <x:c r="J74" s="7"/>
      <x:c r="K74" s="7"/>
      <x:c r="L74" s="12"/>
    </x:row>
    <x:row r="75" spans="1:12" ht="20" customHeight="1">
      <x:c r="A75" s="7"/>
      <x:c r="B75" s="11"/>
      <x:c r="C75" s="7"/>
      <x:c r="D75" s="12"/>
      <x:c r="E75" s="7"/>
      <x:c r="F75" s="7"/>
      <x:c r="G75" s="7"/>
      <x:c r="H75" s="7"/>
      <x:c r="I75" s="7"/>
      <x:c r="J75" s="7"/>
      <x:c r="K75" s="7"/>
      <x:c r="L75" s="12"/>
    </x:row>
    <x:row r="76" spans="1:12" ht="20" customHeight="1">
      <x:c r="A76" s="7"/>
      <x:c r="B76" s="11"/>
      <x:c r="C76" s="7"/>
      <x:c r="D76" s="12"/>
      <x:c r="E76" s="7"/>
      <x:c r="F76" s="7"/>
      <x:c r="G76" s="7"/>
      <x:c r="H76" s="7"/>
      <x:c r="I76" s="7"/>
      <x:c r="J76" s="7"/>
      <x:c r="K76" s="7"/>
      <x:c r="L76" s="12"/>
    </x:row>
    <x:row r="77" spans="1:12" ht="20" customHeight="1">
      <x:c r="A77" s="7"/>
      <x:c r="B77" s="11"/>
      <x:c r="C77" s="7"/>
      <x:c r="D77" s="12"/>
      <x:c r="E77" s="7"/>
      <x:c r="F77" s="7"/>
      <x:c r="G77" s="7"/>
      <x:c r="H77" s="7"/>
      <x:c r="I77" s="7"/>
      <x:c r="J77" s="7"/>
      <x:c r="K77" s="7"/>
      <x:c r="L77" s="12"/>
    </x:row>
    <x:row r="78" spans="1:12" ht="20" customHeight="1">
      <x:c r="A78" s="7"/>
      <x:c r="B78" s="11"/>
      <x:c r="C78" s="7"/>
      <x:c r="D78" s="12"/>
      <x:c r="E78" s="7"/>
      <x:c r="F78" s="7"/>
      <x:c r="G78" s="7"/>
      <x:c r="H78" s="7"/>
      <x:c r="I78" s="7"/>
      <x:c r="J78" s="7"/>
      <x:c r="K78" s="7"/>
      <x:c r="L78" s="12"/>
    </x:row>
    <x:row r="79" spans="1:12" ht="20" customHeight="1">
      <x:c r="A79" s="7"/>
      <x:c r="B79" s="11"/>
      <x:c r="C79" s="7"/>
      <x:c r="D79" s="12"/>
      <x:c r="E79" s="7"/>
      <x:c r="F79" s="7"/>
      <x:c r="G79" s="7"/>
      <x:c r="H79" s="7"/>
      <x:c r="I79" s="7"/>
      <x:c r="J79" s="7"/>
      <x:c r="K79" s="7"/>
      <x:c r="L79" s="12"/>
    </x:row>
    <x:row r="80" spans="1:12" ht="20" customHeight="1">
      <x:c r="A80" s="7"/>
      <x:c r="B80" s="11"/>
      <x:c r="C80" s="7"/>
      <x:c r="D80" s="12"/>
      <x:c r="E80" s="7"/>
      <x:c r="F80" s="7"/>
      <x:c r="G80" s="7"/>
      <x:c r="H80" s="7"/>
      <x:c r="I80" s="7"/>
      <x:c r="J80" s="7"/>
      <x:c r="K80" s="7"/>
      <x:c r="L80" s="12"/>
    </x:row>
    <x:row r="81" spans="1:12" ht="20" customHeight="1">
      <x:c r="A81" s="7"/>
      <x:c r="B81" s="11"/>
      <x:c r="C81" s="7"/>
      <x:c r="D81" s="12"/>
      <x:c r="E81" s="7"/>
      <x:c r="F81" s="7"/>
      <x:c r="G81" s="7"/>
      <x:c r="H81" s="7"/>
      <x:c r="I81" s="7"/>
      <x:c r="J81" s="7"/>
      <x:c r="K81" s="7"/>
      <x:c r="L81" s="12"/>
    </x:row>
    <x:row r="82" spans="1:12" ht="20" customHeight="1">
      <x:c r="A82" s="7"/>
      <x:c r="B82" s="11"/>
      <x:c r="C82" s="7"/>
      <x:c r="D82" s="12"/>
      <x:c r="E82" s="7"/>
      <x:c r="F82" s="7"/>
      <x:c r="G82" s="7"/>
      <x:c r="H82" s="7"/>
      <x:c r="I82" s="7"/>
      <x:c r="J82" s="7"/>
      <x:c r="K82" s="7"/>
      <x:c r="L82" s="12"/>
    </x:row>
    <x:row r="83" spans="1:12" ht="20" customHeight="1">
      <x:c r="A83" s="7"/>
      <x:c r="B83" s="11"/>
      <x:c r="C83" s="7"/>
      <x:c r="D83" s="12"/>
      <x:c r="E83" s="7"/>
      <x:c r="F83" s="7"/>
      <x:c r="G83" s="7"/>
      <x:c r="H83" s="7"/>
      <x:c r="I83" s="7"/>
      <x:c r="J83" s="7"/>
      <x:c r="K83" s="7"/>
      <x:c r="L83" s="12"/>
    </x:row>
    <x:row r="84" spans="1:12" ht="20" customHeight="1">
      <x:c r="A84" s="7"/>
      <x:c r="B84" s="11"/>
      <x:c r="C84" s="7"/>
      <x:c r="D84" s="12"/>
      <x:c r="E84" s="7"/>
      <x:c r="F84" s="7"/>
      <x:c r="G84" s="7"/>
      <x:c r="H84" s="7"/>
      <x:c r="I84" s="7"/>
      <x:c r="J84" s="7"/>
      <x:c r="K84" s="7"/>
      <x:c r="L84" s="12"/>
    </x:row>
    <x:row r="85" spans="1:12" ht="20" customHeight="1">
      <x:c r="A85" s="7"/>
      <x:c r="B85" s="11"/>
      <x:c r="C85" s="7"/>
      <x:c r="D85" s="12"/>
      <x:c r="E85" s="7"/>
      <x:c r="F85" s="7"/>
      <x:c r="G85" s="7"/>
      <x:c r="H85" s="7"/>
      <x:c r="I85" s="7"/>
      <x:c r="J85" s="7"/>
      <x:c r="K85" s="7"/>
      <x:c r="L85" s="12"/>
    </x:row>
    <x:row r="86" spans="1:12" ht="20" customHeight="1">
      <x:c r="A86" s="7"/>
      <x:c r="B86" s="11"/>
      <x:c r="C86" s="7"/>
      <x:c r="D86" s="12"/>
      <x:c r="E86" s="7"/>
      <x:c r="F86" s="7"/>
      <x:c r="G86" s="7"/>
      <x:c r="H86" s="7"/>
      <x:c r="I86" s="7"/>
      <x:c r="J86" s="7"/>
      <x:c r="K86" s="7"/>
      <x:c r="L86" s="12"/>
    </x:row>
    <x:row r="87" spans="1:12" ht="20" customHeight="1">
      <x:c r="A87" s="7"/>
      <x:c r="B87" s="11"/>
      <x:c r="C87" s="7"/>
      <x:c r="D87" s="12"/>
      <x:c r="E87" s="7"/>
      <x:c r="F87" s="7"/>
      <x:c r="G87" s="7"/>
      <x:c r="H87" s="7"/>
      <x:c r="I87" s="7"/>
      <x:c r="J87" s="7"/>
      <x:c r="K87" s="7"/>
      <x:c r="L87" s="12"/>
    </x:row>
    <x:row r="88" spans="1:12" ht="20" customHeight="1">
      <x:c r="A88" s="7"/>
      <x:c r="B88" s="11"/>
      <x:c r="C88" s="7"/>
      <x:c r="D88" s="12"/>
      <x:c r="E88" s="7"/>
      <x:c r="F88" s="7"/>
      <x:c r="G88" s="7"/>
      <x:c r="H88" s="7"/>
      <x:c r="I88" s="7"/>
      <x:c r="J88" s="7"/>
      <x:c r="K88" s="7"/>
      <x:c r="L88" s="12"/>
    </x:row>
    <x:row r="89" spans="1:12" ht="20" customHeight="1">
      <x:c r="A89" s="7"/>
      <x:c r="B89" s="11"/>
      <x:c r="C89" s="7"/>
      <x:c r="D89" s="12"/>
      <x:c r="E89" s="7"/>
      <x:c r="F89" s="7"/>
      <x:c r="G89" s="7"/>
      <x:c r="H89" s="7"/>
      <x:c r="I89" s="7"/>
      <x:c r="J89" s="7"/>
      <x:c r="K89" s="7"/>
      <x:c r="L89" s="12"/>
    </x:row>
    <x:row r="90" spans="1:12" ht="20" customHeight="1">
      <x:c r="A90" s="7"/>
      <x:c r="B90" s="11"/>
      <x:c r="C90" s="7"/>
      <x:c r="D90" s="12"/>
      <x:c r="E90" s="7"/>
      <x:c r="F90" s="7"/>
      <x:c r="G90" s="7"/>
      <x:c r="H90" s="7"/>
      <x:c r="I90" s="7"/>
      <x:c r="J90" s="7"/>
      <x:c r="K90" s="7"/>
      <x:c r="L90" s="12"/>
    </x:row>
    <x:row r="91" spans="1:12" ht="20" customHeight="1">
      <x:c r="A91" s="7"/>
      <x:c r="B91" s="11"/>
      <x:c r="C91" s="7"/>
      <x:c r="D91" s="12"/>
      <x:c r="E91" s="7"/>
      <x:c r="F91" s="7"/>
      <x:c r="G91" s="7"/>
      <x:c r="H91" s="7"/>
      <x:c r="I91" s="7"/>
      <x:c r="J91" s="7"/>
      <x:c r="K91" s="7"/>
      <x:c r="L91" s="12"/>
    </x:row>
    <x:row r="92" spans="1:12" ht="20" customHeight="1">
      <x:c r="A92" s="7"/>
      <x:c r="B92" s="11"/>
      <x:c r="C92" s="7"/>
      <x:c r="D92" s="12"/>
      <x:c r="E92" s="7"/>
      <x:c r="F92" s="7"/>
      <x:c r="G92" s="7"/>
      <x:c r="H92" s="7"/>
      <x:c r="I92" s="7"/>
      <x:c r="J92" s="7"/>
      <x:c r="K92" s="7"/>
      <x:c r="L92" s="12"/>
    </x:row>
    <x:row r="93" spans="1:12" ht="20" customHeight="1">
      <x:c r="A93" s="7"/>
      <x:c r="B93" s="11"/>
      <x:c r="C93" s="7"/>
      <x:c r="D93" s="12"/>
      <x:c r="E93" s="7"/>
      <x:c r="F93" s="7"/>
      <x:c r="G93" s="7"/>
      <x:c r="H93" s="7"/>
      <x:c r="I93" s="7"/>
      <x:c r="J93" s="7"/>
      <x:c r="K93" s="7"/>
      <x:c r="L93" s="12"/>
    </x:row>
    <x:row r="94" spans="1:12" ht="20" customHeight="1">
      <x:c r="A94" s="7"/>
      <x:c r="B94" s="11"/>
      <x:c r="C94" s="7"/>
      <x:c r="D94" s="12"/>
      <x:c r="E94" s="7"/>
      <x:c r="F94" s="7"/>
      <x:c r="G94" s="7"/>
      <x:c r="H94" s="7"/>
      <x:c r="I94" s="7"/>
      <x:c r="J94" s="7"/>
      <x:c r="K94" s="7"/>
      <x:c r="L94" s="12"/>
    </x:row>
    <x:row r="95" spans="1:12" ht="20" customHeight="1">
      <x:c r="A95" s="7"/>
      <x:c r="B95" s="11"/>
      <x:c r="C95" s="7"/>
      <x:c r="D95" s="12"/>
      <x:c r="E95" s="7"/>
      <x:c r="F95" s="7"/>
      <x:c r="G95" s="7"/>
      <x:c r="H95" s="7"/>
      <x:c r="I95" s="7"/>
      <x:c r="J95" s="7"/>
      <x:c r="K95" s="7"/>
      <x:c r="L95" s="12"/>
    </x:row>
    <x:row r="96" spans="1:12" ht="20" customHeight="1">
      <x:c r="A96" s="7"/>
      <x:c r="B96" s="11"/>
      <x:c r="C96" s="7"/>
      <x:c r="D96" s="12"/>
      <x:c r="E96" s="7"/>
      <x:c r="F96" s="7"/>
      <x:c r="G96" s="7"/>
      <x:c r="H96" s="7"/>
      <x:c r="I96" s="7"/>
      <x:c r="J96" s="7"/>
      <x:c r="K96" s="7"/>
      <x:c r="L96" s="12"/>
    </x:row>
    <x:row r="97" spans="1:12" ht="20" customHeight="1">
      <x:c r="A97" s="7"/>
      <x:c r="B97" s="11"/>
      <x:c r="C97" s="7"/>
      <x:c r="D97" s="12"/>
      <x:c r="E97" s="7"/>
      <x:c r="F97" s="7"/>
      <x:c r="G97" s="7"/>
      <x:c r="H97" s="7"/>
      <x:c r="I97" s="7"/>
      <x:c r="J97" s="7"/>
      <x:c r="K97" s="7"/>
      <x:c r="L97" s="12"/>
    </x:row>
    <x:row r="98" spans="1:12" ht="20" customHeight="1">
      <x:c r="A98" s="7"/>
      <x:c r="B98" s="11"/>
      <x:c r="C98" s="7"/>
      <x:c r="D98" s="12"/>
      <x:c r="E98" s="7"/>
      <x:c r="F98" s="7"/>
      <x:c r="G98" s="7"/>
      <x:c r="H98" s="7"/>
      <x:c r="I98" s="7"/>
      <x:c r="J98" s="7"/>
      <x:c r="K98" s="7"/>
      <x:c r="L98" s="12"/>
    </x:row>
    <x:row r="99" spans="1:12" ht="20" customHeight="1">
      <x:c r="A99" s="7"/>
      <x:c r="B99" s="11"/>
      <x:c r="C99" s="7"/>
      <x:c r="D99" s="12"/>
      <x:c r="E99" s="7"/>
      <x:c r="F99" s="7"/>
      <x:c r="G99" s="7"/>
      <x:c r="H99" s="7"/>
      <x:c r="I99" s="7"/>
      <x:c r="J99" s="7"/>
      <x:c r="K99" s="7"/>
      <x:c r="L99" s="12"/>
    </x:row>
    <x:row r="100" spans="1:12" ht="20" customHeight="1">
      <x:c r="A100" s="7"/>
      <x:c r="B100" s="11"/>
      <x:c r="C100" s="7"/>
      <x:c r="D100" s="12"/>
      <x:c r="E100" s="7"/>
      <x:c r="F100" s="7"/>
      <x:c r="G100" s="7"/>
      <x:c r="H100" s="7"/>
      <x:c r="I100" s="7"/>
      <x:c r="J100" s="7"/>
      <x:c r="K100" s="7"/>
      <x:c r="L100" s="12"/>
    </x:row>
    <x:row r="101" spans="1:12">
      <x:c r="A101" s="13" t="str">
        <x:f>IF(B101="","","AI-"&amp;TEXT(ROW()-4,"0000"))</x:f>
        <x:v/>
      </x:c>
      <x:c r="B101" s="14"/>
      <x:c r="C101" s="15"/>
      <x:c r="D101" s="16"/>
      <x:c r="E101" s="15"/>
      <x:c r="F101" s="15"/>
      <x:c r="G101" s="15"/>
      <x:c r="H101" s="15"/>
      <x:c r="I101" s="15"/>
      <x:c r="J101" s="15"/>
      <x:c r="K101" s="15"/>
      <x:c r="L101" s="16"/>
    </x:row>
    <x:row r="102" spans="1:12">
      <x:c r="A102" s="13" t="str">
        <x:f>IF(B102="","","AI-"&amp;TEXT(ROW()-4,"0000"))</x:f>
        <x:v/>
      </x:c>
      <x:c r="B102" s="14"/>
      <x:c r="C102" s="15"/>
      <x:c r="D102" s="16"/>
      <x:c r="E102" s="15"/>
      <x:c r="F102" s="15"/>
      <x:c r="G102" s="15"/>
      <x:c r="H102" s="15"/>
      <x:c r="I102" s="15"/>
      <x:c r="J102" s="15"/>
      <x:c r="K102" s="15"/>
      <x:c r="L102" s="16"/>
    </x:row>
    <x:row r="103" spans="1:12">
      <x:c r="A103" s="13" t="str">
        <x:f>IF(B103="","","AI-"&amp;TEXT(ROW()-4,"0000"))</x:f>
        <x:v/>
      </x:c>
      <x:c r="B103" s="14"/>
      <x:c r="C103" s="15"/>
      <x:c r="D103" s="16"/>
      <x:c r="E103" s="15"/>
      <x:c r="F103" s="15"/>
      <x:c r="G103" s="15"/>
      <x:c r="H103" s="15"/>
      <x:c r="I103" s="15"/>
      <x:c r="J103" s="15"/>
      <x:c r="K103" s="15"/>
      <x:c r="L103" s="16"/>
    </x:row>
    <x:row r="104" spans="1:12">
      <x:c r="A104" s="13" t="str">
        <x:f>IF(B104="","","AI-"&amp;TEXT(ROW()-4,"0000"))</x:f>
        <x:v/>
      </x:c>
      <x:c r="B104" s="14"/>
      <x:c r="C104" s="15"/>
      <x:c r="D104" s="16"/>
      <x:c r="E104" s="15"/>
      <x:c r="F104" s="15"/>
      <x:c r="G104" s="15"/>
      <x:c r="H104" s="15"/>
      <x:c r="I104" s="15"/>
      <x:c r="J104" s="15"/>
      <x:c r="K104" s="15"/>
      <x:c r="L104" s="16"/>
    </x:row>
  </x:sheetData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  <x:headerFooter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B48"/>
  <x:sheetViews>
    <x:sheetView workbookViewId="0">
      <x:selection activeCell="A1" sqref="A1"/>
    </x:sheetView>
  </x:sheetViews>
  <x:sheetFormatPr defaultColWidth="9" defaultRowHeight="16.8" outlineLevelCol="1"/>
  <x:cols>
    <x:col min="1" max="1" width="20" customWidth="1"/>
    <x:col min="2" max="2" width="78" customWidth="1"/>
  </x:cols>
  <x:sheetData>
    <x:row r="1" spans="1:2" ht="22" customHeight="1">
      <x:c r="A1" s="1" t="s">
        <x:v>321</x:v>
      </x:c>
      <x:c r="B1" s="1" t="s">
        <x:v>322</x:v>
      </x:c>
    </x:row>
    <x:row r="2" spans="1:2" ht="22" customHeight="1">
      <x:c r="A2" s="2" t="s">
        <x:v>323</x:v>
      </x:c>
      <x:c r="B2" s="2" t="s">
        <x:v>324</x:v>
      </x:c>
    </x:row>
    <x:row r="3" spans="1:2" ht="22" customHeight="1">
      <x:c r="A3" s="2" t="s">
        <x:v>325</x:v>
      </x:c>
      <x:c r="B3" s="2" t="s">
        <x:v>326</x:v>
      </x:c>
    </x:row>
    <x:row r="4" spans="1:2" ht="22" customHeight="1">
      <x:c r="A4" s="2" t="s">
        <x:v>327</x:v>
      </x:c>
      <x:c r="B4" s="2" t="str">
        <x:v>11</x:v>
      </x:c>
    </x:row>
    <x:row r="5" spans="1:2" ht="22" customHeight="1">
      <x:c r="A5" s="2" t="s">
        <x:v>138</x:v>
      </x:c>
      <x:c r="B5" s="2" t="str">
        <x:v>2026-10-16</x:v>
      </x:c>
    </x:row>
    <x:row r="6" spans="1:2" ht="22" customHeight="1">
      <x:c r="A6" s="2" t="s">
        <x:v>330</x:v>
      </x:c>
      <x:c r="B6" s="2" t="str">
        <x:v>跨工作簿快照（刷新程序联动）</x:v>
      </x:c>
    </x:row>
    <x:row r="7" spans="1:2" ht="22" customHeight="1">
      <x:c r="A7" s="2" t="s">
        <x:v>332</x:v>
      </x:c>
      <x:c r="B7" s="2" t="str">
        <x:v>02_计划与进度管理/计划与进度管理-20260921-V1.xlsx</x:v>
      </x:c>
    </x:row>
    <x:row r="8" spans="1:2" ht="22" customHeight="1">
      <x:c r="A8" s="2" t="s">
        <x:v>334</x:v>
      </x:c>
      <x:c r="B8" s="2" t="str">
        <x:v>01_项目启动与治理/项目启动与治理-20260917-V1.xlsx</x:v>
      </x:c>
    </x:row>
    <x:row r="9" spans="1:2" ht="22" customHeight="1">
      <x:c r="A9" s="2" t="s">
        <x:v>336</x:v>
      </x:c>
      <x:c r="B9" s="2" t="str">
        <x:v>06_风险问题与变更/风险管理-20260918-V1.xlsx</x:v>
      </x:c>
    </x:row>
    <x:row r="10" spans="1:2" ht="22" customHeight="1">
      <x:c r="A10" s="2" t="s">
        <x:v>338</x:v>
      </x:c>
      <x:c r="B10" s="2" t="str">
        <x:v>源台账更新后运行 automation/scripts/sync_all_to_ai_pmo.py</x:v>
      </x:c>
    </x:row>
    <x:row r="11" spans="1:2" ht="22" customHeight="1">
      <x:c r="A11" s="2" t="s">
        <x:v>49</x:v>
      </x:c>
      <x:c r="B11" s="2">
        <x:v>135</x:v>
      </x:c>
    </x:row>
    <x:row r="12" spans="1:2" ht="22" customHeight="1">
      <x:c r="A12" s="2" t="s">
        <x:v>340</x:v>
      </x:c>
      <x:c r="B12" s="2">
        <x:v>12</x:v>
      </x:c>
    </x:row>
    <x:row r="13" spans="1:2" ht="22" customHeight="1">
      <x:c r="A13" s="2" t="s">
        <x:v>341</x:v>
      </x:c>
      <x:c r="B13" s="2">
        <x:v>20</x:v>
      </x:c>
    </x:row>
    <x:row r="14" spans="1:2" ht="22" customHeight="1">
      <x:c r="A14" s="2" t="s">
        <x:v>342</x:v>
      </x:c>
      <x:c r="B14" s="2">
        <x:v>4</x:v>
      </x:c>
    </x:row>
    <x:row r="15" spans="1:2" ht="22" customHeight="1">
      <x:c r="A15" s="2" t="s">
        <x:v>343</x:v>
      </x:c>
      <x:c r="B15" s="2" t="str">
        <x:v>2026-10-16</x:v>
      </x:c>
    </x:row>
    <x:row r="16">
      <x:c r="A16" t="str">
        <x:v>成本来源文件</x:v>
      </x:c>
      <x:c r="B16" t="str">
        <x:v>05_成本与合同管理/成本与合同管理-20260918-V5.xlsx</x:v>
      </x:c>
    </x:row>
    <x:row r="17">
      <x:c r="A17" t="str">
        <x:v>计划人天</x:v>
      </x:c>
      <x:c r="B17" s="92">
        <x:v>4337</x:v>
      </x:c>
    </x:row>
    <x:row r="18">
      <x:c r="A18" t="str">
        <x:v>计划人工成本</x:v>
      </x:c>
      <x:c r="B18" s="93">
        <x:v>6070900</x:v>
      </x:c>
    </x:row>
    <x:row r="19">
      <x:c r="A19" t="str">
        <x:v>平均人日单价</x:v>
      </x:c>
      <x:c r="B19" s="94">
        <x:v>1399.7924832833755</x:v>
      </x:c>
    </x:row>
    <x:row r="20">
      <x:c r="A20" t="str">
        <x:v>成本数据日期</x:v>
      </x:c>
      <x:c r="B20" t="str">
        <x:v>2026-09-24</x:v>
      </x:c>
    </x:row>
    <x:row r="21">
      <x:c r="A21" t="str">
        <x:v>成本联动状态</x:v>
      </x:c>
      <x:c r="B21" t="str">
        <x:v>已同步</x:v>
      </x:c>
    </x:row>
    <x:row r="22">
      <x:c r="A22" t="str">
        <x:v>已完成任务</x:v>
      </x:c>
      <x:c r="B22">
        <x:v>12</x:v>
      </x:c>
    </x:row>
    <x:row r="23">
      <x:c r="A23" t="str">
        <x:v>进行中任务</x:v>
      </x:c>
      <x:c r="B23">
        <x:v>3</x:v>
      </x:c>
    </x:row>
    <x:row r="24">
      <x:c r="A24" t="str">
        <x:v>未开始/待确认任务</x:v>
      </x:c>
      <x:c r="B24">
        <x:v>120</x:v>
      </x:c>
    </x:row>
    <x:row r="25">
      <x:c r="A25" t="str">
        <x:v>暂停/挂起任务</x:v>
      </x:c>
      <x:c r="B25">
        <x:v>0</x:v>
      </x:c>
    </x:row>
    <x:row r="26">
      <x:c r="A26" t="str">
        <x:v>平均进度</x:v>
      </x:c>
      <x:c r="B26">
        <x:v>0.1</x:v>
      </x:c>
    </x:row>
    <x:row r="27">
      <x:c r="A27" t="str">
        <x:v>已延期任务</x:v>
      </x:c>
      <x:c r="B27">
        <x:v>17</x:v>
      </x:c>
    </x:row>
    <x:row r="28">
      <x:c r="A28" t="str">
        <x:v>14天内到期</x:v>
      </x:c>
      <x:c r="B28">
        <x:v>5</x:v>
      </x:c>
    </x:row>
    <x:row r="29">
      <x:c r="A29" t="str">
        <x:v>必过门禁未通过</x:v>
      </x:c>
      <x:c r="B29">
        <x:v>17</x:v>
      </x:c>
    </x:row>
    <x:row r="30">
      <x:c r="A30" t="str">
        <x:v>重点相关方</x:v>
      </x:c>
      <x:c r="B30">
        <x:v>4</x:v>
      </x:c>
    </x:row>
    <x:row r="31">
      <x:c r="A31" t="str">
        <x:v>不支持相关方</x:v>
      </x:c>
      <x:c r="B31">
        <x:v>0</x:v>
      </x:c>
    </x:row>
    <x:row r="32">
      <x:c r="A32" t="str">
        <x:v>沟通逾期</x:v>
      </x:c>
      <x:c r="B32">
        <x:v>34</x:v>
      </x:c>
    </x:row>
    <x:row r="33">
      <x:c r="A33" t="str">
        <x:v>重大剩余风险</x:v>
      </x:c>
      <x:c r="B33">
        <x:v>1</x:v>
      </x:c>
    </x:row>
    <x:row r="34">
      <x:c r="A34" t="str">
        <x:v>高剩余风险</x:v>
      </x:c>
      <x:c r="B34">
        <x:v>8</x:v>
      </x:c>
    </x:row>
    <x:row r="35">
      <x:c r="A35" t="str">
        <x:v>未关闭门禁</x:v>
      </x:c>
      <x:c r="B35">
        <x:v>20</x:v>
      </x:c>
    </x:row>
    <x:row r="36">
      <x:c r="A36" t="str">
        <x:v>里程碑总数</x:v>
      </x:c>
      <x:c r="B36">
        <x:v>17</x:v>
      </x:c>
    </x:row>
    <x:row r="37">
      <x:c r="A37" t="str">
        <x:v>已完成里程碑</x:v>
      </x:c>
      <x:c r="B37">
        <x:v>3</x:v>
      </x:c>
    </x:row>
    <x:row r="38">
      <x:c r="A38" t="str">
        <x:v>项目健康度</x:v>
      </x:c>
      <x:c r="B38" t="str">
        <x:v>红</x:v>
      </x:c>
    </x:row>
    <x:row r="39">
      <x:c r="A39" t="str">
        <x:v>迁移来源线索数</x:v>
      </x:c>
    </x:row>
    <x:row r="40">
      <x:c r="A40" t="str">
        <x:v>已盘点来源系统数</x:v>
      </x:c>
    </x:row>
    <x:row r="41">
      <x:c r="A41" t="str">
        <x:v>G15目标日期</x:v>
      </x:c>
      <x:c r="B41" t="str">
        <x:v>2026-10-13</x:v>
      </x:c>
    </x:row>
    <x:row r="42">
      <x:c r="A42" t="str">
        <x:v>迁移门禁数</x:v>
      </x:c>
    </x:row>
    <x:row r="43">
      <x:c r="A43" t="str">
        <x:v>已量化总预算</x:v>
      </x:c>
      <x:c r="B43">
        <x:v>15252170</x:v>
      </x:c>
    </x:row>
    <x:row r="44">
      <x:c r="A44" t="str">
        <x:v>迭代承诺完成率</x:v>
      </x:c>
      <x:c r="B44">
        <x:v>0.25</x:v>
      </x:c>
    </x:row>
    <x:row r="45">
      <x:c r="A45" t="str">
        <x:v>迭代负载率</x:v>
      </x:c>
      <x:c r="B45">
        <x:v>1.3333</x:v>
      </x:c>
    </x:row>
    <x:row r="46">
      <x:c r="A46" t="str">
        <x:v>预测超基线任务数</x:v>
      </x:c>
      <x:c r="B46">
        <x:v>0</x:v>
      </x:c>
    </x:row>
    <x:row r="47">
      <x:c r="A47" t="str">
        <x:v>平均偏差天数</x:v>
      </x:c>
    </x:row>
    <x:row r="48">
      <x:c r="A48" t="str">
        <x:v>当前迭代周</x:v>
      </x:c>
      <x:c r="B48" t="str">
        <x:v>2026-W40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项目驾驶舱</vt:lpstr>
      <vt:lpstr>AI项目诊断</vt:lpstr>
      <vt:lpstr>数据质量检查</vt:lpstr>
      <vt:lpstr>两周督办</vt:lpstr>
      <vt:lpstr>PMO周报</vt:lpstr>
      <vt:lpstr>AI运行日志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2026-09-17T09:53:00Z</dcterms:created>
  <dcterms:modified xsi:type="dcterms:W3CDTF">2026-09-18T14:20:26Z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8691FD25BCD18EB36667AA6AEEE89328_42</vt:lpwstr>
  </op:property>
  <op:property fmtid="{D5CDD505-2E9C-101B-9397-08002B2CF9AE}" pid="3" name="KSOProductBuildVer">
    <vt:lpwstr>2052-12.1.25869.25869</vt:lpwstr>
  </op:property>
  <op:property fmtid="{D5CDD505-2E9C-101B-9397-08002B2CF9AE}" pid="4" name="CalculationRule">
    <vt:i4>0</vt:i4>
  </op:property>
  <op:property fmtid="{D5CDD505-2E9C-101B-9397-08002B2CF9AE}" pid="5" name="OfficeCLI.Version">
    <vt:lpwstr>1.0.155</vt:lpwstr>
  </op:property>
  <op:property fmtid="{D5CDD505-2E9C-101B-9397-08002B2CF9AE}" pid="6" name="OfficeCLI.LastModified">
    <vt:lpwstr>2026-10-16T07:15:58Z</vt:lpwstr>
  </op:property>
</op:Properties>
</file>
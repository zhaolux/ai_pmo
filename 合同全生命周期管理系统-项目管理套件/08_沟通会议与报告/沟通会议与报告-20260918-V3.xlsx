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660" activeTab="2"/>
  </bookViews>
  <sheets>
    <sheet name="使用说明" sheetId="2" r:id="rId1"/>
    <sheet name="沟通总览" sheetId="1" r:id="rId2"/>
    <sheet name="沟通管理计划" sheetId="3" r:id="rId3"/>
    <sheet name="会议计划" sheetId="4" r:id="rId4"/>
    <sheet name="会议纪要" sheetId="5" r:id="rId5"/>
    <sheet name="行动项台账" sheetId="6" r:id="rId6"/>
    <sheet name="决策日志" sheetId="7" r:id="rId7"/>
    <sheet name="报告台账" sheetId="8" r:id="rId8"/>
    <sheet name="相关方沟通记录" sheetId="9" r:id="rId9"/>
    <sheet name="升级事项" sheetId="10" r:id="rId10"/>
    <sheet name="_数据接口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<sst xmlns="http://schemas.openxmlformats.org/spreadsheetml/2006/main" count="586" uniqueCount="454">
  <si>
    <t>沟通会议与报告-20260918-V3 使用说明</t>
  </si>
  <si>
    <t>管理沟通计划、会议、行动项、决策、报告、升级和相关方沟通记录。</t>
  </si>
  <si>
    <t>项目</t>
  </si>
  <si>
    <t>能源行业合同全生命周期管理系统</t>
  </si>
  <si>
    <t>适用对象</t>
  </si>
  <si>
    <t>项目经理、PMO、会议主持人、行动项责任人</t>
  </si>
  <si>
    <t>更新频率</t>
  </si>
  <si>
    <t>会议后1个工作日内更新；周报按周发布，升级事项即时维护。</t>
  </si>
  <si>
    <t>版本日期</t>
  </si>
  <si>
    <t>2026-09-17</t>
  </si>
  <si>
    <t>颜色约定</t>
  </si>
  <si>
    <t>浅蓝表头；黄色为人工输入区；白色/灰色通常为公式、说明或系统数据。</t>
  </si>
  <si>
    <t>推荐使用流程</t>
  </si>
  <si>
    <t>按沟通计划组织会议和报告</t>
  </si>
  <si>
    <t>记录会议纪要及决策</t>
  </si>
  <si>
    <t>将行动项分配到责任人和期限</t>
  </si>
  <si>
    <t>跟踪升级事项和相关方反馈</t>
  </si>
  <si>
    <t>通过沟通总览检查逾期和待决策项</t>
  </si>
  <si>
    <t>工作表导航</t>
  </si>
  <si>
    <t>顺序</t>
  </si>
  <si>
    <t>工作表</t>
  </si>
  <si>
    <t>用途</t>
  </si>
  <si>
    <t>沟通总览</t>
  </si>
  <si>
    <t>查看沟通、行动、决策和升级状态。</t>
  </si>
  <si>
    <t>沟通管理计划</t>
  </si>
  <si>
    <t>定义对象、内容、频率和渠道。</t>
  </si>
  <si>
    <t>会议计划</t>
  </si>
  <si>
    <t>安排例会、专题会和决策会。</t>
  </si>
  <si>
    <t>会议纪要</t>
  </si>
  <si>
    <t>记录议题、结论和后续事项。</t>
  </si>
  <si>
    <t>行动项台账</t>
  </si>
  <si>
    <t>跟踪责任人、期限和验证结果。</t>
  </si>
  <si>
    <t>决策日志</t>
  </si>
  <si>
    <t>记录关键决策及依据。</t>
  </si>
  <si>
    <t>报告台账</t>
  </si>
  <si>
    <t>管理周报、月报和专题报告。</t>
  </si>
  <si>
    <t>相关方沟通记录</t>
  </si>
  <si>
    <t>保留关键沟通历史。</t>
  </si>
  <si>
    <t>升级事项</t>
  </si>
  <si>
    <t>跟踪需要上级协调的问题。</t>
  </si>
  <si>
    <t>_数据接口</t>
  </si>
  <si>
    <t>供Python脚本和AI PMO读取，人工一般不直接修改。</t>
  </si>
  <si>
    <t>维护与检查规则</t>
  </si>
  <si>
    <t>先维护唯一编号、责任人、计划日期和状态，再补充说明与证据。</t>
  </si>
  <si>
    <t>状态变化时同步更新实际日期、完成比例、阻塞原因或验证结果。</t>
  </si>
  <si>
    <t>涉及基线、预算、范围、合同或上线门禁的变化，须先履行评审或审批。</t>
  </si>
  <si>
    <t>不要覆盖公式、汇总区、图表数据区和“_数据接口”中的系统字段。</t>
  </si>
  <si>
    <t>每周检查空责任人、逾期未完成、状态与日期矛盾、缺少证据和公式错误。</t>
  </si>
  <si>
    <t>文件升级后，将被替换版本移入本模块_archive目录，不在正式目录保留多个现行版本。</t>
  </si>
  <si>
    <t>沟通会议与报告总览</t>
  </si>
  <si>
    <t>数据日期：2026-09-17。会议、决策、行动项和报告必须形成可追踪闭环。</t>
  </si>
  <si>
    <t>沟通机制</t>
  </si>
  <si>
    <t>本周应开会议</t>
  </si>
  <si>
    <t>待办行动项</t>
  </si>
  <si>
    <t>逾期行动项</t>
  </si>
  <si>
    <t>待决策事项</t>
  </si>
  <si>
    <t>待升级事项</t>
  </si>
  <si>
    <t>近期沟通节点</t>
  </si>
  <si>
    <t>节点</t>
  </si>
  <si>
    <r>
      <rPr>
        <sz val="12"/>
        <color theme="0"/>
        <rFont val="宋体-简"/>
        <charset val="134"/>
      </rPr>
      <t>频率</t>
    </r>
    <r>
      <rPr>
        <sz val="12"/>
        <color theme="0"/>
        <rFont val="Arial"/>
        <charset val="134"/>
      </rPr>
      <t>/</t>
    </r>
    <r>
      <rPr>
        <sz val="12"/>
        <color theme="0"/>
        <rFont val="宋体-简"/>
        <charset val="134"/>
      </rPr>
      <t>日期</t>
    </r>
  </si>
  <si>
    <t>主持人</t>
  </si>
  <si>
    <t>核心参会人</t>
  </si>
  <si>
    <t>必须输出</t>
  </si>
  <si>
    <t>当前状态</t>
  </si>
  <si>
    <t>POC专项会</t>
  </si>
  <si>
    <t>每日站会/每周评审</t>
  </si>
  <si>
    <t>技术经理</t>
  </si>
  <si>
    <t>产品、技术、CA/电子文档/BI厂商</t>
  </si>
  <si>
    <t>问题清单、测试证据、选型结论</t>
  </si>
  <si>
    <t>进行中</t>
  </si>
  <si>
    <t>科研成果收尾会</t>
  </si>
  <si>
    <t>2026-09-18</t>
  </si>
  <si>
    <t>项目集经理</t>
  </si>
  <si>
    <t>项目组、业务和技术负责人</t>
  </si>
  <si>
    <t>科研交付物、验收结论、遗留项</t>
  </si>
  <si>
    <t>已排期</t>
  </si>
  <si>
    <t>POC决策会</t>
  </si>
  <si>
    <t>2026-09-30</t>
  </si>
  <si>
    <t>项目赞助人、业务、技术、采购</t>
  </si>
  <si>
    <t>CA/电子文档/BI选型决策</t>
  </si>
  <si>
    <t>项目启动准备会</t>
  </si>
  <si>
    <t>2026-10-16</t>
  </si>
  <si>
    <t>治理委员会、核心团队</t>
  </si>
  <si>
    <t>范围、预算、组织、基线批准</t>
  </si>
  <si>
    <t>项目启动会</t>
  </si>
  <si>
    <t>2026-10-20</t>
  </si>
  <si>
    <t>项目赞助人</t>
  </si>
  <si>
    <t>全体项目成员及关键相关方</t>
  </si>
  <si>
    <t>目标、范围、里程碑、角色和规则</t>
  </si>
  <si>
    <t>需求基线评审</t>
  </si>
  <si>
    <t>2026-11-30</t>
  </si>
  <si>
    <t>产品经理</t>
  </si>
  <si>
    <t>业务负责人、项目经理、技术经理</t>
  </si>
  <si>
    <t>需求基线、验收标准、待决策项</t>
  </si>
  <si>
    <t>未开始</t>
  </si>
  <si>
    <t>UAT每日协调会</t>
  </si>
  <si>
    <t>2027-04-16至2027-05-10</t>
  </si>
  <si>
    <t>项目经理</t>
  </si>
  <si>
    <t>业务关键用户、产品、测试、开发</t>
  </si>
  <si>
    <t>执行进展、缺陷、阻塞和验收证据</t>
  </si>
  <si>
    <t>上线准备会</t>
  </si>
  <si>
    <t>2027-05-11至2027-05-31</t>
  </si>
  <si>
    <t>业务、技术、测试、配置、运维</t>
  </si>
  <si>
    <t>门禁、回退、数据、监控、支持结论</t>
  </si>
  <si>
    <t>按相关方的权力、关注点和决策责任设计沟通，不用同一份报告覆盖所有人。</t>
  </si>
  <si>
    <t>编号</t>
  </si>
  <si>
    <r>
      <rPr>
        <sz val="12"/>
        <color theme="0"/>
        <rFont val="宋体-简"/>
        <charset val="134"/>
      </rPr>
      <t>相关方</t>
    </r>
    <r>
      <rPr>
        <sz val="12"/>
        <color theme="0"/>
        <rFont val="Arial"/>
        <charset val="134"/>
      </rPr>
      <t>/</t>
    </r>
    <r>
      <rPr>
        <sz val="12"/>
        <color theme="0"/>
        <rFont val="宋体-简"/>
        <charset val="134"/>
      </rPr>
      <t>群体</t>
    </r>
  </si>
  <si>
    <t>信息需求</t>
  </si>
  <si>
    <t>沟通目标</t>
  </si>
  <si>
    <r>
      <rPr>
        <sz val="12"/>
        <color theme="0"/>
        <rFont val="宋体-简"/>
        <charset val="134"/>
      </rPr>
      <t>方式</t>
    </r>
    <r>
      <rPr>
        <sz val="12"/>
        <color theme="0"/>
        <rFont val="Arial"/>
        <charset val="134"/>
      </rPr>
      <t>/</t>
    </r>
    <r>
      <rPr>
        <sz val="12"/>
        <color theme="0"/>
        <rFont val="宋体-简"/>
        <charset val="134"/>
      </rPr>
      <t>渠道</t>
    </r>
  </si>
  <si>
    <t>频率</t>
  </si>
  <si>
    <t>主责人</t>
  </si>
  <si>
    <t>发送人</t>
  </si>
  <si>
    <r>
      <rPr>
        <sz val="12"/>
        <color theme="0"/>
        <rFont val="宋体-简"/>
        <charset val="134"/>
      </rPr>
      <t>输出</t>
    </r>
    <r>
      <rPr>
        <sz val="12"/>
        <color theme="0"/>
        <rFont val="Arial"/>
        <charset val="134"/>
      </rPr>
      <t>/</t>
    </r>
    <r>
      <rPr>
        <sz val="12"/>
        <color theme="0"/>
        <rFont val="宋体-简"/>
        <charset val="134"/>
      </rPr>
      <t>证据</t>
    </r>
  </si>
  <si>
    <t>升级路径</t>
  </si>
  <si>
    <t>保密级别</t>
  </si>
  <si>
    <t>有效性验证</t>
  </si>
  <si>
    <t>状态</t>
  </si>
  <si>
    <t>CP-001</t>
  </si>
  <si>
    <t>项目赞助人/治理委员会</t>
  </si>
  <si>
    <t>业务价值、整体状态、重大风险、决策和资源</t>
  </si>
  <si>
    <t>及时获得重大决策和支持</t>
  </si>
  <si>
    <t>治理会/管理月报</t>
  </si>
  <si>
    <t>每月及重大事项触发</t>
  </si>
  <si>
    <t>月报、决策记录、升级单</t>
  </si>
  <si>
    <t>赞助人→治理委员会</t>
  </si>
  <si>
    <t>内部</t>
  </si>
  <si>
    <t>决策在要求日期前完成</t>
  </si>
  <si>
    <t>有效</t>
  </si>
  <si>
    <t>CP-002</t>
  </si>
  <si>
    <t>业务负责人及关键用户</t>
  </si>
  <si>
    <t>范围、需求、原型、业务规则、验收和上线准备</t>
  </si>
  <si>
    <t>确保需求可用、可验收</t>
  </si>
  <si>
    <t>专题会/评审/UAT沟通群</t>
  </si>
  <si>
    <t>每周，UAT期间每日</t>
  </si>
  <si>
    <t>需求结论、原型确认、UAT证据</t>
  </si>
  <si>
    <t>业务负责人→赞助人</t>
  </si>
  <si>
    <t>减少重复返工和未决需求</t>
  </si>
  <si>
    <t>CP-003</t>
  </si>
  <si>
    <t>项目管理团队</t>
  </si>
  <si>
    <t>进度、资源、风险、问题、决策、变更</t>
  </si>
  <si>
    <t>保证项目基线与执行一致</t>
  </si>
  <si>
    <t>PMO例会/周报</t>
  </si>
  <si>
    <t>每周</t>
  </si>
  <si>
    <t>周报、控制项清单、行动项</t>
  </si>
  <si>
    <t>项目经理→项目集经理</t>
  </si>
  <si>
    <t>逾期行动和未决事项持续下降</t>
  </si>
  <si>
    <t>CP-004</t>
  </si>
  <si>
    <t>产品、设计、开发、测试团队</t>
  </si>
  <si>
    <t>迭代目标、任务、依赖、缺陷和验收标准</t>
  </si>
  <si>
    <t>保证交付协同和问题快速闭环</t>
  </si>
  <si>
    <t>项目例会/迭代计划/每日站会</t>
  </si>
  <si>
    <t>每周/每日</t>
  </si>
  <si>
    <t>各职能负责人</t>
  </si>
  <si>
    <t>迭代计划、障碍清单、评审结论</t>
  </si>
  <si>
    <t>职能负责人→项目经理</t>
  </si>
  <si>
    <t>迭代目标和承诺完成度</t>
  </si>
  <si>
    <t>CP-005</t>
  </si>
  <si>
    <t>技术架构及集成相关方</t>
  </si>
  <si>
    <t>架构决策、数据、接口、安全、性能、环境和发布</t>
  </si>
  <si>
    <t>控制跨系统依赖和技术风险</t>
  </si>
  <si>
    <t>架构/集成专题会、ADR</t>
  </si>
  <si>
    <t>双周及重大变更时</t>
  </si>
  <si>
    <t>架构评审、接口结论、技术决策</t>
  </si>
  <si>
    <t>技术经理→项目集经理</t>
  </si>
  <si>
    <t>内部/敏感</t>
  </si>
  <si>
    <t>重大技术决策有证据可追溯</t>
  </si>
  <si>
    <t>CP-006</t>
  </si>
  <si>
    <t>CA/电子文档/BI厂商</t>
  </si>
  <si>
    <t>POC范围、测试数据、选型标准、交付物和时限</t>
  </si>
  <si>
    <t>完成POC证据和选型决策</t>
  </si>
  <si>
    <t>POC日站会/周评审/书面澄清</t>
  </si>
  <si>
    <t>POC期间每日/每周</t>
  </si>
  <si>
    <t>对接负责人</t>
  </si>
  <si>
    <t>POC问题清单、测试证据、评分和结论</t>
  </si>
  <si>
    <t>技术经理→项目集经理→采购/治理委员会</t>
  </si>
  <si>
    <t>商密</t>
  </si>
  <si>
    <t>三类产品按时形成可审计结论</t>
  </si>
  <si>
    <t>CP-007</t>
  </si>
  <si>
    <t>采购、财务、合同管理</t>
  </si>
  <si>
    <t>预算、采购、付款、变更和供应商履约</t>
  </si>
  <si>
    <t>确保商务与交付节奏一致</t>
  </si>
  <si>
    <t>成本专题会/采购评审/月报</t>
  </si>
  <si>
    <t>每月及采购节点前</t>
  </si>
  <si>
    <t>商务/采购负责人</t>
  </si>
  <si>
    <t>预算执行、采购状态、付款决策</t>
  </si>
  <si>
    <t>项目经理→赞助人</t>
  </si>
  <si>
    <t>不因商务审批延误关键节点</t>
  </si>
  <si>
    <t>CP-008</t>
  </si>
  <si>
    <t>运维、安全、档案及审计</t>
  </si>
  <si>
    <t>环境、账号、监控、备份、回退、审计证据和交接</t>
  </si>
  <si>
    <t>确保上线及运维可承接</t>
  </si>
  <si>
    <t>专题评审/上线准备会/交接会</t>
  </si>
  <si>
    <t>设计阶段月度，上线前每日</t>
  </si>
  <si>
    <t>配置/技术经理</t>
  </si>
  <si>
    <t>上线检查表、交接清单、演练证据</t>
  </si>
  <si>
    <t>职能负责人→项目集经理</t>
  </si>
  <si>
    <t>敏感</t>
  </si>
  <si>
    <t>上线门禁无未处置关键项</t>
  </si>
  <si>
    <t>会议应服务于决策、协同或验收，没有议题和必须输出的会议不建议召开。</t>
  </si>
  <si>
    <r>
      <rPr>
        <sz val="12"/>
        <color theme="0"/>
        <rFont val="宋体-简"/>
        <charset val="134"/>
      </rPr>
      <t>会议</t>
    </r>
    <r>
      <rPr>
        <sz val="12"/>
        <color theme="0"/>
        <rFont val="Arial"/>
        <charset val="134"/>
      </rPr>
      <t>ID</t>
    </r>
  </si>
  <si>
    <t>会议名称</t>
  </si>
  <si>
    <t>会议类型</t>
  </si>
  <si>
    <t>阶段</t>
  </si>
  <si>
    <r>
      <rPr>
        <sz val="12"/>
        <color theme="0"/>
        <rFont val="宋体-简"/>
        <charset val="134"/>
      </rPr>
      <t>计划日期</t>
    </r>
    <r>
      <rPr>
        <sz val="12"/>
        <color theme="0"/>
        <rFont val="Arial"/>
        <charset val="134"/>
      </rPr>
      <t>/</t>
    </r>
    <r>
      <rPr>
        <sz val="12"/>
        <color theme="0"/>
        <rFont val="宋体-简"/>
        <charset val="134"/>
      </rPr>
      <t>周期</t>
    </r>
  </si>
  <si>
    <t>必须参会人</t>
  </si>
  <si>
    <t>主要议题</t>
  </si>
  <si>
    <r>
      <rPr>
        <sz val="12"/>
        <color theme="0"/>
        <rFont val="宋体-简"/>
        <charset val="134"/>
      </rPr>
      <t>纪要</t>
    </r>
    <r>
      <rPr>
        <sz val="12"/>
        <color theme="0"/>
        <rFont val="Arial"/>
        <charset val="134"/>
      </rPr>
      <t>ID</t>
    </r>
  </si>
  <si>
    <t>MTG-001</t>
  </si>
  <si>
    <t>项目治理委员会</t>
  </si>
  <si>
    <t>治理</t>
  </si>
  <si>
    <t>全周期</t>
  </si>
  <si>
    <t>每月/触发</t>
  </si>
  <si>
    <t>每月最后一周</t>
  </si>
  <si>
    <t>治理委员会、项目集经理</t>
  </si>
  <si>
    <t>整体状态、重大风险、预算、重大决策</t>
  </si>
  <si>
    <t>决策和授权记录</t>
  </si>
  <si>
    <t>3</t>
  </si>
  <si>
    <t>MTG-002</t>
  </si>
  <si>
    <t>PMO周例会</t>
  </si>
  <si>
    <t>管理</t>
  </si>
  <si>
    <t>每周一</t>
  </si>
  <si>
    <t>项目经理、各职能负责人</t>
  </si>
  <si>
    <t>里程碑、资源、风险、问题、决策和变更</t>
  </si>
  <si>
    <t>周报、行动项、升级项</t>
  </si>
  <si>
    <t>MTG-003</t>
  </si>
  <si>
    <t>项目周例会</t>
  </si>
  <si>
    <t>执行</t>
  </si>
  <si>
    <t>每周二</t>
  </si>
  <si>
    <t>产品、设计、技术、开发、测试、配置</t>
  </si>
  <si>
    <t>本周进展、下周计划、阻塞和依赖</t>
  </si>
  <si>
    <t>更新计划和行动项</t>
  </si>
  <si>
    <t>MTG-004</t>
  </si>
  <si>
    <t>需求专题会</t>
  </si>
  <si>
    <t>业务</t>
  </si>
  <si>
    <t>需求/设计</t>
  </si>
  <si>
    <t>每周2次</t>
  </si>
  <si>
    <t>周二、周四</t>
  </si>
  <si>
    <t>业务负责人、产品、技术、测试</t>
  </si>
  <si>
    <t>流程、规则、范围、原型、验收标准</t>
  </si>
  <si>
    <t>需求结论、待决策项</t>
  </si>
  <si>
    <t>MTG-005</t>
  </si>
  <si>
    <t>架构与集成评审</t>
  </si>
  <si>
    <t>技术</t>
  </si>
  <si>
    <t>设计/开发</t>
  </si>
  <si>
    <t>双周/触发</t>
  </si>
  <si>
    <t>双周周三</t>
  </si>
  <si>
    <t>架构、开发、测试、运维、外部系统对接人</t>
  </si>
  <si>
    <t>架构、数据、接口、安全、性能、发布</t>
  </si>
  <si>
    <t>评审结论、ADR、整改项</t>
  </si>
  <si>
    <t>MTG-006</t>
  </si>
  <si>
    <t>POC日站会</t>
  </si>
  <si>
    <t>POC</t>
  </si>
  <si>
    <t>启动前</t>
  </si>
  <si>
    <t>每工作日</t>
  </si>
  <si>
    <t>2026-09-17至2026-09-30</t>
  </si>
  <si>
    <t>产品、技术、厂商对接人</t>
  </si>
  <si>
    <t>当日测试、问题、证据和阻塞</t>
  </si>
  <si>
    <t>POC每日状态和问题清单</t>
  </si>
  <si>
    <t>MTG-007</t>
  </si>
  <si>
    <t>迭代计划/评审会</t>
  </si>
  <si>
    <t>迭代</t>
  </si>
  <si>
    <t>开发/测试</t>
  </si>
  <si>
    <t>每2周</t>
  </si>
  <si>
    <t>迭代首尾日</t>
  </si>
  <si>
    <t>产品、技术、开发、测试</t>
  </si>
  <si>
    <t>迭代目标、承诺、演示、验收和改进</t>
  </si>
  <si>
    <t>迭代计划、评审结论</t>
  </si>
  <si>
    <t>MTG-008</t>
  </si>
  <si>
    <t>缺陷分级会</t>
  </si>
  <si>
    <t>质量</t>
  </si>
  <si>
    <t>测试/UAT</t>
  </si>
  <si>
    <t>每日</t>
  </si>
  <si>
    <t>系统测试和UAT期间</t>
  </si>
  <si>
    <t>测试负责人</t>
  </si>
  <si>
    <t>产品、开发、测试、项目经理</t>
  </si>
  <si>
    <t>缺陷优先级、修复计划、阻塞和回归</t>
  </si>
  <si>
    <t>缺陷分级和修复承诺</t>
  </si>
  <si>
    <t>MTG-009</t>
  </si>
  <si>
    <t>验收</t>
  </si>
  <si>
    <t>UAT</t>
  </si>
  <si>
    <t>关键用户、产品、测试、开发</t>
  </si>
  <si>
    <t>用例执行、缺陷、遗留风险和验收证据</t>
  </si>
  <si>
    <t>UAT日报、缺陷和决策</t>
  </si>
  <si>
    <t>MTG-010</t>
  </si>
  <si>
    <t>上线</t>
  </si>
  <si>
    <t>上线准备</t>
  </si>
  <si>
    <t>业务、技术、测试、配置、运维、安全</t>
  </si>
  <si>
    <t>门禁、数据、接口、权限、监控、回退和支持</t>
  </si>
  <si>
    <t>上线准备结论、升级项</t>
  </si>
  <si>
    <t>每次会议一行记录主要结论；详细附件保存在统一文档库，用链接关联。</t>
  </si>
  <si>
    <r>
      <rPr>
        <b/>
        <sz val="12"/>
        <color theme="0"/>
        <rFont val="宋体-简"/>
        <charset val="134"/>
      </rPr>
      <t>纪要</t>
    </r>
    <r>
      <rPr>
        <b/>
        <sz val="12"/>
        <color theme="0"/>
        <rFont val="Arial"/>
        <charset val="134"/>
      </rPr>
      <t>ID</t>
    </r>
  </si>
  <si>
    <r>
      <rPr>
        <b/>
        <sz val="12"/>
        <color theme="0"/>
        <rFont val="宋体-简"/>
        <charset val="134"/>
      </rPr>
      <t>会议</t>
    </r>
    <r>
      <rPr>
        <b/>
        <sz val="12"/>
        <color theme="0"/>
        <rFont val="Arial"/>
        <charset val="134"/>
      </rPr>
      <t>ID</t>
    </r>
  </si>
  <si>
    <t>实际日期</t>
  </si>
  <si>
    <t>会议主题</t>
  </si>
  <si>
    <t>记录人</t>
  </si>
  <si>
    <t>参会人</t>
  </si>
  <si>
    <t>议题</t>
  </si>
  <si>
    <t>主要结论</t>
  </si>
  <si>
    <r>
      <rPr>
        <b/>
        <sz val="12"/>
        <color theme="0"/>
        <rFont val="宋体-简"/>
        <charset val="134"/>
      </rPr>
      <t>决策</t>
    </r>
    <r>
      <rPr>
        <b/>
        <sz val="12"/>
        <color theme="0"/>
        <rFont val="Arial"/>
        <charset val="134"/>
      </rPr>
      <t>ID</t>
    </r>
  </si>
  <si>
    <r>
      <rPr>
        <b/>
        <sz val="12"/>
        <color theme="0"/>
        <rFont val="宋体-简"/>
        <charset val="134"/>
      </rPr>
      <t>行动项</t>
    </r>
    <r>
      <rPr>
        <b/>
        <sz val="12"/>
        <color theme="0"/>
        <rFont val="Arial"/>
        <charset val="134"/>
      </rPr>
      <t>ID</t>
    </r>
  </si>
  <si>
    <t>待确认事项</t>
  </si>
  <si>
    <r>
      <rPr>
        <b/>
        <sz val="12"/>
        <color theme="0"/>
        <rFont val="宋体-简"/>
        <charset val="134"/>
      </rPr>
      <t>附件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链接</t>
    </r>
  </si>
  <si>
    <t>发布时间</t>
  </si>
  <si>
    <t>确认状态</t>
  </si>
  <si>
    <t>红色表示逾期、阻塞或需升级。完成必须有完成日期和证据。</t>
  </si>
  <si>
    <t>来源类型</t>
  </si>
  <si>
    <r>
      <rPr>
        <b/>
        <sz val="12"/>
        <color theme="0"/>
        <rFont val="宋体-简"/>
        <charset val="134"/>
      </rPr>
      <t>来源</t>
    </r>
    <r>
      <rPr>
        <b/>
        <sz val="12"/>
        <color theme="0"/>
        <rFont val="Arial"/>
        <charset val="134"/>
      </rPr>
      <t>ID</t>
    </r>
  </si>
  <si>
    <t>行动事项</t>
  </si>
  <si>
    <t>责任人</t>
  </si>
  <si>
    <t>协同人</t>
  </si>
  <si>
    <t>提出日期</t>
  </si>
  <si>
    <t>截止日期</t>
  </si>
  <si>
    <t>优先级</t>
  </si>
  <si>
    <t>完成日期</t>
  </si>
  <si>
    <t>时效判断</t>
  </si>
  <si>
    <t>完成证据</t>
  </si>
  <si>
    <r>
      <rPr>
        <b/>
        <sz val="12"/>
        <color theme="0"/>
        <rFont val="宋体-简"/>
        <charset val="134"/>
      </rPr>
      <t>升级事项</t>
    </r>
    <r>
      <rPr>
        <b/>
        <sz val="12"/>
        <color theme="0"/>
        <rFont val="Arial"/>
        <charset val="134"/>
      </rPr>
      <t>ID</t>
    </r>
  </si>
  <si>
    <t>保留事实、选项、影响、建议、决策人和证据，避免口头决策不可追溯。</t>
  </si>
  <si>
    <t>决策主题</t>
  </si>
  <si>
    <t>类别</t>
  </si>
  <si>
    <t>决策截止日期</t>
  </si>
  <si>
    <r>
      <rPr>
        <b/>
        <sz val="12"/>
        <color theme="0"/>
        <rFont val="宋体-简"/>
        <charset val="134"/>
      </rPr>
      <t>背景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事实</t>
    </r>
  </si>
  <si>
    <t>备选方案</t>
  </si>
  <si>
    <t>影响</t>
  </si>
  <si>
    <t>建议方案</t>
  </si>
  <si>
    <t>决策人</t>
  </si>
  <si>
    <t>决策日期</t>
  </si>
  <si>
    <t>决策结果</t>
  </si>
  <si>
    <r>
      <rPr>
        <b/>
        <sz val="12"/>
        <color theme="0"/>
        <rFont val="宋体-简"/>
        <charset val="134"/>
      </rPr>
      <t>证据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关联</t>
    </r>
    <r>
      <rPr>
        <b/>
        <sz val="12"/>
        <color theme="0"/>
        <rFont val="Arial"/>
        <charset val="134"/>
      </rPr>
      <t>ID</t>
    </r>
  </si>
  <si>
    <t>DEC-001</t>
  </si>
  <si>
    <t>CA产品POC选型</t>
  </si>
  <si>
    <t>技术/采购</t>
  </si>
  <si>
    <t>需验证认证、签章、验签、时间戳和集成成本</t>
  </si>
  <si>
    <t>各候选厂商方案</t>
  </si>
  <si>
    <t>影响电子签署、合规、进度和采购</t>
  </si>
  <si>
    <t>依据POC证据及综合评分选型</t>
  </si>
  <si>
    <t>待决策</t>
  </si>
  <si>
    <t>POC评分表</t>
  </si>
  <si>
    <t>DEC-002</t>
  </si>
  <si>
    <t>电子文档产品POC选型</t>
  </si>
  <si>
    <t>需验证模板、预览、转换、水印、大文件和归档</t>
  </si>
  <si>
    <t>影响文档生成、签署、归档和性能</t>
  </si>
  <si>
    <t>DEC-003</t>
  </si>
  <si>
    <t>BI报表产品POC选型</t>
  </si>
  <si>
    <t>需验证数据接入、指标口径、权限、钻取、导出和性能</t>
  </si>
  <si>
    <t>影响经营分析、数据权限和交付成本</t>
  </si>
  <si>
    <t>DEC-004</t>
  </si>
  <si>
    <t>项目基线与预算批准</t>
  </si>
  <si>
    <t>治理/成本</t>
  </si>
  <si>
    <t>项目2026-10-20启动，2027-05-31上线，计划投入30人</t>
  </si>
  <si>
    <t>基线方案及预算方案</t>
  </si>
  <si>
    <t>影响启动、资源到位、采购和交付范围</t>
  </si>
  <si>
    <t>按批准的里程碑、资源和成本基线启动</t>
  </si>
  <si>
    <t>项目整体管理计划/成本与合同</t>
  </si>
  <si>
    <t>发布前确认数据日期、状态判断、证据、需决策项和版本。</t>
  </si>
  <si>
    <r>
      <rPr>
        <b/>
        <sz val="12"/>
        <color theme="0"/>
        <rFont val="宋体-简"/>
        <charset val="134"/>
      </rPr>
      <t>报告</t>
    </r>
    <r>
      <rPr>
        <b/>
        <sz val="12"/>
        <color theme="0"/>
        <rFont val="Arial"/>
        <charset val="134"/>
      </rPr>
      <t>ID</t>
    </r>
  </si>
  <si>
    <t>报告名称</t>
  </si>
  <si>
    <t>报告类型</t>
  </si>
  <si>
    <t>报告周期</t>
  </si>
  <si>
    <t>数据截止日</t>
  </si>
  <si>
    <t>编制人</t>
  </si>
  <si>
    <t>审核人</t>
  </si>
  <si>
    <t>发送对象</t>
  </si>
  <si>
    <t>核心内容</t>
  </si>
  <si>
    <t>状态判断</t>
  </si>
  <si>
    <r>
      <rPr>
        <b/>
        <sz val="12"/>
        <color theme="0"/>
        <rFont val="宋体-简"/>
        <charset val="134"/>
      </rPr>
      <t>需决策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支持</t>
    </r>
  </si>
  <si>
    <t>发布日期</t>
  </si>
  <si>
    <r>
      <rPr>
        <b/>
        <sz val="12"/>
        <color theme="0"/>
        <rFont val="宋体-简"/>
        <charset val="134"/>
      </rPr>
      <t>版本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链接</t>
    </r>
  </si>
  <si>
    <t>反馈及行动</t>
  </si>
  <si>
    <t>RPT-001</t>
  </si>
  <si>
    <t>项目周报</t>
  </si>
  <si>
    <t>定期</t>
  </si>
  <si>
    <t>项目组、业务和相关负责人</t>
  </si>
  <si>
    <t>里程碑、进度、资源、风险、问题、决策和下周计划</t>
  </si>
  <si>
    <t>RPT-002</t>
  </si>
  <si>
    <t>管理月报</t>
  </si>
  <si>
    <t>每月</t>
  </si>
  <si>
    <t>治理委员会</t>
  </si>
  <si>
    <t>价值、整体状态、里程碑、成本、质量、重大风险和决策</t>
  </si>
  <si>
    <t>RPT-003</t>
  </si>
  <si>
    <t>风险与问题专项报告</t>
  </si>
  <si>
    <t>专项</t>
  </si>
  <si>
    <t>治理委员会、风险责任人</t>
  </si>
  <si>
    <t>高风险、重大问题、趋势、应对和所需支持</t>
  </si>
  <si>
    <t>RPT-004</t>
  </si>
  <si>
    <t>质量与测试报告</t>
  </si>
  <si>
    <t>每迭代/测试期每周</t>
  </si>
  <si>
    <t>项目组、业务负责人</t>
  </si>
  <si>
    <t>覆盖、执行、缺陷、回归、数据和门禁</t>
  </si>
  <si>
    <t>RPT-005</t>
  </si>
  <si>
    <t>成本、采购与供应商报告</t>
  </si>
  <si>
    <t>每月/采购节点前</t>
  </si>
  <si>
    <t>赞助人、采购、财务</t>
  </si>
  <si>
    <t>预算执行、承诺、实际、预测、采购和供应商交付</t>
  </si>
  <si>
    <t>RPT-006</t>
  </si>
  <si>
    <t>UAT日报/总结</t>
  </si>
  <si>
    <t>每日/完成时</t>
  </si>
  <si>
    <t>业务负责人、项目组</t>
  </si>
  <si>
    <t>场景执行、缺陷、遗留风险、证据和验收结论</t>
  </si>
  <si>
    <t>RPT-007</t>
  </si>
  <si>
    <t>上线准备报告</t>
  </si>
  <si>
    <t>每日/门禁前</t>
  </si>
  <si>
    <t>治理委员会、业务、技术、运维</t>
  </si>
  <si>
    <t>数据、接口、权限、缺陷、回退、监控、培训和支持</t>
  </si>
  <si>
    <t>用于记录访谈、一对一、书面澄清等非正式会议沟通。</t>
  </si>
  <si>
    <r>
      <rPr>
        <b/>
        <sz val="12"/>
        <color theme="0"/>
        <rFont val="宋体-简"/>
        <charset val="134"/>
      </rPr>
      <t>沟通</t>
    </r>
    <r>
      <rPr>
        <b/>
        <sz val="12"/>
        <color theme="0"/>
        <rFont val="Arial"/>
        <charset val="134"/>
      </rPr>
      <t>ID</t>
    </r>
  </si>
  <si>
    <t>日期</t>
  </si>
  <si>
    <t>相关方</t>
  </si>
  <si>
    <r>
      <rPr>
        <b/>
        <sz val="12"/>
        <color theme="0"/>
        <rFont val="宋体-简"/>
        <charset val="134"/>
      </rPr>
      <t>单位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角色</t>
    </r>
  </si>
  <si>
    <t>沟通方式</t>
  </si>
  <si>
    <t>沟通人</t>
  </si>
  <si>
    <t>主题</t>
  </si>
  <si>
    <r>
      <rPr>
        <b/>
        <sz val="12"/>
        <color theme="0"/>
        <rFont val="宋体-简"/>
        <charset val="134"/>
      </rPr>
      <t>诉求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关切</t>
    </r>
  </si>
  <si>
    <t>沟通结论</t>
  </si>
  <si>
    <r>
      <rPr>
        <b/>
        <sz val="12"/>
        <color theme="0"/>
        <rFont val="宋体-简"/>
        <charset val="134"/>
      </rPr>
      <t>承诺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后续行动</t>
    </r>
  </si>
  <si>
    <r>
      <rPr>
        <b/>
        <sz val="12"/>
        <color theme="0"/>
        <rFont val="宋体-简"/>
        <charset val="134"/>
      </rPr>
      <t>情绪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支持度变化</t>
    </r>
  </si>
  <si>
    <t>备注</t>
  </si>
  <si>
    <t>当事项超出项目经理授权、超过时限或可能影响基线时使用。</t>
  </si>
  <si>
    <r>
      <rPr>
        <b/>
        <sz val="12"/>
        <color theme="0"/>
        <rFont val="宋体-简"/>
        <charset val="134"/>
      </rPr>
      <t>升级</t>
    </r>
    <r>
      <rPr>
        <b/>
        <sz val="12"/>
        <color theme="0"/>
        <rFont val="Arial"/>
        <charset val="134"/>
      </rPr>
      <t>ID</t>
    </r>
  </si>
  <si>
    <t>事项</t>
  </si>
  <si>
    <t>已采取措施</t>
  </si>
  <si>
    <r>
      <rPr>
        <b/>
        <sz val="12"/>
        <color theme="0"/>
        <rFont val="宋体-简"/>
        <charset val="134"/>
      </rPr>
      <t>所需决策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支持</t>
    </r>
  </si>
  <si>
    <t>升级人</t>
  </si>
  <si>
    <r>
      <rPr>
        <b/>
        <sz val="12"/>
        <color theme="0"/>
        <rFont val="宋体-简"/>
        <charset val="134"/>
      </rPr>
      <t>接收人</t>
    </r>
    <r>
      <rPr>
        <b/>
        <sz val="12"/>
        <color theme="0"/>
        <rFont val="Arial"/>
        <charset val="134"/>
      </rPr>
      <t>/</t>
    </r>
    <r>
      <rPr>
        <b/>
        <sz val="12"/>
        <color theme="0"/>
        <rFont val="宋体-简"/>
        <charset val="134"/>
      </rPr>
      <t>机构</t>
    </r>
  </si>
  <si>
    <t>处理结论</t>
  </si>
  <si>
    <t>关闭日期</t>
  </si>
  <si>
    <t>关闭证据</t>
  </si>
  <si>
    <t>字段</t>
  </si>
  <si>
    <t>值</t>
  </si>
  <si>
    <t>Project_ID</t>
  </si>
  <si>
    <t>ECM-2026</t>
  </si>
  <si>
    <t>项目名称</t>
  </si>
  <si>
    <t>模块编码</t>
  </si>
  <si>
    <t>08</t>
  </si>
  <si>
    <t>数据日期</t>
  </si>
  <si>
    <t>沟通机制数</t>
  </si>
  <si>
    <t>标准会议类型数</t>
  </si>
  <si>
    <t>待决策数</t>
  </si>
  <si>
    <t>本周报告类型数</t>
  </si>
  <si>
    <t>当前高优先级升级事项</t>
  </si>
  <si>
    <t>使用说明Sheet</t>
  </si>
  <si>
    <t>已包含</t>
  </si>
  <si>
    <t>使用说明版本</t>
  </si>
  <si>
    <t>20260918-V3</t>
  </si>
  <si>
    <t>默认报告节奏</t>
  </si>
  <si>
    <t>周报+月报+专项</t>
  </si>
  <si>
    <t>行动项逾期判断基准</t>
  </si>
  <si>
    <t>中央数据库</t>
  </si>
  <si>
    <t>../90_项目数据中心/ai_pmo.db</t>
  </si>
  <si>
    <t>上游模块</t>
  </si>
  <si>
    <t>01_启动与治理/02_计划与进度/06_风险问题与变更/07_质量测试与验收</t>
  </si>
  <si>
    <t>下游模块</t>
  </si>
  <si>
    <t>11_AI-PMO中心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</si>
</sst>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yyyy\-mm\-dd\ hh:mm"/>
  </numFmts>
  <fonts count="33">
    <font>
      <sz val="11"/>
      <name val="Carlito"/>
      <charset val="134"/>
    </font>
    <font>
      <b/>
      <sz val="10"/>
      <color rgb="FF243447"/>
      <name val="Arial"/>
      <charset val="134"/>
    </font>
    <font>
      <sz val="10"/>
      <color rgb="FF243447"/>
      <name val="Arial"/>
      <charset val="134"/>
    </font>
    <font>
      <b/>
      <sz val="15"/>
      <color rgb="FF1F4E78"/>
      <name val="Arial"/>
      <charset val="134"/>
    </font>
    <font>
      <i/>
      <sz val="10"/>
      <color rgb="FF667788"/>
      <name val="Arial"/>
      <charset val="134"/>
    </font>
    <font>
      <b/>
      <sz val="12"/>
      <color theme="0"/>
      <name val="宋体-简"/>
      <charset val="134"/>
    </font>
    <font>
      <sz val="12"/>
      <color theme="0"/>
      <name val="宋体-简"/>
      <charset val="134"/>
    </font>
    <font>
      <b/>
      <sz val="16"/>
      <color rgb="FF1F4E78"/>
      <name val="Arial"/>
      <charset val="134"/>
    </font>
    <font>
      <i/>
      <sz val="10"/>
      <color rgb="FF666666"/>
      <name val="Arial"/>
      <charset val="134"/>
    </font>
    <font>
      <sz val="10"/>
      <color rgb="FF404040"/>
      <name val="Arial"/>
      <charset val="134"/>
    </font>
    <font>
      <b/>
      <sz val="11"/>
      <color rgb="FF1F4E78"/>
      <name val="Arial"/>
      <charset val="134"/>
    </font>
    <font>
      <b/>
      <sz val="10"/>
      <color rgb="FF1F4E78"/>
      <name val="Arial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  <font>
      <b/>
      <sz val="12"/>
      <color theme="0"/>
      <name val="Arial"/>
      <charset val="134"/>
    </font>
    <font>
      <sz val="12"/>
      <color theme="0"/>
      <name val="Arial"/>
      <charset val="134"/>
    </font>
  </fonts>
  <fills count="3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5">
    <border>
      <left/>
      <right/>
      <top/>
      <bottom/>
      <diagonal/>
    </border>
    <border>
      <left style="thin">
        <color rgb="FFB4C6D7"/>
      </left>
      <right style="thin">
        <color rgb="FFB4C6D7"/>
      </right>
      <top style="thin">
        <color rgb="FFB4C6D7"/>
      </top>
      <bottom style="thin">
        <color rgb="FFB4C6D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2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0" applyNumberFormat="0" applyAlignment="0" applyProtection="0">
      <alignment vertical="center"/>
    </xf>
    <xf numFmtId="0" fontId="22" fillId="9" borderId="11" applyNumberFormat="0" applyAlignment="0" applyProtection="0">
      <alignment vertical="center"/>
    </xf>
    <xf numFmtId="0" fontId="23" fillId="9" borderId="10" applyNumberFormat="0" applyAlignment="0" applyProtection="0">
      <alignment vertical="center"/>
    </xf>
    <xf numFmtId="0" fontId="24" fillId="10" borderId="12" applyNumberFormat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0" fillId="0" borderId="0"/>
  </cellStyleXfs>
  <cellXfs count="29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0" borderId="1" xfId="49" applyNumberFormat="1" applyFont="1" applyFill="1" applyBorder="1" applyAlignment="1">
      <alignment vertical="center"/>
    </xf>
    <xf numFmtId="176" fontId="2" fillId="0" borderId="1" xfId="0" applyNumberFormat="1" applyFont="1" applyFill="1" applyBorder="1" applyAlignment="1">
      <alignment vertical="center"/>
    </xf>
    <xf numFmtId="0" fontId="3" fillId="0" borderId="0" xfId="49" applyNumberFormat="1" applyFont="1" applyFill="1" applyBorder="1"/>
    <xf numFmtId="0" fontId="4" fillId="0" borderId="0" xfId="49" applyNumberFormat="1" applyFont="1" applyFill="1" applyBorder="1"/>
    <xf numFmtId="0" fontId="5" fillId="2" borderId="1" xfId="49" applyNumberFormat="1" applyFont="1" applyFill="1" applyBorder="1" applyAlignment="1">
      <alignment horizontal="center" vertical="center" wrapText="1"/>
    </xf>
    <xf numFmtId="0" fontId="2" fillId="3" borderId="1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176" fontId="2" fillId="3" borderId="1" xfId="49" applyNumberFormat="1" applyFont="1" applyFill="1" applyBorder="1" applyAlignment="1">
      <alignment vertical="center"/>
    </xf>
    <xf numFmtId="0" fontId="2" fillId="4" borderId="1" xfId="49" applyNumberFormat="1" applyFont="1" applyFill="1" applyBorder="1" applyAlignment="1">
      <alignment vertical="center"/>
    </xf>
    <xf numFmtId="177" fontId="2" fillId="3" borderId="1" xfId="49" applyNumberFormat="1" applyFont="1" applyFill="1" applyBorder="1" applyAlignment="1">
      <alignment vertical="center"/>
    </xf>
    <xf numFmtId="0" fontId="6" fillId="2" borderId="1" xfId="49" applyNumberFormat="1" applyFont="1" applyFill="1" applyBorder="1" applyAlignment="1">
      <alignment horizontal="center" vertical="center" wrapText="1"/>
    </xf>
    <xf numFmtId="0" fontId="0" fillId="3" borderId="0" xfId="49" applyNumberFormat="1" applyFont="1" applyFill="1" applyBorder="1"/>
    <xf numFmtId="0" fontId="3" fillId="0" borderId="0" xfId="49" applyNumberFormat="1" applyFont="1" applyFill="1"/>
    <xf numFmtId="0" fontId="2" fillId="0" borderId="1" xfId="49" applyNumberFormat="1" applyFont="1" applyFill="1" applyBorder="1" applyAlignment="1">
      <alignment vertical="center" wrapText="1"/>
    </xf>
    <xf numFmtId="0" fontId="1" fillId="5" borderId="1" xfId="49" applyNumberFormat="1" applyFont="1" applyFill="1" applyBorder="1" applyAlignment="1">
      <alignment horizontal="center" vertical="center"/>
    </xf>
    <xf numFmtId="0" fontId="1" fillId="0" borderId="1" xfId="49" applyNumberFormat="1" applyFont="1" applyFill="1" applyBorder="1" applyAlignment="1">
      <alignment horizontal="center" vertical="center"/>
    </xf>
    <xf numFmtId="0" fontId="1" fillId="5" borderId="1" xfId="49" applyNumberFormat="1" applyFont="1" applyFill="1" applyBorder="1" applyAlignment="1">
      <alignment vertical="center"/>
    </xf>
    <xf numFmtId="0" fontId="7" fillId="0" borderId="0" xfId="49" applyNumberFormat="1" applyFont="1" applyFill="1" applyBorder="1" applyAlignment="1">
      <alignment vertical="center" wrapText="1"/>
    </xf>
    <xf numFmtId="0" fontId="8" fillId="0" borderId="0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vertical="center" wrapText="1"/>
    </xf>
    <xf numFmtId="0" fontId="9" fillId="0" borderId="2" xfId="49" applyNumberFormat="1" applyFont="1" applyFill="1" applyBorder="1" applyAlignment="1">
      <alignment vertical="center" wrapText="1"/>
    </xf>
    <xf numFmtId="0" fontId="9" fillId="3" borderId="3" xfId="49" applyNumberFormat="1" applyFont="1" applyFill="1" applyBorder="1" applyAlignment="1">
      <alignment vertical="center" wrapText="1"/>
    </xf>
    <xf numFmtId="0" fontId="9" fillId="3" borderId="0" xfId="49" applyNumberFormat="1" applyFont="1" applyFill="1" applyAlignment="1">
      <alignment vertical="center" wrapText="1"/>
    </xf>
    <xf numFmtId="0" fontId="10" fillId="6" borderId="4" xfId="49" applyNumberFormat="1" applyFont="1" applyFill="1" applyBorder="1" applyAlignment="1">
      <alignment vertical="center" wrapText="1"/>
    </xf>
    <xf numFmtId="0" fontId="10" fillId="6" borderId="5" xfId="49" applyNumberFormat="1" applyFont="1" applyFill="1" applyBorder="1" applyAlignment="1">
      <alignment vertical="center" wrapText="1"/>
    </xf>
    <xf numFmtId="0" fontId="10" fillId="6" borderId="6" xfId="49" applyNumberFormat="1" applyFont="1" applyFill="1" applyBorder="1" applyAlignment="1">
      <alignment vertical="center" wrapText="1"/>
    </xf>
    <xf numFmtId="0" fontId="11" fillId="6" borderId="2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8">
    <dxf>
      <font>
        <b val="1"/>
        <color rgb="FF9C0006"/>
      </font>
      <fill>
        <patternFill patternType="solid">
          <bgColor rgb="FFFCE4D6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F8C8D"/>
  </sheetPr>
  <dimension ref="A1:H37"/>
  <sheetViews>
    <sheetView showGridLines="0" workbookViewId="0">
      <pane xSplit="1" ySplit="2" topLeftCell="B26" activePane="bottomRight" state="frozen"/>
      <selection/>
      <selection pane="topRight"/>
      <selection pane="bottomLeft"/>
      <selection pane="bottomRight" activeCell="B8" sqref="B8:C8"/>
    </sheetView>
  </sheetViews>
  <sheetFormatPr defaultColWidth="9" defaultRowHeight="16.8" outlineLevelCol="7"/>
  <cols>
    <col min="1" max="1" width="10" customWidth="1"/>
    <col min="2" max="2" width="28" customWidth="1"/>
    <col min="3" max="3" width="62" customWidth="1"/>
    <col min="4" max="8" width="14" customWidth="1"/>
  </cols>
  <sheetData>
    <row r="1" ht="28" customHeight="1" spans="1:8">
      <c r="A1" s="19" t="s">
        <v>0</v>
      </c>
      <c r="B1" s="19"/>
      <c r="C1" s="19"/>
      <c r="D1" s="19"/>
      <c r="E1" s="19"/>
      <c r="F1" s="19"/>
      <c r="G1" s="19"/>
      <c r="H1" s="19"/>
    </row>
    <row r="2" ht="28" customHeight="1" spans="1:8">
      <c r="A2" s="20" t="s">
        <v>1</v>
      </c>
      <c r="B2" s="20"/>
      <c r="C2" s="20"/>
      <c r="D2" s="20"/>
      <c r="E2" s="20"/>
      <c r="F2" s="20"/>
      <c r="G2" s="20"/>
      <c r="H2" s="20"/>
    </row>
    <row r="3" ht="22" customHeight="1" spans="1:8">
      <c r="A3" s="21"/>
      <c r="B3" s="21"/>
      <c r="C3" s="21"/>
      <c r="D3" s="21"/>
      <c r="E3" s="21"/>
      <c r="F3" s="21"/>
      <c r="G3" s="21"/>
      <c r="H3" s="21"/>
    </row>
    <row r="4" ht="22" customHeight="1" spans="1:8">
      <c r="A4" s="22" t="s">
        <v>2</v>
      </c>
      <c r="B4" s="23" t="s">
        <v>3</v>
      </c>
      <c r="C4" s="24"/>
      <c r="D4" s="21"/>
      <c r="E4" s="21"/>
      <c r="F4" s="21"/>
      <c r="G4" s="21"/>
      <c r="H4" s="21"/>
    </row>
    <row r="5" ht="22" customHeight="1" spans="1:8">
      <c r="A5" s="22" t="s">
        <v>4</v>
      </c>
      <c r="B5" s="23" t="s">
        <v>5</v>
      </c>
      <c r="C5" s="24"/>
      <c r="D5" s="21"/>
      <c r="E5" s="21"/>
      <c r="F5" s="21"/>
      <c r="G5" s="21"/>
      <c r="H5" s="21"/>
    </row>
    <row r="6" ht="22" customHeight="1" spans="1:8">
      <c r="A6" s="22" t="s">
        <v>6</v>
      </c>
      <c r="B6" s="23" t="s">
        <v>7</v>
      </c>
      <c r="C6" s="24"/>
      <c r="D6" s="21"/>
      <c r="E6" s="21"/>
      <c r="F6" s="21"/>
      <c r="G6" s="21"/>
      <c r="H6" s="21"/>
    </row>
    <row r="7" ht="22" customHeight="1" spans="1:8">
      <c r="A7" s="22" t="s">
        <v>8</v>
      </c>
      <c r="B7" s="23" t="s">
        <v>9</v>
      </c>
      <c r="C7" s="24"/>
      <c r="D7" s="21"/>
      <c r="E7" s="21"/>
      <c r="F7" s="21"/>
      <c r="G7" s="21"/>
      <c r="H7" s="21"/>
    </row>
    <row r="8" ht="22" customHeight="1" spans="1:8">
      <c r="A8" s="22" t="s">
        <v>10</v>
      </c>
      <c r="B8" s="23" t="s">
        <v>11</v>
      </c>
      <c r="C8" s="24"/>
      <c r="D8" s="21"/>
      <c r="E8" s="21"/>
      <c r="F8" s="21"/>
      <c r="G8" s="21"/>
      <c r="H8" s="21"/>
    </row>
    <row r="9" ht="22" customHeight="1" spans="1:8">
      <c r="A9" s="21"/>
      <c r="B9" s="21"/>
      <c r="C9" s="21"/>
      <c r="D9" s="21"/>
      <c r="E9" s="21"/>
      <c r="F9" s="21"/>
      <c r="G9" s="21"/>
      <c r="H9" s="21"/>
    </row>
    <row r="10" ht="22" customHeight="1" spans="1:8">
      <c r="A10" s="25" t="s">
        <v>12</v>
      </c>
      <c r="B10" s="26"/>
      <c r="C10" s="26"/>
      <c r="D10" s="26"/>
      <c r="E10" s="26"/>
      <c r="F10" s="26"/>
      <c r="G10" s="26"/>
      <c r="H10" s="27"/>
    </row>
    <row r="11" ht="22" customHeight="1" spans="1:8">
      <c r="A11" s="21">
        <v>1</v>
      </c>
      <c r="B11" s="21" t="s">
        <v>13</v>
      </c>
      <c r="C11" s="21"/>
      <c r="D11" s="21"/>
      <c r="E11" s="21"/>
      <c r="F11" s="21"/>
      <c r="G11" s="21"/>
      <c r="H11" s="21"/>
    </row>
    <row r="12" ht="22" customHeight="1" spans="1:8">
      <c r="A12" s="21">
        <v>2</v>
      </c>
      <c r="B12" s="21" t="s">
        <v>14</v>
      </c>
      <c r="C12" s="21"/>
      <c r="D12" s="21"/>
      <c r="E12" s="21"/>
      <c r="F12" s="21"/>
      <c r="G12" s="21"/>
      <c r="H12" s="21"/>
    </row>
    <row r="13" ht="22" customHeight="1" spans="1:8">
      <c r="A13" s="21">
        <v>3</v>
      </c>
      <c r="B13" s="21" t="s">
        <v>15</v>
      </c>
      <c r="C13" s="21"/>
      <c r="D13" s="21"/>
      <c r="E13" s="21"/>
      <c r="F13" s="21"/>
      <c r="G13" s="21"/>
      <c r="H13" s="21"/>
    </row>
    <row r="14" ht="22" customHeight="1" spans="1:8">
      <c r="A14" s="21">
        <v>4</v>
      </c>
      <c r="B14" s="21" t="s">
        <v>16</v>
      </c>
      <c r="C14" s="21"/>
      <c r="D14" s="21"/>
      <c r="E14" s="21"/>
      <c r="F14" s="21"/>
      <c r="G14" s="21"/>
      <c r="H14" s="21"/>
    </row>
    <row r="15" ht="22" customHeight="1" spans="1:8">
      <c r="A15" s="21">
        <v>5</v>
      </c>
      <c r="B15" s="21" t="s">
        <v>17</v>
      </c>
      <c r="C15" s="21"/>
      <c r="D15" s="21"/>
      <c r="E15" s="21"/>
      <c r="F15" s="21"/>
      <c r="G15" s="21"/>
      <c r="H15" s="21"/>
    </row>
    <row r="16" ht="22" customHeight="1" spans="1:8">
      <c r="A16" s="21"/>
      <c r="B16" s="21"/>
      <c r="C16" s="21"/>
      <c r="D16" s="21"/>
      <c r="E16" s="21"/>
      <c r="F16" s="21"/>
      <c r="G16" s="21"/>
      <c r="H16" s="21"/>
    </row>
    <row r="17" ht="22" customHeight="1" spans="1:8">
      <c r="A17" s="21"/>
      <c r="B17" s="21"/>
      <c r="C17" s="21"/>
      <c r="D17" s="21"/>
      <c r="E17" s="21"/>
      <c r="F17" s="21"/>
      <c r="G17" s="21"/>
      <c r="H17" s="21"/>
    </row>
    <row r="18" ht="22" customHeight="1" spans="1:8">
      <c r="A18" s="25" t="s">
        <v>18</v>
      </c>
      <c r="B18" s="26"/>
      <c r="C18" s="26"/>
      <c r="D18" s="26"/>
      <c r="E18" s="26"/>
      <c r="F18" s="26"/>
      <c r="G18" s="26"/>
      <c r="H18" s="27"/>
    </row>
    <row r="19" ht="22" customHeight="1" spans="1:8">
      <c r="A19" s="28" t="s">
        <v>19</v>
      </c>
      <c r="B19" s="28" t="s">
        <v>20</v>
      </c>
      <c r="C19" s="28" t="s">
        <v>21</v>
      </c>
      <c r="D19" s="21"/>
      <c r="E19" s="21"/>
      <c r="F19" s="21"/>
      <c r="G19" s="21"/>
      <c r="H19" s="21"/>
    </row>
    <row r="20" ht="22" customHeight="1" spans="1:8">
      <c r="A20" s="22">
        <v>1</v>
      </c>
      <c r="B20" s="22" t="s">
        <v>22</v>
      </c>
      <c r="C20" s="22" t="s">
        <v>23</v>
      </c>
      <c r="D20" s="21"/>
      <c r="E20" s="21"/>
      <c r="F20" s="21"/>
      <c r="G20" s="21"/>
      <c r="H20" s="21"/>
    </row>
    <row r="21" ht="22" customHeight="1" spans="1:8">
      <c r="A21" s="22">
        <v>2</v>
      </c>
      <c r="B21" s="22" t="s">
        <v>24</v>
      </c>
      <c r="C21" s="22" t="s">
        <v>25</v>
      </c>
      <c r="D21" s="21"/>
      <c r="E21" s="21"/>
      <c r="F21" s="21"/>
      <c r="G21" s="21"/>
      <c r="H21" s="21"/>
    </row>
    <row r="22" ht="22" customHeight="1" spans="1:8">
      <c r="A22" s="22">
        <v>3</v>
      </c>
      <c r="B22" s="22" t="s">
        <v>26</v>
      </c>
      <c r="C22" s="22" t="s">
        <v>27</v>
      </c>
      <c r="D22" s="21"/>
      <c r="E22" s="21"/>
      <c r="F22" s="21"/>
      <c r="G22" s="21"/>
      <c r="H22" s="21"/>
    </row>
    <row r="23" ht="22" customHeight="1" spans="1:8">
      <c r="A23" s="22">
        <v>4</v>
      </c>
      <c r="B23" s="22" t="s">
        <v>28</v>
      </c>
      <c r="C23" s="22" t="s">
        <v>29</v>
      </c>
      <c r="D23" s="21"/>
      <c r="E23" s="21"/>
      <c r="F23" s="21"/>
      <c r="G23" s="21"/>
      <c r="H23" s="21"/>
    </row>
    <row r="24" ht="22" customHeight="1" spans="1:8">
      <c r="A24" s="22">
        <v>5</v>
      </c>
      <c r="B24" s="22" t="s">
        <v>30</v>
      </c>
      <c r="C24" s="22" t="s">
        <v>31</v>
      </c>
      <c r="D24" s="21"/>
      <c r="E24" s="21"/>
      <c r="F24" s="21"/>
      <c r="G24" s="21"/>
      <c r="H24" s="21"/>
    </row>
    <row r="25" ht="22" customHeight="1" spans="1:8">
      <c r="A25" s="22">
        <v>6</v>
      </c>
      <c r="B25" s="22" t="s">
        <v>32</v>
      </c>
      <c r="C25" s="22" t="s">
        <v>33</v>
      </c>
      <c r="D25" s="21"/>
      <c r="E25" s="21"/>
      <c r="F25" s="21"/>
      <c r="G25" s="21"/>
      <c r="H25" s="21"/>
    </row>
    <row r="26" ht="22" customHeight="1" spans="1:8">
      <c r="A26" s="22">
        <v>7</v>
      </c>
      <c r="B26" s="22" t="s">
        <v>34</v>
      </c>
      <c r="C26" s="22" t="s">
        <v>35</v>
      </c>
      <c r="D26" s="21"/>
      <c r="E26" s="21"/>
      <c r="F26" s="21"/>
      <c r="G26" s="21"/>
      <c r="H26" s="21"/>
    </row>
    <row r="27" ht="22" customHeight="1" spans="1:8">
      <c r="A27" s="22">
        <v>8</v>
      </c>
      <c r="B27" s="22" t="s">
        <v>36</v>
      </c>
      <c r="C27" s="22" t="s">
        <v>37</v>
      </c>
      <c r="D27" s="21"/>
      <c r="E27" s="21"/>
      <c r="F27" s="21"/>
      <c r="G27" s="21"/>
      <c r="H27" s="21"/>
    </row>
    <row r="28" ht="22" customHeight="1" spans="1:8">
      <c r="A28" s="22">
        <v>9</v>
      </c>
      <c r="B28" s="22" t="s">
        <v>38</v>
      </c>
      <c r="C28" s="22" t="s">
        <v>39</v>
      </c>
      <c r="D28" s="21"/>
      <c r="E28" s="21"/>
      <c r="F28" s="21"/>
      <c r="G28" s="21"/>
      <c r="H28" s="21"/>
    </row>
    <row r="29" ht="22" customHeight="1" spans="1:8">
      <c r="A29" s="22">
        <v>10</v>
      </c>
      <c r="B29" s="22" t="s">
        <v>40</v>
      </c>
      <c r="C29" s="22" t="s">
        <v>41</v>
      </c>
      <c r="D29" s="21"/>
      <c r="E29" s="21"/>
      <c r="F29" s="21"/>
      <c r="G29" s="21"/>
      <c r="H29" s="21"/>
    </row>
    <row r="30" ht="22" customHeight="1" spans="1:8">
      <c r="A30" s="21"/>
      <c r="B30" s="21"/>
      <c r="C30" s="21"/>
      <c r="D30" s="21"/>
      <c r="E30" s="21"/>
      <c r="F30" s="21"/>
      <c r="G30" s="21"/>
      <c r="H30" s="21"/>
    </row>
    <row r="31" ht="22" customHeight="1" spans="1:8">
      <c r="A31" s="25" t="s">
        <v>42</v>
      </c>
      <c r="B31" s="26"/>
      <c r="C31" s="26"/>
      <c r="D31" s="26"/>
      <c r="E31" s="26"/>
      <c r="F31" s="26"/>
      <c r="G31" s="26"/>
      <c r="H31" s="27"/>
    </row>
    <row r="32" ht="22" customHeight="1" spans="1:8">
      <c r="A32" s="21">
        <v>1</v>
      </c>
      <c r="B32" s="21" t="s">
        <v>43</v>
      </c>
      <c r="C32" s="21"/>
      <c r="D32" s="21"/>
      <c r="E32" s="21"/>
      <c r="F32" s="21"/>
      <c r="G32" s="21"/>
      <c r="H32" s="21"/>
    </row>
    <row r="33" ht="22" customHeight="1" spans="1:8">
      <c r="A33" s="21">
        <v>2</v>
      </c>
      <c r="B33" s="21" t="s">
        <v>44</v>
      </c>
      <c r="C33" s="21"/>
      <c r="D33" s="21"/>
      <c r="E33" s="21"/>
      <c r="F33" s="21"/>
      <c r="G33" s="21"/>
      <c r="H33" s="21"/>
    </row>
    <row r="34" ht="22" customHeight="1" spans="1:8">
      <c r="A34" s="21">
        <v>3</v>
      </c>
      <c r="B34" s="21" t="s">
        <v>45</v>
      </c>
      <c r="C34" s="21"/>
      <c r="D34" s="21"/>
      <c r="E34" s="21"/>
      <c r="F34" s="21"/>
      <c r="G34" s="21"/>
      <c r="H34" s="21"/>
    </row>
    <row r="35" ht="22" customHeight="1" spans="1:8">
      <c r="A35" s="21">
        <v>4</v>
      </c>
      <c r="B35" s="21" t="s">
        <v>46</v>
      </c>
      <c r="C35" s="21"/>
      <c r="D35" s="21"/>
      <c r="E35" s="21"/>
      <c r="F35" s="21"/>
      <c r="G35" s="21"/>
      <c r="H35" s="21"/>
    </row>
    <row r="36" ht="22" customHeight="1" spans="1:8">
      <c r="A36" s="21">
        <v>5</v>
      </c>
      <c r="B36" s="21" t="s">
        <v>47</v>
      </c>
      <c r="C36" s="21"/>
      <c r="D36" s="21"/>
      <c r="E36" s="21"/>
      <c r="F36" s="21"/>
      <c r="G36" s="21"/>
      <c r="H36" s="21"/>
    </row>
    <row r="37" ht="22" customHeight="1" spans="1:8">
      <c r="A37" s="21">
        <v>6</v>
      </c>
      <c r="B37" s="21" t="s">
        <v>48</v>
      </c>
      <c r="C37" s="21"/>
      <c r="D37" s="21"/>
      <c r="E37" s="21"/>
      <c r="F37" s="21"/>
      <c r="G37" s="21"/>
      <c r="H37" s="21"/>
    </row>
  </sheetData>
  <mergeCells count="21">
    <mergeCell ref="A1:H1"/>
    <mergeCell ref="A2:H2"/>
    <mergeCell ref="B4:C4"/>
    <mergeCell ref="B5:C5"/>
    <mergeCell ref="B6:C6"/>
    <mergeCell ref="B7:C7"/>
    <mergeCell ref="B8:C8"/>
    <mergeCell ref="A10:H10"/>
    <mergeCell ref="B11:H11"/>
    <mergeCell ref="B12:H12"/>
    <mergeCell ref="B13:H13"/>
    <mergeCell ref="B14:H14"/>
    <mergeCell ref="B15:H15"/>
    <mergeCell ref="A18:H18"/>
    <mergeCell ref="A31:H31"/>
    <mergeCell ref="B32:H32"/>
    <mergeCell ref="B33:H33"/>
    <mergeCell ref="B34:H34"/>
    <mergeCell ref="B35:H35"/>
    <mergeCell ref="B36:H36"/>
    <mergeCell ref="B37:H3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1F4E78"/>
  </sheetPr>
  <dimension ref="A1:F17"/>
  <sheetViews>
    <sheetView showGridLines="0" workbookViewId="0">
      <selection activeCell="B26" sqref="B26"/>
    </sheetView>
  </sheetViews>
  <sheetFormatPr defaultColWidth="9" defaultRowHeight="16.8" outlineLevelCol="5"/>
  <cols>
    <col min="1" max="1" width="22.9191176470588" customWidth="1"/>
    <col min="2" max="2" width="18.6470588235294" customWidth="1"/>
    <col min="3" max="3" width="8.64705882352941" customWidth="1"/>
    <col min="4" max="4" width="22.7941176470588" customWidth="1"/>
    <col min="5" max="5" width="24.2647058823529" customWidth="1"/>
    <col min="6" max="6" width="8.64705882352941" customWidth="1"/>
  </cols>
  <sheetData>
    <row r="1" ht="25" customHeight="1" spans="1:6">
      <c r="A1" s="4" t="s">
        <v>49</v>
      </c>
      <c r="B1" s="4"/>
      <c r="C1" s="4"/>
      <c r="D1" s="4"/>
      <c r="E1" s="4"/>
      <c r="F1" s="4"/>
    </row>
    <row r="2" spans="1:6">
      <c r="A2" s="5" t="s">
        <v>50</v>
      </c>
    </row>
    <row r="4" spans="1:6">
      <c r="A4" s="16" t="s">
        <v>51</v>
      </c>
      <c r="B4" s="16" t="s">
        <v>52</v>
      </c>
      <c r="C4" s="16" t="s">
        <v>53</v>
      </c>
      <c r="D4" s="16" t="s">
        <v>54</v>
      </c>
      <c r="E4" s="16" t="s">
        <v>55</v>
      </c>
      <c r="F4" s="16" t="s">
        <v>56</v>
      </c>
    </row>
    <row r="5" spans="1:6">
      <c r="A5" s="17">
        <f>COUNTA(沟通管理计划!A5:A24)</f>
        <v>8</v>
      </c>
      <c r="B5" s="17">
        <f>COUNTIF(会议计划!K5:K34,"未开始")+COUNTIF(会议计划!K5:K34,"已排期")</f>
        <v>9</v>
      </c>
      <c r="C5" s="17">
        <f>COUNTIF(行动项台账!J5:J104,"未开始")+COUNTIF(行动项台账!J5:J104,"进行中")+COUNTIF(行动项台账!J5:J104,"阻塞")</f>
        <v>0</v>
      </c>
      <c r="D5" s="17">
        <f>COUNTIF(行动项台账!L5:L104,"*逾期*")</f>
        <v>0</v>
      </c>
      <c r="E5" s="17">
        <f>COUNTIF(决策日志!J5:J54,"待决策")+COUNTIF(决策日志!J5:J54,"评估中")</f>
        <v>4</v>
      </c>
      <c r="F5" s="17">
        <f>COUNTIF(升级事项!I5:I54,"待升级")+COUNTIF(升级事项!I5:I54,"处理中")</f>
        <v>0</v>
      </c>
    </row>
    <row r="8" spans="1:6">
      <c r="A8" s="18" t="s">
        <v>57</v>
      </c>
      <c r="B8" s="18"/>
      <c r="C8" s="18"/>
      <c r="D8" s="18"/>
      <c r="E8" s="18"/>
      <c r="F8" s="18"/>
    </row>
    <row r="9" ht="32" customHeight="1" spans="1:6">
      <c r="A9" s="12" t="s">
        <v>58</v>
      </c>
      <c r="B9" s="12" t="s">
        <v>59</v>
      </c>
      <c r="C9" s="12" t="s">
        <v>60</v>
      </c>
      <c r="D9" s="12" t="s">
        <v>61</v>
      </c>
      <c r="E9" s="12" t="s">
        <v>62</v>
      </c>
      <c r="F9" s="12" t="s">
        <v>63</v>
      </c>
    </row>
    <row r="10" spans="1:6">
      <c r="A10" s="2" t="s">
        <v>64</v>
      </c>
      <c r="B10" s="2" t="s">
        <v>65</v>
      </c>
      <c r="C10" s="2" t="s">
        <v>66</v>
      </c>
      <c r="D10" s="15" t="s">
        <v>67</v>
      </c>
      <c r="E10" s="15" t="s">
        <v>68</v>
      </c>
      <c r="F10" s="2" t="s">
        <v>69</v>
      </c>
    </row>
    <row r="11" spans="1:6">
      <c r="A11" s="2" t="s">
        <v>70</v>
      </c>
      <c r="B11" s="2" t="s">
        <v>71</v>
      </c>
      <c r="C11" s="2" t="s">
        <v>72</v>
      </c>
      <c r="D11" s="15" t="s">
        <v>73</v>
      </c>
      <c r="E11" s="15" t="s">
        <v>74</v>
      </c>
      <c r="F11" s="2" t="s">
        <v>75</v>
      </c>
    </row>
    <row r="12" spans="1:6">
      <c r="A12" s="2" t="s">
        <v>76</v>
      </c>
      <c r="B12" s="2" t="s">
        <v>77</v>
      </c>
      <c r="C12" s="2" t="s">
        <v>72</v>
      </c>
      <c r="D12" s="15" t="s">
        <v>78</v>
      </c>
      <c r="E12" s="15" t="s">
        <v>79</v>
      </c>
      <c r="F12" s="2" t="s">
        <v>75</v>
      </c>
    </row>
    <row r="13" spans="1:6">
      <c r="A13" s="2" t="s">
        <v>80</v>
      </c>
      <c r="B13" s="2" t="s">
        <v>81</v>
      </c>
      <c r="C13" s="2" t="s">
        <v>72</v>
      </c>
      <c r="D13" s="15" t="s">
        <v>82</v>
      </c>
      <c r="E13" s="15" t="s">
        <v>83</v>
      </c>
      <c r="F13" s="2" t="s">
        <v>75</v>
      </c>
    </row>
    <row r="14" spans="1:6">
      <c r="A14" s="2" t="s">
        <v>84</v>
      </c>
      <c r="B14" s="2" t="s">
        <v>85</v>
      </c>
      <c r="C14" s="2" t="s">
        <v>86</v>
      </c>
      <c r="D14" s="15" t="s">
        <v>87</v>
      </c>
      <c r="E14" s="15" t="s">
        <v>88</v>
      </c>
      <c r="F14" s="2" t="s">
        <v>75</v>
      </c>
    </row>
    <row r="15" spans="1:6">
      <c r="A15" s="2" t="s">
        <v>89</v>
      </c>
      <c r="B15" s="2" t="s">
        <v>90</v>
      </c>
      <c r="C15" s="2" t="s">
        <v>91</v>
      </c>
      <c r="D15" s="15" t="s">
        <v>92</v>
      </c>
      <c r="E15" s="15" t="s">
        <v>93</v>
      </c>
      <c r="F15" s="2" t="s">
        <v>94</v>
      </c>
    </row>
    <row r="16" spans="1:6">
      <c r="A16" s="2" t="s">
        <v>95</v>
      </c>
      <c r="B16" s="2" t="s">
        <v>96</v>
      </c>
      <c r="C16" s="2" t="s">
        <v>97</v>
      </c>
      <c r="D16" s="15" t="s">
        <v>98</v>
      </c>
      <c r="E16" s="15" t="s">
        <v>99</v>
      </c>
      <c r="F16" s="2" t="s">
        <v>94</v>
      </c>
    </row>
    <row r="17" spans="1:6">
      <c r="A17" s="2" t="s">
        <v>100</v>
      </c>
      <c r="B17" s="2" t="s">
        <v>101</v>
      </c>
      <c r="C17" s="2" t="s">
        <v>72</v>
      </c>
      <c r="D17" s="15" t="s">
        <v>102</v>
      </c>
      <c r="E17" s="15" t="s">
        <v>103</v>
      </c>
      <c r="F17" s="2" t="s">
        <v>94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"/>
  <sheetViews>
    <sheetView showGridLines="0" tabSelected="1" workbookViewId="0">
      <pane xSplit="2" ySplit="4" topLeftCell="C5" activePane="bottomRight" state="frozen"/>
      <selection/>
      <selection pane="topRight"/>
      <selection pane="bottomLeft"/>
      <selection pane="bottomRight" activeCell="C17" sqref="C17"/>
    </sheetView>
  </sheetViews>
  <sheetFormatPr defaultColWidth="9" defaultRowHeight="16.8"/>
  <cols>
    <col min="1" max="1" width="13" customWidth="1"/>
    <col min="2" max="2" width="26" customWidth="1"/>
    <col min="3" max="4" width="34" customWidth="1"/>
    <col min="5" max="6" width="24" customWidth="1"/>
    <col min="7" max="8" width="18" customWidth="1"/>
    <col min="9" max="10" width="34" customWidth="1"/>
    <col min="11" max="13" width="18" customWidth="1"/>
  </cols>
  <sheetData>
    <row r="1" ht="25" customHeight="1" spans="1:13">
      <c r="A1" s="14" t="s">
        <v>24</v>
      </c>
      <c r="B1" s="1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104</v>
      </c>
    </row>
    <row r="4" ht="32" customHeight="1" spans="1:13">
      <c r="A4" s="12" t="s">
        <v>105</v>
      </c>
      <c r="B4" s="12" t="s">
        <v>106</v>
      </c>
      <c r="C4" s="12" t="s">
        <v>107</v>
      </c>
      <c r="D4" s="12" t="s">
        <v>108</v>
      </c>
      <c r="E4" s="12" t="s">
        <v>109</v>
      </c>
      <c r="F4" s="12" t="s">
        <v>110</v>
      </c>
      <c r="G4" s="12" t="s">
        <v>111</v>
      </c>
      <c r="H4" s="12" t="s">
        <v>112</v>
      </c>
      <c r="I4" s="12" t="s">
        <v>113</v>
      </c>
      <c r="J4" s="12" t="s">
        <v>114</v>
      </c>
      <c r="K4" s="12" t="s">
        <v>115</v>
      </c>
      <c r="L4" s="12" t="s">
        <v>116</v>
      </c>
      <c r="M4" s="12" t="s">
        <v>117</v>
      </c>
    </row>
    <row r="5" spans="1:13">
      <c r="A5" s="2" t="s">
        <v>118</v>
      </c>
      <c r="B5" s="15" t="s">
        <v>119</v>
      </c>
      <c r="C5" s="8" t="s">
        <v>120</v>
      </c>
      <c r="D5" s="8" t="s">
        <v>121</v>
      </c>
      <c r="E5" s="8" t="s">
        <v>122</v>
      </c>
      <c r="F5" s="8" t="s">
        <v>123</v>
      </c>
      <c r="G5" s="8" t="s">
        <v>72</v>
      </c>
      <c r="H5" s="8" t="s">
        <v>97</v>
      </c>
      <c r="I5" s="8" t="s">
        <v>124</v>
      </c>
      <c r="J5" s="8" t="s">
        <v>125</v>
      </c>
      <c r="K5" s="8" t="s">
        <v>126</v>
      </c>
      <c r="L5" s="8" t="s">
        <v>127</v>
      </c>
      <c r="M5" s="7" t="s">
        <v>128</v>
      </c>
    </row>
    <row r="6" spans="1:13">
      <c r="A6" s="2" t="s">
        <v>129</v>
      </c>
      <c r="B6" s="15" t="s">
        <v>130</v>
      </c>
      <c r="C6" s="8" t="s">
        <v>131</v>
      </c>
      <c r="D6" s="8" t="s">
        <v>132</v>
      </c>
      <c r="E6" s="8" t="s">
        <v>133</v>
      </c>
      <c r="F6" s="8" t="s">
        <v>134</v>
      </c>
      <c r="G6" s="8" t="s">
        <v>91</v>
      </c>
      <c r="H6" s="8" t="s">
        <v>91</v>
      </c>
      <c r="I6" s="8" t="s">
        <v>135</v>
      </c>
      <c r="J6" s="8" t="s">
        <v>136</v>
      </c>
      <c r="K6" s="8" t="s">
        <v>126</v>
      </c>
      <c r="L6" s="8" t="s">
        <v>137</v>
      </c>
      <c r="M6" s="7" t="s">
        <v>128</v>
      </c>
    </row>
    <row r="7" ht="31" spans="1:13">
      <c r="A7" s="2" t="s">
        <v>138</v>
      </c>
      <c r="B7" s="15" t="s">
        <v>139</v>
      </c>
      <c r="C7" s="8" t="s">
        <v>140</v>
      </c>
      <c r="D7" s="8" t="s">
        <v>141</v>
      </c>
      <c r="E7" s="8" t="s">
        <v>142</v>
      </c>
      <c r="F7" s="8" t="s">
        <v>143</v>
      </c>
      <c r="G7" s="8" t="s">
        <v>72</v>
      </c>
      <c r="H7" s="8" t="s">
        <v>97</v>
      </c>
      <c r="I7" s="8" t="s">
        <v>144</v>
      </c>
      <c r="J7" s="8" t="s">
        <v>145</v>
      </c>
      <c r="K7" s="8" t="s">
        <v>126</v>
      </c>
      <c r="L7" s="8" t="s">
        <v>146</v>
      </c>
      <c r="M7" s="7" t="s">
        <v>128</v>
      </c>
    </row>
    <row r="8" spans="1:13">
      <c r="A8" s="2" t="s">
        <v>147</v>
      </c>
      <c r="B8" s="15" t="s">
        <v>148</v>
      </c>
      <c r="C8" s="8" t="s">
        <v>149</v>
      </c>
      <c r="D8" s="8" t="s">
        <v>150</v>
      </c>
      <c r="E8" s="8" t="s">
        <v>151</v>
      </c>
      <c r="F8" s="8" t="s">
        <v>152</v>
      </c>
      <c r="G8" s="8" t="s">
        <v>97</v>
      </c>
      <c r="H8" s="8" t="s">
        <v>153</v>
      </c>
      <c r="I8" s="8" t="s">
        <v>154</v>
      </c>
      <c r="J8" s="8" t="s">
        <v>155</v>
      </c>
      <c r="K8" s="8" t="s">
        <v>126</v>
      </c>
      <c r="L8" s="8" t="s">
        <v>156</v>
      </c>
      <c r="M8" s="7" t="s">
        <v>128</v>
      </c>
    </row>
    <row r="9" ht="31" spans="1:13">
      <c r="A9" s="2" t="s">
        <v>157</v>
      </c>
      <c r="B9" s="15" t="s">
        <v>158</v>
      </c>
      <c r="C9" s="8" t="s">
        <v>159</v>
      </c>
      <c r="D9" s="8" t="s">
        <v>160</v>
      </c>
      <c r="E9" s="8" t="s">
        <v>161</v>
      </c>
      <c r="F9" s="8" t="s">
        <v>162</v>
      </c>
      <c r="G9" s="8" t="s">
        <v>66</v>
      </c>
      <c r="H9" s="8" t="s">
        <v>66</v>
      </c>
      <c r="I9" s="8" t="s">
        <v>163</v>
      </c>
      <c r="J9" s="8" t="s">
        <v>164</v>
      </c>
      <c r="K9" s="8" t="s">
        <v>165</v>
      </c>
      <c r="L9" s="8" t="s">
        <v>166</v>
      </c>
      <c r="M9" s="7" t="s">
        <v>128</v>
      </c>
    </row>
    <row r="10" ht="31" spans="1:13">
      <c r="A10" s="2" t="s">
        <v>167</v>
      </c>
      <c r="B10" s="15" t="s">
        <v>168</v>
      </c>
      <c r="C10" s="8" t="s">
        <v>169</v>
      </c>
      <c r="D10" s="8" t="s">
        <v>170</v>
      </c>
      <c r="E10" s="8" t="s">
        <v>171</v>
      </c>
      <c r="F10" s="8" t="s">
        <v>172</v>
      </c>
      <c r="G10" s="8" t="s">
        <v>66</v>
      </c>
      <c r="H10" s="8" t="s">
        <v>173</v>
      </c>
      <c r="I10" s="8" t="s">
        <v>174</v>
      </c>
      <c r="J10" s="8" t="s">
        <v>175</v>
      </c>
      <c r="K10" s="8" t="s">
        <v>176</v>
      </c>
      <c r="L10" s="8" t="s">
        <v>177</v>
      </c>
      <c r="M10" s="7" t="s">
        <v>69</v>
      </c>
    </row>
    <row r="11" ht="31" spans="1:13">
      <c r="A11" s="2" t="s">
        <v>178</v>
      </c>
      <c r="B11" s="15" t="s">
        <v>179</v>
      </c>
      <c r="C11" s="8" t="s">
        <v>180</v>
      </c>
      <c r="D11" s="8" t="s">
        <v>181</v>
      </c>
      <c r="E11" s="8" t="s">
        <v>182</v>
      </c>
      <c r="F11" s="8" t="s">
        <v>183</v>
      </c>
      <c r="G11" s="8" t="s">
        <v>97</v>
      </c>
      <c r="H11" s="8" t="s">
        <v>184</v>
      </c>
      <c r="I11" s="8" t="s">
        <v>185</v>
      </c>
      <c r="J11" s="8" t="s">
        <v>186</v>
      </c>
      <c r="K11" s="8" t="s">
        <v>176</v>
      </c>
      <c r="L11" s="8" t="s">
        <v>187</v>
      </c>
      <c r="M11" s="7" t="s">
        <v>128</v>
      </c>
    </row>
    <row r="12" spans="1:13">
      <c r="A12" s="2" t="s">
        <v>188</v>
      </c>
      <c r="B12" s="15" t="s">
        <v>189</v>
      </c>
      <c r="C12" s="8" t="s">
        <v>190</v>
      </c>
      <c r="D12" s="8" t="s">
        <v>191</v>
      </c>
      <c r="E12" s="8" t="s">
        <v>192</v>
      </c>
      <c r="F12" s="8" t="s">
        <v>193</v>
      </c>
      <c r="G12" s="8" t="s">
        <v>97</v>
      </c>
      <c r="H12" s="8" t="s">
        <v>194</v>
      </c>
      <c r="I12" s="8" t="s">
        <v>195</v>
      </c>
      <c r="J12" s="8" t="s">
        <v>196</v>
      </c>
      <c r="K12" s="8" t="s">
        <v>197</v>
      </c>
      <c r="L12" s="8" t="s">
        <v>198</v>
      </c>
      <c r="M12" s="7" t="s">
        <v>128</v>
      </c>
    </row>
  </sheetData>
  <mergeCells count="1">
    <mergeCell ref="A1:B1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8" customWidth="1"/>
    <col min="3" max="7" width="17" customWidth="1"/>
    <col min="8" max="10" width="34" customWidth="1"/>
    <col min="11" max="12" width="16" customWidth="1"/>
  </cols>
  <sheetData>
    <row r="1" ht="25" customHeight="1" spans="1:12">
      <c r="A1" s="4" t="s">
        <v>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5" t="s">
        <v>199</v>
      </c>
    </row>
    <row r="4" ht="32" customHeight="1" spans="1:12">
      <c r="A4" s="12" t="s">
        <v>200</v>
      </c>
      <c r="B4" s="12" t="s">
        <v>201</v>
      </c>
      <c r="C4" s="12" t="s">
        <v>202</v>
      </c>
      <c r="D4" s="12" t="s">
        <v>203</v>
      </c>
      <c r="E4" s="12" t="s">
        <v>110</v>
      </c>
      <c r="F4" s="12" t="s">
        <v>204</v>
      </c>
      <c r="G4" s="12" t="s">
        <v>60</v>
      </c>
      <c r="H4" s="12" t="s">
        <v>205</v>
      </c>
      <c r="I4" s="12" t="s">
        <v>206</v>
      </c>
      <c r="J4" s="12" t="s">
        <v>62</v>
      </c>
      <c r="K4" s="12" t="s">
        <v>117</v>
      </c>
      <c r="L4" s="12" t="s">
        <v>207</v>
      </c>
    </row>
    <row r="5" spans="1:12">
      <c r="A5" s="2" t="s">
        <v>208</v>
      </c>
      <c r="B5" s="2" t="s">
        <v>209</v>
      </c>
      <c r="C5" s="2" t="s">
        <v>210</v>
      </c>
      <c r="D5" s="2" t="s">
        <v>211</v>
      </c>
      <c r="E5" s="2" t="s">
        <v>212</v>
      </c>
      <c r="F5" s="7" t="s">
        <v>213</v>
      </c>
      <c r="G5" s="7" t="s">
        <v>86</v>
      </c>
      <c r="H5" s="8" t="s">
        <v>214</v>
      </c>
      <c r="I5" s="8" t="s">
        <v>215</v>
      </c>
      <c r="J5" s="8" t="s">
        <v>216</v>
      </c>
      <c r="K5" s="7" t="s">
        <v>94</v>
      </c>
      <c r="L5" s="7" t="s">
        <v>217</v>
      </c>
    </row>
    <row r="6" spans="1:12">
      <c r="A6" s="2" t="s">
        <v>218</v>
      </c>
      <c r="B6" s="2" t="s">
        <v>219</v>
      </c>
      <c r="C6" s="2" t="s">
        <v>220</v>
      </c>
      <c r="D6" s="2" t="s">
        <v>211</v>
      </c>
      <c r="E6" s="2" t="s">
        <v>143</v>
      </c>
      <c r="F6" s="7" t="s">
        <v>221</v>
      </c>
      <c r="G6" s="7" t="s">
        <v>72</v>
      </c>
      <c r="H6" s="8" t="s">
        <v>222</v>
      </c>
      <c r="I6" s="8" t="s">
        <v>223</v>
      </c>
      <c r="J6" s="8" t="s">
        <v>224</v>
      </c>
      <c r="K6" s="7" t="s">
        <v>75</v>
      </c>
      <c r="L6" s="7" t="s">
        <v>217</v>
      </c>
    </row>
    <row r="7" spans="1:12">
      <c r="A7" s="2" t="s">
        <v>225</v>
      </c>
      <c r="B7" s="2" t="s">
        <v>226</v>
      </c>
      <c r="C7" s="2" t="s">
        <v>227</v>
      </c>
      <c r="D7" s="2" t="s">
        <v>211</v>
      </c>
      <c r="E7" s="2" t="s">
        <v>143</v>
      </c>
      <c r="F7" s="7" t="s">
        <v>228</v>
      </c>
      <c r="G7" s="7" t="s">
        <v>97</v>
      </c>
      <c r="H7" s="8" t="s">
        <v>229</v>
      </c>
      <c r="I7" s="8" t="s">
        <v>230</v>
      </c>
      <c r="J7" s="8" t="s">
        <v>231</v>
      </c>
      <c r="K7" s="7" t="s">
        <v>75</v>
      </c>
      <c r="L7" s="7" t="s">
        <v>217</v>
      </c>
    </row>
    <row r="8" spans="1:12">
      <c r="A8" s="2" t="s">
        <v>232</v>
      </c>
      <c r="B8" s="2" t="s">
        <v>233</v>
      </c>
      <c r="C8" s="2" t="s">
        <v>234</v>
      </c>
      <c r="D8" s="2" t="s">
        <v>235</v>
      </c>
      <c r="E8" s="2" t="s">
        <v>236</v>
      </c>
      <c r="F8" s="7" t="s">
        <v>237</v>
      </c>
      <c r="G8" s="7" t="s">
        <v>91</v>
      </c>
      <c r="H8" s="8" t="s">
        <v>238</v>
      </c>
      <c r="I8" s="8" t="s">
        <v>239</v>
      </c>
      <c r="J8" s="8" t="s">
        <v>240</v>
      </c>
      <c r="K8" s="7" t="s">
        <v>94</v>
      </c>
      <c r="L8" s="7" t="s">
        <v>217</v>
      </c>
    </row>
    <row r="9" spans="1:12">
      <c r="A9" s="2" t="s">
        <v>241</v>
      </c>
      <c r="B9" s="2" t="s">
        <v>242</v>
      </c>
      <c r="C9" s="2" t="s">
        <v>243</v>
      </c>
      <c r="D9" s="2" t="s">
        <v>244</v>
      </c>
      <c r="E9" s="2" t="s">
        <v>245</v>
      </c>
      <c r="F9" s="7" t="s">
        <v>246</v>
      </c>
      <c r="G9" s="7" t="s">
        <v>66</v>
      </c>
      <c r="H9" s="8" t="s">
        <v>247</v>
      </c>
      <c r="I9" s="8" t="s">
        <v>248</v>
      </c>
      <c r="J9" s="8" t="s">
        <v>249</v>
      </c>
      <c r="K9" s="7" t="s">
        <v>94</v>
      </c>
      <c r="L9" s="7" t="s">
        <v>217</v>
      </c>
    </row>
    <row r="10" spans="1:12">
      <c r="A10" s="2" t="s">
        <v>250</v>
      </c>
      <c r="B10" s="2" t="s">
        <v>251</v>
      </c>
      <c r="C10" s="2" t="s">
        <v>252</v>
      </c>
      <c r="D10" s="2" t="s">
        <v>253</v>
      </c>
      <c r="E10" s="2" t="s">
        <v>254</v>
      </c>
      <c r="F10" s="7" t="s">
        <v>255</v>
      </c>
      <c r="G10" s="7" t="s">
        <v>66</v>
      </c>
      <c r="H10" s="8" t="s">
        <v>256</v>
      </c>
      <c r="I10" s="8" t="s">
        <v>257</v>
      </c>
      <c r="J10" s="8" t="s">
        <v>258</v>
      </c>
      <c r="K10" s="7" t="s">
        <v>69</v>
      </c>
      <c r="L10" s="7" t="s">
        <v>217</v>
      </c>
    </row>
    <row r="11" spans="1:12">
      <c r="A11" s="2" t="s">
        <v>259</v>
      </c>
      <c r="B11" s="2" t="s">
        <v>260</v>
      </c>
      <c r="C11" s="2" t="s">
        <v>261</v>
      </c>
      <c r="D11" s="2" t="s">
        <v>262</v>
      </c>
      <c r="E11" s="2" t="s">
        <v>263</v>
      </c>
      <c r="F11" s="7" t="s">
        <v>264</v>
      </c>
      <c r="G11" s="7" t="s">
        <v>97</v>
      </c>
      <c r="H11" s="8" t="s">
        <v>265</v>
      </c>
      <c r="I11" s="8" t="s">
        <v>266</v>
      </c>
      <c r="J11" s="8" t="s">
        <v>267</v>
      </c>
      <c r="K11" s="7" t="s">
        <v>94</v>
      </c>
      <c r="L11" s="7" t="s">
        <v>217</v>
      </c>
    </row>
    <row r="12" spans="1:12">
      <c r="A12" s="2" t="s">
        <v>268</v>
      </c>
      <c r="B12" s="2" t="s">
        <v>269</v>
      </c>
      <c r="C12" s="2" t="s">
        <v>270</v>
      </c>
      <c r="D12" s="2" t="s">
        <v>271</v>
      </c>
      <c r="E12" s="2" t="s">
        <v>272</v>
      </c>
      <c r="F12" s="7" t="s">
        <v>273</v>
      </c>
      <c r="G12" s="7" t="s">
        <v>274</v>
      </c>
      <c r="H12" s="8" t="s">
        <v>275</v>
      </c>
      <c r="I12" s="8" t="s">
        <v>276</v>
      </c>
      <c r="J12" s="8" t="s">
        <v>277</v>
      </c>
      <c r="K12" s="7" t="s">
        <v>94</v>
      </c>
      <c r="L12" s="7" t="s">
        <v>217</v>
      </c>
    </row>
    <row r="13" spans="1:12">
      <c r="A13" s="2" t="s">
        <v>278</v>
      </c>
      <c r="B13" s="2" t="s">
        <v>95</v>
      </c>
      <c r="C13" s="2" t="s">
        <v>279</v>
      </c>
      <c r="D13" s="2" t="s">
        <v>280</v>
      </c>
      <c r="E13" s="2" t="s">
        <v>272</v>
      </c>
      <c r="F13" s="7" t="s">
        <v>96</v>
      </c>
      <c r="G13" s="7" t="s">
        <v>97</v>
      </c>
      <c r="H13" s="8" t="s">
        <v>281</v>
      </c>
      <c r="I13" s="8" t="s">
        <v>282</v>
      </c>
      <c r="J13" s="8" t="s">
        <v>283</v>
      </c>
      <c r="K13" s="7" t="s">
        <v>94</v>
      </c>
      <c r="L13" s="7" t="s">
        <v>217</v>
      </c>
    </row>
    <row r="14" spans="1:12">
      <c r="A14" s="2" t="s">
        <v>284</v>
      </c>
      <c r="B14" s="2" t="s">
        <v>100</v>
      </c>
      <c r="C14" s="2" t="s">
        <v>285</v>
      </c>
      <c r="D14" s="2" t="s">
        <v>286</v>
      </c>
      <c r="E14" s="2" t="s">
        <v>272</v>
      </c>
      <c r="F14" s="7" t="s">
        <v>101</v>
      </c>
      <c r="G14" s="7" t="s">
        <v>72</v>
      </c>
      <c r="H14" s="8" t="s">
        <v>287</v>
      </c>
      <c r="I14" s="8" t="s">
        <v>288</v>
      </c>
      <c r="J14" s="8" t="s">
        <v>289</v>
      </c>
      <c r="K14" s="7" t="s">
        <v>94</v>
      </c>
      <c r="L14" s="7" t="s">
        <v>217</v>
      </c>
    </row>
    <row r="15" spans="1:12">
      <c r="F15" s="13"/>
      <c r="G15" s="13"/>
      <c r="H15" s="13"/>
      <c r="I15" s="13"/>
      <c r="J15" s="13"/>
      <c r="K15" s="13"/>
      <c r="L15" s="13"/>
    </row>
    <row r="16" spans="1:12">
      <c r="F16" s="13"/>
      <c r="G16" s="13"/>
      <c r="H16" s="13"/>
      <c r="I16" s="13"/>
      <c r="J16" s="13"/>
      <c r="K16" s="13"/>
      <c r="L16" s="13"/>
    </row>
    <row r="17" spans="6:12">
      <c r="F17" s="13"/>
      <c r="G17" s="13"/>
      <c r="H17" s="13"/>
      <c r="I17" s="13"/>
      <c r="J17" s="13"/>
      <c r="K17" s="13"/>
      <c r="L17" s="13"/>
    </row>
    <row r="18" spans="6:12">
      <c r="F18" s="13"/>
      <c r="G18" s="13"/>
      <c r="H18" s="13"/>
      <c r="I18" s="13"/>
      <c r="J18" s="13"/>
      <c r="K18" s="13"/>
      <c r="L18" s="13"/>
    </row>
    <row r="19" spans="6:12">
      <c r="F19" s="13"/>
      <c r="G19" s="13"/>
      <c r="H19" s="13"/>
      <c r="I19" s="13"/>
      <c r="J19" s="13"/>
      <c r="K19" s="13"/>
      <c r="L19" s="13"/>
    </row>
    <row r="20" spans="6:12">
      <c r="F20" s="13"/>
      <c r="G20" s="13"/>
      <c r="H20" s="13"/>
      <c r="I20" s="13"/>
      <c r="J20" s="13"/>
      <c r="K20" s="13"/>
      <c r="L20" s="13"/>
    </row>
    <row r="21" spans="6:12">
      <c r="F21" s="13"/>
      <c r="G21" s="13"/>
      <c r="H21" s="13"/>
      <c r="I21" s="13"/>
      <c r="J21" s="13"/>
      <c r="K21" s="13"/>
      <c r="L21" s="13"/>
    </row>
    <row r="22" spans="6:12">
      <c r="F22" s="13"/>
      <c r="G22" s="13"/>
      <c r="H22" s="13"/>
      <c r="I22" s="13"/>
      <c r="J22" s="13"/>
      <c r="K22" s="13"/>
      <c r="L22" s="13"/>
    </row>
    <row r="23" spans="6:12">
      <c r="F23" s="13"/>
      <c r="G23" s="13"/>
      <c r="H23" s="13"/>
      <c r="I23" s="13"/>
      <c r="J23" s="13"/>
      <c r="K23" s="13"/>
      <c r="L23" s="13"/>
    </row>
    <row r="24" spans="6:12">
      <c r="F24" s="13"/>
      <c r="G24" s="13"/>
      <c r="H24" s="13"/>
      <c r="I24" s="13"/>
      <c r="J24" s="13"/>
      <c r="K24" s="13"/>
      <c r="L24" s="13"/>
    </row>
    <row r="25" spans="6:12">
      <c r="F25" s="13"/>
      <c r="G25" s="13"/>
      <c r="H25" s="13"/>
      <c r="I25" s="13"/>
      <c r="J25" s="13"/>
      <c r="K25" s="13"/>
      <c r="L25" s="13"/>
    </row>
    <row r="26" spans="6:12">
      <c r="F26" s="13"/>
      <c r="G26" s="13"/>
      <c r="H26" s="13"/>
      <c r="I26" s="13"/>
      <c r="J26" s="13"/>
      <c r="K26" s="13"/>
      <c r="L26" s="13"/>
    </row>
    <row r="27" spans="6:12">
      <c r="F27" s="13"/>
      <c r="G27" s="13"/>
      <c r="H27" s="13"/>
      <c r="I27" s="13"/>
      <c r="J27" s="13"/>
      <c r="K27" s="13"/>
      <c r="L27" s="13"/>
    </row>
    <row r="28" spans="6:12">
      <c r="F28" s="13"/>
      <c r="G28" s="13"/>
      <c r="H28" s="13"/>
      <c r="I28" s="13"/>
      <c r="J28" s="13"/>
      <c r="K28" s="13"/>
      <c r="L28" s="13"/>
    </row>
    <row r="29" spans="6:12">
      <c r="F29" s="13"/>
      <c r="G29" s="13"/>
      <c r="H29" s="13"/>
      <c r="I29" s="13"/>
      <c r="J29" s="13"/>
      <c r="K29" s="13"/>
      <c r="L29" s="13"/>
    </row>
    <row r="30" spans="6:12">
      <c r="F30" s="13"/>
      <c r="G30" s="13"/>
      <c r="H30" s="13"/>
      <c r="I30" s="13"/>
      <c r="J30" s="13"/>
      <c r="K30" s="13"/>
      <c r="L30" s="13"/>
    </row>
    <row r="31" spans="6:12">
      <c r="F31" s="13"/>
      <c r="G31" s="13"/>
      <c r="H31" s="13"/>
      <c r="I31" s="13"/>
      <c r="J31" s="13"/>
      <c r="K31" s="13"/>
      <c r="L31" s="13"/>
    </row>
    <row r="32" spans="6:12">
      <c r="F32" s="13"/>
      <c r="G32" s="13"/>
      <c r="H32" s="13"/>
      <c r="I32" s="13"/>
      <c r="J32" s="13"/>
      <c r="K32" s="13"/>
      <c r="L32" s="13"/>
    </row>
    <row r="33" spans="6:12">
      <c r="F33" s="13"/>
      <c r="G33" s="13"/>
      <c r="H33" s="13"/>
      <c r="I33" s="13"/>
      <c r="J33" s="13"/>
      <c r="K33" s="13"/>
      <c r="L33" s="13"/>
    </row>
    <row r="34" spans="6:12">
      <c r="F34" s="13"/>
      <c r="G34" s="13"/>
      <c r="H34" s="13"/>
      <c r="I34" s="13"/>
      <c r="J34" s="13"/>
      <c r="K34" s="13"/>
      <c r="L34" s="13"/>
    </row>
  </sheetData>
  <dataValidations count="1">
    <dataValidation type="list" sqref="K5:K34">
      <formula1>"未开始,已排期,进行中,已完成,已取消"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4" customWidth="1"/>
    <col min="4" max="7" width="20" customWidth="1"/>
    <col min="8" max="9" width="36" customWidth="1"/>
    <col min="10" max="15" width="18" customWidth="1"/>
  </cols>
  <sheetData>
    <row r="1" ht="25" customHeight="1" spans="1:15">
      <c r="A1" s="4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5">
      <c r="A2" s="5" t="s">
        <v>290</v>
      </c>
    </row>
    <row r="4" ht="32" customHeight="1" spans="1:15">
      <c r="A4" s="6" t="s">
        <v>291</v>
      </c>
      <c r="B4" s="6" t="s">
        <v>292</v>
      </c>
      <c r="C4" s="6" t="s">
        <v>293</v>
      </c>
      <c r="D4" s="6" t="s">
        <v>294</v>
      </c>
      <c r="E4" s="6" t="s">
        <v>60</v>
      </c>
      <c r="F4" s="6" t="s">
        <v>295</v>
      </c>
      <c r="G4" s="6" t="s">
        <v>296</v>
      </c>
      <c r="H4" s="6" t="s">
        <v>297</v>
      </c>
      <c r="I4" s="6" t="s">
        <v>298</v>
      </c>
      <c r="J4" s="6" t="s">
        <v>299</v>
      </c>
      <c r="K4" s="6" t="s">
        <v>300</v>
      </c>
      <c r="L4" s="6" t="s">
        <v>301</v>
      </c>
      <c r="M4" s="6" t="s">
        <v>302</v>
      </c>
      <c r="N4" s="6" t="s">
        <v>303</v>
      </c>
      <c r="O4" s="6" t="s">
        <v>304</v>
      </c>
    </row>
    <row r="5" spans="1:15">
      <c r="A5" s="7"/>
      <c r="B5" s="7"/>
      <c r="C5" s="9"/>
      <c r="D5" s="7"/>
      <c r="E5" s="7"/>
      <c r="F5" s="7"/>
      <c r="G5" s="8"/>
      <c r="H5" s="8"/>
      <c r="I5" s="8"/>
      <c r="J5" s="8"/>
      <c r="K5" s="8"/>
      <c r="L5" s="8"/>
      <c r="M5" s="8"/>
      <c r="N5" s="11"/>
      <c r="O5" s="7"/>
    </row>
    <row r="6" spans="1:15">
      <c r="A6" s="7"/>
      <c r="B6" s="7"/>
      <c r="C6" s="9"/>
      <c r="D6" s="7"/>
      <c r="E6" s="7"/>
      <c r="F6" s="7"/>
      <c r="G6" s="8"/>
      <c r="H6" s="8"/>
      <c r="I6" s="8"/>
      <c r="J6" s="8"/>
      <c r="K6" s="8"/>
      <c r="L6" s="8"/>
      <c r="M6" s="8"/>
      <c r="N6" s="11"/>
      <c r="O6" s="7"/>
    </row>
    <row r="7" spans="1:15">
      <c r="A7" s="7"/>
      <c r="B7" s="7"/>
      <c r="C7" s="9"/>
      <c r="D7" s="7"/>
      <c r="E7" s="7"/>
      <c r="F7" s="7"/>
      <c r="G7" s="8"/>
      <c r="H7" s="8"/>
      <c r="I7" s="8"/>
      <c r="J7" s="8"/>
      <c r="K7" s="8"/>
      <c r="L7" s="8"/>
      <c r="M7" s="8"/>
      <c r="N7" s="11"/>
      <c r="O7" s="7"/>
    </row>
    <row r="8" spans="1:15">
      <c r="A8" s="7"/>
      <c r="B8" s="7"/>
      <c r="C8" s="9"/>
      <c r="D8" s="7"/>
      <c r="E8" s="7"/>
      <c r="F8" s="7"/>
      <c r="G8" s="8"/>
      <c r="H8" s="8"/>
      <c r="I8" s="8"/>
      <c r="J8" s="8"/>
      <c r="K8" s="8"/>
      <c r="L8" s="8"/>
      <c r="M8" s="8"/>
      <c r="N8" s="11"/>
      <c r="O8" s="7"/>
    </row>
    <row r="9" spans="1:15">
      <c r="A9" s="7"/>
      <c r="B9" s="7"/>
      <c r="C9" s="9"/>
      <c r="D9" s="7"/>
      <c r="E9" s="7"/>
      <c r="F9" s="7"/>
      <c r="G9" s="8"/>
      <c r="H9" s="8"/>
      <c r="I9" s="8"/>
      <c r="J9" s="8"/>
      <c r="K9" s="8"/>
      <c r="L9" s="8"/>
      <c r="M9" s="8"/>
      <c r="N9" s="11"/>
      <c r="O9" s="7"/>
    </row>
    <row r="10" spans="1:15">
      <c r="A10" s="7"/>
      <c r="B10" s="7"/>
      <c r="C10" s="9"/>
      <c r="D10" s="7"/>
      <c r="E10" s="7"/>
      <c r="F10" s="7"/>
      <c r="G10" s="8"/>
      <c r="H10" s="8"/>
      <c r="I10" s="8"/>
      <c r="J10" s="8"/>
      <c r="K10" s="8"/>
      <c r="L10" s="8"/>
      <c r="M10" s="8"/>
      <c r="N10" s="11"/>
      <c r="O10" s="7"/>
    </row>
    <row r="11" spans="1:15">
      <c r="A11" s="7"/>
      <c r="B11" s="7"/>
      <c r="C11" s="9"/>
      <c r="D11" s="7"/>
      <c r="E11" s="7"/>
      <c r="F11" s="7"/>
      <c r="G11" s="8"/>
      <c r="H11" s="8"/>
      <c r="I11" s="8"/>
      <c r="J11" s="8"/>
      <c r="K11" s="8"/>
      <c r="L11" s="8"/>
      <c r="M11" s="8"/>
      <c r="N11" s="11"/>
      <c r="O11" s="7"/>
    </row>
    <row r="12" spans="1:15">
      <c r="A12" s="7"/>
      <c r="B12" s="7"/>
      <c r="C12" s="9"/>
      <c r="D12" s="7"/>
      <c r="E12" s="7"/>
      <c r="F12" s="7"/>
      <c r="G12" s="8"/>
      <c r="H12" s="8"/>
      <c r="I12" s="8"/>
      <c r="J12" s="8"/>
      <c r="K12" s="8"/>
      <c r="L12" s="8"/>
      <c r="M12" s="8"/>
      <c r="N12" s="11"/>
      <c r="O12" s="7"/>
    </row>
    <row r="13" spans="1:15">
      <c r="A13" s="7"/>
      <c r="B13" s="7"/>
      <c r="C13" s="9"/>
      <c r="D13" s="7"/>
      <c r="E13" s="7"/>
      <c r="F13" s="7"/>
      <c r="G13" s="8"/>
      <c r="H13" s="8"/>
      <c r="I13" s="8"/>
      <c r="J13" s="8"/>
      <c r="K13" s="8"/>
      <c r="L13" s="8"/>
      <c r="M13" s="8"/>
      <c r="N13" s="11"/>
      <c r="O13" s="7"/>
    </row>
    <row r="14" spans="1:15">
      <c r="A14" s="7"/>
      <c r="B14" s="7"/>
      <c r="C14" s="9"/>
      <c r="D14" s="7"/>
      <c r="E14" s="7"/>
      <c r="F14" s="7"/>
      <c r="G14" s="8"/>
      <c r="H14" s="8"/>
      <c r="I14" s="8"/>
      <c r="J14" s="8"/>
      <c r="K14" s="8"/>
      <c r="L14" s="8"/>
      <c r="M14" s="8"/>
      <c r="N14" s="11"/>
      <c r="O14" s="7"/>
    </row>
    <row r="15" spans="1:15">
      <c r="A15" s="7"/>
      <c r="B15" s="7"/>
      <c r="C15" s="9"/>
      <c r="D15" s="7"/>
      <c r="E15" s="7"/>
      <c r="F15" s="7"/>
      <c r="G15" s="8"/>
      <c r="H15" s="8"/>
      <c r="I15" s="8"/>
      <c r="J15" s="8"/>
      <c r="K15" s="8"/>
      <c r="L15" s="8"/>
      <c r="M15" s="8"/>
      <c r="N15" s="11"/>
      <c r="O15" s="7"/>
    </row>
    <row r="16" spans="1:15">
      <c r="A16" s="7"/>
      <c r="B16" s="7"/>
      <c r="C16" s="9"/>
      <c r="D16" s="7"/>
      <c r="E16" s="7"/>
      <c r="F16" s="7"/>
      <c r="G16" s="8"/>
      <c r="H16" s="8"/>
      <c r="I16" s="8"/>
      <c r="J16" s="8"/>
      <c r="K16" s="8"/>
      <c r="L16" s="8"/>
      <c r="M16" s="8"/>
      <c r="N16" s="11"/>
      <c r="O16" s="7"/>
    </row>
    <row r="17" spans="1:15">
      <c r="A17" s="7"/>
      <c r="B17" s="7"/>
      <c r="C17" s="9"/>
      <c r="D17" s="7"/>
      <c r="E17" s="7"/>
      <c r="F17" s="7"/>
      <c r="G17" s="8"/>
      <c r="H17" s="8"/>
      <c r="I17" s="8"/>
      <c r="J17" s="8"/>
      <c r="K17" s="8"/>
      <c r="L17" s="8"/>
      <c r="M17" s="8"/>
      <c r="N17" s="11"/>
      <c r="O17" s="7"/>
    </row>
    <row r="18" spans="1:15">
      <c r="A18" s="7"/>
      <c r="B18" s="7"/>
      <c r="C18" s="9"/>
      <c r="D18" s="7"/>
      <c r="E18" s="7"/>
      <c r="F18" s="7"/>
      <c r="G18" s="8"/>
      <c r="H18" s="8"/>
      <c r="I18" s="8"/>
      <c r="J18" s="8"/>
      <c r="K18" s="8"/>
      <c r="L18" s="8"/>
      <c r="M18" s="8"/>
      <c r="N18" s="11"/>
      <c r="O18" s="7"/>
    </row>
    <row r="19" spans="1:15">
      <c r="A19" s="7"/>
      <c r="B19" s="7"/>
      <c r="C19" s="9"/>
      <c r="D19" s="7"/>
      <c r="E19" s="7"/>
      <c r="F19" s="7"/>
      <c r="G19" s="8"/>
      <c r="H19" s="8"/>
      <c r="I19" s="8"/>
      <c r="J19" s="8"/>
      <c r="K19" s="8"/>
      <c r="L19" s="8"/>
      <c r="M19" s="8"/>
      <c r="N19" s="11"/>
      <c r="O19" s="7"/>
    </row>
    <row r="20" spans="1:15">
      <c r="A20" s="7"/>
      <c r="B20" s="7"/>
      <c r="C20" s="9"/>
      <c r="D20" s="7"/>
      <c r="E20" s="7"/>
      <c r="F20" s="7"/>
      <c r="G20" s="8"/>
      <c r="H20" s="8"/>
      <c r="I20" s="8"/>
      <c r="J20" s="8"/>
      <c r="K20" s="8"/>
      <c r="L20" s="8"/>
      <c r="M20" s="8"/>
      <c r="N20" s="11"/>
      <c r="O20" s="7"/>
    </row>
    <row r="21" spans="1:15">
      <c r="A21" s="7"/>
      <c r="B21" s="7"/>
      <c r="C21" s="9"/>
      <c r="D21" s="7"/>
      <c r="E21" s="7"/>
      <c r="F21" s="7"/>
      <c r="G21" s="8"/>
      <c r="H21" s="8"/>
      <c r="I21" s="8"/>
      <c r="J21" s="8"/>
      <c r="K21" s="8"/>
      <c r="L21" s="8"/>
      <c r="M21" s="8"/>
      <c r="N21" s="11"/>
      <c r="O21" s="7"/>
    </row>
    <row r="22" spans="1:15">
      <c r="A22" s="7"/>
      <c r="B22" s="7"/>
      <c r="C22" s="9"/>
      <c r="D22" s="7"/>
      <c r="E22" s="7"/>
      <c r="F22" s="7"/>
      <c r="G22" s="8"/>
      <c r="H22" s="8"/>
      <c r="I22" s="8"/>
      <c r="J22" s="8"/>
      <c r="K22" s="8"/>
      <c r="L22" s="8"/>
      <c r="M22" s="8"/>
      <c r="N22" s="11"/>
      <c r="O22" s="7"/>
    </row>
    <row r="23" spans="1:15">
      <c r="A23" s="7"/>
      <c r="B23" s="7"/>
      <c r="C23" s="9"/>
      <c r="D23" s="7"/>
      <c r="E23" s="7"/>
      <c r="F23" s="7"/>
      <c r="G23" s="8"/>
      <c r="H23" s="8"/>
      <c r="I23" s="8"/>
      <c r="J23" s="8"/>
      <c r="K23" s="8"/>
      <c r="L23" s="8"/>
      <c r="M23" s="8"/>
      <c r="N23" s="11"/>
      <c r="O23" s="7"/>
    </row>
    <row r="24" spans="1:15">
      <c r="A24" s="7"/>
      <c r="B24" s="7"/>
      <c r="C24" s="9"/>
      <c r="D24" s="7"/>
      <c r="E24" s="7"/>
      <c r="F24" s="7"/>
      <c r="G24" s="8"/>
      <c r="H24" s="8"/>
      <c r="I24" s="8"/>
      <c r="J24" s="8"/>
      <c r="K24" s="8"/>
      <c r="L24" s="8"/>
      <c r="M24" s="8"/>
      <c r="N24" s="11"/>
      <c r="O24" s="7"/>
    </row>
    <row r="25" spans="1:15">
      <c r="A25" s="7"/>
      <c r="B25" s="7"/>
      <c r="C25" s="9"/>
      <c r="D25" s="7"/>
      <c r="E25" s="7"/>
      <c r="F25" s="7"/>
      <c r="G25" s="8"/>
      <c r="H25" s="8"/>
      <c r="I25" s="8"/>
      <c r="J25" s="8"/>
      <c r="K25" s="8"/>
      <c r="L25" s="8"/>
      <c r="M25" s="8"/>
      <c r="N25" s="11"/>
      <c r="O25" s="7"/>
    </row>
    <row r="26" spans="1:15">
      <c r="A26" s="7"/>
      <c r="B26" s="7"/>
      <c r="C26" s="9"/>
      <c r="D26" s="7"/>
      <c r="E26" s="7"/>
      <c r="F26" s="7"/>
      <c r="G26" s="8"/>
      <c r="H26" s="8"/>
      <c r="I26" s="8"/>
      <c r="J26" s="8"/>
      <c r="K26" s="8"/>
      <c r="L26" s="8"/>
      <c r="M26" s="8"/>
      <c r="N26" s="11"/>
      <c r="O26" s="7"/>
    </row>
    <row r="27" spans="1:15">
      <c r="A27" s="7"/>
      <c r="B27" s="7"/>
      <c r="C27" s="9"/>
      <c r="D27" s="7"/>
      <c r="E27" s="7"/>
      <c r="F27" s="7"/>
      <c r="G27" s="8"/>
      <c r="H27" s="8"/>
      <c r="I27" s="8"/>
      <c r="J27" s="8"/>
      <c r="K27" s="8"/>
      <c r="L27" s="8"/>
      <c r="M27" s="8"/>
      <c r="N27" s="11"/>
      <c r="O27" s="7"/>
    </row>
    <row r="28" spans="1:15">
      <c r="A28" s="7"/>
      <c r="B28" s="7"/>
      <c r="C28" s="9"/>
      <c r="D28" s="7"/>
      <c r="E28" s="7"/>
      <c r="F28" s="7"/>
      <c r="G28" s="8"/>
      <c r="H28" s="8"/>
      <c r="I28" s="8"/>
      <c r="J28" s="8"/>
      <c r="K28" s="8"/>
      <c r="L28" s="8"/>
      <c r="M28" s="8"/>
      <c r="N28" s="11"/>
      <c r="O28" s="7"/>
    </row>
    <row r="29" spans="1:15">
      <c r="A29" s="7"/>
      <c r="B29" s="7"/>
      <c r="C29" s="9"/>
      <c r="D29" s="7"/>
      <c r="E29" s="7"/>
      <c r="F29" s="7"/>
      <c r="G29" s="8"/>
      <c r="H29" s="8"/>
      <c r="I29" s="8"/>
      <c r="J29" s="8"/>
      <c r="K29" s="8"/>
      <c r="L29" s="8"/>
      <c r="M29" s="8"/>
      <c r="N29" s="11"/>
      <c r="O29" s="7"/>
    </row>
    <row r="30" spans="1:15">
      <c r="A30" s="7"/>
      <c r="B30" s="7"/>
      <c r="C30" s="9"/>
      <c r="D30" s="7"/>
      <c r="E30" s="7"/>
      <c r="F30" s="7"/>
      <c r="G30" s="8"/>
      <c r="H30" s="8"/>
      <c r="I30" s="8"/>
      <c r="J30" s="8"/>
      <c r="K30" s="8"/>
      <c r="L30" s="8"/>
      <c r="M30" s="8"/>
      <c r="N30" s="11"/>
      <c r="O30" s="7"/>
    </row>
    <row r="31" spans="1:15">
      <c r="A31" s="7"/>
      <c r="B31" s="7"/>
      <c r="C31" s="9"/>
      <c r="D31" s="7"/>
      <c r="E31" s="7"/>
      <c r="F31" s="7"/>
      <c r="G31" s="8"/>
      <c r="H31" s="8"/>
      <c r="I31" s="8"/>
      <c r="J31" s="8"/>
      <c r="K31" s="8"/>
      <c r="L31" s="8"/>
      <c r="M31" s="8"/>
      <c r="N31" s="11"/>
      <c r="O31" s="7"/>
    </row>
    <row r="32" spans="1:15">
      <c r="A32" s="7"/>
      <c r="B32" s="7"/>
      <c r="C32" s="9"/>
      <c r="D32" s="7"/>
      <c r="E32" s="7"/>
      <c r="F32" s="7"/>
      <c r="G32" s="8"/>
      <c r="H32" s="8"/>
      <c r="I32" s="8"/>
      <c r="J32" s="8"/>
      <c r="K32" s="8"/>
      <c r="L32" s="8"/>
      <c r="M32" s="8"/>
      <c r="N32" s="11"/>
      <c r="O32" s="7"/>
    </row>
    <row r="33" spans="1:15">
      <c r="A33" s="7"/>
      <c r="B33" s="7"/>
      <c r="C33" s="9"/>
      <c r="D33" s="7"/>
      <c r="E33" s="7"/>
      <c r="F33" s="7"/>
      <c r="G33" s="8"/>
      <c r="H33" s="8"/>
      <c r="I33" s="8"/>
      <c r="J33" s="8"/>
      <c r="K33" s="8"/>
      <c r="L33" s="8"/>
      <c r="M33" s="8"/>
      <c r="N33" s="11"/>
      <c r="O33" s="7"/>
    </row>
    <row r="34" spans="1:15">
      <c r="A34" s="7"/>
      <c r="B34" s="7"/>
      <c r="C34" s="9"/>
      <c r="D34" s="7"/>
      <c r="E34" s="7"/>
      <c r="F34" s="7"/>
      <c r="G34" s="8"/>
      <c r="H34" s="8"/>
      <c r="I34" s="8"/>
      <c r="J34" s="8"/>
      <c r="K34" s="8"/>
      <c r="L34" s="8"/>
      <c r="M34" s="8"/>
      <c r="N34" s="11"/>
      <c r="O34" s="7"/>
    </row>
    <row r="35" spans="1:15">
      <c r="A35" s="7"/>
      <c r="B35" s="7"/>
      <c r="C35" s="9"/>
      <c r="D35" s="7"/>
      <c r="E35" s="7"/>
      <c r="F35" s="7"/>
      <c r="G35" s="8"/>
      <c r="H35" s="8"/>
      <c r="I35" s="8"/>
      <c r="J35" s="8"/>
      <c r="K35" s="8"/>
      <c r="L35" s="8"/>
      <c r="M35" s="8"/>
      <c r="N35" s="11"/>
      <c r="O35" s="7"/>
    </row>
    <row r="36" spans="1:15">
      <c r="A36" s="7"/>
      <c r="B36" s="7"/>
      <c r="C36" s="9"/>
      <c r="D36" s="7"/>
      <c r="E36" s="7"/>
      <c r="F36" s="7"/>
      <c r="G36" s="8"/>
      <c r="H36" s="8"/>
      <c r="I36" s="8"/>
      <c r="J36" s="8"/>
      <c r="K36" s="8"/>
      <c r="L36" s="8"/>
      <c r="M36" s="8"/>
      <c r="N36" s="11"/>
      <c r="O36" s="7"/>
    </row>
    <row r="37" spans="1:15">
      <c r="A37" s="7"/>
      <c r="B37" s="7"/>
      <c r="C37" s="9"/>
      <c r="D37" s="7"/>
      <c r="E37" s="7"/>
      <c r="F37" s="7"/>
      <c r="G37" s="8"/>
      <c r="H37" s="8"/>
      <c r="I37" s="8"/>
      <c r="J37" s="8"/>
      <c r="K37" s="8"/>
      <c r="L37" s="8"/>
      <c r="M37" s="8"/>
      <c r="N37" s="11"/>
      <c r="O37" s="7"/>
    </row>
    <row r="38" spans="1:15">
      <c r="A38" s="7"/>
      <c r="B38" s="7"/>
      <c r="C38" s="9"/>
      <c r="D38" s="7"/>
      <c r="E38" s="7"/>
      <c r="F38" s="7"/>
      <c r="G38" s="8"/>
      <c r="H38" s="8"/>
      <c r="I38" s="8"/>
      <c r="J38" s="8"/>
      <c r="K38" s="8"/>
      <c r="L38" s="8"/>
      <c r="M38" s="8"/>
      <c r="N38" s="11"/>
      <c r="O38" s="7"/>
    </row>
    <row r="39" spans="1:15">
      <c r="A39" s="7"/>
      <c r="B39" s="7"/>
      <c r="C39" s="9"/>
      <c r="D39" s="7"/>
      <c r="E39" s="7"/>
      <c r="F39" s="7"/>
      <c r="G39" s="8"/>
      <c r="H39" s="8"/>
      <c r="I39" s="8"/>
      <c r="J39" s="8"/>
      <c r="K39" s="8"/>
      <c r="L39" s="8"/>
      <c r="M39" s="8"/>
      <c r="N39" s="11"/>
      <c r="O39" s="7"/>
    </row>
    <row r="40" spans="1:15">
      <c r="A40" s="7"/>
      <c r="B40" s="7"/>
      <c r="C40" s="9"/>
      <c r="D40" s="7"/>
      <c r="E40" s="7"/>
      <c r="F40" s="7"/>
      <c r="G40" s="8"/>
      <c r="H40" s="8"/>
      <c r="I40" s="8"/>
      <c r="J40" s="8"/>
      <c r="K40" s="8"/>
      <c r="L40" s="8"/>
      <c r="M40" s="8"/>
      <c r="N40" s="11"/>
      <c r="O40" s="7"/>
    </row>
    <row r="41" spans="1:15">
      <c r="A41" s="7"/>
      <c r="B41" s="7"/>
      <c r="C41" s="9"/>
      <c r="D41" s="7"/>
      <c r="E41" s="7"/>
      <c r="F41" s="7"/>
      <c r="G41" s="8"/>
      <c r="H41" s="8"/>
      <c r="I41" s="8"/>
      <c r="J41" s="8"/>
      <c r="K41" s="8"/>
      <c r="L41" s="8"/>
      <c r="M41" s="8"/>
      <c r="N41" s="11"/>
      <c r="O41" s="7"/>
    </row>
    <row r="42" spans="1:15">
      <c r="A42" s="7"/>
      <c r="B42" s="7"/>
      <c r="C42" s="9"/>
      <c r="D42" s="7"/>
      <c r="E42" s="7"/>
      <c r="F42" s="7"/>
      <c r="G42" s="8"/>
      <c r="H42" s="8"/>
      <c r="I42" s="8"/>
      <c r="J42" s="8"/>
      <c r="K42" s="8"/>
      <c r="L42" s="8"/>
      <c r="M42" s="8"/>
      <c r="N42" s="11"/>
      <c r="O42" s="7"/>
    </row>
    <row r="43" spans="1:15">
      <c r="A43" s="7"/>
      <c r="B43" s="7"/>
      <c r="C43" s="9"/>
      <c r="D43" s="7"/>
      <c r="E43" s="7"/>
      <c r="F43" s="7"/>
      <c r="G43" s="8"/>
      <c r="H43" s="8"/>
      <c r="I43" s="8"/>
      <c r="J43" s="8"/>
      <c r="K43" s="8"/>
      <c r="L43" s="8"/>
      <c r="M43" s="8"/>
      <c r="N43" s="11"/>
      <c r="O43" s="7"/>
    </row>
    <row r="44" spans="1:15">
      <c r="A44" s="7"/>
      <c r="B44" s="7"/>
      <c r="C44" s="9"/>
      <c r="D44" s="7"/>
      <c r="E44" s="7"/>
      <c r="F44" s="7"/>
      <c r="G44" s="8"/>
      <c r="H44" s="8"/>
      <c r="I44" s="8"/>
      <c r="J44" s="8"/>
      <c r="K44" s="8"/>
      <c r="L44" s="8"/>
      <c r="M44" s="8"/>
      <c r="N44" s="11"/>
      <c r="O44" s="7"/>
    </row>
    <row r="45" spans="1:15">
      <c r="A45" s="7"/>
      <c r="B45" s="7"/>
      <c r="C45" s="9"/>
      <c r="D45" s="7"/>
      <c r="E45" s="7"/>
      <c r="F45" s="7"/>
      <c r="G45" s="8"/>
      <c r="H45" s="8"/>
      <c r="I45" s="8"/>
      <c r="J45" s="8"/>
      <c r="K45" s="8"/>
      <c r="L45" s="8"/>
      <c r="M45" s="8"/>
      <c r="N45" s="11"/>
      <c r="O45" s="7"/>
    </row>
    <row r="46" spans="1:15">
      <c r="A46" s="7"/>
      <c r="B46" s="7"/>
      <c r="C46" s="9"/>
      <c r="D46" s="7"/>
      <c r="E46" s="7"/>
      <c r="F46" s="7"/>
      <c r="G46" s="8"/>
      <c r="H46" s="8"/>
      <c r="I46" s="8"/>
      <c r="J46" s="8"/>
      <c r="K46" s="8"/>
      <c r="L46" s="8"/>
      <c r="M46" s="8"/>
      <c r="N46" s="11"/>
      <c r="O46" s="7"/>
    </row>
    <row r="47" spans="1:15">
      <c r="A47" s="7"/>
      <c r="B47" s="7"/>
      <c r="C47" s="9"/>
      <c r="D47" s="7"/>
      <c r="E47" s="7"/>
      <c r="F47" s="7"/>
      <c r="G47" s="8"/>
      <c r="H47" s="8"/>
      <c r="I47" s="8"/>
      <c r="J47" s="8"/>
      <c r="K47" s="8"/>
      <c r="L47" s="8"/>
      <c r="M47" s="8"/>
      <c r="N47" s="11"/>
      <c r="O47" s="7"/>
    </row>
    <row r="48" spans="1:15">
      <c r="A48" s="7"/>
      <c r="B48" s="7"/>
      <c r="C48" s="9"/>
      <c r="D48" s="7"/>
      <c r="E48" s="7"/>
      <c r="F48" s="7"/>
      <c r="G48" s="8"/>
      <c r="H48" s="8"/>
      <c r="I48" s="8"/>
      <c r="J48" s="8"/>
      <c r="K48" s="8"/>
      <c r="L48" s="8"/>
      <c r="M48" s="8"/>
      <c r="N48" s="11"/>
      <c r="O48" s="7"/>
    </row>
    <row r="49" spans="1:15">
      <c r="A49" s="7"/>
      <c r="B49" s="7"/>
      <c r="C49" s="9"/>
      <c r="D49" s="7"/>
      <c r="E49" s="7"/>
      <c r="F49" s="7"/>
      <c r="G49" s="8"/>
      <c r="H49" s="8"/>
      <c r="I49" s="8"/>
      <c r="J49" s="8"/>
      <c r="K49" s="8"/>
      <c r="L49" s="8"/>
      <c r="M49" s="8"/>
      <c r="N49" s="11"/>
      <c r="O49" s="7"/>
    </row>
    <row r="50" spans="1:15">
      <c r="A50" s="7"/>
      <c r="B50" s="7"/>
      <c r="C50" s="9"/>
      <c r="D50" s="7"/>
      <c r="E50" s="7"/>
      <c r="F50" s="7"/>
      <c r="G50" s="8"/>
      <c r="H50" s="8"/>
      <c r="I50" s="8"/>
      <c r="J50" s="8"/>
      <c r="K50" s="8"/>
      <c r="L50" s="8"/>
      <c r="M50" s="8"/>
      <c r="N50" s="11"/>
      <c r="O50" s="7"/>
    </row>
    <row r="51" spans="1:15">
      <c r="A51" s="7"/>
      <c r="B51" s="7"/>
      <c r="C51" s="9"/>
      <c r="D51" s="7"/>
      <c r="E51" s="7"/>
      <c r="F51" s="7"/>
      <c r="G51" s="8"/>
      <c r="H51" s="8"/>
      <c r="I51" s="8"/>
      <c r="J51" s="8"/>
      <c r="K51" s="8"/>
      <c r="L51" s="8"/>
      <c r="M51" s="8"/>
      <c r="N51" s="11"/>
      <c r="O51" s="7"/>
    </row>
    <row r="52" spans="1:15">
      <c r="A52" s="7"/>
      <c r="B52" s="7"/>
      <c r="C52" s="9"/>
      <c r="D52" s="7"/>
      <c r="E52" s="7"/>
      <c r="F52" s="7"/>
      <c r="G52" s="8"/>
      <c r="H52" s="8"/>
      <c r="I52" s="8"/>
      <c r="J52" s="8"/>
      <c r="K52" s="8"/>
      <c r="L52" s="8"/>
      <c r="M52" s="8"/>
      <c r="N52" s="11"/>
      <c r="O52" s="7"/>
    </row>
    <row r="53" spans="1:15">
      <c r="A53" s="7"/>
      <c r="B53" s="7"/>
      <c r="C53" s="9"/>
      <c r="D53" s="7"/>
      <c r="E53" s="7"/>
      <c r="F53" s="7"/>
      <c r="G53" s="8"/>
      <c r="H53" s="8"/>
      <c r="I53" s="8"/>
      <c r="J53" s="8"/>
      <c r="K53" s="8"/>
      <c r="L53" s="8"/>
      <c r="M53" s="8"/>
      <c r="N53" s="11"/>
      <c r="O53" s="7"/>
    </row>
    <row r="54" spans="1:15">
      <c r="A54" s="7"/>
      <c r="B54" s="7"/>
      <c r="C54" s="9"/>
      <c r="D54" s="7"/>
      <c r="E54" s="7"/>
      <c r="F54" s="7"/>
      <c r="G54" s="8"/>
      <c r="H54" s="8"/>
      <c r="I54" s="8"/>
      <c r="J54" s="8"/>
      <c r="K54" s="8"/>
      <c r="L54" s="8"/>
      <c r="M54" s="8"/>
      <c r="N54" s="11"/>
      <c r="O54" s="7"/>
    </row>
  </sheetData>
  <dataValidations count="1">
    <dataValidation type="list" sqref="O5:O54">
      <formula1>"待确认,已确认,有异议"</formula1>
    </dataValidation>
  </dataValidation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4"/>
  <sheetViews>
    <sheetView showGridLines="0" workbookViewId="0">
      <pane xSplit="4" ySplit="4" topLeftCell="E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5" customWidth="1"/>
    <col min="4" max="4" width="38" customWidth="1"/>
    <col min="5" max="6" width="18" customWidth="1"/>
    <col min="7" max="12" width="16" customWidth="1"/>
    <col min="13" max="14" width="28" customWidth="1"/>
  </cols>
  <sheetData>
    <row r="1" ht="25" customHeight="1" spans="1:14">
      <c r="A1" s="4" t="s">
        <v>30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305</v>
      </c>
    </row>
    <row r="4" ht="32" customHeight="1" spans="1:14">
      <c r="A4" s="6" t="s">
        <v>300</v>
      </c>
      <c r="B4" s="6" t="s">
        <v>306</v>
      </c>
      <c r="C4" s="6" t="s">
        <v>307</v>
      </c>
      <c r="D4" s="6" t="s">
        <v>308</v>
      </c>
      <c r="E4" s="6" t="s">
        <v>309</v>
      </c>
      <c r="F4" s="6" t="s">
        <v>310</v>
      </c>
      <c r="G4" s="6" t="s">
        <v>311</v>
      </c>
      <c r="H4" s="6" t="s">
        <v>312</v>
      </c>
      <c r="I4" s="6" t="s">
        <v>313</v>
      </c>
      <c r="J4" s="6" t="s">
        <v>117</v>
      </c>
      <c r="K4" s="6" t="s">
        <v>314</v>
      </c>
      <c r="L4" s="6" t="s">
        <v>315</v>
      </c>
      <c r="M4" s="6" t="s">
        <v>316</v>
      </c>
      <c r="N4" s="6" t="s">
        <v>317</v>
      </c>
    </row>
    <row r="5" spans="1:14">
      <c r="A5" s="7"/>
      <c r="B5" s="7"/>
      <c r="C5" s="7"/>
      <c r="D5" s="8"/>
      <c r="E5" s="7"/>
      <c r="F5" s="7"/>
      <c r="G5" s="9"/>
      <c r="H5" s="9"/>
      <c r="I5" s="7"/>
      <c r="J5" s="7"/>
      <c r="K5" s="9"/>
      <c r="L5" s="10" t="str">
        <f>IF(A5="","",IF(J5="已完成",IF(K5="","待补证据",IF(K5&lt;=H5,"按时完成","逾期完成")),IF(H5="","待定日期",IF(H5&lt;_数据接口!$B$6,"逾期",IF(J5="阻塞","阻塞","进行中")))))</f>
        <v/>
      </c>
      <c r="M5" s="7"/>
      <c r="N5" s="7"/>
    </row>
    <row r="6" spans="1:14">
      <c r="A6" s="7"/>
      <c r="B6" s="7"/>
      <c r="C6" s="7"/>
      <c r="D6" s="8"/>
      <c r="E6" s="7"/>
      <c r="F6" s="7"/>
      <c r="G6" s="9"/>
      <c r="H6" s="9"/>
      <c r="I6" s="7"/>
      <c r="J6" s="7"/>
      <c r="K6" s="9"/>
      <c r="L6" s="10" t="str">
        <f>IF(A6="","",IF(J6="已完成",IF(K6="","待补证据",IF(K6&lt;=H6,"按时完成","逾期完成")),IF(H6="","待定日期",IF(H6&lt;_数据接口!$B$6,"逾期",IF(J6="阻塞","阻塞","进行中")))))</f>
        <v/>
      </c>
      <c r="M6" s="7"/>
      <c r="N6" s="7"/>
    </row>
    <row r="7" spans="1:14">
      <c r="A7" s="7"/>
      <c r="B7" s="7"/>
      <c r="C7" s="7"/>
      <c r="D7" s="8"/>
      <c r="E7" s="7"/>
      <c r="F7" s="7"/>
      <c r="G7" s="9"/>
      <c r="H7" s="9"/>
      <c r="I7" s="7"/>
      <c r="J7" s="7"/>
      <c r="K7" s="9"/>
      <c r="L7" s="10" t="str">
        <f>IF(A7="","",IF(J7="已完成",IF(K7="","待补证据",IF(K7&lt;=H7,"按时完成","逾期完成")),IF(H7="","待定日期",IF(H7&lt;_数据接口!$B$6,"逾期",IF(J7="阻塞","阻塞","进行中")))))</f>
        <v/>
      </c>
      <c r="M7" s="7"/>
      <c r="N7" s="7"/>
    </row>
    <row r="8" spans="1:14">
      <c r="A8" s="7"/>
      <c r="B8" s="7"/>
      <c r="C8" s="7"/>
      <c r="D8" s="8"/>
      <c r="E8" s="7"/>
      <c r="F8" s="7"/>
      <c r="G8" s="9"/>
      <c r="H8" s="9"/>
      <c r="I8" s="7"/>
      <c r="J8" s="7"/>
      <c r="K8" s="9"/>
      <c r="L8" s="10" t="str">
        <f>IF(A8="","",IF(J8="已完成",IF(K8="","待补证据",IF(K8&lt;=H8,"按时完成","逾期完成")),IF(H8="","待定日期",IF(H8&lt;_数据接口!$B$6,"逾期",IF(J8="阻塞","阻塞","进行中")))))</f>
        <v/>
      </c>
      <c r="M8" s="7"/>
      <c r="N8" s="7"/>
    </row>
    <row r="9" spans="1:14">
      <c r="A9" s="7"/>
      <c r="B9" s="7"/>
      <c r="C9" s="7"/>
      <c r="D9" s="8"/>
      <c r="E9" s="7"/>
      <c r="F9" s="7"/>
      <c r="G9" s="9"/>
      <c r="H9" s="9"/>
      <c r="I9" s="7"/>
      <c r="J9" s="7"/>
      <c r="K9" s="9"/>
      <c r="L9" s="10" t="str">
        <f>IF(A9="","",IF(J9="已完成",IF(K9="","待补证据",IF(K9&lt;=H9,"按时完成","逾期完成")),IF(H9="","待定日期",IF(H9&lt;_数据接口!$B$6,"逾期",IF(J9="阻塞","阻塞","进行中")))))</f>
        <v/>
      </c>
      <c r="M9" s="7"/>
      <c r="N9" s="7"/>
    </row>
    <row r="10" spans="1:14">
      <c r="A10" s="7"/>
      <c r="B10" s="7"/>
      <c r="C10" s="7"/>
      <c r="D10" s="8"/>
      <c r="E10" s="7"/>
      <c r="F10" s="7"/>
      <c r="G10" s="9"/>
      <c r="H10" s="9"/>
      <c r="I10" s="7"/>
      <c r="J10" s="7"/>
      <c r="K10" s="9"/>
      <c r="L10" s="10" t="str">
        <f>IF(A10="","",IF(J10="已完成",IF(K10="","待补证据",IF(K10&lt;=H10,"按时完成","逾期完成")),IF(H10="","待定日期",IF(H10&lt;_数据接口!$B$6,"逾期",IF(J10="阻塞","阻塞","进行中")))))</f>
        <v/>
      </c>
      <c r="M10" s="7"/>
      <c r="N10" s="7"/>
    </row>
    <row r="11" spans="1:14">
      <c r="A11" s="7"/>
      <c r="B11" s="7"/>
      <c r="C11" s="7"/>
      <c r="D11" s="8"/>
      <c r="E11" s="7"/>
      <c r="F11" s="7"/>
      <c r="G11" s="9"/>
      <c r="H11" s="9"/>
      <c r="I11" s="7"/>
      <c r="J11" s="7"/>
      <c r="K11" s="9"/>
      <c r="L11" s="10" t="str">
        <f>IF(A11="","",IF(J11="已完成",IF(K11="","待补证据",IF(K11&lt;=H11,"按时完成","逾期完成")),IF(H11="","待定日期",IF(H11&lt;_数据接口!$B$6,"逾期",IF(J11="阻塞","阻塞","进行中")))))</f>
        <v/>
      </c>
      <c r="M11" s="7"/>
      <c r="N11" s="7"/>
    </row>
    <row r="12" spans="1:14">
      <c r="A12" s="7"/>
      <c r="B12" s="7"/>
      <c r="C12" s="7"/>
      <c r="D12" s="8"/>
      <c r="E12" s="7"/>
      <c r="F12" s="7"/>
      <c r="G12" s="9"/>
      <c r="H12" s="9"/>
      <c r="I12" s="7"/>
      <c r="J12" s="7"/>
      <c r="K12" s="9"/>
      <c r="L12" s="10" t="str">
        <f>IF(A12="","",IF(J12="已完成",IF(K12="","待补证据",IF(K12&lt;=H12,"按时完成","逾期完成")),IF(H12="","待定日期",IF(H12&lt;_数据接口!$B$6,"逾期",IF(J12="阻塞","阻塞","进行中")))))</f>
        <v/>
      </c>
      <c r="M12" s="7"/>
      <c r="N12" s="7"/>
    </row>
    <row r="13" spans="1:14">
      <c r="A13" s="7"/>
      <c r="B13" s="7"/>
      <c r="C13" s="7"/>
      <c r="D13" s="8"/>
      <c r="E13" s="7"/>
      <c r="F13" s="7"/>
      <c r="G13" s="9"/>
      <c r="H13" s="9"/>
      <c r="I13" s="7"/>
      <c r="J13" s="7"/>
      <c r="K13" s="9"/>
      <c r="L13" s="10" t="str">
        <f>IF(A13="","",IF(J13="已完成",IF(K13="","待补证据",IF(K13&lt;=H13,"按时完成","逾期完成")),IF(H13="","待定日期",IF(H13&lt;_数据接口!$B$6,"逾期",IF(J13="阻塞","阻塞","进行中")))))</f>
        <v/>
      </c>
      <c r="M13" s="7"/>
      <c r="N13" s="7"/>
    </row>
    <row r="14" spans="1:14">
      <c r="A14" s="7"/>
      <c r="B14" s="7"/>
      <c r="C14" s="7"/>
      <c r="D14" s="8"/>
      <c r="E14" s="7"/>
      <c r="F14" s="7"/>
      <c r="G14" s="9"/>
      <c r="H14" s="9"/>
      <c r="I14" s="7"/>
      <c r="J14" s="7"/>
      <c r="K14" s="9"/>
      <c r="L14" s="10" t="str">
        <f>IF(A14="","",IF(J14="已完成",IF(K14="","待补证据",IF(K14&lt;=H14,"按时完成","逾期完成")),IF(H14="","待定日期",IF(H14&lt;_数据接口!$B$6,"逾期",IF(J14="阻塞","阻塞","进行中")))))</f>
        <v/>
      </c>
      <c r="M14" s="7"/>
      <c r="N14" s="7"/>
    </row>
    <row r="15" spans="1:14">
      <c r="A15" s="7"/>
      <c r="B15" s="7"/>
      <c r="C15" s="7"/>
      <c r="D15" s="8"/>
      <c r="E15" s="7"/>
      <c r="F15" s="7"/>
      <c r="G15" s="9"/>
      <c r="H15" s="9"/>
      <c r="I15" s="7"/>
      <c r="J15" s="7"/>
      <c r="K15" s="9"/>
      <c r="L15" s="10" t="str">
        <f>IF(A15="","",IF(J15="已完成",IF(K15="","待补证据",IF(K15&lt;=H15,"按时完成","逾期完成")),IF(H15="","待定日期",IF(H15&lt;_数据接口!$B$6,"逾期",IF(J15="阻塞","阻塞","进行中")))))</f>
        <v/>
      </c>
      <c r="M15" s="7"/>
      <c r="N15" s="7"/>
    </row>
    <row r="16" spans="1:14">
      <c r="A16" s="7"/>
      <c r="B16" s="7"/>
      <c r="C16" s="7"/>
      <c r="D16" s="8"/>
      <c r="E16" s="7"/>
      <c r="F16" s="7"/>
      <c r="G16" s="9"/>
      <c r="H16" s="9"/>
      <c r="I16" s="7"/>
      <c r="J16" s="7"/>
      <c r="K16" s="9"/>
      <c r="L16" s="10" t="str">
        <f>IF(A16="","",IF(J16="已完成",IF(K16="","待补证据",IF(K16&lt;=H16,"按时完成","逾期完成")),IF(H16="","待定日期",IF(H16&lt;_数据接口!$B$6,"逾期",IF(J16="阻塞","阻塞","进行中")))))</f>
        <v/>
      </c>
      <c r="M16" s="7"/>
      <c r="N16" s="7"/>
    </row>
    <row r="17" spans="1:14">
      <c r="A17" s="7"/>
      <c r="B17" s="7"/>
      <c r="C17" s="7"/>
      <c r="D17" s="8"/>
      <c r="E17" s="7"/>
      <c r="F17" s="7"/>
      <c r="G17" s="9"/>
      <c r="H17" s="9"/>
      <c r="I17" s="7"/>
      <c r="J17" s="7"/>
      <c r="K17" s="9"/>
      <c r="L17" s="10" t="str">
        <f>IF(A17="","",IF(J17="已完成",IF(K17="","待补证据",IF(K17&lt;=H17,"按时完成","逾期完成")),IF(H17="","待定日期",IF(H17&lt;_数据接口!$B$6,"逾期",IF(J17="阻塞","阻塞","进行中")))))</f>
        <v/>
      </c>
      <c r="M17" s="7"/>
      <c r="N17" s="7"/>
    </row>
    <row r="18" spans="1:14">
      <c r="A18" s="7"/>
      <c r="B18" s="7"/>
      <c r="C18" s="7"/>
      <c r="D18" s="8"/>
      <c r="E18" s="7"/>
      <c r="F18" s="7"/>
      <c r="G18" s="9"/>
      <c r="H18" s="9"/>
      <c r="I18" s="7"/>
      <c r="J18" s="7"/>
      <c r="K18" s="9"/>
      <c r="L18" s="10" t="str">
        <f>IF(A18="","",IF(J18="已完成",IF(K18="","待补证据",IF(K18&lt;=H18,"按时完成","逾期完成")),IF(H18="","待定日期",IF(H18&lt;_数据接口!$B$6,"逾期",IF(J18="阻塞","阻塞","进行中")))))</f>
        <v/>
      </c>
      <c r="M18" s="7"/>
      <c r="N18" s="7"/>
    </row>
    <row r="19" spans="1:14">
      <c r="A19" s="7"/>
      <c r="B19" s="7"/>
      <c r="C19" s="7"/>
      <c r="D19" s="8"/>
      <c r="E19" s="7"/>
      <c r="F19" s="7"/>
      <c r="G19" s="9"/>
      <c r="H19" s="9"/>
      <c r="I19" s="7"/>
      <c r="J19" s="7"/>
      <c r="K19" s="9"/>
      <c r="L19" s="10" t="str">
        <f>IF(A19="","",IF(J19="已完成",IF(K19="","待补证据",IF(K19&lt;=H19,"按时完成","逾期完成")),IF(H19="","待定日期",IF(H19&lt;_数据接口!$B$6,"逾期",IF(J19="阻塞","阻塞","进行中")))))</f>
        <v/>
      </c>
      <c r="M19" s="7"/>
      <c r="N19" s="7"/>
    </row>
    <row r="20" spans="1:14">
      <c r="A20" s="7"/>
      <c r="B20" s="7"/>
      <c r="C20" s="7"/>
      <c r="D20" s="8"/>
      <c r="E20" s="7"/>
      <c r="F20" s="7"/>
      <c r="G20" s="9"/>
      <c r="H20" s="9"/>
      <c r="I20" s="7"/>
      <c r="J20" s="7"/>
      <c r="K20" s="9"/>
      <c r="L20" s="10" t="str">
        <f>IF(A20="","",IF(J20="已完成",IF(K20="","待补证据",IF(K20&lt;=H20,"按时完成","逾期完成")),IF(H20="","待定日期",IF(H20&lt;_数据接口!$B$6,"逾期",IF(J20="阻塞","阻塞","进行中")))))</f>
        <v/>
      </c>
      <c r="M20" s="7"/>
      <c r="N20" s="7"/>
    </row>
    <row r="21" spans="1:14">
      <c r="A21" s="7"/>
      <c r="B21" s="7"/>
      <c r="C21" s="7"/>
      <c r="D21" s="8"/>
      <c r="E21" s="7"/>
      <c r="F21" s="7"/>
      <c r="G21" s="9"/>
      <c r="H21" s="9"/>
      <c r="I21" s="7"/>
      <c r="J21" s="7"/>
      <c r="K21" s="9"/>
      <c r="L21" s="10" t="str">
        <f>IF(A21="","",IF(J21="已完成",IF(K21="","待补证据",IF(K21&lt;=H21,"按时完成","逾期完成")),IF(H21="","待定日期",IF(H21&lt;_数据接口!$B$6,"逾期",IF(J21="阻塞","阻塞","进行中")))))</f>
        <v/>
      </c>
      <c r="M21" s="7"/>
      <c r="N21" s="7"/>
    </row>
    <row r="22" spans="1:14">
      <c r="A22" s="7"/>
      <c r="B22" s="7"/>
      <c r="C22" s="7"/>
      <c r="D22" s="8"/>
      <c r="E22" s="7"/>
      <c r="F22" s="7"/>
      <c r="G22" s="9"/>
      <c r="H22" s="9"/>
      <c r="I22" s="7"/>
      <c r="J22" s="7"/>
      <c r="K22" s="9"/>
      <c r="L22" s="10" t="str">
        <f>IF(A22="","",IF(J22="已完成",IF(K22="","待补证据",IF(K22&lt;=H22,"按时完成","逾期完成")),IF(H22="","待定日期",IF(H22&lt;_数据接口!$B$6,"逾期",IF(J22="阻塞","阻塞","进行中")))))</f>
        <v/>
      </c>
      <c r="M22" s="7"/>
      <c r="N22" s="7"/>
    </row>
    <row r="23" spans="1:14">
      <c r="A23" s="7"/>
      <c r="B23" s="7"/>
      <c r="C23" s="7"/>
      <c r="D23" s="8"/>
      <c r="E23" s="7"/>
      <c r="F23" s="7"/>
      <c r="G23" s="9"/>
      <c r="H23" s="9"/>
      <c r="I23" s="7"/>
      <c r="J23" s="7"/>
      <c r="K23" s="9"/>
      <c r="L23" s="10" t="str">
        <f>IF(A23="","",IF(J23="已完成",IF(K23="","待补证据",IF(K23&lt;=H23,"按时完成","逾期完成")),IF(H23="","待定日期",IF(H23&lt;_数据接口!$B$6,"逾期",IF(J23="阻塞","阻塞","进行中")))))</f>
        <v/>
      </c>
      <c r="M23" s="7"/>
      <c r="N23" s="7"/>
    </row>
    <row r="24" spans="1:14">
      <c r="A24" s="7"/>
      <c r="B24" s="7"/>
      <c r="C24" s="7"/>
      <c r="D24" s="8"/>
      <c r="E24" s="7"/>
      <c r="F24" s="7"/>
      <c r="G24" s="9"/>
      <c r="H24" s="9"/>
      <c r="I24" s="7"/>
      <c r="J24" s="7"/>
      <c r="K24" s="9"/>
      <c r="L24" s="10" t="str">
        <f>IF(A24="","",IF(J24="已完成",IF(K24="","待补证据",IF(K24&lt;=H24,"按时完成","逾期完成")),IF(H24="","待定日期",IF(H24&lt;_数据接口!$B$6,"逾期",IF(J24="阻塞","阻塞","进行中")))))</f>
        <v/>
      </c>
      <c r="M24" s="7"/>
      <c r="N24" s="7"/>
    </row>
    <row r="25" spans="1:14">
      <c r="A25" s="7"/>
      <c r="B25" s="7"/>
      <c r="C25" s="7"/>
      <c r="D25" s="8"/>
      <c r="E25" s="7"/>
      <c r="F25" s="7"/>
      <c r="G25" s="9"/>
      <c r="H25" s="9"/>
      <c r="I25" s="7"/>
      <c r="J25" s="7"/>
      <c r="K25" s="9"/>
      <c r="L25" s="10" t="str">
        <f>IF(A25="","",IF(J25="已完成",IF(K25="","待补证据",IF(K25&lt;=H25,"按时完成","逾期完成")),IF(H25="","待定日期",IF(H25&lt;_数据接口!$B$6,"逾期",IF(J25="阻塞","阻塞","进行中")))))</f>
        <v/>
      </c>
      <c r="M25" s="7"/>
      <c r="N25" s="7"/>
    </row>
    <row r="26" spans="1:14">
      <c r="A26" s="7"/>
      <c r="B26" s="7"/>
      <c r="C26" s="7"/>
      <c r="D26" s="8"/>
      <c r="E26" s="7"/>
      <c r="F26" s="7"/>
      <c r="G26" s="9"/>
      <c r="H26" s="9"/>
      <c r="I26" s="7"/>
      <c r="J26" s="7"/>
      <c r="K26" s="9"/>
      <c r="L26" s="10" t="str">
        <f>IF(A26="","",IF(J26="已完成",IF(K26="","待补证据",IF(K26&lt;=H26,"按时完成","逾期完成")),IF(H26="","待定日期",IF(H26&lt;_数据接口!$B$6,"逾期",IF(J26="阻塞","阻塞","进行中")))))</f>
        <v/>
      </c>
      <c r="M26" s="7"/>
      <c r="N26" s="7"/>
    </row>
    <row r="27" spans="1:14">
      <c r="A27" s="7"/>
      <c r="B27" s="7"/>
      <c r="C27" s="7"/>
      <c r="D27" s="8"/>
      <c r="E27" s="7"/>
      <c r="F27" s="7"/>
      <c r="G27" s="9"/>
      <c r="H27" s="9"/>
      <c r="I27" s="7"/>
      <c r="J27" s="7"/>
      <c r="K27" s="9"/>
      <c r="L27" s="10" t="str">
        <f>IF(A27="","",IF(J27="已完成",IF(K27="","待补证据",IF(K27&lt;=H27,"按时完成","逾期完成")),IF(H27="","待定日期",IF(H27&lt;_数据接口!$B$6,"逾期",IF(J27="阻塞","阻塞","进行中")))))</f>
        <v/>
      </c>
      <c r="M27" s="7"/>
      <c r="N27" s="7"/>
    </row>
    <row r="28" spans="1:14">
      <c r="A28" s="7"/>
      <c r="B28" s="7"/>
      <c r="C28" s="7"/>
      <c r="D28" s="8"/>
      <c r="E28" s="7"/>
      <c r="F28" s="7"/>
      <c r="G28" s="9"/>
      <c r="H28" s="9"/>
      <c r="I28" s="7"/>
      <c r="J28" s="7"/>
      <c r="K28" s="9"/>
      <c r="L28" s="10" t="str">
        <f>IF(A28="","",IF(J28="已完成",IF(K28="","待补证据",IF(K28&lt;=H28,"按时完成","逾期完成")),IF(H28="","待定日期",IF(H28&lt;_数据接口!$B$6,"逾期",IF(J28="阻塞","阻塞","进行中")))))</f>
        <v/>
      </c>
      <c r="M28" s="7"/>
      <c r="N28" s="7"/>
    </row>
    <row r="29" spans="1:14">
      <c r="A29" s="7"/>
      <c r="B29" s="7"/>
      <c r="C29" s="7"/>
      <c r="D29" s="8"/>
      <c r="E29" s="7"/>
      <c r="F29" s="7"/>
      <c r="G29" s="9"/>
      <c r="H29" s="9"/>
      <c r="I29" s="7"/>
      <c r="J29" s="7"/>
      <c r="K29" s="9"/>
      <c r="L29" s="10" t="str">
        <f>IF(A29="","",IF(J29="已完成",IF(K29="","待补证据",IF(K29&lt;=H29,"按时完成","逾期完成")),IF(H29="","待定日期",IF(H29&lt;_数据接口!$B$6,"逾期",IF(J29="阻塞","阻塞","进行中")))))</f>
        <v/>
      </c>
      <c r="M29" s="7"/>
      <c r="N29" s="7"/>
    </row>
    <row r="30" spans="1:14">
      <c r="A30" s="7"/>
      <c r="B30" s="7"/>
      <c r="C30" s="7"/>
      <c r="D30" s="8"/>
      <c r="E30" s="7"/>
      <c r="F30" s="7"/>
      <c r="G30" s="9"/>
      <c r="H30" s="9"/>
      <c r="I30" s="7"/>
      <c r="J30" s="7"/>
      <c r="K30" s="9"/>
      <c r="L30" s="10" t="str">
        <f>IF(A30="","",IF(J30="已完成",IF(K30="","待补证据",IF(K30&lt;=H30,"按时完成","逾期完成")),IF(H30="","待定日期",IF(H30&lt;_数据接口!$B$6,"逾期",IF(J30="阻塞","阻塞","进行中")))))</f>
        <v/>
      </c>
      <c r="M30" s="7"/>
      <c r="N30" s="7"/>
    </row>
    <row r="31" spans="1:14">
      <c r="A31" s="7"/>
      <c r="B31" s="7"/>
      <c r="C31" s="7"/>
      <c r="D31" s="8"/>
      <c r="E31" s="7"/>
      <c r="F31" s="7"/>
      <c r="G31" s="9"/>
      <c r="H31" s="9"/>
      <c r="I31" s="7"/>
      <c r="J31" s="7"/>
      <c r="K31" s="9"/>
      <c r="L31" s="10" t="str">
        <f>IF(A31="","",IF(J31="已完成",IF(K31="","待补证据",IF(K31&lt;=H31,"按时完成","逾期完成")),IF(H31="","待定日期",IF(H31&lt;_数据接口!$B$6,"逾期",IF(J31="阻塞","阻塞","进行中")))))</f>
        <v/>
      </c>
      <c r="M31" s="7"/>
      <c r="N31" s="7"/>
    </row>
    <row r="32" spans="1:14">
      <c r="A32" s="7"/>
      <c r="B32" s="7"/>
      <c r="C32" s="7"/>
      <c r="D32" s="8"/>
      <c r="E32" s="7"/>
      <c r="F32" s="7"/>
      <c r="G32" s="9"/>
      <c r="H32" s="9"/>
      <c r="I32" s="7"/>
      <c r="J32" s="7"/>
      <c r="K32" s="9"/>
      <c r="L32" s="10" t="str">
        <f>IF(A32="","",IF(J32="已完成",IF(K32="","待补证据",IF(K32&lt;=H32,"按时完成","逾期完成")),IF(H32="","待定日期",IF(H32&lt;_数据接口!$B$6,"逾期",IF(J32="阻塞","阻塞","进行中")))))</f>
        <v/>
      </c>
      <c r="M32" s="7"/>
      <c r="N32" s="7"/>
    </row>
    <row r="33" spans="1:14">
      <c r="A33" s="7"/>
      <c r="B33" s="7"/>
      <c r="C33" s="7"/>
      <c r="D33" s="8"/>
      <c r="E33" s="7"/>
      <c r="F33" s="7"/>
      <c r="G33" s="9"/>
      <c r="H33" s="9"/>
      <c r="I33" s="7"/>
      <c r="J33" s="7"/>
      <c r="K33" s="9"/>
      <c r="L33" s="10" t="str">
        <f>IF(A33="","",IF(J33="已完成",IF(K33="","待补证据",IF(K33&lt;=H33,"按时完成","逾期完成")),IF(H33="","待定日期",IF(H33&lt;_数据接口!$B$6,"逾期",IF(J33="阻塞","阻塞","进行中")))))</f>
        <v/>
      </c>
      <c r="M33" s="7"/>
      <c r="N33" s="7"/>
    </row>
    <row r="34" spans="1:14">
      <c r="A34" s="7"/>
      <c r="B34" s="7"/>
      <c r="C34" s="7"/>
      <c r="D34" s="8"/>
      <c r="E34" s="7"/>
      <c r="F34" s="7"/>
      <c r="G34" s="9"/>
      <c r="H34" s="9"/>
      <c r="I34" s="7"/>
      <c r="J34" s="7"/>
      <c r="K34" s="9"/>
      <c r="L34" s="10" t="str">
        <f>IF(A34="","",IF(J34="已完成",IF(K34="","待补证据",IF(K34&lt;=H34,"按时完成","逾期完成")),IF(H34="","待定日期",IF(H34&lt;_数据接口!$B$6,"逾期",IF(J34="阻塞","阻塞","进行中")))))</f>
        <v/>
      </c>
      <c r="M34" s="7"/>
      <c r="N34" s="7"/>
    </row>
    <row r="35" spans="1:14">
      <c r="A35" s="7"/>
      <c r="B35" s="7"/>
      <c r="C35" s="7"/>
      <c r="D35" s="8"/>
      <c r="E35" s="7"/>
      <c r="F35" s="7"/>
      <c r="G35" s="9"/>
      <c r="H35" s="9"/>
      <c r="I35" s="7"/>
      <c r="J35" s="7"/>
      <c r="K35" s="9"/>
      <c r="L35" s="10" t="str">
        <f>IF(A35="","",IF(J35="已完成",IF(K35="","待补证据",IF(K35&lt;=H35,"按时完成","逾期完成")),IF(H35="","待定日期",IF(H35&lt;_数据接口!$B$6,"逾期",IF(J35="阻塞","阻塞","进行中")))))</f>
        <v/>
      </c>
      <c r="M35" s="7"/>
      <c r="N35" s="7"/>
    </row>
    <row r="36" spans="1:14">
      <c r="A36" s="7"/>
      <c r="B36" s="7"/>
      <c r="C36" s="7"/>
      <c r="D36" s="8"/>
      <c r="E36" s="7"/>
      <c r="F36" s="7"/>
      <c r="G36" s="9"/>
      <c r="H36" s="9"/>
      <c r="I36" s="7"/>
      <c r="J36" s="7"/>
      <c r="K36" s="9"/>
      <c r="L36" s="10" t="str">
        <f>IF(A36="","",IF(J36="已完成",IF(K36="","待补证据",IF(K36&lt;=H36,"按时完成","逾期完成")),IF(H36="","待定日期",IF(H36&lt;_数据接口!$B$6,"逾期",IF(J36="阻塞","阻塞","进行中")))))</f>
        <v/>
      </c>
      <c r="M36" s="7"/>
      <c r="N36" s="7"/>
    </row>
    <row r="37" spans="1:14">
      <c r="A37" s="7"/>
      <c r="B37" s="7"/>
      <c r="C37" s="7"/>
      <c r="D37" s="8"/>
      <c r="E37" s="7"/>
      <c r="F37" s="7"/>
      <c r="G37" s="9"/>
      <c r="H37" s="9"/>
      <c r="I37" s="7"/>
      <c r="J37" s="7"/>
      <c r="K37" s="9"/>
      <c r="L37" s="10" t="str">
        <f>IF(A37="","",IF(J37="已完成",IF(K37="","待补证据",IF(K37&lt;=H37,"按时完成","逾期完成")),IF(H37="","待定日期",IF(H37&lt;_数据接口!$B$6,"逾期",IF(J37="阻塞","阻塞","进行中")))))</f>
        <v/>
      </c>
      <c r="M37" s="7"/>
      <c r="N37" s="7"/>
    </row>
    <row r="38" spans="1:14">
      <c r="A38" s="7"/>
      <c r="B38" s="7"/>
      <c r="C38" s="7"/>
      <c r="D38" s="8"/>
      <c r="E38" s="7"/>
      <c r="F38" s="7"/>
      <c r="G38" s="9"/>
      <c r="H38" s="9"/>
      <c r="I38" s="7"/>
      <c r="J38" s="7"/>
      <c r="K38" s="9"/>
      <c r="L38" s="10" t="str">
        <f>IF(A38="","",IF(J38="已完成",IF(K38="","待补证据",IF(K38&lt;=H38,"按时完成","逾期完成")),IF(H38="","待定日期",IF(H38&lt;_数据接口!$B$6,"逾期",IF(J38="阻塞","阻塞","进行中")))))</f>
        <v/>
      </c>
      <c r="M38" s="7"/>
      <c r="N38" s="7"/>
    </row>
    <row r="39" spans="1:14">
      <c r="A39" s="7"/>
      <c r="B39" s="7"/>
      <c r="C39" s="7"/>
      <c r="D39" s="8"/>
      <c r="E39" s="7"/>
      <c r="F39" s="7"/>
      <c r="G39" s="9"/>
      <c r="H39" s="9"/>
      <c r="I39" s="7"/>
      <c r="J39" s="7"/>
      <c r="K39" s="9"/>
      <c r="L39" s="10" t="str">
        <f>IF(A39="","",IF(J39="已完成",IF(K39="","待补证据",IF(K39&lt;=H39,"按时完成","逾期完成")),IF(H39="","待定日期",IF(H39&lt;_数据接口!$B$6,"逾期",IF(J39="阻塞","阻塞","进行中")))))</f>
        <v/>
      </c>
      <c r="M39" s="7"/>
      <c r="N39" s="7"/>
    </row>
    <row r="40" spans="1:14">
      <c r="A40" s="7"/>
      <c r="B40" s="7"/>
      <c r="C40" s="7"/>
      <c r="D40" s="8"/>
      <c r="E40" s="7"/>
      <c r="F40" s="7"/>
      <c r="G40" s="9"/>
      <c r="H40" s="9"/>
      <c r="I40" s="7"/>
      <c r="J40" s="7"/>
      <c r="K40" s="9"/>
      <c r="L40" s="10" t="str">
        <f>IF(A40="","",IF(J40="已完成",IF(K40="","待补证据",IF(K40&lt;=H40,"按时完成","逾期完成")),IF(H40="","待定日期",IF(H40&lt;_数据接口!$B$6,"逾期",IF(J40="阻塞","阻塞","进行中")))))</f>
        <v/>
      </c>
      <c r="M40" s="7"/>
      <c r="N40" s="7"/>
    </row>
    <row r="41" spans="1:14">
      <c r="A41" s="7"/>
      <c r="B41" s="7"/>
      <c r="C41" s="7"/>
      <c r="D41" s="8"/>
      <c r="E41" s="7"/>
      <c r="F41" s="7"/>
      <c r="G41" s="9"/>
      <c r="H41" s="9"/>
      <c r="I41" s="7"/>
      <c r="J41" s="7"/>
      <c r="K41" s="9"/>
      <c r="L41" s="10" t="str">
        <f>IF(A41="","",IF(J41="已完成",IF(K41="","待补证据",IF(K41&lt;=H41,"按时完成","逾期完成")),IF(H41="","待定日期",IF(H41&lt;_数据接口!$B$6,"逾期",IF(J41="阻塞","阻塞","进行中")))))</f>
        <v/>
      </c>
      <c r="M41" s="7"/>
      <c r="N41" s="7"/>
    </row>
    <row r="42" spans="1:14">
      <c r="A42" s="7"/>
      <c r="B42" s="7"/>
      <c r="C42" s="7"/>
      <c r="D42" s="8"/>
      <c r="E42" s="7"/>
      <c r="F42" s="7"/>
      <c r="G42" s="9"/>
      <c r="H42" s="9"/>
      <c r="I42" s="7"/>
      <c r="J42" s="7"/>
      <c r="K42" s="9"/>
      <c r="L42" s="10" t="str">
        <f>IF(A42="","",IF(J42="已完成",IF(K42="","待补证据",IF(K42&lt;=H42,"按时完成","逾期完成")),IF(H42="","待定日期",IF(H42&lt;_数据接口!$B$6,"逾期",IF(J42="阻塞","阻塞","进行中")))))</f>
        <v/>
      </c>
      <c r="M42" s="7"/>
      <c r="N42" s="7"/>
    </row>
    <row r="43" spans="1:14">
      <c r="A43" s="7"/>
      <c r="B43" s="7"/>
      <c r="C43" s="7"/>
      <c r="D43" s="8"/>
      <c r="E43" s="7"/>
      <c r="F43" s="7"/>
      <c r="G43" s="9"/>
      <c r="H43" s="9"/>
      <c r="I43" s="7"/>
      <c r="J43" s="7"/>
      <c r="K43" s="9"/>
      <c r="L43" s="10" t="str">
        <f>IF(A43="","",IF(J43="已完成",IF(K43="","待补证据",IF(K43&lt;=H43,"按时完成","逾期完成")),IF(H43="","待定日期",IF(H43&lt;_数据接口!$B$6,"逾期",IF(J43="阻塞","阻塞","进行中")))))</f>
        <v/>
      </c>
      <c r="M43" s="7"/>
      <c r="N43" s="7"/>
    </row>
    <row r="44" spans="1:14">
      <c r="A44" s="7"/>
      <c r="B44" s="7"/>
      <c r="C44" s="7"/>
      <c r="D44" s="8"/>
      <c r="E44" s="7"/>
      <c r="F44" s="7"/>
      <c r="G44" s="9"/>
      <c r="H44" s="9"/>
      <c r="I44" s="7"/>
      <c r="J44" s="7"/>
      <c r="K44" s="9"/>
      <c r="L44" s="10" t="str">
        <f>IF(A44="","",IF(J44="已完成",IF(K44="","待补证据",IF(K44&lt;=H44,"按时完成","逾期完成")),IF(H44="","待定日期",IF(H44&lt;_数据接口!$B$6,"逾期",IF(J44="阻塞","阻塞","进行中")))))</f>
        <v/>
      </c>
      <c r="M44" s="7"/>
      <c r="N44" s="7"/>
    </row>
    <row r="45" spans="1:14">
      <c r="A45" s="7"/>
      <c r="B45" s="7"/>
      <c r="C45" s="7"/>
      <c r="D45" s="8"/>
      <c r="E45" s="7"/>
      <c r="F45" s="7"/>
      <c r="G45" s="9"/>
      <c r="H45" s="9"/>
      <c r="I45" s="7"/>
      <c r="J45" s="7"/>
      <c r="K45" s="9"/>
      <c r="L45" s="10" t="str">
        <f>IF(A45="","",IF(J45="已完成",IF(K45="","待补证据",IF(K45&lt;=H45,"按时完成","逾期完成")),IF(H45="","待定日期",IF(H45&lt;_数据接口!$B$6,"逾期",IF(J45="阻塞","阻塞","进行中")))))</f>
        <v/>
      </c>
      <c r="M45" s="7"/>
      <c r="N45" s="7"/>
    </row>
    <row r="46" spans="1:14">
      <c r="A46" s="7"/>
      <c r="B46" s="7"/>
      <c r="C46" s="7"/>
      <c r="D46" s="8"/>
      <c r="E46" s="7"/>
      <c r="F46" s="7"/>
      <c r="G46" s="9"/>
      <c r="H46" s="9"/>
      <c r="I46" s="7"/>
      <c r="J46" s="7"/>
      <c r="K46" s="9"/>
      <c r="L46" s="10" t="str">
        <f>IF(A46="","",IF(J46="已完成",IF(K46="","待补证据",IF(K46&lt;=H46,"按时完成","逾期完成")),IF(H46="","待定日期",IF(H46&lt;_数据接口!$B$6,"逾期",IF(J46="阻塞","阻塞","进行中")))))</f>
        <v/>
      </c>
      <c r="M46" s="7"/>
      <c r="N46" s="7"/>
    </row>
    <row r="47" spans="1:14">
      <c r="A47" s="7"/>
      <c r="B47" s="7"/>
      <c r="C47" s="7"/>
      <c r="D47" s="8"/>
      <c r="E47" s="7"/>
      <c r="F47" s="7"/>
      <c r="G47" s="9"/>
      <c r="H47" s="9"/>
      <c r="I47" s="7"/>
      <c r="J47" s="7"/>
      <c r="K47" s="9"/>
      <c r="L47" s="10" t="str">
        <f>IF(A47="","",IF(J47="已完成",IF(K47="","待补证据",IF(K47&lt;=H47,"按时完成","逾期完成")),IF(H47="","待定日期",IF(H47&lt;_数据接口!$B$6,"逾期",IF(J47="阻塞","阻塞","进行中")))))</f>
        <v/>
      </c>
      <c r="M47" s="7"/>
      <c r="N47" s="7"/>
    </row>
    <row r="48" spans="1:14">
      <c r="A48" s="7"/>
      <c r="B48" s="7"/>
      <c r="C48" s="7"/>
      <c r="D48" s="8"/>
      <c r="E48" s="7"/>
      <c r="F48" s="7"/>
      <c r="G48" s="9"/>
      <c r="H48" s="9"/>
      <c r="I48" s="7"/>
      <c r="J48" s="7"/>
      <c r="K48" s="9"/>
      <c r="L48" s="10" t="str">
        <f>IF(A48="","",IF(J48="已完成",IF(K48="","待补证据",IF(K48&lt;=H48,"按时完成","逾期完成")),IF(H48="","待定日期",IF(H48&lt;_数据接口!$B$6,"逾期",IF(J48="阻塞","阻塞","进行中")))))</f>
        <v/>
      </c>
      <c r="M48" s="7"/>
      <c r="N48" s="7"/>
    </row>
    <row r="49" spans="1:14">
      <c r="A49" s="7"/>
      <c r="B49" s="7"/>
      <c r="C49" s="7"/>
      <c r="D49" s="8"/>
      <c r="E49" s="7"/>
      <c r="F49" s="7"/>
      <c r="G49" s="9"/>
      <c r="H49" s="9"/>
      <c r="I49" s="7"/>
      <c r="J49" s="7"/>
      <c r="K49" s="9"/>
      <c r="L49" s="10" t="str">
        <f>IF(A49="","",IF(J49="已完成",IF(K49="","待补证据",IF(K49&lt;=H49,"按时完成","逾期完成")),IF(H49="","待定日期",IF(H49&lt;_数据接口!$B$6,"逾期",IF(J49="阻塞","阻塞","进行中")))))</f>
        <v/>
      </c>
      <c r="M49" s="7"/>
      <c r="N49" s="7"/>
    </row>
    <row r="50" spans="1:14">
      <c r="A50" s="7"/>
      <c r="B50" s="7"/>
      <c r="C50" s="7"/>
      <c r="D50" s="8"/>
      <c r="E50" s="7"/>
      <c r="F50" s="7"/>
      <c r="G50" s="9"/>
      <c r="H50" s="9"/>
      <c r="I50" s="7"/>
      <c r="J50" s="7"/>
      <c r="K50" s="9"/>
      <c r="L50" s="10" t="str">
        <f>IF(A50="","",IF(J50="已完成",IF(K50="","待补证据",IF(K50&lt;=H50,"按时完成","逾期完成")),IF(H50="","待定日期",IF(H50&lt;_数据接口!$B$6,"逾期",IF(J50="阻塞","阻塞","进行中")))))</f>
        <v/>
      </c>
      <c r="M50" s="7"/>
      <c r="N50" s="7"/>
    </row>
    <row r="51" spans="1:14">
      <c r="A51" s="7"/>
      <c r="B51" s="7"/>
      <c r="C51" s="7"/>
      <c r="D51" s="8"/>
      <c r="E51" s="7"/>
      <c r="F51" s="7"/>
      <c r="G51" s="9"/>
      <c r="H51" s="9"/>
      <c r="I51" s="7"/>
      <c r="J51" s="7"/>
      <c r="K51" s="9"/>
      <c r="L51" s="10" t="str">
        <f>IF(A51="","",IF(J51="已完成",IF(K51="","待补证据",IF(K51&lt;=H51,"按时完成","逾期完成")),IF(H51="","待定日期",IF(H51&lt;_数据接口!$B$6,"逾期",IF(J51="阻塞","阻塞","进行中")))))</f>
        <v/>
      </c>
      <c r="M51" s="7"/>
      <c r="N51" s="7"/>
    </row>
    <row r="52" spans="1:14">
      <c r="A52" s="7"/>
      <c r="B52" s="7"/>
      <c r="C52" s="7"/>
      <c r="D52" s="8"/>
      <c r="E52" s="7"/>
      <c r="F52" s="7"/>
      <c r="G52" s="9"/>
      <c r="H52" s="9"/>
      <c r="I52" s="7"/>
      <c r="J52" s="7"/>
      <c r="K52" s="9"/>
      <c r="L52" s="10" t="str">
        <f>IF(A52="","",IF(J52="已完成",IF(K52="","待补证据",IF(K52&lt;=H52,"按时完成","逾期完成")),IF(H52="","待定日期",IF(H52&lt;_数据接口!$B$6,"逾期",IF(J52="阻塞","阻塞","进行中")))))</f>
        <v/>
      </c>
      <c r="M52" s="7"/>
      <c r="N52" s="7"/>
    </row>
    <row r="53" spans="1:14">
      <c r="A53" s="7"/>
      <c r="B53" s="7"/>
      <c r="C53" s="7"/>
      <c r="D53" s="8"/>
      <c r="E53" s="7"/>
      <c r="F53" s="7"/>
      <c r="G53" s="9"/>
      <c r="H53" s="9"/>
      <c r="I53" s="7"/>
      <c r="J53" s="7"/>
      <c r="K53" s="9"/>
      <c r="L53" s="10" t="str">
        <f>IF(A53="","",IF(J53="已完成",IF(K53="","待补证据",IF(K53&lt;=H53,"按时完成","逾期完成")),IF(H53="","待定日期",IF(H53&lt;_数据接口!$B$6,"逾期",IF(J53="阻塞","阻塞","进行中")))))</f>
        <v/>
      </c>
      <c r="M53" s="7"/>
      <c r="N53" s="7"/>
    </row>
    <row r="54" spans="1:14">
      <c r="A54" s="7"/>
      <c r="B54" s="7"/>
      <c r="C54" s="7"/>
      <c r="D54" s="8"/>
      <c r="E54" s="7"/>
      <c r="F54" s="7"/>
      <c r="G54" s="9"/>
      <c r="H54" s="9"/>
      <c r="I54" s="7"/>
      <c r="J54" s="7"/>
      <c r="K54" s="9"/>
      <c r="L54" s="10" t="str">
        <f>IF(A54="","",IF(J54="已完成",IF(K54="","待补证据",IF(K54&lt;=H54,"按时完成","逾期完成")),IF(H54="","待定日期",IF(H54&lt;_数据接口!$B$6,"逾期",IF(J54="阻塞","阻塞","进行中")))))</f>
        <v/>
      </c>
      <c r="M54" s="7"/>
      <c r="N54" s="7"/>
    </row>
    <row r="55" spans="1:14">
      <c r="A55" s="7"/>
      <c r="B55" s="7"/>
      <c r="C55" s="7"/>
      <c r="D55" s="8"/>
      <c r="E55" s="7"/>
      <c r="F55" s="7"/>
      <c r="G55" s="9"/>
      <c r="H55" s="9"/>
      <c r="I55" s="7"/>
      <c r="J55" s="7"/>
      <c r="K55" s="9"/>
      <c r="L55" s="10" t="str">
        <f>IF(A55="","",IF(J55="已完成",IF(K55="","待补证据",IF(K55&lt;=H55,"按时完成","逾期完成")),IF(H55="","待定日期",IF(H55&lt;_数据接口!$B$6,"逾期",IF(J55="阻塞","阻塞","进行中")))))</f>
        <v/>
      </c>
      <c r="M55" s="7"/>
      <c r="N55" s="7"/>
    </row>
    <row r="56" spans="1:14">
      <c r="A56" s="7"/>
      <c r="B56" s="7"/>
      <c r="C56" s="7"/>
      <c r="D56" s="8"/>
      <c r="E56" s="7"/>
      <c r="F56" s="7"/>
      <c r="G56" s="9"/>
      <c r="H56" s="9"/>
      <c r="I56" s="7"/>
      <c r="J56" s="7"/>
      <c r="K56" s="9"/>
      <c r="L56" s="10" t="str">
        <f>IF(A56="","",IF(J56="已完成",IF(K56="","待补证据",IF(K56&lt;=H56,"按时完成","逾期完成")),IF(H56="","待定日期",IF(H56&lt;_数据接口!$B$6,"逾期",IF(J56="阻塞","阻塞","进行中")))))</f>
        <v/>
      </c>
      <c r="M56" s="7"/>
      <c r="N56" s="7"/>
    </row>
    <row r="57" spans="1:14">
      <c r="A57" s="7"/>
      <c r="B57" s="7"/>
      <c r="C57" s="7"/>
      <c r="D57" s="8"/>
      <c r="E57" s="7"/>
      <c r="F57" s="7"/>
      <c r="G57" s="9"/>
      <c r="H57" s="9"/>
      <c r="I57" s="7"/>
      <c r="J57" s="7"/>
      <c r="K57" s="9"/>
      <c r="L57" s="10" t="str">
        <f>IF(A57="","",IF(J57="已完成",IF(K57="","待补证据",IF(K57&lt;=H57,"按时完成","逾期完成")),IF(H57="","待定日期",IF(H57&lt;_数据接口!$B$6,"逾期",IF(J57="阻塞","阻塞","进行中")))))</f>
        <v/>
      </c>
      <c r="M57" s="7"/>
      <c r="N57" s="7"/>
    </row>
    <row r="58" spans="1:14">
      <c r="A58" s="7"/>
      <c r="B58" s="7"/>
      <c r="C58" s="7"/>
      <c r="D58" s="8"/>
      <c r="E58" s="7"/>
      <c r="F58" s="7"/>
      <c r="G58" s="9"/>
      <c r="H58" s="9"/>
      <c r="I58" s="7"/>
      <c r="J58" s="7"/>
      <c r="K58" s="9"/>
      <c r="L58" s="10" t="str">
        <f>IF(A58="","",IF(J58="已完成",IF(K58="","待补证据",IF(K58&lt;=H58,"按时完成","逾期完成")),IF(H58="","待定日期",IF(H58&lt;_数据接口!$B$6,"逾期",IF(J58="阻塞","阻塞","进行中")))))</f>
        <v/>
      </c>
      <c r="M58" s="7"/>
      <c r="N58" s="7"/>
    </row>
    <row r="59" spans="1:14">
      <c r="A59" s="7"/>
      <c r="B59" s="7"/>
      <c r="C59" s="7"/>
      <c r="D59" s="8"/>
      <c r="E59" s="7"/>
      <c r="F59" s="7"/>
      <c r="G59" s="9"/>
      <c r="H59" s="9"/>
      <c r="I59" s="7"/>
      <c r="J59" s="7"/>
      <c r="K59" s="9"/>
      <c r="L59" s="10" t="str">
        <f>IF(A59="","",IF(J59="已完成",IF(K59="","待补证据",IF(K59&lt;=H59,"按时完成","逾期完成")),IF(H59="","待定日期",IF(H59&lt;_数据接口!$B$6,"逾期",IF(J59="阻塞","阻塞","进行中")))))</f>
        <v/>
      </c>
      <c r="M59" s="7"/>
      <c r="N59" s="7"/>
    </row>
    <row r="60" spans="1:14">
      <c r="A60" s="7"/>
      <c r="B60" s="7"/>
      <c r="C60" s="7"/>
      <c r="D60" s="8"/>
      <c r="E60" s="7"/>
      <c r="F60" s="7"/>
      <c r="G60" s="9"/>
      <c r="H60" s="9"/>
      <c r="I60" s="7"/>
      <c r="J60" s="7"/>
      <c r="K60" s="9"/>
      <c r="L60" s="10" t="str">
        <f>IF(A60="","",IF(J60="已完成",IF(K60="","待补证据",IF(K60&lt;=H60,"按时完成","逾期完成")),IF(H60="","待定日期",IF(H60&lt;_数据接口!$B$6,"逾期",IF(J60="阻塞","阻塞","进行中")))))</f>
        <v/>
      </c>
      <c r="M60" s="7"/>
      <c r="N60" s="7"/>
    </row>
    <row r="61" spans="1:14">
      <c r="A61" s="7"/>
      <c r="B61" s="7"/>
      <c r="C61" s="7"/>
      <c r="D61" s="8"/>
      <c r="E61" s="7"/>
      <c r="F61" s="7"/>
      <c r="G61" s="9"/>
      <c r="H61" s="9"/>
      <c r="I61" s="7"/>
      <c r="J61" s="7"/>
      <c r="K61" s="9"/>
      <c r="L61" s="10" t="str">
        <f>IF(A61="","",IF(J61="已完成",IF(K61="","待补证据",IF(K61&lt;=H61,"按时完成","逾期完成")),IF(H61="","待定日期",IF(H61&lt;_数据接口!$B$6,"逾期",IF(J61="阻塞","阻塞","进行中")))))</f>
        <v/>
      </c>
      <c r="M61" s="7"/>
      <c r="N61" s="7"/>
    </row>
    <row r="62" spans="1:14">
      <c r="A62" s="7"/>
      <c r="B62" s="7"/>
      <c r="C62" s="7"/>
      <c r="D62" s="8"/>
      <c r="E62" s="7"/>
      <c r="F62" s="7"/>
      <c r="G62" s="9"/>
      <c r="H62" s="9"/>
      <c r="I62" s="7"/>
      <c r="J62" s="7"/>
      <c r="K62" s="9"/>
      <c r="L62" s="10" t="str">
        <f>IF(A62="","",IF(J62="已完成",IF(K62="","待补证据",IF(K62&lt;=H62,"按时完成","逾期完成")),IF(H62="","待定日期",IF(H62&lt;_数据接口!$B$6,"逾期",IF(J62="阻塞","阻塞","进行中")))))</f>
        <v/>
      </c>
      <c r="M62" s="7"/>
      <c r="N62" s="7"/>
    </row>
    <row r="63" spans="1:14">
      <c r="A63" s="7"/>
      <c r="B63" s="7"/>
      <c r="C63" s="7"/>
      <c r="D63" s="8"/>
      <c r="E63" s="7"/>
      <c r="F63" s="7"/>
      <c r="G63" s="9"/>
      <c r="H63" s="9"/>
      <c r="I63" s="7"/>
      <c r="J63" s="7"/>
      <c r="K63" s="9"/>
      <c r="L63" s="10" t="str">
        <f>IF(A63="","",IF(J63="已完成",IF(K63="","待补证据",IF(K63&lt;=H63,"按时完成","逾期完成")),IF(H63="","待定日期",IF(H63&lt;_数据接口!$B$6,"逾期",IF(J63="阻塞","阻塞","进行中")))))</f>
        <v/>
      </c>
      <c r="M63" s="7"/>
      <c r="N63" s="7"/>
    </row>
    <row r="64" spans="1:14">
      <c r="A64" s="7"/>
      <c r="B64" s="7"/>
      <c r="C64" s="7"/>
      <c r="D64" s="8"/>
      <c r="E64" s="7"/>
      <c r="F64" s="7"/>
      <c r="G64" s="9"/>
      <c r="H64" s="9"/>
      <c r="I64" s="7"/>
      <c r="J64" s="7"/>
      <c r="K64" s="9"/>
      <c r="L64" s="10" t="str">
        <f>IF(A64="","",IF(J64="已完成",IF(K64="","待补证据",IF(K64&lt;=H64,"按时完成","逾期完成")),IF(H64="","待定日期",IF(H64&lt;_数据接口!$B$6,"逾期",IF(J64="阻塞","阻塞","进行中")))))</f>
        <v/>
      </c>
      <c r="M64" s="7"/>
      <c r="N64" s="7"/>
    </row>
    <row r="65" spans="1:14">
      <c r="A65" s="7"/>
      <c r="B65" s="7"/>
      <c r="C65" s="7"/>
      <c r="D65" s="8"/>
      <c r="E65" s="7"/>
      <c r="F65" s="7"/>
      <c r="G65" s="9"/>
      <c r="H65" s="9"/>
      <c r="I65" s="7"/>
      <c r="J65" s="7"/>
      <c r="K65" s="9"/>
      <c r="L65" s="10" t="str">
        <f>IF(A65="","",IF(J65="已完成",IF(K65="","待补证据",IF(K65&lt;=H65,"按时完成","逾期完成")),IF(H65="","待定日期",IF(H65&lt;_数据接口!$B$6,"逾期",IF(J65="阻塞","阻塞","进行中")))))</f>
        <v/>
      </c>
      <c r="M65" s="7"/>
      <c r="N65" s="7"/>
    </row>
    <row r="66" spans="1:14">
      <c r="A66" s="7"/>
      <c r="B66" s="7"/>
      <c r="C66" s="7"/>
      <c r="D66" s="8"/>
      <c r="E66" s="7"/>
      <c r="F66" s="7"/>
      <c r="G66" s="9"/>
      <c r="H66" s="9"/>
      <c r="I66" s="7"/>
      <c r="J66" s="7"/>
      <c r="K66" s="9"/>
      <c r="L66" s="10" t="str">
        <f>IF(A66="","",IF(J66="已完成",IF(K66="","待补证据",IF(K66&lt;=H66,"按时完成","逾期完成")),IF(H66="","待定日期",IF(H66&lt;_数据接口!$B$6,"逾期",IF(J66="阻塞","阻塞","进行中")))))</f>
        <v/>
      </c>
      <c r="M66" s="7"/>
      <c r="N66" s="7"/>
    </row>
    <row r="67" spans="1:14">
      <c r="A67" s="7"/>
      <c r="B67" s="7"/>
      <c r="C67" s="7"/>
      <c r="D67" s="8"/>
      <c r="E67" s="7"/>
      <c r="F67" s="7"/>
      <c r="G67" s="9"/>
      <c r="H67" s="9"/>
      <c r="I67" s="7"/>
      <c r="J67" s="7"/>
      <c r="K67" s="9"/>
      <c r="L67" s="10" t="str">
        <f>IF(A67="","",IF(J67="已完成",IF(K67="","待补证据",IF(K67&lt;=H67,"按时完成","逾期完成")),IF(H67="","待定日期",IF(H67&lt;_数据接口!$B$6,"逾期",IF(J67="阻塞","阻塞","进行中")))))</f>
        <v/>
      </c>
      <c r="M67" s="7"/>
      <c r="N67" s="7"/>
    </row>
    <row r="68" spans="1:14">
      <c r="A68" s="7"/>
      <c r="B68" s="7"/>
      <c r="C68" s="7"/>
      <c r="D68" s="8"/>
      <c r="E68" s="7"/>
      <c r="F68" s="7"/>
      <c r="G68" s="9"/>
      <c r="H68" s="9"/>
      <c r="I68" s="7"/>
      <c r="J68" s="7"/>
      <c r="K68" s="9"/>
      <c r="L68" s="10" t="str">
        <f>IF(A68="","",IF(J68="已完成",IF(K68="","待补证据",IF(K68&lt;=H68,"按时完成","逾期完成")),IF(H68="","待定日期",IF(H68&lt;_数据接口!$B$6,"逾期",IF(J68="阻塞","阻塞","进行中")))))</f>
        <v/>
      </c>
      <c r="M68" s="7"/>
      <c r="N68" s="7"/>
    </row>
    <row r="69" spans="1:14">
      <c r="A69" s="7"/>
      <c r="B69" s="7"/>
      <c r="C69" s="7"/>
      <c r="D69" s="8"/>
      <c r="E69" s="7"/>
      <c r="F69" s="7"/>
      <c r="G69" s="9"/>
      <c r="H69" s="9"/>
      <c r="I69" s="7"/>
      <c r="J69" s="7"/>
      <c r="K69" s="9"/>
      <c r="L69" s="10" t="str">
        <f>IF(A69="","",IF(J69="已完成",IF(K69="","待补证据",IF(K69&lt;=H69,"按时完成","逾期完成")),IF(H69="","待定日期",IF(H69&lt;_数据接口!$B$6,"逾期",IF(J69="阻塞","阻塞","进行中")))))</f>
        <v/>
      </c>
      <c r="M69" s="7"/>
      <c r="N69" s="7"/>
    </row>
    <row r="70" spans="1:14">
      <c r="A70" s="7"/>
      <c r="B70" s="7"/>
      <c r="C70" s="7"/>
      <c r="D70" s="8"/>
      <c r="E70" s="7"/>
      <c r="F70" s="7"/>
      <c r="G70" s="9"/>
      <c r="H70" s="9"/>
      <c r="I70" s="7"/>
      <c r="J70" s="7"/>
      <c r="K70" s="9"/>
      <c r="L70" s="10" t="str">
        <f>IF(A70="","",IF(J70="已完成",IF(K70="","待补证据",IF(K70&lt;=H70,"按时完成","逾期完成")),IF(H70="","待定日期",IF(H70&lt;_数据接口!$B$6,"逾期",IF(J70="阻塞","阻塞","进行中")))))</f>
        <v/>
      </c>
      <c r="M70" s="7"/>
      <c r="N70" s="7"/>
    </row>
    <row r="71" spans="1:14">
      <c r="A71" s="7"/>
      <c r="B71" s="7"/>
      <c r="C71" s="7"/>
      <c r="D71" s="8"/>
      <c r="E71" s="7"/>
      <c r="F71" s="7"/>
      <c r="G71" s="9"/>
      <c r="H71" s="9"/>
      <c r="I71" s="7"/>
      <c r="J71" s="7"/>
      <c r="K71" s="9"/>
      <c r="L71" s="10" t="str">
        <f>IF(A71="","",IF(J71="已完成",IF(K71="","待补证据",IF(K71&lt;=H71,"按时完成","逾期完成")),IF(H71="","待定日期",IF(H71&lt;_数据接口!$B$6,"逾期",IF(J71="阻塞","阻塞","进行中")))))</f>
        <v/>
      </c>
      <c r="M71" s="7"/>
      <c r="N71" s="7"/>
    </row>
    <row r="72" spans="1:14">
      <c r="A72" s="7"/>
      <c r="B72" s="7"/>
      <c r="C72" s="7"/>
      <c r="D72" s="8"/>
      <c r="E72" s="7"/>
      <c r="F72" s="7"/>
      <c r="G72" s="9"/>
      <c r="H72" s="9"/>
      <c r="I72" s="7"/>
      <c r="J72" s="7"/>
      <c r="K72" s="9"/>
      <c r="L72" s="10" t="str">
        <f>IF(A72="","",IF(J72="已完成",IF(K72="","待补证据",IF(K72&lt;=H72,"按时完成","逾期完成")),IF(H72="","待定日期",IF(H72&lt;_数据接口!$B$6,"逾期",IF(J72="阻塞","阻塞","进行中")))))</f>
        <v/>
      </c>
      <c r="M72" s="7"/>
      <c r="N72" s="7"/>
    </row>
    <row r="73" spans="1:14">
      <c r="A73" s="7"/>
      <c r="B73" s="7"/>
      <c r="C73" s="7"/>
      <c r="D73" s="8"/>
      <c r="E73" s="7"/>
      <c r="F73" s="7"/>
      <c r="G73" s="9"/>
      <c r="H73" s="9"/>
      <c r="I73" s="7"/>
      <c r="J73" s="7"/>
      <c r="K73" s="9"/>
      <c r="L73" s="10" t="str">
        <f>IF(A73="","",IF(J73="已完成",IF(K73="","待补证据",IF(K73&lt;=H73,"按时完成","逾期完成")),IF(H73="","待定日期",IF(H73&lt;_数据接口!$B$6,"逾期",IF(J73="阻塞","阻塞","进行中")))))</f>
        <v/>
      </c>
      <c r="M73" s="7"/>
      <c r="N73" s="7"/>
    </row>
    <row r="74" spans="1:14">
      <c r="A74" s="7"/>
      <c r="B74" s="7"/>
      <c r="C74" s="7"/>
      <c r="D74" s="8"/>
      <c r="E74" s="7"/>
      <c r="F74" s="7"/>
      <c r="G74" s="9"/>
      <c r="H74" s="9"/>
      <c r="I74" s="7"/>
      <c r="J74" s="7"/>
      <c r="K74" s="9"/>
      <c r="L74" s="10" t="str">
        <f>IF(A74="","",IF(J74="已完成",IF(K74="","待补证据",IF(K74&lt;=H74,"按时完成","逾期完成")),IF(H74="","待定日期",IF(H74&lt;_数据接口!$B$6,"逾期",IF(J74="阻塞","阻塞","进行中")))))</f>
        <v/>
      </c>
      <c r="M74" s="7"/>
      <c r="N74" s="7"/>
    </row>
    <row r="75" spans="1:14">
      <c r="A75" s="7"/>
      <c r="B75" s="7"/>
      <c r="C75" s="7"/>
      <c r="D75" s="8"/>
      <c r="E75" s="7"/>
      <c r="F75" s="7"/>
      <c r="G75" s="9"/>
      <c r="H75" s="9"/>
      <c r="I75" s="7"/>
      <c r="J75" s="7"/>
      <c r="K75" s="9"/>
      <c r="L75" s="10" t="str">
        <f>IF(A75="","",IF(J75="已完成",IF(K75="","待补证据",IF(K75&lt;=H75,"按时完成","逾期完成")),IF(H75="","待定日期",IF(H75&lt;_数据接口!$B$6,"逾期",IF(J75="阻塞","阻塞","进行中")))))</f>
        <v/>
      </c>
      <c r="M75" s="7"/>
      <c r="N75" s="7"/>
    </row>
    <row r="76" spans="1:14">
      <c r="A76" s="7"/>
      <c r="B76" s="7"/>
      <c r="C76" s="7"/>
      <c r="D76" s="8"/>
      <c r="E76" s="7"/>
      <c r="F76" s="7"/>
      <c r="G76" s="9"/>
      <c r="H76" s="9"/>
      <c r="I76" s="7"/>
      <c r="J76" s="7"/>
      <c r="K76" s="9"/>
      <c r="L76" s="10" t="str">
        <f>IF(A76="","",IF(J76="已完成",IF(K76="","待补证据",IF(K76&lt;=H76,"按时完成","逾期完成")),IF(H76="","待定日期",IF(H76&lt;_数据接口!$B$6,"逾期",IF(J76="阻塞","阻塞","进行中")))))</f>
        <v/>
      </c>
      <c r="M76" s="7"/>
      <c r="N76" s="7"/>
    </row>
    <row r="77" spans="1:14">
      <c r="A77" s="7"/>
      <c r="B77" s="7"/>
      <c r="C77" s="7"/>
      <c r="D77" s="8"/>
      <c r="E77" s="7"/>
      <c r="F77" s="7"/>
      <c r="G77" s="9"/>
      <c r="H77" s="9"/>
      <c r="I77" s="7"/>
      <c r="J77" s="7"/>
      <c r="K77" s="9"/>
      <c r="L77" s="10" t="str">
        <f>IF(A77="","",IF(J77="已完成",IF(K77="","待补证据",IF(K77&lt;=H77,"按时完成","逾期完成")),IF(H77="","待定日期",IF(H77&lt;_数据接口!$B$6,"逾期",IF(J77="阻塞","阻塞","进行中")))))</f>
        <v/>
      </c>
      <c r="M77" s="7"/>
      <c r="N77" s="7"/>
    </row>
    <row r="78" spans="1:14">
      <c r="A78" s="7"/>
      <c r="B78" s="7"/>
      <c r="C78" s="7"/>
      <c r="D78" s="8"/>
      <c r="E78" s="7"/>
      <c r="F78" s="7"/>
      <c r="G78" s="9"/>
      <c r="H78" s="9"/>
      <c r="I78" s="7"/>
      <c r="J78" s="7"/>
      <c r="K78" s="9"/>
      <c r="L78" s="10" t="str">
        <f>IF(A78="","",IF(J78="已完成",IF(K78="","待补证据",IF(K78&lt;=H78,"按时完成","逾期完成")),IF(H78="","待定日期",IF(H78&lt;_数据接口!$B$6,"逾期",IF(J78="阻塞","阻塞","进行中")))))</f>
        <v/>
      </c>
      <c r="M78" s="7"/>
      <c r="N78" s="7"/>
    </row>
    <row r="79" spans="1:14">
      <c r="A79" s="7"/>
      <c r="B79" s="7"/>
      <c r="C79" s="7"/>
      <c r="D79" s="8"/>
      <c r="E79" s="7"/>
      <c r="F79" s="7"/>
      <c r="G79" s="9"/>
      <c r="H79" s="9"/>
      <c r="I79" s="7"/>
      <c r="J79" s="7"/>
      <c r="K79" s="9"/>
      <c r="L79" s="10" t="str">
        <f>IF(A79="","",IF(J79="已完成",IF(K79="","待补证据",IF(K79&lt;=H79,"按时完成","逾期完成")),IF(H79="","待定日期",IF(H79&lt;_数据接口!$B$6,"逾期",IF(J79="阻塞","阻塞","进行中")))))</f>
        <v/>
      </c>
      <c r="M79" s="7"/>
      <c r="N79" s="7"/>
    </row>
    <row r="80" spans="1:14">
      <c r="A80" s="7"/>
      <c r="B80" s="7"/>
      <c r="C80" s="7"/>
      <c r="D80" s="8"/>
      <c r="E80" s="7"/>
      <c r="F80" s="7"/>
      <c r="G80" s="9"/>
      <c r="H80" s="9"/>
      <c r="I80" s="7"/>
      <c r="J80" s="7"/>
      <c r="K80" s="9"/>
      <c r="L80" s="10" t="str">
        <f>IF(A80="","",IF(J80="已完成",IF(K80="","待补证据",IF(K80&lt;=H80,"按时完成","逾期完成")),IF(H80="","待定日期",IF(H80&lt;_数据接口!$B$6,"逾期",IF(J80="阻塞","阻塞","进行中")))))</f>
        <v/>
      </c>
      <c r="M80" s="7"/>
      <c r="N80" s="7"/>
    </row>
    <row r="81" spans="1:14">
      <c r="A81" s="7"/>
      <c r="B81" s="7"/>
      <c r="C81" s="7"/>
      <c r="D81" s="8"/>
      <c r="E81" s="7"/>
      <c r="F81" s="7"/>
      <c r="G81" s="9"/>
      <c r="H81" s="9"/>
      <c r="I81" s="7"/>
      <c r="J81" s="7"/>
      <c r="K81" s="9"/>
      <c r="L81" s="10" t="str">
        <f>IF(A81="","",IF(J81="已完成",IF(K81="","待补证据",IF(K81&lt;=H81,"按时完成","逾期完成")),IF(H81="","待定日期",IF(H81&lt;_数据接口!$B$6,"逾期",IF(J81="阻塞","阻塞","进行中")))))</f>
        <v/>
      </c>
      <c r="M81" s="7"/>
      <c r="N81" s="7"/>
    </row>
    <row r="82" spans="1:14">
      <c r="A82" s="7"/>
      <c r="B82" s="7"/>
      <c r="C82" s="7"/>
      <c r="D82" s="8"/>
      <c r="E82" s="7"/>
      <c r="F82" s="7"/>
      <c r="G82" s="9"/>
      <c r="H82" s="9"/>
      <c r="I82" s="7"/>
      <c r="J82" s="7"/>
      <c r="K82" s="9"/>
      <c r="L82" s="10" t="str">
        <f>IF(A82="","",IF(J82="已完成",IF(K82="","待补证据",IF(K82&lt;=H82,"按时完成","逾期完成")),IF(H82="","待定日期",IF(H82&lt;_数据接口!$B$6,"逾期",IF(J82="阻塞","阻塞","进行中")))))</f>
        <v/>
      </c>
      <c r="M82" s="7"/>
      <c r="N82" s="7"/>
    </row>
    <row r="83" spans="1:14">
      <c r="A83" s="7"/>
      <c r="B83" s="7"/>
      <c r="C83" s="7"/>
      <c r="D83" s="8"/>
      <c r="E83" s="7"/>
      <c r="F83" s="7"/>
      <c r="G83" s="9"/>
      <c r="H83" s="9"/>
      <c r="I83" s="7"/>
      <c r="J83" s="7"/>
      <c r="K83" s="9"/>
      <c r="L83" s="10" t="str">
        <f>IF(A83="","",IF(J83="已完成",IF(K83="","待补证据",IF(K83&lt;=H83,"按时完成","逾期完成")),IF(H83="","待定日期",IF(H83&lt;_数据接口!$B$6,"逾期",IF(J83="阻塞","阻塞","进行中")))))</f>
        <v/>
      </c>
      <c r="M83" s="7"/>
      <c r="N83" s="7"/>
    </row>
    <row r="84" spans="1:14">
      <c r="A84" s="7"/>
      <c r="B84" s="7"/>
      <c r="C84" s="7"/>
      <c r="D84" s="8"/>
      <c r="E84" s="7"/>
      <c r="F84" s="7"/>
      <c r="G84" s="9"/>
      <c r="H84" s="9"/>
      <c r="I84" s="7"/>
      <c r="J84" s="7"/>
      <c r="K84" s="9"/>
      <c r="L84" s="10" t="str">
        <f>IF(A84="","",IF(J84="已完成",IF(K84="","待补证据",IF(K84&lt;=H84,"按时完成","逾期完成")),IF(H84="","待定日期",IF(H84&lt;_数据接口!$B$6,"逾期",IF(J84="阻塞","阻塞","进行中")))))</f>
        <v/>
      </c>
      <c r="M84" s="7"/>
      <c r="N84" s="7"/>
    </row>
    <row r="85" spans="1:14">
      <c r="A85" s="7"/>
      <c r="B85" s="7"/>
      <c r="C85" s="7"/>
      <c r="D85" s="8"/>
      <c r="E85" s="7"/>
      <c r="F85" s="7"/>
      <c r="G85" s="9"/>
      <c r="H85" s="9"/>
      <c r="I85" s="7"/>
      <c r="J85" s="7"/>
      <c r="K85" s="9"/>
      <c r="L85" s="10" t="str">
        <f>IF(A85="","",IF(J85="已完成",IF(K85="","待补证据",IF(K85&lt;=H85,"按时完成","逾期完成")),IF(H85="","待定日期",IF(H85&lt;_数据接口!$B$6,"逾期",IF(J85="阻塞","阻塞","进行中")))))</f>
        <v/>
      </c>
      <c r="M85" s="7"/>
      <c r="N85" s="7"/>
    </row>
    <row r="86" spans="1:14">
      <c r="A86" s="7"/>
      <c r="B86" s="7"/>
      <c r="C86" s="7"/>
      <c r="D86" s="8"/>
      <c r="E86" s="7"/>
      <c r="F86" s="7"/>
      <c r="G86" s="9"/>
      <c r="H86" s="9"/>
      <c r="I86" s="7"/>
      <c r="J86" s="7"/>
      <c r="K86" s="9"/>
      <c r="L86" s="10" t="str">
        <f>IF(A86="","",IF(J86="已完成",IF(K86="","待补证据",IF(K86&lt;=H86,"按时完成","逾期完成")),IF(H86="","待定日期",IF(H86&lt;_数据接口!$B$6,"逾期",IF(J86="阻塞","阻塞","进行中")))))</f>
        <v/>
      </c>
      <c r="M86" s="7"/>
      <c r="N86" s="7"/>
    </row>
    <row r="87" spans="1:14">
      <c r="A87" s="7"/>
      <c r="B87" s="7"/>
      <c r="C87" s="7"/>
      <c r="D87" s="8"/>
      <c r="E87" s="7"/>
      <c r="F87" s="7"/>
      <c r="G87" s="9"/>
      <c r="H87" s="9"/>
      <c r="I87" s="7"/>
      <c r="J87" s="7"/>
      <c r="K87" s="9"/>
      <c r="L87" s="10" t="str">
        <f>IF(A87="","",IF(J87="已完成",IF(K87="","待补证据",IF(K87&lt;=H87,"按时完成","逾期完成")),IF(H87="","待定日期",IF(H87&lt;_数据接口!$B$6,"逾期",IF(J87="阻塞","阻塞","进行中")))))</f>
        <v/>
      </c>
      <c r="M87" s="7"/>
      <c r="N87" s="7"/>
    </row>
    <row r="88" spans="1:14">
      <c r="A88" s="7"/>
      <c r="B88" s="7"/>
      <c r="C88" s="7"/>
      <c r="D88" s="8"/>
      <c r="E88" s="7"/>
      <c r="F88" s="7"/>
      <c r="G88" s="9"/>
      <c r="H88" s="9"/>
      <c r="I88" s="7"/>
      <c r="J88" s="7"/>
      <c r="K88" s="9"/>
      <c r="L88" s="10" t="str">
        <f>IF(A88="","",IF(J88="已完成",IF(K88="","待补证据",IF(K88&lt;=H88,"按时完成","逾期完成")),IF(H88="","待定日期",IF(H88&lt;_数据接口!$B$6,"逾期",IF(J88="阻塞","阻塞","进行中")))))</f>
        <v/>
      </c>
      <c r="M88" s="7"/>
      <c r="N88" s="7"/>
    </row>
    <row r="89" spans="1:14">
      <c r="A89" s="7"/>
      <c r="B89" s="7"/>
      <c r="C89" s="7"/>
      <c r="D89" s="8"/>
      <c r="E89" s="7"/>
      <c r="F89" s="7"/>
      <c r="G89" s="9"/>
      <c r="H89" s="9"/>
      <c r="I89" s="7"/>
      <c r="J89" s="7"/>
      <c r="K89" s="9"/>
      <c r="L89" s="10" t="str">
        <f>IF(A89="","",IF(J89="已完成",IF(K89="","待补证据",IF(K89&lt;=H89,"按时完成","逾期完成")),IF(H89="","待定日期",IF(H89&lt;_数据接口!$B$6,"逾期",IF(J89="阻塞","阻塞","进行中")))))</f>
        <v/>
      </c>
      <c r="M89" s="7"/>
      <c r="N89" s="7"/>
    </row>
    <row r="90" spans="1:14">
      <c r="A90" s="7"/>
      <c r="B90" s="7"/>
      <c r="C90" s="7"/>
      <c r="D90" s="8"/>
      <c r="E90" s="7"/>
      <c r="F90" s="7"/>
      <c r="G90" s="9"/>
      <c r="H90" s="9"/>
      <c r="I90" s="7"/>
      <c r="J90" s="7"/>
      <c r="K90" s="9"/>
      <c r="L90" s="10" t="str">
        <f>IF(A90="","",IF(J90="已完成",IF(K90="","待补证据",IF(K90&lt;=H90,"按时完成","逾期完成")),IF(H90="","待定日期",IF(H90&lt;_数据接口!$B$6,"逾期",IF(J90="阻塞","阻塞","进行中")))))</f>
        <v/>
      </c>
      <c r="M90" s="7"/>
      <c r="N90" s="7"/>
    </row>
    <row r="91" spans="1:14">
      <c r="A91" s="7"/>
      <c r="B91" s="7"/>
      <c r="C91" s="7"/>
      <c r="D91" s="8"/>
      <c r="E91" s="7"/>
      <c r="F91" s="7"/>
      <c r="G91" s="9"/>
      <c r="H91" s="9"/>
      <c r="I91" s="7"/>
      <c r="J91" s="7"/>
      <c r="K91" s="9"/>
      <c r="L91" s="10" t="str">
        <f>IF(A91="","",IF(J91="已完成",IF(K91="","待补证据",IF(K91&lt;=H91,"按时完成","逾期完成")),IF(H91="","待定日期",IF(H91&lt;_数据接口!$B$6,"逾期",IF(J91="阻塞","阻塞","进行中")))))</f>
        <v/>
      </c>
      <c r="M91" s="7"/>
      <c r="N91" s="7"/>
    </row>
    <row r="92" spans="1:14">
      <c r="A92" s="7"/>
      <c r="B92" s="7"/>
      <c r="C92" s="7"/>
      <c r="D92" s="8"/>
      <c r="E92" s="7"/>
      <c r="F92" s="7"/>
      <c r="G92" s="9"/>
      <c r="H92" s="9"/>
      <c r="I92" s="7"/>
      <c r="J92" s="7"/>
      <c r="K92" s="9"/>
      <c r="L92" s="10" t="str">
        <f>IF(A92="","",IF(J92="已完成",IF(K92="","待补证据",IF(K92&lt;=H92,"按时完成","逾期完成")),IF(H92="","待定日期",IF(H92&lt;_数据接口!$B$6,"逾期",IF(J92="阻塞","阻塞","进行中")))))</f>
        <v/>
      </c>
      <c r="M92" s="7"/>
      <c r="N92" s="7"/>
    </row>
    <row r="93" spans="1:14">
      <c r="A93" s="7"/>
      <c r="B93" s="7"/>
      <c r="C93" s="7"/>
      <c r="D93" s="8"/>
      <c r="E93" s="7"/>
      <c r="F93" s="7"/>
      <c r="G93" s="9"/>
      <c r="H93" s="9"/>
      <c r="I93" s="7"/>
      <c r="J93" s="7"/>
      <c r="K93" s="9"/>
      <c r="L93" s="10" t="str">
        <f>IF(A93="","",IF(J93="已完成",IF(K93="","待补证据",IF(K93&lt;=H93,"按时完成","逾期完成")),IF(H93="","待定日期",IF(H93&lt;_数据接口!$B$6,"逾期",IF(J93="阻塞","阻塞","进行中")))))</f>
        <v/>
      </c>
      <c r="M93" s="7"/>
      <c r="N93" s="7"/>
    </row>
    <row r="94" spans="1:14">
      <c r="A94" s="7"/>
      <c r="B94" s="7"/>
      <c r="C94" s="7"/>
      <c r="D94" s="8"/>
      <c r="E94" s="7"/>
      <c r="F94" s="7"/>
      <c r="G94" s="9"/>
      <c r="H94" s="9"/>
      <c r="I94" s="7"/>
      <c r="J94" s="7"/>
      <c r="K94" s="9"/>
      <c r="L94" s="10" t="str">
        <f>IF(A94="","",IF(J94="已完成",IF(K94="","待补证据",IF(K94&lt;=H94,"按时完成","逾期完成")),IF(H94="","待定日期",IF(H94&lt;_数据接口!$B$6,"逾期",IF(J94="阻塞","阻塞","进行中")))))</f>
        <v/>
      </c>
      <c r="M94" s="7"/>
      <c r="N94" s="7"/>
    </row>
    <row r="95" spans="1:14">
      <c r="A95" s="7"/>
      <c r="B95" s="7"/>
      <c r="C95" s="7"/>
      <c r="D95" s="8"/>
      <c r="E95" s="7"/>
      <c r="F95" s="7"/>
      <c r="G95" s="9"/>
      <c r="H95" s="9"/>
      <c r="I95" s="7"/>
      <c r="J95" s="7"/>
      <c r="K95" s="9"/>
      <c r="L95" s="10" t="str">
        <f>IF(A95="","",IF(J95="已完成",IF(K95="","待补证据",IF(K95&lt;=H95,"按时完成","逾期完成")),IF(H95="","待定日期",IF(H95&lt;_数据接口!$B$6,"逾期",IF(J95="阻塞","阻塞","进行中")))))</f>
        <v/>
      </c>
      <c r="M95" s="7"/>
      <c r="N95" s="7"/>
    </row>
    <row r="96" spans="1:14">
      <c r="A96" s="7"/>
      <c r="B96" s="7"/>
      <c r="C96" s="7"/>
      <c r="D96" s="8"/>
      <c r="E96" s="7"/>
      <c r="F96" s="7"/>
      <c r="G96" s="9"/>
      <c r="H96" s="9"/>
      <c r="I96" s="7"/>
      <c r="J96" s="7"/>
      <c r="K96" s="9"/>
      <c r="L96" s="10" t="str">
        <f>IF(A96="","",IF(J96="已完成",IF(K96="","待补证据",IF(K96&lt;=H96,"按时完成","逾期完成")),IF(H96="","待定日期",IF(H96&lt;_数据接口!$B$6,"逾期",IF(J96="阻塞","阻塞","进行中")))))</f>
        <v/>
      </c>
      <c r="M96" s="7"/>
      <c r="N96" s="7"/>
    </row>
    <row r="97" spans="1:14">
      <c r="A97" s="7"/>
      <c r="B97" s="7"/>
      <c r="C97" s="7"/>
      <c r="D97" s="8"/>
      <c r="E97" s="7"/>
      <c r="F97" s="7"/>
      <c r="G97" s="9"/>
      <c r="H97" s="9"/>
      <c r="I97" s="7"/>
      <c r="J97" s="7"/>
      <c r="K97" s="9"/>
      <c r="L97" s="10" t="str">
        <f>IF(A97="","",IF(J97="已完成",IF(K97="","待补证据",IF(K97&lt;=H97,"按时完成","逾期完成")),IF(H97="","待定日期",IF(H97&lt;_数据接口!$B$6,"逾期",IF(J97="阻塞","阻塞","进行中")))))</f>
        <v/>
      </c>
      <c r="M97" s="7"/>
      <c r="N97" s="7"/>
    </row>
    <row r="98" spans="1:14">
      <c r="A98" s="7"/>
      <c r="B98" s="7"/>
      <c r="C98" s="7"/>
      <c r="D98" s="8"/>
      <c r="E98" s="7"/>
      <c r="F98" s="7"/>
      <c r="G98" s="9"/>
      <c r="H98" s="9"/>
      <c r="I98" s="7"/>
      <c r="J98" s="7"/>
      <c r="K98" s="9"/>
      <c r="L98" s="10" t="str">
        <f>IF(A98="","",IF(J98="已完成",IF(K98="","待补证据",IF(K98&lt;=H98,"按时完成","逾期完成")),IF(H98="","待定日期",IF(H98&lt;_数据接口!$B$6,"逾期",IF(J98="阻塞","阻塞","进行中")))))</f>
        <v/>
      </c>
      <c r="M98" s="7"/>
      <c r="N98" s="7"/>
    </row>
    <row r="99" spans="1:14">
      <c r="A99" s="7"/>
      <c r="B99" s="7"/>
      <c r="C99" s="7"/>
      <c r="D99" s="8"/>
      <c r="E99" s="7"/>
      <c r="F99" s="7"/>
      <c r="G99" s="9"/>
      <c r="H99" s="9"/>
      <c r="I99" s="7"/>
      <c r="J99" s="7"/>
      <c r="K99" s="9"/>
      <c r="L99" s="10" t="str">
        <f>IF(A99="","",IF(J99="已完成",IF(K99="","待补证据",IF(K99&lt;=H99,"按时完成","逾期完成")),IF(H99="","待定日期",IF(H99&lt;_数据接口!$B$6,"逾期",IF(J99="阻塞","阻塞","进行中")))))</f>
        <v/>
      </c>
      <c r="M99" s="7"/>
      <c r="N99" s="7"/>
    </row>
    <row r="100" spans="1:14">
      <c r="A100" s="7"/>
      <c r="B100" s="7"/>
      <c r="C100" s="7"/>
      <c r="D100" s="8"/>
      <c r="E100" s="7"/>
      <c r="F100" s="7"/>
      <c r="G100" s="9"/>
      <c r="H100" s="9"/>
      <c r="I100" s="7"/>
      <c r="J100" s="7"/>
      <c r="K100" s="9"/>
      <c r="L100" s="10" t="str">
        <f>IF(A100="","",IF(J100="已完成",IF(K100="","待补证据",IF(K100&lt;=H100,"按时完成","逾期完成")),IF(H100="","待定日期",IF(H100&lt;_数据接口!$B$6,"逾期",IF(J100="阻塞","阻塞","进行中")))))</f>
        <v/>
      </c>
      <c r="M100" s="7"/>
      <c r="N100" s="7"/>
    </row>
    <row r="101" spans="1:14">
      <c r="A101" s="7"/>
      <c r="B101" s="7"/>
      <c r="C101" s="7"/>
      <c r="D101" s="8"/>
      <c r="E101" s="7"/>
      <c r="F101" s="7"/>
      <c r="G101" s="9"/>
      <c r="H101" s="9"/>
      <c r="I101" s="7"/>
      <c r="J101" s="7"/>
      <c r="K101" s="9"/>
      <c r="L101" s="10" t="str">
        <f>IF(A101="","",IF(J101="已完成",IF(K101="","待补证据",IF(K101&lt;=H101,"按时完成","逾期完成")),IF(H101="","待定日期",IF(H101&lt;_数据接口!$B$6,"逾期",IF(J101="阻塞","阻塞","进行中")))))</f>
        <v/>
      </c>
      <c r="M101" s="7"/>
      <c r="N101" s="7"/>
    </row>
    <row r="102" spans="1:14">
      <c r="A102" s="7"/>
      <c r="B102" s="7"/>
      <c r="C102" s="7"/>
      <c r="D102" s="8"/>
      <c r="E102" s="7"/>
      <c r="F102" s="7"/>
      <c r="G102" s="9"/>
      <c r="H102" s="9"/>
      <c r="I102" s="7"/>
      <c r="J102" s="7"/>
      <c r="K102" s="9"/>
      <c r="L102" s="10" t="str">
        <f>IF(A102="","",IF(J102="已完成",IF(K102="","待补证据",IF(K102&lt;=H102,"按时完成","逾期完成")),IF(H102="","待定日期",IF(H102&lt;_数据接口!$B$6,"逾期",IF(J102="阻塞","阻塞","进行中")))))</f>
        <v/>
      </c>
      <c r="M102" s="7"/>
      <c r="N102" s="7"/>
    </row>
    <row r="103" spans="1:14">
      <c r="A103" s="7"/>
      <c r="B103" s="7"/>
      <c r="C103" s="7"/>
      <c r="D103" s="8"/>
      <c r="E103" s="7"/>
      <c r="F103" s="7"/>
      <c r="G103" s="9"/>
      <c r="H103" s="9"/>
      <c r="I103" s="7"/>
      <c r="J103" s="7"/>
      <c r="K103" s="9"/>
      <c r="L103" s="10" t="str">
        <f>IF(A103="","",IF(J103="已完成",IF(K103="","待补证据",IF(K103&lt;=H103,"按时完成","逾期完成")),IF(H103="","待定日期",IF(H103&lt;_数据接口!$B$6,"逾期",IF(J103="阻塞","阻塞","进行中")))))</f>
        <v/>
      </c>
      <c r="M103" s="7"/>
      <c r="N103" s="7"/>
    </row>
    <row r="104" spans="1:14">
      <c r="A104" s="7"/>
      <c r="B104" s="7"/>
      <c r="C104" s="7"/>
      <c r="D104" s="8"/>
      <c r="E104" s="7"/>
      <c r="F104" s="7"/>
      <c r="G104" s="9"/>
      <c r="H104" s="9"/>
      <c r="I104" s="7"/>
      <c r="J104" s="7"/>
      <c r="K104" s="9"/>
      <c r="L104" s="10" t="str">
        <f>IF(A104="","",IF(J104="已完成",IF(K104="","待补证据",IF(K104&lt;=H104,"按时完成","逾期完成")),IF(H104="","待定日期",IF(H104&lt;_数据接口!$B$6,"逾期",IF(J104="阻塞","阻塞","进行中")))))</f>
        <v/>
      </c>
      <c r="M104" s="7"/>
      <c r="N104" s="7"/>
    </row>
  </sheetData>
  <conditionalFormatting sqref="L5:L104">
    <cfRule type="containsText" dxfId="0" priority="1" operator="between" text="逾期">
      <formula>NOT(ISERROR(SEARCH("逾期",L5)))</formula>
    </cfRule>
    <cfRule type="containsText" dxfId="0" priority="2" operator="between" text="阻塞">
      <formula>NOT(ISERROR(SEARCH("阻塞",L5)))</formula>
    </cfRule>
  </conditionalFormatting>
  <dataValidations count="2">
    <dataValidation type="list" sqref="I5:I104">
      <formula1>"高,中,低"</formula1>
    </dataValidation>
    <dataValidation type="list" sqref="J5:J104">
      <formula1>"未开始,进行中,阻塞,已完成,已取消"</formula1>
    </dataValidation>
  </dataValidation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28" customWidth="1"/>
    <col min="3" max="5" width="17" customWidth="1"/>
    <col min="6" max="9" width="34" customWidth="1"/>
    <col min="10" max="14" width="19" customWidth="1"/>
  </cols>
  <sheetData>
    <row r="1" ht="25" customHeight="1" spans="1:14">
      <c r="A1" s="4" t="s">
        <v>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318</v>
      </c>
    </row>
    <row r="4" ht="32" customHeight="1" spans="1:14">
      <c r="A4" s="6" t="s">
        <v>299</v>
      </c>
      <c r="B4" s="6" t="s">
        <v>319</v>
      </c>
      <c r="C4" s="6" t="s">
        <v>320</v>
      </c>
      <c r="D4" s="6" t="s">
        <v>311</v>
      </c>
      <c r="E4" s="6" t="s">
        <v>321</v>
      </c>
      <c r="F4" s="6" t="s">
        <v>322</v>
      </c>
      <c r="G4" s="6" t="s">
        <v>323</v>
      </c>
      <c r="H4" s="6" t="s">
        <v>324</v>
      </c>
      <c r="I4" s="6" t="s">
        <v>325</v>
      </c>
      <c r="J4" s="6" t="s">
        <v>117</v>
      </c>
      <c r="K4" s="6" t="s">
        <v>326</v>
      </c>
      <c r="L4" s="6" t="s">
        <v>327</v>
      </c>
      <c r="M4" s="6" t="s">
        <v>328</v>
      </c>
      <c r="N4" s="6" t="s">
        <v>329</v>
      </c>
    </row>
    <row r="5" spans="1:14">
      <c r="A5" s="7" t="s">
        <v>330</v>
      </c>
      <c r="B5" s="7" t="s">
        <v>331</v>
      </c>
      <c r="C5" s="7" t="s">
        <v>332</v>
      </c>
      <c r="D5" s="9">
        <v>46282</v>
      </c>
      <c r="E5" s="9">
        <v>46295</v>
      </c>
      <c r="F5" s="8" t="s">
        <v>333</v>
      </c>
      <c r="G5" s="8" t="s">
        <v>334</v>
      </c>
      <c r="H5" s="8" t="s">
        <v>335</v>
      </c>
      <c r="I5" s="8" t="s">
        <v>336</v>
      </c>
      <c r="J5" s="7" t="s">
        <v>337</v>
      </c>
      <c r="K5" s="7" t="s">
        <v>209</v>
      </c>
      <c r="L5" s="9"/>
      <c r="M5" s="7"/>
      <c r="N5" s="7" t="s">
        <v>338</v>
      </c>
    </row>
    <row r="6" spans="1:14">
      <c r="A6" s="7" t="s">
        <v>339</v>
      </c>
      <c r="B6" s="7" t="s">
        <v>340</v>
      </c>
      <c r="C6" s="7" t="s">
        <v>332</v>
      </c>
      <c r="D6" s="9">
        <v>46282</v>
      </c>
      <c r="E6" s="9">
        <v>46295</v>
      </c>
      <c r="F6" s="8" t="s">
        <v>341</v>
      </c>
      <c r="G6" s="8" t="s">
        <v>334</v>
      </c>
      <c r="H6" s="8" t="s">
        <v>342</v>
      </c>
      <c r="I6" s="8" t="s">
        <v>336</v>
      </c>
      <c r="J6" s="7" t="s">
        <v>337</v>
      </c>
      <c r="K6" s="7" t="s">
        <v>209</v>
      </c>
      <c r="L6" s="9"/>
      <c r="M6" s="7"/>
      <c r="N6" s="7" t="s">
        <v>338</v>
      </c>
    </row>
    <row r="7" ht="31" spans="1:14">
      <c r="A7" s="7" t="s">
        <v>343</v>
      </c>
      <c r="B7" s="7" t="s">
        <v>344</v>
      </c>
      <c r="C7" s="7" t="s">
        <v>332</v>
      </c>
      <c r="D7" s="9">
        <v>46282</v>
      </c>
      <c r="E7" s="9">
        <v>46295</v>
      </c>
      <c r="F7" s="8" t="s">
        <v>345</v>
      </c>
      <c r="G7" s="8" t="s">
        <v>334</v>
      </c>
      <c r="H7" s="8" t="s">
        <v>346</v>
      </c>
      <c r="I7" s="8" t="s">
        <v>336</v>
      </c>
      <c r="J7" s="7" t="s">
        <v>337</v>
      </c>
      <c r="K7" s="7" t="s">
        <v>209</v>
      </c>
      <c r="L7" s="9"/>
      <c r="M7" s="7"/>
      <c r="N7" s="7" t="s">
        <v>338</v>
      </c>
    </row>
    <row r="8" ht="31" spans="1:14">
      <c r="A8" s="7" t="s">
        <v>347</v>
      </c>
      <c r="B8" s="7" t="s">
        <v>348</v>
      </c>
      <c r="C8" s="7" t="s">
        <v>349</v>
      </c>
      <c r="D8" s="9">
        <v>46282</v>
      </c>
      <c r="E8" s="9">
        <v>46311</v>
      </c>
      <c r="F8" s="8" t="s">
        <v>350</v>
      </c>
      <c r="G8" s="8" t="s">
        <v>351</v>
      </c>
      <c r="H8" s="8" t="s">
        <v>352</v>
      </c>
      <c r="I8" s="8" t="s">
        <v>353</v>
      </c>
      <c r="J8" s="7" t="s">
        <v>337</v>
      </c>
      <c r="K8" s="7" t="s">
        <v>119</v>
      </c>
      <c r="L8" s="9"/>
      <c r="M8" s="7"/>
      <c r="N8" s="7" t="s">
        <v>354</v>
      </c>
    </row>
    <row r="9" spans="1:14">
      <c r="A9" s="7"/>
      <c r="B9" s="7"/>
      <c r="C9" s="7"/>
      <c r="D9" s="9"/>
      <c r="E9" s="9"/>
      <c r="F9" s="8"/>
      <c r="G9" s="8"/>
      <c r="H9" s="8"/>
      <c r="I9" s="8"/>
      <c r="J9" s="7"/>
      <c r="K9" s="7"/>
      <c r="L9" s="9"/>
      <c r="M9" s="7"/>
      <c r="N9" s="7"/>
    </row>
    <row r="10" spans="1:14">
      <c r="A10" s="7"/>
      <c r="B10" s="7"/>
      <c r="C10" s="7"/>
      <c r="D10" s="9"/>
      <c r="E10" s="9"/>
      <c r="F10" s="8"/>
      <c r="G10" s="8"/>
      <c r="H10" s="8"/>
      <c r="I10" s="8"/>
      <c r="J10" s="7"/>
      <c r="K10" s="7"/>
      <c r="L10" s="9"/>
      <c r="M10" s="7"/>
      <c r="N10" s="7"/>
    </row>
    <row r="11" spans="1:14">
      <c r="A11" s="7"/>
      <c r="B11" s="7"/>
      <c r="C11" s="7"/>
      <c r="D11" s="9"/>
      <c r="E11" s="9"/>
      <c r="F11" s="8"/>
      <c r="G11" s="8"/>
      <c r="H11" s="8"/>
      <c r="I11" s="8"/>
      <c r="J11" s="7"/>
      <c r="K11" s="7"/>
      <c r="L11" s="9"/>
      <c r="M11" s="7"/>
      <c r="N11" s="7"/>
    </row>
    <row r="12" spans="1:14">
      <c r="A12" s="7"/>
      <c r="B12" s="7"/>
      <c r="C12" s="7"/>
      <c r="D12" s="9"/>
      <c r="E12" s="9"/>
      <c r="F12" s="8"/>
      <c r="G12" s="8"/>
      <c r="H12" s="8"/>
      <c r="I12" s="8"/>
      <c r="J12" s="7"/>
      <c r="K12" s="7"/>
      <c r="L12" s="9"/>
      <c r="M12" s="7"/>
      <c r="N12" s="7"/>
    </row>
    <row r="13" spans="1:14">
      <c r="A13" s="7"/>
      <c r="B13" s="7"/>
      <c r="C13" s="7"/>
      <c r="D13" s="9"/>
      <c r="E13" s="9"/>
      <c r="F13" s="8"/>
      <c r="G13" s="8"/>
      <c r="H13" s="8"/>
      <c r="I13" s="8"/>
      <c r="J13" s="7"/>
      <c r="K13" s="7"/>
      <c r="L13" s="9"/>
      <c r="M13" s="7"/>
      <c r="N13" s="7"/>
    </row>
    <row r="14" spans="1:14">
      <c r="A14" s="7"/>
      <c r="B14" s="7"/>
      <c r="C14" s="7"/>
      <c r="D14" s="9"/>
      <c r="E14" s="9"/>
      <c r="F14" s="8"/>
      <c r="G14" s="8"/>
      <c r="H14" s="8"/>
      <c r="I14" s="8"/>
      <c r="J14" s="7"/>
      <c r="K14" s="7"/>
      <c r="L14" s="9"/>
      <c r="M14" s="7"/>
      <c r="N14" s="7"/>
    </row>
    <row r="15" spans="1:14">
      <c r="A15" s="7"/>
      <c r="B15" s="7"/>
      <c r="C15" s="7"/>
      <c r="D15" s="9"/>
      <c r="E15" s="9"/>
      <c r="F15" s="8"/>
      <c r="G15" s="8"/>
      <c r="H15" s="8"/>
      <c r="I15" s="8"/>
      <c r="J15" s="7"/>
      <c r="K15" s="7"/>
      <c r="L15" s="9"/>
      <c r="M15" s="7"/>
      <c r="N15" s="7"/>
    </row>
    <row r="16" spans="1:14">
      <c r="A16" s="7"/>
      <c r="B16" s="7"/>
      <c r="C16" s="7"/>
      <c r="D16" s="9"/>
      <c r="E16" s="9"/>
      <c r="F16" s="8"/>
      <c r="G16" s="8"/>
      <c r="H16" s="8"/>
      <c r="I16" s="8"/>
      <c r="J16" s="7"/>
      <c r="K16" s="7"/>
      <c r="L16" s="9"/>
      <c r="M16" s="7"/>
      <c r="N16" s="7"/>
    </row>
    <row r="17" spans="1:14">
      <c r="A17" s="7"/>
      <c r="B17" s="7"/>
      <c r="C17" s="7"/>
      <c r="D17" s="9"/>
      <c r="E17" s="9"/>
      <c r="F17" s="8"/>
      <c r="G17" s="8"/>
      <c r="H17" s="8"/>
      <c r="I17" s="8"/>
      <c r="J17" s="7"/>
      <c r="K17" s="7"/>
      <c r="L17" s="9"/>
      <c r="M17" s="7"/>
      <c r="N17" s="7"/>
    </row>
    <row r="18" spans="1:14">
      <c r="A18" s="7"/>
      <c r="B18" s="7"/>
      <c r="C18" s="7"/>
      <c r="D18" s="9"/>
      <c r="E18" s="9"/>
      <c r="F18" s="8"/>
      <c r="G18" s="8"/>
      <c r="H18" s="8"/>
      <c r="I18" s="8"/>
      <c r="J18" s="7"/>
      <c r="K18" s="7"/>
      <c r="L18" s="9"/>
      <c r="M18" s="7"/>
      <c r="N18" s="7"/>
    </row>
    <row r="19" spans="1:14">
      <c r="A19" s="7"/>
      <c r="B19" s="7"/>
      <c r="C19" s="7"/>
      <c r="D19" s="9"/>
      <c r="E19" s="9"/>
      <c r="F19" s="8"/>
      <c r="G19" s="8"/>
      <c r="H19" s="8"/>
      <c r="I19" s="8"/>
      <c r="J19" s="7"/>
      <c r="K19" s="7"/>
      <c r="L19" s="9"/>
      <c r="M19" s="7"/>
      <c r="N19" s="7"/>
    </row>
    <row r="20" spans="1:14">
      <c r="A20" s="7"/>
      <c r="B20" s="7"/>
      <c r="C20" s="7"/>
      <c r="D20" s="9"/>
      <c r="E20" s="9"/>
      <c r="F20" s="8"/>
      <c r="G20" s="8"/>
      <c r="H20" s="8"/>
      <c r="I20" s="8"/>
      <c r="J20" s="7"/>
      <c r="K20" s="7"/>
      <c r="L20" s="9"/>
      <c r="M20" s="7"/>
      <c r="N20" s="7"/>
    </row>
    <row r="21" spans="1:14">
      <c r="A21" s="7"/>
      <c r="B21" s="7"/>
      <c r="C21" s="7"/>
      <c r="D21" s="9"/>
      <c r="E21" s="9"/>
      <c r="F21" s="8"/>
      <c r="G21" s="8"/>
      <c r="H21" s="8"/>
      <c r="I21" s="8"/>
      <c r="J21" s="7"/>
      <c r="K21" s="7"/>
      <c r="L21" s="9"/>
      <c r="M21" s="7"/>
      <c r="N21" s="7"/>
    </row>
    <row r="22" spans="1:14">
      <c r="A22" s="7"/>
      <c r="B22" s="7"/>
      <c r="C22" s="7"/>
      <c r="D22" s="9"/>
      <c r="E22" s="9"/>
      <c r="F22" s="8"/>
      <c r="G22" s="8"/>
      <c r="H22" s="8"/>
      <c r="I22" s="8"/>
      <c r="J22" s="7"/>
      <c r="K22" s="7"/>
      <c r="L22" s="9"/>
      <c r="M22" s="7"/>
      <c r="N22" s="7"/>
    </row>
    <row r="23" spans="1:14">
      <c r="A23" s="7"/>
      <c r="B23" s="7"/>
      <c r="C23" s="7"/>
      <c r="D23" s="9"/>
      <c r="E23" s="9"/>
      <c r="F23" s="8"/>
      <c r="G23" s="8"/>
      <c r="H23" s="8"/>
      <c r="I23" s="8"/>
      <c r="J23" s="7"/>
      <c r="K23" s="7"/>
      <c r="L23" s="9"/>
      <c r="M23" s="7"/>
      <c r="N23" s="7"/>
    </row>
    <row r="24" spans="1:14">
      <c r="A24" s="7"/>
      <c r="B24" s="7"/>
      <c r="C24" s="7"/>
      <c r="D24" s="9"/>
      <c r="E24" s="9"/>
      <c r="F24" s="8"/>
      <c r="G24" s="8"/>
      <c r="H24" s="8"/>
      <c r="I24" s="8"/>
      <c r="J24" s="7"/>
      <c r="K24" s="7"/>
      <c r="L24" s="9"/>
      <c r="M24" s="7"/>
      <c r="N24" s="7"/>
    </row>
    <row r="25" spans="1:14">
      <c r="A25" s="7"/>
      <c r="B25" s="7"/>
      <c r="C25" s="7"/>
      <c r="D25" s="9"/>
      <c r="E25" s="9"/>
      <c r="F25" s="8"/>
      <c r="G25" s="8"/>
      <c r="H25" s="8"/>
      <c r="I25" s="8"/>
      <c r="J25" s="7"/>
      <c r="K25" s="7"/>
      <c r="L25" s="9"/>
      <c r="M25" s="7"/>
      <c r="N25" s="7"/>
    </row>
    <row r="26" spans="1:14">
      <c r="A26" s="7"/>
      <c r="B26" s="7"/>
      <c r="C26" s="7"/>
      <c r="D26" s="9"/>
      <c r="E26" s="9"/>
      <c r="F26" s="8"/>
      <c r="G26" s="8"/>
      <c r="H26" s="8"/>
      <c r="I26" s="8"/>
      <c r="J26" s="7"/>
      <c r="K26" s="7"/>
      <c r="L26" s="9"/>
      <c r="M26" s="7"/>
      <c r="N26" s="7"/>
    </row>
    <row r="27" spans="1:14">
      <c r="A27" s="7"/>
      <c r="B27" s="7"/>
      <c r="C27" s="7"/>
      <c r="D27" s="9"/>
      <c r="E27" s="9"/>
      <c r="F27" s="8"/>
      <c r="G27" s="8"/>
      <c r="H27" s="8"/>
      <c r="I27" s="8"/>
      <c r="J27" s="7"/>
      <c r="K27" s="7"/>
      <c r="L27" s="9"/>
      <c r="M27" s="7"/>
      <c r="N27" s="7"/>
    </row>
    <row r="28" spans="1:14">
      <c r="A28" s="7"/>
      <c r="B28" s="7"/>
      <c r="C28" s="7"/>
      <c r="D28" s="9"/>
      <c r="E28" s="9"/>
      <c r="F28" s="8"/>
      <c r="G28" s="8"/>
      <c r="H28" s="8"/>
      <c r="I28" s="8"/>
      <c r="J28" s="7"/>
      <c r="K28" s="7"/>
      <c r="L28" s="9"/>
      <c r="M28" s="7"/>
      <c r="N28" s="7"/>
    </row>
    <row r="29" spans="1:14">
      <c r="A29" s="7"/>
      <c r="B29" s="7"/>
      <c r="C29" s="7"/>
      <c r="D29" s="9"/>
      <c r="E29" s="9"/>
      <c r="F29" s="8"/>
      <c r="G29" s="8"/>
      <c r="H29" s="8"/>
      <c r="I29" s="8"/>
      <c r="J29" s="7"/>
      <c r="K29" s="7"/>
      <c r="L29" s="9"/>
      <c r="M29" s="7"/>
      <c r="N29" s="7"/>
    </row>
    <row r="30" spans="1:14">
      <c r="A30" s="7"/>
      <c r="B30" s="7"/>
      <c r="C30" s="7"/>
      <c r="D30" s="9"/>
      <c r="E30" s="9"/>
      <c r="F30" s="8"/>
      <c r="G30" s="8"/>
      <c r="H30" s="8"/>
      <c r="I30" s="8"/>
      <c r="J30" s="7"/>
      <c r="K30" s="7"/>
      <c r="L30" s="9"/>
      <c r="M30" s="7"/>
      <c r="N30" s="7"/>
    </row>
    <row r="31" spans="1:14">
      <c r="A31" s="7"/>
      <c r="B31" s="7"/>
      <c r="C31" s="7"/>
      <c r="D31" s="9"/>
      <c r="E31" s="9"/>
      <c r="F31" s="8"/>
      <c r="G31" s="8"/>
      <c r="H31" s="8"/>
      <c r="I31" s="8"/>
      <c r="J31" s="7"/>
      <c r="K31" s="7"/>
      <c r="L31" s="9"/>
      <c r="M31" s="7"/>
      <c r="N31" s="7"/>
    </row>
    <row r="32" spans="1:14">
      <c r="A32" s="7"/>
      <c r="B32" s="7"/>
      <c r="C32" s="7"/>
      <c r="D32" s="9"/>
      <c r="E32" s="9"/>
      <c r="F32" s="8"/>
      <c r="G32" s="8"/>
      <c r="H32" s="8"/>
      <c r="I32" s="8"/>
      <c r="J32" s="7"/>
      <c r="K32" s="7"/>
      <c r="L32" s="9"/>
      <c r="M32" s="7"/>
      <c r="N32" s="7"/>
    </row>
    <row r="33" spans="1:14">
      <c r="A33" s="7"/>
      <c r="B33" s="7"/>
      <c r="C33" s="7"/>
      <c r="D33" s="9"/>
      <c r="E33" s="9"/>
      <c r="F33" s="8"/>
      <c r="G33" s="8"/>
      <c r="H33" s="8"/>
      <c r="I33" s="8"/>
      <c r="J33" s="7"/>
      <c r="K33" s="7"/>
      <c r="L33" s="9"/>
      <c r="M33" s="7"/>
      <c r="N33" s="7"/>
    </row>
    <row r="34" spans="1:14">
      <c r="A34" s="7"/>
      <c r="B34" s="7"/>
      <c r="C34" s="7"/>
      <c r="D34" s="9"/>
      <c r="E34" s="9"/>
      <c r="F34" s="8"/>
      <c r="G34" s="8"/>
      <c r="H34" s="8"/>
      <c r="I34" s="8"/>
      <c r="J34" s="7"/>
      <c r="K34" s="7"/>
      <c r="L34" s="9"/>
      <c r="M34" s="7"/>
      <c r="N34" s="7"/>
    </row>
    <row r="35" spans="1:14">
      <c r="A35" s="7"/>
      <c r="B35" s="7"/>
      <c r="C35" s="7"/>
      <c r="D35" s="9"/>
      <c r="E35" s="9"/>
      <c r="F35" s="8"/>
      <c r="G35" s="8"/>
      <c r="H35" s="8"/>
      <c r="I35" s="8"/>
      <c r="J35" s="7"/>
      <c r="K35" s="7"/>
      <c r="L35" s="9"/>
      <c r="M35" s="7"/>
      <c r="N35" s="7"/>
    </row>
    <row r="36" spans="1:14">
      <c r="A36" s="7"/>
      <c r="B36" s="7"/>
      <c r="C36" s="7"/>
      <c r="D36" s="9"/>
      <c r="E36" s="9"/>
      <c r="F36" s="8"/>
      <c r="G36" s="8"/>
      <c r="H36" s="8"/>
      <c r="I36" s="8"/>
      <c r="J36" s="7"/>
      <c r="K36" s="7"/>
      <c r="L36" s="9"/>
      <c r="M36" s="7"/>
      <c r="N36" s="7"/>
    </row>
    <row r="37" spans="1:14">
      <c r="A37" s="7"/>
      <c r="B37" s="7"/>
      <c r="C37" s="7"/>
      <c r="D37" s="9"/>
      <c r="E37" s="9"/>
      <c r="F37" s="8"/>
      <c r="G37" s="8"/>
      <c r="H37" s="8"/>
      <c r="I37" s="8"/>
      <c r="J37" s="7"/>
      <c r="K37" s="7"/>
      <c r="L37" s="9"/>
      <c r="M37" s="7"/>
      <c r="N37" s="7"/>
    </row>
    <row r="38" spans="1:14">
      <c r="A38" s="7"/>
      <c r="B38" s="7"/>
      <c r="C38" s="7"/>
      <c r="D38" s="9"/>
      <c r="E38" s="9"/>
      <c r="F38" s="8"/>
      <c r="G38" s="8"/>
      <c r="H38" s="8"/>
      <c r="I38" s="8"/>
      <c r="J38" s="7"/>
      <c r="K38" s="7"/>
      <c r="L38" s="9"/>
      <c r="M38" s="7"/>
      <c r="N38" s="7"/>
    </row>
    <row r="39" spans="1:14">
      <c r="A39" s="7"/>
      <c r="B39" s="7"/>
      <c r="C39" s="7"/>
      <c r="D39" s="9"/>
      <c r="E39" s="9"/>
      <c r="F39" s="8"/>
      <c r="G39" s="8"/>
      <c r="H39" s="8"/>
      <c r="I39" s="8"/>
      <c r="J39" s="7"/>
      <c r="K39" s="7"/>
      <c r="L39" s="9"/>
      <c r="M39" s="7"/>
      <c r="N39" s="7"/>
    </row>
    <row r="40" spans="1:14">
      <c r="A40" s="7"/>
      <c r="B40" s="7"/>
      <c r="C40" s="7"/>
      <c r="D40" s="9"/>
      <c r="E40" s="9"/>
      <c r="F40" s="8"/>
      <c r="G40" s="8"/>
      <c r="H40" s="8"/>
      <c r="I40" s="8"/>
      <c r="J40" s="7"/>
      <c r="K40" s="7"/>
      <c r="L40" s="9"/>
      <c r="M40" s="7"/>
      <c r="N40" s="7"/>
    </row>
    <row r="41" spans="1:14">
      <c r="A41" s="7"/>
      <c r="B41" s="7"/>
      <c r="C41" s="7"/>
      <c r="D41" s="9"/>
      <c r="E41" s="9"/>
      <c r="F41" s="8"/>
      <c r="G41" s="8"/>
      <c r="H41" s="8"/>
      <c r="I41" s="8"/>
      <c r="J41" s="7"/>
      <c r="K41" s="7"/>
      <c r="L41" s="9"/>
      <c r="M41" s="7"/>
      <c r="N41" s="7"/>
    </row>
    <row r="42" spans="1:14">
      <c r="A42" s="7"/>
      <c r="B42" s="7"/>
      <c r="C42" s="7"/>
      <c r="D42" s="9"/>
      <c r="E42" s="9"/>
      <c r="F42" s="8"/>
      <c r="G42" s="8"/>
      <c r="H42" s="8"/>
      <c r="I42" s="8"/>
      <c r="J42" s="7"/>
      <c r="K42" s="7"/>
      <c r="L42" s="9"/>
      <c r="M42" s="7"/>
      <c r="N42" s="7"/>
    </row>
    <row r="43" spans="1:14">
      <c r="A43" s="7"/>
      <c r="B43" s="7"/>
      <c r="C43" s="7"/>
      <c r="D43" s="9"/>
      <c r="E43" s="9"/>
      <c r="F43" s="8"/>
      <c r="G43" s="8"/>
      <c r="H43" s="8"/>
      <c r="I43" s="8"/>
      <c r="J43" s="7"/>
      <c r="K43" s="7"/>
      <c r="L43" s="9"/>
      <c r="M43" s="7"/>
      <c r="N43" s="7"/>
    </row>
    <row r="44" spans="1:14">
      <c r="A44" s="7"/>
      <c r="B44" s="7"/>
      <c r="C44" s="7"/>
      <c r="D44" s="9"/>
      <c r="E44" s="9"/>
      <c r="F44" s="8"/>
      <c r="G44" s="8"/>
      <c r="H44" s="8"/>
      <c r="I44" s="8"/>
      <c r="J44" s="7"/>
      <c r="K44" s="7"/>
      <c r="L44" s="9"/>
      <c r="M44" s="7"/>
      <c r="N44" s="7"/>
    </row>
    <row r="45" spans="1:14">
      <c r="A45" s="7"/>
      <c r="B45" s="7"/>
      <c r="C45" s="7"/>
      <c r="D45" s="9"/>
      <c r="E45" s="9"/>
      <c r="F45" s="8"/>
      <c r="G45" s="8"/>
      <c r="H45" s="8"/>
      <c r="I45" s="8"/>
      <c r="J45" s="7"/>
      <c r="K45" s="7"/>
      <c r="L45" s="9"/>
      <c r="M45" s="7"/>
      <c r="N45" s="7"/>
    </row>
    <row r="46" spans="1:14">
      <c r="A46" s="7"/>
      <c r="B46" s="7"/>
      <c r="C46" s="7"/>
      <c r="D46" s="9"/>
      <c r="E46" s="9"/>
      <c r="F46" s="8"/>
      <c r="G46" s="8"/>
      <c r="H46" s="8"/>
      <c r="I46" s="8"/>
      <c r="J46" s="7"/>
      <c r="K46" s="7"/>
      <c r="L46" s="9"/>
      <c r="M46" s="7"/>
      <c r="N46" s="7"/>
    </row>
    <row r="47" spans="1:14">
      <c r="A47" s="7"/>
      <c r="B47" s="7"/>
      <c r="C47" s="7"/>
      <c r="D47" s="9"/>
      <c r="E47" s="9"/>
      <c r="F47" s="8"/>
      <c r="G47" s="8"/>
      <c r="H47" s="8"/>
      <c r="I47" s="8"/>
      <c r="J47" s="7"/>
      <c r="K47" s="7"/>
      <c r="L47" s="9"/>
      <c r="M47" s="7"/>
      <c r="N47" s="7"/>
    </row>
    <row r="48" spans="1:14">
      <c r="A48" s="7"/>
      <c r="B48" s="7"/>
      <c r="C48" s="7"/>
      <c r="D48" s="9"/>
      <c r="E48" s="9"/>
      <c r="F48" s="8"/>
      <c r="G48" s="8"/>
      <c r="H48" s="8"/>
      <c r="I48" s="8"/>
      <c r="J48" s="7"/>
      <c r="K48" s="7"/>
      <c r="L48" s="9"/>
      <c r="M48" s="7"/>
      <c r="N48" s="7"/>
    </row>
    <row r="49" spans="1:14">
      <c r="A49" s="7"/>
      <c r="B49" s="7"/>
      <c r="C49" s="7"/>
      <c r="D49" s="9"/>
      <c r="E49" s="9"/>
      <c r="F49" s="8"/>
      <c r="G49" s="8"/>
      <c r="H49" s="8"/>
      <c r="I49" s="8"/>
      <c r="J49" s="7"/>
      <c r="K49" s="7"/>
      <c r="L49" s="9"/>
      <c r="M49" s="7"/>
      <c r="N49" s="7"/>
    </row>
    <row r="50" spans="1:14">
      <c r="A50" s="7"/>
      <c r="B50" s="7"/>
      <c r="C50" s="7"/>
      <c r="D50" s="9"/>
      <c r="E50" s="9"/>
      <c r="F50" s="8"/>
      <c r="G50" s="8"/>
      <c r="H50" s="8"/>
      <c r="I50" s="8"/>
      <c r="J50" s="7"/>
      <c r="K50" s="7"/>
      <c r="L50" s="9"/>
      <c r="M50" s="7"/>
      <c r="N50" s="7"/>
    </row>
    <row r="51" spans="1:14">
      <c r="A51" s="7"/>
      <c r="B51" s="7"/>
      <c r="C51" s="7"/>
      <c r="D51" s="9"/>
      <c r="E51" s="9"/>
      <c r="F51" s="8"/>
      <c r="G51" s="8"/>
      <c r="H51" s="8"/>
      <c r="I51" s="8"/>
      <c r="J51" s="7"/>
      <c r="K51" s="7"/>
      <c r="L51" s="9"/>
      <c r="M51" s="7"/>
      <c r="N51" s="7"/>
    </row>
    <row r="52" spans="1:14">
      <c r="A52" s="7"/>
      <c r="B52" s="7"/>
      <c r="C52" s="7"/>
      <c r="D52" s="9"/>
      <c r="E52" s="9"/>
      <c r="F52" s="8"/>
      <c r="G52" s="8"/>
      <c r="H52" s="8"/>
      <c r="I52" s="8"/>
      <c r="J52" s="7"/>
      <c r="K52" s="7"/>
      <c r="L52" s="9"/>
      <c r="M52" s="7"/>
      <c r="N52" s="7"/>
    </row>
    <row r="53" spans="1:14">
      <c r="A53" s="7"/>
      <c r="B53" s="7"/>
      <c r="C53" s="7"/>
      <c r="D53" s="9"/>
      <c r="E53" s="9"/>
      <c r="F53" s="8"/>
      <c r="G53" s="8"/>
      <c r="H53" s="8"/>
      <c r="I53" s="8"/>
      <c r="J53" s="7"/>
      <c r="K53" s="7"/>
      <c r="L53" s="9"/>
      <c r="M53" s="7"/>
      <c r="N53" s="7"/>
    </row>
    <row r="54" spans="1:14">
      <c r="A54" s="7"/>
      <c r="B54" s="7"/>
      <c r="C54" s="7"/>
      <c r="D54" s="9"/>
      <c r="E54" s="9"/>
      <c r="F54" s="8"/>
      <c r="G54" s="8"/>
      <c r="H54" s="8"/>
      <c r="I54" s="8"/>
      <c r="J54" s="7"/>
      <c r="K54" s="7"/>
      <c r="L54" s="9"/>
      <c r="M54" s="7"/>
      <c r="N54" s="7"/>
    </row>
  </sheetData>
  <dataValidations count="1">
    <dataValidation type="list" sqref="J5:J54">
      <formula1>"待决策,评估中,已批准,已否决,已撤销"</formula1>
    </dataValidation>
  </dataValidations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pane xSplit="2" ySplit="4" topLeftCell="C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1" width="14" customWidth="1"/>
    <col min="2" max="2" width="31" customWidth="1"/>
    <col min="3" max="7" width="17" customWidth="1"/>
    <col min="8" max="9" width="36" customWidth="1"/>
    <col min="10" max="14" width="23" customWidth="1"/>
  </cols>
  <sheetData>
    <row r="1" ht="25" customHeight="1" spans="1:14">
      <c r="A1" s="4" t="s">
        <v>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355</v>
      </c>
    </row>
    <row r="4" ht="32" customHeight="1" spans="1:14">
      <c r="A4" s="6" t="s">
        <v>356</v>
      </c>
      <c r="B4" s="6" t="s">
        <v>357</v>
      </c>
      <c r="C4" s="6" t="s">
        <v>358</v>
      </c>
      <c r="D4" s="6" t="s">
        <v>359</v>
      </c>
      <c r="E4" s="6" t="s">
        <v>360</v>
      </c>
      <c r="F4" s="6" t="s">
        <v>361</v>
      </c>
      <c r="G4" s="6" t="s">
        <v>362</v>
      </c>
      <c r="H4" s="6" t="s">
        <v>363</v>
      </c>
      <c r="I4" s="6" t="s">
        <v>364</v>
      </c>
      <c r="J4" s="6" t="s">
        <v>365</v>
      </c>
      <c r="K4" s="6" t="s">
        <v>366</v>
      </c>
      <c r="L4" s="6" t="s">
        <v>367</v>
      </c>
      <c r="M4" s="6" t="s">
        <v>368</v>
      </c>
      <c r="N4" s="6" t="s">
        <v>369</v>
      </c>
    </row>
    <row r="5" spans="1:14">
      <c r="A5" s="2" t="s">
        <v>370</v>
      </c>
      <c r="B5" s="2" t="s">
        <v>371</v>
      </c>
      <c r="C5" s="2" t="s">
        <v>372</v>
      </c>
      <c r="D5" s="2" t="s">
        <v>143</v>
      </c>
      <c r="E5" s="9"/>
      <c r="F5" s="7" t="s">
        <v>97</v>
      </c>
      <c r="G5" s="7" t="s">
        <v>72</v>
      </c>
      <c r="H5" s="8" t="s">
        <v>373</v>
      </c>
      <c r="I5" s="8" t="s">
        <v>374</v>
      </c>
      <c r="J5" s="8"/>
      <c r="K5" s="8"/>
      <c r="L5" s="9"/>
      <c r="M5" s="7"/>
      <c r="N5" s="7"/>
    </row>
    <row r="6" ht="31" spans="1:14">
      <c r="A6" s="2" t="s">
        <v>375</v>
      </c>
      <c r="B6" s="2" t="s">
        <v>376</v>
      </c>
      <c r="C6" s="2" t="s">
        <v>372</v>
      </c>
      <c r="D6" s="2" t="s">
        <v>377</v>
      </c>
      <c r="E6" s="9"/>
      <c r="F6" s="7" t="s">
        <v>72</v>
      </c>
      <c r="G6" s="7" t="s">
        <v>86</v>
      </c>
      <c r="H6" s="8" t="s">
        <v>378</v>
      </c>
      <c r="I6" s="8" t="s">
        <v>379</v>
      </c>
      <c r="J6" s="8"/>
      <c r="K6" s="8"/>
      <c r="L6" s="9"/>
      <c r="M6" s="7"/>
      <c r="N6" s="7"/>
    </row>
    <row r="7" spans="1:14">
      <c r="A7" s="2" t="s">
        <v>380</v>
      </c>
      <c r="B7" s="2" t="s">
        <v>381</v>
      </c>
      <c r="C7" s="2" t="s">
        <v>382</v>
      </c>
      <c r="D7" s="2" t="s">
        <v>245</v>
      </c>
      <c r="E7" s="9"/>
      <c r="F7" s="7" t="s">
        <v>97</v>
      </c>
      <c r="G7" s="7" t="s">
        <v>72</v>
      </c>
      <c r="H7" s="8" t="s">
        <v>383</v>
      </c>
      <c r="I7" s="8" t="s">
        <v>384</v>
      </c>
      <c r="J7" s="8"/>
      <c r="K7" s="8"/>
      <c r="L7" s="9"/>
      <c r="M7" s="7"/>
      <c r="N7" s="7"/>
    </row>
    <row r="8" spans="1:14">
      <c r="A8" s="2" t="s">
        <v>385</v>
      </c>
      <c r="B8" s="2" t="s">
        <v>386</v>
      </c>
      <c r="C8" s="2" t="s">
        <v>382</v>
      </c>
      <c r="D8" s="2" t="s">
        <v>387</v>
      </c>
      <c r="E8" s="9"/>
      <c r="F8" s="7" t="s">
        <v>274</v>
      </c>
      <c r="G8" s="7" t="s">
        <v>97</v>
      </c>
      <c r="H8" s="8" t="s">
        <v>388</v>
      </c>
      <c r="I8" s="8" t="s">
        <v>389</v>
      </c>
      <c r="J8" s="8"/>
      <c r="K8" s="8"/>
      <c r="L8" s="9"/>
      <c r="M8" s="7"/>
      <c r="N8" s="7"/>
    </row>
    <row r="9" spans="1:14">
      <c r="A9" s="2" t="s">
        <v>390</v>
      </c>
      <c r="B9" s="2" t="s">
        <v>391</v>
      </c>
      <c r="C9" s="2" t="s">
        <v>382</v>
      </c>
      <c r="D9" s="2" t="s">
        <v>392</v>
      </c>
      <c r="E9" s="9"/>
      <c r="F9" s="7" t="s">
        <v>97</v>
      </c>
      <c r="G9" s="7" t="s">
        <v>72</v>
      </c>
      <c r="H9" s="8" t="s">
        <v>393</v>
      </c>
      <c r="I9" s="8" t="s">
        <v>394</v>
      </c>
      <c r="J9" s="8"/>
      <c r="K9" s="8"/>
      <c r="L9" s="9"/>
      <c r="M9" s="7"/>
      <c r="N9" s="7"/>
    </row>
    <row r="10" spans="1:14">
      <c r="A10" s="2" t="s">
        <v>395</v>
      </c>
      <c r="B10" s="2" t="s">
        <v>396</v>
      </c>
      <c r="C10" s="2" t="s">
        <v>279</v>
      </c>
      <c r="D10" s="2" t="s">
        <v>397</v>
      </c>
      <c r="E10" s="9"/>
      <c r="F10" s="7" t="s">
        <v>91</v>
      </c>
      <c r="G10" s="7" t="s">
        <v>97</v>
      </c>
      <c r="H10" s="8" t="s">
        <v>398</v>
      </c>
      <c r="I10" s="8" t="s">
        <v>399</v>
      </c>
      <c r="J10" s="8"/>
      <c r="K10" s="8"/>
      <c r="L10" s="9"/>
      <c r="M10" s="7"/>
      <c r="N10" s="7"/>
    </row>
    <row r="11" spans="1:14">
      <c r="A11" s="2" t="s">
        <v>400</v>
      </c>
      <c r="B11" s="2" t="s">
        <v>401</v>
      </c>
      <c r="C11" s="2" t="s">
        <v>285</v>
      </c>
      <c r="D11" s="2" t="s">
        <v>402</v>
      </c>
      <c r="E11" s="9"/>
      <c r="F11" s="7" t="s">
        <v>97</v>
      </c>
      <c r="G11" s="7" t="s">
        <v>72</v>
      </c>
      <c r="H11" s="8" t="s">
        <v>403</v>
      </c>
      <c r="I11" s="8" t="s">
        <v>404</v>
      </c>
      <c r="J11" s="8"/>
      <c r="K11" s="8"/>
      <c r="L11" s="9"/>
      <c r="M11" s="7"/>
      <c r="N11" s="7"/>
    </row>
    <row r="12" spans="1:14">
      <c r="A12" s="2"/>
      <c r="B12" s="2"/>
      <c r="C12" s="2"/>
      <c r="D12" s="2"/>
      <c r="E12" s="9"/>
      <c r="F12" s="7"/>
      <c r="G12" s="7"/>
      <c r="H12" s="8"/>
      <c r="I12" s="8"/>
      <c r="J12" s="8"/>
      <c r="K12" s="8"/>
      <c r="L12" s="9"/>
      <c r="M12" s="7"/>
      <c r="N12" s="7"/>
    </row>
    <row r="13" spans="1:14">
      <c r="A13" s="2"/>
      <c r="B13" s="2"/>
      <c r="C13" s="2"/>
      <c r="D13" s="2"/>
      <c r="E13" s="9"/>
      <c r="F13" s="7"/>
      <c r="G13" s="7"/>
      <c r="H13" s="8"/>
      <c r="I13" s="8"/>
      <c r="J13" s="8"/>
      <c r="K13" s="8"/>
      <c r="L13" s="9"/>
      <c r="M13" s="7"/>
      <c r="N13" s="7"/>
    </row>
    <row r="14" spans="1:14">
      <c r="A14" s="2"/>
      <c r="B14" s="2"/>
      <c r="C14" s="2"/>
      <c r="D14" s="2"/>
      <c r="E14" s="9"/>
      <c r="F14" s="7"/>
      <c r="G14" s="7"/>
      <c r="H14" s="8"/>
      <c r="I14" s="8"/>
      <c r="J14" s="8"/>
      <c r="K14" s="8"/>
      <c r="L14" s="9"/>
      <c r="M14" s="7"/>
      <c r="N14" s="7"/>
    </row>
    <row r="15" spans="1:14">
      <c r="A15" s="2"/>
      <c r="B15" s="2"/>
      <c r="C15" s="2"/>
      <c r="D15" s="2"/>
      <c r="E15" s="9"/>
      <c r="F15" s="7"/>
      <c r="G15" s="7"/>
      <c r="H15" s="8"/>
      <c r="I15" s="8"/>
      <c r="J15" s="8"/>
      <c r="K15" s="8"/>
      <c r="L15" s="9"/>
      <c r="M15" s="7"/>
      <c r="N15" s="7"/>
    </row>
    <row r="16" spans="1:14">
      <c r="A16" s="2"/>
      <c r="B16" s="2"/>
      <c r="C16" s="2"/>
      <c r="D16" s="2"/>
      <c r="E16" s="9"/>
      <c r="F16" s="7"/>
      <c r="G16" s="7"/>
      <c r="H16" s="8"/>
      <c r="I16" s="8"/>
      <c r="J16" s="8"/>
      <c r="K16" s="8"/>
      <c r="L16" s="9"/>
      <c r="M16" s="7"/>
      <c r="N16" s="7"/>
    </row>
    <row r="17" spans="1:14">
      <c r="A17" s="2"/>
      <c r="B17" s="2"/>
      <c r="C17" s="2"/>
      <c r="D17" s="2"/>
      <c r="E17" s="9"/>
      <c r="F17" s="7"/>
      <c r="G17" s="7"/>
      <c r="H17" s="8"/>
      <c r="I17" s="8"/>
      <c r="J17" s="8"/>
      <c r="K17" s="8"/>
      <c r="L17" s="9"/>
      <c r="M17" s="7"/>
      <c r="N17" s="7"/>
    </row>
    <row r="18" spans="1:14">
      <c r="A18" s="2"/>
      <c r="B18" s="2"/>
      <c r="C18" s="2"/>
      <c r="D18" s="2"/>
      <c r="E18" s="9"/>
      <c r="F18" s="7"/>
      <c r="G18" s="7"/>
      <c r="H18" s="8"/>
      <c r="I18" s="8"/>
      <c r="J18" s="8"/>
      <c r="K18" s="8"/>
      <c r="L18" s="9"/>
      <c r="M18" s="7"/>
      <c r="N18" s="7"/>
    </row>
    <row r="19" spans="1:14">
      <c r="A19" s="2"/>
      <c r="B19" s="2"/>
      <c r="C19" s="2"/>
      <c r="D19" s="2"/>
      <c r="E19" s="9"/>
      <c r="F19" s="7"/>
      <c r="G19" s="7"/>
      <c r="H19" s="8"/>
      <c r="I19" s="8"/>
      <c r="J19" s="8"/>
      <c r="K19" s="8"/>
      <c r="L19" s="9"/>
      <c r="M19" s="7"/>
      <c r="N19" s="7"/>
    </row>
    <row r="20" spans="1:14">
      <c r="A20" s="2"/>
      <c r="B20" s="2"/>
      <c r="C20" s="2"/>
      <c r="D20" s="2"/>
      <c r="E20" s="9"/>
      <c r="F20" s="7"/>
      <c r="G20" s="7"/>
      <c r="H20" s="8"/>
      <c r="I20" s="8"/>
      <c r="J20" s="8"/>
      <c r="K20" s="8"/>
      <c r="L20" s="9"/>
      <c r="M20" s="7"/>
      <c r="N20" s="7"/>
    </row>
    <row r="21" spans="1:14">
      <c r="A21" s="2"/>
      <c r="B21" s="2"/>
      <c r="C21" s="2"/>
      <c r="D21" s="2"/>
      <c r="E21" s="9"/>
      <c r="F21" s="7"/>
      <c r="G21" s="7"/>
      <c r="H21" s="8"/>
      <c r="I21" s="8"/>
      <c r="J21" s="8"/>
      <c r="K21" s="8"/>
      <c r="L21" s="9"/>
      <c r="M21" s="7"/>
      <c r="N21" s="7"/>
    </row>
    <row r="22" spans="1:14">
      <c r="A22" s="2"/>
      <c r="B22" s="2"/>
      <c r="C22" s="2"/>
      <c r="D22" s="2"/>
      <c r="E22" s="9"/>
      <c r="F22" s="7"/>
      <c r="G22" s="7"/>
      <c r="H22" s="8"/>
      <c r="I22" s="8"/>
      <c r="J22" s="8"/>
      <c r="K22" s="8"/>
      <c r="L22" s="9"/>
      <c r="M22" s="7"/>
      <c r="N22" s="7"/>
    </row>
    <row r="23" spans="1:14">
      <c r="A23" s="2"/>
      <c r="B23" s="2"/>
      <c r="C23" s="2"/>
      <c r="D23" s="2"/>
      <c r="E23" s="9"/>
      <c r="F23" s="7"/>
      <c r="G23" s="7"/>
      <c r="H23" s="8"/>
      <c r="I23" s="8"/>
      <c r="J23" s="8"/>
      <c r="K23" s="8"/>
      <c r="L23" s="9"/>
      <c r="M23" s="7"/>
      <c r="N23" s="7"/>
    </row>
    <row r="24" spans="1:14">
      <c r="A24" s="2"/>
      <c r="B24" s="2"/>
      <c r="C24" s="2"/>
      <c r="D24" s="2"/>
      <c r="E24" s="9"/>
      <c r="F24" s="7"/>
      <c r="G24" s="7"/>
      <c r="H24" s="8"/>
      <c r="I24" s="8"/>
      <c r="J24" s="8"/>
      <c r="K24" s="8"/>
      <c r="L24" s="9"/>
      <c r="M24" s="7"/>
      <c r="N24" s="7"/>
    </row>
    <row r="25" spans="1:14">
      <c r="A25" s="2"/>
      <c r="B25" s="2"/>
      <c r="C25" s="2"/>
      <c r="D25" s="2"/>
      <c r="E25" s="9"/>
      <c r="F25" s="7"/>
      <c r="G25" s="7"/>
      <c r="H25" s="8"/>
      <c r="I25" s="8"/>
      <c r="J25" s="8"/>
      <c r="K25" s="8"/>
      <c r="L25" s="9"/>
      <c r="M25" s="7"/>
      <c r="N25" s="7"/>
    </row>
    <row r="26" spans="1:14">
      <c r="A26" s="2"/>
      <c r="B26" s="2"/>
      <c r="C26" s="2"/>
      <c r="D26" s="2"/>
      <c r="E26" s="9"/>
      <c r="F26" s="7"/>
      <c r="G26" s="7"/>
      <c r="H26" s="8"/>
      <c r="I26" s="8"/>
      <c r="J26" s="8"/>
      <c r="K26" s="8"/>
      <c r="L26" s="9"/>
      <c r="M26" s="7"/>
      <c r="N26" s="7"/>
    </row>
    <row r="27" spans="1:14">
      <c r="A27" s="2"/>
      <c r="B27" s="2"/>
      <c r="C27" s="2"/>
      <c r="D27" s="2"/>
      <c r="E27" s="9"/>
      <c r="F27" s="7"/>
      <c r="G27" s="7"/>
      <c r="H27" s="8"/>
      <c r="I27" s="8"/>
      <c r="J27" s="8"/>
      <c r="K27" s="8"/>
      <c r="L27" s="9"/>
      <c r="M27" s="7"/>
      <c r="N27" s="7"/>
    </row>
    <row r="28" spans="1:14">
      <c r="A28" s="2"/>
      <c r="B28" s="2"/>
      <c r="C28" s="2"/>
      <c r="D28" s="2"/>
      <c r="E28" s="9"/>
      <c r="F28" s="7"/>
      <c r="G28" s="7"/>
      <c r="H28" s="8"/>
      <c r="I28" s="8"/>
      <c r="J28" s="8"/>
      <c r="K28" s="8"/>
      <c r="L28" s="9"/>
      <c r="M28" s="7"/>
      <c r="N28" s="7"/>
    </row>
    <row r="29" spans="1:14">
      <c r="A29" s="2"/>
      <c r="B29" s="2"/>
      <c r="C29" s="2"/>
      <c r="D29" s="2"/>
      <c r="E29" s="9"/>
      <c r="F29" s="7"/>
      <c r="G29" s="7"/>
      <c r="H29" s="8"/>
      <c r="I29" s="8"/>
      <c r="J29" s="8"/>
      <c r="K29" s="8"/>
      <c r="L29" s="9"/>
      <c r="M29" s="7"/>
      <c r="N29" s="7"/>
    </row>
    <row r="30" spans="1:14">
      <c r="A30" s="2"/>
      <c r="B30" s="2"/>
      <c r="C30" s="2"/>
      <c r="D30" s="2"/>
      <c r="E30" s="9"/>
      <c r="F30" s="7"/>
      <c r="G30" s="7"/>
      <c r="H30" s="8"/>
      <c r="I30" s="8"/>
      <c r="J30" s="8"/>
      <c r="K30" s="8"/>
      <c r="L30" s="9"/>
      <c r="M30" s="7"/>
      <c r="N30" s="7"/>
    </row>
    <row r="31" spans="1:14">
      <c r="A31" s="2"/>
      <c r="B31" s="2"/>
      <c r="C31" s="2"/>
      <c r="D31" s="2"/>
      <c r="E31" s="9"/>
      <c r="F31" s="7"/>
      <c r="G31" s="7"/>
      <c r="H31" s="8"/>
      <c r="I31" s="8"/>
      <c r="J31" s="8"/>
      <c r="K31" s="8"/>
      <c r="L31" s="9"/>
      <c r="M31" s="7"/>
      <c r="N31" s="7"/>
    </row>
    <row r="32" spans="1:14">
      <c r="A32" s="2"/>
      <c r="B32" s="2"/>
      <c r="C32" s="2"/>
      <c r="D32" s="2"/>
      <c r="E32" s="9"/>
      <c r="F32" s="7"/>
      <c r="G32" s="7"/>
      <c r="H32" s="8"/>
      <c r="I32" s="8"/>
      <c r="J32" s="8"/>
      <c r="K32" s="8"/>
      <c r="L32" s="9"/>
      <c r="M32" s="7"/>
      <c r="N32" s="7"/>
    </row>
    <row r="33" spans="1:14">
      <c r="A33" s="2"/>
      <c r="B33" s="2"/>
      <c r="C33" s="2"/>
      <c r="D33" s="2"/>
      <c r="E33" s="9"/>
      <c r="F33" s="7"/>
      <c r="G33" s="7"/>
      <c r="H33" s="8"/>
      <c r="I33" s="8"/>
      <c r="J33" s="8"/>
      <c r="K33" s="8"/>
      <c r="L33" s="9"/>
      <c r="M33" s="7"/>
      <c r="N33" s="7"/>
    </row>
    <row r="34" spans="1:14">
      <c r="A34" s="2"/>
      <c r="B34" s="2"/>
      <c r="C34" s="2"/>
      <c r="D34" s="2"/>
      <c r="E34" s="9"/>
      <c r="F34" s="7"/>
      <c r="G34" s="7"/>
      <c r="H34" s="8"/>
      <c r="I34" s="8"/>
      <c r="J34" s="8"/>
      <c r="K34" s="8"/>
      <c r="L34" s="9"/>
      <c r="M34" s="7"/>
      <c r="N34" s="7"/>
    </row>
    <row r="35" spans="1:14">
      <c r="A35" s="2"/>
      <c r="B35" s="2"/>
      <c r="C35" s="2"/>
      <c r="D35" s="2"/>
      <c r="E35" s="9"/>
      <c r="F35" s="7"/>
      <c r="G35" s="7"/>
      <c r="H35" s="8"/>
      <c r="I35" s="8"/>
      <c r="J35" s="8"/>
      <c r="K35" s="8"/>
      <c r="L35" s="9"/>
      <c r="M35" s="7"/>
      <c r="N35" s="7"/>
    </row>
    <row r="36" spans="1:14">
      <c r="A36" s="2"/>
      <c r="B36" s="2"/>
      <c r="C36" s="2"/>
      <c r="D36" s="2"/>
      <c r="E36" s="9"/>
      <c r="F36" s="7"/>
      <c r="G36" s="7"/>
      <c r="H36" s="8"/>
      <c r="I36" s="8"/>
      <c r="J36" s="8"/>
      <c r="K36" s="8"/>
      <c r="L36" s="9"/>
      <c r="M36" s="7"/>
      <c r="N36" s="7"/>
    </row>
    <row r="37" spans="1:14">
      <c r="A37" s="2"/>
      <c r="B37" s="2"/>
      <c r="C37" s="2"/>
      <c r="D37" s="2"/>
      <c r="E37" s="9"/>
      <c r="F37" s="7"/>
      <c r="G37" s="7"/>
      <c r="H37" s="8"/>
      <c r="I37" s="8"/>
      <c r="J37" s="8"/>
      <c r="K37" s="8"/>
      <c r="L37" s="9"/>
      <c r="M37" s="7"/>
      <c r="N37" s="7"/>
    </row>
    <row r="38" spans="1:14">
      <c r="A38" s="2"/>
      <c r="B38" s="2"/>
      <c r="C38" s="2"/>
      <c r="D38" s="2"/>
      <c r="E38" s="9"/>
      <c r="F38" s="7"/>
      <c r="G38" s="7"/>
      <c r="H38" s="8"/>
      <c r="I38" s="8"/>
      <c r="J38" s="8"/>
      <c r="K38" s="8"/>
      <c r="L38" s="9"/>
      <c r="M38" s="7"/>
      <c r="N38" s="7"/>
    </row>
    <row r="39" spans="1:14">
      <c r="A39" s="2"/>
      <c r="B39" s="2"/>
      <c r="C39" s="2"/>
      <c r="D39" s="2"/>
      <c r="E39" s="9"/>
      <c r="F39" s="7"/>
      <c r="G39" s="7"/>
      <c r="H39" s="8"/>
      <c r="I39" s="8"/>
      <c r="J39" s="8"/>
      <c r="K39" s="8"/>
      <c r="L39" s="9"/>
      <c r="M39" s="7"/>
      <c r="N39" s="7"/>
    </row>
    <row r="40" spans="1:14">
      <c r="A40" s="2"/>
      <c r="B40" s="2"/>
      <c r="C40" s="2"/>
      <c r="D40" s="2"/>
      <c r="E40" s="9"/>
      <c r="F40" s="7"/>
      <c r="G40" s="7"/>
      <c r="H40" s="8"/>
      <c r="I40" s="8"/>
      <c r="J40" s="8"/>
      <c r="K40" s="8"/>
      <c r="L40" s="9"/>
      <c r="M40" s="7"/>
      <c r="N40" s="7"/>
    </row>
    <row r="41" spans="1:14">
      <c r="A41" s="2"/>
      <c r="B41" s="2"/>
      <c r="C41" s="2"/>
      <c r="D41" s="2"/>
      <c r="E41" s="9"/>
      <c r="F41" s="7"/>
      <c r="G41" s="7"/>
      <c r="H41" s="8"/>
      <c r="I41" s="8"/>
      <c r="J41" s="8"/>
      <c r="K41" s="8"/>
      <c r="L41" s="9"/>
      <c r="M41" s="7"/>
      <c r="N41" s="7"/>
    </row>
    <row r="42" spans="1:14">
      <c r="A42" s="2"/>
      <c r="B42" s="2"/>
      <c r="C42" s="2"/>
      <c r="D42" s="2"/>
      <c r="E42" s="9"/>
      <c r="F42" s="7"/>
      <c r="G42" s="7"/>
      <c r="H42" s="8"/>
      <c r="I42" s="8"/>
      <c r="J42" s="8"/>
      <c r="K42" s="8"/>
      <c r="L42" s="9"/>
      <c r="M42" s="7"/>
      <c r="N42" s="7"/>
    </row>
    <row r="43" spans="1:14">
      <c r="A43" s="2"/>
      <c r="B43" s="2"/>
      <c r="C43" s="2"/>
      <c r="D43" s="2"/>
      <c r="E43" s="9"/>
      <c r="F43" s="7"/>
      <c r="G43" s="7"/>
      <c r="H43" s="8"/>
      <c r="I43" s="8"/>
      <c r="J43" s="8"/>
      <c r="K43" s="8"/>
      <c r="L43" s="9"/>
      <c r="M43" s="7"/>
      <c r="N43" s="7"/>
    </row>
    <row r="44" spans="1:14">
      <c r="A44" s="2"/>
      <c r="B44" s="2"/>
      <c r="C44" s="2"/>
      <c r="D44" s="2"/>
      <c r="E44" s="9"/>
      <c r="F44" s="7"/>
      <c r="G44" s="7"/>
      <c r="H44" s="8"/>
      <c r="I44" s="8"/>
      <c r="J44" s="8"/>
      <c r="K44" s="8"/>
      <c r="L44" s="9"/>
      <c r="M44" s="7"/>
      <c r="N44" s="7"/>
    </row>
    <row r="45" spans="1:14">
      <c r="A45" s="2"/>
      <c r="B45" s="2"/>
      <c r="C45" s="2"/>
      <c r="D45" s="2"/>
      <c r="E45" s="9"/>
      <c r="F45" s="7"/>
      <c r="G45" s="7"/>
      <c r="H45" s="8"/>
      <c r="I45" s="8"/>
      <c r="J45" s="8"/>
      <c r="K45" s="8"/>
      <c r="L45" s="9"/>
      <c r="M45" s="7"/>
      <c r="N45" s="7"/>
    </row>
    <row r="46" spans="1:14">
      <c r="A46" s="2"/>
      <c r="B46" s="2"/>
      <c r="C46" s="2"/>
      <c r="D46" s="2"/>
      <c r="E46" s="9"/>
      <c r="F46" s="7"/>
      <c r="G46" s="7"/>
      <c r="H46" s="8"/>
      <c r="I46" s="8"/>
      <c r="J46" s="8"/>
      <c r="K46" s="8"/>
      <c r="L46" s="9"/>
      <c r="M46" s="7"/>
      <c r="N46" s="7"/>
    </row>
    <row r="47" spans="1:14">
      <c r="A47" s="2"/>
      <c r="B47" s="2"/>
      <c r="C47" s="2"/>
      <c r="D47" s="2"/>
      <c r="E47" s="9"/>
      <c r="F47" s="7"/>
      <c r="G47" s="7"/>
      <c r="H47" s="8"/>
      <c r="I47" s="8"/>
      <c r="J47" s="8"/>
      <c r="K47" s="8"/>
      <c r="L47" s="9"/>
      <c r="M47" s="7"/>
      <c r="N47" s="7"/>
    </row>
    <row r="48" spans="1:14">
      <c r="A48" s="2"/>
      <c r="B48" s="2"/>
      <c r="C48" s="2"/>
      <c r="D48" s="2"/>
      <c r="E48" s="9"/>
      <c r="F48" s="7"/>
      <c r="G48" s="7"/>
      <c r="H48" s="8"/>
      <c r="I48" s="8"/>
      <c r="J48" s="8"/>
      <c r="K48" s="8"/>
      <c r="L48" s="9"/>
      <c r="M48" s="7"/>
      <c r="N48" s="7"/>
    </row>
    <row r="49" spans="1:14">
      <c r="A49" s="2"/>
      <c r="B49" s="2"/>
      <c r="C49" s="2"/>
      <c r="D49" s="2"/>
      <c r="E49" s="9"/>
      <c r="F49" s="7"/>
      <c r="G49" s="7"/>
      <c r="H49" s="8"/>
      <c r="I49" s="8"/>
      <c r="J49" s="8"/>
      <c r="K49" s="8"/>
      <c r="L49" s="9"/>
      <c r="M49" s="7"/>
      <c r="N49" s="7"/>
    </row>
    <row r="50" spans="1:14">
      <c r="A50" s="2"/>
      <c r="B50" s="2"/>
      <c r="C50" s="2"/>
      <c r="D50" s="2"/>
      <c r="E50" s="9"/>
      <c r="F50" s="7"/>
      <c r="G50" s="7"/>
      <c r="H50" s="8"/>
      <c r="I50" s="8"/>
      <c r="J50" s="8"/>
      <c r="K50" s="8"/>
      <c r="L50" s="9"/>
      <c r="M50" s="7"/>
      <c r="N50" s="7"/>
    </row>
    <row r="51" spans="1:14">
      <c r="A51" s="2"/>
      <c r="B51" s="2"/>
      <c r="C51" s="2"/>
      <c r="D51" s="2"/>
      <c r="E51" s="9"/>
      <c r="F51" s="7"/>
      <c r="G51" s="7"/>
      <c r="H51" s="8"/>
      <c r="I51" s="8"/>
      <c r="J51" s="8"/>
      <c r="K51" s="8"/>
      <c r="L51" s="9"/>
      <c r="M51" s="7"/>
      <c r="N51" s="7"/>
    </row>
    <row r="52" spans="1:14">
      <c r="A52" s="2"/>
      <c r="B52" s="2"/>
      <c r="C52" s="2"/>
      <c r="D52" s="2"/>
      <c r="E52" s="9"/>
      <c r="F52" s="7"/>
      <c r="G52" s="7"/>
      <c r="H52" s="8"/>
      <c r="I52" s="8"/>
      <c r="J52" s="8"/>
      <c r="K52" s="8"/>
      <c r="L52" s="9"/>
      <c r="M52" s="7"/>
      <c r="N52" s="7"/>
    </row>
    <row r="53" spans="1:14">
      <c r="A53" s="2"/>
      <c r="B53" s="2"/>
      <c r="C53" s="2"/>
      <c r="D53" s="2"/>
      <c r="E53" s="9"/>
      <c r="F53" s="7"/>
      <c r="G53" s="7"/>
      <c r="H53" s="8"/>
      <c r="I53" s="8"/>
      <c r="J53" s="8"/>
      <c r="K53" s="8"/>
      <c r="L53" s="9"/>
      <c r="M53" s="7"/>
      <c r="N53" s="7"/>
    </row>
    <row r="54" spans="1:14">
      <c r="A54" s="2"/>
      <c r="B54" s="2"/>
      <c r="C54" s="2"/>
      <c r="D54" s="2"/>
      <c r="E54" s="9"/>
      <c r="F54" s="7"/>
      <c r="G54" s="7"/>
      <c r="H54" s="8"/>
      <c r="I54" s="8"/>
      <c r="J54" s="8"/>
      <c r="K54" s="8"/>
      <c r="L54" s="9"/>
      <c r="M54" s="7"/>
      <c r="N54" s="7"/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2" width="14" customWidth="1"/>
    <col min="3" max="6" width="19" customWidth="1"/>
    <col min="7" max="10" width="34" customWidth="1"/>
    <col min="11" max="13" width="20" customWidth="1"/>
  </cols>
  <sheetData>
    <row r="1" ht="25" customHeight="1" spans="1:13">
      <c r="A1" s="4" t="s">
        <v>36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>
      <c r="A2" s="5" t="s">
        <v>405</v>
      </c>
    </row>
    <row r="4" ht="32" customHeight="1" spans="1:13">
      <c r="A4" s="6" t="s">
        <v>406</v>
      </c>
      <c r="B4" s="6" t="s">
        <v>407</v>
      </c>
      <c r="C4" s="6" t="s">
        <v>408</v>
      </c>
      <c r="D4" s="6" t="s">
        <v>409</v>
      </c>
      <c r="E4" s="6" t="s">
        <v>410</v>
      </c>
      <c r="F4" s="6" t="s">
        <v>411</v>
      </c>
      <c r="G4" s="6" t="s">
        <v>412</v>
      </c>
      <c r="H4" s="6" t="s">
        <v>413</v>
      </c>
      <c r="I4" s="6" t="s">
        <v>414</v>
      </c>
      <c r="J4" s="6" t="s">
        <v>415</v>
      </c>
      <c r="K4" s="6" t="s">
        <v>300</v>
      </c>
      <c r="L4" s="6" t="s">
        <v>416</v>
      </c>
      <c r="M4" s="6" t="s">
        <v>417</v>
      </c>
    </row>
    <row r="5" spans="1:13">
      <c r="A5" s="7"/>
      <c r="B5" s="9"/>
      <c r="C5" s="7"/>
      <c r="D5" s="7"/>
      <c r="E5" s="7"/>
      <c r="F5" s="7"/>
      <c r="G5" s="8"/>
      <c r="H5" s="8"/>
      <c r="I5" s="8"/>
      <c r="J5" s="8"/>
      <c r="K5" s="7"/>
      <c r="L5" s="7"/>
      <c r="M5" s="7"/>
    </row>
    <row r="6" spans="1:13">
      <c r="A6" s="7"/>
      <c r="B6" s="9"/>
      <c r="C6" s="7"/>
      <c r="D6" s="7"/>
      <c r="E6" s="7"/>
      <c r="F6" s="7"/>
      <c r="G6" s="8"/>
      <c r="H6" s="8"/>
      <c r="I6" s="8"/>
      <c r="J6" s="8"/>
      <c r="K6" s="7"/>
      <c r="L6" s="7"/>
      <c r="M6" s="7"/>
    </row>
    <row r="7" spans="1:13">
      <c r="A7" s="7"/>
      <c r="B7" s="9"/>
      <c r="C7" s="7"/>
      <c r="D7" s="7"/>
      <c r="E7" s="7"/>
      <c r="F7" s="7"/>
      <c r="G7" s="8"/>
      <c r="H7" s="8"/>
      <c r="I7" s="8"/>
      <c r="J7" s="8"/>
      <c r="K7" s="7"/>
      <c r="L7" s="7"/>
      <c r="M7" s="7"/>
    </row>
    <row r="8" spans="1:13">
      <c r="A8" s="7"/>
      <c r="B8" s="9"/>
      <c r="C8" s="7"/>
      <c r="D8" s="7"/>
      <c r="E8" s="7"/>
      <c r="F8" s="7"/>
      <c r="G8" s="8"/>
      <c r="H8" s="8"/>
      <c r="I8" s="8"/>
      <c r="J8" s="8"/>
      <c r="K8" s="7"/>
      <c r="L8" s="7"/>
      <c r="M8" s="7"/>
    </row>
    <row r="9" spans="1:13">
      <c r="A9" s="7"/>
      <c r="B9" s="9"/>
      <c r="C9" s="7"/>
      <c r="D9" s="7"/>
      <c r="E9" s="7"/>
      <c r="F9" s="7"/>
      <c r="G9" s="8"/>
      <c r="H9" s="8"/>
      <c r="I9" s="8"/>
      <c r="J9" s="8"/>
      <c r="K9" s="7"/>
      <c r="L9" s="7"/>
      <c r="M9" s="7"/>
    </row>
    <row r="10" spans="1:13">
      <c r="A10" s="7"/>
      <c r="B10" s="9"/>
      <c r="C10" s="7"/>
      <c r="D10" s="7"/>
      <c r="E10" s="7"/>
      <c r="F10" s="7"/>
      <c r="G10" s="8"/>
      <c r="H10" s="8"/>
      <c r="I10" s="8"/>
      <c r="J10" s="8"/>
      <c r="K10" s="7"/>
      <c r="L10" s="7"/>
      <c r="M10" s="7"/>
    </row>
    <row r="11" spans="1:13">
      <c r="A11" s="7"/>
      <c r="B11" s="9"/>
      <c r="C11" s="7"/>
      <c r="D11" s="7"/>
      <c r="E11" s="7"/>
      <c r="F11" s="7"/>
      <c r="G11" s="8"/>
      <c r="H11" s="8"/>
      <c r="I11" s="8"/>
      <c r="J11" s="8"/>
      <c r="K11" s="7"/>
      <c r="L11" s="7"/>
      <c r="M11" s="7"/>
    </row>
    <row r="12" spans="1:13">
      <c r="A12" s="7"/>
      <c r="B12" s="9"/>
      <c r="C12" s="7"/>
      <c r="D12" s="7"/>
      <c r="E12" s="7"/>
      <c r="F12" s="7"/>
      <c r="G12" s="8"/>
      <c r="H12" s="8"/>
      <c r="I12" s="8"/>
      <c r="J12" s="8"/>
      <c r="K12" s="7"/>
      <c r="L12" s="7"/>
      <c r="M12" s="7"/>
    </row>
    <row r="13" spans="1:13">
      <c r="A13" s="7"/>
      <c r="B13" s="9"/>
      <c r="C13" s="7"/>
      <c r="D13" s="7"/>
      <c r="E13" s="7"/>
      <c r="F13" s="7"/>
      <c r="G13" s="8"/>
      <c r="H13" s="8"/>
      <c r="I13" s="8"/>
      <c r="J13" s="8"/>
      <c r="K13" s="7"/>
      <c r="L13" s="7"/>
      <c r="M13" s="7"/>
    </row>
    <row r="14" spans="1:13">
      <c r="A14" s="7"/>
      <c r="B14" s="9"/>
      <c r="C14" s="7"/>
      <c r="D14" s="7"/>
      <c r="E14" s="7"/>
      <c r="F14" s="7"/>
      <c r="G14" s="8"/>
      <c r="H14" s="8"/>
      <c r="I14" s="8"/>
      <c r="J14" s="8"/>
      <c r="K14" s="7"/>
      <c r="L14" s="7"/>
      <c r="M14" s="7"/>
    </row>
    <row r="15" spans="1:13">
      <c r="A15" s="7"/>
      <c r="B15" s="9"/>
      <c r="C15" s="7"/>
      <c r="D15" s="7"/>
      <c r="E15" s="7"/>
      <c r="F15" s="7"/>
      <c r="G15" s="8"/>
      <c r="H15" s="8"/>
      <c r="I15" s="8"/>
      <c r="J15" s="8"/>
      <c r="K15" s="7"/>
      <c r="L15" s="7"/>
      <c r="M15" s="7"/>
    </row>
    <row r="16" spans="1:13">
      <c r="A16" s="7"/>
      <c r="B16" s="9"/>
      <c r="C16" s="7"/>
      <c r="D16" s="7"/>
      <c r="E16" s="7"/>
      <c r="F16" s="7"/>
      <c r="G16" s="8"/>
      <c r="H16" s="8"/>
      <c r="I16" s="8"/>
      <c r="J16" s="8"/>
      <c r="K16" s="7"/>
      <c r="L16" s="7"/>
      <c r="M16" s="7"/>
    </row>
    <row r="17" spans="1:13">
      <c r="A17" s="7"/>
      <c r="B17" s="9"/>
      <c r="C17" s="7"/>
      <c r="D17" s="7"/>
      <c r="E17" s="7"/>
      <c r="F17" s="7"/>
      <c r="G17" s="8"/>
      <c r="H17" s="8"/>
      <c r="I17" s="8"/>
      <c r="J17" s="8"/>
      <c r="K17" s="7"/>
      <c r="L17" s="7"/>
      <c r="M17" s="7"/>
    </row>
    <row r="18" spans="1:13">
      <c r="A18" s="7"/>
      <c r="B18" s="9"/>
      <c r="C18" s="7"/>
      <c r="D18" s="7"/>
      <c r="E18" s="7"/>
      <c r="F18" s="7"/>
      <c r="G18" s="8"/>
      <c r="H18" s="8"/>
      <c r="I18" s="8"/>
      <c r="J18" s="8"/>
      <c r="K18" s="7"/>
      <c r="L18" s="7"/>
      <c r="M18" s="7"/>
    </row>
    <row r="19" spans="1:13">
      <c r="A19" s="7"/>
      <c r="B19" s="9"/>
      <c r="C19" s="7"/>
      <c r="D19" s="7"/>
      <c r="E19" s="7"/>
      <c r="F19" s="7"/>
      <c r="G19" s="8"/>
      <c r="H19" s="8"/>
      <c r="I19" s="8"/>
      <c r="J19" s="8"/>
      <c r="K19" s="7"/>
      <c r="L19" s="7"/>
      <c r="M19" s="7"/>
    </row>
    <row r="20" spans="1:13">
      <c r="A20" s="7"/>
      <c r="B20" s="9"/>
      <c r="C20" s="7"/>
      <c r="D20" s="7"/>
      <c r="E20" s="7"/>
      <c r="F20" s="7"/>
      <c r="G20" s="8"/>
      <c r="H20" s="8"/>
      <c r="I20" s="8"/>
      <c r="J20" s="8"/>
      <c r="K20" s="7"/>
      <c r="L20" s="7"/>
      <c r="M20" s="7"/>
    </row>
    <row r="21" spans="1:13">
      <c r="A21" s="7"/>
      <c r="B21" s="9"/>
      <c r="C21" s="7"/>
      <c r="D21" s="7"/>
      <c r="E21" s="7"/>
      <c r="F21" s="7"/>
      <c r="G21" s="8"/>
      <c r="H21" s="8"/>
      <c r="I21" s="8"/>
      <c r="J21" s="8"/>
      <c r="K21" s="7"/>
      <c r="L21" s="7"/>
      <c r="M21" s="7"/>
    </row>
    <row r="22" spans="1:13">
      <c r="A22" s="7"/>
      <c r="B22" s="9"/>
      <c r="C22" s="7"/>
      <c r="D22" s="7"/>
      <c r="E22" s="7"/>
      <c r="F22" s="7"/>
      <c r="G22" s="8"/>
      <c r="H22" s="8"/>
      <c r="I22" s="8"/>
      <c r="J22" s="8"/>
      <c r="K22" s="7"/>
      <c r="L22" s="7"/>
      <c r="M22" s="7"/>
    </row>
    <row r="23" spans="1:13">
      <c r="A23" s="7"/>
      <c r="B23" s="9"/>
      <c r="C23" s="7"/>
      <c r="D23" s="7"/>
      <c r="E23" s="7"/>
      <c r="F23" s="7"/>
      <c r="G23" s="8"/>
      <c r="H23" s="8"/>
      <c r="I23" s="8"/>
      <c r="J23" s="8"/>
      <c r="K23" s="7"/>
      <c r="L23" s="7"/>
      <c r="M23" s="7"/>
    </row>
    <row r="24" spans="1:13">
      <c r="A24" s="7"/>
      <c r="B24" s="9"/>
      <c r="C24" s="7"/>
      <c r="D24" s="7"/>
      <c r="E24" s="7"/>
      <c r="F24" s="7"/>
      <c r="G24" s="8"/>
      <c r="H24" s="8"/>
      <c r="I24" s="8"/>
      <c r="J24" s="8"/>
      <c r="K24" s="7"/>
      <c r="L24" s="7"/>
      <c r="M24" s="7"/>
    </row>
    <row r="25" spans="1:13">
      <c r="A25" s="7"/>
      <c r="B25" s="9"/>
      <c r="C25" s="7"/>
      <c r="D25" s="7"/>
      <c r="E25" s="7"/>
      <c r="F25" s="7"/>
      <c r="G25" s="8"/>
      <c r="H25" s="8"/>
      <c r="I25" s="8"/>
      <c r="J25" s="8"/>
      <c r="K25" s="7"/>
      <c r="L25" s="7"/>
      <c r="M25" s="7"/>
    </row>
    <row r="26" spans="1:13">
      <c r="A26" s="7"/>
      <c r="B26" s="9"/>
      <c r="C26" s="7"/>
      <c r="D26" s="7"/>
      <c r="E26" s="7"/>
      <c r="F26" s="7"/>
      <c r="G26" s="8"/>
      <c r="H26" s="8"/>
      <c r="I26" s="8"/>
      <c r="J26" s="8"/>
      <c r="K26" s="7"/>
      <c r="L26" s="7"/>
      <c r="M26" s="7"/>
    </row>
    <row r="27" spans="1:13">
      <c r="A27" s="7"/>
      <c r="B27" s="9"/>
      <c r="C27" s="7"/>
      <c r="D27" s="7"/>
      <c r="E27" s="7"/>
      <c r="F27" s="7"/>
      <c r="G27" s="8"/>
      <c r="H27" s="8"/>
      <c r="I27" s="8"/>
      <c r="J27" s="8"/>
      <c r="K27" s="7"/>
      <c r="L27" s="7"/>
      <c r="M27" s="7"/>
    </row>
    <row r="28" spans="1:13">
      <c r="A28" s="7"/>
      <c r="B28" s="9"/>
      <c r="C28" s="7"/>
      <c r="D28" s="7"/>
      <c r="E28" s="7"/>
      <c r="F28" s="7"/>
      <c r="G28" s="8"/>
      <c r="H28" s="8"/>
      <c r="I28" s="8"/>
      <c r="J28" s="8"/>
      <c r="K28" s="7"/>
      <c r="L28" s="7"/>
      <c r="M28" s="7"/>
    </row>
    <row r="29" spans="1:13">
      <c r="A29" s="7"/>
      <c r="B29" s="9"/>
      <c r="C29" s="7"/>
      <c r="D29" s="7"/>
      <c r="E29" s="7"/>
      <c r="F29" s="7"/>
      <c r="G29" s="8"/>
      <c r="H29" s="8"/>
      <c r="I29" s="8"/>
      <c r="J29" s="8"/>
      <c r="K29" s="7"/>
      <c r="L29" s="7"/>
      <c r="M29" s="7"/>
    </row>
    <row r="30" spans="1:13">
      <c r="A30" s="7"/>
      <c r="B30" s="9"/>
      <c r="C30" s="7"/>
      <c r="D30" s="7"/>
      <c r="E30" s="7"/>
      <c r="F30" s="7"/>
      <c r="G30" s="8"/>
      <c r="H30" s="8"/>
      <c r="I30" s="8"/>
      <c r="J30" s="8"/>
      <c r="K30" s="7"/>
      <c r="L30" s="7"/>
      <c r="M30" s="7"/>
    </row>
    <row r="31" spans="1:13">
      <c r="A31" s="7"/>
      <c r="B31" s="9"/>
      <c r="C31" s="7"/>
      <c r="D31" s="7"/>
      <c r="E31" s="7"/>
      <c r="F31" s="7"/>
      <c r="G31" s="8"/>
      <c r="H31" s="8"/>
      <c r="I31" s="8"/>
      <c r="J31" s="8"/>
      <c r="K31" s="7"/>
      <c r="L31" s="7"/>
      <c r="M31" s="7"/>
    </row>
    <row r="32" spans="1:13">
      <c r="A32" s="7"/>
      <c r="B32" s="9"/>
      <c r="C32" s="7"/>
      <c r="D32" s="7"/>
      <c r="E32" s="7"/>
      <c r="F32" s="7"/>
      <c r="G32" s="8"/>
      <c r="H32" s="8"/>
      <c r="I32" s="8"/>
      <c r="J32" s="8"/>
      <c r="K32" s="7"/>
      <c r="L32" s="7"/>
      <c r="M32" s="7"/>
    </row>
    <row r="33" spans="1:13">
      <c r="A33" s="7"/>
      <c r="B33" s="9"/>
      <c r="C33" s="7"/>
      <c r="D33" s="7"/>
      <c r="E33" s="7"/>
      <c r="F33" s="7"/>
      <c r="G33" s="8"/>
      <c r="H33" s="8"/>
      <c r="I33" s="8"/>
      <c r="J33" s="8"/>
      <c r="K33" s="7"/>
      <c r="L33" s="7"/>
      <c r="M33" s="7"/>
    </row>
    <row r="34" spans="1:13">
      <c r="A34" s="7"/>
      <c r="B34" s="9"/>
      <c r="C34" s="7"/>
      <c r="D34" s="7"/>
      <c r="E34" s="7"/>
      <c r="F34" s="7"/>
      <c r="G34" s="8"/>
      <c r="H34" s="8"/>
      <c r="I34" s="8"/>
      <c r="J34" s="8"/>
      <c r="K34" s="7"/>
      <c r="L34" s="7"/>
      <c r="M34" s="7"/>
    </row>
    <row r="35" spans="1:13">
      <c r="A35" s="7"/>
      <c r="B35" s="9"/>
      <c r="C35" s="7"/>
      <c r="D35" s="7"/>
      <c r="E35" s="7"/>
      <c r="F35" s="7"/>
      <c r="G35" s="8"/>
      <c r="H35" s="8"/>
      <c r="I35" s="8"/>
      <c r="J35" s="8"/>
      <c r="K35" s="7"/>
      <c r="L35" s="7"/>
      <c r="M35" s="7"/>
    </row>
    <row r="36" spans="1:13">
      <c r="A36" s="7"/>
      <c r="B36" s="9"/>
      <c r="C36" s="7"/>
      <c r="D36" s="7"/>
      <c r="E36" s="7"/>
      <c r="F36" s="7"/>
      <c r="G36" s="8"/>
      <c r="H36" s="8"/>
      <c r="I36" s="8"/>
      <c r="J36" s="8"/>
      <c r="K36" s="7"/>
      <c r="L36" s="7"/>
      <c r="M36" s="7"/>
    </row>
    <row r="37" spans="1:13">
      <c r="A37" s="7"/>
      <c r="B37" s="9"/>
      <c r="C37" s="7"/>
      <c r="D37" s="7"/>
      <c r="E37" s="7"/>
      <c r="F37" s="7"/>
      <c r="G37" s="8"/>
      <c r="H37" s="8"/>
      <c r="I37" s="8"/>
      <c r="J37" s="8"/>
      <c r="K37" s="7"/>
      <c r="L37" s="7"/>
      <c r="M37" s="7"/>
    </row>
    <row r="38" spans="1:13">
      <c r="A38" s="7"/>
      <c r="B38" s="9"/>
      <c r="C38" s="7"/>
      <c r="D38" s="7"/>
      <c r="E38" s="7"/>
      <c r="F38" s="7"/>
      <c r="G38" s="8"/>
      <c r="H38" s="8"/>
      <c r="I38" s="8"/>
      <c r="J38" s="8"/>
      <c r="K38" s="7"/>
      <c r="L38" s="7"/>
      <c r="M38" s="7"/>
    </row>
    <row r="39" spans="1:13">
      <c r="A39" s="7"/>
      <c r="B39" s="9"/>
      <c r="C39" s="7"/>
      <c r="D39" s="7"/>
      <c r="E39" s="7"/>
      <c r="F39" s="7"/>
      <c r="G39" s="8"/>
      <c r="H39" s="8"/>
      <c r="I39" s="8"/>
      <c r="J39" s="8"/>
      <c r="K39" s="7"/>
      <c r="L39" s="7"/>
      <c r="M39" s="7"/>
    </row>
    <row r="40" spans="1:13">
      <c r="A40" s="7"/>
      <c r="B40" s="9"/>
      <c r="C40" s="7"/>
      <c r="D40" s="7"/>
      <c r="E40" s="7"/>
      <c r="F40" s="7"/>
      <c r="G40" s="8"/>
      <c r="H40" s="8"/>
      <c r="I40" s="8"/>
      <c r="J40" s="8"/>
      <c r="K40" s="7"/>
      <c r="L40" s="7"/>
      <c r="M40" s="7"/>
    </row>
    <row r="41" spans="1:13">
      <c r="A41" s="7"/>
      <c r="B41" s="9"/>
      <c r="C41" s="7"/>
      <c r="D41" s="7"/>
      <c r="E41" s="7"/>
      <c r="F41" s="7"/>
      <c r="G41" s="8"/>
      <c r="H41" s="8"/>
      <c r="I41" s="8"/>
      <c r="J41" s="8"/>
      <c r="K41" s="7"/>
      <c r="L41" s="7"/>
      <c r="M41" s="7"/>
    </row>
    <row r="42" spans="1:13">
      <c r="A42" s="7"/>
      <c r="B42" s="9"/>
      <c r="C42" s="7"/>
      <c r="D42" s="7"/>
      <c r="E42" s="7"/>
      <c r="F42" s="7"/>
      <c r="G42" s="8"/>
      <c r="H42" s="8"/>
      <c r="I42" s="8"/>
      <c r="J42" s="8"/>
      <c r="K42" s="7"/>
      <c r="L42" s="7"/>
      <c r="M42" s="7"/>
    </row>
    <row r="43" spans="1:13">
      <c r="A43" s="7"/>
      <c r="B43" s="9"/>
      <c r="C43" s="7"/>
      <c r="D43" s="7"/>
      <c r="E43" s="7"/>
      <c r="F43" s="7"/>
      <c r="G43" s="8"/>
      <c r="H43" s="8"/>
      <c r="I43" s="8"/>
      <c r="J43" s="8"/>
      <c r="K43" s="7"/>
      <c r="L43" s="7"/>
      <c r="M43" s="7"/>
    </row>
    <row r="44" spans="1:13">
      <c r="A44" s="7"/>
      <c r="B44" s="9"/>
      <c r="C44" s="7"/>
      <c r="D44" s="7"/>
      <c r="E44" s="7"/>
      <c r="F44" s="7"/>
      <c r="G44" s="8"/>
      <c r="H44" s="8"/>
      <c r="I44" s="8"/>
      <c r="J44" s="8"/>
      <c r="K44" s="7"/>
      <c r="L44" s="7"/>
      <c r="M44" s="7"/>
    </row>
    <row r="45" spans="1:13">
      <c r="A45" s="7"/>
      <c r="B45" s="9"/>
      <c r="C45" s="7"/>
      <c r="D45" s="7"/>
      <c r="E45" s="7"/>
      <c r="F45" s="7"/>
      <c r="G45" s="8"/>
      <c r="H45" s="8"/>
      <c r="I45" s="8"/>
      <c r="J45" s="8"/>
      <c r="K45" s="7"/>
      <c r="L45" s="7"/>
      <c r="M45" s="7"/>
    </row>
    <row r="46" spans="1:13">
      <c r="A46" s="7"/>
      <c r="B46" s="9"/>
      <c r="C46" s="7"/>
      <c r="D46" s="7"/>
      <c r="E46" s="7"/>
      <c r="F46" s="7"/>
      <c r="G46" s="8"/>
      <c r="H46" s="8"/>
      <c r="I46" s="8"/>
      <c r="J46" s="8"/>
      <c r="K46" s="7"/>
      <c r="L46" s="7"/>
      <c r="M46" s="7"/>
    </row>
    <row r="47" spans="1:13">
      <c r="A47" s="7"/>
      <c r="B47" s="9"/>
      <c r="C47" s="7"/>
      <c r="D47" s="7"/>
      <c r="E47" s="7"/>
      <c r="F47" s="7"/>
      <c r="G47" s="8"/>
      <c r="H47" s="8"/>
      <c r="I47" s="8"/>
      <c r="J47" s="8"/>
      <c r="K47" s="7"/>
      <c r="L47" s="7"/>
      <c r="M47" s="7"/>
    </row>
    <row r="48" spans="1:13">
      <c r="A48" s="7"/>
      <c r="B48" s="9"/>
      <c r="C48" s="7"/>
      <c r="D48" s="7"/>
      <c r="E48" s="7"/>
      <c r="F48" s="7"/>
      <c r="G48" s="8"/>
      <c r="H48" s="8"/>
      <c r="I48" s="8"/>
      <c r="J48" s="8"/>
      <c r="K48" s="7"/>
      <c r="L48" s="7"/>
      <c r="M48" s="7"/>
    </row>
    <row r="49" spans="1:13">
      <c r="A49" s="7"/>
      <c r="B49" s="9"/>
      <c r="C49" s="7"/>
      <c r="D49" s="7"/>
      <c r="E49" s="7"/>
      <c r="F49" s="7"/>
      <c r="G49" s="8"/>
      <c r="H49" s="8"/>
      <c r="I49" s="8"/>
      <c r="J49" s="8"/>
      <c r="K49" s="7"/>
      <c r="L49" s="7"/>
      <c r="M49" s="7"/>
    </row>
    <row r="50" spans="1:13">
      <c r="A50" s="7"/>
      <c r="B50" s="9"/>
      <c r="C50" s="7"/>
      <c r="D50" s="7"/>
      <c r="E50" s="7"/>
      <c r="F50" s="7"/>
      <c r="G50" s="8"/>
      <c r="H50" s="8"/>
      <c r="I50" s="8"/>
      <c r="J50" s="8"/>
      <c r="K50" s="7"/>
      <c r="L50" s="7"/>
      <c r="M50" s="7"/>
    </row>
    <row r="51" spans="1:13">
      <c r="A51" s="7"/>
      <c r="B51" s="9"/>
      <c r="C51" s="7"/>
      <c r="D51" s="7"/>
      <c r="E51" s="7"/>
      <c r="F51" s="7"/>
      <c r="G51" s="8"/>
      <c r="H51" s="8"/>
      <c r="I51" s="8"/>
      <c r="J51" s="8"/>
      <c r="K51" s="7"/>
      <c r="L51" s="7"/>
      <c r="M51" s="7"/>
    </row>
    <row r="52" spans="1:13">
      <c r="A52" s="7"/>
      <c r="B52" s="9"/>
      <c r="C52" s="7"/>
      <c r="D52" s="7"/>
      <c r="E52" s="7"/>
      <c r="F52" s="7"/>
      <c r="G52" s="8"/>
      <c r="H52" s="8"/>
      <c r="I52" s="8"/>
      <c r="J52" s="8"/>
      <c r="K52" s="7"/>
      <c r="L52" s="7"/>
      <c r="M52" s="7"/>
    </row>
    <row r="53" spans="1:13">
      <c r="A53" s="7"/>
      <c r="B53" s="9"/>
      <c r="C53" s="7"/>
      <c r="D53" s="7"/>
      <c r="E53" s="7"/>
      <c r="F53" s="7"/>
      <c r="G53" s="8"/>
      <c r="H53" s="8"/>
      <c r="I53" s="8"/>
      <c r="J53" s="8"/>
      <c r="K53" s="7"/>
      <c r="L53" s="7"/>
      <c r="M53" s="7"/>
    </row>
    <row r="54" spans="1:13">
      <c r="A54" s="7"/>
      <c r="B54" s="9"/>
      <c r="C54" s="7"/>
      <c r="D54" s="7"/>
      <c r="E54" s="7"/>
      <c r="F54" s="7"/>
      <c r="G54" s="8"/>
      <c r="H54" s="8"/>
      <c r="I54" s="8"/>
      <c r="J54" s="8"/>
      <c r="K54" s="7"/>
      <c r="L54" s="7"/>
      <c r="M54" s="7"/>
    </row>
    <row r="55" spans="1:13">
      <c r="A55" s="7"/>
      <c r="B55" s="9"/>
      <c r="C55" s="7"/>
      <c r="D55" s="7"/>
      <c r="E55" s="7"/>
      <c r="F55" s="7"/>
      <c r="G55" s="8"/>
      <c r="H55" s="8"/>
      <c r="I55" s="8"/>
      <c r="J55" s="8"/>
      <c r="K55" s="7"/>
      <c r="L55" s="7"/>
      <c r="M55" s="7"/>
    </row>
    <row r="56" spans="1:13">
      <c r="A56" s="7"/>
      <c r="B56" s="9"/>
      <c r="C56" s="7"/>
      <c r="D56" s="7"/>
      <c r="E56" s="7"/>
      <c r="F56" s="7"/>
      <c r="G56" s="8"/>
      <c r="H56" s="8"/>
      <c r="I56" s="8"/>
      <c r="J56" s="8"/>
      <c r="K56" s="7"/>
      <c r="L56" s="7"/>
      <c r="M56" s="7"/>
    </row>
    <row r="57" spans="1:13">
      <c r="A57" s="7"/>
      <c r="B57" s="9"/>
      <c r="C57" s="7"/>
      <c r="D57" s="7"/>
      <c r="E57" s="7"/>
      <c r="F57" s="7"/>
      <c r="G57" s="8"/>
      <c r="H57" s="8"/>
      <c r="I57" s="8"/>
      <c r="J57" s="8"/>
      <c r="K57" s="7"/>
      <c r="L57" s="7"/>
      <c r="M57" s="7"/>
    </row>
    <row r="58" spans="1:13">
      <c r="A58" s="7"/>
      <c r="B58" s="9"/>
      <c r="C58" s="7"/>
      <c r="D58" s="7"/>
      <c r="E58" s="7"/>
      <c r="F58" s="7"/>
      <c r="G58" s="8"/>
      <c r="H58" s="8"/>
      <c r="I58" s="8"/>
      <c r="J58" s="8"/>
      <c r="K58" s="7"/>
      <c r="L58" s="7"/>
      <c r="M58" s="7"/>
    </row>
    <row r="59" spans="1:13">
      <c r="A59" s="7"/>
      <c r="B59" s="9"/>
      <c r="C59" s="7"/>
      <c r="D59" s="7"/>
      <c r="E59" s="7"/>
      <c r="F59" s="7"/>
      <c r="G59" s="8"/>
      <c r="H59" s="8"/>
      <c r="I59" s="8"/>
      <c r="J59" s="8"/>
      <c r="K59" s="7"/>
      <c r="L59" s="7"/>
      <c r="M59" s="7"/>
    </row>
    <row r="60" spans="1:13">
      <c r="A60" s="7"/>
      <c r="B60" s="9"/>
      <c r="C60" s="7"/>
      <c r="D60" s="7"/>
      <c r="E60" s="7"/>
      <c r="F60" s="7"/>
      <c r="G60" s="8"/>
      <c r="H60" s="8"/>
      <c r="I60" s="8"/>
      <c r="J60" s="8"/>
      <c r="K60" s="7"/>
      <c r="L60" s="7"/>
      <c r="M60" s="7"/>
    </row>
    <row r="61" spans="1:13">
      <c r="A61" s="7"/>
      <c r="B61" s="9"/>
      <c r="C61" s="7"/>
      <c r="D61" s="7"/>
      <c r="E61" s="7"/>
      <c r="F61" s="7"/>
      <c r="G61" s="8"/>
      <c r="H61" s="8"/>
      <c r="I61" s="8"/>
      <c r="J61" s="8"/>
      <c r="K61" s="7"/>
      <c r="L61" s="7"/>
      <c r="M61" s="7"/>
    </row>
    <row r="62" spans="1:13">
      <c r="A62" s="7"/>
      <c r="B62" s="9"/>
      <c r="C62" s="7"/>
      <c r="D62" s="7"/>
      <c r="E62" s="7"/>
      <c r="F62" s="7"/>
      <c r="G62" s="8"/>
      <c r="H62" s="8"/>
      <c r="I62" s="8"/>
      <c r="J62" s="8"/>
      <c r="K62" s="7"/>
      <c r="L62" s="7"/>
      <c r="M62" s="7"/>
    </row>
    <row r="63" spans="1:13">
      <c r="A63" s="7"/>
      <c r="B63" s="9"/>
      <c r="C63" s="7"/>
      <c r="D63" s="7"/>
      <c r="E63" s="7"/>
      <c r="F63" s="7"/>
      <c r="G63" s="8"/>
      <c r="H63" s="8"/>
      <c r="I63" s="8"/>
      <c r="J63" s="8"/>
      <c r="K63" s="7"/>
      <c r="L63" s="7"/>
      <c r="M63" s="7"/>
    </row>
    <row r="64" spans="1:13">
      <c r="A64" s="7"/>
      <c r="B64" s="9"/>
      <c r="C64" s="7"/>
      <c r="D64" s="7"/>
      <c r="E64" s="7"/>
      <c r="F64" s="7"/>
      <c r="G64" s="8"/>
      <c r="H64" s="8"/>
      <c r="I64" s="8"/>
      <c r="J64" s="8"/>
      <c r="K64" s="7"/>
      <c r="L64" s="7"/>
      <c r="M64" s="7"/>
    </row>
    <row r="65" spans="1:13">
      <c r="A65" s="7"/>
      <c r="B65" s="9"/>
      <c r="C65" s="7"/>
      <c r="D65" s="7"/>
      <c r="E65" s="7"/>
      <c r="F65" s="7"/>
      <c r="G65" s="8"/>
      <c r="H65" s="8"/>
      <c r="I65" s="8"/>
      <c r="J65" s="8"/>
      <c r="K65" s="7"/>
      <c r="L65" s="7"/>
      <c r="M65" s="7"/>
    </row>
    <row r="66" spans="1:13">
      <c r="A66" s="7"/>
      <c r="B66" s="9"/>
      <c r="C66" s="7"/>
      <c r="D66" s="7"/>
      <c r="E66" s="7"/>
      <c r="F66" s="7"/>
      <c r="G66" s="8"/>
      <c r="H66" s="8"/>
      <c r="I66" s="8"/>
      <c r="J66" s="8"/>
      <c r="K66" s="7"/>
      <c r="L66" s="7"/>
      <c r="M66" s="7"/>
    </row>
    <row r="67" spans="1:13">
      <c r="A67" s="7"/>
      <c r="B67" s="9"/>
      <c r="C67" s="7"/>
      <c r="D67" s="7"/>
      <c r="E67" s="7"/>
      <c r="F67" s="7"/>
      <c r="G67" s="8"/>
      <c r="H67" s="8"/>
      <c r="I67" s="8"/>
      <c r="J67" s="8"/>
      <c r="K67" s="7"/>
      <c r="L67" s="7"/>
      <c r="M67" s="7"/>
    </row>
    <row r="68" spans="1:13">
      <c r="A68" s="7"/>
      <c r="B68" s="9"/>
      <c r="C68" s="7"/>
      <c r="D68" s="7"/>
      <c r="E68" s="7"/>
      <c r="F68" s="7"/>
      <c r="G68" s="8"/>
      <c r="H68" s="8"/>
      <c r="I68" s="8"/>
      <c r="J68" s="8"/>
      <c r="K68" s="7"/>
      <c r="L68" s="7"/>
      <c r="M68" s="7"/>
    </row>
    <row r="69" spans="1:13">
      <c r="A69" s="7"/>
      <c r="B69" s="9"/>
      <c r="C69" s="7"/>
      <c r="D69" s="7"/>
      <c r="E69" s="7"/>
      <c r="F69" s="7"/>
      <c r="G69" s="8"/>
      <c r="H69" s="8"/>
      <c r="I69" s="8"/>
      <c r="J69" s="8"/>
      <c r="K69" s="7"/>
      <c r="L69" s="7"/>
      <c r="M69" s="7"/>
    </row>
    <row r="70" spans="1:13">
      <c r="A70" s="7"/>
      <c r="B70" s="9"/>
      <c r="C70" s="7"/>
      <c r="D70" s="7"/>
      <c r="E70" s="7"/>
      <c r="F70" s="7"/>
      <c r="G70" s="8"/>
      <c r="H70" s="8"/>
      <c r="I70" s="8"/>
      <c r="J70" s="8"/>
      <c r="K70" s="7"/>
      <c r="L70" s="7"/>
      <c r="M70" s="7"/>
    </row>
    <row r="71" spans="1:13">
      <c r="A71" s="7"/>
      <c r="B71" s="9"/>
      <c r="C71" s="7"/>
      <c r="D71" s="7"/>
      <c r="E71" s="7"/>
      <c r="F71" s="7"/>
      <c r="G71" s="8"/>
      <c r="H71" s="8"/>
      <c r="I71" s="8"/>
      <c r="J71" s="8"/>
      <c r="K71" s="7"/>
      <c r="L71" s="7"/>
      <c r="M71" s="7"/>
    </row>
    <row r="72" spans="1:13">
      <c r="A72" s="7"/>
      <c r="B72" s="9"/>
      <c r="C72" s="7"/>
      <c r="D72" s="7"/>
      <c r="E72" s="7"/>
      <c r="F72" s="7"/>
      <c r="G72" s="8"/>
      <c r="H72" s="8"/>
      <c r="I72" s="8"/>
      <c r="J72" s="8"/>
      <c r="K72" s="7"/>
      <c r="L72" s="7"/>
      <c r="M72" s="7"/>
    </row>
    <row r="73" spans="1:13">
      <c r="A73" s="7"/>
      <c r="B73" s="9"/>
      <c r="C73" s="7"/>
      <c r="D73" s="7"/>
      <c r="E73" s="7"/>
      <c r="F73" s="7"/>
      <c r="G73" s="8"/>
      <c r="H73" s="8"/>
      <c r="I73" s="8"/>
      <c r="J73" s="8"/>
      <c r="K73" s="7"/>
      <c r="L73" s="7"/>
      <c r="M73" s="7"/>
    </row>
    <row r="74" spans="1:13">
      <c r="A74" s="7"/>
      <c r="B74" s="9"/>
      <c r="C74" s="7"/>
      <c r="D74" s="7"/>
      <c r="E74" s="7"/>
      <c r="F74" s="7"/>
      <c r="G74" s="8"/>
      <c r="H74" s="8"/>
      <c r="I74" s="8"/>
      <c r="J74" s="8"/>
      <c r="K74" s="7"/>
      <c r="L74" s="7"/>
      <c r="M74" s="7"/>
    </row>
    <row r="75" spans="1:13">
      <c r="A75" s="7"/>
      <c r="B75" s="9"/>
      <c r="C75" s="7"/>
      <c r="D75" s="7"/>
      <c r="E75" s="7"/>
      <c r="F75" s="7"/>
      <c r="G75" s="8"/>
      <c r="H75" s="8"/>
      <c r="I75" s="8"/>
      <c r="J75" s="8"/>
      <c r="K75" s="7"/>
      <c r="L75" s="7"/>
      <c r="M75" s="7"/>
    </row>
    <row r="76" spans="1:13">
      <c r="A76" s="7"/>
      <c r="B76" s="9"/>
      <c r="C76" s="7"/>
      <c r="D76" s="7"/>
      <c r="E76" s="7"/>
      <c r="F76" s="7"/>
      <c r="G76" s="8"/>
      <c r="H76" s="8"/>
      <c r="I76" s="8"/>
      <c r="J76" s="8"/>
      <c r="K76" s="7"/>
      <c r="L76" s="7"/>
      <c r="M76" s="7"/>
    </row>
    <row r="77" spans="1:13">
      <c r="A77" s="7"/>
      <c r="B77" s="9"/>
      <c r="C77" s="7"/>
      <c r="D77" s="7"/>
      <c r="E77" s="7"/>
      <c r="F77" s="7"/>
      <c r="G77" s="8"/>
      <c r="H77" s="8"/>
      <c r="I77" s="8"/>
      <c r="J77" s="8"/>
      <c r="K77" s="7"/>
      <c r="L77" s="7"/>
      <c r="M77" s="7"/>
    </row>
    <row r="78" spans="1:13">
      <c r="A78" s="7"/>
      <c r="B78" s="9"/>
      <c r="C78" s="7"/>
      <c r="D78" s="7"/>
      <c r="E78" s="7"/>
      <c r="F78" s="7"/>
      <c r="G78" s="8"/>
      <c r="H78" s="8"/>
      <c r="I78" s="8"/>
      <c r="J78" s="8"/>
      <c r="K78" s="7"/>
      <c r="L78" s="7"/>
      <c r="M78" s="7"/>
    </row>
    <row r="79" spans="1:13">
      <c r="A79" s="7"/>
      <c r="B79" s="9"/>
      <c r="C79" s="7"/>
      <c r="D79" s="7"/>
      <c r="E79" s="7"/>
      <c r="F79" s="7"/>
      <c r="G79" s="8"/>
      <c r="H79" s="8"/>
      <c r="I79" s="8"/>
      <c r="J79" s="8"/>
      <c r="K79" s="7"/>
      <c r="L79" s="7"/>
      <c r="M79" s="7"/>
    </row>
    <row r="80" spans="1:13">
      <c r="A80" s="7"/>
      <c r="B80" s="9"/>
      <c r="C80" s="7"/>
      <c r="D80" s="7"/>
      <c r="E80" s="7"/>
      <c r="F80" s="7"/>
      <c r="G80" s="8"/>
      <c r="H80" s="8"/>
      <c r="I80" s="8"/>
      <c r="J80" s="8"/>
      <c r="K80" s="7"/>
      <c r="L80" s="7"/>
      <c r="M80" s="7"/>
    </row>
    <row r="81" spans="1:13">
      <c r="A81" s="7"/>
      <c r="B81" s="9"/>
      <c r="C81" s="7"/>
      <c r="D81" s="7"/>
      <c r="E81" s="7"/>
      <c r="F81" s="7"/>
      <c r="G81" s="8"/>
      <c r="H81" s="8"/>
      <c r="I81" s="8"/>
      <c r="J81" s="8"/>
      <c r="K81" s="7"/>
      <c r="L81" s="7"/>
      <c r="M81" s="7"/>
    </row>
    <row r="82" spans="1:13">
      <c r="A82" s="7"/>
      <c r="B82" s="9"/>
      <c r="C82" s="7"/>
      <c r="D82" s="7"/>
      <c r="E82" s="7"/>
      <c r="F82" s="7"/>
      <c r="G82" s="8"/>
      <c r="H82" s="8"/>
      <c r="I82" s="8"/>
      <c r="J82" s="8"/>
      <c r="K82" s="7"/>
      <c r="L82" s="7"/>
      <c r="M82" s="7"/>
    </row>
    <row r="83" spans="1:13">
      <c r="A83" s="7"/>
      <c r="B83" s="9"/>
      <c r="C83" s="7"/>
      <c r="D83" s="7"/>
      <c r="E83" s="7"/>
      <c r="F83" s="7"/>
      <c r="G83" s="8"/>
      <c r="H83" s="8"/>
      <c r="I83" s="8"/>
      <c r="J83" s="8"/>
      <c r="K83" s="7"/>
      <c r="L83" s="7"/>
      <c r="M83" s="7"/>
    </row>
    <row r="84" spans="1:13">
      <c r="A84" s="7"/>
      <c r="B84" s="9"/>
      <c r="C84" s="7"/>
      <c r="D84" s="7"/>
      <c r="E84" s="7"/>
      <c r="F84" s="7"/>
      <c r="G84" s="8"/>
      <c r="H84" s="8"/>
      <c r="I84" s="8"/>
      <c r="J84" s="8"/>
      <c r="K84" s="7"/>
      <c r="L84" s="7"/>
      <c r="M84" s="7"/>
    </row>
    <row r="85" spans="1:13">
      <c r="A85" s="7"/>
      <c r="B85" s="9"/>
      <c r="C85" s="7"/>
      <c r="D85" s="7"/>
      <c r="E85" s="7"/>
      <c r="F85" s="7"/>
      <c r="G85" s="8"/>
      <c r="H85" s="8"/>
      <c r="I85" s="8"/>
      <c r="J85" s="8"/>
      <c r="K85" s="7"/>
      <c r="L85" s="7"/>
      <c r="M85" s="7"/>
    </row>
    <row r="86" spans="1:13">
      <c r="A86" s="7"/>
      <c r="B86" s="9"/>
      <c r="C86" s="7"/>
      <c r="D86" s="7"/>
      <c r="E86" s="7"/>
      <c r="F86" s="7"/>
      <c r="G86" s="8"/>
      <c r="H86" s="8"/>
      <c r="I86" s="8"/>
      <c r="J86" s="8"/>
      <c r="K86" s="7"/>
      <c r="L86" s="7"/>
      <c r="M86" s="7"/>
    </row>
    <row r="87" spans="1:13">
      <c r="A87" s="7"/>
      <c r="B87" s="9"/>
      <c r="C87" s="7"/>
      <c r="D87" s="7"/>
      <c r="E87" s="7"/>
      <c r="F87" s="7"/>
      <c r="G87" s="8"/>
      <c r="H87" s="8"/>
      <c r="I87" s="8"/>
      <c r="J87" s="8"/>
      <c r="K87" s="7"/>
      <c r="L87" s="7"/>
      <c r="M87" s="7"/>
    </row>
    <row r="88" spans="1:13">
      <c r="A88" s="7"/>
      <c r="B88" s="9"/>
      <c r="C88" s="7"/>
      <c r="D88" s="7"/>
      <c r="E88" s="7"/>
      <c r="F88" s="7"/>
      <c r="G88" s="8"/>
      <c r="H88" s="8"/>
      <c r="I88" s="8"/>
      <c r="J88" s="8"/>
      <c r="K88" s="7"/>
      <c r="L88" s="7"/>
      <c r="M88" s="7"/>
    </row>
    <row r="89" spans="1:13">
      <c r="A89" s="7"/>
      <c r="B89" s="9"/>
      <c r="C89" s="7"/>
      <c r="D89" s="7"/>
      <c r="E89" s="7"/>
      <c r="F89" s="7"/>
      <c r="G89" s="8"/>
      <c r="H89" s="8"/>
      <c r="I89" s="8"/>
      <c r="J89" s="8"/>
      <c r="K89" s="7"/>
      <c r="L89" s="7"/>
      <c r="M89" s="7"/>
    </row>
    <row r="90" spans="1:13">
      <c r="A90" s="7"/>
      <c r="B90" s="9"/>
      <c r="C90" s="7"/>
      <c r="D90" s="7"/>
      <c r="E90" s="7"/>
      <c r="F90" s="7"/>
      <c r="G90" s="8"/>
      <c r="H90" s="8"/>
      <c r="I90" s="8"/>
      <c r="J90" s="8"/>
      <c r="K90" s="7"/>
      <c r="L90" s="7"/>
      <c r="M90" s="7"/>
    </row>
    <row r="91" spans="1:13">
      <c r="A91" s="7"/>
      <c r="B91" s="9"/>
      <c r="C91" s="7"/>
      <c r="D91" s="7"/>
      <c r="E91" s="7"/>
      <c r="F91" s="7"/>
      <c r="G91" s="8"/>
      <c r="H91" s="8"/>
      <c r="I91" s="8"/>
      <c r="J91" s="8"/>
      <c r="K91" s="7"/>
      <c r="L91" s="7"/>
      <c r="M91" s="7"/>
    </row>
    <row r="92" spans="1:13">
      <c r="A92" s="7"/>
      <c r="B92" s="9"/>
      <c r="C92" s="7"/>
      <c r="D92" s="7"/>
      <c r="E92" s="7"/>
      <c r="F92" s="7"/>
      <c r="G92" s="8"/>
      <c r="H92" s="8"/>
      <c r="I92" s="8"/>
      <c r="J92" s="8"/>
      <c r="K92" s="7"/>
      <c r="L92" s="7"/>
      <c r="M92" s="7"/>
    </row>
    <row r="93" spans="1:13">
      <c r="A93" s="7"/>
      <c r="B93" s="9"/>
      <c r="C93" s="7"/>
      <c r="D93" s="7"/>
      <c r="E93" s="7"/>
      <c r="F93" s="7"/>
      <c r="G93" s="8"/>
      <c r="H93" s="8"/>
      <c r="I93" s="8"/>
      <c r="J93" s="8"/>
      <c r="K93" s="7"/>
      <c r="L93" s="7"/>
      <c r="M93" s="7"/>
    </row>
    <row r="94" spans="1:13">
      <c r="A94" s="7"/>
      <c r="B94" s="9"/>
      <c r="C94" s="7"/>
      <c r="D94" s="7"/>
      <c r="E94" s="7"/>
      <c r="F94" s="7"/>
      <c r="G94" s="8"/>
      <c r="H94" s="8"/>
      <c r="I94" s="8"/>
      <c r="J94" s="8"/>
      <c r="K94" s="7"/>
      <c r="L94" s="7"/>
      <c r="M94" s="7"/>
    </row>
    <row r="95" spans="1:13">
      <c r="A95" s="7"/>
      <c r="B95" s="9"/>
      <c r="C95" s="7"/>
      <c r="D95" s="7"/>
      <c r="E95" s="7"/>
      <c r="F95" s="7"/>
      <c r="G95" s="8"/>
      <c r="H95" s="8"/>
      <c r="I95" s="8"/>
      <c r="J95" s="8"/>
      <c r="K95" s="7"/>
      <c r="L95" s="7"/>
      <c r="M95" s="7"/>
    </row>
    <row r="96" spans="1:13">
      <c r="A96" s="7"/>
      <c r="B96" s="9"/>
      <c r="C96" s="7"/>
      <c r="D96" s="7"/>
      <c r="E96" s="7"/>
      <c r="F96" s="7"/>
      <c r="G96" s="8"/>
      <c r="H96" s="8"/>
      <c r="I96" s="8"/>
      <c r="J96" s="8"/>
      <c r="K96" s="7"/>
      <c r="L96" s="7"/>
      <c r="M96" s="7"/>
    </row>
    <row r="97" spans="1:13">
      <c r="A97" s="7"/>
      <c r="B97" s="9"/>
      <c r="C97" s="7"/>
      <c r="D97" s="7"/>
      <c r="E97" s="7"/>
      <c r="F97" s="7"/>
      <c r="G97" s="8"/>
      <c r="H97" s="8"/>
      <c r="I97" s="8"/>
      <c r="J97" s="8"/>
      <c r="K97" s="7"/>
      <c r="L97" s="7"/>
      <c r="M97" s="7"/>
    </row>
    <row r="98" spans="1:13">
      <c r="A98" s="7"/>
      <c r="B98" s="9"/>
      <c r="C98" s="7"/>
      <c r="D98" s="7"/>
      <c r="E98" s="7"/>
      <c r="F98" s="7"/>
      <c r="G98" s="8"/>
      <c r="H98" s="8"/>
      <c r="I98" s="8"/>
      <c r="J98" s="8"/>
      <c r="K98" s="7"/>
      <c r="L98" s="7"/>
      <c r="M98" s="7"/>
    </row>
    <row r="99" spans="1:13">
      <c r="A99" s="7"/>
      <c r="B99" s="9"/>
      <c r="C99" s="7"/>
      <c r="D99" s="7"/>
      <c r="E99" s="7"/>
      <c r="F99" s="7"/>
      <c r="G99" s="8"/>
      <c r="H99" s="8"/>
      <c r="I99" s="8"/>
      <c r="J99" s="8"/>
      <c r="K99" s="7"/>
      <c r="L99" s="7"/>
      <c r="M99" s="7"/>
    </row>
    <row r="100" spans="1:13">
      <c r="A100" s="7"/>
      <c r="B100" s="9"/>
      <c r="C100" s="7"/>
      <c r="D100" s="7"/>
      <c r="E100" s="7"/>
      <c r="F100" s="7"/>
      <c r="G100" s="8"/>
      <c r="H100" s="8"/>
      <c r="I100" s="8"/>
      <c r="J100" s="8"/>
      <c r="K100" s="7"/>
      <c r="L100" s="7"/>
      <c r="M100" s="7"/>
    </row>
    <row r="101" spans="1:13">
      <c r="A101" s="7"/>
      <c r="B101" s="9"/>
      <c r="C101" s="7"/>
      <c r="D101" s="7"/>
      <c r="E101" s="7"/>
      <c r="F101" s="7"/>
      <c r="G101" s="8"/>
      <c r="H101" s="8"/>
      <c r="I101" s="8"/>
      <c r="J101" s="8"/>
      <c r="K101" s="7"/>
      <c r="L101" s="7"/>
      <c r="M101" s="7"/>
    </row>
    <row r="102" spans="1:13">
      <c r="A102" s="7"/>
      <c r="B102" s="9"/>
      <c r="C102" s="7"/>
      <c r="D102" s="7"/>
      <c r="E102" s="7"/>
      <c r="F102" s="7"/>
      <c r="G102" s="8"/>
      <c r="H102" s="8"/>
      <c r="I102" s="8"/>
      <c r="J102" s="8"/>
      <c r="K102" s="7"/>
      <c r="L102" s="7"/>
      <c r="M102" s="7"/>
    </row>
    <row r="103" spans="1:13">
      <c r="A103" s="7"/>
      <c r="B103" s="9"/>
      <c r="C103" s="7"/>
      <c r="D103" s="7"/>
      <c r="E103" s="7"/>
      <c r="F103" s="7"/>
      <c r="G103" s="8"/>
      <c r="H103" s="8"/>
      <c r="I103" s="8"/>
      <c r="J103" s="8"/>
      <c r="K103" s="7"/>
      <c r="L103" s="7"/>
      <c r="M103" s="7"/>
    </row>
    <row r="104" spans="1:13">
      <c r="A104" s="7"/>
      <c r="B104" s="9"/>
      <c r="C104" s="7"/>
      <c r="D104" s="7"/>
      <c r="E104" s="7"/>
      <c r="F104" s="7"/>
      <c r="G104" s="8"/>
      <c r="H104" s="8"/>
      <c r="I104" s="8"/>
      <c r="J104" s="8"/>
      <c r="K104" s="7"/>
      <c r="L104" s="7"/>
      <c r="M104" s="7"/>
    </row>
  </sheetData>
  <dataValidations count="1">
    <dataValidation type="list" sqref="L5:L104">
      <formula1>"改善,不变,下降,不适用"</formula1>
    </dataValidation>
  </dataValidation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showGridLines="0" workbookViewId="0">
      <pane xSplit="3" ySplit="4" topLeftCell="D5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6.8"/>
  <cols>
    <col min="1" max="3" width="15" customWidth="1"/>
    <col min="4" max="7" width="35" customWidth="1"/>
    <col min="8" max="14" width="19" customWidth="1"/>
  </cols>
  <sheetData>
    <row r="1" ht="25" customHeight="1" spans="1:14">
      <c r="A1" s="4" t="s">
        <v>38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5" t="s">
        <v>418</v>
      </c>
    </row>
    <row r="4" ht="32" customHeight="1" spans="1:14">
      <c r="A4" s="6" t="s">
        <v>419</v>
      </c>
      <c r="B4" s="6" t="s">
        <v>306</v>
      </c>
      <c r="C4" s="6" t="s">
        <v>307</v>
      </c>
      <c r="D4" s="6" t="s">
        <v>420</v>
      </c>
      <c r="E4" s="6" t="s">
        <v>324</v>
      </c>
      <c r="F4" s="6" t="s">
        <v>421</v>
      </c>
      <c r="G4" s="6" t="s">
        <v>422</v>
      </c>
      <c r="H4" s="6" t="s">
        <v>321</v>
      </c>
      <c r="I4" s="6" t="s">
        <v>117</v>
      </c>
      <c r="J4" s="6" t="s">
        <v>423</v>
      </c>
      <c r="K4" s="6" t="s">
        <v>424</v>
      </c>
      <c r="L4" s="6" t="s">
        <v>425</v>
      </c>
      <c r="M4" s="6" t="s">
        <v>426</v>
      </c>
      <c r="N4" s="6" t="s">
        <v>427</v>
      </c>
    </row>
    <row r="5" spans="1:14">
      <c r="A5" s="7"/>
      <c r="B5" s="7"/>
      <c r="C5" s="7"/>
      <c r="D5" s="8"/>
      <c r="E5" s="8"/>
      <c r="F5" s="8"/>
      <c r="G5" s="8"/>
      <c r="H5" s="9"/>
      <c r="I5" s="7"/>
      <c r="J5" s="7"/>
      <c r="K5" s="7"/>
      <c r="L5" s="7"/>
      <c r="M5" s="9"/>
      <c r="N5" s="7"/>
    </row>
    <row r="6" spans="1:14">
      <c r="A6" s="7"/>
      <c r="B6" s="7"/>
      <c r="C6" s="7"/>
      <c r="D6" s="8"/>
      <c r="E6" s="8"/>
      <c r="F6" s="8"/>
      <c r="G6" s="8"/>
      <c r="H6" s="9"/>
      <c r="I6" s="7"/>
      <c r="J6" s="7"/>
      <c r="K6" s="7"/>
      <c r="L6" s="7"/>
      <c r="M6" s="9"/>
      <c r="N6" s="7"/>
    </row>
    <row r="7" spans="1:14">
      <c r="A7" s="7"/>
      <c r="B7" s="7"/>
      <c r="C7" s="7"/>
      <c r="D7" s="8"/>
      <c r="E7" s="8"/>
      <c r="F7" s="8"/>
      <c r="G7" s="8"/>
      <c r="H7" s="9"/>
      <c r="I7" s="7"/>
      <c r="J7" s="7"/>
      <c r="K7" s="7"/>
      <c r="L7" s="7"/>
      <c r="M7" s="9"/>
      <c r="N7" s="7"/>
    </row>
    <row r="8" spans="1:14">
      <c r="A8" s="7"/>
      <c r="B8" s="7"/>
      <c r="C8" s="7"/>
      <c r="D8" s="8"/>
      <c r="E8" s="8"/>
      <c r="F8" s="8"/>
      <c r="G8" s="8"/>
      <c r="H8" s="9"/>
      <c r="I8" s="7"/>
      <c r="J8" s="7"/>
      <c r="K8" s="7"/>
      <c r="L8" s="7"/>
      <c r="M8" s="9"/>
      <c r="N8" s="7"/>
    </row>
    <row r="9" spans="1:14">
      <c r="A9" s="7"/>
      <c r="B9" s="7"/>
      <c r="C9" s="7"/>
      <c r="D9" s="8"/>
      <c r="E9" s="8"/>
      <c r="F9" s="8"/>
      <c r="G9" s="8"/>
      <c r="H9" s="9"/>
      <c r="I9" s="7"/>
      <c r="J9" s="7"/>
      <c r="K9" s="7"/>
      <c r="L9" s="7"/>
      <c r="M9" s="9"/>
      <c r="N9" s="7"/>
    </row>
    <row r="10" spans="1:14">
      <c r="A10" s="7"/>
      <c r="B10" s="7"/>
      <c r="C10" s="7"/>
      <c r="D10" s="8"/>
      <c r="E10" s="8"/>
      <c r="F10" s="8"/>
      <c r="G10" s="8"/>
      <c r="H10" s="9"/>
      <c r="I10" s="7"/>
      <c r="J10" s="7"/>
      <c r="K10" s="7"/>
      <c r="L10" s="7"/>
      <c r="M10" s="9"/>
      <c r="N10" s="7"/>
    </row>
    <row r="11" spans="1:14">
      <c r="A11" s="7"/>
      <c r="B11" s="7"/>
      <c r="C11" s="7"/>
      <c r="D11" s="8"/>
      <c r="E11" s="8"/>
      <c r="F11" s="8"/>
      <c r="G11" s="8"/>
      <c r="H11" s="9"/>
      <c r="I11" s="7"/>
      <c r="J11" s="7"/>
      <c r="K11" s="7"/>
      <c r="L11" s="7"/>
      <c r="M11" s="9"/>
      <c r="N11" s="7"/>
    </row>
    <row r="12" spans="1:14">
      <c r="A12" s="7"/>
      <c r="B12" s="7"/>
      <c r="C12" s="7"/>
      <c r="D12" s="8"/>
      <c r="E12" s="8"/>
      <c r="F12" s="8"/>
      <c r="G12" s="8"/>
      <c r="H12" s="9"/>
      <c r="I12" s="7"/>
      <c r="J12" s="7"/>
      <c r="K12" s="7"/>
      <c r="L12" s="7"/>
      <c r="M12" s="9"/>
      <c r="N12" s="7"/>
    </row>
    <row r="13" spans="1:14">
      <c r="A13" s="7"/>
      <c r="B13" s="7"/>
      <c r="C13" s="7"/>
      <c r="D13" s="8"/>
      <c r="E13" s="8"/>
      <c r="F13" s="8"/>
      <c r="G13" s="8"/>
      <c r="H13" s="9"/>
      <c r="I13" s="7"/>
      <c r="J13" s="7"/>
      <c r="K13" s="7"/>
      <c r="L13" s="7"/>
      <c r="M13" s="9"/>
      <c r="N13" s="7"/>
    </row>
    <row r="14" spans="1:14">
      <c r="A14" s="7"/>
      <c r="B14" s="7"/>
      <c r="C14" s="7"/>
      <c r="D14" s="8"/>
      <c r="E14" s="8"/>
      <c r="F14" s="8"/>
      <c r="G14" s="8"/>
      <c r="H14" s="9"/>
      <c r="I14" s="7"/>
      <c r="J14" s="7"/>
      <c r="K14" s="7"/>
      <c r="L14" s="7"/>
      <c r="M14" s="9"/>
      <c r="N14" s="7"/>
    </row>
    <row r="15" spans="1:14">
      <c r="A15" s="7"/>
      <c r="B15" s="7"/>
      <c r="C15" s="7"/>
      <c r="D15" s="8"/>
      <c r="E15" s="8"/>
      <c r="F15" s="8"/>
      <c r="G15" s="8"/>
      <c r="H15" s="9"/>
      <c r="I15" s="7"/>
      <c r="J15" s="7"/>
      <c r="K15" s="7"/>
      <c r="L15" s="7"/>
      <c r="M15" s="9"/>
      <c r="N15" s="7"/>
    </row>
    <row r="16" spans="1:14">
      <c r="A16" s="7"/>
      <c r="B16" s="7"/>
      <c r="C16" s="7"/>
      <c r="D16" s="8"/>
      <c r="E16" s="8"/>
      <c r="F16" s="8"/>
      <c r="G16" s="8"/>
      <c r="H16" s="9"/>
      <c r="I16" s="7"/>
      <c r="J16" s="7"/>
      <c r="K16" s="7"/>
      <c r="L16" s="7"/>
      <c r="M16" s="9"/>
      <c r="N16" s="7"/>
    </row>
    <row r="17" spans="1:14">
      <c r="A17" s="7"/>
      <c r="B17" s="7"/>
      <c r="C17" s="7"/>
      <c r="D17" s="8"/>
      <c r="E17" s="8"/>
      <c r="F17" s="8"/>
      <c r="G17" s="8"/>
      <c r="H17" s="9"/>
      <c r="I17" s="7"/>
      <c r="J17" s="7"/>
      <c r="K17" s="7"/>
      <c r="L17" s="7"/>
      <c r="M17" s="9"/>
      <c r="N17" s="7"/>
    </row>
    <row r="18" spans="1:14">
      <c r="A18" s="7"/>
      <c r="B18" s="7"/>
      <c r="C18" s="7"/>
      <c r="D18" s="8"/>
      <c r="E18" s="8"/>
      <c r="F18" s="8"/>
      <c r="G18" s="8"/>
      <c r="H18" s="9"/>
      <c r="I18" s="7"/>
      <c r="J18" s="7"/>
      <c r="K18" s="7"/>
      <c r="L18" s="7"/>
      <c r="M18" s="9"/>
      <c r="N18" s="7"/>
    </row>
    <row r="19" spans="1:14">
      <c r="A19" s="7"/>
      <c r="B19" s="7"/>
      <c r="C19" s="7"/>
      <c r="D19" s="8"/>
      <c r="E19" s="8"/>
      <c r="F19" s="8"/>
      <c r="G19" s="8"/>
      <c r="H19" s="9"/>
      <c r="I19" s="7"/>
      <c r="J19" s="7"/>
      <c r="K19" s="7"/>
      <c r="L19" s="7"/>
      <c r="M19" s="9"/>
      <c r="N19" s="7"/>
    </row>
    <row r="20" spans="1:14">
      <c r="A20" s="7"/>
      <c r="B20" s="7"/>
      <c r="C20" s="7"/>
      <c r="D20" s="8"/>
      <c r="E20" s="8"/>
      <c r="F20" s="8"/>
      <c r="G20" s="8"/>
      <c r="H20" s="9"/>
      <c r="I20" s="7"/>
      <c r="J20" s="7"/>
      <c r="K20" s="7"/>
      <c r="L20" s="7"/>
      <c r="M20" s="9"/>
      <c r="N20" s="7"/>
    </row>
    <row r="21" spans="1:14">
      <c r="A21" s="7"/>
      <c r="B21" s="7"/>
      <c r="C21" s="7"/>
      <c r="D21" s="8"/>
      <c r="E21" s="8"/>
      <c r="F21" s="8"/>
      <c r="G21" s="8"/>
      <c r="H21" s="9"/>
      <c r="I21" s="7"/>
      <c r="J21" s="7"/>
      <c r="K21" s="7"/>
      <c r="L21" s="7"/>
      <c r="M21" s="9"/>
      <c r="N21" s="7"/>
    </row>
    <row r="22" spans="1:14">
      <c r="A22" s="7"/>
      <c r="B22" s="7"/>
      <c r="C22" s="7"/>
      <c r="D22" s="8"/>
      <c r="E22" s="8"/>
      <c r="F22" s="8"/>
      <c r="G22" s="8"/>
      <c r="H22" s="9"/>
      <c r="I22" s="7"/>
      <c r="J22" s="7"/>
      <c r="K22" s="7"/>
      <c r="L22" s="7"/>
      <c r="M22" s="9"/>
      <c r="N22" s="7"/>
    </row>
    <row r="23" spans="1:14">
      <c r="A23" s="7"/>
      <c r="B23" s="7"/>
      <c r="C23" s="7"/>
      <c r="D23" s="8"/>
      <c r="E23" s="8"/>
      <c r="F23" s="8"/>
      <c r="G23" s="8"/>
      <c r="H23" s="9"/>
      <c r="I23" s="7"/>
      <c r="J23" s="7"/>
      <c r="K23" s="7"/>
      <c r="L23" s="7"/>
      <c r="M23" s="9"/>
      <c r="N23" s="7"/>
    </row>
    <row r="24" spans="1:14">
      <c r="A24" s="7"/>
      <c r="B24" s="7"/>
      <c r="C24" s="7"/>
      <c r="D24" s="8"/>
      <c r="E24" s="8"/>
      <c r="F24" s="8"/>
      <c r="G24" s="8"/>
      <c r="H24" s="9"/>
      <c r="I24" s="7"/>
      <c r="J24" s="7"/>
      <c r="K24" s="7"/>
      <c r="L24" s="7"/>
      <c r="M24" s="9"/>
      <c r="N24" s="7"/>
    </row>
    <row r="25" spans="1:14">
      <c r="A25" s="7"/>
      <c r="B25" s="7"/>
      <c r="C25" s="7"/>
      <c r="D25" s="8"/>
      <c r="E25" s="8"/>
      <c r="F25" s="8"/>
      <c r="G25" s="8"/>
      <c r="H25" s="9"/>
      <c r="I25" s="7"/>
      <c r="J25" s="7"/>
      <c r="K25" s="7"/>
      <c r="L25" s="7"/>
      <c r="M25" s="9"/>
      <c r="N25" s="7"/>
    </row>
    <row r="26" spans="1:14">
      <c r="A26" s="7"/>
      <c r="B26" s="7"/>
      <c r="C26" s="7"/>
      <c r="D26" s="8"/>
      <c r="E26" s="8"/>
      <c r="F26" s="8"/>
      <c r="G26" s="8"/>
      <c r="H26" s="9"/>
      <c r="I26" s="7"/>
      <c r="J26" s="7"/>
      <c r="K26" s="7"/>
      <c r="L26" s="7"/>
      <c r="M26" s="9"/>
      <c r="N26" s="7"/>
    </row>
    <row r="27" spans="1:14">
      <c r="A27" s="7"/>
      <c r="B27" s="7"/>
      <c r="C27" s="7"/>
      <c r="D27" s="8"/>
      <c r="E27" s="8"/>
      <c r="F27" s="8"/>
      <c r="G27" s="8"/>
      <c r="H27" s="9"/>
      <c r="I27" s="7"/>
      <c r="J27" s="7"/>
      <c r="K27" s="7"/>
      <c r="L27" s="7"/>
      <c r="M27" s="9"/>
      <c r="N27" s="7"/>
    </row>
    <row r="28" spans="1:14">
      <c r="A28" s="7"/>
      <c r="B28" s="7"/>
      <c r="C28" s="7"/>
      <c r="D28" s="8"/>
      <c r="E28" s="8"/>
      <c r="F28" s="8"/>
      <c r="G28" s="8"/>
      <c r="H28" s="9"/>
      <c r="I28" s="7"/>
      <c r="J28" s="7"/>
      <c r="K28" s="7"/>
      <c r="L28" s="7"/>
      <c r="M28" s="9"/>
      <c r="N28" s="7"/>
    </row>
    <row r="29" spans="1:14">
      <c r="A29" s="7"/>
      <c r="B29" s="7"/>
      <c r="C29" s="7"/>
      <c r="D29" s="8"/>
      <c r="E29" s="8"/>
      <c r="F29" s="8"/>
      <c r="G29" s="8"/>
      <c r="H29" s="9"/>
      <c r="I29" s="7"/>
      <c r="J29" s="7"/>
      <c r="K29" s="7"/>
      <c r="L29" s="7"/>
      <c r="M29" s="9"/>
      <c r="N29" s="7"/>
    </row>
    <row r="30" spans="1:14">
      <c r="A30" s="7"/>
      <c r="B30" s="7"/>
      <c r="C30" s="7"/>
      <c r="D30" s="8"/>
      <c r="E30" s="8"/>
      <c r="F30" s="8"/>
      <c r="G30" s="8"/>
      <c r="H30" s="9"/>
      <c r="I30" s="7"/>
      <c r="J30" s="7"/>
      <c r="K30" s="7"/>
      <c r="L30" s="7"/>
      <c r="M30" s="9"/>
      <c r="N30" s="7"/>
    </row>
    <row r="31" spans="1:14">
      <c r="A31" s="7"/>
      <c r="B31" s="7"/>
      <c r="C31" s="7"/>
      <c r="D31" s="8"/>
      <c r="E31" s="8"/>
      <c r="F31" s="8"/>
      <c r="G31" s="8"/>
      <c r="H31" s="9"/>
      <c r="I31" s="7"/>
      <c r="J31" s="7"/>
      <c r="K31" s="7"/>
      <c r="L31" s="7"/>
      <c r="M31" s="9"/>
      <c r="N31" s="7"/>
    </row>
    <row r="32" spans="1:14">
      <c r="A32" s="7"/>
      <c r="B32" s="7"/>
      <c r="C32" s="7"/>
      <c r="D32" s="8"/>
      <c r="E32" s="8"/>
      <c r="F32" s="8"/>
      <c r="G32" s="8"/>
      <c r="H32" s="9"/>
      <c r="I32" s="7"/>
      <c r="J32" s="7"/>
      <c r="K32" s="7"/>
      <c r="L32" s="7"/>
      <c r="M32" s="9"/>
      <c r="N32" s="7"/>
    </row>
    <row r="33" spans="1:14">
      <c r="A33" s="7"/>
      <c r="B33" s="7"/>
      <c r="C33" s="7"/>
      <c r="D33" s="8"/>
      <c r="E33" s="8"/>
      <c r="F33" s="8"/>
      <c r="G33" s="8"/>
      <c r="H33" s="9"/>
      <c r="I33" s="7"/>
      <c r="J33" s="7"/>
      <c r="K33" s="7"/>
      <c r="L33" s="7"/>
      <c r="M33" s="9"/>
      <c r="N33" s="7"/>
    </row>
    <row r="34" spans="1:14">
      <c r="A34" s="7"/>
      <c r="B34" s="7"/>
      <c r="C34" s="7"/>
      <c r="D34" s="8"/>
      <c r="E34" s="8"/>
      <c r="F34" s="8"/>
      <c r="G34" s="8"/>
      <c r="H34" s="9"/>
      <c r="I34" s="7"/>
      <c r="J34" s="7"/>
      <c r="K34" s="7"/>
      <c r="L34" s="7"/>
      <c r="M34" s="9"/>
      <c r="N34" s="7"/>
    </row>
    <row r="35" spans="1:14">
      <c r="A35" s="7"/>
      <c r="B35" s="7"/>
      <c r="C35" s="7"/>
      <c r="D35" s="8"/>
      <c r="E35" s="8"/>
      <c r="F35" s="8"/>
      <c r="G35" s="8"/>
      <c r="H35" s="9"/>
      <c r="I35" s="7"/>
      <c r="J35" s="7"/>
      <c r="K35" s="7"/>
      <c r="L35" s="7"/>
      <c r="M35" s="9"/>
      <c r="N35" s="7"/>
    </row>
    <row r="36" spans="1:14">
      <c r="A36" s="7"/>
      <c r="B36" s="7"/>
      <c r="C36" s="7"/>
      <c r="D36" s="8"/>
      <c r="E36" s="8"/>
      <c r="F36" s="8"/>
      <c r="G36" s="8"/>
      <c r="H36" s="9"/>
      <c r="I36" s="7"/>
      <c r="J36" s="7"/>
      <c r="K36" s="7"/>
      <c r="L36" s="7"/>
      <c r="M36" s="9"/>
      <c r="N36" s="7"/>
    </row>
    <row r="37" spans="1:14">
      <c r="A37" s="7"/>
      <c r="B37" s="7"/>
      <c r="C37" s="7"/>
      <c r="D37" s="8"/>
      <c r="E37" s="8"/>
      <c r="F37" s="8"/>
      <c r="G37" s="8"/>
      <c r="H37" s="9"/>
      <c r="I37" s="7"/>
      <c r="J37" s="7"/>
      <c r="K37" s="7"/>
      <c r="L37" s="7"/>
      <c r="M37" s="9"/>
      <c r="N37" s="7"/>
    </row>
    <row r="38" spans="1:14">
      <c r="A38" s="7"/>
      <c r="B38" s="7"/>
      <c r="C38" s="7"/>
      <c r="D38" s="8"/>
      <c r="E38" s="8"/>
      <c r="F38" s="8"/>
      <c r="G38" s="8"/>
      <c r="H38" s="9"/>
      <c r="I38" s="7"/>
      <c r="J38" s="7"/>
      <c r="K38" s="7"/>
      <c r="L38" s="7"/>
      <c r="M38" s="9"/>
      <c r="N38" s="7"/>
    </row>
    <row r="39" spans="1:14">
      <c r="A39" s="7"/>
      <c r="B39" s="7"/>
      <c r="C39" s="7"/>
      <c r="D39" s="8"/>
      <c r="E39" s="8"/>
      <c r="F39" s="8"/>
      <c r="G39" s="8"/>
      <c r="H39" s="9"/>
      <c r="I39" s="7"/>
      <c r="J39" s="7"/>
      <c r="K39" s="7"/>
      <c r="L39" s="7"/>
      <c r="M39" s="9"/>
      <c r="N39" s="7"/>
    </row>
    <row r="40" spans="1:14">
      <c r="A40" s="7"/>
      <c r="B40" s="7"/>
      <c r="C40" s="7"/>
      <c r="D40" s="8"/>
      <c r="E40" s="8"/>
      <c r="F40" s="8"/>
      <c r="G40" s="8"/>
      <c r="H40" s="9"/>
      <c r="I40" s="7"/>
      <c r="J40" s="7"/>
      <c r="K40" s="7"/>
      <c r="L40" s="7"/>
      <c r="M40" s="9"/>
      <c r="N40" s="7"/>
    </row>
    <row r="41" spans="1:14">
      <c r="A41" s="7"/>
      <c r="B41" s="7"/>
      <c r="C41" s="7"/>
      <c r="D41" s="8"/>
      <c r="E41" s="8"/>
      <c r="F41" s="8"/>
      <c r="G41" s="8"/>
      <c r="H41" s="9"/>
      <c r="I41" s="7"/>
      <c r="J41" s="7"/>
      <c r="K41" s="7"/>
      <c r="L41" s="7"/>
      <c r="M41" s="9"/>
      <c r="N41" s="7"/>
    </row>
    <row r="42" spans="1:14">
      <c r="A42" s="7"/>
      <c r="B42" s="7"/>
      <c r="C42" s="7"/>
      <c r="D42" s="8"/>
      <c r="E42" s="8"/>
      <c r="F42" s="8"/>
      <c r="G42" s="8"/>
      <c r="H42" s="9"/>
      <c r="I42" s="7"/>
      <c r="J42" s="7"/>
      <c r="K42" s="7"/>
      <c r="L42" s="7"/>
      <c r="M42" s="9"/>
      <c r="N42" s="7"/>
    </row>
    <row r="43" spans="1:14">
      <c r="A43" s="7"/>
      <c r="B43" s="7"/>
      <c r="C43" s="7"/>
      <c r="D43" s="8"/>
      <c r="E43" s="8"/>
      <c r="F43" s="8"/>
      <c r="G43" s="8"/>
      <c r="H43" s="9"/>
      <c r="I43" s="7"/>
      <c r="J43" s="7"/>
      <c r="K43" s="7"/>
      <c r="L43" s="7"/>
      <c r="M43" s="9"/>
      <c r="N43" s="7"/>
    </row>
    <row r="44" spans="1:14">
      <c r="A44" s="7"/>
      <c r="B44" s="7"/>
      <c r="C44" s="7"/>
      <c r="D44" s="8"/>
      <c r="E44" s="8"/>
      <c r="F44" s="8"/>
      <c r="G44" s="8"/>
      <c r="H44" s="9"/>
      <c r="I44" s="7"/>
      <c r="J44" s="7"/>
      <c r="K44" s="7"/>
      <c r="L44" s="7"/>
      <c r="M44" s="9"/>
      <c r="N44" s="7"/>
    </row>
    <row r="45" spans="1:14">
      <c r="A45" s="7"/>
      <c r="B45" s="7"/>
      <c r="C45" s="7"/>
      <c r="D45" s="8"/>
      <c r="E45" s="8"/>
      <c r="F45" s="8"/>
      <c r="G45" s="8"/>
      <c r="H45" s="9"/>
      <c r="I45" s="7"/>
      <c r="J45" s="7"/>
      <c r="K45" s="7"/>
      <c r="L45" s="7"/>
      <c r="M45" s="9"/>
      <c r="N45" s="7"/>
    </row>
    <row r="46" spans="1:14">
      <c r="A46" s="7"/>
      <c r="B46" s="7"/>
      <c r="C46" s="7"/>
      <c r="D46" s="8"/>
      <c r="E46" s="8"/>
      <c r="F46" s="8"/>
      <c r="G46" s="8"/>
      <c r="H46" s="9"/>
      <c r="I46" s="7"/>
      <c r="J46" s="7"/>
      <c r="K46" s="7"/>
      <c r="L46" s="7"/>
      <c r="M46" s="9"/>
      <c r="N46" s="7"/>
    </row>
    <row r="47" spans="1:14">
      <c r="A47" s="7"/>
      <c r="B47" s="7"/>
      <c r="C47" s="7"/>
      <c r="D47" s="8"/>
      <c r="E47" s="8"/>
      <c r="F47" s="8"/>
      <c r="G47" s="8"/>
      <c r="H47" s="9"/>
      <c r="I47" s="7"/>
      <c r="J47" s="7"/>
      <c r="K47" s="7"/>
      <c r="L47" s="7"/>
      <c r="M47" s="9"/>
      <c r="N47" s="7"/>
    </row>
    <row r="48" spans="1:14">
      <c r="A48" s="7"/>
      <c r="B48" s="7"/>
      <c r="C48" s="7"/>
      <c r="D48" s="8"/>
      <c r="E48" s="8"/>
      <c r="F48" s="8"/>
      <c r="G48" s="8"/>
      <c r="H48" s="9"/>
      <c r="I48" s="7"/>
      <c r="J48" s="7"/>
      <c r="K48" s="7"/>
      <c r="L48" s="7"/>
      <c r="M48" s="9"/>
      <c r="N48" s="7"/>
    </row>
    <row r="49" spans="1:14">
      <c r="A49" s="7"/>
      <c r="B49" s="7"/>
      <c r="C49" s="7"/>
      <c r="D49" s="8"/>
      <c r="E49" s="8"/>
      <c r="F49" s="8"/>
      <c r="G49" s="8"/>
      <c r="H49" s="9"/>
      <c r="I49" s="7"/>
      <c r="J49" s="7"/>
      <c r="K49" s="7"/>
      <c r="L49" s="7"/>
      <c r="M49" s="9"/>
      <c r="N49" s="7"/>
    </row>
    <row r="50" spans="1:14">
      <c r="A50" s="7"/>
      <c r="B50" s="7"/>
      <c r="C50" s="7"/>
      <c r="D50" s="8"/>
      <c r="E50" s="8"/>
      <c r="F50" s="8"/>
      <c r="G50" s="8"/>
      <c r="H50" s="9"/>
      <c r="I50" s="7"/>
      <c r="J50" s="7"/>
      <c r="K50" s="7"/>
      <c r="L50" s="7"/>
      <c r="M50" s="9"/>
      <c r="N50" s="7"/>
    </row>
    <row r="51" spans="1:14">
      <c r="A51" s="7"/>
      <c r="B51" s="7"/>
      <c r="C51" s="7"/>
      <c r="D51" s="8"/>
      <c r="E51" s="8"/>
      <c r="F51" s="8"/>
      <c r="G51" s="8"/>
      <c r="H51" s="9"/>
      <c r="I51" s="7"/>
      <c r="J51" s="7"/>
      <c r="K51" s="7"/>
      <c r="L51" s="7"/>
      <c r="M51" s="9"/>
      <c r="N51" s="7"/>
    </row>
    <row r="52" spans="1:14">
      <c r="A52" s="7"/>
      <c r="B52" s="7"/>
      <c r="C52" s="7"/>
      <c r="D52" s="8"/>
      <c r="E52" s="8"/>
      <c r="F52" s="8"/>
      <c r="G52" s="8"/>
      <c r="H52" s="9"/>
      <c r="I52" s="7"/>
      <c r="J52" s="7"/>
      <c r="K52" s="7"/>
      <c r="L52" s="7"/>
      <c r="M52" s="9"/>
      <c r="N52" s="7"/>
    </row>
    <row r="53" spans="1:14">
      <c r="A53" s="7"/>
      <c r="B53" s="7"/>
      <c r="C53" s="7"/>
      <c r="D53" s="8"/>
      <c r="E53" s="8"/>
      <c r="F53" s="8"/>
      <c r="G53" s="8"/>
      <c r="H53" s="9"/>
      <c r="I53" s="7"/>
      <c r="J53" s="7"/>
      <c r="K53" s="7"/>
      <c r="L53" s="7"/>
      <c r="M53" s="9"/>
      <c r="N53" s="7"/>
    </row>
    <row r="54" spans="1:14">
      <c r="A54" s="7"/>
      <c r="B54" s="7"/>
      <c r="C54" s="7"/>
      <c r="D54" s="8"/>
      <c r="E54" s="8"/>
      <c r="F54" s="8"/>
      <c r="G54" s="8"/>
      <c r="H54" s="9"/>
      <c r="I54" s="7"/>
      <c r="J54" s="7"/>
      <c r="K54" s="7"/>
      <c r="L54" s="7"/>
      <c r="M54" s="9"/>
      <c r="N54" s="7"/>
    </row>
  </sheetData>
  <dataValidations count="1">
    <dataValidation type="list" sqref="I5:I54">
      <formula1>"待升级,处理中,已决策,已关闭,已撤销"</formula1>
    </dataValidation>
  </dataValidation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A6A6A6"/>
  </sheetPr>
  <dimension ref="A1:B18"/>
  <sheetViews>
    <sheetView showGridLines="0" workbookViewId="0">
      <selection activeCell="A1" sqref="A1"/>
    </sheetView>
  </sheetViews>
  <sheetFormatPr defaultColWidth="9" defaultRowHeight="16.8" outlineLevelCol="1"/>
  <cols>
    <col min="1" max="1" width="32" customWidth="1"/>
    <col min="2" max="2" width="80" customWidth="1"/>
  </cols>
  <sheetData>
    <row r="1" ht="32" customHeight="1" spans="1:2">
      <c r="A1" s="1" t="s">
        <v>428</v>
      </c>
      <c r="B1" s="1" t="s">
        <v>429</v>
      </c>
    </row>
    <row r="2" spans="1:2">
      <c r="A2" s="2" t="s">
        <v>430</v>
      </c>
      <c r="B2" s="2" t="s">
        <v>431</v>
      </c>
    </row>
    <row r="3" spans="1:2">
      <c r="A3" s="2" t="s">
        <v>432</v>
      </c>
      <c r="B3" s="2" t="s">
        <v>3</v>
      </c>
    </row>
    <row r="4" spans="1:2">
      <c r="A4" s="2" t="s">
        <v>433</v>
      </c>
      <c r="B4" s="2" t="s">
        <v>434</v>
      </c>
    </row>
    <row r="5" spans="1:2">
      <c r="A5" s="2" t="s">
        <v>8</v>
      </c>
      <c r="B5" s="3">
        <v>46283</v>
      </c>
    </row>
    <row r="6" spans="1:2">
      <c r="A6" s="2" t="s">
        <v>435</v>
      </c>
      <c r="B6" s="3">
        <v>46283</v>
      </c>
    </row>
    <row r="7" spans="1:2">
      <c r="A7" s="2" t="s">
        <v>436</v>
      </c>
      <c r="B7" s="2">
        <v>8</v>
      </c>
    </row>
    <row r="8" spans="1:2">
      <c r="A8" s="2" t="s">
        <v>437</v>
      </c>
      <c r="B8" s="2">
        <v>10</v>
      </c>
    </row>
    <row r="9" spans="1:2">
      <c r="A9" s="2" t="s">
        <v>438</v>
      </c>
      <c r="B9" s="2">
        <v>4</v>
      </c>
    </row>
    <row r="10" spans="1:2">
      <c r="A10" s="2" t="s">
        <v>439</v>
      </c>
      <c r="B10" s="2">
        <v>7</v>
      </c>
    </row>
    <row r="11" spans="1:2">
      <c r="A11" s="2" t="s">
        <v>440</v>
      </c>
      <c r="B11" s="2">
        <v>0</v>
      </c>
    </row>
    <row r="12" spans="1:2">
      <c r="A12" s="2" t="s">
        <v>441</v>
      </c>
      <c r="B12" s="2" t="s">
        <v>442</v>
      </c>
    </row>
    <row r="13" spans="1:2">
      <c r="A13" s="2" t="s">
        <v>443</v>
      </c>
      <c r="B13" s="2" t="s">
        <v>444</v>
      </c>
    </row>
    <row r="14" spans="1:2">
      <c r="A14" s="2" t="s">
        <v>445</v>
      </c>
      <c r="B14" s="2" t="s">
        <v>446</v>
      </c>
    </row>
    <row r="15" spans="1:2">
      <c r="A15" s="2" t="s">
        <v>447</v>
      </c>
      <c r="B15" s="2" t="s">
        <v>435</v>
      </c>
    </row>
    <row r="16" spans="1:2">
      <c r="A16" s="2" t="s">
        <v>448</v>
      </c>
      <c r="B16" s="2" t="s">
        <v>449</v>
      </c>
    </row>
    <row r="17" spans="1:2">
      <c r="A17" s="2" t="s">
        <v>450</v>
      </c>
      <c r="B17" s="2" t="s">
        <v>451</v>
      </c>
    </row>
    <row r="18" spans="1:2">
      <c r="A18" s="2" t="s">
        <v>452</v>
      </c>
      <c r="B18" s="2" t="s">
        <v>453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使用说明</vt:lpstr>
      <vt:lpstr>沟通总览</vt:lpstr>
      <vt:lpstr>沟通管理计划</vt:lpstr>
      <vt:lpstr>会议计划</vt:lpstr>
      <vt:lpstr>会议纪要</vt:lpstr>
      <vt:lpstr>行动项台账</vt:lpstr>
      <vt:lpstr>决策日志</vt:lpstr>
      <vt:lpstr>报告台账</vt:lpstr>
      <vt:lpstr>相关方沟通记录</vt:lpstr>
      <vt:lpstr>升级事项</vt:lpstr>
      <vt:lpstr>_数据接口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zlyyh</cp:lastModifiedBy>
  <dcterms:created xsi:type="dcterms:W3CDTF">2026-09-23T09:04:03Z</dcterms:created>
  <dcterms:modified xsi:type="dcterms:W3CDTF">2026-09-23T09:08:44Z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045229E6DD683A59F825B36AB77DB47E_42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
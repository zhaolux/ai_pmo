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00" firstSheet="3" activeTab="4"/>
  </bookViews>
  <sheets>
    <sheet name="项目驾驶舱" sheetId="1" r:id="rId1"/>
    <sheet name="项目总控台账" sheetId="2" r:id="rId2"/>
    <sheet name="资源计划" sheetId="3" r:id="rId3"/>
    <sheet name="相关方管理" sheetId="4" r:id="rId4"/>
    <sheet name="风险管理计划" sheetId="5" r:id="rId5"/>
    <sheet name="风险登记册" sheetId="6" r:id="rId6"/>
    <sheet name="风险热力图" sheetId="7" r:id="rId7"/>
    <sheet name="重点风险清单" sheetId="8" r:id="rId8"/>
    <sheet name="重大风险应对" sheetId="9" r:id="rId9"/>
    <sheet name="风险应对计划" sheetId="10" r:id="rId10"/>
    <sheet name="里程碑计划" sheetId="11" r:id="rId11"/>
    <sheet name="周迭代计划" sheetId="12" r:id="rId12"/>
    <sheet name="集成管理" sheetId="13" r:id="rId13"/>
    <sheet name="风险问题台账" sheetId="14" r:id="rId14"/>
    <sheet name="变更台账" sheetId="15" r:id="rId15"/>
    <sheet name="交付物台账" sheetId="16" r:id="rId16"/>
    <sheet name="会议行动项" sheetId="17" r:id="rId17"/>
    <sheet name="使用说明" sheetId="18" r:id="rId18"/>
    <sheet name="AI项目诊断" sheetId="19" r:id="rId19"/>
    <sheet name="数据质量检查" sheetId="20" r:id="rId20"/>
    <sheet name="待决策事项" sheetId="21" r:id="rId21"/>
    <sheet name="两周督办" sheetId="22" r:id="rId22"/>
    <sheet name="PMO周报" sheetId="23" r:id="rId23"/>
    <sheet name="AI运行日志" sheetId="24" r:id="rId24"/>
  </sheets>
  <definedNames>
    <definedName name="_xlnm._FilterDatabase" localSheetId="1" hidden="1">项目总控台账!$A$3:$AE$148</definedName>
    <definedName name="_xlnm._FilterDatabase" localSheetId="3" hidden="1">相关方管理!$A$8:$AC$108</definedName>
    <definedName name="_xlnm._FilterDatabase" localSheetId="5" hidden="1">风险登记册!$A$8:$AQ$108</definedName>
    <definedName name="_xlnm._FilterDatabase" localSheetId="7" hidden="1">重点风险清单!$A$4:$N$34</definedName>
    <definedName name="_xlnm._FilterDatabase" localSheetId="8" hidden="1">重大风险应对!$A$4:$Y$24</definedName>
    <definedName name="_xlnm._FilterDatabase" localSheetId="9" hidden="1">风险应对计划!$A$4:$T$104</definedName>
    <definedName name="_xlnm._FilterDatabase" localSheetId="11" hidden="1">周迭代计划!$A$30:$N$610</definedName>
    <definedName name="_xlnm._FilterDatabase" localSheetId="19" hidden="1">数据质量检查!$A$4:$J$149</definedName>
    <definedName name="_xlnm._FilterDatabase" localSheetId="20" hidden="1">待决策事项!$A$4:$M$54</definedName>
    <definedName name="_xlnm._FilterDatabase" localSheetId="21" hidden="1">两周督办!$A$4:$M$149</definedName>
    <definedName name="_xlnm._FilterDatabase" localSheetId="23" hidden="1">AI运行日志!$A$4:$L$104</definedName>
    <definedName name="_xlnm.Print_Titles" localSheetId="2">资源计划!$1:$4</definedName>
    <definedName name="_xlnm.Print_Titles" localSheetId="3">相关方管理!$1:$8</definedName>
    <definedName name="_xlnm.Print_Titles" localSheetId="5">风险登记册!$1:$8</definedName>
    <definedName name="_xlnm.Print_Titles" localSheetId="7">重点风险清单!$1:$4</definedName>
    <definedName name="_xlnm.Print_Titles" localSheetId="8">重大风险应对!$1:$4</definedName>
    <definedName name="_xlnm.Print_Titles" localSheetId="9">风险应对计划!$1:$4</definedName>
    <definedName name="_xlnm.Print_Titles" localSheetId="11">周迭代计划!$29:$30</definedName>
    <definedName name="_xlnm.Print_Area" localSheetId="11">周迭代计划!$A$1:$N$610</definedName>
    <definedName name="_xlnm.Print_Titles" localSheetId="18">AI项目诊断!$1:$4</definedName>
    <definedName name="_xlnm.Print_Titles" localSheetId="19">数据质量检查!$1:$4</definedName>
    <definedName name="_xlnm.Print_Titles" localSheetId="20">待决策事项!$1:$4</definedName>
    <definedName name="_xlnm.Print_Titles" localSheetId="21">两周督办!$1:$4</definedName>
    <definedName name="_xlnm.Print_Titles" localSheetId="22">PMO周报!$1:$4</definedName>
    <definedName name="_xlnm.Print_Titles" localSheetId="23">AI运行日志!$1:$4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<sst xmlns="http://schemas.openxmlformats.org/spreadsheetml/2006/main" count="9460" uniqueCount="1677">
  <si>
    <t>华能交易中心港口交易平台｜项目管理驾驶舱</t>
  </si>
  <si>
    <t>统计日期</t>
  </si>
  <si>
    <t>总任务数</t>
  </si>
  <si>
    <t>已完成</t>
  </si>
  <si>
    <t>进行中</t>
  </si>
  <si>
    <t>未开始</t>
  </si>
  <si>
    <t>暂停</t>
  </si>
  <si>
    <t>平均进度</t>
  </si>
  <si>
    <t>已延期</t>
  </si>
  <si>
    <t>临近到期</t>
  </si>
  <si>
    <t>高风险</t>
  </si>
  <si>
    <t>未关闭问题</t>
  </si>
  <si>
    <t>待决变更</t>
  </si>
  <si>
    <t>里程碑达成</t>
  </si>
  <si>
    <t>集成完成</t>
  </si>
  <si>
    <t>交付物完成</t>
  </si>
  <si>
    <t>综合进度</t>
  </si>
  <si>
    <t>任务完成率</t>
  </si>
  <si>
    <t>计划投入人天</t>
  </si>
  <si>
    <t>计划人工成本</t>
  </si>
  <si>
    <t>人日单价</t>
  </si>
  <si>
    <t>状态</t>
  </si>
  <si>
    <t>任务数</t>
  </si>
  <si>
    <t>批次</t>
  </si>
  <si>
    <t>完成率</t>
  </si>
  <si>
    <t>第一批次</t>
  </si>
  <si>
    <t>第二批次</t>
  </si>
  <si>
    <t>其他</t>
  </si>
  <si>
    <t>管理关注点</t>
  </si>
  <si>
    <t>相关方管理</t>
  </si>
  <si>
    <t>重点管理：</t>
  </si>
  <si>
    <t>当前不支持：</t>
  </si>
  <si>
    <t>沟通逾期：</t>
  </si>
  <si>
    <t>待升级事项：</t>
  </si>
  <si>
    <t>风险管理</t>
  </si>
  <si>
    <t>重大剩余风险</t>
  </si>
  <si>
    <t>高剩余风险</t>
  </si>
  <si>
    <t>应对逾期</t>
  </si>
  <si>
    <t>趋势上升</t>
  </si>
  <si>
    <t>华能交易中心港口交易平台｜项目总控台账</t>
  </si>
  <si>
    <t>蓝色字段来自原开发计划；黄色字段为管理补充项；进度与延期由公式自动计算。</t>
  </si>
  <si>
    <t>任务ID</t>
  </si>
  <si>
    <t>一级功能</t>
  </si>
  <si>
    <t>二级功能</t>
  </si>
  <si>
    <t>三级功能</t>
  </si>
  <si>
    <t>四级功能</t>
  </si>
  <si>
    <t>总体状态</t>
  </si>
  <si>
    <t>主责人</t>
  </si>
  <si>
    <t>计划开始</t>
  </si>
  <si>
    <t>计划完成</t>
  </si>
  <si>
    <t>计划上线</t>
  </si>
  <si>
    <t>业务负责人</t>
  </si>
  <si>
    <t>业务状态</t>
  </si>
  <si>
    <t>业务开始</t>
  </si>
  <si>
    <t>业务结束</t>
  </si>
  <si>
    <t>后端负责人</t>
  </si>
  <si>
    <t>后端状态</t>
  </si>
  <si>
    <t>后端开始</t>
  </si>
  <si>
    <t>后端结束</t>
  </si>
  <si>
    <t>前端负责人</t>
  </si>
  <si>
    <t>前端状态</t>
  </si>
  <si>
    <t>前端开始</t>
  </si>
  <si>
    <t>前端结束</t>
  </si>
  <si>
    <t>测试负责人</t>
  </si>
  <si>
    <t>测试状态</t>
  </si>
  <si>
    <t>测试开始</t>
  </si>
  <si>
    <t>测试结束</t>
  </si>
  <si>
    <t>延期状态</t>
  </si>
  <si>
    <t>当前问题/阻塞</t>
  </si>
  <si>
    <t>备注</t>
  </si>
  <si>
    <t>T001</t>
  </si>
  <si>
    <t>基础数据</t>
  </si>
  <si>
    <t>车辆信息维护</t>
  </si>
  <si>
    <t>新增车辆信息</t>
  </si>
  <si>
    <t>/</t>
  </si>
  <si>
    <t>郑士旺</t>
  </si>
  <si>
    <t>石军磊、刘凯</t>
  </si>
  <si>
    <t>贺航</t>
  </si>
  <si>
    <t>袁丽荣</t>
  </si>
  <si>
    <t>69</t>
  </si>
  <si>
    <t>T002</t>
  </si>
  <si>
    <t>修改车辆信息</t>
  </si>
  <si>
    <t>T003</t>
  </si>
  <si>
    <t>删除车辆信息</t>
  </si>
  <si>
    <t>T004</t>
  </si>
  <si>
    <t>查询展示车辆信息</t>
  </si>
  <si>
    <t>T005</t>
  </si>
  <si>
    <t>船舶信息维护</t>
  </si>
  <si>
    <t>船舶唯一性校验</t>
  </si>
  <si>
    <t>T006</t>
  </si>
  <si>
    <t>收费标准信息维护</t>
  </si>
  <si>
    <t>优化收费标准（装卸费）新增</t>
  </si>
  <si>
    <t>T007</t>
  </si>
  <si>
    <t>优化收费标准（装卸费）编辑</t>
  </si>
  <si>
    <t>T008</t>
  </si>
  <si>
    <t>优化收费标准（装卸费）详情</t>
  </si>
  <si>
    <t>T009</t>
  </si>
  <si>
    <t>采样方式信息维护</t>
  </si>
  <si>
    <t>优化采样方式新增</t>
  </si>
  <si>
    <t>T010</t>
  </si>
  <si>
    <t>优化采样方式编辑</t>
  </si>
  <si>
    <t>T011</t>
  </si>
  <si>
    <t>网上营业厅</t>
  </si>
  <si>
    <t>交易中心报单信息展示及应单入口</t>
  </si>
  <si>
    <t>获取报单数据及展示</t>
  </si>
  <si>
    <t>T012</t>
  </si>
  <si>
    <t>应单入口</t>
  </si>
  <si>
    <t>T013</t>
  </si>
  <si>
    <t>结算条款管理</t>
  </si>
  <si>
    <t>新增结算条款</t>
  </si>
  <si>
    <t>T014</t>
  </si>
  <si>
    <t>结算条款审批</t>
  </si>
  <si>
    <t>T015</t>
  </si>
  <si>
    <t>修改结算条款</t>
  </si>
  <si>
    <t>T016</t>
  </si>
  <si>
    <t>删除结算条款</t>
  </si>
  <si>
    <t>T017</t>
  </si>
  <si>
    <t>查询展示结算条款</t>
  </si>
  <si>
    <t>T018</t>
  </si>
  <si>
    <t>结算条款推送法务系统</t>
  </si>
  <si>
    <t>T019</t>
  </si>
  <si>
    <t>卸船作业</t>
  </si>
  <si>
    <t>卸船计划</t>
  </si>
  <si>
    <t>对接卸船计划</t>
  </si>
  <si>
    <t>T020</t>
  </si>
  <si>
    <t>查询卸车计划</t>
  </si>
  <si>
    <t>T021</t>
  </si>
  <si>
    <t>外部客户确认</t>
  </si>
  <si>
    <t>T022</t>
  </si>
  <si>
    <t>卸船作业信息管理</t>
  </si>
  <si>
    <t>对接卸船作业信息</t>
  </si>
  <si>
    <t>T023</t>
  </si>
  <si>
    <t>查询卸船作业信息</t>
  </si>
  <si>
    <t>T024</t>
  </si>
  <si>
    <t>卸船查询</t>
  </si>
  <si>
    <t>卸船查询列表</t>
  </si>
  <si>
    <t>T025</t>
  </si>
  <si>
    <t>卸船查询详情</t>
  </si>
  <si>
    <t>T026</t>
  </si>
  <si>
    <t>卸船作业委托</t>
  </si>
  <si>
    <t>创建卸船作业委托信息</t>
  </si>
  <si>
    <t>T027</t>
  </si>
  <si>
    <t>修改卸船作业委托信息</t>
  </si>
  <si>
    <t>T028</t>
  </si>
  <si>
    <t>作废卸船作业委托信息</t>
  </si>
  <si>
    <t>T029</t>
  </si>
  <si>
    <t>推送卸船作业委托信息</t>
  </si>
  <si>
    <t>T030</t>
  </si>
  <si>
    <t>查询卸船作业委托信息</t>
  </si>
  <si>
    <t>T031</t>
  </si>
  <si>
    <t>外轮转内贸业务</t>
  </si>
  <si>
    <t>创建外轮转内贸业务信息</t>
  </si>
  <si>
    <t>常浩</t>
  </si>
  <si>
    <t>T032</t>
  </si>
  <si>
    <t>作废外轮转内贸业务信息</t>
  </si>
  <si>
    <t>T033</t>
  </si>
  <si>
    <t>查询外轮转内贸业务信息</t>
  </si>
  <si>
    <t>T034</t>
  </si>
  <si>
    <t>船舶靠泊通知单</t>
  </si>
  <si>
    <t>新增船舶靠泊通知单</t>
  </si>
  <si>
    <t>T035</t>
  </si>
  <si>
    <t>审批船舶靠泊通知单</t>
  </si>
  <si>
    <t>T036</t>
  </si>
  <si>
    <t>查询船舶靠泊通知单</t>
  </si>
  <si>
    <t>T037</t>
  </si>
  <si>
    <t>卸车流程跟踪</t>
  </si>
  <si>
    <t>创建卸车流程</t>
  </si>
  <si>
    <t>T038</t>
  </si>
  <si>
    <t>查询卸车流程</t>
  </si>
  <si>
    <t>T039</t>
  </si>
  <si>
    <t>修改卸车流程</t>
  </si>
  <si>
    <t>T040</t>
  </si>
  <si>
    <t>装船流程跟踪</t>
  </si>
  <si>
    <t>创建装船流程</t>
  </si>
  <si>
    <t>T041</t>
  </si>
  <si>
    <t>查询装船流程</t>
  </si>
  <si>
    <t>T042</t>
  </si>
  <si>
    <t>修改装船流程</t>
  </si>
  <si>
    <t>T043</t>
  </si>
  <si>
    <t>卸船流程跟踪</t>
  </si>
  <si>
    <t>创建卸船流程</t>
  </si>
  <si>
    <t>T044</t>
  </si>
  <si>
    <t>查询卸船流程</t>
  </si>
  <si>
    <t>T045</t>
  </si>
  <si>
    <t>修改卸船流程</t>
  </si>
  <si>
    <t>T046</t>
  </si>
  <si>
    <t>船舶预到（外贸）</t>
  </si>
  <si>
    <t>新增船舶预到（外贸）</t>
  </si>
  <si>
    <t>T047</t>
  </si>
  <si>
    <t>退回船舶预到（外贸）</t>
  </si>
  <si>
    <t>T048</t>
  </si>
  <si>
    <t>船舶预到（内贸）</t>
  </si>
  <si>
    <t>T049</t>
  </si>
  <si>
    <t>采样申请（外贸）</t>
  </si>
  <si>
    <t>申请采样申请（外贸）</t>
  </si>
  <si>
    <t>T050</t>
  </si>
  <si>
    <t>船舶轨迹跟踪</t>
  </si>
  <si>
    <t>维护需跟踪船舶清单</t>
  </si>
  <si>
    <t>T051</t>
  </si>
  <si>
    <t>根据船舶清单更新第三方系统推送数据船舶清单</t>
  </si>
  <si>
    <t>T052</t>
  </si>
  <si>
    <t>T053</t>
  </si>
  <si>
    <t>协同视览</t>
  </si>
  <si>
    <t>接入港口侧视频监控</t>
  </si>
  <si>
    <t>T054</t>
  </si>
  <si>
    <t>视频查看权限申请</t>
  </si>
  <si>
    <t>T055</t>
  </si>
  <si>
    <t>视频查看权限审批</t>
  </si>
  <si>
    <t>T056</t>
  </si>
  <si>
    <t>视频查看权限有效期控制</t>
  </si>
  <si>
    <t>T057</t>
  </si>
  <si>
    <t>外网PC端视频监控查询</t>
  </si>
  <si>
    <t>T058</t>
  </si>
  <si>
    <t>装船计划编制及推送</t>
  </si>
  <si>
    <t>OCR识别及编辑</t>
  </si>
  <si>
    <t>T059</t>
  </si>
  <si>
    <t>优化装车作业信息录入</t>
  </si>
  <si>
    <t>优化新增装车作业信息</t>
  </si>
  <si>
    <t>T060</t>
  </si>
  <si>
    <t>货权跟踪</t>
  </si>
  <si>
    <t>货权录入</t>
  </si>
  <si>
    <t>T061</t>
  </si>
  <si>
    <t>货权修改</t>
  </si>
  <si>
    <t>T062</t>
  </si>
  <si>
    <t>获取查询</t>
  </si>
  <si>
    <t>T063</t>
  </si>
  <si>
    <t>货权提醒</t>
  </si>
  <si>
    <t>卸船作业货权跟踪</t>
  </si>
  <si>
    <t>T064</t>
  </si>
  <si>
    <t>T065</t>
  </si>
  <si>
    <t>装船作业货权跟踪</t>
  </si>
  <si>
    <t>T066</t>
  </si>
  <si>
    <t>T067</t>
  </si>
  <si>
    <t>T068</t>
  </si>
  <si>
    <t>T069</t>
  </si>
  <si>
    <t>卸船作业信息录入优化（太仓）</t>
  </si>
  <si>
    <t>新增、详情、修改页内容调整</t>
  </si>
  <si>
    <t>T070</t>
  </si>
  <si>
    <t>生成报告</t>
  </si>
  <si>
    <t>T071</t>
  </si>
  <si>
    <t>装船作业信息录入优化（太仓）</t>
  </si>
  <si>
    <t>T072</t>
  </si>
  <si>
    <t>船舶预到优化（太仓）</t>
  </si>
  <si>
    <t>OCR识别</t>
  </si>
  <si>
    <t>T073</t>
  </si>
  <si>
    <t>采样作业信息录入</t>
  </si>
  <si>
    <t>采样作业信息录入新增</t>
  </si>
  <si>
    <t>T074</t>
  </si>
  <si>
    <t>采样作业信息录入编辑</t>
  </si>
  <si>
    <t>T075</t>
  </si>
  <si>
    <t>采样作业信息录入详情</t>
  </si>
  <si>
    <t>T076</t>
  </si>
  <si>
    <t>采样作业信息录入删除</t>
  </si>
  <si>
    <t>T077</t>
  </si>
  <si>
    <t>采样作业信息录入列表</t>
  </si>
  <si>
    <t>T078</t>
  </si>
  <si>
    <t>费用结算</t>
  </si>
  <si>
    <t>费用合同签订校验</t>
  </si>
  <si>
    <t>业务数据合同签订校验</t>
  </si>
  <si>
    <t>T079</t>
  </si>
  <si>
    <t>结算数据合同签订校验</t>
  </si>
  <si>
    <t>T080</t>
  </si>
  <si>
    <t>合同校验结果查询</t>
  </si>
  <si>
    <t>T081</t>
  </si>
  <si>
    <t>停泊费（外贸）</t>
  </si>
  <si>
    <t>数据对接</t>
  </si>
  <si>
    <t>T082</t>
  </si>
  <si>
    <t>数据展示</t>
  </si>
  <si>
    <t>T083</t>
  </si>
  <si>
    <t>锚泊费（外贸）</t>
  </si>
  <si>
    <t>T084</t>
  </si>
  <si>
    <t>数据产生</t>
  </si>
  <si>
    <t>T085</t>
  </si>
  <si>
    <t>堆存费（外贸）</t>
  </si>
  <si>
    <t>T086</t>
  </si>
  <si>
    <t>T087</t>
  </si>
  <si>
    <t>卸船费（外贸）</t>
  </si>
  <si>
    <t>T088</t>
  </si>
  <si>
    <t>T089</t>
  </si>
  <si>
    <t>采样服务费（外贸）</t>
  </si>
  <si>
    <t>新增采样服务费（外贸）</t>
  </si>
  <si>
    <t>T090</t>
  </si>
  <si>
    <t>审批采样服务费（外贸）</t>
  </si>
  <si>
    <t>T091</t>
  </si>
  <si>
    <t>单据签章</t>
  </si>
  <si>
    <t>T092</t>
  </si>
  <si>
    <t>数据推送</t>
  </si>
  <si>
    <t>T093</t>
  </si>
  <si>
    <t>船舶供应服务费（外贸）</t>
  </si>
  <si>
    <t>T094</t>
  </si>
  <si>
    <t>T095</t>
  </si>
  <si>
    <t>堆存费优化（太仓）</t>
  </si>
  <si>
    <t>自动生成堆存费</t>
  </si>
  <si>
    <t>T096</t>
  </si>
  <si>
    <t>港杂费优化(太仓）</t>
  </si>
  <si>
    <t>自动生成装船港杂费</t>
  </si>
  <si>
    <t>T097</t>
  </si>
  <si>
    <t>租赁费优化（太仓）</t>
  </si>
  <si>
    <t>自动生成租赁费</t>
  </si>
  <si>
    <t>T098</t>
  </si>
  <si>
    <t>装卸费优化（太仓）</t>
  </si>
  <si>
    <t>优化装卸费新增</t>
  </si>
  <si>
    <t>T099</t>
  </si>
  <si>
    <t>优化装卸费编辑</t>
  </si>
  <si>
    <t>T100</t>
  </si>
  <si>
    <t>资讯公告</t>
  </si>
  <si>
    <t>行业资讯</t>
  </si>
  <si>
    <t>创建行业资讯数据</t>
  </si>
  <si>
    <t>T101</t>
  </si>
  <si>
    <t>修改行业资讯数据</t>
  </si>
  <si>
    <t>T102</t>
  </si>
  <si>
    <t>删除行业资讯数据</t>
  </si>
  <si>
    <t>T103</t>
  </si>
  <si>
    <t>展示行业资讯数据</t>
  </si>
  <si>
    <t>T104</t>
  </si>
  <si>
    <t>统计分析</t>
  </si>
  <si>
    <t>吞吐量统计（曹妃甸）</t>
  </si>
  <si>
    <t>T105</t>
  </si>
  <si>
    <t>泊位占用率分析（曹妃甸）</t>
  </si>
  <si>
    <t>T106</t>
  </si>
  <si>
    <t>堆存库存统计（曹妃甸）</t>
  </si>
  <si>
    <t>T107</t>
  </si>
  <si>
    <t>分货主实时统计表（曹妃甸）</t>
  </si>
  <si>
    <t>T108</t>
  </si>
  <si>
    <t>综合装船效率分析（曹妃甸）</t>
  </si>
  <si>
    <t>T109</t>
  </si>
  <si>
    <t>综合卸车效率分析（曹妃甸）</t>
  </si>
  <si>
    <t>T110</t>
  </si>
  <si>
    <t>综合卸船效率分析（曹妃甸）</t>
  </si>
  <si>
    <t>T111</t>
  </si>
  <si>
    <t>吞吐量统计（太仓）</t>
  </si>
  <si>
    <t>T112</t>
  </si>
  <si>
    <t>泊位占用率分析（太仓）</t>
  </si>
  <si>
    <t>T113</t>
  </si>
  <si>
    <t>堆存库存统计（太仓）</t>
  </si>
  <si>
    <t>T114</t>
  </si>
  <si>
    <t>分货主实时统计表（太仓）</t>
  </si>
  <si>
    <t>T115</t>
  </si>
  <si>
    <t>综合卸船效率分析（太仓）</t>
  </si>
  <si>
    <t>T116</t>
  </si>
  <si>
    <t>堆垛雨布苫盖情况表（太仓）</t>
  </si>
  <si>
    <t>T117</t>
  </si>
  <si>
    <t>自动报告</t>
  </si>
  <si>
    <t>经营任务情况分析报告</t>
  </si>
  <si>
    <t>T118</t>
  </si>
  <si>
    <t>客户月报报告</t>
  </si>
  <si>
    <t>T119</t>
  </si>
  <si>
    <t>月度客户情况报告</t>
  </si>
  <si>
    <t>T120</t>
  </si>
  <si>
    <t>商务计划周报</t>
  </si>
  <si>
    <t>T121</t>
  </si>
  <si>
    <t>移动端</t>
  </si>
  <si>
    <t>APP</t>
  </si>
  <si>
    <t>船舶供应服务查询</t>
  </si>
  <si>
    <t>T122</t>
  </si>
  <si>
    <t>船舶预到（内贸）查询</t>
  </si>
  <si>
    <t>T123</t>
  </si>
  <si>
    <t>台账查询</t>
  </si>
  <si>
    <t>T124</t>
  </si>
  <si>
    <t>停泊费（内贸）查询</t>
  </si>
  <si>
    <t>T125</t>
  </si>
  <si>
    <t>船舶供应服务费（内贸）查询</t>
  </si>
  <si>
    <t>T126</t>
  </si>
  <si>
    <t>停泊费（外贸）查询</t>
  </si>
  <si>
    <t>T127</t>
  </si>
  <si>
    <t>锚泊费（外贸）查询</t>
  </si>
  <si>
    <t>T128</t>
  </si>
  <si>
    <t>堆存费（外贸）查询</t>
  </si>
  <si>
    <t>T129</t>
  </si>
  <si>
    <t>卸船费（外贸）查询</t>
  </si>
  <si>
    <t>T130</t>
  </si>
  <si>
    <t>采样服务费（外贸）查询</t>
  </si>
  <si>
    <t>T131</t>
  </si>
  <si>
    <t>船舶供应服务费（外贸）查询</t>
  </si>
  <si>
    <t>T132</t>
  </si>
  <si>
    <t>T133</t>
  </si>
  <si>
    <t>T134</t>
  </si>
  <si>
    <t>卸船计划查询</t>
  </si>
  <si>
    <t>T135</t>
  </si>
  <si>
    <t>T136</t>
  </si>
  <si>
    <t>T137</t>
  </si>
  <si>
    <t>外轮转内贸业务查询</t>
  </si>
  <si>
    <t>T138</t>
  </si>
  <si>
    <t>T139</t>
  </si>
  <si>
    <t>T140</t>
  </si>
  <si>
    <t>T141</t>
  </si>
  <si>
    <t>视频监控查询</t>
  </si>
  <si>
    <t>T142</t>
  </si>
  <si>
    <t>iHN+</t>
  </si>
  <si>
    <t>T143</t>
  </si>
  <si>
    <t>图片上传</t>
  </si>
  <si>
    <t>T144</t>
  </si>
  <si>
    <t>T145</t>
  </si>
  <si>
    <t>资源计划</t>
  </si>
  <si>
    <t>汇总业务、后端、前端和测试任务分配。黄色区域用于填写可用工时、任务投入工时和资源调整说明。</t>
  </si>
  <si>
    <t>人员</t>
  </si>
  <si>
    <t>角色</t>
  </si>
  <si>
    <t>未完成任务</t>
  </si>
  <si>
    <t>最早开始</t>
  </si>
  <si>
    <t>最晚结束</t>
  </si>
  <si>
    <t>周可用工时</t>
  </si>
  <si>
    <t>计划投入工时</t>
  </si>
  <si>
    <t>负荷率</t>
  </si>
  <si>
    <t>负荷判断</t>
  </si>
  <si>
    <t>资源建议</t>
  </si>
  <si>
    <t>刘凯</t>
  </si>
  <si>
    <t>后端</t>
  </si>
  <si>
    <t>高负荷</t>
  </si>
  <si>
    <t>确认优先级并预留缓冲</t>
  </si>
  <si>
    <t>全栈、后端</t>
  </si>
  <si>
    <t>石军磊</t>
  </si>
  <si>
    <t>测试</t>
  </si>
  <si>
    <t>正常</t>
  </si>
  <si>
    <t>按计划跟踪</t>
  </si>
  <si>
    <t>前端</t>
  </si>
  <si>
    <t>业务</t>
  </si>
  <si>
    <t>资源周计划</t>
  </si>
  <si>
    <t>任务名称、状态和日期直接引用总控台账；新增任务或调整责任人后，重新执行V2更新以扩展明细行。</t>
  </si>
  <si>
    <t>周开始</t>
  </si>
  <si>
    <t>周结束</t>
  </si>
  <si>
    <t>是否有任务</t>
  </si>
  <si>
    <t>周计划工时</t>
  </si>
  <si>
    <t>任务清单</t>
  </si>
  <si>
    <t>有</t>
  </si>
  <si>
    <t>T058 OCR识别及编辑；T069 新增、详情、修改页内容调整；T070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</si>
  <si>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</si>
  <si>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</si>
  <si>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</si>
  <si>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</si>
  <si>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</si>
  <si>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</si>
  <si>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</si>
  <si>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</si>
  <si>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</si>
  <si>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T018 结算条款推送法务系统；T053 接入港口侧视频监控；T054 视频查看权限申请；T055 视频查看权限审批；T056 视频查看权限有效期控制；T057 外网PC端视频监控查询；T141 视频监控查询</t>
  </si>
  <si>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</si>
  <si>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无</t>
  </si>
  <si>
    <t>无任务</t>
  </si>
  <si>
    <t/>
  </si>
  <si>
    <t>T050 维护需跟踪船舶清单；T051 根据船舶清单更新第三方系统推送数据船舶清单；T052 船舶轨迹跟踪</t>
  </si>
  <si>
    <t>T095 自动生成堆存费；T050 维护需跟踪船舶清单；T051 根据船舶清单更新第三方系统推送数据船舶清单；T052 船舶轨迹跟踪</t>
  </si>
  <si>
    <t>T095 自动生成堆存费</t>
  </si>
  <si>
    <t>T031 创建外轮转内贸业务信息；T032 作废外轮转内贸业务信息；T033 查询外轮转内贸业务信息</t>
  </si>
  <si>
    <t>T085 数据对接；T087 数据对接；T088 数据展示；T086 数据展示</t>
  </si>
  <si>
    <t>T085 数据对接；T087 数据对接；T088 数据展示；T128 堆存费（外贸）查询；T129 卸船费（外贸）查询；T137 外轮转内贸业务查询；T086 数据展示</t>
  </si>
  <si>
    <t>T128 堆存费（外贸）查询；T129 卸船费（外贸）查询；T137 外轮转内贸业务查询</t>
  </si>
  <si>
    <t>T058 OCR识别及编辑；T070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</si>
  <si>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</si>
  <si>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</si>
  <si>
    <t>T121 船舶供应服务查询；T122 船舶预到（内贸）查询；T123 台账查询；T124 停泊费（内贸）查询；T125 船舶供应服务费（内贸）查询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</si>
  <si>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</si>
  <si>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</si>
  <si>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</si>
  <si>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</si>
  <si>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</si>
  <si>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</si>
  <si>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</si>
  <si>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</si>
  <si>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</si>
  <si>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T018 结算条款推送法务系统；T053 接入港口侧视频监控；T054 视频查看权限申请；T055 视频查看权限审批；T056 视频查看权限有效期控制；T057 外网PC端视频监控查询；T141 视频监控查询；T086 数据展示</t>
  </si>
  <si>
    <t>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</si>
  <si>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</si>
  <si>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</si>
  <si>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</si>
  <si>
    <t>项目相关方管理</t>
  </si>
  <si>
    <t>持续跟踪影响力、支持度、沟通节奏和待办行动，黄色单元格由项目团队维护。</t>
  </si>
  <si>
    <t>相关方总数</t>
  </si>
  <si>
    <t>高权力相关方</t>
  </si>
  <si>
    <t>重点管理人数</t>
  </si>
  <si>
    <t>当前不支持人数</t>
  </si>
  <si>
    <t>存在支持差距</t>
  </si>
  <si>
    <t>沟通逾期人数</t>
  </si>
  <si>
    <t>未关闭行动数</t>
  </si>
  <si>
    <t>待升级事项</t>
  </si>
  <si>
    <t>相关方管理明细</t>
  </si>
  <si>
    <t>相关方ID</t>
  </si>
  <si>
    <t>姓名/组织</t>
  </si>
  <si>
    <t>所属单位/部门</t>
  </si>
  <si>
    <t>职务/角色</t>
  </si>
  <si>
    <t>相关方类别</t>
  </si>
  <si>
    <t>项目责任</t>
  </si>
  <si>
    <t>关注事项</t>
  </si>
  <si>
    <t>权力等级</t>
  </si>
  <si>
    <t>关注度</t>
  </si>
  <si>
    <t>当前支持度</t>
  </si>
  <si>
    <t>目标支持度</t>
  </si>
  <si>
    <t>支持差距</t>
  </si>
  <si>
    <t>影响方向</t>
  </si>
  <si>
    <t>管理策略</t>
  </si>
  <si>
    <t>沟通方式</t>
  </si>
  <si>
    <t>沟通频率</t>
  </si>
  <si>
    <t>沟通内容</t>
  </si>
  <si>
    <t>关系责任人</t>
  </si>
  <si>
    <t>最近沟通日期</t>
  </si>
  <si>
    <t>下次沟通日期</t>
  </si>
  <si>
    <t>当前诉求/意见</t>
  </si>
  <si>
    <t>待办行动</t>
  </si>
  <si>
    <t>行动责任人</t>
  </si>
  <si>
    <t>承诺完成日期</t>
  </si>
  <si>
    <t>行动状态</t>
  </si>
  <si>
    <t>是否需要升级</t>
  </si>
  <si>
    <t>升级对象</t>
  </si>
  <si>
    <t>风险提示</t>
  </si>
  <si>
    <t>项目风险管理计划</t>
  </si>
  <si>
    <t>定义风险分类、评分、升级、评审和责任规则；本项目同时管理威胁与机会。</t>
  </si>
  <si>
    <t>项目名称</t>
  </si>
  <si>
    <t>华能交易中心港口交易平台</t>
  </si>
  <si>
    <t>风险管理负责人</t>
  </si>
  <si>
    <t>项目经理</t>
  </si>
  <si>
    <t>项目阶段</t>
  </si>
  <si>
    <t>开发与集成测试</t>
  </si>
  <si>
    <t>重大风险批准人</t>
  </si>
  <si>
    <t>项目发起人/项目总监</t>
  </si>
  <si>
    <t>常规评审频率</t>
  </si>
  <si>
    <t>每周</t>
  </si>
  <si>
    <t>重大风险评审</t>
  </si>
  <si>
    <t>触发后立即召集</t>
  </si>
  <si>
    <t>风险报告周期</t>
  </si>
  <si>
    <t>随PMO周报</t>
  </si>
  <si>
    <t>角色与责任</t>
  </si>
  <si>
    <t>核心责任</t>
  </si>
  <si>
    <t>输入</t>
  </si>
  <si>
    <t>输出</t>
  </si>
  <si>
    <t>升级权限</t>
  </si>
  <si>
    <t>项目发起人</t>
  </si>
  <si>
    <t>批准重大风险策略和储备使用</t>
  </si>
  <si>
    <t>重大风险专项分析</t>
  </si>
  <si>
    <t>批准结论</t>
  </si>
  <si>
    <t>最终决策</t>
  </si>
  <si>
    <t>组织识别、分析、应对、监控和升级</t>
  </si>
  <si>
    <t>项目信息</t>
  </si>
  <si>
    <t>风险报告</t>
  </si>
  <si>
    <t>高风险升级</t>
  </si>
  <si>
    <t>风险责任人</t>
  </si>
  <si>
    <t>对风险结果及剩余风险负责</t>
  </si>
  <si>
    <t>评分和触发信号</t>
  </si>
  <si>
    <t>处置决策</t>
  </si>
  <si>
    <t>提请升级</t>
  </si>
  <si>
    <t>应对责任人</t>
  </si>
  <si>
    <t>按期完成具体应对行动</t>
  </si>
  <si>
    <t>应对计划</t>
  </si>
  <si>
    <t>完成证据</t>
  </si>
  <si>
    <t>报告阻塞</t>
  </si>
  <si>
    <t>PMO</t>
  </si>
  <si>
    <t>维护规则、检查逾期和生成报告</t>
  </si>
  <si>
    <t>各类台账</t>
  </si>
  <si>
    <t>重点风险清单</t>
  </si>
  <si>
    <t>治理升级</t>
  </si>
  <si>
    <t>风险分类结构（RBS）</t>
  </si>
  <si>
    <t>业务与需求</t>
  </si>
  <si>
    <t>范围与变更</t>
  </si>
  <si>
    <t>计划与进度</t>
  </si>
  <si>
    <t>资源与关键人员</t>
  </si>
  <si>
    <t>技术与架构</t>
  </si>
  <si>
    <t>数据与迁移</t>
  </si>
  <si>
    <t>接口与外部依赖</t>
  </si>
  <si>
    <t>测试与质量</t>
  </si>
  <si>
    <t>安全与合规</t>
  </si>
  <si>
    <t>部署与上线</t>
  </si>
  <si>
    <t>运维与服务</t>
  </si>
  <si>
    <t>采购与供应商</t>
  </si>
  <si>
    <t>合同与成本</t>
  </si>
  <si>
    <t>相关方与决策</t>
  </si>
  <si>
    <t>外部环境</t>
  </si>
  <si>
    <t>机会类风险</t>
  </si>
  <si>
    <t>概率与影响评分</t>
  </si>
  <si>
    <t>等级</t>
  </si>
  <si>
    <t>概率参考</t>
  </si>
  <si>
    <t>影响描述</t>
  </si>
  <si>
    <t>分值</t>
  </si>
  <si>
    <t>风险等级</t>
  </si>
  <si>
    <t>管理要求</t>
  </si>
  <si>
    <t>≤10%</t>
  </si>
  <si>
    <t>极低</t>
  </si>
  <si>
    <t>1–4</t>
  </si>
  <si>
    <t>低</t>
  </si>
  <si>
    <t>月度观察</t>
  </si>
  <si>
    <t>11%–30%</t>
  </si>
  <si>
    <t>较低</t>
  </si>
  <si>
    <t>5–9</t>
  </si>
  <si>
    <t>中</t>
  </si>
  <si>
    <t>每两周检查</t>
  </si>
  <si>
    <t>31%–50%</t>
  </si>
  <si>
    <t>中等</t>
  </si>
  <si>
    <t>10–16</t>
  </si>
  <si>
    <t>高</t>
  </si>
  <si>
    <t>每周检查</t>
  </si>
  <si>
    <t>51%–70%</t>
  </si>
  <si>
    <t>较高</t>
  </si>
  <si>
    <t>17–25</t>
  </si>
  <si>
    <t>重大</t>
  </si>
  <si>
    <t>立即升级</t>
  </si>
  <si>
    <t>＞70%</t>
  </si>
  <si>
    <t>极高</t>
  </si>
  <si>
    <t>影响=5</t>
  </si>
  <si>
    <t>可按单项重大处理</t>
  </si>
  <si>
    <t>项目风险登记册</t>
  </si>
  <si>
    <t>用“原因—事件—影响”描述风险；区分固有风险与应对后剩余风险。黄色为人工输入。</t>
  </si>
  <si>
    <t>风险总数</t>
  </si>
  <si>
    <t>重大风险</t>
  </si>
  <si>
    <t>已发生</t>
  </si>
  <si>
    <t>无责任人</t>
  </si>
  <si>
    <t>剩余暴露值</t>
  </si>
  <si>
    <t>风险明细</t>
  </si>
  <si>
    <t>风险ID</t>
  </si>
  <si>
    <t>风险名称</t>
  </si>
  <si>
    <t>类型</t>
  </si>
  <si>
    <t>风险类别</t>
  </si>
  <si>
    <t>原因</t>
  </si>
  <si>
    <t>风险事件</t>
  </si>
  <si>
    <t>可能影响</t>
  </si>
  <si>
    <t>识别人</t>
  </si>
  <si>
    <t>识别日期</t>
  </si>
  <si>
    <t>信息来源</t>
  </si>
  <si>
    <t>概率</t>
  </si>
  <si>
    <t>进度影响</t>
  </si>
  <si>
    <t>成本影响</t>
  </si>
  <si>
    <t>范围影响</t>
  </si>
  <si>
    <t>质量影响</t>
  </si>
  <si>
    <t>业务价值影响</t>
  </si>
  <si>
    <t>安全合规影响</t>
  </si>
  <si>
    <t>相关方影响</t>
  </si>
  <si>
    <t>综合影响</t>
  </si>
  <si>
    <t>固有风险分值</t>
  </si>
  <si>
    <t>固有风险等级</t>
  </si>
  <si>
    <t>责任部门</t>
  </si>
  <si>
    <t>应对策略</t>
  </si>
  <si>
    <t>触发条件</t>
  </si>
  <si>
    <t>预警指标</t>
  </si>
  <si>
    <t>最迟应对日期</t>
  </si>
  <si>
    <t>应对完成率</t>
  </si>
  <si>
    <t>剩余概率</t>
  </si>
  <si>
    <t>剩余影响</t>
  </si>
  <si>
    <t>剩余风险分值</t>
  </si>
  <si>
    <t>剩余风险等级</t>
  </si>
  <si>
    <t>趋势</t>
  </si>
  <si>
    <t>是否已发生</t>
  </si>
  <si>
    <t>关联问题ID</t>
  </si>
  <si>
    <t>最近评审日期</t>
  </si>
  <si>
    <t>下次评审日期</t>
  </si>
  <si>
    <t>关闭日期</t>
  </si>
  <si>
    <t>关闭证据</t>
  </si>
  <si>
    <t>是否重点</t>
  </si>
  <si>
    <t>数据质量提示</t>
  </si>
  <si>
    <t>_key_order</t>
  </si>
  <si>
    <t>项目风险热力图</t>
  </si>
  <si>
    <t>左侧展示固有风险，右侧展示应对后剩余风险；数字为对应概率和影响组合中的风险数量。</t>
  </si>
  <si>
    <t>固有风险</t>
  </si>
  <si>
    <t>剩余风险</t>
  </si>
  <si>
    <t>影响\概率</t>
  </si>
  <si>
    <t>等级说明</t>
  </si>
  <si>
    <t>低（1–4）</t>
  </si>
  <si>
    <t>中（5–9）</t>
  </si>
  <si>
    <t>高（10–16）</t>
  </si>
  <si>
    <t>重大（17–25或影响=5）</t>
  </si>
  <si>
    <t>自动纳入重大/高剩余风险、趋势上升、已发生或应对逾期的风险。</t>
  </si>
  <si>
    <t>序号</t>
  </si>
  <si>
    <t>类别</t>
  </si>
  <si>
    <t>剩余等级</t>
  </si>
  <si>
    <t>当前状态</t>
  </si>
  <si>
    <t>下一步行动</t>
  </si>
  <si>
    <t>需要支持</t>
  </si>
  <si>
    <t>管理层结论</t>
  </si>
  <si>
    <t>_source_index</t>
  </si>
  <si>
    <t>重大风险专项应对</t>
  </si>
  <si>
    <t>用于重大风险的场景分析、应急计划、备用计划、储备和正式批准。</t>
  </si>
  <si>
    <t>专项ID</t>
  </si>
  <si>
    <t>影响目标</t>
  </si>
  <si>
    <t>关联里程碑/交付物</t>
  </si>
  <si>
    <t>最坏情景</t>
  </si>
  <si>
    <t>较可能情景</t>
  </si>
  <si>
    <t>最好情景</t>
  </si>
  <si>
    <t>发生窗口</t>
  </si>
  <si>
    <t>关键假设</t>
  </si>
  <si>
    <t>依赖事项</t>
  </si>
  <si>
    <t>主应对方案</t>
  </si>
  <si>
    <t>应急计划</t>
  </si>
  <si>
    <t>备用计划</t>
  </si>
  <si>
    <t>应急储备</t>
  </si>
  <si>
    <t>决策权限</t>
  </si>
  <si>
    <t>升级路径</t>
  </si>
  <si>
    <t>基准影响</t>
  </si>
  <si>
    <t>批准人</t>
  </si>
  <si>
    <t>决策日期</t>
  </si>
  <si>
    <t>决策结论</t>
  </si>
  <si>
    <t>接受的剩余风险</t>
  </si>
  <si>
    <t>下次专项评审日期</t>
  </si>
  <si>
    <t>风险应对计划</t>
  </si>
  <si>
    <t>将风险应对策略拆解为可执行、可验收、可追踪的行动。</t>
  </si>
  <si>
    <t>行动ID</t>
  </si>
  <si>
    <t>应对措施</t>
  </si>
  <si>
    <t>行动类型</t>
  </si>
  <si>
    <t>配合部门</t>
  </si>
  <si>
    <t>计划开始日期</t>
  </si>
  <si>
    <t>计划完成日期</t>
  </si>
  <si>
    <t>实际完成日期</t>
  </si>
  <si>
    <t>所需工时</t>
  </si>
  <si>
    <t>预算</t>
  </si>
  <si>
    <t>交付证据</t>
  </si>
  <si>
    <t>完成百分比</t>
  </si>
  <si>
    <t>是否逾期</t>
  </si>
  <si>
    <t>实施效果</t>
  </si>
  <si>
    <t>剩余风险评价</t>
  </si>
  <si>
    <t>里程碑计划与阶段门管理</t>
  </si>
  <si>
    <t>里程碑ID</t>
  </si>
  <si>
    <t>里程碑名称</t>
  </si>
  <si>
    <t>验收/完成标准</t>
  </si>
  <si>
    <t>责任人</t>
  </si>
  <si>
    <t>计划日期</t>
  </si>
  <si>
    <t>实际日期</t>
  </si>
  <si>
    <t>偏差天数</t>
  </si>
  <si>
    <t>健康度</t>
  </si>
  <si>
    <t>说明</t>
  </si>
  <si>
    <t>M01</t>
  </si>
  <si>
    <t>第一批次业务设计完成</t>
  </si>
  <si>
    <t>第一批次业务设计状态全部完成</t>
  </si>
  <si>
    <t>M02</t>
  </si>
  <si>
    <t>第一批次前后端开发完成</t>
  </si>
  <si>
    <t>第一批次前端、后端状态全部完成</t>
  </si>
  <si>
    <t>开发组</t>
  </si>
  <si>
    <t>M03</t>
  </si>
  <si>
    <t>第一批次测试完成</t>
  </si>
  <si>
    <t>第一批次测试状态全部完成且无阻断缺陷</t>
  </si>
  <si>
    <t>M04</t>
  </si>
  <si>
    <t>第一批次上线</t>
  </si>
  <si>
    <t>完成上线审批、部署及回归验证</t>
  </si>
  <si>
    <t>M05</t>
  </si>
  <si>
    <t>第二批次业务设计完成</t>
  </si>
  <si>
    <t>第二批次业务设计状态全部完成</t>
  </si>
  <si>
    <t>M06</t>
  </si>
  <si>
    <t>第二批次前后端开发完成</t>
  </si>
  <si>
    <t>第二批次前端、后端状态全部完成</t>
  </si>
  <si>
    <t>M07</t>
  </si>
  <si>
    <t>第二批次测试完成</t>
  </si>
  <si>
    <t>第二批次测试状态全部完成且无阻断缺陷</t>
  </si>
  <si>
    <t>M08</t>
  </si>
  <si>
    <t>第二批次上线</t>
  </si>
  <si>
    <t>M09</t>
  </si>
  <si>
    <t>外部系统集成联调完成</t>
  </si>
  <si>
    <t>全项目</t>
  </si>
  <si>
    <t>6个外部系统均完成联调确认</t>
  </si>
  <si>
    <t>集成负责人</t>
  </si>
  <si>
    <t>M10</t>
  </si>
  <si>
    <t>项目验收</t>
  </si>
  <si>
    <t>完成用户验收并签署验收材料</t>
  </si>
  <si>
    <t>周迭代计划与完成跟踪</t>
  </si>
  <si>
    <t>上方汇总承诺完成、延期和暂停；下方按总控任务四阶段展开。周目标和复盘人工填写，其余内容更新V2时重建。</t>
  </si>
  <si>
    <t>迭代周</t>
  </si>
  <si>
    <t>开始日期</t>
  </si>
  <si>
    <t>结束日期</t>
  </si>
  <si>
    <t>周目标</t>
  </si>
  <si>
    <t>原周计划摘要</t>
  </si>
  <si>
    <t>计划完成阶段数</t>
  </si>
  <si>
    <t>实际完成阶段数</t>
  </si>
  <si>
    <t>承诺完成率</t>
  </si>
  <si>
    <t>延期数</t>
  </si>
  <si>
    <t>暂停数</t>
  </si>
  <si>
    <t>周状态</t>
  </si>
  <si>
    <t>复盘结论</t>
  </si>
  <si>
    <t>_key</t>
  </si>
  <si>
    <t>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t>
  </si>
  <si>
    <t>无计划任务</t>
  </si>
  <si>
    <t>已结束</t>
  </si>
  <si>
    <t>W001</t>
  </si>
  <si>
    <t>完成42个计划阶段</t>
  </si>
  <si>
    <t>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t>
  </si>
  <si>
    <t>人工复盘保留验证</t>
  </si>
  <si>
    <t>W002</t>
  </si>
  <si>
    <t>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</si>
  <si>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W003</t>
  </si>
  <si>
    <t>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</si>
  <si>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W004</t>
  </si>
  <si>
    <t>功能设计：结算条款管理、协同视览、费用合同签订校验</t>
  </si>
  <si>
    <t>W005</t>
  </si>
  <si>
    <t>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t>
  </si>
  <si>
    <t>W006</t>
  </si>
  <si>
    <t>W007</t>
  </si>
  <si>
    <t>W008</t>
  </si>
  <si>
    <t>测试：卸车流程跟踪、装船流程跟踪、卸船流程跟踪、行业资讯、统计分析、自动报告</t>
  </si>
  <si>
    <t>W009</t>
  </si>
  <si>
    <t>W010</t>
  </si>
  <si>
    <t>前端：APP：船舶供应服务查询、船舶预到（内贸）查询、台账查询、停泊费（内贸）查询、船舶供应服务费（内贸）查询
后端：APP：船舶供应服务查询、船舶预到（内贸）查询、台账查询、停泊费（内贸）查询、船舶供应服务费（内贸）查询</t>
  </si>
  <si>
    <t>W011</t>
  </si>
  <si>
    <t>前端：结算条款管理、协同视览、费用合同签订校验
后端：结算条款管理、协同视览、费用合同签订校验
测试：APP：船舶供应服务查询、船舶预到（内贸）查询、台账查询、停泊费（内贸）查询、船舶供应服务费（内贸）查询</t>
  </si>
  <si>
    <t>W012</t>
  </si>
  <si>
    <t>W013</t>
  </si>
  <si>
    <t>W014</t>
  </si>
  <si>
    <t>W015</t>
  </si>
  <si>
    <t>W016</t>
  </si>
  <si>
    <t>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t>
  </si>
  <si>
    <t>W017</t>
  </si>
  <si>
    <t>W018</t>
  </si>
  <si>
    <t>W019</t>
  </si>
  <si>
    <t>W020</t>
  </si>
  <si>
    <t>W021</t>
  </si>
  <si>
    <t>测试：船舶唯一性校验、卸船作业、船舶预到（外贸）、退回船舶预到（外贸）、采样申请（外贸）、停泊费（外贸）、锚泊费（外贸）、堆存费（外贸）、卸船费（外贸）、采样服务费（外贸）、船舶供应服务费（外贸）</t>
  </si>
  <si>
    <t>W022</t>
  </si>
  <si>
    <t>W023</t>
  </si>
  <si>
    <t>周任务明细</t>
  </si>
  <si>
    <t>任务名称</t>
  </si>
  <si>
    <t>专业阶段</t>
  </si>
  <si>
    <t>负责人</t>
  </si>
  <si>
    <t>阶段状态</t>
  </si>
  <si>
    <t>是否延期</t>
  </si>
  <si>
    <t>异常提示</t>
  </si>
  <si>
    <t>复盘说明</t>
  </si>
  <si>
    <t>_detail_key</t>
  </si>
  <si>
    <t>否</t>
  </si>
  <si>
    <t>完成日期待补充</t>
  </si>
  <si>
    <t>W002|tsk-33c582966f67#001|业务</t>
  </si>
  <si>
    <t>W002|tsk-23275116439b#001|业务</t>
  </si>
  <si>
    <t>W002|tsk-f668411c7176#001|业务</t>
  </si>
  <si>
    <t>W002|tsk-9344390f42cf#001|业务</t>
  </si>
  <si>
    <t>W002|tsk-ed149daad87d#001|业务</t>
  </si>
  <si>
    <t>W002|tsk-97a98e6009e6#001|业务</t>
  </si>
  <si>
    <t>W002|tsk-a12265c00afb#001|业务</t>
  </si>
  <si>
    <t>W002|tsk-e3cb05a8752f#001|业务</t>
  </si>
  <si>
    <t>W002|tsk-b7577ba49e91#001|业务</t>
  </si>
  <si>
    <t>W002|tsk-7f2aa4709d11#001|业务</t>
  </si>
  <si>
    <t>W002|tsk-702fd2cdf48f#001|业务</t>
  </si>
  <si>
    <t>W002|tsk-d0de99d77921#001|业务</t>
  </si>
  <si>
    <t>W002|tsk-8e0f61ad2405#001|业务</t>
  </si>
  <si>
    <t>W002|tsk-a12801ccffa6#001|业务</t>
  </si>
  <si>
    <t>W002|tsk-978d907ae469#001|业务</t>
  </si>
  <si>
    <t>W002|tsk-f4466ad5469c#001|业务</t>
  </si>
  <si>
    <t>W002|tsk-7d88bf49e933#001|业务</t>
  </si>
  <si>
    <t>W002|tsk-7d592b89a46f#001|业务</t>
  </si>
  <si>
    <t>W002|tsk-7d592b89a46f#002|业务</t>
  </si>
  <si>
    <t>W002|tsk-10c71dc857f0#001|业务</t>
  </si>
  <si>
    <t>W002|tsk-10c71dc857f0#002|业务</t>
  </si>
  <si>
    <t>W002|tsk-10c71dc857f0#003|业务</t>
  </si>
  <si>
    <t>W002|tsk-10c71dc857f0#004|业务</t>
  </si>
  <si>
    <t>W002|tsk-57b8e280d274#001|业务</t>
  </si>
  <si>
    <t>W002|tsk-211024d6f6de#001|业务</t>
  </si>
  <si>
    <t>W002|tsk-c0d2087ea559#001|业务</t>
  </si>
  <si>
    <t>W002|tsk-ef409224d46b#001|业务</t>
  </si>
  <si>
    <t>W002|tsk-febee99e5a1e#001|业务</t>
  </si>
  <si>
    <t>W002|tsk-177bff8cf7f9#001|业务</t>
  </si>
  <si>
    <t>W002|tsk-15570328b3e1#001|业务</t>
  </si>
  <si>
    <t>W002|tsk-2f7c5586317d#001|业务</t>
  </si>
  <si>
    <t>W002|tsk-a5528f60d6ad#001|业务</t>
  </si>
  <si>
    <t>W002|tsk-e8fdac8072e1#001|业务</t>
  </si>
  <si>
    <t>W002|tsk-628e22896d5e#001|业务</t>
  </si>
  <si>
    <t>W002|tsk-8e34ce8f4239#001|前端</t>
  </si>
  <si>
    <t>W002|tsk-965e74d49261#001|前端</t>
  </si>
  <si>
    <t>W002|tsk-38a802bbe105#001|前端</t>
  </si>
  <si>
    <t>W002|tsk-cb19eab07c79#001|前端</t>
  </si>
  <si>
    <t>W002|tsk-8e34ce8f4239#001|后端</t>
  </si>
  <si>
    <t>W002|tsk-965e74d49261#001|后端</t>
  </si>
  <si>
    <t>W002|tsk-38a802bbe105#001|后端</t>
  </si>
  <si>
    <t>W002|tsk-cb19eab07c79#001|后端</t>
  </si>
  <si>
    <t>W003|tsk-41f84a2dbee7#001|业务</t>
  </si>
  <si>
    <t>W003|tsk-720110050036#001|业务</t>
  </si>
  <si>
    <t>W003|tsk-72392976ed5d#001|业务</t>
  </si>
  <si>
    <t>W003|tsk-f1427d0c97d9#001|业务</t>
  </si>
  <si>
    <t>W003|tsk-060d8a1d14e2#001|业务</t>
  </si>
  <si>
    <t>W003|tsk-b0bfc16bb18d#001|业务</t>
  </si>
  <si>
    <t>W003|tsk-e7e708d55c95#001|业务</t>
  </si>
  <si>
    <t>W003|tsk-ae0234715f64#001|业务</t>
  </si>
  <si>
    <t>W003|tsk-58da4f05f2c4#001|业务</t>
  </si>
  <si>
    <t>W003|tsk-86a7a8f2d6d2#001|业务</t>
  </si>
  <si>
    <t>W003|tsk-5dde71d1afa6#001|业务</t>
  </si>
  <si>
    <t>W003|tsk-b414c5bb0e5c#001|业务</t>
  </si>
  <si>
    <t>W003|tsk-d8cee4246d76#001|业务</t>
  </si>
  <si>
    <t>W003|tsk-2383292632d6#001|业务</t>
  </si>
  <si>
    <t>W003|tsk-6844eefcb09f#001|业务</t>
  </si>
  <si>
    <t>W003|tsk-c0b615e95db5#001|业务</t>
  </si>
  <si>
    <t>W003|tsk-010f2f0578d8#001|业务</t>
  </si>
  <si>
    <t>W003|tsk-ba126ef0228f#001|业务</t>
  </si>
  <si>
    <t>W003|tsk-13ad283484a7#001|业务</t>
  </si>
  <si>
    <t>W003|tsk-f441c61f54ad#001|业务</t>
  </si>
  <si>
    <t>W003|tsk-a9cbee439438#001|业务</t>
  </si>
  <si>
    <t>W003|tsk-b174cf36c1c8#001|业务</t>
  </si>
  <si>
    <t>W003|tsk-b782224c74f5#001|业务</t>
  </si>
  <si>
    <t>W003|tsk-b14957c92331#001|业务</t>
  </si>
  <si>
    <t>W003|tsk-d942dd328122#001|业务</t>
  </si>
  <si>
    <t>W003|tsk-577f9f403da5#001|业务</t>
  </si>
  <si>
    <t>W003|tsk-8e34ce8f4239#001|测试</t>
  </si>
  <si>
    <t>W003|tsk-38a802bbe105#001|测试</t>
  </si>
  <si>
    <t>W003|tsk-cb19eab07c79#001|测试</t>
  </si>
  <si>
    <t>W004|tsk-3c49a764e4d0#001|业务</t>
  </si>
  <si>
    <t>W004|tsk-7adc76236513#001|业务</t>
  </si>
  <si>
    <t>W004|tsk-27502e8eb665#001|业务</t>
  </si>
  <si>
    <t>W004|tsk-4bbd9b69bf8e#001|业务</t>
  </si>
  <si>
    <t>W004|tsk-d4c78b2bbc7a#001|业务</t>
  </si>
  <si>
    <t>W005|tsk-2e5e69219e67#001|业务</t>
  </si>
  <si>
    <t>W005|tsk-c1590b9d60b9#001|业务</t>
  </si>
  <si>
    <t>W005|tsk-449ebaf20126#001|业务</t>
  </si>
  <si>
    <t>W005|tsk-01c63684d31f#001|业务</t>
  </si>
  <si>
    <t>W005|tsk-684ea1a8faac#001|业务</t>
  </si>
  <si>
    <t>是</t>
  </si>
  <si>
    <t>W005|tsk-e439a610e5c1#001|业务</t>
  </si>
  <si>
    <t>W005|tsk-339841bab1cf#001|业务</t>
  </si>
  <si>
    <t>W005|tsk-5c3c488e8374#001|业务</t>
  </si>
  <si>
    <t>W005|tsk-031a8fd31f7a#001|业务</t>
  </si>
  <si>
    <t>W005|tsk-eda52a0a3d62#001|业务</t>
  </si>
  <si>
    <t>W005|tsk-13a94a87edcb#001|业务</t>
  </si>
  <si>
    <t>W005|tsk-9716888ab487#001|业务</t>
  </si>
  <si>
    <t>W005|tsk-a195bb2f0e59#001|业务</t>
  </si>
  <si>
    <t>W005|tsk-d6b4db0b7fa5#001|业务</t>
  </si>
  <si>
    <t>W005|tsk-504c9ba6309d#001|业务</t>
  </si>
  <si>
    <t>W005|tsk-33c582966f67#001|前端</t>
  </si>
  <si>
    <t>W005|tsk-23275116439b#001|前端</t>
  </si>
  <si>
    <t>W005|tsk-f668411c7176#001|前端</t>
  </si>
  <si>
    <t>W005|tsk-9344390f42cf#001|前端</t>
  </si>
  <si>
    <t>W005|tsk-ed149daad87d#001|前端</t>
  </si>
  <si>
    <t>W005|tsk-97a98e6009e6#001|前端</t>
  </si>
  <si>
    <t>W005|tsk-a12265c00afb#001|前端</t>
  </si>
  <si>
    <t>W005|tsk-e3cb05a8752f#001|前端</t>
  </si>
  <si>
    <t>W005|tsk-b7577ba49e91#001|前端</t>
  </si>
  <si>
    <t>W005|tsk-7f2aa4709d11#001|前端</t>
  </si>
  <si>
    <t>W005|tsk-702fd2cdf48f#001|前端</t>
  </si>
  <si>
    <t>W005|tsk-978d907ae469#001|前端</t>
  </si>
  <si>
    <t>W005|tsk-f4466ad5469c#001|前端</t>
  </si>
  <si>
    <t>W005|tsk-7d88bf49e933#001|前端</t>
  </si>
  <si>
    <t>W005|tsk-7d592b89a46f#001|前端</t>
  </si>
  <si>
    <t>W005|tsk-7d592b89a46f#002|前端</t>
  </si>
  <si>
    <t>W005|tsk-10c71dc857f0#001|前端</t>
  </si>
  <si>
    <t>W005|tsk-10c71dc857f0#002|前端</t>
  </si>
  <si>
    <t>W005|tsk-10c71dc857f0#003|前端</t>
  </si>
  <si>
    <t>W005|tsk-10c71dc857f0#004|前端</t>
  </si>
  <si>
    <t>W005|tsk-57b8e280d274#001|前端</t>
  </si>
  <si>
    <t>W005|tsk-211024d6f6de#001|前端</t>
  </si>
  <si>
    <t>W005|tsk-c0d2087ea559#001|前端</t>
  </si>
  <si>
    <t>W005|tsk-ef409224d46b#001|前端</t>
  </si>
  <si>
    <t>W005|tsk-febee99e5a1e#001|前端</t>
  </si>
  <si>
    <t>W005|tsk-177bff8cf7f9#001|前端</t>
  </si>
  <si>
    <t>W005|tsk-2f7c5586317d#001|前端</t>
  </si>
  <si>
    <t>W005|tsk-a5528f60d6ad#001|前端</t>
  </si>
  <si>
    <t>W005|tsk-e8fdac8072e1#001|前端</t>
  </si>
  <si>
    <t>W005|tsk-628e22896d5e#001|前端</t>
  </si>
  <si>
    <t>W005|tsk-33c582966f67#001|后端</t>
  </si>
  <si>
    <t>W005|tsk-23275116439b#001|后端</t>
  </si>
  <si>
    <t>W005|tsk-f668411c7176#001|后端</t>
  </si>
  <si>
    <t>W005|tsk-9344390f42cf#001|后端</t>
  </si>
  <si>
    <t>W005|tsk-ed149daad87d#001|后端</t>
  </si>
  <si>
    <t>W005|tsk-97a98e6009e6#001|后端</t>
  </si>
  <si>
    <t>W005|tsk-a12265c00afb#001|后端</t>
  </si>
  <si>
    <t>W005|tsk-e3cb05a8752f#001|后端</t>
  </si>
  <si>
    <t>W005|tsk-b7577ba49e91#001|后端</t>
  </si>
  <si>
    <t>W005|tsk-7f2aa4709d11#001|后端</t>
  </si>
  <si>
    <t>W005|tsk-702fd2cdf48f#001|后端</t>
  </si>
  <si>
    <t>W005|tsk-978d907ae469#001|后端</t>
  </si>
  <si>
    <t>W005|tsk-f4466ad5469c#001|后端</t>
  </si>
  <si>
    <t>W005|tsk-7d88bf49e933#001|后端</t>
  </si>
  <si>
    <t>W005|tsk-7d592b89a46f#001|后端</t>
  </si>
  <si>
    <t>W005|tsk-7d592b89a46f#002|后端</t>
  </si>
  <si>
    <t>W005|tsk-10c71dc857f0#001|后端</t>
  </si>
  <si>
    <t>W005|tsk-10c71dc857f0#002|后端</t>
  </si>
  <si>
    <t>W005|tsk-10c71dc857f0#003|后端</t>
  </si>
  <si>
    <t>W005|tsk-10c71dc857f0#004|后端</t>
  </si>
  <si>
    <t>W005|tsk-57b8e280d274#001|后端</t>
  </si>
  <si>
    <t>W005|tsk-211024d6f6de#001|后端</t>
  </si>
  <si>
    <t>W005|tsk-c0d2087ea559#001|后端</t>
  </si>
  <si>
    <t>W005|tsk-ef409224d46b#001|后端</t>
  </si>
  <si>
    <t>W005|tsk-febee99e5a1e#001|后端</t>
  </si>
  <si>
    <t>W005|tsk-177bff8cf7f9#001|后端</t>
  </si>
  <si>
    <t>W005|tsk-2f7c5586317d#001|后端</t>
  </si>
  <si>
    <t>W005|tsk-a5528f60d6ad#001|后端</t>
  </si>
  <si>
    <t>W005|tsk-e8fdac8072e1#001|后端</t>
  </si>
  <si>
    <t>W005|tsk-628e22896d5e#001|后端</t>
  </si>
  <si>
    <t>W006|tsk-33c582966f67#001|测试</t>
  </si>
  <si>
    <t>W006|tsk-23275116439b#001|测试</t>
  </si>
  <si>
    <t>W006|tsk-f668411c7176#001|测试</t>
  </si>
  <si>
    <t>W006|tsk-9344390f42cf#001|测试</t>
  </si>
  <si>
    <t>W006|tsk-ed149daad87d#001|测试</t>
  </si>
  <si>
    <t>W006|tsk-97a98e6009e6#001|测试</t>
  </si>
  <si>
    <t>W006|tsk-a12265c00afb#001|测试</t>
  </si>
  <si>
    <t>W006|tsk-e3cb05a8752f#001|测试</t>
  </si>
  <si>
    <t>W006|tsk-b7577ba49e91#001|测试</t>
  </si>
  <si>
    <t>W006|tsk-7f2aa4709d11#001|测试</t>
  </si>
  <si>
    <t>W006|tsk-702fd2cdf48f#001|测试</t>
  </si>
  <si>
    <t>W006|tsk-d0de99d77921#001|测试</t>
  </si>
  <si>
    <t>W006|tsk-8e0f61ad2405#001|测试</t>
  </si>
  <si>
    <t>W006|tsk-a12801ccffa6#001|测试</t>
  </si>
  <si>
    <t>W006|tsk-978d907ae469#001|测试</t>
  </si>
  <si>
    <t>W006|tsk-f4466ad5469c#001|测试</t>
  </si>
  <si>
    <t>W006|tsk-7d88bf49e933#001|测试</t>
  </si>
  <si>
    <t>W006|tsk-7d592b89a46f#001|测试</t>
  </si>
  <si>
    <t>W006|tsk-7d592b89a46f#002|测试</t>
  </si>
  <si>
    <t>W006|tsk-10c71dc857f0#001|测试</t>
  </si>
  <si>
    <t>W006|tsk-10c71dc857f0#002|测试</t>
  </si>
  <si>
    <t>W006|tsk-10c71dc857f0#003|测试</t>
  </si>
  <si>
    <t>W006|tsk-10c71dc857f0#004|测试</t>
  </si>
  <si>
    <t>W006|tsk-965e74d49261#001|测试</t>
  </si>
  <si>
    <t>W006|tsk-57b8e280d274#001|测试</t>
  </si>
  <si>
    <t>W006|tsk-211024d6f6de#001|测试</t>
  </si>
  <si>
    <t>W006|tsk-c0d2087ea559#001|测试</t>
  </si>
  <si>
    <t>W006|tsk-ef409224d46b#001|测试</t>
  </si>
  <si>
    <t>W006|tsk-febee99e5a1e#001|测试</t>
  </si>
  <si>
    <t>W006|tsk-177bff8cf7f9#001|测试</t>
  </si>
  <si>
    <t>W006|tsk-15570328b3e1#001|测试</t>
  </si>
  <si>
    <t>W006|tsk-2f7c5586317d#001|测试</t>
  </si>
  <si>
    <t>W006|tsk-a5528f60d6ad#001|测试</t>
  </si>
  <si>
    <t>W006|tsk-e8fdac8072e1#001|测试</t>
  </si>
  <si>
    <t>W006|tsk-628e22896d5e#001|测试</t>
  </si>
  <si>
    <t>W007|tsk-48d2a2f6f0ca#001|业务</t>
  </si>
  <si>
    <t>W007|tsk-1434d732f324#001|业务</t>
  </si>
  <si>
    <t>W007|tsk-6f7899347220#001|业务</t>
  </si>
  <si>
    <t>W007|tsk-5e443e932dea#001|业务</t>
  </si>
  <si>
    <t>W007|tsk-687e056338b0#001|业务</t>
  </si>
  <si>
    <t>W007|tsk-1f2d6d901b96#001|业务</t>
  </si>
  <si>
    <t>W007|tsk-569b438a861f#001|业务</t>
  </si>
  <si>
    <t>W007|tsk-190248011e64#001|业务</t>
  </si>
  <si>
    <t>W007|tsk-f6c637702ac8#001|业务</t>
  </si>
  <si>
    <t>W007|tsk-b94ca72bec1d#001|业务</t>
  </si>
  <si>
    <t>W007|tsk-042dd9e15de9#001|业务</t>
  </si>
  <si>
    <t>W007|tsk-733eb8844d0a#001|业务</t>
  </si>
  <si>
    <t>W007|tsk-2b8fe09330fa#001|业务</t>
  </si>
  <si>
    <t>W007|tsk-2cf4f1125368#001|业务</t>
  </si>
  <si>
    <t>W007|tsk-a8a88945c3aa#001|业务</t>
  </si>
  <si>
    <t>W007|tsk-1257be12f654#001|业务</t>
  </si>
  <si>
    <t>W007|tsk-0941687334ee#001|业务</t>
  </si>
  <si>
    <t>W007|tsk-df5becb03546#001|业务</t>
  </si>
  <si>
    <t>W007|tsk-40a850a3615b#001|业务</t>
  </si>
  <si>
    <t>W007|tsk-51e2a658ea29#001|业务</t>
  </si>
  <si>
    <t>W007|tsk-6e540ffca5c7#001|业务</t>
  </si>
  <si>
    <t>W007|tsk-09a02f4d7d83#001|业务</t>
  </si>
  <si>
    <t>W007|tsk-da7f1bbdc582#001|业务</t>
  </si>
  <si>
    <t>W007|tsk-af568665c0d5#001|业务</t>
  </si>
  <si>
    <t>W007|tsk-f0e8e7f9f9ee#001|业务</t>
  </si>
  <si>
    <t>W007|tsk-ca380e0d0aee#001|业务</t>
  </si>
  <si>
    <t>W007|tsk-ed4dab57b66a#001|业务</t>
  </si>
  <si>
    <t>W007|tsk-ba4956b049fc#001|业务</t>
  </si>
  <si>
    <t>W007|tsk-36b50b083723#001|业务</t>
  </si>
  <si>
    <t>W007|tsk-8b699cb2d97b#001|业务</t>
  </si>
  <si>
    <t>W007|tsk-97239b879826#001|业务</t>
  </si>
  <si>
    <t>W007|tsk-67356a4c38e7#001|业务</t>
  </si>
  <si>
    <t>W007|tsk-d843b0070289#001|业务</t>
  </si>
  <si>
    <t>W007|tsk-f0fcc8b90f2f#001|业务</t>
  </si>
  <si>
    <t>W007|tsk-18bc2a0df442#001|业务</t>
  </si>
  <si>
    <t>W007|tsk-5d63b672e354#001|业务</t>
  </si>
  <si>
    <t>W007|tsk-c19b20b85e7d#001|业务</t>
  </si>
  <si>
    <t>W007|tsk-4d9a344af7af#001|业务</t>
  </si>
  <si>
    <t>W007|tsk-9b71d83dfa28#001|业务</t>
  </si>
  <si>
    <t>W007|tsk-ce4913ddfaf8#001|业务</t>
  </si>
  <si>
    <t>W007|tsk-178c0ad2db5d#001|业务</t>
  </si>
  <si>
    <t>W007|tsk-6c8633be9834#001|业务</t>
  </si>
  <si>
    <t>W007|tsk-b2bf08346ef0#001|业务</t>
  </si>
  <si>
    <t>W007|tsk-dc1028c0741b#001|业务</t>
  </si>
  <si>
    <t>W007|tsk-ba976910e0a8#001|业务</t>
  </si>
  <si>
    <t>W007|tsk-2f656028e1ee#001|业务</t>
  </si>
  <si>
    <t>W007|tsk-8da0ab00b9be#001|业务</t>
  </si>
  <si>
    <t>W007|tsk-16b867992f39#001|业务</t>
  </si>
  <si>
    <t>W007|tsk-51f72709ab2b#001|业务</t>
  </si>
  <si>
    <t>W007|tsk-fc2047391ae1#001|业务</t>
  </si>
  <si>
    <t>W007|tsk-c3816ac8c41c#001|业务</t>
  </si>
  <si>
    <t>W007|tsk-af568665c0d5#001|前端</t>
  </si>
  <si>
    <t>W007|tsk-af568665c0d5#001|后端</t>
  </si>
  <si>
    <t>W009|tsk-b14957c92331#001|前端</t>
  </si>
  <si>
    <t>W009|tsk-d942dd328122#001|前端</t>
  </si>
  <si>
    <t>W009|tsk-577f9f403da5#001|前端</t>
  </si>
  <si>
    <t>W009|tsk-b14957c92331#001|后端</t>
  </si>
  <si>
    <t>W009|tsk-d942dd328122#001|后端</t>
  </si>
  <si>
    <t>W009|tsk-577f9f403da5#001|后端</t>
  </si>
  <si>
    <t>W010|tsk-41f84a2dbee7#001|前端</t>
  </si>
  <si>
    <t>W010|tsk-720110050036#001|前端</t>
  </si>
  <si>
    <t>W010|tsk-72392976ed5d#001|前端</t>
  </si>
  <si>
    <t>W010|tsk-f1427d0c97d9#001|前端</t>
  </si>
  <si>
    <t>W010|tsk-060d8a1d14e2#001|前端</t>
  </si>
  <si>
    <t>W010|tsk-b0bfc16bb18d#001|前端</t>
  </si>
  <si>
    <t>W010|tsk-e7e708d55c95#001|前端</t>
  </si>
  <si>
    <t>W010|tsk-ae0234715f64#001|前端</t>
  </si>
  <si>
    <t>W010|tsk-58da4f05f2c4#001|前端</t>
  </si>
  <si>
    <t>W010|tsk-86a7a8f2d6d2#001|前端</t>
  </si>
  <si>
    <t>W010|tsk-5dde71d1afa6#001|前端</t>
  </si>
  <si>
    <t>W010|tsk-b414c5bb0e5c#001|前端</t>
  </si>
  <si>
    <t>W010|tsk-d8cee4246d76#001|前端</t>
  </si>
  <si>
    <t>W010|tsk-2383292632d6#001|前端</t>
  </si>
  <si>
    <t>W010|tsk-6844eefcb09f#001|前端</t>
  </si>
  <si>
    <t>W010|tsk-c0b615e95db5#001|前端</t>
  </si>
  <si>
    <t>W010|tsk-010f2f0578d8#001|前端</t>
  </si>
  <si>
    <t>W010|tsk-ba126ef0228f#001|前端</t>
  </si>
  <si>
    <t>W010|tsk-13ad283484a7#001|前端</t>
  </si>
  <si>
    <t>W010|tsk-f441c61f54ad#001|前端</t>
  </si>
  <si>
    <t>W010|tsk-4537a4eb5b31#001|前端</t>
  </si>
  <si>
    <t>W010|tsk-9a64b8ed984e#001|前端</t>
  </si>
  <si>
    <t>W010|tsk-9355d4cfb537#001|前端</t>
  </si>
  <si>
    <t>W010|tsk-b55e82bcfe4a#001|前端</t>
  </si>
  <si>
    <t>W010|tsk-a9cbee439438#001|前端</t>
  </si>
  <si>
    <t>W010|tsk-b174cf36c1c8#001|前端</t>
  </si>
  <si>
    <t>W010|tsk-b782224c74f5#001|前端</t>
  </si>
  <si>
    <t>W010|tsk-41f84a2dbee7#001|后端</t>
  </si>
  <si>
    <t>W010|tsk-720110050036#001|后端</t>
  </si>
  <si>
    <t>W010|tsk-72392976ed5d#001|后端</t>
  </si>
  <si>
    <t>W010|tsk-f1427d0c97d9#001|后端</t>
  </si>
  <si>
    <t>W010|tsk-060d8a1d14e2#001|后端</t>
  </si>
  <si>
    <t>W010|tsk-b0bfc16bb18d#001|后端</t>
  </si>
  <si>
    <t>W010|tsk-e7e708d55c95#001|后端</t>
  </si>
  <si>
    <t>W010|tsk-ae0234715f64#001|后端</t>
  </si>
  <si>
    <t>W010|tsk-58da4f05f2c4#001|后端</t>
  </si>
  <si>
    <t>W010|tsk-86a7a8f2d6d2#001|后端</t>
  </si>
  <si>
    <t>W010|tsk-5dde71d1afa6#001|后端</t>
  </si>
  <si>
    <t>W010|tsk-b414c5bb0e5c#001|后端</t>
  </si>
  <si>
    <t>W010|tsk-d8cee4246d76#001|后端</t>
  </si>
  <si>
    <t>W010|tsk-2383292632d6#001|后端</t>
  </si>
  <si>
    <t>W010|tsk-6844eefcb09f#001|后端</t>
  </si>
  <si>
    <t>W010|tsk-c0b615e95db5#001|后端</t>
  </si>
  <si>
    <t>W010|tsk-010f2f0578d8#001|后端</t>
  </si>
  <si>
    <t>W010|tsk-ba126ef0228f#001|后端</t>
  </si>
  <si>
    <t>W010|tsk-13ad283484a7#001|后端</t>
  </si>
  <si>
    <t>W010|tsk-f441c61f54ad#001|后端</t>
  </si>
  <si>
    <t>W010|tsk-4537a4eb5b31#001|后端</t>
  </si>
  <si>
    <t>W010|tsk-9a64b8ed984e#001|后端</t>
  </si>
  <si>
    <t>W010|tsk-9355d4cfb537#001|后端</t>
  </si>
  <si>
    <t>W010|tsk-b55e82bcfe4a#001|后端</t>
  </si>
  <si>
    <t>W010|tsk-a9cbee439438#001|后端</t>
  </si>
  <si>
    <t>W010|tsk-b174cf36c1c8#001|后端</t>
  </si>
  <si>
    <t>W010|tsk-b782224c74f5#001|后端</t>
  </si>
  <si>
    <t>W011|tsk-d0de99d77921#001|前端</t>
  </si>
  <si>
    <t>W011|tsk-8e0f61ad2405#001|前端</t>
  </si>
  <si>
    <t>W011|tsk-a12801ccffa6#001|前端</t>
  </si>
  <si>
    <t>W011|tsk-3c49a764e4d0#001|前端</t>
  </si>
  <si>
    <t>W011|tsk-7adc76236513#001|前端</t>
  </si>
  <si>
    <t>W011|tsk-27502e8eb665#001|前端</t>
  </si>
  <si>
    <t>W011|tsk-4bbd9b69bf8e#001|前端</t>
  </si>
  <si>
    <t>W011|tsk-d4c78b2bbc7a#001|前端</t>
  </si>
  <si>
    <t>W011|tsk-d0de99d77921#001|后端</t>
  </si>
  <si>
    <t>W011|tsk-8e0f61ad2405#001|后端</t>
  </si>
  <si>
    <t>W011|tsk-a12801ccffa6#001|后端</t>
  </si>
  <si>
    <t>W011|tsk-3c49a764e4d0#001|后端</t>
  </si>
  <si>
    <t>W011|tsk-7adc76236513#001|后端</t>
  </si>
  <si>
    <t>W011|tsk-27502e8eb665#001|后端</t>
  </si>
  <si>
    <t>W011|tsk-4bbd9b69bf8e#001|后端</t>
  </si>
  <si>
    <t>W011|tsk-d4c78b2bbc7a#001|后端</t>
  </si>
  <si>
    <t>W011|tsk-41f84a2dbee7#001|测试</t>
  </si>
  <si>
    <t>W011|tsk-720110050036#001|测试</t>
  </si>
  <si>
    <t>W011|tsk-72392976ed5d#001|测试</t>
  </si>
  <si>
    <t>W011|tsk-f1427d0c97d9#001|测试</t>
  </si>
  <si>
    <t>W011|tsk-060d8a1d14e2#001|测试</t>
  </si>
  <si>
    <t>W011|tsk-b0bfc16bb18d#001|测试</t>
  </si>
  <si>
    <t>W011|tsk-e7e708d55c95#001|测试</t>
  </si>
  <si>
    <t>W011|tsk-ae0234715f64#001|测试</t>
  </si>
  <si>
    <t>W011|tsk-58da4f05f2c4#001|测试</t>
  </si>
  <si>
    <t>W011|tsk-86a7a8f2d6d2#001|测试</t>
  </si>
  <si>
    <t>W011|tsk-5dde71d1afa6#001|测试</t>
  </si>
  <si>
    <t>W011|tsk-b414c5bb0e5c#001|测试</t>
  </si>
  <si>
    <t>W011|tsk-d8cee4246d76#001|测试</t>
  </si>
  <si>
    <t>W011|tsk-2383292632d6#001|测试</t>
  </si>
  <si>
    <t>W011|tsk-6844eefcb09f#001|测试</t>
  </si>
  <si>
    <t>W011|tsk-c0b615e95db5#001|测试</t>
  </si>
  <si>
    <t>W011|tsk-010f2f0578d8#001|测试</t>
  </si>
  <si>
    <t>W011|tsk-ba126ef0228f#001|测试</t>
  </si>
  <si>
    <t>W011|tsk-13ad283484a7#001|测试</t>
  </si>
  <si>
    <t>W011|tsk-f441c61f54ad#001|测试</t>
  </si>
  <si>
    <t>W011|tsk-4537a4eb5b31#001|测试</t>
  </si>
  <si>
    <t>W011|tsk-9a64b8ed984e#001|测试</t>
  </si>
  <si>
    <t>W011|tsk-9355d4cfb537#001|测试</t>
  </si>
  <si>
    <t>W011|tsk-b55e82bcfe4a#001|测试</t>
  </si>
  <si>
    <t>W011|tsk-b14957c92331#001|测试</t>
  </si>
  <si>
    <t>W011|tsk-d942dd328122#001|测试</t>
  </si>
  <si>
    <t>W011|tsk-577f9f403da5#001|测试</t>
  </si>
  <si>
    <t>W012|tsk-6f7899347220#001|前端</t>
  </si>
  <si>
    <t>W012|tsk-5e443e932dea#001|前端</t>
  </si>
  <si>
    <t>W012|tsk-f6c637702ac8#001|前端</t>
  </si>
  <si>
    <t>W012|tsk-b94ca72bec1d#001|前端</t>
  </si>
  <si>
    <t>W012|tsk-2b8fe09330fa#001|前端</t>
  </si>
  <si>
    <t>W012|tsk-0941687334ee#001|前端</t>
  </si>
  <si>
    <t>W012|tsk-df5becb03546#001|前端</t>
  </si>
  <si>
    <t>W012|tsk-40a850a3615b#001|前端</t>
  </si>
  <si>
    <t>W012|tsk-15570328b3e1#001|前端</t>
  </si>
  <si>
    <t>W012|tsk-6f7899347220#001|后端</t>
  </si>
  <si>
    <t>W012|tsk-5e443e932dea#001|后端</t>
  </si>
  <si>
    <t>W012|tsk-f6c637702ac8#001|后端</t>
  </si>
  <si>
    <t>W012|tsk-b94ca72bec1d#001|后端</t>
  </si>
  <si>
    <t>W012|tsk-2b8fe09330fa#001|后端</t>
  </si>
  <si>
    <t>W012|tsk-0941687334ee#001|后端</t>
  </si>
  <si>
    <t>W012|tsk-df5becb03546#001|后端</t>
  </si>
  <si>
    <t>W012|tsk-40a850a3615b#001|后端</t>
  </si>
  <si>
    <t>W012|tsk-15570328b3e1#001|后端</t>
  </si>
  <si>
    <t>W012|tsk-3c49a764e4d0#001|测试</t>
  </si>
  <si>
    <t>W012|tsk-7adc76236513#001|测试</t>
  </si>
  <si>
    <t>W012|tsk-27502e8eb665#001|测试</t>
  </si>
  <si>
    <t>W012|tsk-4bbd9b69bf8e#001|测试</t>
  </si>
  <si>
    <t>W012|tsk-d4c78b2bbc7a#001|测试</t>
  </si>
  <si>
    <t>W013|tsk-2e5e69219e67#001|前端</t>
  </si>
  <si>
    <t>W013|tsk-c1590b9d60b9#001|前端</t>
  </si>
  <si>
    <t>W013|tsk-449ebaf20126#001|前端</t>
  </si>
  <si>
    <t>W013|tsk-01c63684d31f#001|前端</t>
  </si>
  <si>
    <t>W013|tsk-684ea1a8faac#001|前端</t>
  </si>
  <si>
    <t>W013|tsk-9716888ab487#001|前端</t>
  </si>
  <si>
    <t>W013|tsk-a195bb2f0e59#001|前端</t>
  </si>
  <si>
    <t>W013|tsk-d6b4db0b7fa5#001|前端</t>
  </si>
  <si>
    <t>W013|tsk-2e5e69219e67#001|后端</t>
  </si>
  <si>
    <t>W013|tsk-c1590b9d60b9#001|后端</t>
  </si>
  <si>
    <t>W013|tsk-449ebaf20126#001|后端</t>
  </si>
  <si>
    <t>W013|tsk-01c63684d31f#001|后端</t>
  </si>
  <si>
    <t>W013|tsk-684ea1a8faac#001|后端</t>
  </si>
  <si>
    <t>W013|tsk-9716888ab487#001|后端</t>
  </si>
  <si>
    <t>W013|tsk-a195bb2f0e59#001|后端</t>
  </si>
  <si>
    <t>W013|tsk-d6b4db0b7fa5#001|后端</t>
  </si>
  <si>
    <t>W014|tsk-2cf4f1125368#001|前端</t>
  </si>
  <si>
    <t>W014|tsk-a8a88945c3aa#001|前端</t>
  </si>
  <si>
    <t>W014|tsk-1257be12f654#001|前端</t>
  </si>
  <si>
    <t>W014|tsk-2cf4f1125368#001|后端</t>
  </si>
  <si>
    <t>W014|tsk-a8a88945c3aa#001|后端</t>
  </si>
  <si>
    <t>W014|tsk-1257be12f654#001|后端</t>
  </si>
  <si>
    <t>W016|tsk-e439a610e5c1#001|前端</t>
  </si>
  <si>
    <t>W016|tsk-339841bab1cf#001|前端</t>
  </si>
  <si>
    <t>W016|tsk-5c3c488e8374#001|前端</t>
  </si>
  <si>
    <t>W016|tsk-031a8fd31f7a#001|前端</t>
  </si>
  <si>
    <t>W016|tsk-eda52a0a3d62#001|前端</t>
  </si>
  <si>
    <t>W016|tsk-13a94a87edcb#001|前端</t>
  </si>
  <si>
    <t>W016|tsk-504c9ba6309d#001|前端</t>
  </si>
  <si>
    <t>W016|tsk-e439a610e5c1#001|后端</t>
  </si>
  <si>
    <t>W016|tsk-339841bab1cf#001|后端</t>
  </si>
  <si>
    <t>W016|tsk-5c3c488e8374#001|后端</t>
  </si>
  <si>
    <t>W016|tsk-031a8fd31f7a#001|后端</t>
  </si>
  <si>
    <t>W016|tsk-eda52a0a3d62#001|后端</t>
  </si>
  <si>
    <t>W016|tsk-13a94a87edcb#001|后端</t>
  </si>
  <si>
    <t>W016|tsk-504c9ba6309d#001|后端</t>
  </si>
  <si>
    <t>W017|tsk-36b50b083723#001|前端</t>
  </si>
  <si>
    <t>W017|tsk-8b699cb2d97b#001|前端</t>
  </si>
  <si>
    <t>W017|tsk-97239b879826#001|前端</t>
  </si>
  <si>
    <t>W017|tsk-67356a4c38e7#001|前端</t>
  </si>
  <si>
    <t>W017|tsk-36b50b083723#001|后端</t>
  </si>
  <si>
    <t>W017|tsk-8b699cb2d97b#001|后端</t>
  </si>
  <si>
    <t>W017|tsk-97239b879826#001|后端</t>
  </si>
  <si>
    <t>W017|tsk-67356a4c38e7#001|后端</t>
  </si>
  <si>
    <t>W018|tsk-2e5e69219e67#001|测试</t>
  </si>
  <si>
    <t>W018|tsk-c1590b9d60b9#001|测试</t>
  </si>
  <si>
    <t>W018|tsk-449ebaf20126#001|测试</t>
  </si>
  <si>
    <t>W018|tsk-01c63684d31f#001|测试</t>
  </si>
  <si>
    <t>W018|tsk-684ea1a8faac#001|测试</t>
  </si>
  <si>
    <t>W018|tsk-e439a610e5c1#001|测试</t>
  </si>
  <si>
    <t>W018|tsk-339841bab1cf#001|测试</t>
  </si>
  <si>
    <t>W018|tsk-5c3c488e8374#001|测试</t>
  </si>
  <si>
    <t>W018|tsk-031a8fd31f7a#001|测试</t>
  </si>
  <si>
    <t>W018|tsk-eda52a0a3d62#001|测试</t>
  </si>
  <si>
    <t>W018|tsk-13a94a87edcb#001|测试</t>
  </si>
  <si>
    <t>W018|tsk-af568665c0d5#001|测试</t>
  </si>
  <si>
    <t>W018|tsk-9716888ab487#001|测试</t>
  </si>
  <si>
    <t>W018|tsk-a195bb2f0e59#001|测试</t>
  </si>
  <si>
    <t>W018|tsk-d6b4db0b7fa5#001|测试</t>
  </si>
  <si>
    <t>W018|tsk-504c9ba6309d#001|测试</t>
  </si>
  <si>
    <t>W021|tsk-48d2a2f6f0ca#001|前端</t>
  </si>
  <si>
    <t>W021|tsk-1434d732f324#001|前端</t>
  </si>
  <si>
    <t>W021|tsk-687e056338b0#001|前端</t>
  </si>
  <si>
    <t>W021|tsk-1f2d6d901b96#001|前端</t>
  </si>
  <si>
    <t>W021|tsk-569b438a861f#001|前端</t>
  </si>
  <si>
    <t>W021|tsk-190248011e64#001|前端</t>
  </si>
  <si>
    <t>W021|tsk-042dd9e15de9#001|前端</t>
  </si>
  <si>
    <t>W021|tsk-733eb8844d0a#001|前端</t>
  </si>
  <si>
    <t>W021|tsk-51e2a658ea29#001|前端</t>
  </si>
  <si>
    <t>W021|tsk-6e540ffca5c7#001|前端</t>
  </si>
  <si>
    <t>W021|tsk-09a02f4d7d83#001|前端</t>
  </si>
  <si>
    <t>W021|tsk-da7f1bbdc582#001|前端</t>
  </si>
  <si>
    <t>W021|tsk-f0e8e7f9f9ee#001|前端</t>
  </si>
  <si>
    <t>W021|tsk-ca380e0d0aee#001|前端</t>
  </si>
  <si>
    <t>W021|tsk-ed4dab57b66a#001|前端</t>
  </si>
  <si>
    <t>W021|tsk-ba4956b049fc#001|前端</t>
  </si>
  <si>
    <t>W021|tsk-d843b0070289#001|前端</t>
  </si>
  <si>
    <t>W021|tsk-f0fcc8b90f2f#001|前端</t>
  </si>
  <si>
    <t>W021|tsk-18bc2a0df442#001|前端</t>
  </si>
  <si>
    <t>W021|tsk-5d63b672e354#001|前端</t>
  </si>
  <si>
    <t>W021|tsk-c19b20b85e7d#001|前端</t>
  </si>
  <si>
    <t>W021|tsk-4d9a344af7af#001|前端</t>
  </si>
  <si>
    <t>W021|tsk-9b71d83dfa28#001|前端</t>
  </si>
  <si>
    <t>W021|tsk-ce4913ddfaf8#001|前端</t>
  </si>
  <si>
    <t>W021|tsk-178c0ad2db5d#001|前端</t>
  </si>
  <si>
    <t>W021|tsk-6c8633be9834#001|前端</t>
  </si>
  <si>
    <t>W021|tsk-b2bf08346ef0#001|前端</t>
  </si>
  <si>
    <t>W021|tsk-dc1028c0741b#001|前端</t>
  </si>
  <si>
    <t>W021|tsk-ba976910e0a8#001|前端</t>
  </si>
  <si>
    <t>W021|tsk-2f656028e1ee#001|前端</t>
  </si>
  <si>
    <t>W021|tsk-8da0ab00b9be#001|前端</t>
  </si>
  <si>
    <t>W021|tsk-16b867992f39#001|前端</t>
  </si>
  <si>
    <t>W021|tsk-51f72709ab2b#001|前端</t>
  </si>
  <si>
    <t>W021|tsk-fc2047391ae1#001|前端</t>
  </si>
  <si>
    <t>W021|tsk-c3816ac8c41c#001|前端</t>
  </si>
  <si>
    <t>W021|tsk-48d2a2f6f0ca#001|后端</t>
  </si>
  <si>
    <t>W021|tsk-1434d732f324#001|后端</t>
  </si>
  <si>
    <t>W021|tsk-687e056338b0#001|后端</t>
  </si>
  <si>
    <t>W021|tsk-1f2d6d901b96#001|后端</t>
  </si>
  <si>
    <t>W021|tsk-569b438a861f#001|后端</t>
  </si>
  <si>
    <t>W021|tsk-190248011e64#001|后端</t>
  </si>
  <si>
    <t>W021|tsk-042dd9e15de9#001|后端</t>
  </si>
  <si>
    <t>W021|tsk-733eb8844d0a#001|后端</t>
  </si>
  <si>
    <t>W021|tsk-51e2a658ea29#001|后端</t>
  </si>
  <si>
    <t>W021|tsk-6e540ffca5c7#001|后端</t>
  </si>
  <si>
    <t>W021|tsk-09a02f4d7d83#001|后端</t>
  </si>
  <si>
    <t>W021|tsk-da7f1bbdc582#001|后端</t>
  </si>
  <si>
    <t>W021|tsk-f0e8e7f9f9ee#001|后端</t>
  </si>
  <si>
    <t>W021|tsk-ca380e0d0aee#001|后端</t>
  </si>
  <si>
    <t>W021|tsk-ed4dab57b66a#001|后端</t>
  </si>
  <si>
    <t>W021|tsk-ba4956b049fc#001|后端</t>
  </si>
  <si>
    <t>W021|tsk-d843b0070289#001|后端</t>
  </si>
  <si>
    <t>W021|tsk-f0fcc8b90f2f#001|后端</t>
  </si>
  <si>
    <t>W021|tsk-18bc2a0df442#001|后端</t>
  </si>
  <si>
    <t>W021|tsk-5d63b672e354#001|后端</t>
  </si>
  <si>
    <t>W021|tsk-c19b20b85e7d#001|后端</t>
  </si>
  <si>
    <t>W021|tsk-4d9a344af7af#001|后端</t>
  </si>
  <si>
    <t>W021|tsk-9b71d83dfa28#001|后端</t>
  </si>
  <si>
    <t>W021|tsk-ce4913ddfaf8#001|后端</t>
  </si>
  <si>
    <t>W021|tsk-178c0ad2db5d#001|后端</t>
  </si>
  <si>
    <t>W021|tsk-6c8633be9834#001|后端</t>
  </si>
  <si>
    <t>W021|tsk-b2bf08346ef0#001|后端</t>
  </si>
  <si>
    <t>W021|tsk-dc1028c0741b#001|后端</t>
  </si>
  <si>
    <t>W021|tsk-ba976910e0a8#001|后端</t>
  </si>
  <si>
    <t>W021|tsk-2f656028e1ee#001|后端</t>
  </si>
  <si>
    <t>W021|tsk-8da0ab00b9be#001|后端</t>
  </si>
  <si>
    <t>W021|tsk-16b867992f39#001|后端</t>
  </si>
  <si>
    <t>W021|tsk-51f72709ab2b#001|后端</t>
  </si>
  <si>
    <t>W021|tsk-fc2047391ae1#001|后端</t>
  </si>
  <si>
    <t>W021|tsk-c3816ac8c41c#001|后端</t>
  </si>
  <si>
    <t>W023|tsk-48d2a2f6f0ca#001|测试</t>
  </si>
  <si>
    <t>W023|tsk-1434d732f324#001|测试</t>
  </si>
  <si>
    <t>W023|tsk-6f7899347220#001|测试</t>
  </si>
  <si>
    <t>W023|tsk-5e443e932dea#001|测试</t>
  </si>
  <si>
    <t>W023|tsk-687e056338b0#001|测试</t>
  </si>
  <si>
    <t>W023|tsk-1f2d6d901b96#001|测试</t>
  </si>
  <si>
    <t>W023|tsk-569b438a861f#001|测试</t>
  </si>
  <si>
    <t>W023|tsk-190248011e64#001|测试</t>
  </si>
  <si>
    <t>W023|tsk-f6c637702ac8#001|测试</t>
  </si>
  <si>
    <t>W023|tsk-b94ca72bec1d#001|测试</t>
  </si>
  <si>
    <t>W023|tsk-042dd9e15de9#001|测试</t>
  </si>
  <si>
    <t>W023|tsk-733eb8844d0a#001|测试</t>
  </si>
  <si>
    <t>W023|tsk-2b8fe09330fa#001|测试</t>
  </si>
  <si>
    <t>W023|tsk-2cf4f1125368#001|测试</t>
  </si>
  <si>
    <t>W023|tsk-a8a88945c3aa#001|测试</t>
  </si>
  <si>
    <t>W023|tsk-1257be12f654#001|测试</t>
  </si>
  <si>
    <t>W023|tsk-0941687334ee#001|测试</t>
  </si>
  <si>
    <t>W023|tsk-df5becb03546#001|测试</t>
  </si>
  <si>
    <t>W023|tsk-40a850a3615b#001|测试</t>
  </si>
  <si>
    <t>W023|tsk-51e2a658ea29#001|测试</t>
  </si>
  <si>
    <t>W023|tsk-6e540ffca5c7#001|测试</t>
  </si>
  <si>
    <t>W023|tsk-09a02f4d7d83#001|测试</t>
  </si>
  <si>
    <t>W023|tsk-da7f1bbdc582#001|测试</t>
  </si>
  <si>
    <t>W023|tsk-f0e8e7f9f9ee#001|测试</t>
  </si>
  <si>
    <t>W023|tsk-ca380e0d0aee#001|测试</t>
  </si>
  <si>
    <t>W023|tsk-ed4dab57b66a#001|测试</t>
  </si>
  <si>
    <t>W023|tsk-ba4956b049fc#001|测试</t>
  </si>
  <si>
    <t>W023|tsk-36b50b083723#001|测试</t>
  </si>
  <si>
    <t>W023|tsk-8b699cb2d97b#001|测试</t>
  </si>
  <si>
    <t>W023|tsk-97239b879826#001|测试</t>
  </si>
  <si>
    <t>W023|tsk-67356a4c38e7#001|测试</t>
  </si>
  <si>
    <t>W023|tsk-d843b0070289#001|测试</t>
  </si>
  <si>
    <t>W023|tsk-f0fcc8b90f2f#001|测试</t>
  </si>
  <si>
    <t>W023|tsk-18bc2a0df442#001|测试</t>
  </si>
  <si>
    <t>W023|tsk-5d63b672e354#001|测试</t>
  </si>
  <si>
    <t>W023|tsk-c19b20b85e7d#001|测试</t>
  </si>
  <si>
    <t>W023|tsk-4d9a344af7af#001|测试</t>
  </si>
  <si>
    <t>W023|tsk-9b71d83dfa28#001|测试</t>
  </si>
  <si>
    <t>W023|tsk-ce4913ddfaf8#001|测试</t>
  </si>
  <si>
    <t>W023|tsk-178c0ad2db5d#001|测试</t>
  </si>
  <si>
    <t>W023|tsk-6c8633be9834#001|测试</t>
  </si>
  <si>
    <t>W023|tsk-b2bf08346ef0#001|测试</t>
  </si>
  <si>
    <t>W023|tsk-dc1028c0741b#001|测试</t>
  </si>
  <si>
    <t>W023|tsk-ba976910e0a8#001|测试</t>
  </si>
  <si>
    <t>W023|tsk-2f656028e1ee#001|测试</t>
  </si>
  <si>
    <t>W023|tsk-8da0ab00b9be#001|测试</t>
  </si>
  <si>
    <t>W023|tsk-16b867992f39#001|测试</t>
  </si>
  <si>
    <t>W023|tsk-51f72709ab2b#001|测试</t>
  </si>
  <si>
    <t>W023|tsk-fc2047391ae1#001|测试</t>
  </si>
  <si>
    <t>W023|tsk-a9cbee439438#001|测试</t>
  </si>
  <si>
    <t>W023|tsk-b174cf36c1c8#001|测试</t>
  </si>
  <si>
    <t>W023|tsk-b782224c74f5#001|测试</t>
  </si>
  <si>
    <t>W023|tsk-c3816ac8c41c#001|测试</t>
  </si>
  <si>
    <t>待排期</t>
  </si>
  <si>
    <t>计划完成待补充</t>
  </si>
  <si>
    <t>待排期|tsk-8e34ce8f4239#001|业务</t>
  </si>
  <si>
    <t>待排期|tsk-965e74d49261#001|业务</t>
  </si>
  <si>
    <t>待排期|tsk-38a802bbe105#001|业务</t>
  </si>
  <si>
    <t>待排期|tsk-cb19eab07c79#001|业务</t>
  </si>
  <si>
    <t>负责人待补充
计划完成待补充</t>
  </si>
  <si>
    <t>待排期|tsk-291e10c22527#001|业务</t>
  </si>
  <si>
    <t>待排期|tsk-2f972324dec9#001|业务</t>
  </si>
  <si>
    <t>待排期|tsk-4a266e697780#001|业务</t>
  </si>
  <si>
    <t>待排期|tsk-1ae4783480c2#001|业务</t>
  </si>
  <si>
    <t>待排期|tsk-16a27f7bcbd1#001|业务</t>
  </si>
  <si>
    <t>待排期|tsk-3bc03b0253af#001|业务</t>
  </si>
  <si>
    <t>计划完成待补充
完成日期待补充</t>
  </si>
  <si>
    <t>待排期|tsk-4537a4eb5b31#001|业务</t>
  </si>
  <si>
    <t>待排期|tsk-9a64b8ed984e#001|业务</t>
  </si>
  <si>
    <t>待排期|tsk-9355d4cfb537#001|业务</t>
  </si>
  <si>
    <t>待排期|tsk-b55e82bcfe4a#001|业务</t>
  </si>
  <si>
    <t>待排期|tsk-291e10c22527#001|前端</t>
  </si>
  <si>
    <t>待排期|tsk-2f972324dec9#001|前端</t>
  </si>
  <si>
    <t>待排期|tsk-4a266e697780#001|前端</t>
  </si>
  <si>
    <t>待排期|tsk-1ae4783480c2#001|前端</t>
  </si>
  <si>
    <t>待排期|tsk-16a27f7bcbd1#001|前端</t>
  </si>
  <si>
    <t>待排期|tsk-3bc03b0253af#001|前端</t>
  </si>
  <si>
    <t>待排期|tsk-291e10c22527#001|后端</t>
  </si>
  <si>
    <t>待排期|tsk-2f972324dec9#001|后端</t>
  </si>
  <si>
    <t>待排期|tsk-4a266e697780#001|后端</t>
  </si>
  <si>
    <t>待排期|tsk-1ae4783480c2#001|后端</t>
  </si>
  <si>
    <t>待排期|tsk-16a27f7bcbd1#001|后端</t>
  </si>
  <si>
    <t>待排期|tsk-3bc03b0253af#001|后端</t>
  </si>
  <si>
    <t>待排期|tsk-291e10c22527#001|测试</t>
  </si>
  <si>
    <t>待排期|tsk-2f972324dec9#001|测试</t>
  </si>
  <si>
    <t>待排期|tsk-4a266e697780#001|测试</t>
  </si>
  <si>
    <t>待排期|tsk-1ae4783480c2#001|测试</t>
  </si>
  <si>
    <t>待排期|tsk-16a27f7bcbd1#001|测试</t>
  </si>
  <si>
    <t>待排期|tsk-3bc03b0253af#001|测试</t>
  </si>
  <si>
    <t>外部系统集成管理</t>
  </si>
  <si>
    <t>集成ID</t>
  </si>
  <si>
    <t>集成系统</t>
  </si>
  <si>
    <t>交互方式</t>
  </si>
  <si>
    <t>对接人</t>
  </si>
  <si>
    <t>集成内容</t>
  </si>
  <si>
    <t>原计划进展</t>
  </si>
  <si>
    <t>管理状态</t>
  </si>
  <si>
    <t>实际完成</t>
  </si>
  <si>
    <t>风险/备注</t>
  </si>
  <si>
    <t>INT-01</t>
  </si>
  <si>
    <t>调运系统</t>
  </si>
  <si>
    <t>接入</t>
  </si>
  <si>
    <t>佘万明</t>
  </si>
  <si>
    <t>船舶轨迹位置、船舶档案、海图信息</t>
  </si>
  <si>
    <t>INT-02</t>
  </si>
  <si>
    <t>法治平台</t>
  </si>
  <si>
    <t>许祥</t>
  </si>
  <si>
    <t>曹妃甸港、太仓港合同信息</t>
  </si>
  <si>
    <t>已初步对接，对方已提供接口文档，数据清单</t>
  </si>
  <si>
    <t>1.进度风险：法制平台7月上线试点运行，会在10月份全面上线，相关功能应用需在10月份后才能上线；
2.功能风险：企法部要求法制平台咱不提供接收合同接口，无法满足客户在本系统录入合同的需求，已与用户反馈，用户内部需进行评估</t>
  </si>
  <si>
    <t>INT-03</t>
  </si>
  <si>
    <t>集团大模型服务</t>
  </si>
  <si>
    <t>李超来</t>
  </si>
  <si>
    <t>OCR能力</t>
  </si>
  <si>
    <t>1.效率风险：文件识别效率偏低，需1分钟左右</t>
  </si>
  <si>
    <t>INT-04</t>
  </si>
  <si>
    <t>港航部科技项目系统</t>
  </si>
  <si>
    <t>曹妃甸港、太仓港视频监控数据</t>
  </si>
  <si>
    <t>已初步对接，对方预计10月份具备接口联调条件</t>
  </si>
  <si>
    <t>1.科技项目不会对接全部生产作业视频监控数据，需确认科技项目对接范围后确认是否满足用户需求</t>
  </si>
  <si>
    <t>INT-05</t>
  </si>
  <si>
    <t>曹妃甸管控一体化系统</t>
  </si>
  <si>
    <t>接入、推送</t>
  </si>
  <si>
    <t>张应龙</t>
  </si>
  <si>
    <t>基础数据、业务数据、结算数据</t>
  </si>
  <si>
    <t>未对接</t>
  </si>
  <si>
    <t>暂无</t>
  </si>
  <si>
    <t>INT-06</t>
  </si>
  <si>
    <t>太仓港管控一体化系统</t>
  </si>
  <si>
    <t>1.太仓港管控一体化系统刚立项，集成工作暂时无法开展</t>
  </si>
  <si>
    <t>风险与问题闭环台账</t>
  </si>
  <si>
    <t>编号</t>
  </si>
  <si>
    <t>风险/问题描述</t>
  </si>
  <si>
    <t>影响范围</t>
  </si>
  <si>
    <t>计划关闭</t>
  </si>
  <si>
    <t>实际关闭</t>
  </si>
  <si>
    <t>触发条件/根因</t>
  </si>
  <si>
    <t>剩余天数</t>
  </si>
  <si>
    <t>跟踪记录</t>
  </si>
  <si>
    <t>R-001</t>
  </si>
  <si>
    <t>风险</t>
  </si>
  <si>
    <t>法治平台全面上线时间影响相关功能投产</t>
  </si>
  <si>
    <t>合同信息集成</t>
  </si>
  <si>
    <t>确认对方正式上线窗口，制定模拟数据和延期切换方案</t>
  </si>
  <si>
    <t>对方10月后方可正式支撑</t>
  </si>
  <si>
    <t>处理中</t>
  </si>
  <si>
    <t>来源：原计划-集成工作</t>
  </si>
  <si>
    <t>R-002</t>
  </si>
  <si>
    <t>法治平台不提供合同接收接口，可能无法满足本系统录入合同需求</t>
  </si>
  <si>
    <t>合同业务闭环</t>
  </si>
  <si>
    <t>推动用户决策，形成接口边界与替代方案确认单</t>
  </si>
  <si>
    <t>接口能力与业务诉求不一致</t>
  </si>
  <si>
    <t>待处理</t>
  </si>
  <si>
    <t>R-003</t>
  </si>
  <si>
    <t>OCR识别耗时约1分钟，影响业务效率</t>
  </si>
  <si>
    <t>技术负责人</t>
  </si>
  <si>
    <t>压测典型文件，确定超时阈值、异步处理与结果回调方案</t>
  </si>
  <si>
    <t>外部大模型服务性能</t>
  </si>
  <si>
    <t>R-004</t>
  </si>
  <si>
    <t>视频监控数据对接范围尚未明确</t>
  </si>
  <si>
    <t>视频监控</t>
  </si>
  <si>
    <t>确认科技项目覆盖清单并补充缺口方案</t>
  </si>
  <si>
    <t>上游系统范围不确定</t>
  </si>
  <si>
    <t>R-005</t>
  </si>
  <si>
    <t>太仓港管控一体化系统刚立项，集成工作无法按期开展</t>
  </si>
  <si>
    <t>太仓港数据集成</t>
  </si>
  <si>
    <t>拆分依赖与非依赖工作，设立外部条件就绪门槛</t>
  </si>
  <si>
    <t>外部项目未形成可对接环境</t>
  </si>
  <si>
    <t>R-006</t>
  </si>
  <si>
    <t>第二批次存在大量未开始任务，后续开发测试窗口集中</t>
  </si>
  <si>
    <t>开发负责人</t>
  </si>
  <si>
    <t>按关键路径重排优先级，按周跟踪启动率与完成率</t>
  </si>
  <si>
    <t>资源与工作量集中</t>
  </si>
  <si>
    <t>基于开发计划识别</t>
  </si>
  <si>
    <t>项目变更台账</t>
  </si>
  <si>
    <t>变更编号</t>
  </si>
  <si>
    <t>提出日期</t>
  </si>
  <si>
    <t>提出人</t>
  </si>
  <si>
    <t>变更内容</t>
  </si>
  <si>
    <t>变更原因</t>
  </si>
  <si>
    <t>优先级</t>
  </si>
  <si>
    <t>审批状态</t>
  </si>
  <si>
    <t>工期影响(天)</t>
  </si>
  <si>
    <t>评估人</t>
  </si>
  <si>
    <t>实施日期</t>
  </si>
  <si>
    <t>关闭说明</t>
  </si>
  <si>
    <t>项目交付物与质量门禁</t>
  </si>
  <si>
    <t>交付物ID</t>
  </si>
  <si>
    <t>交付物名称</t>
  </si>
  <si>
    <t>评审人</t>
  </si>
  <si>
    <t>评审结论</t>
  </si>
  <si>
    <t>版本/存放位置</t>
  </si>
  <si>
    <t>D-001</t>
  </si>
  <si>
    <t>项目管理计划</t>
  </si>
  <si>
    <t>管理</t>
  </si>
  <si>
    <t>项目负责人</t>
  </si>
  <si>
    <t>待评审</t>
  </si>
  <si>
    <t>D-002</t>
  </si>
  <si>
    <t>业务需求规格说明书</t>
  </si>
  <si>
    <t>需求</t>
  </si>
  <si>
    <t>D-003</t>
  </si>
  <si>
    <t>系统总体设计说明书</t>
  </si>
  <si>
    <t>设计</t>
  </si>
  <si>
    <t>架构负责人</t>
  </si>
  <si>
    <t>D-004</t>
  </si>
  <si>
    <t>接口清单及接口设计说明</t>
  </si>
  <si>
    <t>集成</t>
  </si>
  <si>
    <t>D-005</t>
  </si>
  <si>
    <t>第一批次测试报告</t>
  </si>
  <si>
    <t>D-006</t>
  </si>
  <si>
    <t>第二批次测试报告</t>
  </si>
  <si>
    <t>D-007</t>
  </si>
  <si>
    <t>上线方案及回退方案</t>
  </si>
  <si>
    <t>上线</t>
  </si>
  <si>
    <t>运维负责人</t>
  </si>
  <si>
    <t>D-008</t>
  </si>
  <si>
    <t>用户操作手册</t>
  </si>
  <si>
    <t>培训</t>
  </si>
  <si>
    <t>实施负责人</t>
  </si>
  <si>
    <t>D-009</t>
  </si>
  <si>
    <t>用户验收报告</t>
  </si>
  <si>
    <t>验收</t>
  </si>
  <si>
    <t>D-010</t>
  </si>
  <si>
    <t>项目总结与移交清单</t>
  </si>
  <si>
    <t>收尾</t>
  </si>
  <si>
    <t>会议纪要与行动项跟踪</t>
  </si>
  <si>
    <t>行动项ID</t>
  </si>
  <si>
    <t>会议日期</t>
  </si>
  <si>
    <t>会议主题</t>
  </si>
  <si>
    <t>决策/行动事项</t>
  </si>
  <si>
    <t>协同人</t>
  </si>
  <si>
    <t>截止日期</t>
  </si>
  <si>
    <t>完成日期</t>
  </si>
  <si>
    <t>逾期天数</t>
  </si>
  <si>
    <t>结果说明</t>
  </si>
  <si>
    <t>项目管理工作簿使用说明</t>
  </si>
  <si>
    <t>标准更新流程</t>
  </si>
  <si>
    <t>1. 将最新项目计划放入inputs目录；2. 发起“更新V2模板”；3. 系统按文件修改时间选择最新Excel；4. 核对总控、诊断、督办和资源计划。</t>
  </si>
  <si>
    <t>输入目录</t>
  </si>
  <si>
    <t>固定从项目目录下的inputs文件夹读取；支持.xlsx和.xlsm，并自动忽略以~$开头的Excel临时文件。</t>
  </si>
  <si>
    <t>本次数据来源</t>
  </si>
  <si>
    <t>RLMGH-PBG-PLN-华能交易中心-港口交易平台开发计划-20260910-V2.xlsx</t>
  </si>
  <si>
    <t>任务范围</t>
  </si>
  <si>
    <t>根据最新开发计划动态识别任务行，本次共145条任务；任务增减时，总控及相关明细范围同步调整。</t>
  </si>
  <si>
    <t>在“项目驾驶舱”B3修改统计日期，延期、剩余天数、临近到期和两周督办会同步变化。</t>
  </si>
  <si>
    <t>挂起与暂停</t>
  </si>
  <si>
    <t>业务、后端、前端或测试任一环节为“挂起”或“暂停”时，总体状态自动显示“暂停”；延期状态同步显示“暂停”。</t>
  </si>
  <si>
    <t>综合进度口径</t>
  </si>
  <si>
    <t>业务设计15%、后端开发35%、前端开发30%、测试20%；进行中按该阶段50%计，完成按100%计。</t>
  </si>
  <si>
    <t>延期口径</t>
  </si>
  <si>
    <t>总体状态不是“已完成”或“暂停”，且计划完成日期早于统计日期，判定为“已延期”；7天内到期为“临近到期”。</t>
  </si>
  <si>
    <t>资源汇总和周计划直接根据总控台账生成；周计划按人员分组合并，用于查看每周是否有任务及任务清单。</t>
  </si>
  <si>
    <t>资源录入</t>
  </si>
  <si>
    <t>每人每周可用工时固定为40小时，并在同一周的并行任务间平均分配到0.5小时档位；取整超额从部分任务中调减，确保该人员当周合计仍为40小时。跨周任务累计各周分摊工时。</t>
  </si>
  <si>
    <t>成本口径</t>
  </si>
  <si>
    <t>统一人员单价为1200元/人天，按8小时/人天折算为150元/小时。驾驶舱计划人工成本根据资源汇总的计划投入工时计算。</t>
  </si>
  <si>
    <t>周迭代计划</t>
  </si>
  <si>
    <t>上方周汇总承诺完成、延期、暂停；下方按总控任务四阶段展开；周目标和复盘由人工填写，其余内容在更新V2时重建。</t>
  </si>
  <si>
    <t>高：影响上线、关键业务闭环或外部关键依赖；中：可通过方案或资源调整控制；低：局部、短期、可快速恢复。</t>
  </si>
  <si>
    <t>更新频率</t>
  </si>
  <si>
    <t>总控台账和行动项每周至少更新1次；风险问题发生变化即更新；变更提出后即登记；里程碑在阶段门前后更新。</t>
  </si>
  <si>
    <t>注意事项</t>
  </si>
  <si>
    <t>源计划中的空白或“/”保持为空。刷新后重点核对新增任务、暂停任务、外部接口完成时间、上线窗口和实际完成日期。</t>
  </si>
  <si>
    <t>登记影响项目的决策方、业务方、建设方、使用方、监管方和供应商；每周检查支持差距、沟通逾期、待办行动和升级事项。</t>
  </si>
  <si>
    <t>风险管理工具</t>
  </si>
  <si>
    <t>按风险管理计划统一评分和升级口径；风险登记册是唯一风险数据源；热力图、重点清单和驾驶舱自动读取登记册；重大风险填写专项应对，具体行动进入风险应对计划。</t>
  </si>
  <si>
    <t>AI项目诊断</t>
  </si>
  <si>
    <t>数据日期引用“项目驾驶舱”B3；红黄绿由客观规则计算，管理判断由项目经理确认。</t>
  </si>
  <si>
    <t>数据日期</t>
  </si>
  <si>
    <t>项目经理判断</t>
  </si>
  <si>
    <t>待确认</t>
  </si>
  <si>
    <t>判断说明</t>
  </si>
  <si>
    <t>根据诊断指标补充总体判断、最大失控点和需要的支持。</t>
  </si>
  <si>
    <t>任务总数</t>
  </si>
  <si>
    <t>已完成任务</t>
  </si>
  <si>
    <t>逾期任务</t>
  </si>
  <si>
    <t>未来14天到期</t>
  </si>
  <si>
    <t>未关闭高风险</t>
  </si>
  <si>
    <t>逾期风险/问题</t>
  </si>
  <si>
    <t>逾期行动项</t>
  </si>
  <si>
    <t>数据质量问题</t>
  </si>
  <si>
    <t>项目健康规则</t>
  </si>
  <si>
    <t>状态分布</t>
  </si>
  <si>
    <t>维度</t>
  </si>
  <si>
    <t>客观判断</t>
  </si>
  <si>
    <t>触发规则</t>
  </si>
  <si>
    <t>建议动作</t>
  </si>
  <si>
    <t>责任角色</t>
  </si>
  <si>
    <t>数量</t>
  </si>
  <si>
    <t>进度</t>
  </si>
  <si>
    <t>延期≥5红；有延期或暂停黄；否则绿</t>
  </si>
  <si>
    <t>确认关键路径、暂停原因和恢复条件</t>
  </si>
  <si>
    <t>绿</t>
  </si>
  <si>
    <t>高风险≥3红；1-2黄；0绿</t>
  </si>
  <si>
    <t>逐项落实责任人和关闭证据</t>
  </si>
  <si>
    <t>黄</t>
  </si>
  <si>
    <t>行动</t>
  </si>
  <si>
    <t>逾期&gt;7天红；有逾期黄；无逾期绿</t>
  </si>
  <si>
    <t>升级逾期事项并确认新承诺</t>
  </si>
  <si>
    <t>红</t>
  </si>
  <si>
    <t>数据</t>
  </si>
  <si>
    <t>缺陷≥10红；1-9黄；0绿</t>
  </si>
  <si>
    <t>补齐责任人、日期和状态</t>
  </si>
  <si>
    <t>台账维护人</t>
  </si>
  <si>
    <t>灰</t>
  </si>
  <si>
    <t>相关方</t>
  </si>
  <si>
    <t>高权力不支持红；存在支持差距或沟通逾期黄；否则绿</t>
  </si>
  <si>
    <t>确认诉求、沟通计划、责任人和升级路径</t>
  </si>
  <si>
    <t>风险治理</t>
  </si>
  <si>
    <t>有重大剩余风险红；有高风险或应对逾期黄；否则绿</t>
  </si>
  <si>
    <t>确认重大风险决策、应对责任和关闭证据</t>
  </si>
  <si>
    <t>数据质量检查</t>
  </si>
  <si>
    <t>逐条检查项目总控台账中的关键管理字段。状态为“需整改”的记录应在源台账中修正。</t>
  </si>
  <si>
    <t>来源</t>
  </si>
  <si>
    <t>记录ID</t>
  </si>
  <si>
    <t>发现的问题</t>
  </si>
  <si>
    <t>检查状态</t>
  </si>
  <si>
    <t>源行号</t>
  </si>
  <si>
    <t>项目总控台账</t>
  </si>
  <si>
    <t>待决策事项</t>
  </si>
  <si>
    <t>记录超出项目团队权限、需要管理层或业务方明确取舍的事项。黄色单元格需要人工维护。</t>
  </si>
  <si>
    <t>决策ID</t>
  </si>
  <si>
    <t>决策主题</t>
  </si>
  <si>
    <t>背景与现状</t>
  </si>
  <si>
    <t>可选方案</t>
  </si>
  <si>
    <t>建议方案</t>
  </si>
  <si>
    <t>决策人</t>
  </si>
  <si>
    <t>需要日期</t>
  </si>
  <si>
    <t>决策结果</t>
  </si>
  <si>
    <t>两周督办</t>
  </si>
  <si>
    <t>自动识别未来14天到期及已经逾期的未完成任务。使用“是否纳入”筛选出需要督办的记录。</t>
  </si>
  <si>
    <t>是否纳入</t>
  </si>
  <si>
    <t>距截止天数</t>
  </si>
  <si>
    <t>承诺完成</t>
  </si>
  <si>
    <t>PMO周报</t>
  </si>
  <si>
    <t>面向项目领导的周报底稿。指标自动计算，黄色区域由项目经理审核后填写。</t>
  </si>
  <si>
    <t>报告日期</t>
  </si>
  <si>
    <t>项目状态</t>
  </si>
  <si>
    <t>状态说明</t>
  </si>
  <si>
    <t>一、本周总体判断</t>
  </si>
  <si>
    <t>说明项目整体状态、与上周相比的变化以及最大失控点。</t>
  </si>
  <si>
    <t>二、本周完成事项</t>
  </si>
  <si>
    <t>列出已经完成且有证据的关键事项，不写日常过程。</t>
  </si>
  <si>
    <t>三、未来两周重点</t>
  </si>
  <si>
    <t>从“两周督办”筛选“是否纳入=是”，确认责任人和承诺日期。</t>
  </si>
  <si>
    <t>四、主要风险与问题</t>
  </si>
  <si>
    <t>优先说明高等级、已逾期、影响里程碑的风险与问题。</t>
  </si>
  <si>
    <t>五、待决策与需协调事项</t>
  </si>
  <si>
    <t>从“待决策事项”提取仍未决策且已接近需要日期的事项。</t>
  </si>
  <si>
    <t>自动指标</t>
  </si>
  <si>
    <t>指标</t>
  </si>
  <si>
    <t>本期值</t>
  </si>
  <si>
    <t>管理含义</t>
  </si>
  <si>
    <t>观察总体交付进展</t>
  </si>
  <si>
    <t>逾期任务数</t>
  </si>
  <si>
    <t>检查关键路径和补救计划</t>
  </si>
  <si>
    <t>确认应对措施和升级需求</t>
  </si>
  <si>
    <t>检查承诺兑现情况</t>
  </si>
  <si>
    <t>明确决策人和最迟日期</t>
  </si>
  <si>
    <t>提高AI诊断可信度</t>
  </si>
  <si>
    <t>AI运行日志</t>
  </si>
  <si>
    <t>记录每次AI分析的输入范围、发现、建议、人工确认和处理结果，便于追踪与复盘。</t>
  </si>
  <si>
    <t>运行ID</t>
  </si>
  <si>
    <t>运行时间</t>
  </si>
  <si>
    <t>分析类型</t>
  </si>
  <si>
    <t>分析范围</t>
  </si>
  <si>
    <t>主要发现</t>
  </si>
  <si>
    <t>AI建议</t>
  </si>
  <si>
    <t>人工结论</t>
  </si>
  <si>
    <t>处理人</t>
  </si>
  <si>
    <t>处理状态</t>
  </si>
  <si>
    <t>完成时间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</si>
</sst>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yyyy\-mm\-dd"/>
    <numFmt numFmtId="178" formatCode="\¥#,##0"/>
    <numFmt numFmtId="179" formatCode="yyyy&quot;年&quot;m&quot;月&quot;d&quot;日&quot;;@"/>
    <numFmt numFmtId="180" formatCode="0.0"/>
  </numFmts>
  <fonts count="38">
    <font>
      <sz val="11"/>
      <name val="Carlito"/>
      <charset val="134"/>
    </font>
    <font>
      <b/>
      <sz val="16"/>
      <color rgb="FF17365D"/>
      <name val="Carlito"/>
      <charset val="134"/>
    </font>
    <font>
      <i/>
      <sz val="10"/>
      <color rgb="FF5B6573"/>
      <name val="Carlito"/>
      <charset val="134"/>
    </font>
    <font>
      <b/>
      <sz val="10"/>
      <color rgb="FFFFFFFF"/>
      <name val="Carlito"/>
      <charset val="134"/>
    </font>
    <font>
      <sz val="10"/>
      <color rgb="FF1F2937"/>
      <name val="Carlito"/>
      <charset val="134"/>
    </font>
    <font>
      <b/>
      <sz val="11"/>
      <color rgb="FF17365D"/>
      <name val="Carlito"/>
      <charset val="134"/>
    </font>
    <font>
      <b/>
      <sz val="12"/>
      <color rgb="FF17365D"/>
      <name val="Carlito"/>
      <charset val="134"/>
    </font>
    <font>
      <sz val="10"/>
      <color rgb="FF5B6573"/>
      <name val="Carlito"/>
      <charset val="134"/>
    </font>
    <font>
      <b/>
      <sz val="18"/>
      <color rgb="FF17365D"/>
      <name val="Carlito"/>
      <charset val="134"/>
    </font>
    <font>
      <b/>
      <sz val="11"/>
      <color rgb="FFFFFFFF"/>
      <name val="Carlito"/>
      <charset val="134"/>
    </font>
    <font>
      <sz val="11"/>
      <color rgb="FF1F2937"/>
      <name val="Carlito"/>
      <charset val="134"/>
    </font>
    <font>
      <b/>
      <sz val="10"/>
      <color rgb="FF17365D"/>
      <name val="Carlito"/>
      <charset val="134"/>
    </font>
    <font>
      <b/>
      <sz val="15"/>
      <color rgb="FF17365D"/>
      <name val="Carlito"/>
      <charset val="134"/>
    </font>
    <font>
      <b/>
      <sz val="11"/>
      <color rgb="FF1F2937"/>
      <name val="Carlito"/>
      <charset val="134"/>
    </font>
    <font>
      <b/>
      <sz val="11"/>
      <color rgb="FFC00000"/>
      <name val="Carlito"/>
      <charset val="134"/>
    </font>
    <font>
      <i/>
      <sz val="9"/>
      <color rgb="FF666666"/>
      <name val="Carlito"/>
      <charset val="134"/>
    </font>
    <font>
      <i/>
      <sz val="11"/>
      <color rgb="FF17365D"/>
      <name val="Carlito"/>
      <charset val="134"/>
    </font>
    <font>
      <b/>
      <sz val="14"/>
      <color rgb="FF17365D"/>
      <name val="Carlito"/>
      <charset val="134"/>
    </font>
    <font>
      <i/>
      <sz val="9"/>
      <color rgb="FF6B7280"/>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4">
    <fill>
      <patternFill patternType="none"/>
    </fill>
    <fill>
      <patternFill patternType="gray125"/>
    </fill>
    <fill>
      <patternFill patternType="solid">
        <fgColor rgb="FF0070C0"/>
        <bgColor indexed="64"/>
      </patternFill>
    </fill>
    <fill>
      <patternFill patternType="solid">
        <fgColor rgb="FFFFF2CC"/>
        <bgColor indexed="64"/>
      </patternFill>
    </fill>
    <fill>
      <patternFill patternType="solid">
        <fgColor rgb="FFEEF5FB"/>
        <bgColor indexed="64"/>
      </patternFill>
    </fill>
    <fill>
      <patternFill patternType="solid">
        <fgColor rgb="FFD9EAF7"/>
        <bgColor indexed="64"/>
      </patternFill>
    </fill>
    <fill>
      <patternFill patternType="solid">
        <fgColor rgb="FF17365D"/>
        <bgColor indexed="64"/>
      </patternFill>
    </fill>
    <fill>
      <patternFill patternType="solid">
        <fgColor rgb="FFFCE4D6"/>
        <bgColor indexed="64"/>
      </patternFill>
    </fill>
    <fill>
      <patternFill patternType="solid">
        <fgColor rgb="FFF4CCCC"/>
        <bgColor indexed="64"/>
      </patternFill>
    </fill>
    <fill>
      <patternFill patternType="solid">
        <fgColor rgb="FFE2F0D9"/>
        <bgColor indexed="64"/>
      </patternFill>
    </fill>
    <fill>
      <patternFill patternType="solid">
        <fgColor rgb="FFDDEBF7"/>
        <bgColor indexed="64"/>
      </patternFill>
    </fill>
    <fill>
      <patternFill patternType="solid">
        <fgColor rgb="FFF2F2F2"/>
        <bgColor indexed="64"/>
      </patternFill>
    </fill>
    <fill>
      <patternFill patternType="solid">
        <fgColor rgb="FFF7F9FC"/>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1">
    <border>
      <left/>
      <right/>
      <top/>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style="thin">
        <color rgb="FFD9E1F2"/>
      </top>
      <bottom/>
      <diagonal/>
    </border>
    <border>
      <left/>
      <right style="thin">
        <color rgb="FFD9E1F2"/>
      </right>
      <top style="thin">
        <color rgb="FFD9E1F2"/>
      </top>
      <bottom/>
      <diagonal/>
    </border>
    <border>
      <left style="thin">
        <color rgb="FFD9E1F2"/>
      </left>
      <right/>
      <top/>
      <bottom/>
      <diagonal/>
    </border>
    <border>
      <left/>
      <right style="thin">
        <color rgb="FFD9E1F2"/>
      </right>
      <top/>
      <bottom/>
      <diagonal/>
    </border>
    <border>
      <left style="thin">
        <color rgb="FFD9E1F2"/>
      </left>
      <right/>
      <top/>
      <bottom style="thin">
        <color rgb="FFD9E1F2"/>
      </bottom>
      <diagonal/>
    </border>
    <border>
      <left/>
      <right/>
      <top/>
      <bottom style="thin">
        <color rgb="FFD9E1F2"/>
      </bottom>
      <diagonal/>
    </border>
    <border>
      <left/>
      <right style="thin">
        <color rgb="FFD9E1F2"/>
      </right>
      <top/>
      <bottom style="thin">
        <color rgb="FFD9E1F2"/>
      </bottom>
      <diagonal/>
    </border>
    <border>
      <left style="thin">
        <color rgb="FFD9E1F2"/>
      </left>
      <right style="thin">
        <color rgb="FFD9E1F2"/>
      </right>
      <top/>
      <bottom/>
      <diagonal/>
    </border>
    <border>
      <left style="thin">
        <color rgb="FFD9E1F2"/>
      </left>
      <right style="thin">
        <color rgb="FFD9E1F2"/>
      </right>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9" fillId="0" borderId="0">
      <alignment vertical="center"/>
    </xf>
    <xf numFmtId="44" fontId="19" fillId="0" borderId="0">
      <alignment vertical="center"/>
    </xf>
    <xf numFmtId="9" fontId="19" fillId="0" borderId="0">
      <alignment vertical="center"/>
    </xf>
    <xf numFmtId="41" fontId="19" fillId="0" borderId="0">
      <alignment vertical="center"/>
    </xf>
    <xf numFmtId="42" fontId="19" fillId="0" borderId="0">
      <alignment vertical="center"/>
    </xf>
    <xf numFmtId="0" fontId="20" fillId="0" borderId="0">
      <alignment vertical="center"/>
    </xf>
    <xf numFmtId="0" fontId="21" fillId="0" borderId="0">
      <alignment vertical="center"/>
    </xf>
    <xf numFmtId="0" fontId="19" fillId="14" borderId="13">
      <alignment vertical="center"/>
    </xf>
    <xf numFmtId="0" fontId="22" fillId="0" borderId="0">
      <alignment vertical="center"/>
    </xf>
    <xf numFmtId="0" fontId="23" fillId="0" borderId="0">
      <alignment vertical="center"/>
    </xf>
    <xf numFmtId="0" fontId="24" fillId="0" borderId="0">
      <alignment vertical="center"/>
    </xf>
    <xf numFmtId="0" fontId="25" fillId="0" borderId="14">
      <alignment vertical="center"/>
    </xf>
    <xf numFmtId="0" fontId="26" fillId="0" borderId="14">
      <alignment vertical="center"/>
    </xf>
    <xf numFmtId="0" fontId="27" fillId="0" borderId="15">
      <alignment vertical="center"/>
    </xf>
    <xf numFmtId="0" fontId="27" fillId="0" borderId="0">
      <alignment vertical="center"/>
    </xf>
    <xf numFmtId="0" fontId="28" fillId="15" borderId="16">
      <alignment vertical="center"/>
    </xf>
    <xf numFmtId="0" fontId="29" fillId="11" borderId="17">
      <alignment vertical="center"/>
    </xf>
    <xf numFmtId="0" fontId="30" fillId="11" borderId="16">
      <alignment vertical="center"/>
    </xf>
    <xf numFmtId="0" fontId="31" fillId="16" borderId="18">
      <alignment vertical="center"/>
    </xf>
    <xf numFmtId="0" fontId="32" fillId="0" borderId="19">
      <alignment vertical="center"/>
    </xf>
    <xf numFmtId="0" fontId="33" fillId="0" borderId="20">
      <alignment vertical="center"/>
    </xf>
    <xf numFmtId="0" fontId="34" fillId="17" borderId="0">
      <alignment vertical="center"/>
    </xf>
    <xf numFmtId="0" fontId="35" fillId="18" borderId="0">
      <alignment vertical="center"/>
    </xf>
    <xf numFmtId="0" fontId="36" fillId="19" borderId="0">
      <alignment vertical="center"/>
    </xf>
    <xf numFmtId="0" fontId="37" fillId="20" borderId="0">
      <alignment vertical="center"/>
    </xf>
    <xf numFmtId="0" fontId="19" fillId="21" borderId="0">
      <alignment vertical="center"/>
    </xf>
    <xf numFmtId="0" fontId="19" fillId="22" borderId="0">
      <alignment vertical="center"/>
    </xf>
    <xf numFmtId="0" fontId="37" fillId="23" borderId="0">
      <alignment vertical="center"/>
    </xf>
    <xf numFmtId="0" fontId="37" fillId="24" borderId="0">
      <alignment vertical="center"/>
    </xf>
    <xf numFmtId="0" fontId="19" fillId="25" borderId="0">
      <alignment vertical="center"/>
    </xf>
    <xf numFmtId="0" fontId="19" fillId="26" borderId="0">
      <alignment vertical="center"/>
    </xf>
    <xf numFmtId="0" fontId="37" fillId="27" borderId="0">
      <alignment vertical="center"/>
    </xf>
    <xf numFmtId="0" fontId="37" fillId="28" borderId="0">
      <alignment vertical="center"/>
    </xf>
    <xf numFmtId="0" fontId="19" fillId="29" borderId="0">
      <alignment vertical="center"/>
    </xf>
    <xf numFmtId="0" fontId="19" fillId="30" borderId="0">
      <alignment vertical="center"/>
    </xf>
    <xf numFmtId="0" fontId="37" fillId="31" borderId="0">
      <alignment vertical="center"/>
    </xf>
    <xf numFmtId="0" fontId="37" fillId="32" borderId="0">
      <alignment vertical="center"/>
    </xf>
    <xf numFmtId="0" fontId="19" fillId="33" borderId="0">
      <alignment vertical="center"/>
    </xf>
    <xf numFmtId="0" fontId="19" fillId="34" borderId="0">
      <alignment vertical="center"/>
    </xf>
    <xf numFmtId="0" fontId="37" fillId="35" borderId="0">
      <alignment vertical="center"/>
    </xf>
    <xf numFmtId="0" fontId="37" fillId="36" borderId="0">
      <alignment vertical="center"/>
    </xf>
    <xf numFmtId="0" fontId="19" fillId="37" borderId="0">
      <alignment vertical="center"/>
    </xf>
    <xf numFmtId="0" fontId="19" fillId="38" borderId="0">
      <alignment vertical="center"/>
    </xf>
    <xf numFmtId="0" fontId="37" fillId="39" borderId="0">
      <alignment vertical="center"/>
    </xf>
    <xf numFmtId="0" fontId="37" fillId="40" borderId="0">
      <alignment vertical="center"/>
    </xf>
    <xf numFmtId="0" fontId="19" fillId="41" borderId="0">
      <alignment vertical="center"/>
    </xf>
    <xf numFmtId="0" fontId="19" fillId="42" borderId="0">
      <alignment vertical="center"/>
    </xf>
    <xf numFmtId="0" fontId="37" fillId="43" borderId="0">
      <alignment vertical="center"/>
    </xf>
    <xf numFmtId="0" fontId="0" fillId="0" borderId="0"/>
  </cellStyleXfs>
  <cellXfs count="97">
    <xf numFmtId="0" fontId="0" fillId="0" borderId="0" xfId="49"/>
    <xf numFmtId="0" fontId="0" fillId="0" borderId="0" xfId="0" applyAlignment="1"/>
    <xf numFmtId="0" fontId="1" fillId="0" borderId="1" xfId="0" applyFont="1" applyBorder="1" applyAlignment="1">
      <alignment horizontal="left" vertical="center"/>
    </xf>
    <xf numFmtId="0" fontId="0" fillId="0" borderId="2" xfId="0" applyBorder="1" applyAlignment="1"/>
    <xf numFmtId="0" fontId="0" fillId="0" borderId="3" xfId="0" applyBorder="1" applyAlignment="1"/>
    <xf numFmtId="0" fontId="2" fillId="0" borderId="1" xfId="0" applyFont="1" applyBorder="1" applyAlignment="1">
      <alignment horizontal="left" vertical="center"/>
    </xf>
    <xf numFmtId="0" fontId="0" fillId="0" borderId="1" xfId="0" applyBorder="1" applyAlignme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176" fontId="4" fillId="3" borderId="1" xfId="0" applyNumberFormat="1" applyFont="1" applyFill="1" applyBorder="1" applyAlignment="1">
      <alignment vertical="top" wrapText="1"/>
    </xf>
    <xf numFmtId="0" fontId="4" fillId="3" borderId="1" xfId="0" applyFont="1" applyFill="1" applyBorder="1" applyAlignment="1">
      <alignment vertical="top" wrapText="1"/>
    </xf>
    <xf numFmtId="177" fontId="4" fillId="3" borderId="1" xfId="0" applyNumberFormat="1" applyFont="1" applyFill="1" applyBorder="1" applyAlignment="1">
      <alignment vertical="top" wrapText="1"/>
    </xf>
    <xf numFmtId="0" fontId="5" fillId="0" borderId="1" xfId="0" applyFont="1" applyBorder="1" applyAlignment="1"/>
    <xf numFmtId="177" fontId="0" fillId="4" borderId="1" xfId="0" applyNumberFormat="1" applyFill="1" applyBorder="1" applyAlignment="1">
      <alignment vertical="top" wrapText="1"/>
    </xf>
    <xf numFmtId="0" fontId="0" fillId="4" borderId="1" xfId="0" applyFill="1" applyBorder="1" applyAlignment="1">
      <alignment vertical="top" wrapText="1"/>
    </xf>
    <xf numFmtId="0" fontId="5" fillId="5" borderId="1" xfId="0" applyFont="1" applyFill="1"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6" fillId="0" borderId="1" xfId="0" applyFont="1" applyBorder="1" applyAlignment="1"/>
    <xf numFmtId="9" fontId="4" fillId="0" borderId="1" xfId="0" applyNumberFormat="1" applyFont="1" applyBorder="1" applyAlignment="1">
      <alignment vertical="top" wrapText="1"/>
    </xf>
    <xf numFmtId="177" fontId="4" fillId="0" borderId="1" xfId="0" applyNumberFormat="1" applyFont="1" applyBorder="1" applyAlignment="1">
      <alignment vertical="top" wrapText="1"/>
    </xf>
    <xf numFmtId="177" fontId="0" fillId="0" borderId="1" xfId="0" applyNumberFormat="1" applyBorder="1" applyAlignment="1"/>
    <xf numFmtId="0" fontId="0" fillId="3" borderId="1" xfId="0" applyFill="1" applyBorder="1" applyAlignment="1"/>
    <xf numFmtId="0" fontId="7" fillId="0" borderId="1" xfId="0" applyFont="1" applyBorder="1" applyAlignment="1"/>
    <xf numFmtId="0" fontId="8" fillId="0" borderId="1" xfId="0" applyFont="1" applyBorder="1" applyAlignment="1"/>
    <xf numFmtId="0" fontId="9" fillId="2" borderId="1" xfId="0" applyFont="1" applyFill="1" applyBorder="1" applyAlignment="1"/>
    <xf numFmtId="0" fontId="0" fillId="0" borderId="1" xfId="0" applyBorder="1" applyAlignment="1">
      <alignment vertical="top" wrapText="1"/>
    </xf>
    <xf numFmtId="0" fontId="9" fillId="6" borderId="1" xfId="49" applyFont="1" applyFill="1" applyBorder="1" applyAlignment="1">
      <alignment horizontal="left" vertical="center"/>
    </xf>
    <xf numFmtId="0" fontId="5" fillId="5" borderId="1" xfId="49" applyFont="1" applyFill="1" applyBorder="1" applyAlignment="1">
      <alignment wrapText="1"/>
    </xf>
    <xf numFmtId="0" fontId="10" fillId="0" borderId="1" xfId="49" applyFont="1" applyBorder="1" applyAlignment="1">
      <alignment vertical="center" wrapText="1"/>
    </xf>
    <xf numFmtId="0" fontId="11" fillId="5" borderId="1" xfId="0" applyFont="1" applyFill="1" applyBorder="1" applyAlignment="1">
      <alignment vertical="top" wrapText="1"/>
    </xf>
    <xf numFmtId="0" fontId="5" fillId="5" borderId="1" xfId="0" applyFont="1" applyFill="1" applyBorder="1" applyAlignment="1">
      <alignment vertical="top" wrapText="1"/>
    </xf>
    <xf numFmtId="0" fontId="9" fillId="2" borderId="1" xfId="49" applyFont="1" applyFill="1" applyBorder="1" applyAlignment="1">
      <alignment horizontal="center" vertical="center" wrapText="1"/>
    </xf>
    <xf numFmtId="177" fontId="10" fillId="0" borderId="1" xfId="49" applyNumberFormat="1" applyFont="1" applyBorder="1" applyAlignment="1">
      <alignment vertical="center" wrapText="1"/>
    </xf>
    <xf numFmtId="0" fontId="0" fillId="0" borderId="1" xfId="49" applyBorder="1" applyAlignment="1">
      <alignment wrapText="1"/>
    </xf>
    <xf numFmtId="0" fontId="4" fillId="5" borderId="1" xfId="0" applyFont="1" applyFill="1" applyBorder="1" applyAlignment="1">
      <alignment vertical="top" wrapText="1"/>
    </xf>
    <xf numFmtId="177" fontId="4" fillId="5" borderId="1" xfId="0" applyNumberFormat="1" applyFont="1" applyFill="1" applyBorder="1" applyAlignment="1">
      <alignment vertical="top" wrapText="1"/>
    </xf>
    <xf numFmtId="9" fontId="4" fillId="5" borderId="1" xfId="0" applyNumberFormat="1" applyFont="1" applyFill="1" applyBorder="1" applyAlignment="1">
      <alignment vertical="top" wrapText="1"/>
    </xf>
    <xf numFmtId="0" fontId="6" fillId="0" borderId="1" xfId="0" applyFont="1" applyBorder="1" applyAlignment="1">
      <alignment vertical="center"/>
    </xf>
    <xf numFmtId="0" fontId="1" fillId="0" borderId="0" xfId="0" applyFont="1" applyAlignment="1">
      <alignment vertical="center"/>
    </xf>
    <xf numFmtId="0" fontId="2" fillId="0" borderId="0" xfId="0" applyFont="1" applyAlignment="1">
      <alignment vertical="center" wrapText="1"/>
    </xf>
    <xf numFmtId="178" fontId="4" fillId="3" borderId="1" xfId="0" applyNumberFormat="1" applyFont="1" applyFill="1" applyBorder="1" applyAlignment="1">
      <alignment vertical="top" wrapText="1"/>
    </xf>
    <xf numFmtId="9" fontId="4" fillId="3" borderId="1" xfId="0" applyNumberFormat="1" applyFont="1" applyFill="1" applyBorder="1" applyAlignment="1">
      <alignment vertical="top" wrapText="1"/>
    </xf>
    <xf numFmtId="0" fontId="9" fillId="6" borderId="0" xfId="0" applyFont="1" applyFill="1" applyAlignment="1">
      <alignment horizontal="center"/>
    </xf>
    <xf numFmtId="0" fontId="12" fillId="5" borderId="0" xfId="0" applyFont="1" applyFill="1" applyAlignment="1">
      <alignment horizontal="center"/>
    </xf>
    <xf numFmtId="0" fontId="6" fillId="0" borderId="0" xfId="0" applyFont="1" applyAlignment="1"/>
    <xf numFmtId="0" fontId="13" fillId="3" borderId="1" xfId="0" applyFont="1" applyFill="1" applyBorder="1" applyAlignment="1">
      <alignment horizontal="center" vertical="center"/>
    </xf>
    <xf numFmtId="0" fontId="13" fillId="7" borderId="1" xfId="0" applyFont="1" applyFill="1" applyBorder="1" applyAlignment="1">
      <alignment horizontal="center" vertical="center"/>
    </xf>
    <xf numFmtId="0" fontId="14" fillId="8" borderId="1" xfId="0" applyFont="1" applyFill="1" applyBorder="1" applyAlignment="1">
      <alignment horizontal="center" vertical="center"/>
    </xf>
    <xf numFmtId="0" fontId="13" fillId="9" borderId="1" xfId="0" applyFont="1" applyFill="1" applyBorder="1" applyAlignment="1">
      <alignment horizontal="center" vertical="center"/>
    </xf>
    <xf numFmtId="0" fontId="0" fillId="9" borderId="1" xfId="0" applyFill="1" applyBorder="1" applyAlignment="1"/>
    <xf numFmtId="0" fontId="0" fillId="7" borderId="1" xfId="0" applyFill="1" applyBorder="1" applyAlignment="1"/>
    <xf numFmtId="0" fontId="0" fillId="8" borderId="1" xfId="0" applyFill="1" applyBorder="1" applyAlignment="1"/>
    <xf numFmtId="0" fontId="9" fillId="6" borderId="1" xfId="0" applyFont="1" applyFill="1" applyBorder="1" applyAlignment="1">
      <alignment horizontal="center" vertical="center"/>
    </xf>
    <xf numFmtId="0" fontId="12" fillId="5" borderId="1" xfId="0" applyFont="1" applyFill="1" applyBorder="1" applyAlignment="1">
      <alignment horizontal="center" vertical="center"/>
    </xf>
    <xf numFmtId="0" fontId="0" fillId="3" borderId="1" xfId="0" applyFill="1" applyBorder="1" applyAlignment="1">
      <alignment vertical="top" wrapText="1"/>
    </xf>
    <xf numFmtId="0" fontId="0" fillId="3" borderId="2" xfId="0" applyFill="1" applyBorder="1" applyAlignment="1"/>
    <xf numFmtId="0" fontId="0" fillId="3" borderId="3" xfId="0" applyFill="1" applyBorder="1" applyAlignment="1"/>
    <xf numFmtId="179" fontId="0" fillId="3" borderId="1" xfId="0" applyNumberFormat="1" applyFill="1" applyBorder="1" applyAlignment="1">
      <alignment vertical="top" wrapText="1"/>
    </xf>
    <xf numFmtId="179" fontId="0" fillId="3" borderId="2" xfId="0" applyNumberFormat="1" applyFill="1" applyBorder="1" applyAlignment="1"/>
    <xf numFmtId="179" fontId="0" fillId="3" borderId="3" xfId="0" applyNumberFormat="1" applyFill="1" applyBorder="1" applyAlignment="1"/>
    <xf numFmtId="0" fontId="0" fillId="5" borderId="1" xfId="0" applyFill="1" applyBorder="1" applyAlignment="1"/>
    <xf numFmtId="0" fontId="2" fillId="0" borderId="0" xfId="0" applyFont="1" applyAlignment="1"/>
    <xf numFmtId="0" fontId="3" fillId="6" borderId="1" xfId="0" applyFont="1" applyFill="1" applyBorder="1" applyAlignment="1">
      <alignment horizontal="center" vertical="center"/>
    </xf>
    <xf numFmtId="180" fontId="4" fillId="0" borderId="1" xfId="0" applyNumberFormat="1" applyFont="1" applyBorder="1" applyAlignment="1">
      <alignment vertical="top" wrapText="1"/>
    </xf>
    <xf numFmtId="0" fontId="15" fillId="0" borderId="1" xfId="0" applyFont="1" applyBorder="1" applyAlignment="1"/>
    <xf numFmtId="0" fontId="4" fillId="0" borderId="1" xfId="0" applyFont="1" applyBorder="1" applyAlignment="1">
      <alignment horizontal="center" vertical="center" wrapText="1"/>
    </xf>
    <xf numFmtId="0" fontId="0" fillId="0" borderId="11" xfId="0" applyBorder="1" applyAlignment="1"/>
    <xf numFmtId="0" fontId="0" fillId="0" borderId="12" xfId="0" applyBorder="1" applyAlignment="1"/>
    <xf numFmtId="0" fontId="16" fillId="10" borderId="1" xfId="49" applyFont="1" applyFill="1" applyBorder="1" applyAlignment="1">
      <alignment vertical="center"/>
    </xf>
    <xf numFmtId="9" fontId="10" fillId="0" borderId="1" xfId="49" applyNumberFormat="1" applyFont="1" applyBorder="1" applyAlignment="1">
      <alignment vertical="center" wrapText="1"/>
    </xf>
    <xf numFmtId="0" fontId="5" fillId="5" borderId="1" xfId="49" applyFont="1" applyFill="1" applyBorder="1"/>
    <xf numFmtId="177" fontId="5" fillId="5" borderId="1" xfId="49" applyNumberFormat="1" applyFont="1" applyFill="1" applyBorder="1"/>
    <xf numFmtId="0" fontId="5" fillId="11" borderId="1" xfId="49" applyFont="1" applyFill="1" applyBorder="1" applyAlignment="1">
      <alignment horizontal="center" vertical="center"/>
    </xf>
    <xf numFmtId="9" fontId="5" fillId="11" borderId="1" xfId="49" applyNumberFormat="1" applyFont="1" applyFill="1" applyBorder="1" applyAlignment="1">
      <alignment horizontal="center" vertical="center"/>
    </xf>
    <xf numFmtId="9" fontId="17" fillId="4" borderId="1" xfId="0" applyNumberFormat="1" applyFont="1" applyFill="1" applyBorder="1" applyAlignment="1">
      <alignment horizontal="center" vertical="center"/>
    </xf>
    <xf numFmtId="180" fontId="17" fillId="4" borderId="1" xfId="0" applyNumberFormat="1" applyFont="1" applyFill="1" applyBorder="1" applyAlignment="1">
      <alignment horizontal="center" vertical="center"/>
    </xf>
    <xf numFmtId="178" fontId="17" fillId="4" borderId="1" xfId="0" applyNumberFormat="1" applyFont="1" applyFill="1" applyBorder="1" applyAlignment="1">
      <alignment horizontal="center" vertical="center"/>
    </xf>
    <xf numFmtId="178" fontId="17" fillId="3" borderId="1" xfId="0" applyNumberFormat="1" applyFont="1" applyFill="1" applyBorder="1" applyAlignment="1">
      <alignment horizontal="center" vertical="center"/>
    </xf>
    <xf numFmtId="0" fontId="10" fillId="0" borderId="1" xfId="49" applyFont="1" applyBorder="1" applyAlignment="1">
      <alignment vertical="center"/>
    </xf>
    <xf numFmtId="9" fontId="10" fillId="0" borderId="1" xfId="49" applyNumberFormat="1" applyFont="1" applyBorder="1" applyAlignment="1">
      <alignment vertical="center"/>
    </xf>
    <xf numFmtId="0" fontId="10" fillId="12" borderId="1" xfId="49" applyFont="1" applyFill="1" applyBorder="1" applyAlignment="1">
      <alignment vertical="top" wrapText="1"/>
    </xf>
    <xf numFmtId="0" fontId="5" fillId="5" borderId="0" xfId="0" applyFont="1" applyFill="1" applyAlignment="1"/>
    <xf numFmtId="0" fontId="3" fillId="6" borderId="1" xfId="0" applyFont="1" applyFill="1" applyBorder="1" applyAlignment="1">
      <alignment horizontal="center"/>
    </xf>
    <xf numFmtId="0" fontId="11" fillId="4" borderId="1" xfId="0" applyFont="1" applyFill="1" applyBorder="1" applyAlignment="1"/>
    <xf numFmtId="178" fontId="4" fillId="3" borderId="1" xfId="0" applyNumberFormat="1" applyFont="1" applyFill="1" applyBorder="1" applyAlignment="1">
      <alignment horizontal="right" vertical="center"/>
    </xf>
    <xf numFmtId="0" fontId="12" fillId="5" borderId="1" xfId="0" applyFont="1" applyFill="1" applyBorder="1" applyAlignment="1">
      <alignment horizontal="center"/>
    </xf>
    <xf numFmtId="178" fontId="4" fillId="13" borderId="1" xfId="0" applyNumberFormat="1" applyFont="1" applyFill="1" applyBorder="1" applyAlignment="1">
      <alignment horizontal="right" vertical="center"/>
    </xf>
    <xf numFmtId="180" fontId="4" fillId="13" borderId="1" xfId="0" applyNumberFormat="1" applyFont="1" applyFill="1" applyBorder="1" applyAlignment="1">
      <alignment horizontal="right" vertical="center"/>
    </xf>
    <xf numFmtId="0" fontId="5" fillId="5" borderId="10" xfId="0" applyFont="1" applyFill="1" applyBorder="1" applyAlignment="1"/>
    <xf numFmtId="0" fontId="9" fillId="6" borderId="1" xfId="0" applyFont="1" applyFill="1" applyBorder="1" applyAlignment="1">
      <alignment horizontal="center"/>
    </xf>
    <xf numFmtId="0" fontId="18" fillId="0" borderId="1" xfId="0" applyFont="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2">
    <dxf>
      <font>
        <b val="1"/>
        <color rgb="FF375623"/>
      </font>
      <fill>
        <patternFill patternType="solid">
          <bgColor rgb="FFE2F0D9"/>
        </patternFill>
      </fill>
    </dxf>
    <dxf>
      <font>
        <b val="1"/>
        <color rgb="FF7F6000"/>
      </font>
      <fill>
        <patternFill patternType="solid">
          <bgColor rgb="FFFFF2CC"/>
        </patternFill>
      </fill>
    </dxf>
    <dxf>
      <font>
        <color rgb="FF595959"/>
      </font>
      <fill>
        <patternFill patternType="solid">
          <bgColor rgb="FFE7E6E6"/>
        </patternFill>
      </fill>
    </dxf>
    <dxf>
      <font>
        <b val="1"/>
        <color rgb="FFC00000"/>
      </font>
      <fill>
        <patternFill patternType="solid">
          <bgColor rgb="FFFCE4D6"/>
        </patternFill>
      </fill>
    </dxf>
    <dxf>
      <font>
        <b val="1"/>
        <color rgb="FFC00000"/>
      </font>
      <fill>
        <patternFill patternType="solid">
          <bgColor rgb="FFF4CCCC"/>
        </patternFill>
      </fill>
    </dxf>
    <dxf>
      <font>
        <color rgb="FF666666"/>
      </font>
      <fill>
        <patternFill patternType="solid">
          <fgColor rgb="FFE7E6E6"/>
        </patternFill>
      </fill>
    </dxf>
    <dxf>
      <font>
        <b val="1"/>
        <color rgb="FFC00000"/>
      </font>
      <fill>
        <patternFill patternType="solid">
          <fgColor rgb="FFFCE4D6"/>
        </patternFill>
      </fill>
    </dxf>
    <dxf>
      <font>
        <b val="1"/>
        <color rgb="FF9C6500"/>
      </font>
      <fill>
        <patternFill patternType="solid">
          <fgColor rgb="FFFFF2CC"/>
        </patternFill>
      </fill>
    </dxf>
    <dxf>
      <font>
        <color rgb="FF375623"/>
      </font>
      <fill>
        <patternFill patternType="solid">
          <fgColor rgb="FFE2F0D9"/>
        </patternFill>
      </fill>
    </dxf>
    <dxf>
      <font>
        <color rgb="FFC00000"/>
      </font>
      <fill>
        <patternFill patternType="solid">
          <fgColor rgb="FFFCE4D6"/>
        </patternFill>
      </fill>
    </dxf>
    <dxf>
      <fill>
        <patternFill patternType="solid">
          <fgColor rgb="FFE2F0D9"/>
        </patternFill>
      </fill>
    </dxf>
    <dxf>
      <font>
        <b val="1"/>
        <color rgb="FFC00000"/>
      </font>
      <fill>
        <patternFill patternType="solid">
          <fgColor rgb="FFF4CCCC"/>
        </patternFill>
      </fill>
    </dxf>
    <dxf>
      <fill>
        <patternFill patternType="solid">
          <fgColor rgb="FFFCE4D6"/>
        </patternFill>
      </fill>
    </dxf>
    <dxf>
      <font>
        <b val="1"/>
        <color rgb="FF375623"/>
      </font>
      <fill>
        <patternFill patternType="solid">
          <fgColor rgb="FFE2F0D9"/>
        </patternFill>
      </fill>
    </dxf>
    <dxf>
      <font>
        <b val="1"/>
        <color rgb="FF666666"/>
      </font>
      <fill>
        <patternFill patternType="solid">
          <fgColor rgb="FFF2F2F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 name="PivotStylePreset2_Accent1" table="0" count="10" xr9:uid="{267968C8-6FFD-4C36-ACC1-9EA1FD1885CA}">
      <tableStyleElement type="headerRow" dxfId="31"/>
      <tableStyleElement type="totalRow" dxfId="30"/>
      <tableStyleElement type="firstRowStripe" dxfId="29"/>
      <tableStyleElement type="firstColumnStripe" dxfId="28"/>
      <tableStyleElement type="firstSubtotalRow" dxfId="27"/>
      <tableStyleElement type="secondSubtotalRow" dxfId="26"/>
      <tableStyleElement type="firstRowSubheading" dxfId="25"/>
      <tableStyleElement type="secondRowSubheading" dxfId="24"/>
      <tableStyleElement type="pageFieldLabels" dxfId="23"/>
      <tableStyleElement type="pageFieldValues" dxfId="2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a:solidFill>
                  <a:schemeClr val="tx1"/>
                </a:solidFill>
                <a:latin typeface="+mn-lt"/>
                <a:ea typeface="+mn-lt"/>
                <a:cs typeface="+mn-lt"/>
              </a:rPr>
              <a:t>任务状态分布</a:t>
            </a:r>
            <a:endParaRPr sz="1800" b="1" i="0">
              <a:solidFill>
                <a:schemeClr val="tx1"/>
              </a:solidFill>
              <a:latin typeface="+mn-lt"/>
              <a:ea typeface="+mn-lt"/>
              <a:cs typeface="+mn-lt"/>
            </a:endParaRPr>
          </a:p>
        </c:rich>
      </c:tx>
      <c:layout/>
      <c:overlay val="0"/>
    </c:title>
    <c:autoTitleDeleted val="0"/>
    <c:plotArea>
      <c:layout/>
      <c:doughnutChart>
        <c:varyColors val="1"/>
        <c:ser>
          <c:idx val="0"/>
          <c:order val="0"/>
          <c:tx>
            <c:strRef>
              <c:f>"任务数"</c:f>
              <c:strCache>
                <c:ptCount val="1"/>
                <c:pt idx="0">
                  <c:v>任务数</c:v>
                </c:pt>
              </c:strCache>
            </c:strRef>
          </c:tx>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Lbls>
            <c:delete val="1"/>
          </c:dLbls>
          <c:cat>
            <c:strRef>
              <c:f>项目驾驶舱!$A$10:$A$13</c:f>
              <c:strCache>
                <c:ptCount val="4"/>
                <c:pt idx="0">
                  <c:v>已完成</c:v>
                </c:pt>
                <c:pt idx="1">
                  <c:v>进行中</c:v>
                </c:pt>
                <c:pt idx="2">
                  <c:v>未开始</c:v>
                </c:pt>
                <c:pt idx="3">
                  <c:v>暂停</c:v>
                </c:pt>
              </c:strCache>
            </c:strRef>
          </c:cat>
          <c:val>
            <c:numRef>
              <c:f>项目驾驶舱!$B$10:$B$13</c:f>
              <c:numCache>
                <c:formatCode>General</c:formatCode>
                <c:ptCount val="4"/>
                <c:pt idx="0">
                  <c:v>73</c:v>
                </c:pt>
                <c:pt idx="1">
                  <c:v>23</c:v>
                </c:pt>
                <c:pt idx="2">
                  <c:v>43</c:v>
                </c:pt>
                <c:pt idx="3">
                  <c:v>6</c:v>
                </c:pt>
              </c:numCache>
            </c:numRef>
          </c:val>
        </c:ser>
        <c:dLbls>
          <c:showLegendKey val="0"/>
          <c:showVal val="0"/>
          <c:showCatName val="0"/>
          <c:showSerName val="0"/>
          <c:showPercent val="0"/>
          <c:showBubbleSize val="0"/>
          <c:showLeaderLines val="1"/>
        </c:dLbls>
        <c:firstSliceAng val="0"/>
        <c:holeSize val="1"/>
      </c:doughnutChart>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1661a9ac-8275-4a60-8d59-d7267564874c}"/>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a:solidFill>
                  <a:schemeClr val="tx1"/>
                </a:solidFill>
                <a:latin typeface="+mn-lt"/>
                <a:ea typeface="+mn-lt"/>
                <a:cs typeface="+mn-lt"/>
              </a:rPr>
              <a:t>各批次任务数与已完成数</a:t>
            </a:r>
            <a:endParaRPr sz="1800" b="1" i="0">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"任务数"</c:f>
              <c:strCache>
                <c:ptCount val="1"/>
                <c:pt idx="0">
                  <c:v>任务数</c:v>
                </c:pt>
              </c:strCache>
            </c:strRef>
          </c:tx>
          <c:spPr>
            <a:ln>
              <a:noFill/>
              <a:prstDash val="solid"/>
            </a:ln>
          </c:spPr>
          <c:invertIfNegative val="0"/>
          <c:dLbls>
            <c:delete val="1"/>
          </c:dLbls>
          <c:cat>
            <c:strRef>
              <c:f>项目驾驶舱!$D$10:$D$12</c:f>
              <c:strCache>
                <c:ptCount val="3"/>
                <c:pt idx="0">
                  <c:v>第一批次</c:v>
                </c:pt>
                <c:pt idx="1">
                  <c:v>第二批次</c:v>
                </c:pt>
                <c:pt idx="2">
                  <c:v>其他</c:v>
                </c:pt>
              </c:strCache>
            </c:strRef>
          </c:cat>
          <c:val>
            <c:numRef>
              <c:f>项目驾驶舱!$E$10:$E$12</c:f>
              <c:numCache>
                <c:formatCode>General</c:formatCode>
                <c:ptCount val="3"/>
                <c:pt idx="0">
                  <c:v>61</c:v>
                </c:pt>
                <c:pt idx="1">
                  <c:v>78</c:v>
                </c:pt>
                <c:pt idx="2">
                  <c:v>6</c:v>
                </c:pt>
              </c:numCache>
            </c:numRef>
          </c:val>
        </c:ser>
        <c:ser>
          <c:idx val="1"/>
          <c:order val="1"/>
          <c:tx>
            <c:strRef>
              <c:f>"已完成"</c:f>
              <c:strCache>
                <c:ptCount val="1"/>
                <c:pt idx="0">
                  <c:v>已完成</c:v>
                </c:pt>
              </c:strCache>
            </c:strRef>
          </c:tx>
          <c:spPr>
            <a:solidFill>
              <a:srgbClr val="70AD47"/>
            </a:solidFill>
            <a:ln>
              <a:solidFill>
                <a:srgbClr val="70AD47"/>
              </a:solidFill>
              <a:prstDash val="solid"/>
            </a:ln>
          </c:spPr>
          <c:invertIfNegative val="0"/>
          <c:dLbls>
            <c:delete val="1"/>
          </c:dLbls>
          <c:cat>
            <c:strRef>
              <c:f>项目驾驶舱!$D$10:$D$12</c:f>
              <c:strCache>
                <c:ptCount val="3"/>
                <c:pt idx="0">
                  <c:v>第一批次</c:v>
                </c:pt>
                <c:pt idx="1">
                  <c:v>第二批次</c:v>
                </c:pt>
                <c:pt idx="2">
                  <c:v>其他</c:v>
                </c:pt>
              </c:strCache>
            </c:strRef>
          </c:cat>
          <c:val>
            <c:numRef>
              <c:f>项目驾驶舱!$F$10:$F$12</c:f>
              <c:numCache>
                <c:formatCode>General</c:formatCode>
                <c:ptCount val="3"/>
                <c:pt idx="0">
                  <c:v>57</c:v>
                </c:pt>
                <c:pt idx="1">
                  <c:v>16</c:v>
                </c:pt>
                <c:pt idx="2">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b3cdfb7d-c01c-4cd6-a0f7-5b311e12a2e8}"/>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健康状态</a:t>
            </a:r>
          </a:p>
        </c:rich>
      </c:tx>
      <c:layout/>
      <c:overlay val="0"/>
    </c:title>
    <c:autoTitleDeleted val="0"/>
    <c:plotArea>
      <c:layout/>
      <c:barChart>
        <c:barDir val="col"/>
        <c:grouping val="clustered"/>
        <c:varyColors val="0"/>
        <c:ser>
          <c:idx val="0"/>
          <c:order val="0"/>
          <c:tx>
            <c:strRef>
              <c:f>AI项目诊断!$I$14</c:f>
              <c:strCache>
                <c:ptCount val="1"/>
                <c:pt idx="0">
                  <c:v>数量</c:v>
                </c:pt>
              </c:strCache>
            </c:strRef>
          </c:tx>
          <c:spPr>
            <a:ln w="12700">
              <a:solidFill>
                <a:schemeClr val="lt1"/>
              </a:solidFill>
              <a:prstDash val="solid"/>
              <a:round/>
            </a:ln>
          </c:spPr>
          <c:invertIfNegative val="0"/>
          <c:dLbls>
            <c:delete val="1"/>
          </c:dLbls>
          <c:cat>
            <c:strRef>
              <c:f>AI项目诊断!$H$15:$H$18</c:f>
              <c:strCache>
                <c:ptCount val="4"/>
                <c:pt idx="0">
                  <c:v>绿</c:v>
                </c:pt>
                <c:pt idx="1">
                  <c:v>黄</c:v>
                </c:pt>
                <c:pt idx="2">
                  <c:v>红</c:v>
                </c:pt>
                <c:pt idx="3">
                  <c:v>灰</c:v>
                </c:pt>
              </c:strCache>
            </c:strRef>
          </c:cat>
          <c:val>
            <c:numRef>
              <c:f>AI项目诊断!$I$15:$I$18</c:f>
              <c:numCache>
                <c:formatCode>General</c:formatCode>
                <c:ptCount val="4"/>
                <c:pt idx="0">
                  <c:v>3</c:v>
                </c:pt>
                <c:pt idx="1">
                  <c:v>0</c:v>
                </c:pt>
                <c:pt idx="2">
                  <c:v>3</c:v>
                </c:pt>
                <c:pt idx="3">
                  <c:v>0</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维度数</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fbf263f0-ccb7-4a24-9a92-689713e8fa67}"/>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8</xdr:row>
      <xdr:rowOff>0</xdr:rowOff>
    </xdr:from>
    <xdr:to>
      <xdr:col>14</xdr:col>
      <xdr:colOff>0</xdr:colOff>
      <xdr:row>15</xdr:row>
      <xdr:rowOff>0</xdr:rowOff>
    </xdr:to>
    <xdr:graphicFrame>
      <xdr:nvGraphicFramePr>
        <xdr:cNvPr id="2" name="Chart 1"/>
        <xdr:cNvGraphicFramePr/>
      </xdr:nvGraphicFramePr>
      <xdr:xfrm>
        <a:off x="8636000" y="2672080"/>
        <a:ext cx="7510780" cy="1661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8</xdr:col>
      <xdr:colOff>0</xdr:colOff>
      <xdr:row>38</xdr:row>
      <xdr:rowOff>0</xdr:rowOff>
    </xdr:to>
    <xdr:graphicFrame>
      <xdr:nvGraphicFramePr>
        <xdr:cNvPr id="3" name="Chart 2"/>
        <xdr:cNvGraphicFramePr/>
      </xdr:nvGraphicFramePr>
      <xdr:xfrm>
        <a:off x="0" y="5613400"/>
        <a:ext cx="8636000" cy="3937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19</xdr:row>
      <xdr:rowOff>0</xdr:rowOff>
    </xdr:from>
    <xdr:ext cx="3600000" cy="2629900"/>
    <xdr:graphicFrame>
      <xdr:nvGraphicFramePr>
        <xdr:cNvPr id="2" name="Chart 1"/>
        <xdr:cNvGraphicFramePr/>
      </xdr:nvGraphicFramePr>
      <xdr:xfrm>
        <a:off x="11054080" y="4828540"/>
        <a:ext cx="3599815" cy="262953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id="1" name="ResourceSummaryTable" displayName="ResourceSummaryTable" ref="A4:L10">
  <autoFilter xmlns:etc="http://www.wps.cn/officeDocument/2017/etCustomData" ref="A4:L10" etc:filterBottomFollowUsedRange="0"/>
  <tableColumns count="12">
    <tableColumn id="1" name="人员"/>
    <tableColumn id="2" name="角色"/>
    <tableColumn id="3" name="任务数"/>
    <tableColumn id="4" name="未完成任务"/>
    <tableColumn id="5" name="最早开始"/>
    <tableColumn id="6" name="最晚结束"/>
    <tableColumn id="7" name="周可用工时"/>
    <tableColumn id="8" name="计划投入工时"/>
    <tableColumn id="9" name="负荷率"/>
    <tableColumn id="10" name="负荷判断"/>
    <tableColumn id="11" name="资源建议"/>
    <tableColumn id="12"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showGridLines="0" workbookViewId="0">
      <selection activeCell="L6" sqref="L6"/>
    </sheetView>
  </sheetViews>
  <sheetFormatPr defaultColWidth="9" defaultRowHeight="16.8"/>
  <cols>
    <col min="1" max="1" width="14" style="1" customWidth="1"/>
    <col min="2" max="3" width="12" style="1" customWidth="1"/>
    <col min="4" max="4" width="14" style="1" customWidth="1"/>
    <col min="5" max="9" width="12" style="1" customWidth="1"/>
    <col min="10" max="10" width="18" style="1" customWidth="1"/>
    <col min="11" max="11" width="14" style="1" customWidth="1"/>
    <col min="12" max="12" width="8.97058823529412" style="1" customWidth="1"/>
    <col min="13" max="13" width="18" style="1" customWidth="1"/>
    <col min="14" max="14" width="16" style="1" customWidth="1"/>
  </cols>
  <sheetData>
    <row r="1" ht="34" customHeight="1" spans="1:14">
      <c r="A1" s="32" t="s">
        <v>0</v>
      </c>
      <c r="B1" s="3"/>
      <c r="C1" s="3"/>
      <c r="D1" s="3"/>
      <c r="E1" s="3"/>
      <c r="F1" s="3"/>
      <c r="G1" s="3"/>
      <c r="H1" s="3"/>
      <c r="I1" s="3"/>
      <c r="J1" s="3"/>
      <c r="K1" s="3"/>
      <c r="L1" s="3"/>
      <c r="M1" s="3"/>
      <c r="N1" s="4"/>
    </row>
    <row r="3" spans="1:14">
      <c r="A3" s="76" t="s">
        <v>1</v>
      </c>
      <c r="B3" s="77">
        <v>46276</v>
      </c>
    </row>
    <row r="5" ht="30" customHeight="1" spans="1:14">
      <c r="A5" s="37" t="s">
        <v>2</v>
      </c>
      <c r="B5" s="37" t="s">
        <v>3</v>
      </c>
      <c r="C5" s="37" t="s">
        <v>4</v>
      </c>
      <c r="D5" s="37" t="s">
        <v>5</v>
      </c>
      <c r="E5" s="37" t="s">
        <v>6</v>
      </c>
      <c r="F5" s="37" t="s">
        <v>7</v>
      </c>
      <c r="G5" s="37" t="s">
        <v>8</v>
      </c>
      <c r="H5" s="37" t="s">
        <v>9</v>
      </c>
      <c r="I5" s="37" t="s">
        <v>10</v>
      </c>
      <c r="J5" s="37" t="s">
        <v>11</v>
      </c>
      <c r="K5" s="37" t="s">
        <v>12</v>
      </c>
      <c r="L5" s="37" t="s">
        <v>13</v>
      </c>
      <c r="M5" s="37" t="s">
        <v>14</v>
      </c>
      <c r="N5" s="37" t="s">
        <v>15</v>
      </c>
    </row>
    <row r="6" ht="42" customHeight="1" spans="1:14">
      <c r="A6" s="78">
        <f>COUNTA(项目总控台账!$A$4:$A$203)</f>
        <v>145</v>
      </c>
      <c r="B6" s="78">
        <f>COUNTIF(项目总控台账!$G$4:$G$203,"已完成")</f>
        <v>73</v>
      </c>
      <c r="C6" s="78">
        <f>COUNTIF(项目总控台账!$G$4:$G$203,"进行中")</f>
        <v>23</v>
      </c>
      <c r="D6" s="78">
        <f>COUNTIF(项目总控台账!$G$4:$G$203,"未开始")</f>
        <v>43</v>
      </c>
      <c r="E6" s="78">
        <f>COUNTIF(项目总控台账!$G$4:$G$203,"暂停")</f>
        <v>6</v>
      </c>
      <c r="F6" s="79">
        <f>AVERAGE(项目总控台账!$AB$4:$AB$203)</f>
        <v>0.606206896551724</v>
      </c>
      <c r="G6" s="78">
        <f>COUNTIF(项目总控台账!$AC$4:$AC$203,"已延期")</f>
        <v>24</v>
      </c>
      <c r="H6" s="78">
        <f>COUNTIF(项目总控台账!$AC$4:$AC$203,"临近到期")</f>
        <v>0</v>
      </c>
      <c r="I6" s="78">
        <f>COUNTIFS(风险问题台账!$D$4:$D$103,"高",风险问题台账!$K$4:$K$103,"&lt;&gt;已关闭")</f>
        <v>5</v>
      </c>
      <c r="J6" s="78">
        <f>COUNTIF(风险问题台账!$K$4:$K$103,"处理中")+COUNTIF(风险问题台账!$K$4:$K$103,"待处理")</f>
        <v>6</v>
      </c>
      <c r="K6" s="78">
        <f>COUNTIF(变更台账!$G$4:$G$53,"评估中")+COUNTIF(变更台账!$G$4:$G$53,"待审批")</f>
        <v>0</v>
      </c>
      <c r="L6" s="79">
        <f>IFERROR(COUNTIF(里程碑计划!$G$4:$G$23,"已完成")/COUNTA(里程碑计划!$A$4:$A$23),0)</f>
        <v>0</v>
      </c>
      <c r="M6" s="79">
        <f>IFERROR(COUNTIF(集成管理!$G$4:$G$53,"已完成")/COUNTA(集成管理!$A$4:$A$53),0)</f>
        <v>0.333333333333333</v>
      </c>
      <c r="N6" s="79">
        <f>IFERROR(COUNTIF(交付物台账!$G$4:$G$53,"已完成")/COUNTA(交付物台账!$A$4:$A$53),0)</f>
        <v>0</v>
      </c>
    </row>
    <row r="7" ht="24" customHeight="1" spans="1:14">
      <c r="A7" s="68" t="s">
        <v>16</v>
      </c>
      <c r="B7" s="3"/>
      <c r="C7" s="4"/>
      <c r="D7" s="68" t="s">
        <v>17</v>
      </c>
      <c r="E7" s="3"/>
      <c r="F7" s="4"/>
      <c r="G7" s="68" t="s">
        <v>18</v>
      </c>
      <c r="H7" s="3"/>
      <c r="I7" s="4"/>
      <c r="J7" s="68" t="s">
        <v>19</v>
      </c>
      <c r="K7" s="3"/>
      <c r="L7" s="4"/>
      <c r="M7" s="68" t="s">
        <v>20</v>
      </c>
      <c r="N7" s="4"/>
    </row>
    <row r="8" ht="30" customHeight="1" spans="1:14">
      <c r="A8" s="80">
        <f>AVERAGE(项目总控台账!$AB$4:$AB$148)</f>
        <v>0.606206896551724</v>
      </c>
      <c r="B8" s="3"/>
      <c r="C8" s="4"/>
      <c r="D8" s="80">
        <f>COUNTIF(项目总控台账!$G$4:$G$148,"已完成")/COUNTIF(项目总控台账!$A$4:$A$148,"&lt;&gt;")</f>
        <v>0.503448275862069</v>
      </c>
      <c r="E8" s="3"/>
      <c r="F8" s="4"/>
      <c r="G8" s="81">
        <f>SUM(资源计划!$H$5:$H$10)/8</f>
        <v>500</v>
      </c>
      <c r="H8" s="3"/>
      <c r="I8" s="4"/>
      <c r="J8" s="82">
        <f>G8*M8</f>
        <v>600000</v>
      </c>
      <c r="K8" s="3"/>
      <c r="L8" s="4"/>
      <c r="M8" s="83">
        <v>1200</v>
      </c>
      <c r="N8" s="4"/>
    </row>
    <row r="9" ht="30" customHeight="1" spans="1:14">
      <c r="A9" s="37" t="s">
        <v>21</v>
      </c>
      <c r="B9" s="37" t="s">
        <v>22</v>
      </c>
      <c r="D9" s="37" t="s">
        <v>23</v>
      </c>
      <c r="E9" s="37" t="s">
        <v>22</v>
      </c>
      <c r="F9" s="37" t="s">
        <v>3</v>
      </c>
      <c r="G9" s="37" t="s">
        <v>24</v>
      </c>
    </row>
    <row r="10" spans="1:14">
      <c r="A10" s="84" t="s">
        <v>3</v>
      </c>
      <c r="B10" s="84">
        <f>B6</f>
        <v>73</v>
      </c>
      <c r="D10" s="84" t="s">
        <v>25</v>
      </c>
      <c r="E10" s="84">
        <f>COUNTIF(项目总控台账!$F$4:$F$203,D10)</f>
        <v>61</v>
      </c>
      <c r="F10" s="84">
        <f>COUNTIFS(项目总控台账!$F$4:$F$203,D10,项目总控台账!$G$4:$G$203,"已完成")</f>
        <v>57</v>
      </c>
      <c r="G10" s="85">
        <f>IFERROR(F10/E10,0)</f>
        <v>0.934426229508197</v>
      </c>
    </row>
    <row r="11" spans="1:14">
      <c r="A11" s="84" t="s">
        <v>4</v>
      </c>
      <c r="B11" s="84">
        <f>C6</f>
        <v>23</v>
      </c>
      <c r="D11" s="84" t="s">
        <v>26</v>
      </c>
      <c r="E11" s="84">
        <f>COUNTIF(项目总控台账!$F$4:$F$203,D11)</f>
        <v>78</v>
      </c>
      <c r="F11" s="84">
        <f>COUNTIFS(项目总控台账!$F$4:$F$203,D11,项目总控台账!$G$4:$G$203,"已完成")</f>
        <v>16</v>
      </c>
      <c r="G11" s="85">
        <f>IFERROR(F11/E11,0)</f>
        <v>0.205128205128205</v>
      </c>
    </row>
    <row r="12" spans="1:14">
      <c r="A12" s="84" t="s">
        <v>5</v>
      </c>
      <c r="B12" s="84">
        <f>D6</f>
        <v>43</v>
      </c>
      <c r="D12" s="84" t="s">
        <v>27</v>
      </c>
      <c r="E12" s="84">
        <f>$A$6-E10-E11</f>
        <v>6</v>
      </c>
      <c r="F12" s="84">
        <f>$B$6-F10-F11</f>
        <v>0</v>
      </c>
      <c r="G12" s="85">
        <f>IFERROR(F12/E12,0)</f>
        <v>0</v>
      </c>
    </row>
    <row r="13" spans="1:14">
      <c r="A13" s="84" t="s">
        <v>6</v>
      </c>
      <c r="B13" s="84">
        <f>E6</f>
        <v>6</v>
      </c>
    </row>
    <row r="16" spans="1:14">
      <c r="A16" s="76" t="s">
        <v>28</v>
      </c>
      <c r="B16" s="3"/>
      <c r="C16" s="3"/>
      <c r="D16" s="3"/>
      <c r="E16" s="3"/>
      <c r="F16" s="3"/>
      <c r="G16" s="3"/>
      <c r="H16" s="3"/>
      <c r="I16" s="3"/>
      <c r="J16" s="3"/>
      <c r="K16" s="3"/>
      <c r="L16" s="3"/>
      <c r="M16" s="3"/>
      <c r="N16" s="4"/>
    </row>
    <row r="17" spans="1:14">
      <c r="A17" s="86" t="str">
        <f>"截至 "&amp;TEXT($B$3,"yyyy-mm-dd")&amp;"：延期任务 "&amp;G6&amp;" 项，临近到期 "&amp;H6&amp;" 项，高风险 "&amp;I6&amp;" 项。建议优先处理外部系统集成依赖、第二批次未启动任务及无明确上线日期的功能。"</f>
        <v>截至 2026-09-11：延期任务 24 项，临近到期 0 项，高风险 5 项。建议优先处理外部系统集成依赖、第二批次未启动任务及无明确上线日期的功能。</v>
      </c>
      <c r="B17" s="16"/>
      <c r="C17" s="16"/>
      <c r="D17" s="16"/>
      <c r="E17" s="16"/>
      <c r="F17" s="16"/>
      <c r="G17" s="16"/>
      <c r="H17" s="16"/>
      <c r="I17" s="16"/>
      <c r="J17" s="16"/>
      <c r="K17" s="16"/>
      <c r="L17" s="16"/>
      <c r="M17" s="16"/>
      <c r="N17" s="17"/>
    </row>
    <row r="18" spans="1:14">
      <c r="A18" s="18"/>
      <c r="N18" s="19"/>
    </row>
    <row r="19" spans="1:14">
      <c r="A19" s="18"/>
      <c r="N19" s="19"/>
    </row>
    <row r="20" spans="1:14">
      <c r="A20" s="20"/>
      <c r="B20" s="21"/>
      <c r="C20" s="21"/>
      <c r="D20" s="21"/>
      <c r="E20" s="21"/>
      <c r="F20" s="21"/>
      <c r="G20" s="21"/>
      <c r="H20" s="21"/>
      <c r="I20" s="21"/>
      <c r="J20" s="21"/>
      <c r="K20" s="21"/>
      <c r="L20" s="21"/>
      <c r="M20" s="21"/>
      <c r="N20" s="22"/>
    </row>
    <row r="22" ht="17.6" customHeight="1" spans="1:14">
      <c r="A22" s="87" t="s">
        <v>29</v>
      </c>
    </row>
    <row r="23" spans="1:14">
      <c r="A23" s="88" t="s">
        <v>30</v>
      </c>
      <c r="B23" s="3"/>
      <c r="C23" s="4"/>
      <c r="D23" s="88" t="s">
        <v>31</v>
      </c>
      <c r="E23" s="3"/>
      <c r="F23" s="4"/>
      <c r="G23" s="88" t="s">
        <v>32</v>
      </c>
      <c r="H23" s="3"/>
      <c r="I23" s="4"/>
      <c r="J23" s="88" t="s">
        <v>33</v>
      </c>
      <c r="K23" s="3"/>
      <c r="L23" s="4"/>
      <c r="M23" s="89"/>
      <c r="N23" s="90"/>
    </row>
    <row r="24" ht="22" customHeight="1" spans="1:14">
      <c r="A24" s="91">
        <f>COUNTIFS(相关方管理!$B$9:$B$108,"&lt;&gt;",相关方管理!$N$9:$N$108,"重点管理")</f>
        <v>0</v>
      </c>
      <c r="B24" s="3"/>
      <c r="C24" s="4"/>
      <c r="D24" s="91">
        <f>COUNTIFS(相关方管理!$B$9:$B$108,"&lt;&gt;",相关方管理!$J$9:$J$108,"抵触")+COUNTIFS(相关方管理!$B$9:$B$108,"&lt;&gt;",相关方管理!$J$9:$J$108,"不支持")</f>
        <v>0</v>
      </c>
      <c r="E24" s="3"/>
      <c r="F24" s="4"/>
      <c r="G24" s="91">
        <f>COUNTIFS(相关方管理!$B$9:$B$108,"&lt;&gt;",相关方管理!$T$9:$T$108,"&lt;"&amp;$B$3,相关方管理!$T$9:$T$108,"&lt;&gt;")</f>
        <v>0</v>
      </c>
      <c r="H24" s="3"/>
      <c r="I24" s="4"/>
      <c r="J24" s="91">
        <f>COUNTIFS(相关方管理!$B$9:$B$108,"&lt;&gt;",相关方管理!$Z$9:$Z$108,"是")</f>
        <v>0</v>
      </c>
      <c r="K24" s="3"/>
      <c r="L24" s="4"/>
      <c r="M24" s="89"/>
      <c r="N24" s="92"/>
    </row>
    <row r="25" spans="1:14">
      <c r="J25" s="89"/>
      <c r="K25" s="93"/>
      <c r="M25" s="89"/>
      <c r="N25" s="92"/>
    </row>
    <row r="26" spans="1:14">
      <c r="A26" s="94" t="s">
        <v>34</v>
      </c>
      <c r="B26" s="21"/>
      <c r="C26" s="21"/>
      <c r="D26" s="21"/>
      <c r="E26" s="21"/>
      <c r="F26" s="21"/>
      <c r="G26" s="21"/>
      <c r="H26" s="21"/>
      <c r="I26" s="21"/>
      <c r="J26" s="21"/>
      <c r="K26" s="21"/>
      <c r="L26" s="21"/>
      <c r="M26" s="21"/>
      <c r="N26" s="22"/>
    </row>
    <row r="27" spans="1:14">
      <c r="A27" s="95" t="s">
        <v>35</v>
      </c>
      <c r="B27" s="6"/>
      <c r="C27" s="6"/>
      <c r="D27" s="95" t="s">
        <v>36</v>
      </c>
      <c r="E27" s="6"/>
      <c r="F27" s="6"/>
      <c r="G27" s="95" t="s">
        <v>37</v>
      </c>
      <c r="H27" s="6"/>
      <c r="I27" s="6"/>
      <c r="J27" s="95" t="s">
        <v>38</v>
      </c>
      <c r="K27" s="6"/>
      <c r="L27" s="6"/>
      <c r="M27" s="89"/>
      <c r="N27" s="92"/>
    </row>
    <row r="28" ht="22" spans="1:14">
      <c r="A28" s="91">
        <f>COUNTIFS(风险登记册!$B$9:$B$108,"&lt;&gt;",风险登记册!$AH$9:$AH$108,"重大")</f>
        <v>0</v>
      </c>
      <c r="B28" s="6"/>
      <c r="C28" s="6"/>
      <c r="D28" s="91">
        <f>COUNTIFS(风险登记册!$B$9:$B$108,"&lt;&gt;",风险登记册!$AH$9:$AH$108,"高")</f>
        <v>0</v>
      </c>
      <c r="E28" s="6"/>
      <c r="F28" s="6"/>
      <c r="G28" s="91">
        <f>COUNTIFS(风险应对计划!$B$5:$B$104,"&lt;&gt;",风险应对计划!$Q$5:$Q$104,"是")</f>
        <v>0</v>
      </c>
      <c r="H28" s="6"/>
      <c r="I28" s="6"/>
      <c r="J28" s="91">
        <f>COUNTIFS(风险登记册!$B$9:$B$108,"&lt;&gt;",风险登记册!$AI$9:$AI$108,"上升")</f>
        <v>0</v>
      </c>
      <c r="K28" s="6"/>
      <c r="L28" s="6"/>
    </row>
    <row r="29" ht="30" customHeight="1" spans="1:14">
      <c r="J29" s="96"/>
    </row>
  </sheetData>
  <mergeCells count="31">
    <mergeCell ref="A1:N1"/>
    <mergeCell ref="A7:C7"/>
    <mergeCell ref="D7:F7"/>
    <mergeCell ref="G7:I7"/>
    <mergeCell ref="J7:L7"/>
    <mergeCell ref="M7:N7"/>
    <mergeCell ref="A8:C8"/>
    <mergeCell ref="D8:F8"/>
    <mergeCell ref="G8:I8"/>
    <mergeCell ref="J8:L8"/>
    <mergeCell ref="M8:N8"/>
    <mergeCell ref="A16:N16"/>
    <mergeCell ref="A22:N22"/>
    <mergeCell ref="A23:C23"/>
    <mergeCell ref="D23:F23"/>
    <mergeCell ref="G23:I23"/>
    <mergeCell ref="J23:L23"/>
    <mergeCell ref="A24:C24"/>
    <mergeCell ref="D24:F24"/>
    <mergeCell ref="G24:I24"/>
    <mergeCell ref="J24:L24"/>
    <mergeCell ref="A26:N26"/>
    <mergeCell ref="A27:C27"/>
    <mergeCell ref="D27:F27"/>
    <mergeCell ref="G27:I27"/>
    <mergeCell ref="J27:L27"/>
    <mergeCell ref="A28:C28"/>
    <mergeCell ref="D28:F28"/>
    <mergeCell ref="G28:I28"/>
    <mergeCell ref="J28:L28"/>
    <mergeCell ref="A17:N20"/>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8"/>
  <sheetViews>
    <sheetView showGridLines="0" workbookViewId="0">
      <pane xSplit="5" ySplit="3" topLeftCell="F4" activePane="bottomRight" state="frozen"/>
      <selection/>
      <selection pane="topRight"/>
      <selection pane="bottomLeft"/>
      <selection pane="bottomRight" activeCell="A53" sqref="$A53:$XFD55"/>
    </sheetView>
  </sheetViews>
  <sheetFormatPr defaultColWidth="9" defaultRowHeight="16.8"/>
  <cols>
    <col min="1" max="1" width="11" style="1" customWidth="1"/>
    <col min="2" max="2" width="16" style="1" customWidth="1"/>
    <col min="3" max="3" width="22" style="1" customWidth="1"/>
    <col min="4" max="4" width="28" style="1" customWidth="1"/>
    <col min="5" max="5" width="18.9705882352941" style="1" customWidth="1"/>
    <col min="6" max="7" width="11" style="1" customWidth="1"/>
    <col min="8" max="8" width="14" style="1" customWidth="1"/>
    <col min="9" max="11" width="12" style="1" customWidth="1"/>
    <col min="12" max="12" width="14" style="1" customWidth="1"/>
    <col min="13" max="13" width="11" style="1" customWidth="1"/>
    <col min="14" max="15" width="12" style="1" customWidth="1"/>
    <col min="16" max="16" width="17" style="1" customWidth="1"/>
    <col min="17" max="17" width="11" style="1" customWidth="1"/>
    <col min="18" max="19" width="12" style="1" customWidth="1"/>
    <col min="20" max="20" width="14" style="1" customWidth="1"/>
    <col min="21" max="21" width="11" style="1" customWidth="1"/>
    <col min="22" max="23" width="12" style="1" customWidth="1"/>
    <col min="24" max="24" width="14" style="1" customWidth="1"/>
    <col min="25" max="25" width="11" style="1" customWidth="1"/>
    <col min="26" max="27" width="12" style="1" customWidth="1"/>
    <col min="28" max="28" width="11" style="1" customWidth="1"/>
    <col min="29" max="29" width="12" style="1" customWidth="1"/>
    <col min="30" max="31" width="24" style="1" customWidth="1"/>
  </cols>
  <sheetData>
    <row r="1" ht="34" customHeight="1" spans="1:31">
      <c r="A1" s="32" t="s">
        <v>39</v>
      </c>
      <c r="B1" s="3"/>
      <c r="C1" s="3"/>
      <c r="D1" s="3"/>
      <c r="E1" s="3"/>
      <c r="F1" s="3"/>
      <c r="G1" s="3"/>
      <c r="H1" s="3"/>
      <c r="I1" s="3"/>
      <c r="J1" s="3"/>
      <c r="K1" s="3"/>
      <c r="L1" s="3"/>
      <c r="M1" s="3"/>
      <c r="N1" s="3"/>
      <c r="O1" s="3"/>
      <c r="P1" s="3"/>
      <c r="Q1" s="3"/>
      <c r="R1" s="3"/>
      <c r="S1" s="3"/>
      <c r="T1" s="3"/>
      <c r="U1" s="3"/>
      <c r="V1" s="3"/>
      <c r="W1" s="3"/>
      <c r="X1" s="3"/>
      <c r="Y1" s="3"/>
      <c r="Z1" s="3"/>
      <c r="AA1" s="3"/>
      <c r="AB1" s="3"/>
      <c r="AC1" s="3"/>
      <c r="AD1" s="3"/>
      <c r="AE1" s="4"/>
    </row>
    <row r="2" spans="1:31">
      <c r="A2" s="74" t="s">
        <v>40</v>
      </c>
      <c r="B2" s="3"/>
      <c r="C2" s="3"/>
      <c r="D2" s="3"/>
      <c r="E2" s="3"/>
      <c r="F2" s="3"/>
      <c r="G2" s="3"/>
      <c r="H2" s="3"/>
      <c r="I2" s="3"/>
      <c r="J2" s="3"/>
      <c r="K2" s="3"/>
      <c r="L2" s="3"/>
      <c r="M2" s="3"/>
      <c r="N2" s="3"/>
      <c r="O2" s="3"/>
      <c r="P2" s="3"/>
      <c r="Q2" s="3"/>
      <c r="R2" s="3"/>
      <c r="S2" s="3"/>
      <c r="T2" s="3"/>
      <c r="U2" s="3"/>
      <c r="V2" s="3"/>
      <c r="W2" s="3"/>
      <c r="X2" s="3"/>
      <c r="Y2" s="3"/>
      <c r="Z2" s="3"/>
      <c r="AA2" s="3"/>
      <c r="AB2" s="3"/>
      <c r="AC2" s="3"/>
      <c r="AD2" s="3"/>
      <c r="AE2" s="4"/>
    </row>
    <row r="3" ht="30" customHeight="1" spans="1:31">
      <c r="A3" s="37" t="s">
        <v>41</v>
      </c>
      <c r="B3" s="37" t="s">
        <v>42</v>
      </c>
      <c r="C3" s="37" t="s">
        <v>43</v>
      </c>
      <c r="D3" s="37" t="s">
        <v>44</v>
      </c>
      <c r="E3" s="37" t="s">
        <v>45</v>
      </c>
      <c r="F3" s="37" t="s">
        <v>23</v>
      </c>
      <c r="G3" s="37" t="s">
        <v>46</v>
      </c>
      <c r="H3" s="37" t="s">
        <v>47</v>
      </c>
      <c r="I3" s="37" t="s">
        <v>48</v>
      </c>
      <c r="J3" s="37" t="s">
        <v>49</v>
      </c>
      <c r="K3" s="37" t="s">
        <v>50</v>
      </c>
      <c r="L3" s="37" t="s">
        <v>51</v>
      </c>
      <c r="M3" s="37" t="s">
        <v>52</v>
      </c>
      <c r="N3" s="37" t="s">
        <v>53</v>
      </c>
      <c r="O3" s="37" t="s">
        <v>54</v>
      </c>
      <c r="P3" s="37" t="s">
        <v>55</v>
      </c>
      <c r="Q3" s="37" t="s">
        <v>56</v>
      </c>
      <c r="R3" s="37" t="s">
        <v>57</v>
      </c>
      <c r="S3" s="37" t="s">
        <v>58</v>
      </c>
      <c r="T3" s="37" t="s">
        <v>59</v>
      </c>
      <c r="U3" s="37" t="s">
        <v>60</v>
      </c>
      <c r="V3" s="37" t="s">
        <v>61</v>
      </c>
      <c r="W3" s="37" t="s">
        <v>62</v>
      </c>
      <c r="X3" s="37" t="s">
        <v>63</v>
      </c>
      <c r="Y3" s="37" t="s">
        <v>64</v>
      </c>
      <c r="Z3" s="37" t="s">
        <v>65</v>
      </c>
      <c r="AA3" s="37" t="s">
        <v>66</v>
      </c>
      <c r="AB3" s="37" t="s">
        <v>16</v>
      </c>
      <c r="AC3" s="37" t="s">
        <v>67</v>
      </c>
      <c r="AD3" s="37" t="s">
        <v>68</v>
      </c>
      <c r="AE3" s="37" t="s">
        <v>69</v>
      </c>
    </row>
    <row r="4" ht="17" customHeight="1" spans="1:31">
      <c r="A4" s="34" t="s">
        <v>70</v>
      </c>
      <c r="B4" s="34" t="s">
        <v>71</v>
      </c>
      <c r="C4" s="34" t="s">
        <v>72</v>
      </c>
      <c r="D4" s="34" t="s">
        <v>73</v>
      </c>
      <c r="E4" s="34" t="s">
        <v>74</v>
      </c>
      <c r="F4" s="34" t="s">
        <v>25</v>
      </c>
      <c r="G4" s="34" t="str">
        <f t="shared" ref="G4:G15" si="0">IF(OR(M4="挂起",M4="暂停",Q4="挂起",Q4="暂停",U4="挂起",U4="暂停",Y4="挂起",Y4="暂停"),"暂停","已完成")</f>
        <v>已完成</v>
      </c>
      <c r="H4" s="34" t="str">
        <f t="shared" ref="H4:H67" si="1">IF(L4&lt;&gt;"",L4,IF(P4&lt;&gt;"",P4,IF(T4&lt;&gt;"",T4,X4)))</f>
        <v>郑士旺</v>
      </c>
      <c r="I4" s="38">
        <f t="shared" ref="I4:I67" si="2">IF(COUNT(N4,R4,V4,Z4)=0,"",MIN(N4,R4,V4,Z4))</f>
        <v>46202</v>
      </c>
      <c r="J4" s="38">
        <f t="shared" ref="J4:J67" si="3">IF(ISNUMBER(K4),K4,IF(COUNT(O4,S4,W4,AA4)=0,"",MAX(O4,S4,W4,AA4)))</f>
        <v>46234</v>
      </c>
      <c r="K4" s="38" t="s">
        <v>74</v>
      </c>
      <c r="L4" s="34" t="s">
        <v>75</v>
      </c>
      <c r="M4" s="34" t="s">
        <v>3</v>
      </c>
      <c r="N4" s="38">
        <v>46202</v>
      </c>
      <c r="O4" s="38">
        <v>46206</v>
      </c>
      <c r="P4" s="34" t="s">
        <v>76</v>
      </c>
      <c r="Q4" s="34" t="s">
        <v>3</v>
      </c>
      <c r="R4" s="38">
        <v>46209</v>
      </c>
      <c r="S4" s="38">
        <v>46225</v>
      </c>
      <c r="T4" s="34" t="s">
        <v>77</v>
      </c>
      <c r="U4" s="34" t="s">
        <v>3</v>
      </c>
      <c r="V4" s="38">
        <v>46209</v>
      </c>
      <c r="W4" s="38">
        <v>46225</v>
      </c>
      <c r="X4" s="34" t="s">
        <v>78</v>
      </c>
      <c r="Y4" s="34" t="s">
        <v>3</v>
      </c>
      <c r="Z4" s="38">
        <v>46216</v>
      </c>
      <c r="AA4" s="38">
        <v>46234</v>
      </c>
      <c r="AB4" s="75">
        <f t="shared" ref="AB4:AB67" si="4">(IF(M4="已完成",1,IF(M4="进行中",0.5,0))*15%+IF(Q4="已完成",1,IF(Q4="进行中",0.5,0))*35%+IF(U4="已完成",1,IF(U4="进行中",0.5,0))*30%+IF(Y4="已完成",1,IF(Y4="进行中",0.5,0))*20%)</f>
        <v>1</v>
      </c>
      <c r="AC4" s="34" t="str">
        <f>IF(G4="已完成","正常",IF(OR(G4="暂停",G4="挂起"),"暂停",IF(J4="","日期缺失",IF(J4&lt;项目驾驶舱!$B$3,"已延期",IF(J4&lt;=项目驾驶舱!$B$3+7,"临近到期","正常")))))</f>
        <v>正常</v>
      </c>
      <c r="AD4" s="34" t="s">
        <v>79</v>
      </c>
      <c r="AE4" s="34" t="s">
        <v>79</v>
      </c>
    </row>
    <row r="5" ht="17" customHeight="1" spans="1:31">
      <c r="A5" s="34" t="s">
        <v>80</v>
      </c>
      <c r="B5" s="34" t="s">
        <v>71</v>
      </c>
      <c r="C5" s="34" t="s">
        <v>72</v>
      </c>
      <c r="D5" s="34" t="s">
        <v>81</v>
      </c>
      <c r="E5" s="34" t="s">
        <v>74</v>
      </c>
      <c r="F5" s="34" t="s">
        <v>25</v>
      </c>
      <c r="G5" s="34" t="str">
        <f t="shared" si="0"/>
        <v>已完成</v>
      </c>
      <c r="H5" s="34" t="str">
        <f t="shared" si="1"/>
        <v>郑士旺</v>
      </c>
      <c r="I5" s="38">
        <f t="shared" si="2"/>
        <v>46202</v>
      </c>
      <c r="J5" s="38">
        <f t="shared" si="3"/>
        <v>46234</v>
      </c>
      <c r="K5" s="38" t="s">
        <v>74</v>
      </c>
      <c r="L5" s="34" t="s">
        <v>75</v>
      </c>
      <c r="M5" s="34" t="s">
        <v>3</v>
      </c>
      <c r="N5" s="38">
        <v>46202</v>
      </c>
      <c r="O5" s="38">
        <v>46206</v>
      </c>
      <c r="P5" s="34" t="s">
        <v>76</v>
      </c>
      <c r="Q5" s="34" t="s">
        <v>3</v>
      </c>
      <c r="R5" s="38">
        <v>46209</v>
      </c>
      <c r="S5" s="38">
        <v>46225</v>
      </c>
      <c r="T5" s="34" t="s">
        <v>77</v>
      </c>
      <c r="U5" s="34" t="s">
        <v>3</v>
      </c>
      <c r="V5" s="38">
        <v>46209</v>
      </c>
      <c r="W5" s="38">
        <v>46225</v>
      </c>
      <c r="X5" s="34" t="s">
        <v>78</v>
      </c>
      <c r="Y5" s="34" t="s">
        <v>3</v>
      </c>
      <c r="Z5" s="38">
        <v>46216</v>
      </c>
      <c r="AA5" s="38">
        <v>46234</v>
      </c>
      <c r="AB5" s="75">
        <f t="shared" si="4"/>
        <v>1</v>
      </c>
      <c r="AC5" s="34" t="str">
        <f>IF(G5="已完成","正常",IF(OR(G5="暂停",G5="挂起"),"暂停",IF(J5="","日期缺失",IF(J5&lt;项目驾驶舱!$B$3,"已延期",IF(J5&lt;=项目驾驶舱!$B$3+7,"临近到期","正常")))))</f>
        <v>正常</v>
      </c>
      <c r="AD5" s="34" t="s">
        <v>79</v>
      </c>
      <c r="AE5" s="34" t="s">
        <v>79</v>
      </c>
    </row>
    <row r="6" ht="17" customHeight="1" spans="1:31">
      <c r="A6" s="34" t="s">
        <v>82</v>
      </c>
      <c r="B6" s="34" t="s">
        <v>71</v>
      </c>
      <c r="C6" s="34" t="s">
        <v>72</v>
      </c>
      <c r="D6" s="34" t="s">
        <v>83</v>
      </c>
      <c r="E6" s="34" t="s">
        <v>74</v>
      </c>
      <c r="F6" s="34" t="s">
        <v>25</v>
      </c>
      <c r="G6" s="34" t="str">
        <f t="shared" si="0"/>
        <v>已完成</v>
      </c>
      <c r="H6" s="34" t="str">
        <f t="shared" si="1"/>
        <v>郑士旺</v>
      </c>
      <c r="I6" s="38">
        <f t="shared" si="2"/>
        <v>46202</v>
      </c>
      <c r="J6" s="38">
        <f t="shared" si="3"/>
        <v>46234</v>
      </c>
      <c r="K6" s="38" t="s">
        <v>74</v>
      </c>
      <c r="L6" s="34" t="s">
        <v>75</v>
      </c>
      <c r="M6" s="34" t="s">
        <v>3</v>
      </c>
      <c r="N6" s="38">
        <v>46202</v>
      </c>
      <c r="O6" s="38">
        <v>46206</v>
      </c>
      <c r="P6" s="34" t="s">
        <v>76</v>
      </c>
      <c r="Q6" s="34" t="s">
        <v>3</v>
      </c>
      <c r="R6" s="38">
        <v>46209</v>
      </c>
      <c r="S6" s="38">
        <v>46225</v>
      </c>
      <c r="T6" s="34" t="s">
        <v>77</v>
      </c>
      <c r="U6" s="34" t="s">
        <v>3</v>
      </c>
      <c r="V6" s="38">
        <v>46209</v>
      </c>
      <c r="W6" s="38">
        <v>46225</v>
      </c>
      <c r="X6" s="34" t="s">
        <v>78</v>
      </c>
      <c r="Y6" s="34" t="s">
        <v>3</v>
      </c>
      <c r="Z6" s="38">
        <v>46216</v>
      </c>
      <c r="AA6" s="38">
        <v>46234</v>
      </c>
      <c r="AB6" s="75">
        <f t="shared" si="4"/>
        <v>1</v>
      </c>
      <c r="AC6" s="34" t="str">
        <f>IF(G6="已完成","正常",IF(OR(G6="暂停",G6="挂起"),"暂停",IF(J6="","日期缺失",IF(J6&lt;项目驾驶舱!$B$3,"已延期",IF(J6&lt;=项目驾驶舱!$B$3+7,"临近到期","正常")))))</f>
        <v>正常</v>
      </c>
      <c r="AD6" s="34" t="s">
        <v>79</v>
      </c>
      <c r="AE6" s="34" t="s">
        <v>79</v>
      </c>
    </row>
    <row r="7" ht="17" customHeight="1" spans="1:31">
      <c r="A7" s="34" t="s">
        <v>84</v>
      </c>
      <c r="B7" s="34" t="s">
        <v>71</v>
      </c>
      <c r="C7" s="34" t="s">
        <v>72</v>
      </c>
      <c r="D7" s="34" t="s">
        <v>85</v>
      </c>
      <c r="E7" s="34" t="s">
        <v>74</v>
      </c>
      <c r="F7" s="34" t="s">
        <v>25</v>
      </c>
      <c r="G7" s="34" t="str">
        <f t="shared" si="0"/>
        <v>已完成</v>
      </c>
      <c r="H7" s="34" t="str">
        <f t="shared" si="1"/>
        <v>郑士旺</v>
      </c>
      <c r="I7" s="38">
        <f t="shared" si="2"/>
        <v>46202</v>
      </c>
      <c r="J7" s="38">
        <f t="shared" si="3"/>
        <v>46234</v>
      </c>
      <c r="K7" s="38" t="s">
        <v>74</v>
      </c>
      <c r="L7" s="34" t="s">
        <v>75</v>
      </c>
      <c r="M7" s="34" t="s">
        <v>3</v>
      </c>
      <c r="N7" s="38">
        <v>46202</v>
      </c>
      <c r="O7" s="38">
        <v>46206</v>
      </c>
      <c r="P7" s="34" t="s">
        <v>76</v>
      </c>
      <c r="Q7" s="34" t="s">
        <v>3</v>
      </c>
      <c r="R7" s="38">
        <v>46209</v>
      </c>
      <c r="S7" s="38">
        <v>46225</v>
      </c>
      <c r="T7" s="34" t="s">
        <v>77</v>
      </c>
      <c r="U7" s="34" t="s">
        <v>3</v>
      </c>
      <c r="V7" s="38">
        <v>46209</v>
      </c>
      <c r="W7" s="38">
        <v>46225</v>
      </c>
      <c r="X7" s="34" t="s">
        <v>78</v>
      </c>
      <c r="Y7" s="34" t="s">
        <v>3</v>
      </c>
      <c r="Z7" s="38">
        <v>46216</v>
      </c>
      <c r="AA7" s="38">
        <v>46234</v>
      </c>
      <c r="AB7" s="75">
        <f t="shared" si="4"/>
        <v>1</v>
      </c>
      <c r="AC7" s="34" t="str">
        <f>IF(G7="已完成","正常",IF(OR(G7="暂停",G7="挂起"),"暂停",IF(J7="","日期缺失",IF(J7&lt;项目驾驶舱!$B$3,"已延期",IF(J7&lt;=项目驾驶舱!$B$3+7,"临近到期","正常")))))</f>
        <v>正常</v>
      </c>
      <c r="AD7" s="34" t="s">
        <v>79</v>
      </c>
      <c r="AE7" s="34" t="s">
        <v>79</v>
      </c>
    </row>
    <row r="8" ht="17" customHeight="1" spans="1:31">
      <c r="A8" s="34" t="s">
        <v>86</v>
      </c>
      <c r="B8" s="34" t="s">
        <v>71</v>
      </c>
      <c r="C8" s="34" t="s">
        <v>87</v>
      </c>
      <c r="D8" s="34" t="s">
        <v>88</v>
      </c>
      <c r="E8" s="34" t="s">
        <v>74</v>
      </c>
      <c r="F8" s="34" t="s">
        <v>26</v>
      </c>
      <c r="G8" s="34" t="str">
        <f t="shared" si="0"/>
        <v>已完成</v>
      </c>
      <c r="H8" s="34" t="str">
        <f t="shared" si="1"/>
        <v>郑士旺</v>
      </c>
      <c r="I8" s="38">
        <f t="shared" si="2"/>
        <v>46230</v>
      </c>
      <c r="J8" s="38">
        <f t="shared" si="3"/>
        <v>46353</v>
      </c>
      <c r="K8" s="38" t="s">
        <v>74</v>
      </c>
      <c r="L8" s="34" t="s">
        <v>75</v>
      </c>
      <c r="M8" s="34" t="s">
        <v>3</v>
      </c>
      <c r="N8" s="38">
        <v>46230</v>
      </c>
      <c r="O8" s="38">
        <v>46241</v>
      </c>
      <c r="P8" s="34" t="s">
        <v>76</v>
      </c>
      <c r="Q8" s="34" t="s">
        <v>3</v>
      </c>
      <c r="R8" s="38">
        <v>46307</v>
      </c>
      <c r="S8" s="38">
        <v>46339</v>
      </c>
      <c r="T8" s="34" t="s">
        <v>77</v>
      </c>
      <c r="U8" s="34" t="s">
        <v>3</v>
      </c>
      <c r="V8" s="38">
        <v>46307</v>
      </c>
      <c r="W8" s="38">
        <v>46339</v>
      </c>
      <c r="X8" s="34" t="s">
        <v>78</v>
      </c>
      <c r="Y8" s="34" t="s">
        <v>3</v>
      </c>
      <c r="Z8" s="38">
        <v>46342</v>
      </c>
      <c r="AA8" s="38">
        <v>46353</v>
      </c>
      <c r="AB8" s="75">
        <f t="shared" si="4"/>
        <v>1</v>
      </c>
      <c r="AC8" s="34" t="str">
        <f>IF(G8="已完成","正常",IF(OR(G8="暂停",G8="挂起"),"暂停",IF(J8="","日期缺失",IF(J8&lt;项目驾驶舱!$B$3,"已延期",IF(J8&lt;=项目驾驶舱!$B$3+7,"临近到期","正常")))))</f>
        <v>正常</v>
      </c>
      <c r="AD8" s="34" t="s">
        <v>79</v>
      </c>
      <c r="AE8" s="34" t="s">
        <v>79</v>
      </c>
    </row>
    <row r="9" ht="17" customHeight="1" spans="1:31">
      <c r="A9" s="34" t="s">
        <v>89</v>
      </c>
      <c r="B9" s="34" t="s">
        <v>71</v>
      </c>
      <c r="C9" s="34" t="s">
        <v>90</v>
      </c>
      <c r="D9" s="34" t="s">
        <v>91</v>
      </c>
      <c r="E9" s="34" t="s">
        <v>74</v>
      </c>
      <c r="F9" s="34" t="s">
        <v>25</v>
      </c>
      <c r="G9" s="34" t="str">
        <f t="shared" si="0"/>
        <v>已完成</v>
      </c>
      <c r="H9" s="34" t="str">
        <f t="shared" si="1"/>
        <v>郑士旺</v>
      </c>
      <c r="I9" s="38">
        <f t="shared" si="2"/>
        <v>46202</v>
      </c>
      <c r="J9" s="38">
        <f t="shared" si="3"/>
        <v>46224</v>
      </c>
      <c r="K9" s="38">
        <v>46224</v>
      </c>
      <c r="L9" s="34" t="s">
        <v>75</v>
      </c>
      <c r="M9" s="34" t="s">
        <v>3</v>
      </c>
      <c r="N9" s="38">
        <v>46202</v>
      </c>
      <c r="O9" s="38">
        <v>46206</v>
      </c>
      <c r="P9" s="34" t="s">
        <v>76</v>
      </c>
      <c r="Q9" s="34" t="s">
        <v>3</v>
      </c>
      <c r="R9" s="38">
        <v>46209</v>
      </c>
      <c r="S9" s="38">
        <v>46227</v>
      </c>
      <c r="T9" s="34" t="s">
        <v>77</v>
      </c>
      <c r="U9" s="34" t="s">
        <v>3</v>
      </c>
      <c r="V9" s="38">
        <v>46209</v>
      </c>
      <c r="W9" s="38">
        <v>46227</v>
      </c>
      <c r="X9" s="34" t="s">
        <v>78</v>
      </c>
      <c r="Y9" s="34" t="s">
        <v>3</v>
      </c>
      <c r="Z9" s="38">
        <v>46216</v>
      </c>
      <c r="AA9" s="38">
        <v>46234</v>
      </c>
      <c r="AB9" s="75">
        <f t="shared" si="4"/>
        <v>1</v>
      </c>
      <c r="AC9" s="34" t="str">
        <f>IF(G9="已完成","正常",IF(OR(G9="暂停",G9="挂起"),"暂停",IF(J9="","日期缺失",IF(J9&lt;项目驾驶舱!$B$3,"已延期",IF(J9&lt;=项目驾驶舱!$B$3+7,"临近到期","正常")))))</f>
        <v>正常</v>
      </c>
      <c r="AD9" s="34" t="s">
        <v>79</v>
      </c>
      <c r="AE9" s="34" t="s">
        <v>79</v>
      </c>
    </row>
    <row r="10" ht="17" customHeight="1" spans="1:31">
      <c r="A10" s="34" t="s">
        <v>92</v>
      </c>
      <c r="B10" s="34" t="s">
        <v>71</v>
      </c>
      <c r="C10" s="34" t="s">
        <v>90</v>
      </c>
      <c r="D10" s="34" t="s">
        <v>93</v>
      </c>
      <c r="E10" s="34" t="s">
        <v>74</v>
      </c>
      <c r="F10" s="34" t="s">
        <v>25</v>
      </c>
      <c r="G10" s="34" t="str">
        <f t="shared" si="0"/>
        <v>已完成</v>
      </c>
      <c r="H10" s="34" t="str">
        <f t="shared" si="1"/>
        <v>郑士旺</v>
      </c>
      <c r="I10" s="38">
        <f t="shared" si="2"/>
        <v>46202</v>
      </c>
      <c r="J10" s="38">
        <f t="shared" si="3"/>
        <v>46224</v>
      </c>
      <c r="K10" s="38">
        <v>46224</v>
      </c>
      <c r="L10" s="34" t="s">
        <v>75</v>
      </c>
      <c r="M10" s="34" t="s">
        <v>3</v>
      </c>
      <c r="N10" s="38">
        <v>46202</v>
      </c>
      <c r="O10" s="38">
        <v>46206</v>
      </c>
      <c r="P10" s="34" t="s">
        <v>76</v>
      </c>
      <c r="Q10" s="34" t="s">
        <v>3</v>
      </c>
      <c r="R10" s="38">
        <v>46209</v>
      </c>
      <c r="S10" s="38">
        <v>46227</v>
      </c>
      <c r="T10" s="34" t="s">
        <v>77</v>
      </c>
      <c r="U10" s="34" t="s">
        <v>3</v>
      </c>
      <c r="V10" s="38">
        <v>46209</v>
      </c>
      <c r="W10" s="38">
        <v>46227</v>
      </c>
      <c r="X10" s="34" t="s">
        <v>78</v>
      </c>
      <c r="Y10" s="34" t="s">
        <v>3</v>
      </c>
      <c r="Z10" s="38">
        <v>46216</v>
      </c>
      <c r="AA10" s="38">
        <v>46234</v>
      </c>
      <c r="AB10" s="75">
        <f t="shared" si="4"/>
        <v>1</v>
      </c>
      <c r="AC10" s="34" t="str">
        <f>IF(G10="已完成","正常",IF(OR(G10="暂停",G10="挂起"),"暂停",IF(J10="","日期缺失",IF(J10&lt;项目驾驶舱!$B$3,"已延期",IF(J10&lt;=项目驾驶舱!$B$3+7,"临近到期","正常")))))</f>
        <v>正常</v>
      </c>
      <c r="AD10" s="34" t="s">
        <v>79</v>
      </c>
      <c r="AE10" s="34" t="s">
        <v>79</v>
      </c>
    </row>
    <row r="11" ht="17" customHeight="1" spans="1:31">
      <c r="A11" s="34" t="s">
        <v>94</v>
      </c>
      <c r="B11" s="34" t="s">
        <v>71</v>
      </c>
      <c r="C11" s="34" t="s">
        <v>90</v>
      </c>
      <c r="D11" s="34" t="s">
        <v>95</v>
      </c>
      <c r="E11" s="34" t="s">
        <v>74</v>
      </c>
      <c r="F11" s="34" t="s">
        <v>25</v>
      </c>
      <c r="G11" s="34" t="str">
        <f t="shared" si="0"/>
        <v>已完成</v>
      </c>
      <c r="H11" s="34" t="str">
        <f t="shared" si="1"/>
        <v>郑士旺</v>
      </c>
      <c r="I11" s="38">
        <f t="shared" si="2"/>
        <v>46202</v>
      </c>
      <c r="J11" s="38">
        <f t="shared" si="3"/>
        <v>46224</v>
      </c>
      <c r="K11" s="38">
        <v>46224</v>
      </c>
      <c r="L11" s="34" t="s">
        <v>75</v>
      </c>
      <c r="M11" s="34" t="s">
        <v>3</v>
      </c>
      <c r="N11" s="38">
        <v>46202</v>
      </c>
      <c r="O11" s="38">
        <v>46206</v>
      </c>
      <c r="P11" s="34" t="s">
        <v>76</v>
      </c>
      <c r="Q11" s="34" t="s">
        <v>3</v>
      </c>
      <c r="R11" s="38">
        <v>46209</v>
      </c>
      <c r="S11" s="38">
        <v>46227</v>
      </c>
      <c r="T11" s="34" t="s">
        <v>77</v>
      </c>
      <c r="U11" s="34" t="s">
        <v>3</v>
      </c>
      <c r="V11" s="38">
        <v>46209</v>
      </c>
      <c r="W11" s="38">
        <v>46227</v>
      </c>
      <c r="X11" s="34" t="s">
        <v>78</v>
      </c>
      <c r="Y11" s="34" t="s">
        <v>3</v>
      </c>
      <c r="Z11" s="38">
        <v>46216</v>
      </c>
      <c r="AA11" s="38">
        <v>46234</v>
      </c>
      <c r="AB11" s="75">
        <f t="shared" si="4"/>
        <v>1</v>
      </c>
      <c r="AC11" s="34" t="str">
        <f>IF(G11="已完成","正常",IF(OR(G11="暂停",G11="挂起"),"暂停",IF(J11="","日期缺失",IF(J11&lt;项目驾驶舱!$B$3,"已延期",IF(J11&lt;=项目驾驶舱!$B$3+7,"临近到期","正常")))))</f>
        <v>正常</v>
      </c>
      <c r="AD11" s="34" t="s">
        <v>79</v>
      </c>
      <c r="AE11" s="34" t="s">
        <v>79</v>
      </c>
    </row>
    <row r="12" ht="17" customHeight="1" spans="1:31">
      <c r="A12" s="34" t="s">
        <v>96</v>
      </c>
      <c r="B12" s="34" t="s">
        <v>71</v>
      </c>
      <c r="C12" s="34" t="s">
        <v>97</v>
      </c>
      <c r="D12" s="34" t="s">
        <v>98</v>
      </c>
      <c r="E12" s="34" t="s">
        <v>74</v>
      </c>
      <c r="F12" s="34" t="s">
        <v>25</v>
      </c>
      <c r="G12" s="34" t="str">
        <f t="shared" si="0"/>
        <v>已完成</v>
      </c>
      <c r="H12" s="34" t="str">
        <f t="shared" si="1"/>
        <v>郑士旺</v>
      </c>
      <c r="I12" s="38">
        <f t="shared" si="2"/>
        <v>46202</v>
      </c>
      <c r="J12" s="38">
        <f t="shared" si="3"/>
        <v>46224</v>
      </c>
      <c r="K12" s="38">
        <v>46224</v>
      </c>
      <c r="L12" s="34" t="s">
        <v>75</v>
      </c>
      <c r="M12" s="34" t="s">
        <v>3</v>
      </c>
      <c r="N12" s="38">
        <v>46202</v>
      </c>
      <c r="O12" s="38">
        <v>46206</v>
      </c>
      <c r="P12" s="34" t="s">
        <v>76</v>
      </c>
      <c r="Q12" s="34" t="s">
        <v>3</v>
      </c>
      <c r="R12" s="38">
        <v>46209</v>
      </c>
      <c r="S12" s="38">
        <v>46227</v>
      </c>
      <c r="T12" s="34" t="s">
        <v>77</v>
      </c>
      <c r="U12" s="34" t="s">
        <v>3</v>
      </c>
      <c r="V12" s="38">
        <v>46209</v>
      </c>
      <c r="W12" s="38">
        <v>46227</v>
      </c>
      <c r="X12" s="34" t="s">
        <v>78</v>
      </c>
      <c r="Y12" s="34" t="s">
        <v>3</v>
      </c>
      <c r="Z12" s="38">
        <v>46216</v>
      </c>
      <c r="AA12" s="38">
        <v>46234</v>
      </c>
      <c r="AB12" s="75">
        <f t="shared" si="4"/>
        <v>1</v>
      </c>
      <c r="AC12" s="34" t="str">
        <f>IF(G12="已完成","正常",IF(OR(G12="暂停",G12="挂起"),"暂停",IF(J12="","日期缺失",IF(J12&lt;项目驾驶舱!$B$3,"已延期",IF(J12&lt;=项目驾驶舱!$B$3+7,"临近到期","正常")))))</f>
        <v>正常</v>
      </c>
      <c r="AD12" s="34" t="s">
        <v>79</v>
      </c>
      <c r="AE12" s="34" t="s">
        <v>79</v>
      </c>
    </row>
    <row r="13" ht="17" customHeight="1" spans="1:31">
      <c r="A13" s="34" t="s">
        <v>99</v>
      </c>
      <c r="B13" s="34" t="s">
        <v>71</v>
      </c>
      <c r="C13" s="34" t="s">
        <v>97</v>
      </c>
      <c r="D13" s="34" t="s">
        <v>100</v>
      </c>
      <c r="E13" s="34" t="s">
        <v>74</v>
      </c>
      <c r="F13" s="34" t="s">
        <v>25</v>
      </c>
      <c r="G13" s="34" t="str">
        <f t="shared" si="0"/>
        <v>已完成</v>
      </c>
      <c r="H13" s="34" t="str">
        <f t="shared" si="1"/>
        <v>郑士旺</v>
      </c>
      <c r="I13" s="38">
        <f t="shared" si="2"/>
        <v>46202</v>
      </c>
      <c r="J13" s="38">
        <f t="shared" si="3"/>
        <v>46224</v>
      </c>
      <c r="K13" s="38">
        <v>46224</v>
      </c>
      <c r="L13" s="34" t="s">
        <v>75</v>
      </c>
      <c r="M13" s="34" t="s">
        <v>3</v>
      </c>
      <c r="N13" s="38">
        <v>46202</v>
      </c>
      <c r="O13" s="38">
        <v>46206</v>
      </c>
      <c r="P13" s="34" t="s">
        <v>76</v>
      </c>
      <c r="Q13" s="34" t="s">
        <v>3</v>
      </c>
      <c r="R13" s="38">
        <v>46209</v>
      </c>
      <c r="S13" s="38">
        <v>46227</v>
      </c>
      <c r="T13" s="34" t="s">
        <v>77</v>
      </c>
      <c r="U13" s="34" t="s">
        <v>3</v>
      </c>
      <c r="V13" s="38">
        <v>46209</v>
      </c>
      <c r="W13" s="38">
        <v>46227</v>
      </c>
      <c r="X13" s="34" t="s">
        <v>78</v>
      </c>
      <c r="Y13" s="34" t="s">
        <v>3</v>
      </c>
      <c r="Z13" s="38">
        <v>46216</v>
      </c>
      <c r="AA13" s="38">
        <v>46234</v>
      </c>
      <c r="AB13" s="75">
        <f t="shared" si="4"/>
        <v>1</v>
      </c>
      <c r="AC13" s="34" t="str">
        <f>IF(G13="已完成","正常",IF(OR(G13="暂停",G13="挂起"),"暂停",IF(J13="","日期缺失",IF(J13&lt;项目驾驶舱!$B$3,"已延期",IF(J13&lt;=项目驾驶舱!$B$3+7,"临近到期","正常")))))</f>
        <v>正常</v>
      </c>
      <c r="AD13" s="34" t="s">
        <v>79</v>
      </c>
      <c r="AE13" s="34" t="s">
        <v>79</v>
      </c>
    </row>
    <row r="14" ht="34" customHeight="1" spans="1:31">
      <c r="A14" s="34" t="s">
        <v>101</v>
      </c>
      <c r="B14" s="34" t="s">
        <v>102</v>
      </c>
      <c r="C14" s="34" t="s">
        <v>103</v>
      </c>
      <c r="D14" s="34" t="s">
        <v>104</v>
      </c>
      <c r="E14" s="34" t="s">
        <v>74</v>
      </c>
      <c r="F14" s="34" t="s">
        <v>25</v>
      </c>
      <c r="G14" s="34" t="str">
        <f t="shared" si="0"/>
        <v>已完成</v>
      </c>
      <c r="H14" s="34" t="str">
        <f t="shared" si="1"/>
        <v>郑士旺</v>
      </c>
      <c r="I14" s="38">
        <f t="shared" si="2"/>
        <v>46202</v>
      </c>
      <c r="J14" s="38">
        <f t="shared" si="3"/>
        <v>46224</v>
      </c>
      <c r="K14" s="38">
        <v>46224</v>
      </c>
      <c r="L14" s="34" t="s">
        <v>75</v>
      </c>
      <c r="M14" s="34" t="s">
        <v>3</v>
      </c>
      <c r="N14" s="38">
        <v>46202</v>
      </c>
      <c r="O14" s="38">
        <v>46206</v>
      </c>
      <c r="P14" s="34" t="s">
        <v>76</v>
      </c>
      <c r="Q14" s="34" t="s">
        <v>3</v>
      </c>
      <c r="R14" s="38">
        <v>46209</v>
      </c>
      <c r="S14" s="38">
        <v>46227</v>
      </c>
      <c r="T14" s="34" t="s">
        <v>77</v>
      </c>
      <c r="U14" s="34" t="s">
        <v>3</v>
      </c>
      <c r="V14" s="38">
        <v>46209</v>
      </c>
      <c r="W14" s="38">
        <v>46225</v>
      </c>
      <c r="X14" s="34" t="s">
        <v>78</v>
      </c>
      <c r="Y14" s="34" t="s">
        <v>3</v>
      </c>
      <c r="Z14" s="38">
        <v>46216</v>
      </c>
      <c r="AA14" s="38">
        <v>46234</v>
      </c>
      <c r="AB14" s="75">
        <f t="shared" si="4"/>
        <v>1</v>
      </c>
      <c r="AC14" s="34" t="str">
        <f>IF(G14="已完成","正常",IF(OR(G14="暂停",G14="挂起"),"暂停",IF(J14="","日期缺失",IF(J14&lt;项目驾驶舱!$B$3,"已延期",IF(J14&lt;=项目驾驶舱!$B$3+7,"临近到期","正常")))))</f>
        <v>正常</v>
      </c>
      <c r="AD14" s="34" t="s">
        <v>79</v>
      </c>
      <c r="AE14" s="34" t="s">
        <v>79</v>
      </c>
    </row>
    <row r="15" ht="34" customHeight="1" spans="1:31">
      <c r="A15" s="34" t="s">
        <v>105</v>
      </c>
      <c r="B15" s="34" t="s">
        <v>102</v>
      </c>
      <c r="C15" s="34" t="s">
        <v>103</v>
      </c>
      <c r="D15" s="34" t="s">
        <v>106</v>
      </c>
      <c r="E15" s="34" t="s">
        <v>74</v>
      </c>
      <c r="F15" s="34" t="s">
        <v>25</v>
      </c>
      <c r="G15" s="34" t="str">
        <f t="shared" si="0"/>
        <v>已完成</v>
      </c>
      <c r="H15" s="34" t="str">
        <f t="shared" si="1"/>
        <v>郑士旺</v>
      </c>
      <c r="I15" s="38">
        <f t="shared" si="2"/>
        <v>46202</v>
      </c>
      <c r="J15" s="38">
        <f t="shared" si="3"/>
        <v>46224</v>
      </c>
      <c r="K15" s="38">
        <v>46224</v>
      </c>
      <c r="L15" s="34" t="s">
        <v>75</v>
      </c>
      <c r="M15" s="34" t="s">
        <v>3</v>
      </c>
      <c r="N15" s="38">
        <v>46202</v>
      </c>
      <c r="O15" s="38">
        <v>46206</v>
      </c>
      <c r="P15" s="34" t="s">
        <v>76</v>
      </c>
      <c r="Q15" s="34" t="s">
        <v>3</v>
      </c>
      <c r="R15" s="38">
        <v>46209</v>
      </c>
      <c r="S15" s="38">
        <v>46227</v>
      </c>
      <c r="T15" s="34" t="s">
        <v>77</v>
      </c>
      <c r="U15" s="34" t="s">
        <v>3</v>
      </c>
      <c r="V15" s="38">
        <v>46209</v>
      </c>
      <c r="W15" s="38">
        <v>46225</v>
      </c>
      <c r="X15" s="34" t="s">
        <v>78</v>
      </c>
      <c r="Y15" s="34" t="s">
        <v>3</v>
      </c>
      <c r="Z15" s="38">
        <v>46216</v>
      </c>
      <c r="AA15" s="38">
        <v>46234</v>
      </c>
      <c r="AB15" s="75">
        <f t="shared" si="4"/>
        <v>1</v>
      </c>
      <c r="AC15" s="34" t="str">
        <f>IF(G15="已完成","正常",IF(OR(G15="暂停",G15="挂起"),"暂停",IF(J15="","日期缺失",IF(J15&lt;项目驾驶舱!$B$3,"已延期",IF(J15&lt;=项目驾驶舱!$B$3+7,"临近到期","正常")))))</f>
        <v>正常</v>
      </c>
      <c r="AD15" s="34" t="s">
        <v>79</v>
      </c>
      <c r="AE15" s="34" t="s">
        <v>79</v>
      </c>
    </row>
    <row r="16" ht="17" customHeight="1" spans="1:31">
      <c r="A16" s="34" t="s">
        <v>107</v>
      </c>
      <c r="B16" s="34" t="s">
        <v>102</v>
      </c>
      <c r="C16" s="34" t="s">
        <v>108</v>
      </c>
      <c r="D16" s="34" t="s">
        <v>109</v>
      </c>
      <c r="E16" s="34" t="s">
        <v>74</v>
      </c>
      <c r="F16" s="34" t="s">
        <v>26</v>
      </c>
      <c r="G16" s="34" t="str">
        <f>IF(OR(M16="挂起",M16="暂停",Q16="挂起",Q16="暂停",U16="挂起",U16="暂停",Y16="挂起",Y16="暂停"),"暂停","进行中")</f>
        <v>进行中</v>
      </c>
      <c r="H16" s="34" t="str">
        <f t="shared" si="1"/>
        <v>郑士旺</v>
      </c>
      <c r="I16" s="38">
        <f t="shared" si="2"/>
        <v>46223</v>
      </c>
      <c r="J16" s="38">
        <f t="shared" si="3"/>
        <v>46318</v>
      </c>
      <c r="K16" s="38"/>
      <c r="L16" s="34" t="s">
        <v>75</v>
      </c>
      <c r="M16" s="34" t="s">
        <v>3</v>
      </c>
      <c r="N16" s="38">
        <v>46223</v>
      </c>
      <c r="O16" s="38">
        <v>46227</v>
      </c>
      <c r="P16" s="34" t="s">
        <v>76</v>
      </c>
      <c r="Q16" s="34" t="s">
        <v>4</v>
      </c>
      <c r="R16" s="38">
        <v>46272</v>
      </c>
      <c r="S16" s="38">
        <v>46279</v>
      </c>
      <c r="T16" s="34" t="s">
        <v>77</v>
      </c>
      <c r="U16" s="34" t="s">
        <v>4</v>
      </c>
      <c r="V16" s="38">
        <v>46272</v>
      </c>
      <c r="W16" s="38">
        <v>46279</v>
      </c>
      <c r="X16" s="34" t="s">
        <v>78</v>
      </c>
      <c r="Y16" s="34" t="s">
        <v>5</v>
      </c>
      <c r="Z16" s="38">
        <v>46307</v>
      </c>
      <c r="AA16" s="38">
        <v>46318</v>
      </c>
      <c r="AB16" s="75">
        <f t="shared" si="4"/>
        <v>0.475</v>
      </c>
      <c r="AC16" s="34" t="str">
        <f>IF(G16="已完成","正常",IF(OR(G16="暂停",G16="挂起"),"暂停",IF(J16="","日期缺失",IF(J16&lt;项目驾驶舱!$B$3,"已延期",IF(J16&lt;=项目驾驶舱!$B$3+7,"临近到期","正常")))))</f>
        <v>正常</v>
      </c>
      <c r="AD16" s="34" t="s">
        <v>79</v>
      </c>
      <c r="AE16" s="34" t="s">
        <v>79</v>
      </c>
    </row>
    <row r="17" ht="17" customHeight="1" spans="1:31">
      <c r="A17" s="34" t="s">
        <v>110</v>
      </c>
      <c r="B17" s="34" t="s">
        <v>102</v>
      </c>
      <c r="C17" s="34" t="s">
        <v>108</v>
      </c>
      <c r="D17" s="34" t="s">
        <v>111</v>
      </c>
      <c r="E17" s="34" t="s">
        <v>74</v>
      </c>
      <c r="F17" s="34" t="s">
        <v>26</v>
      </c>
      <c r="G17" s="34" t="str">
        <f>IF(OR(M17="挂起",M17="暂停",Q17="挂起",Q17="暂停",U17="挂起",U17="暂停",Y17="挂起",Y17="暂停"),"暂停","进行中")</f>
        <v>进行中</v>
      </c>
      <c r="H17" s="34" t="str">
        <f t="shared" si="1"/>
        <v>郑士旺</v>
      </c>
      <c r="I17" s="38">
        <f t="shared" si="2"/>
        <v>46223</v>
      </c>
      <c r="J17" s="38">
        <f t="shared" si="3"/>
        <v>46318</v>
      </c>
      <c r="K17" s="38"/>
      <c r="L17" s="34" t="s">
        <v>75</v>
      </c>
      <c r="M17" s="34" t="s">
        <v>3</v>
      </c>
      <c r="N17" s="38">
        <v>46223</v>
      </c>
      <c r="O17" s="38">
        <v>46227</v>
      </c>
      <c r="P17" s="34" t="s">
        <v>76</v>
      </c>
      <c r="Q17" s="34" t="s">
        <v>4</v>
      </c>
      <c r="R17" s="38">
        <v>46272</v>
      </c>
      <c r="S17" s="38">
        <v>46279</v>
      </c>
      <c r="T17" s="34" t="s">
        <v>77</v>
      </c>
      <c r="U17" s="34" t="s">
        <v>4</v>
      </c>
      <c r="V17" s="38">
        <v>46272</v>
      </c>
      <c r="W17" s="38">
        <v>46279</v>
      </c>
      <c r="X17" s="34" t="s">
        <v>78</v>
      </c>
      <c r="Y17" s="34" t="s">
        <v>5</v>
      </c>
      <c r="Z17" s="38">
        <v>46307</v>
      </c>
      <c r="AA17" s="38">
        <v>46318</v>
      </c>
      <c r="AB17" s="75">
        <f t="shared" si="4"/>
        <v>0.475</v>
      </c>
      <c r="AC17" s="34" t="str">
        <f>IF(G17="已完成","正常",IF(OR(G17="暂停",G17="挂起"),"暂停",IF(J17="","日期缺失",IF(J17&lt;项目驾驶舱!$B$3,"已延期",IF(J17&lt;=项目驾驶舱!$B$3+7,"临近到期","正常")))))</f>
        <v>正常</v>
      </c>
      <c r="AD17" s="34" t="s">
        <v>79</v>
      </c>
      <c r="AE17" s="34" t="s">
        <v>79</v>
      </c>
    </row>
    <row r="18" ht="17" customHeight="1" spans="1:31">
      <c r="A18" s="34" t="s">
        <v>112</v>
      </c>
      <c r="B18" s="34" t="s">
        <v>102</v>
      </c>
      <c r="C18" s="34" t="s">
        <v>108</v>
      </c>
      <c r="D18" s="34" t="s">
        <v>113</v>
      </c>
      <c r="E18" s="34" t="s">
        <v>74</v>
      </c>
      <c r="F18" s="34" t="s">
        <v>26</v>
      </c>
      <c r="G18" s="34" t="str">
        <f>IF(OR(M18="挂起",M18="暂停",Q18="挂起",Q18="暂停",U18="挂起",U18="暂停",Y18="挂起",Y18="暂停"),"暂停","进行中")</f>
        <v>进行中</v>
      </c>
      <c r="H18" s="34" t="str">
        <f t="shared" si="1"/>
        <v>郑士旺</v>
      </c>
      <c r="I18" s="38">
        <f t="shared" si="2"/>
        <v>46223</v>
      </c>
      <c r="J18" s="38">
        <f t="shared" si="3"/>
        <v>46318</v>
      </c>
      <c r="K18" s="38"/>
      <c r="L18" s="34" t="s">
        <v>75</v>
      </c>
      <c r="M18" s="34" t="s">
        <v>3</v>
      </c>
      <c r="N18" s="38">
        <v>46223</v>
      </c>
      <c r="O18" s="38">
        <v>46227</v>
      </c>
      <c r="P18" s="34" t="s">
        <v>76</v>
      </c>
      <c r="Q18" s="34" t="s">
        <v>4</v>
      </c>
      <c r="R18" s="38">
        <v>46272</v>
      </c>
      <c r="S18" s="38">
        <v>46279</v>
      </c>
      <c r="T18" s="34" t="s">
        <v>77</v>
      </c>
      <c r="U18" s="34" t="s">
        <v>4</v>
      </c>
      <c r="V18" s="38">
        <v>46272</v>
      </c>
      <c r="W18" s="38">
        <v>46279</v>
      </c>
      <c r="X18" s="34" t="s">
        <v>78</v>
      </c>
      <c r="Y18" s="34" t="s">
        <v>5</v>
      </c>
      <c r="Z18" s="38">
        <v>46307</v>
      </c>
      <c r="AA18" s="38">
        <v>46318</v>
      </c>
      <c r="AB18" s="75">
        <f t="shared" si="4"/>
        <v>0.475</v>
      </c>
      <c r="AC18" s="34" t="str">
        <f>IF(G18="已完成","正常",IF(OR(G18="暂停",G18="挂起"),"暂停",IF(J18="","日期缺失",IF(J18&lt;项目驾驶舱!$B$3,"已延期",IF(J18&lt;=项目驾驶舱!$B$3+7,"临近到期","正常")))))</f>
        <v>正常</v>
      </c>
      <c r="AD18" s="34" t="s">
        <v>79</v>
      </c>
      <c r="AE18" s="34" t="s">
        <v>79</v>
      </c>
    </row>
    <row r="19" ht="17" customHeight="1" spans="1:31">
      <c r="A19" s="34" t="s">
        <v>114</v>
      </c>
      <c r="B19" s="34" t="s">
        <v>102</v>
      </c>
      <c r="C19" s="34" t="s">
        <v>108</v>
      </c>
      <c r="D19" s="34" t="s">
        <v>115</v>
      </c>
      <c r="E19" s="34" t="s">
        <v>74</v>
      </c>
      <c r="F19" s="34" t="s">
        <v>26</v>
      </c>
      <c r="G19" s="34" t="str">
        <f>IF(OR(M19="挂起",M19="暂停",Q19="挂起",Q19="暂停",U19="挂起",U19="暂停",Y19="挂起",Y19="暂停"),"暂停","进行中")</f>
        <v>进行中</v>
      </c>
      <c r="H19" s="34" t="str">
        <f t="shared" si="1"/>
        <v>郑士旺</v>
      </c>
      <c r="I19" s="38">
        <f t="shared" si="2"/>
        <v>46223</v>
      </c>
      <c r="J19" s="38">
        <f t="shared" si="3"/>
        <v>46318</v>
      </c>
      <c r="K19" s="38"/>
      <c r="L19" s="34" t="s">
        <v>75</v>
      </c>
      <c r="M19" s="34" t="s">
        <v>3</v>
      </c>
      <c r="N19" s="38">
        <v>46223</v>
      </c>
      <c r="O19" s="38">
        <v>46227</v>
      </c>
      <c r="P19" s="34" t="s">
        <v>76</v>
      </c>
      <c r="Q19" s="34" t="s">
        <v>4</v>
      </c>
      <c r="R19" s="38">
        <v>46272</v>
      </c>
      <c r="S19" s="38">
        <v>46279</v>
      </c>
      <c r="T19" s="34" t="s">
        <v>77</v>
      </c>
      <c r="U19" s="34" t="s">
        <v>4</v>
      </c>
      <c r="V19" s="38">
        <v>46272</v>
      </c>
      <c r="W19" s="38">
        <v>46279</v>
      </c>
      <c r="X19" s="34" t="s">
        <v>78</v>
      </c>
      <c r="Y19" s="34" t="s">
        <v>5</v>
      </c>
      <c r="Z19" s="38">
        <v>46307</v>
      </c>
      <c r="AA19" s="38">
        <v>46318</v>
      </c>
      <c r="AB19" s="75">
        <f t="shared" si="4"/>
        <v>0.475</v>
      </c>
      <c r="AC19" s="34" t="str">
        <f>IF(G19="已完成","正常",IF(OR(G19="暂停",G19="挂起"),"暂停",IF(J19="","日期缺失",IF(J19&lt;项目驾驶舱!$B$3,"已延期",IF(J19&lt;=项目驾驶舱!$B$3+7,"临近到期","正常")))))</f>
        <v>正常</v>
      </c>
      <c r="AD19" s="34" t="s">
        <v>79</v>
      </c>
      <c r="AE19" s="34" t="s">
        <v>79</v>
      </c>
    </row>
    <row r="20" ht="17" customHeight="1" spans="1:31">
      <c r="A20" s="34" t="s">
        <v>116</v>
      </c>
      <c r="B20" s="34" t="s">
        <v>102</v>
      </c>
      <c r="C20" s="34" t="s">
        <v>108</v>
      </c>
      <c r="D20" s="34" t="s">
        <v>117</v>
      </c>
      <c r="E20" s="34" t="s">
        <v>74</v>
      </c>
      <c r="F20" s="34" t="s">
        <v>26</v>
      </c>
      <c r="G20" s="34" t="str">
        <f>IF(OR(M20="挂起",M20="暂停",Q20="挂起",Q20="暂停",U20="挂起",U20="暂停",Y20="挂起",Y20="暂停"),"暂停","进行中")</f>
        <v>进行中</v>
      </c>
      <c r="H20" s="34" t="str">
        <f t="shared" si="1"/>
        <v>郑士旺</v>
      </c>
      <c r="I20" s="38">
        <f t="shared" si="2"/>
        <v>46223</v>
      </c>
      <c r="J20" s="38">
        <f t="shared" si="3"/>
        <v>46318</v>
      </c>
      <c r="K20" s="38"/>
      <c r="L20" s="34" t="s">
        <v>75</v>
      </c>
      <c r="M20" s="34" t="s">
        <v>3</v>
      </c>
      <c r="N20" s="38">
        <v>46223</v>
      </c>
      <c r="O20" s="38">
        <v>46227</v>
      </c>
      <c r="P20" s="34" t="s">
        <v>76</v>
      </c>
      <c r="Q20" s="34" t="s">
        <v>4</v>
      </c>
      <c r="R20" s="38">
        <v>46272</v>
      </c>
      <c r="S20" s="38">
        <v>46279</v>
      </c>
      <c r="T20" s="34" t="s">
        <v>77</v>
      </c>
      <c r="U20" s="34" t="s">
        <v>4</v>
      </c>
      <c r="V20" s="38">
        <v>46272</v>
      </c>
      <c r="W20" s="38">
        <v>46279</v>
      </c>
      <c r="X20" s="34" t="s">
        <v>78</v>
      </c>
      <c r="Y20" s="34" t="s">
        <v>5</v>
      </c>
      <c r="Z20" s="38">
        <v>46307</v>
      </c>
      <c r="AA20" s="38">
        <v>46318</v>
      </c>
      <c r="AB20" s="75">
        <f t="shared" si="4"/>
        <v>0.475</v>
      </c>
      <c r="AC20" s="34" t="str">
        <f>IF(G20="已完成","正常",IF(OR(G20="暂停",G20="挂起"),"暂停",IF(J20="","日期缺失",IF(J20&lt;项目驾驶舱!$B$3,"已延期",IF(J20&lt;=项目驾驶舱!$B$3+7,"临近到期","正常")))))</f>
        <v>正常</v>
      </c>
      <c r="AD20" s="34" t="s">
        <v>79</v>
      </c>
      <c r="AE20" s="34" t="s">
        <v>79</v>
      </c>
    </row>
    <row r="21" ht="17" customHeight="1" spans="1:31">
      <c r="A21" s="34" t="s">
        <v>118</v>
      </c>
      <c r="B21" s="34" t="s">
        <v>102</v>
      </c>
      <c r="C21" s="34" t="s">
        <v>108</v>
      </c>
      <c r="D21" s="34" t="s">
        <v>119</v>
      </c>
      <c r="E21" s="34" t="s">
        <v>74</v>
      </c>
      <c r="F21" s="34" t="s">
        <v>26</v>
      </c>
      <c r="G21" s="34" t="str">
        <f>IF(OR(M21="挂起",M21="暂停",Q21="挂起",Q21="暂停",U21="挂起",U21="暂停",Y21="挂起",Y21="暂停"),"暂停","未开始")</f>
        <v>未开始</v>
      </c>
      <c r="H21" s="34" t="str">
        <f t="shared" si="1"/>
        <v>郑士旺</v>
      </c>
      <c r="I21" s="38">
        <f t="shared" si="2"/>
        <v>46223</v>
      </c>
      <c r="J21" s="38">
        <f t="shared" si="3"/>
        <v>46318</v>
      </c>
      <c r="K21" s="38"/>
      <c r="L21" s="34" t="s">
        <v>75</v>
      </c>
      <c r="M21" s="34" t="s">
        <v>5</v>
      </c>
      <c r="N21" s="38">
        <v>46223</v>
      </c>
      <c r="O21" s="38">
        <v>46227</v>
      </c>
      <c r="P21" s="34" t="s">
        <v>76</v>
      </c>
      <c r="Q21" s="34" t="s">
        <v>5</v>
      </c>
      <c r="R21" s="38">
        <v>46272</v>
      </c>
      <c r="S21" s="38">
        <v>46304</v>
      </c>
      <c r="T21" s="34" t="s">
        <v>77</v>
      </c>
      <c r="U21" s="34" t="s">
        <v>5</v>
      </c>
      <c r="V21" s="38">
        <v>46272</v>
      </c>
      <c r="W21" s="38">
        <v>46304</v>
      </c>
      <c r="X21" s="34" t="s">
        <v>78</v>
      </c>
      <c r="Y21" s="34" t="s">
        <v>5</v>
      </c>
      <c r="Z21" s="38">
        <v>46307</v>
      </c>
      <c r="AA21" s="38">
        <v>46318</v>
      </c>
      <c r="AB21" s="75">
        <f t="shared" si="4"/>
        <v>0</v>
      </c>
      <c r="AC21" s="34" t="str">
        <f>IF(G21="已完成","正常",IF(OR(G21="暂停",G21="挂起"),"暂停",IF(J21="","日期缺失",IF(J21&lt;项目驾驶舱!$B$3,"已延期",IF(J21&lt;=项目驾驶舱!$B$3+7,"临近到期","正常")))))</f>
        <v>正常</v>
      </c>
      <c r="AD21" s="34" t="s">
        <v>79</v>
      </c>
      <c r="AE21" s="34" t="s">
        <v>79</v>
      </c>
    </row>
    <row r="22" ht="17" customHeight="1" spans="1:31">
      <c r="A22" s="34" t="s">
        <v>120</v>
      </c>
      <c r="B22" s="34" t="s">
        <v>102</v>
      </c>
      <c r="C22" s="34" t="s">
        <v>121</v>
      </c>
      <c r="D22" s="34" t="s">
        <v>122</v>
      </c>
      <c r="E22" s="34" t="s">
        <v>123</v>
      </c>
      <c r="F22" s="34" t="s">
        <v>26</v>
      </c>
      <c r="G22" s="34" t="str">
        <f>IF(OR(M22="挂起",M22="暂停",Q22="挂起",Q22="暂停",U22="挂起",U22="暂停",Y22="挂起",Y22="暂停"),"暂停","进行中")</f>
        <v>进行中</v>
      </c>
      <c r="H22" s="34" t="str">
        <f t="shared" si="1"/>
        <v>郑士旺</v>
      </c>
      <c r="I22" s="38">
        <f t="shared" si="2"/>
        <v>46230</v>
      </c>
      <c r="J22" s="38">
        <f t="shared" si="3"/>
        <v>46353</v>
      </c>
      <c r="K22" s="38"/>
      <c r="L22" s="34" t="s">
        <v>75</v>
      </c>
      <c r="M22" s="34" t="s">
        <v>3</v>
      </c>
      <c r="N22" s="38">
        <v>46230</v>
      </c>
      <c r="O22" s="38">
        <v>46241</v>
      </c>
      <c r="P22" s="34" t="s">
        <v>76</v>
      </c>
      <c r="Q22" s="34" t="s">
        <v>5</v>
      </c>
      <c r="R22" s="38">
        <v>46307</v>
      </c>
      <c r="S22" s="38">
        <v>46339</v>
      </c>
      <c r="T22" s="34" t="s">
        <v>77</v>
      </c>
      <c r="U22" s="34" t="s">
        <v>5</v>
      </c>
      <c r="V22" s="38">
        <v>46307</v>
      </c>
      <c r="W22" s="38">
        <v>46339</v>
      </c>
      <c r="X22" s="34" t="s">
        <v>78</v>
      </c>
      <c r="Y22" s="34" t="s">
        <v>5</v>
      </c>
      <c r="Z22" s="38">
        <v>46342</v>
      </c>
      <c r="AA22" s="38">
        <v>46353</v>
      </c>
      <c r="AB22" s="75">
        <f t="shared" si="4"/>
        <v>0.15</v>
      </c>
      <c r="AC22" s="34" t="str">
        <f>IF(G22="已完成","正常",IF(OR(G22="暂停",G22="挂起"),"暂停",IF(J22="","日期缺失",IF(J22&lt;项目驾驶舱!$B$3,"已延期",IF(J22&lt;=项目驾驶舱!$B$3+7,"临近到期","正常")))))</f>
        <v>正常</v>
      </c>
      <c r="AD22" s="34" t="s">
        <v>79</v>
      </c>
      <c r="AE22" s="34" t="s">
        <v>79</v>
      </c>
    </row>
    <row r="23" ht="17" customHeight="1" spans="1:31">
      <c r="A23" s="34" t="s">
        <v>124</v>
      </c>
      <c r="B23" s="34" t="s">
        <v>102</v>
      </c>
      <c r="C23" s="34" t="s">
        <v>121</v>
      </c>
      <c r="D23" s="34" t="s">
        <v>122</v>
      </c>
      <c r="E23" s="34" t="s">
        <v>125</v>
      </c>
      <c r="F23" s="34" t="s">
        <v>26</v>
      </c>
      <c r="G23" s="34" t="str">
        <f>IF(OR(M23="挂起",M23="暂停",Q23="挂起",Q23="暂停",U23="挂起",U23="暂停",Y23="挂起",Y23="暂停"),"暂停","进行中")</f>
        <v>进行中</v>
      </c>
      <c r="H23" s="34" t="str">
        <f t="shared" si="1"/>
        <v>郑士旺</v>
      </c>
      <c r="I23" s="38">
        <f t="shared" si="2"/>
        <v>46230</v>
      </c>
      <c r="J23" s="38">
        <f t="shared" si="3"/>
        <v>46353</v>
      </c>
      <c r="K23" s="38"/>
      <c r="L23" s="34" t="s">
        <v>75</v>
      </c>
      <c r="M23" s="34" t="s">
        <v>3</v>
      </c>
      <c r="N23" s="38">
        <v>46230</v>
      </c>
      <c r="O23" s="38">
        <v>46241</v>
      </c>
      <c r="P23" s="34" t="s">
        <v>76</v>
      </c>
      <c r="Q23" s="34" t="s">
        <v>3</v>
      </c>
      <c r="R23" s="38">
        <v>46266</v>
      </c>
      <c r="S23" s="38">
        <v>46272</v>
      </c>
      <c r="T23" s="34" t="s">
        <v>77</v>
      </c>
      <c r="U23" s="34" t="s">
        <v>3</v>
      </c>
      <c r="V23" s="38">
        <v>46266</v>
      </c>
      <c r="W23" s="38">
        <v>46272</v>
      </c>
      <c r="X23" s="34" t="s">
        <v>78</v>
      </c>
      <c r="Y23" s="34" t="s">
        <v>4</v>
      </c>
      <c r="Z23" s="38">
        <v>46342</v>
      </c>
      <c r="AA23" s="38">
        <v>46353</v>
      </c>
      <c r="AB23" s="75">
        <f t="shared" si="4"/>
        <v>0.9</v>
      </c>
      <c r="AC23" s="34" t="str">
        <f>IF(G23="已完成","正常",IF(OR(G23="暂停",G23="挂起"),"暂停",IF(J23="","日期缺失",IF(J23&lt;项目驾驶舱!$B$3,"已延期",IF(J23&lt;=项目驾驶舱!$B$3+7,"临近到期","正常")))))</f>
        <v>正常</v>
      </c>
      <c r="AD23" s="34" t="s">
        <v>79</v>
      </c>
      <c r="AE23" s="34" t="s">
        <v>79</v>
      </c>
    </row>
    <row r="24" ht="17" customHeight="1" spans="1:31">
      <c r="A24" s="34" t="s">
        <v>126</v>
      </c>
      <c r="B24" s="34" t="s">
        <v>102</v>
      </c>
      <c r="C24" s="34" t="s">
        <v>121</v>
      </c>
      <c r="D24" s="34" t="s">
        <v>122</v>
      </c>
      <c r="E24" s="34" t="s">
        <v>127</v>
      </c>
      <c r="F24" s="34" t="s">
        <v>26</v>
      </c>
      <c r="G24" s="34" t="str">
        <f>IF(OR(M24="挂起",M24="暂停",Q24="挂起",Q24="暂停",U24="挂起",U24="暂停",Y24="挂起",Y24="暂停"),"暂停","进行中")</f>
        <v>进行中</v>
      </c>
      <c r="H24" s="34" t="str">
        <f t="shared" si="1"/>
        <v>郑士旺</v>
      </c>
      <c r="I24" s="38">
        <f t="shared" si="2"/>
        <v>46230</v>
      </c>
      <c r="J24" s="38">
        <f t="shared" si="3"/>
        <v>46353</v>
      </c>
      <c r="K24" s="38"/>
      <c r="L24" s="34" t="s">
        <v>75</v>
      </c>
      <c r="M24" s="34" t="s">
        <v>3</v>
      </c>
      <c r="N24" s="38">
        <v>46230</v>
      </c>
      <c r="O24" s="38">
        <v>46241</v>
      </c>
      <c r="P24" s="34" t="s">
        <v>76</v>
      </c>
      <c r="Q24" s="34" t="s">
        <v>3</v>
      </c>
      <c r="R24" s="38">
        <v>46266</v>
      </c>
      <c r="S24" s="38">
        <v>46272</v>
      </c>
      <c r="T24" s="34" t="s">
        <v>77</v>
      </c>
      <c r="U24" s="34" t="s">
        <v>3</v>
      </c>
      <c r="V24" s="38">
        <v>46266</v>
      </c>
      <c r="W24" s="38">
        <v>46272</v>
      </c>
      <c r="X24" s="34" t="s">
        <v>78</v>
      </c>
      <c r="Y24" s="34" t="s">
        <v>4</v>
      </c>
      <c r="Z24" s="38">
        <v>46342</v>
      </c>
      <c r="AA24" s="38">
        <v>46353</v>
      </c>
      <c r="AB24" s="75">
        <f t="shared" si="4"/>
        <v>0.9</v>
      </c>
      <c r="AC24" s="34" t="str">
        <f>IF(G24="已完成","正常",IF(OR(G24="暂停",G24="挂起"),"暂停",IF(J24="","日期缺失",IF(J24&lt;项目驾驶舱!$B$3,"已延期",IF(J24&lt;=项目驾驶舱!$B$3+7,"临近到期","正常")))))</f>
        <v>正常</v>
      </c>
      <c r="AD24" s="34" t="s">
        <v>79</v>
      </c>
      <c r="AE24" s="34" t="s">
        <v>79</v>
      </c>
    </row>
    <row r="25" ht="34" customHeight="1" spans="1:31">
      <c r="A25" s="34" t="s">
        <v>128</v>
      </c>
      <c r="B25" s="34" t="s">
        <v>102</v>
      </c>
      <c r="C25" s="34" t="s">
        <v>121</v>
      </c>
      <c r="D25" s="34" t="s">
        <v>129</v>
      </c>
      <c r="E25" s="34" t="s">
        <v>130</v>
      </c>
      <c r="F25" s="34" t="s">
        <v>26</v>
      </c>
      <c r="G25" s="34" t="str">
        <f>IF(OR(M25="挂起",M25="暂停",Q25="挂起",Q25="暂停",U25="挂起",U25="暂停",Y25="挂起",Y25="暂停"),"暂停","未开始")</f>
        <v>未开始</v>
      </c>
      <c r="H25" s="34" t="str">
        <f t="shared" si="1"/>
        <v>郑士旺</v>
      </c>
      <c r="I25" s="38">
        <f t="shared" si="2"/>
        <v>46230</v>
      </c>
      <c r="J25" s="38">
        <f t="shared" si="3"/>
        <v>46353</v>
      </c>
      <c r="K25" s="38"/>
      <c r="L25" s="34" t="s">
        <v>75</v>
      </c>
      <c r="M25" s="34" t="s">
        <v>5</v>
      </c>
      <c r="N25" s="38">
        <v>46230</v>
      </c>
      <c r="O25" s="38">
        <v>46241</v>
      </c>
      <c r="P25" s="34" t="s">
        <v>76</v>
      </c>
      <c r="Q25" s="34" t="s">
        <v>5</v>
      </c>
      <c r="R25" s="38">
        <v>46307</v>
      </c>
      <c r="S25" s="38">
        <v>46339</v>
      </c>
      <c r="T25" s="34" t="s">
        <v>77</v>
      </c>
      <c r="U25" s="34" t="s">
        <v>5</v>
      </c>
      <c r="V25" s="38">
        <v>46307</v>
      </c>
      <c r="W25" s="38">
        <v>46339</v>
      </c>
      <c r="X25" s="34" t="s">
        <v>78</v>
      </c>
      <c r="Y25" s="34" t="s">
        <v>5</v>
      </c>
      <c r="Z25" s="38">
        <v>46342</v>
      </c>
      <c r="AA25" s="38">
        <v>46353</v>
      </c>
      <c r="AB25" s="75">
        <f t="shared" si="4"/>
        <v>0</v>
      </c>
      <c r="AC25" s="34" t="str">
        <f>IF(G25="已完成","正常",IF(OR(G25="暂停",G25="挂起"),"暂停",IF(J25="","日期缺失",IF(J25&lt;项目驾驶舱!$B$3,"已延期",IF(J25&lt;=项目驾驶舱!$B$3+7,"临近到期","正常")))))</f>
        <v>正常</v>
      </c>
      <c r="AD25" s="34" t="s">
        <v>79</v>
      </c>
      <c r="AE25" s="34" t="s">
        <v>79</v>
      </c>
    </row>
    <row r="26" ht="34" customHeight="1" spans="1:31">
      <c r="A26" s="34" t="s">
        <v>131</v>
      </c>
      <c r="B26" s="34" t="s">
        <v>102</v>
      </c>
      <c r="C26" s="34" t="s">
        <v>121</v>
      </c>
      <c r="D26" s="34" t="s">
        <v>129</v>
      </c>
      <c r="E26" s="34" t="s">
        <v>132</v>
      </c>
      <c r="F26" s="34" t="s">
        <v>26</v>
      </c>
      <c r="G26" s="34" t="str">
        <f>IF(OR(M26="挂起",M26="暂停",Q26="挂起",Q26="暂停",U26="挂起",U26="暂停",Y26="挂起",Y26="暂停"),"暂停","未开始")</f>
        <v>未开始</v>
      </c>
      <c r="H26" s="34" t="str">
        <f t="shared" si="1"/>
        <v>郑士旺</v>
      </c>
      <c r="I26" s="38">
        <f t="shared" si="2"/>
        <v>46230</v>
      </c>
      <c r="J26" s="38">
        <f t="shared" si="3"/>
        <v>46353</v>
      </c>
      <c r="K26" s="38"/>
      <c r="L26" s="34" t="s">
        <v>75</v>
      </c>
      <c r="M26" s="34" t="s">
        <v>5</v>
      </c>
      <c r="N26" s="38">
        <v>46230</v>
      </c>
      <c r="O26" s="38">
        <v>46241</v>
      </c>
      <c r="P26" s="34" t="s">
        <v>76</v>
      </c>
      <c r="Q26" s="34" t="s">
        <v>5</v>
      </c>
      <c r="R26" s="38">
        <v>46307</v>
      </c>
      <c r="S26" s="38">
        <v>46339</v>
      </c>
      <c r="T26" s="34" t="s">
        <v>77</v>
      </c>
      <c r="U26" s="34" t="s">
        <v>5</v>
      </c>
      <c r="V26" s="38">
        <v>46307</v>
      </c>
      <c r="W26" s="38">
        <v>46339</v>
      </c>
      <c r="X26" s="34" t="s">
        <v>78</v>
      </c>
      <c r="Y26" s="34" t="s">
        <v>5</v>
      </c>
      <c r="Z26" s="38">
        <v>46342</v>
      </c>
      <c r="AA26" s="38">
        <v>46353</v>
      </c>
      <c r="AB26" s="75">
        <f t="shared" si="4"/>
        <v>0</v>
      </c>
      <c r="AC26" s="34" t="str">
        <f>IF(G26="已完成","正常",IF(OR(G26="暂停",G26="挂起"),"暂停",IF(J26="","日期缺失",IF(J26&lt;项目驾驶舱!$B$3,"已延期",IF(J26&lt;=项目驾驶舱!$B$3+7,"临近到期","正常")))))</f>
        <v>正常</v>
      </c>
      <c r="AD26" s="34" t="s">
        <v>79</v>
      </c>
      <c r="AE26" s="34" t="s">
        <v>79</v>
      </c>
    </row>
    <row r="27" ht="17" customHeight="1" spans="1:31">
      <c r="A27" s="34" t="s">
        <v>133</v>
      </c>
      <c r="B27" s="34" t="s">
        <v>102</v>
      </c>
      <c r="C27" s="34" t="s">
        <v>121</v>
      </c>
      <c r="D27" s="34" t="s">
        <v>134</v>
      </c>
      <c r="E27" s="34" t="s">
        <v>135</v>
      </c>
      <c r="F27" s="34" t="s">
        <v>26</v>
      </c>
      <c r="G27" s="34" t="str">
        <f>IF(OR(M27="挂起",M27="暂停",Q27="挂起",Q27="暂停",U27="挂起",U27="暂停",Y27="挂起",Y27="暂停"),"暂停","未开始")</f>
        <v>未开始</v>
      </c>
      <c r="H27" s="34" t="str">
        <f t="shared" si="1"/>
        <v>郑士旺</v>
      </c>
      <c r="I27" s="38">
        <f t="shared" si="2"/>
        <v>46230</v>
      </c>
      <c r="J27" s="38">
        <f t="shared" si="3"/>
        <v>46353</v>
      </c>
      <c r="K27" s="38"/>
      <c r="L27" s="34" t="s">
        <v>75</v>
      </c>
      <c r="M27" s="34" t="s">
        <v>5</v>
      </c>
      <c r="N27" s="38">
        <v>46230</v>
      </c>
      <c r="O27" s="38">
        <v>46241</v>
      </c>
      <c r="P27" s="34" t="s">
        <v>76</v>
      </c>
      <c r="Q27" s="34" t="s">
        <v>5</v>
      </c>
      <c r="R27" s="38">
        <v>46307</v>
      </c>
      <c r="S27" s="38">
        <v>46339</v>
      </c>
      <c r="T27" s="34" t="s">
        <v>77</v>
      </c>
      <c r="U27" s="34" t="s">
        <v>5</v>
      </c>
      <c r="V27" s="38">
        <v>46307</v>
      </c>
      <c r="W27" s="38">
        <v>46339</v>
      </c>
      <c r="X27" s="34" t="s">
        <v>78</v>
      </c>
      <c r="Y27" s="34" t="s">
        <v>5</v>
      </c>
      <c r="Z27" s="38">
        <v>46342</v>
      </c>
      <c r="AA27" s="38">
        <v>46353</v>
      </c>
      <c r="AB27" s="75">
        <f t="shared" si="4"/>
        <v>0</v>
      </c>
      <c r="AC27" s="34" t="str">
        <f>IF(G27="已完成","正常",IF(OR(G27="暂停",G27="挂起"),"暂停",IF(J27="","日期缺失",IF(J27&lt;项目驾驶舱!$B$3,"已延期",IF(J27&lt;=项目驾驶舱!$B$3+7,"临近到期","正常")))))</f>
        <v>正常</v>
      </c>
      <c r="AD27" s="34" t="s">
        <v>79</v>
      </c>
      <c r="AE27" s="34" t="s">
        <v>79</v>
      </c>
    </row>
    <row r="28" ht="17" customHeight="1" spans="1:31">
      <c r="A28" s="34" t="s">
        <v>136</v>
      </c>
      <c r="B28" s="34" t="s">
        <v>102</v>
      </c>
      <c r="C28" s="34" t="s">
        <v>121</v>
      </c>
      <c r="D28" s="34" t="s">
        <v>134</v>
      </c>
      <c r="E28" s="34" t="s">
        <v>137</v>
      </c>
      <c r="F28" s="34" t="s">
        <v>26</v>
      </c>
      <c r="G28" s="34" t="str">
        <f>IF(OR(M28="挂起",M28="暂停",Q28="挂起",Q28="暂停",U28="挂起",U28="暂停",Y28="挂起",Y28="暂停"),"暂停","未开始")</f>
        <v>未开始</v>
      </c>
      <c r="H28" s="34" t="str">
        <f t="shared" si="1"/>
        <v>郑士旺</v>
      </c>
      <c r="I28" s="38">
        <f t="shared" si="2"/>
        <v>46230</v>
      </c>
      <c r="J28" s="38">
        <f t="shared" si="3"/>
        <v>46261</v>
      </c>
      <c r="K28" s="38">
        <v>46261</v>
      </c>
      <c r="L28" s="34" t="s">
        <v>75</v>
      </c>
      <c r="M28" s="34" t="s">
        <v>5</v>
      </c>
      <c r="N28" s="38">
        <v>46230</v>
      </c>
      <c r="O28" s="38">
        <v>46241</v>
      </c>
      <c r="P28" s="34" t="s">
        <v>76</v>
      </c>
      <c r="Q28" s="34" t="s">
        <v>5</v>
      </c>
      <c r="R28" s="38">
        <v>46307</v>
      </c>
      <c r="S28" s="38">
        <v>46339</v>
      </c>
      <c r="T28" s="34" t="s">
        <v>77</v>
      </c>
      <c r="U28" s="34" t="s">
        <v>5</v>
      </c>
      <c r="V28" s="38">
        <v>46307</v>
      </c>
      <c r="W28" s="38">
        <v>46339</v>
      </c>
      <c r="X28" s="34" t="s">
        <v>78</v>
      </c>
      <c r="Y28" s="34" t="s">
        <v>5</v>
      </c>
      <c r="Z28" s="38">
        <v>46342</v>
      </c>
      <c r="AA28" s="38">
        <v>46353</v>
      </c>
      <c r="AB28" s="75">
        <f t="shared" si="4"/>
        <v>0</v>
      </c>
      <c r="AC28" s="34" t="str">
        <f>IF(G28="已完成","正常",IF(OR(G28="暂停",G28="挂起"),"暂停",IF(J28="","日期缺失",IF(J28&lt;项目驾驶舱!$B$3,"已延期",IF(J28&lt;=项目驾驶舱!$B$3+7,"临近到期","正常")))))</f>
        <v>已延期</v>
      </c>
      <c r="AD28" s="34" t="s">
        <v>79</v>
      </c>
      <c r="AE28" s="34" t="s">
        <v>79</v>
      </c>
    </row>
    <row r="29" ht="17" customHeight="1" spans="1:31">
      <c r="A29" s="34" t="s">
        <v>138</v>
      </c>
      <c r="B29" s="34" t="s">
        <v>102</v>
      </c>
      <c r="C29" s="34" t="s">
        <v>121</v>
      </c>
      <c r="D29" s="34" t="s">
        <v>139</v>
      </c>
      <c r="E29" s="34" t="s">
        <v>140</v>
      </c>
      <c r="F29" s="34" t="s">
        <v>26</v>
      </c>
      <c r="G29" s="34" t="str">
        <f>IF(OR(M29="挂起",M29="暂停",Q29="挂起",Q29="暂停",U29="挂起",U29="暂停",Y29="挂起",Y29="暂停"),"暂停","进行中")</f>
        <v>进行中</v>
      </c>
      <c r="H29" s="34" t="str">
        <f t="shared" si="1"/>
        <v>郑士旺</v>
      </c>
      <c r="I29" s="38">
        <f t="shared" si="2"/>
        <v>46230</v>
      </c>
      <c r="J29" s="38">
        <f t="shared" si="3"/>
        <v>46261</v>
      </c>
      <c r="K29" s="38">
        <v>46261</v>
      </c>
      <c r="L29" s="34" t="s">
        <v>75</v>
      </c>
      <c r="M29" s="34" t="s">
        <v>3</v>
      </c>
      <c r="N29" s="38">
        <v>46230</v>
      </c>
      <c r="O29" s="38">
        <v>46241</v>
      </c>
      <c r="P29" s="34" t="s">
        <v>76</v>
      </c>
      <c r="Q29" s="34" t="s">
        <v>3</v>
      </c>
      <c r="R29" s="38">
        <v>46266</v>
      </c>
      <c r="S29" s="38">
        <v>46272</v>
      </c>
      <c r="T29" s="34" t="s">
        <v>77</v>
      </c>
      <c r="U29" s="34" t="s">
        <v>3</v>
      </c>
      <c r="V29" s="38">
        <v>46266</v>
      </c>
      <c r="W29" s="38">
        <v>46272</v>
      </c>
      <c r="X29" s="34" t="s">
        <v>78</v>
      </c>
      <c r="Y29" s="34" t="s">
        <v>4</v>
      </c>
      <c r="Z29" s="38">
        <v>46342</v>
      </c>
      <c r="AA29" s="38">
        <v>46353</v>
      </c>
      <c r="AB29" s="75">
        <f t="shared" si="4"/>
        <v>0.9</v>
      </c>
      <c r="AC29" s="34" t="str">
        <f>IF(G29="已完成","正常",IF(OR(G29="暂停",G29="挂起"),"暂停",IF(J29="","日期缺失",IF(J29&lt;项目驾驶舱!$B$3,"已延期",IF(J29&lt;=项目驾驶舱!$B$3+7,"临近到期","正常")))))</f>
        <v>已延期</v>
      </c>
      <c r="AD29" s="34" t="s">
        <v>79</v>
      </c>
      <c r="AE29" s="34" t="s">
        <v>79</v>
      </c>
    </row>
    <row r="30" ht="17" customHeight="1" spans="1:31">
      <c r="A30" s="34" t="s">
        <v>141</v>
      </c>
      <c r="B30" s="34" t="s">
        <v>102</v>
      </c>
      <c r="C30" s="34" t="s">
        <v>121</v>
      </c>
      <c r="D30" s="34" t="s">
        <v>139</v>
      </c>
      <c r="E30" s="34" t="s">
        <v>142</v>
      </c>
      <c r="F30" s="34" t="s">
        <v>26</v>
      </c>
      <c r="G30" s="34" t="str">
        <f>IF(OR(M30="挂起",M30="暂停",Q30="挂起",Q30="暂停",U30="挂起",U30="暂停",Y30="挂起",Y30="暂停"),"暂停","进行中")</f>
        <v>进行中</v>
      </c>
      <c r="H30" s="34" t="str">
        <f t="shared" si="1"/>
        <v>郑士旺</v>
      </c>
      <c r="I30" s="38">
        <f t="shared" si="2"/>
        <v>46230</v>
      </c>
      <c r="J30" s="38">
        <f t="shared" si="3"/>
        <v>46261</v>
      </c>
      <c r="K30" s="38">
        <v>46261</v>
      </c>
      <c r="L30" s="34" t="s">
        <v>75</v>
      </c>
      <c r="M30" s="34" t="s">
        <v>3</v>
      </c>
      <c r="N30" s="38">
        <v>46230</v>
      </c>
      <c r="O30" s="38">
        <v>46241</v>
      </c>
      <c r="P30" s="34" t="s">
        <v>76</v>
      </c>
      <c r="Q30" s="34" t="s">
        <v>3</v>
      </c>
      <c r="R30" s="38">
        <v>46266</v>
      </c>
      <c r="S30" s="38">
        <v>46272</v>
      </c>
      <c r="T30" s="34" t="s">
        <v>77</v>
      </c>
      <c r="U30" s="34" t="s">
        <v>3</v>
      </c>
      <c r="V30" s="38">
        <v>46266</v>
      </c>
      <c r="W30" s="38">
        <v>46272</v>
      </c>
      <c r="X30" s="34" t="s">
        <v>78</v>
      </c>
      <c r="Y30" s="34" t="s">
        <v>4</v>
      </c>
      <c r="Z30" s="38">
        <v>46342</v>
      </c>
      <c r="AA30" s="38">
        <v>46353</v>
      </c>
      <c r="AB30" s="75">
        <f t="shared" si="4"/>
        <v>0.9</v>
      </c>
      <c r="AC30" s="34" t="str">
        <f>IF(G30="已完成","正常",IF(OR(G30="暂停",G30="挂起"),"暂停",IF(J30="","日期缺失",IF(J30&lt;项目驾驶舱!$B$3,"已延期",IF(J30&lt;=项目驾驶舱!$B$3+7,"临近到期","正常")))))</f>
        <v>已延期</v>
      </c>
      <c r="AD30" s="34" t="s">
        <v>79</v>
      </c>
      <c r="AE30" s="34" t="s">
        <v>79</v>
      </c>
    </row>
    <row r="31" ht="17" customHeight="1" spans="1:31">
      <c r="A31" s="34" t="s">
        <v>143</v>
      </c>
      <c r="B31" s="34" t="s">
        <v>102</v>
      </c>
      <c r="C31" s="34" t="s">
        <v>121</v>
      </c>
      <c r="D31" s="34" t="s">
        <v>139</v>
      </c>
      <c r="E31" s="34" t="s">
        <v>144</v>
      </c>
      <c r="F31" s="34" t="s">
        <v>26</v>
      </c>
      <c r="G31" s="34" t="str">
        <f>IF(OR(M31="挂起",M31="暂停",Q31="挂起",Q31="暂停",U31="挂起",U31="暂停",Y31="挂起",Y31="暂停"),"暂停","进行中")</f>
        <v>进行中</v>
      </c>
      <c r="H31" s="34" t="str">
        <f t="shared" si="1"/>
        <v>郑士旺</v>
      </c>
      <c r="I31" s="38">
        <f t="shared" si="2"/>
        <v>46230</v>
      </c>
      <c r="J31" s="38">
        <f t="shared" si="3"/>
        <v>46261</v>
      </c>
      <c r="K31" s="38">
        <v>46261</v>
      </c>
      <c r="L31" s="34" t="s">
        <v>75</v>
      </c>
      <c r="M31" s="34" t="s">
        <v>4</v>
      </c>
      <c r="N31" s="38">
        <v>46230</v>
      </c>
      <c r="O31" s="38">
        <v>46241</v>
      </c>
      <c r="P31" s="34" t="s">
        <v>76</v>
      </c>
      <c r="Q31" s="34" t="s">
        <v>5</v>
      </c>
      <c r="R31" s="38">
        <v>46307</v>
      </c>
      <c r="S31" s="38">
        <v>46339</v>
      </c>
      <c r="T31" s="34" t="s">
        <v>77</v>
      </c>
      <c r="U31" s="34" t="s">
        <v>5</v>
      </c>
      <c r="V31" s="38">
        <v>46307</v>
      </c>
      <c r="W31" s="38">
        <v>46339</v>
      </c>
      <c r="X31" s="34" t="s">
        <v>78</v>
      </c>
      <c r="Y31" s="34" t="s">
        <v>5</v>
      </c>
      <c r="Z31" s="38">
        <v>46342</v>
      </c>
      <c r="AA31" s="38">
        <v>46353</v>
      </c>
      <c r="AB31" s="75">
        <f t="shared" si="4"/>
        <v>0.075</v>
      </c>
      <c r="AC31" s="34" t="str">
        <f>IF(G31="已完成","正常",IF(OR(G31="暂停",G31="挂起"),"暂停",IF(J31="","日期缺失",IF(J31&lt;项目驾驶舱!$B$3,"已延期",IF(J31&lt;=项目驾驶舱!$B$3+7,"临近到期","正常")))))</f>
        <v>已延期</v>
      </c>
      <c r="AD31" s="34" t="s">
        <v>79</v>
      </c>
      <c r="AE31" s="34" t="s">
        <v>79</v>
      </c>
    </row>
    <row r="32" ht="17" customHeight="1" spans="1:31">
      <c r="A32" s="34" t="s">
        <v>145</v>
      </c>
      <c r="B32" s="34" t="s">
        <v>102</v>
      </c>
      <c r="C32" s="34" t="s">
        <v>121</v>
      </c>
      <c r="D32" s="34" t="s">
        <v>139</v>
      </c>
      <c r="E32" s="34" t="s">
        <v>146</v>
      </c>
      <c r="F32" s="34" t="s">
        <v>26</v>
      </c>
      <c r="G32" s="34" t="str">
        <f>IF(OR(M32="挂起",M32="暂停",Q32="挂起",Q32="暂停",U32="挂起",U32="暂停",Y32="挂起",Y32="暂停"),"暂停","进行中")</f>
        <v>进行中</v>
      </c>
      <c r="H32" s="34" t="str">
        <f t="shared" si="1"/>
        <v>郑士旺</v>
      </c>
      <c r="I32" s="38">
        <f t="shared" si="2"/>
        <v>46230</v>
      </c>
      <c r="J32" s="38">
        <f t="shared" si="3"/>
        <v>46261</v>
      </c>
      <c r="K32" s="38">
        <v>46261</v>
      </c>
      <c r="L32" s="34" t="s">
        <v>75</v>
      </c>
      <c r="M32" s="34" t="s">
        <v>4</v>
      </c>
      <c r="N32" s="38">
        <v>46230</v>
      </c>
      <c r="O32" s="38">
        <v>46241</v>
      </c>
      <c r="P32" s="34" t="s">
        <v>76</v>
      </c>
      <c r="Q32" s="34" t="s">
        <v>5</v>
      </c>
      <c r="R32" s="38">
        <v>46307</v>
      </c>
      <c r="S32" s="38">
        <v>46339</v>
      </c>
      <c r="T32" s="34" t="s">
        <v>77</v>
      </c>
      <c r="U32" s="34" t="s">
        <v>5</v>
      </c>
      <c r="V32" s="38">
        <v>46307</v>
      </c>
      <c r="W32" s="38">
        <v>46339</v>
      </c>
      <c r="X32" s="34" t="s">
        <v>78</v>
      </c>
      <c r="Y32" s="34" t="s">
        <v>5</v>
      </c>
      <c r="Z32" s="38">
        <v>46342</v>
      </c>
      <c r="AA32" s="38">
        <v>46353</v>
      </c>
      <c r="AB32" s="75">
        <f t="shared" si="4"/>
        <v>0.075</v>
      </c>
      <c r="AC32" s="34" t="str">
        <f>IF(G32="已完成","正常",IF(OR(G32="暂停",G32="挂起"),"暂停",IF(J32="","日期缺失",IF(J32&lt;项目驾驶舱!$B$3,"已延期",IF(J32&lt;=项目驾驶舱!$B$3+7,"临近到期","正常")))))</f>
        <v>已延期</v>
      </c>
      <c r="AD32" s="34" t="s">
        <v>79</v>
      </c>
      <c r="AE32" s="34" t="s">
        <v>79</v>
      </c>
    </row>
    <row r="33" ht="17" customHeight="1" spans="1:31">
      <c r="A33" s="34" t="s">
        <v>147</v>
      </c>
      <c r="B33" s="34" t="s">
        <v>102</v>
      </c>
      <c r="C33" s="34" t="s">
        <v>121</v>
      </c>
      <c r="D33" s="34" t="s">
        <v>139</v>
      </c>
      <c r="E33" s="34" t="s">
        <v>148</v>
      </c>
      <c r="F33" s="34" t="s">
        <v>26</v>
      </c>
      <c r="G33" s="34" t="str">
        <f>IF(OR(M33="挂起",M33="暂停",Q33="挂起",Q33="暂停",U33="挂起",U33="暂停",Y33="挂起",Y33="暂停"),"暂停","进行中")</f>
        <v>进行中</v>
      </c>
      <c r="H33" s="34" t="str">
        <f t="shared" si="1"/>
        <v>郑士旺</v>
      </c>
      <c r="I33" s="38">
        <f t="shared" si="2"/>
        <v>46230</v>
      </c>
      <c r="J33" s="38">
        <f t="shared" si="3"/>
        <v>46261</v>
      </c>
      <c r="K33" s="38">
        <v>46261</v>
      </c>
      <c r="L33" s="34" t="s">
        <v>75</v>
      </c>
      <c r="M33" s="34" t="s">
        <v>3</v>
      </c>
      <c r="N33" s="38">
        <v>46230</v>
      </c>
      <c r="O33" s="38">
        <v>46241</v>
      </c>
      <c r="P33" s="34" t="s">
        <v>76</v>
      </c>
      <c r="Q33" s="34" t="s">
        <v>3</v>
      </c>
      <c r="R33" s="38">
        <v>46266</v>
      </c>
      <c r="S33" s="38">
        <v>46272</v>
      </c>
      <c r="T33" s="34" t="s">
        <v>77</v>
      </c>
      <c r="U33" s="34" t="s">
        <v>3</v>
      </c>
      <c r="V33" s="38">
        <v>46266</v>
      </c>
      <c r="W33" s="38">
        <v>46272</v>
      </c>
      <c r="X33" s="34" t="s">
        <v>78</v>
      </c>
      <c r="Y33" s="34" t="s">
        <v>4</v>
      </c>
      <c r="Z33" s="38">
        <v>46342</v>
      </c>
      <c r="AA33" s="38">
        <v>46353</v>
      </c>
      <c r="AB33" s="75">
        <f t="shared" si="4"/>
        <v>0.9</v>
      </c>
      <c r="AC33" s="34" t="str">
        <f>IF(G33="已完成","正常",IF(OR(G33="暂停",G33="挂起"),"暂停",IF(J33="","日期缺失",IF(J33&lt;项目驾驶舱!$B$3,"已延期",IF(J33&lt;=项目驾驶舱!$B$3+7,"临近到期","正常")))))</f>
        <v>已延期</v>
      </c>
      <c r="AD33" s="34" t="s">
        <v>79</v>
      </c>
      <c r="AE33" s="34" t="s">
        <v>79</v>
      </c>
    </row>
    <row r="34" ht="17" customHeight="1" spans="1:31">
      <c r="A34" s="34" t="s">
        <v>149</v>
      </c>
      <c r="B34" s="34" t="s">
        <v>102</v>
      </c>
      <c r="C34" s="34" t="s">
        <v>121</v>
      </c>
      <c r="D34" s="34" t="s">
        <v>150</v>
      </c>
      <c r="E34" s="34" t="s">
        <v>151</v>
      </c>
      <c r="F34" s="34" t="s">
        <v>26</v>
      </c>
      <c r="G34" s="34" t="str">
        <f>IF(OR(M34="挂起",M34="暂停",Q34="挂起",Q34="暂停",U34="挂起",U34="暂停",Y34="挂起",Y34="暂停"),"暂停","未开始")</f>
        <v>未开始</v>
      </c>
      <c r="H34" s="34" t="str">
        <f t="shared" si="1"/>
        <v>郑士旺</v>
      </c>
      <c r="I34" s="38">
        <f t="shared" si="2"/>
        <v>46230</v>
      </c>
      <c r="J34" s="38">
        <f t="shared" si="3"/>
        <v>46353</v>
      </c>
      <c r="K34" s="38"/>
      <c r="L34" s="34" t="s">
        <v>75</v>
      </c>
      <c r="M34" s="34" t="s">
        <v>5</v>
      </c>
      <c r="N34" s="38">
        <v>46230</v>
      </c>
      <c r="O34" s="38">
        <v>46241</v>
      </c>
      <c r="P34" s="34" t="s">
        <v>152</v>
      </c>
      <c r="Q34" s="34" t="s">
        <v>5</v>
      </c>
      <c r="R34" s="38">
        <v>46286</v>
      </c>
      <c r="S34" s="38">
        <v>46289</v>
      </c>
      <c r="T34" s="34" t="s">
        <v>152</v>
      </c>
      <c r="U34" s="34" t="s">
        <v>5</v>
      </c>
      <c r="V34" s="38">
        <v>46286</v>
      </c>
      <c r="W34" s="38">
        <v>46289</v>
      </c>
      <c r="X34" s="34" t="s">
        <v>78</v>
      </c>
      <c r="Y34" s="34" t="s">
        <v>5</v>
      </c>
      <c r="Z34" s="38">
        <v>46342</v>
      </c>
      <c r="AA34" s="38">
        <v>46353</v>
      </c>
      <c r="AB34" s="75">
        <f t="shared" si="4"/>
        <v>0</v>
      </c>
      <c r="AC34" s="34" t="str">
        <f>IF(G34="已完成","正常",IF(OR(G34="暂停",G34="挂起"),"暂停",IF(J34="","日期缺失",IF(J34&lt;项目驾驶舱!$B$3,"已延期",IF(J34&lt;=项目驾驶舱!$B$3+7,"临近到期","正常")))))</f>
        <v>正常</v>
      </c>
      <c r="AD34" s="34" t="s">
        <v>79</v>
      </c>
      <c r="AE34" s="34" t="s">
        <v>79</v>
      </c>
    </row>
    <row r="35" ht="17" customHeight="1" spans="1:31">
      <c r="A35" s="34" t="s">
        <v>153</v>
      </c>
      <c r="B35" s="34" t="s">
        <v>102</v>
      </c>
      <c r="C35" s="34" t="s">
        <v>121</v>
      </c>
      <c r="D35" s="34" t="s">
        <v>150</v>
      </c>
      <c r="E35" s="34" t="s">
        <v>154</v>
      </c>
      <c r="F35" s="34" t="s">
        <v>26</v>
      </c>
      <c r="G35" s="34" t="str">
        <f>IF(OR(M35="挂起",M35="暂停",Q35="挂起",Q35="暂停",U35="挂起",U35="暂停",Y35="挂起",Y35="暂停"),"暂停","未开始")</f>
        <v>未开始</v>
      </c>
      <c r="H35" s="34" t="str">
        <f t="shared" si="1"/>
        <v>郑士旺</v>
      </c>
      <c r="I35" s="38">
        <f t="shared" si="2"/>
        <v>46230</v>
      </c>
      <c r="J35" s="38">
        <f t="shared" si="3"/>
        <v>46353</v>
      </c>
      <c r="K35" s="38"/>
      <c r="L35" s="34" t="s">
        <v>75</v>
      </c>
      <c r="M35" s="34" t="s">
        <v>5</v>
      </c>
      <c r="N35" s="38">
        <v>46230</v>
      </c>
      <c r="O35" s="38">
        <v>46241</v>
      </c>
      <c r="P35" s="34" t="s">
        <v>152</v>
      </c>
      <c r="Q35" s="34" t="s">
        <v>5</v>
      </c>
      <c r="R35" s="38">
        <v>46286</v>
      </c>
      <c r="S35" s="38">
        <v>46289</v>
      </c>
      <c r="T35" s="34" t="s">
        <v>152</v>
      </c>
      <c r="U35" s="34" t="s">
        <v>5</v>
      </c>
      <c r="V35" s="38">
        <v>46286</v>
      </c>
      <c r="W35" s="38">
        <v>46289</v>
      </c>
      <c r="X35" s="34" t="s">
        <v>78</v>
      </c>
      <c r="Y35" s="34" t="s">
        <v>5</v>
      </c>
      <c r="Z35" s="38">
        <v>46342</v>
      </c>
      <c r="AA35" s="38">
        <v>46353</v>
      </c>
      <c r="AB35" s="75">
        <f t="shared" si="4"/>
        <v>0</v>
      </c>
      <c r="AC35" s="34" t="str">
        <f>IF(G35="已完成","正常",IF(OR(G35="暂停",G35="挂起"),"暂停",IF(J35="","日期缺失",IF(J35&lt;项目驾驶舱!$B$3,"已延期",IF(J35&lt;=项目驾驶舱!$B$3+7,"临近到期","正常")))))</f>
        <v>正常</v>
      </c>
      <c r="AD35" s="34" t="s">
        <v>79</v>
      </c>
      <c r="AE35" s="34" t="s">
        <v>79</v>
      </c>
    </row>
    <row r="36" ht="17" customHeight="1" spans="1:31">
      <c r="A36" s="34" t="s">
        <v>155</v>
      </c>
      <c r="B36" s="34" t="s">
        <v>102</v>
      </c>
      <c r="C36" s="34" t="s">
        <v>121</v>
      </c>
      <c r="D36" s="34" t="s">
        <v>150</v>
      </c>
      <c r="E36" s="34" t="s">
        <v>156</v>
      </c>
      <c r="F36" s="34" t="s">
        <v>26</v>
      </c>
      <c r="G36" s="34" t="str">
        <f>IF(OR(M36="挂起",M36="暂停",Q36="挂起",Q36="暂停",U36="挂起",U36="暂停",Y36="挂起",Y36="暂停"),"暂停","未开始")</f>
        <v>未开始</v>
      </c>
      <c r="H36" s="34" t="str">
        <f t="shared" si="1"/>
        <v>郑士旺</v>
      </c>
      <c r="I36" s="38">
        <f t="shared" si="2"/>
        <v>46230</v>
      </c>
      <c r="J36" s="38">
        <f t="shared" si="3"/>
        <v>46353</v>
      </c>
      <c r="K36" s="38"/>
      <c r="L36" s="34" t="s">
        <v>75</v>
      </c>
      <c r="M36" s="34" t="s">
        <v>5</v>
      </c>
      <c r="N36" s="38">
        <v>46230</v>
      </c>
      <c r="O36" s="38">
        <v>46241</v>
      </c>
      <c r="P36" s="34" t="s">
        <v>152</v>
      </c>
      <c r="Q36" s="34" t="s">
        <v>5</v>
      </c>
      <c r="R36" s="38">
        <v>46286</v>
      </c>
      <c r="S36" s="38">
        <v>46289</v>
      </c>
      <c r="T36" s="34" t="s">
        <v>152</v>
      </c>
      <c r="U36" s="34" t="s">
        <v>5</v>
      </c>
      <c r="V36" s="38">
        <v>46286</v>
      </c>
      <c r="W36" s="38">
        <v>46289</v>
      </c>
      <c r="X36" s="34" t="s">
        <v>78</v>
      </c>
      <c r="Y36" s="34" t="s">
        <v>5</v>
      </c>
      <c r="Z36" s="38">
        <v>46342</v>
      </c>
      <c r="AA36" s="38">
        <v>46353</v>
      </c>
      <c r="AB36" s="75">
        <f t="shared" si="4"/>
        <v>0</v>
      </c>
      <c r="AC36" s="34" t="str">
        <f>IF(G36="已完成","正常",IF(OR(G36="暂停",G36="挂起"),"暂停",IF(J36="","日期缺失",IF(J36&lt;项目驾驶舱!$B$3,"已延期",IF(J36&lt;=项目驾驶舱!$B$3+7,"临近到期","正常")))))</f>
        <v>正常</v>
      </c>
      <c r="AD36" s="34" t="s">
        <v>79</v>
      </c>
      <c r="AE36" s="34" t="s">
        <v>79</v>
      </c>
    </row>
    <row r="37" ht="17" customHeight="1" spans="1:31">
      <c r="A37" s="34" t="s">
        <v>157</v>
      </c>
      <c r="B37" s="34" t="s">
        <v>102</v>
      </c>
      <c r="C37" s="34" t="s">
        <v>121</v>
      </c>
      <c r="D37" s="34" t="s">
        <v>158</v>
      </c>
      <c r="E37" s="34" t="s">
        <v>159</v>
      </c>
      <c r="F37" s="34" t="s">
        <v>26</v>
      </c>
      <c r="G37" s="34" t="str">
        <f>IF(OR(M37="挂起",M37="暂停",Q37="挂起",Q37="暂停",U37="挂起",U37="暂停",Y37="挂起",Y37="暂停"),"暂停","进行中")</f>
        <v>进行中</v>
      </c>
      <c r="H37" s="34" t="str">
        <f t="shared" si="1"/>
        <v>郑士旺</v>
      </c>
      <c r="I37" s="38">
        <f t="shared" si="2"/>
        <v>46230</v>
      </c>
      <c r="J37" s="38">
        <f t="shared" si="3"/>
        <v>46353</v>
      </c>
      <c r="K37" s="38"/>
      <c r="L37" s="34" t="s">
        <v>75</v>
      </c>
      <c r="M37" s="34" t="s">
        <v>3</v>
      </c>
      <c r="N37" s="38">
        <v>46230</v>
      </c>
      <c r="O37" s="38">
        <v>46241</v>
      </c>
      <c r="P37" s="34" t="s">
        <v>76</v>
      </c>
      <c r="Q37" s="34" t="s">
        <v>3</v>
      </c>
      <c r="R37" s="38">
        <v>46266</v>
      </c>
      <c r="S37" s="38">
        <v>46272</v>
      </c>
      <c r="T37" s="34" t="s">
        <v>77</v>
      </c>
      <c r="U37" s="34" t="s">
        <v>3</v>
      </c>
      <c r="V37" s="38">
        <v>46266</v>
      </c>
      <c r="W37" s="38">
        <v>46272</v>
      </c>
      <c r="X37" s="34" t="s">
        <v>78</v>
      </c>
      <c r="Y37" s="34" t="s">
        <v>4</v>
      </c>
      <c r="Z37" s="38">
        <v>46342</v>
      </c>
      <c r="AA37" s="38">
        <v>46353</v>
      </c>
      <c r="AB37" s="75">
        <f t="shared" si="4"/>
        <v>0.9</v>
      </c>
      <c r="AC37" s="34" t="str">
        <f>IF(G37="已完成","正常",IF(OR(G37="暂停",G37="挂起"),"暂停",IF(J37="","日期缺失",IF(J37&lt;项目驾驶舱!$B$3,"已延期",IF(J37&lt;=项目驾驶舱!$B$3+7,"临近到期","正常")))))</f>
        <v>正常</v>
      </c>
      <c r="AD37" s="34" t="s">
        <v>79</v>
      </c>
      <c r="AE37" s="34" t="s">
        <v>79</v>
      </c>
    </row>
    <row r="38" ht="17" customHeight="1" spans="1:31">
      <c r="A38" s="34" t="s">
        <v>160</v>
      </c>
      <c r="B38" s="34" t="s">
        <v>102</v>
      </c>
      <c r="C38" s="34" t="s">
        <v>121</v>
      </c>
      <c r="D38" s="34" t="s">
        <v>158</v>
      </c>
      <c r="E38" s="34" t="s">
        <v>161</v>
      </c>
      <c r="F38" s="34" t="s">
        <v>26</v>
      </c>
      <c r="G38" s="34" t="str">
        <f>IF(OR(M38="挂起",M38="暂停",Q38="挂起",Q38="暂停",U38="挂起",U38="暂停",Y38="挂起",Y38="暂停"),"暂停","进行中")</f>
        <v>进行中</v>
      </c>
      <c r="H38" s="34" t="str">
        <f t="shared" si="1"/>
        <v>郑士旺</v>
      </c>
      <c r="I38" s="38">
        <f t="shared" si="2"/>
        <v>46230</v>
      </c>
      <c r="J38" s="38">
        <f t="shared" si="3"/>
        <v>46353</v>
      </c>
      <c r="K38" s="38"/>
      <c r="L38" s="34" t="s">
        <v>75</v>
      </c>
      <c r="M38" s="34" t="s">
        <v>3</v>
      </c>
      <c r="N38" s="38">
        <v>46230</v>
      </c>
      <c r="O38" s="38">
        <v>46241</v>
      </c>
      <c r="P38" s="34" t="s">
        <v>76</v>
      </c>
      <c r="Q38" s="34" t="s">
        <v>3</v>
      </c>
      <c r="R38" s="38">
        <v>46266</v>
      </c>
      <c r="S38" s="38">
        <v>46272</v>
      </c>
      <c r="T38" s="34" t="s">
        <v>77</v>
      </c>
      <c r="U38" s="34" t="s">
        <v>3</v>
      </c>
      <c r="V38" s="38">
        <v>46266</v>
      </c>
      <c r="W38" s="38">
        <v>46272</v>
      </c>
      <c r="X38" s="34" t="s">
        <v>78</v>
      </c>
      <c r="Y38" s="34" t="s">
        <v>4</v>
      </c>
      <c r="Z38" s="38">
        <v>46342</v>
      </c>
      <c r="AA38" s="38">
        <v>46353</v>
      </c>
      <c r="AB38" s="75">
        <f t="shared" si="4"/>
        <v>0.9</v>
      </c>
      <c r="AC38" s="34" t="str">
        <f>IF(G38="已完成","正常",IF(OR(G38="暂停",G38="挂起"),"暂停",IF(J38="","日期缺失",IF(J38&lt;项目驾驶舱!$B$3,"已延期",IF(J38&lt;=项目驾驶舱!$B$3+7,"临近到期","正常")))))</f>
        <v>正常</v>
      </c>
      <c r="AD38" s="34" t="s">
        <v>79</v>
      </c>
      <c r="AE38" s="34" t="s">
        <v>79</v>
      </c>
    </row>
    <row r="39" ht="17" customHeight="1" spans="1:31">
      <c r="A39" s="34" t="s">
        <v>162</v>
      </c>
      <c r="B39" s="34" t="s">
        <v>102</v>
      </c>
      <c r="C39" s="34" t="s">
        <v>121</v>
      </c>
      <c r="D39" s="34" t="s">
        <v>158</v>
      </c>
      <c r="E39" s="34" t="s">
        <v>163</v>
      </c>
      <c r="F39" s="34" t="s">
        <v>26</v>
      </c>
      <c r="G39" s="34" t="str">
        <f>IF(OR(M39="挂起",M39="暂停",Q39="挂起",Q39="暂停",U39="挂起",U39="暂停",Y39="挂起",Y39="暂停"),"暂停","进行中")</f>
        <v>进行中</v>
      </c>
      <c r="H39" s="34" t="str">
        <f t="shared" si="1"/>
        <v>郑士旺</v>
      </c>
      <c r="I39" s="38">
        <f t="shared" si="2"/>
        <v>46230</v>
      </c>
      <c r="J39" s="38">
        <f t="shared" si="3"/>
        <v>46353</v>
      </c>
      <c r="K39" s="38"/>
      <c r="L39" s="34" t="s">
        <v>75</v>
      </c>
      <c r="M39" s="34" t="s">
        <v>3</v>
      </c>
      <c r="N39" s="38">
        <v>46230</v>
      </c>
      <c r="O39" s="38">
        <v>46241</v>
      </c>
      <c r="P39" s="34" t="s">
        <v>76</v>
      </c>
      <c r="Q39" s="34" t="s">
        <v>3</v>
      </c>
      <c r="R39" s="38">
        <v>46266</v>
      </c>
      <c r="S39" s="38">
        <v>46272</v>
      </c>
      <c r="T39" s="34" t="s">
        <v>77</v>
      </c>
      <c r="U39" s="34" t="s">
        <v>3</v>
      </c>
      <c r="V39" s="38">
        <v>46266</v>
      </c>
      <c r="W39" s="38">
        <v>46272</v>
      </c>
      <c r="X39" s="34" t="s">
        <v>78</v>
      </c>
      <c r="Y39" s="34" t="s">
        <v>4</v>
      </c>
      <c r="Z39" s="38">
        <v>46342</v>
      </c>
      <c r="AA39" s="38">
        <v>46353</v>
      </c>
      <c r="AB39" s="75">
        <f t="shared" si="4"/>
        <v>0.9</v>
      </c>
      <c r="AC39" s="34" t="str">
        <f>IF(G39="已完成","正常",IF(OR(G39="暂停",G39="挂起"),"暂停",IF(J39="","日期缺失",IF(J39&lt;项目驾驶舱!$B$3,"已延期",IF(J39&lt;=项目驾驶舱!$B$3+7,"临近到期","正常")))))</f>
        <v>正常</v>
      </c>
      <c r="AD39" s="34" t="s">
        <v>79</v>
      </c>
      <c r="AE39" s="34" t="s">
        <v>79</v>
      </c>
    </row>
    <row r="40" ht="17" customHeight="1" spans="1:31">
      <c r="A40" s="34" t="s">
        <v>164</v>
      </c>
      <c r="B40" s="34" t="s">
        <v>102</v>
      </c>
      <c r="C40" s="34" t="s">
        <v>165</v>
      </c>
      <c r="D40" s="34" t="s">
        <v>166</v>
      </c>
      <c r="E40" s="34" t="s">
        <v>74</v>
      </c>
      <c r="F40" s="34" t="s">
        <v>25</v>
      </c>
      <c r="G40" s="34" t="str">
        <f t="shared" ref="G40:G49" si="5">IF(OR(M40="挂起",M40="暂停",Q40="挂起",Q40="暂停",U40="挂起",U40="暂停",Y40="挂起",Y40="暂停"),"暂停","已完成")</f>
        <v>已完成</v>
      </c>
      <c r="H40" s="34" t="str">
        <f t="shared" si="1"/>
        <v>郑士旺</v>
      </c>
      <c r="I40" s="38">
        <f t="shared" si="2"/>
        <v>46209</v>
      </c>
      <c r="J40" s="38">
        <f t="shared" si="3"/>
        <v>46261</v>
      </c>
      <c r="K40" s="38">
        <v>46261</v>
      </c>
      <c r="L40" s="34" t="s">
        <v>75</v>
      </c>
      <c r="M40" s="34" t="s">
        <v>3</v>
      </c>
      <c r="N40" s="38">
        <v>46209</v>
      </c>
      <c r="O40" s="38">
        <v>46213</v>
      </c>
      <c r="P40" s="34" t="s">
        <v>76</v>
      </c>
      <c r="Q40" s="34" t="s">
        <v>3</v>
      </c>
      <c r="R40" s="38">
        <v>46230</v>
      </c>
      <c r="S40" s="38">
        <v>46262</v>
      </c>
      <c r="T40" s="34" t="s">
        <v>77</v>
      </c>
      <c r="U40" s="34" t="s">
        <v>3</v>
      </c>
      <c r="V40" s="38">
        <v>46230</v>
      </c>
      <c r="W40" s="38">
        <v>46262</v>
      </c>
      <c r="X40" s="34" t="s">
        <v>78</v>
      </c>
      <c r="Y40" s="34" t="s">
        <v>3</v>
      </c>
      <c r="Z40" s="38">
        <v>46253</v>
      </c>
      <c r="AA40" s="38">
        <v>46269</v>
      </c>
      <c r="AB40" s="75">
        <f t="shared" si="4"/>
        <v>1</v>
      </c>
      <c r="AC40" s="34" t="str">
        <f>IF(G40="已完成","正常",IF(OR(G40="暂停",G40="挂起"),"暂停",IF(J40="","日期缺失",IF(J40&lt;项目驾驶舱!$B$3,"已延期",IF(J40&lt;=项目驾驶舱!$B$3+7,"临近到期","正常")))))</f>
        <v>正常</v>
      </c>
      <c r="AD40" s="34" t="s">
        <v>79</v>
      </c>
      <c r="AE40" s="34" t="s">
        <v>79</v>
      </c>
    </row>
    <row r="41" ht="17" customHeight="1" spans="1:31">
      <c r="A41" s="34" t="s">
        <v>167</v>
      </c>
      <c r="B41" s="34" t="s">
        <v>102</v>
      </c>
      <c r="C41" s="34" t="s">
        <v>165</v>
      </c>
      <c r="D41" s="34" t="s">
        <v>168</v>
      </c>
      <c r="E41" s="34" t="s">
        <v>74</v>
      </c>
      <c r="F41" s="34" t="s">
        <v>25</v>
      </c>
      <c r="G41" s="34" t="str">
        <f t="shared" si="5"/>
        <v>已完成</v>
      </c>
      <c r="H41" s="34" t="str">
        <f t="shared" si="1"/>
        <v>郑士旺</v>
      </c>
      <c r="I41" s="38">
        <f t="shared" si="2"/>
        <v>46209</v>
      </c>
      <c r="J41" s="38">
        <f t="shared" si="3"/>
        <v>46261</v>
      </c>
      <c r="K41" s="38">
        <v>46261</v>
      </c>
      <c r="L41" s="34" t="s">
        <v>75</v>
      </c>
      <c r="M41" s="34" t="s">
        <v>3</v>
      </c>
      <c r="N41" s="38">
        <v>46209</v>
      </c>
      <c r="O41" s="38">
        <v>46213</v>
      </c>
      <c r="P41" s="34" t="s">
        <v>76</v>
      </c>
      <c r="Q41" s="34" t="s">
        <v>3</v>
      </c>
      <c r="R41" s="38">
        <v>46230</v>
      </c>
      <c r="S41" s="38">
        <v>46262</v>
      </c>
      <c r="T41" s="34" t="s">
        <v>77</v>
      </c>
      <c r="U41" s="34" t="s">
        <v>3</v>
      </c>
      <c r="V41" s="38">
        <v>46230</v>
      </c>
      <c r="W41" s="38">
        <v>46262</v>
      </c>
      <c r="X41" s="34" t="s">
        <v>78</v>
      </c>
      <c r="Y41" s="34" t="s">
        <v>3</v>
      </c>
      <c r="Z41" s="38">
        <v>46253</v>
      </c>
      <c r="AA41" s="38">
        <v>46269</v>
      </c>
      <c r="AB41" s="75">
        <f t="shared" si="4"/>
        <v>1</v>
      </c>
      <c r="AC41" s="34" t="str">
        <f>IF(G41="已完成","正常",IF(OR(G41="暂停",G41="挂起"),"暂停",IF(J41="","日期缺失",IF(J41&lt;项目驾驶舱!$B$3,"已延期",IF(J41&lt;=项目驾驶舱!$B$3+7,"临近到期","正常")))))</f>
        <v>正常</v>
      </c>
      <c r="AD41" s="34" t="s">
        <v>79</v>
      </c>
      <c r="AE41" s="34" t="s">
        <v>79</v>
      </c>
    </row>
    <row r="42" ht="34" customHeight="1" spans="1:31">
      <c r="A42" s="34" t="s">
        <v>169</v>
      </c>
      <c r="B42" s="34" t="s">
        <v>102</v>
      </c>
      <c r="C42" s="34" t="s">
        <v>165</v>
      </c>
      <c r="D42" s="34" t="s">
        <v>170</v>
      </c>
      <c r="E42" s="34" t="s">
        <v>74</v>
      </c>
      <c r="F42" s="34" t="s">
        <v>25</v>
      </c>
      <c r="G42" s="34" t="str">
        <f t="shared" si="5"/>
        <v>已完成</v>
      </c>
      <c r="H42" s="34" t="str">
        <f t="shared" si="1"/>
        <v>郑士旺</v>
      </c>
      <c r="I42" s="38">
        <f t="shared" si="2"/>
        <v>46209</v>
      </c>
      <c r="J42" s="38">
        <f t="shared" si="3"/>
        <v>46261</v>
      </c>
      <c r="K42" s="38">
        <v>46261</v>
      </c>
      <c r="L42" s="34" t="s">
        <v>75</v>
      </c>
      <c r="M42" s="34" t="s">
        <v>3</v>
      </c>
      <c r="N42" s="38">
        <v>46209</v>
      </c>
      <c r="O42" s="38">
        <v>46213</v>
      </c>
      <c r="P42" s="34" t="s">
        <v>76</v>
      </c>
      <c r="Q42" s="34" t="s">
        <v>3</v>
      </c>
      <c r="R42" s="38">
        <v>46230</v>
      </c>
      <c r="S42" s="38">
        <v>46262</v>
      </c>
      <c r="T42" s="34" t="s">
        <v>77</v>
      </c>
      <c r="U42" s="34" t="s">
        <v>3</v>
      </c>
      <c r="V42" s="38">
        <v>46230</v>
      </c>
      <c r="W42" s="38">
        <v>46262</v>
      </c>
      <c r="X42" s="34" t="s">
        <v>78</v>
      </c>
      <c r="Y42" s="34" t="s">
        <v>3</v>
      </c>
      <c r="Z42" s="38">
        <v>46253</v>
      </c>
      <c r="AA42" s="38">
        <v>46269</v>
      </c>
      <c r="AB42" s="75">
        <f t="shared" si="4"/>
        <v>1</v>
      </c>
      <c r="AC42" s="34" t="str">
        <f>IF(G42="已完成","正常",IF(OR(G42="暂停",G42="挂起"),"暂停",IF(J42="","日期缺失",IF(J42&lt;项目驾驶舱!$B$3,"已延期",IF(J42&lt;=项目驾驶舱!$B$3+7,"临近到期","正常")))))</f>
        <v>正常</v>
      </c>
      <c r="AD42" s="34" t="s">
        <v>79</v>
      </c>
      <c r="AE42" s="34" t="s">
        <v>79</v>
      </c>
    </row>
    <row r="43" ht="17" customHeight="1" spans="1:31">
      <c r="A43" s="34" t="s">
        <v>171</v>
      </c>
      <c r="B43" s="34" t="s">
        <v>102</v>
      </c>
      <c r="C43" s="34" t="s">
        <v>172</v>
      </c>
      <c r="D43" s="34" t="s">
        <v>173</v>
      </c>
      <c r="E43" s="34" t="s">
        <v>74</v>
      </c>
      <c r="F43" s="34" t="s">
        <v>25</v>
      </c>
      <c r="G43" s="34" t="str">
        <f t="shared" si="5"/>
        <v>已完成</v>
      </c>
      <c r="H43" s="34" t="str">
        <f t="shared" si="1"/>
        <v>郑士旺</v>
      </c>
      <c r="I43" s="38">
        <f t="shared" si="2"/>
        <v>46209</v>
      </c>
      <c r="J43" s="38">
        <f t="shared" si="3"/>
        <v>46261</v>
      </c>
      <c r="K43" s="38">
        <v>46261</v>
      </c>
      <c r="L43" s="34" t="s">
        <v>75</v>
      </c>
      <c r="M43" s="34" t="s">
        <v>3</v>
      </c>
      <c r="N43" s="38">
        <v>46209</v>
      </c>
      <c r="O43" s="38">
        <v>46213</v>
      </c>
      <c r="P43" s="34" t="s">
        <v>76</v>
      </c>
      <c r="Q43" s="34" t="s">
        <v>3</v>
      </c>
      <c r="R43" s="38">
        <v>46230</v>
      </c>
      <c r="S43" s="38">
        <v>46262</v>
      </c>
      <c r="T43" s="34" t="s">
        <v>77</v>
      </c>
      <c r="U43" s="34" t="s">
        <v>3</v>
      </c>
      <c r="V43" s="38">
        <v>46230</v>
      </c>
      <c r="W43" s="38">
        <v>46262</v>
      </c>
      <c r="X43" s="34" t="s">
        <v>78</v>
      </c>
      <c r="Y43" s="34" t="s">
        <v>3</v>
      </c>
      <c r="Z43" s="38">
        <v>46253</v>
      </c>
      <c r="AA43" s="38">
        <v>46269</v>
      </c>
      <c r="AB43" s="75">
        <f t="shared" si="4"/>
        <v>1</v>
      </c>
      <c r="AC43" s="34" t="str">
        <f>IF(G43="已完成","正常",IF(OR(G43="暂停",G43="挂起"),"暂停",IF(J43="","日期缺失",IF(J43&lt;项目驾驶舱!$B$3,"已延期",IF(J43&lt;=项目驾驶舱!$B$3+7,"临近到期","正常")))))</f>
        <v>正常</v>
      </c>
      <c r="AD43" s="34" t="s">
        <v>79</v>
      </c>
      <c r="AE43" s="34" t="s">
        <v>79</v>
      </c>
    </row>
    <row r="44" ht="17" customHeight="1" spans="1:31">
      <c r="A44" s="34" t="s">
        <v>174</v>
      </c>
      <c r="B44" s="34" t="s">
        <v>102</v>
      </c>
      <c r="C44" s="34" t="s">
        <v>172</v>
      </c>
      <c r="D44" s="34" t="s">
        <v>175</v>
      </c>
      <c r="E44" s="34" t="s">
        <v>74</v>
      </c>
      <c r="F44" s="34" t="s">
        <v>25</v>
      </c>
      <c r="G44" s="34" t="str">
        <f t="shared" si="5"/>
        <v>已完成</v>
      </c>
      <c r="H44" s="34" t="str">
        <f t="shared" si="1"/>
        <v>郑士旺</v>
      </c>
      <c r="I44" s="38">
        <f t="shared" si="2"/>
        <v>46209</v>
      </c>
      <c r="J44" s="38">
        <f t="shared" si="3"/>
        <v>46261</v>
      </c>
      <c r="K44" s="38">
        <v>46261</v>
      </c>
      <c r="L44" s="34" t="s">
        <v>75</v>
      </c>
      <c r="M44" s="34" t="s">
        <v>3</v>
      </c>
      <c r="N44" s="38">
        <v>46209</v>
      </c>
      <c r="O44" s="38">
        <v>46213</v>
      </c>
      <c r="P44" s="34" t="s">
        <v>76</v>
      </c>
      <c r="Q44" s="34" t="s">
        <v>3</v>
      </c>
      <c r="R44" s="38">
        <v>46230</v>
      </c>
      <c r="S44" s="38">
        <v>46262</v>
      </c>
      <c r="T44" s="34" t="s">
        <v>77</v>
      </c>
      <c r="U44" s="34" t="s">
        <v>3</v>
      </c>
      <c r="V44" s="38">
        <v>46230</v>
      </c>
      <c r="W44" s="38">
        <v>46262</v>
      </c>
      <c r="X44" s="34" t="s">
        <v>78</v>
      </c>
      <c r="Y44" s="34" t="s">
        <v>3</v>
      </c>
      <c r="Z44" s="38">
        <v>46253</v>
      </c>
      <c r="AA44" s="38">
        <v>46269</v>
      </c>
      <c r="AB44" s="75">
        <f t="shared" si="4"/>
        <v>1</v>
      </c>
      <c r="AC44" s="34" t="str">
        <f>IF(G44="已完成","正常",IF(OR(G44="暂停",G44="挂起"),"暂停",IF(J44="","日期缺失",IF(J44&lt;项目驾驶舱!$B$3,"已延期",IF(J44&lt;=项目驾驶舱!$B$3+7,"临近到期","正常")))))</f>
        <v>正常</v>
      </c>
      <c r="AD44" s="34" t="s">
        <v>79</v>
      </c>
      <c r="AE44" s="34" t="s">
        <v>79</v>
      </c>
    </row>
    <row r="45" ht="17" customHeight="1" spans="1:31">
      <c r="A45" s="34" t="s">
        <v>176</v>
      </c>
      <c r="B45" s="34" t="s">
        <v>102</v>
      </c>
      <c r="C45" s="34" t="s">
        <v>172</v>
      </c>
      <c r="D45" s="34" t="s">
        <v>177</v>
      </c>
      <c r="E45" s="34" t="s">
        <v>74</v>
      </c>
      <c r="F45" s="34" t="s">
        <v>25</v>
      </c>
      <c r="G45" s="34" t="str">
        <f t="shared" si="5"/>
        <v>已完成</v>
      </c>
      <c r="H45" s="34" t="str">
        <f t="shared" si="1"/>
        <v>郑士旺</v>
      </c>
      <c r="I45" s="38">
        <f t="shared" si="2"/>
        <v>46209</v>
      </c>
      <c r="J45" s="38">
        <f t="shared" si="3"/>
        <v>46261</v>
      </c>
      <c r="K45" s="38">
        <v>46261</v>
      </c>
      <c r="L45" s="34" t="s">
        <v>75</v>
      </c>
      <c r="M45" s="34" t="s">
        <v>3</v>
      </c>
      <c r="N45" s="38">
        <v>46209</v>
      </c>
      <c r="O45" s="38">
        <v>46213</v>
      </c>
      <c r="P45" s="34" t="s">
        <v>76</v>
      </c>
      <c r="Q45" s="34" t="s">
        <v>3</v>
      </c>
      <c r="R45" s="38">
        <v>46230</v>
      </c>
      <c r="S45" s="38">
        <v>46262</v>
      </c>
      <c r="T45" s="34" t="s">
        <v>77</v>
      </c>
      <c r="U45" s="34" t="s">
        <v>3</v>
      </c>
      <c r="V45" s="38">
        <v>46230</v>
      </c>
      <c r="W45" s="38">
        <v>46262</v>
      </c>
      <c r="X45" s="34" t="s">
        <v>78</v>
      </c>
      <c r="Y45" s="34" t="s">
        <v>3</v>
      </c>
      <c r="Z45" s="38">
        <v>46253</v>
      </c>
      <c r="AA45" s="38">
        <v>46269</v>
      </c>
      <c r="AB45" s="75">
        <f t="shared" si="4"/>
        <v>1</v>
      </c>
      <c r="AC45" s="34" t="str">
        <f>IF(G45="已完成","正常",IF(OR(G45="暂停",G45="挂起"),"暂停",IF(J45="","日期缺失",IF(J45&lt;项目驾驶舱!$B$3,"已延期",IF(J45&lt;=项目驾驶舱!$B$3+7,"临近到期","正常")))))</f>
        <v>正常</v>
      </c>
      <c r="AD45" s="34" t="s">
        <v>79</v>
      </c>
      <c r="AE45" s="34" t="s">
        <v>79</v>
      </c>
    </row>
    <row r="46" ht="17" customHeight="1" spans="1:31">
      <c r="A46" s="34" t="s">
        <v>178</v>
      </c>
      <c r="B46" s="34" t="s">
        <v>102</v>
      </c>
      <c r="C46" s="34" t="s">
        <v>179</v>
      </c>
      <c r="D46" s="34" t="s">
        <v>180</v>
      </c>
      <c r="E46" s="34" t="s">
        <v>74</v>
      </c>
      <c r="F46" s="34" t="s">
        <v>26</v>
      </c>
      <c r="G46" s="34" t="str">
        <f t="shared" si="5"/>
        <v>已完成</v>
      </c>
      <c r="H46" s="34" t="str">
        <f t="shared" si="1"/>
        <v>郑士旺</v>
      </c>
      <c r="I46" s="38">
        <f t="shared" si="2"/>
        <v>46209</v>
      </c>
      <c r="J46" s="38">
        <f t="shared" si="3"/>
        <v>46269</v>
      </c>
      <c r="K46" s="38"/>
      <c r="L46" s="34" t="s">
        <v>75</v>
      </c>
      <c r="M46" s="34" t="s">
        <v>3</v>
      </c>
      <c r="N46" s="38">
        <v>46209</v>
      </c>
      <c r="O46" s="38">
        <v>46213</v>
      </c>
      <c r="P46" s="34" t="s">
        <v>76</v>
      </c>
      <c r="Q46" s="34" t="s">
        <v>3</v>
      </c>
      <c r="R46" s="38">
        <v>46230</v>
      </c>
      <c r="S46" s="38">
        <v>46262</v>
      </c>
      <c r="T46" s="34" t="s">
        <v>77</v>
      </c>
      <c r="U46" s="34" t="s">
        <v>3</v>
      </c>
      <c r="V46" s="38">
        <v>46230</v>
      </c>
      <c r="W46" s="38">
        <v>46262</v>
      </c>
      <c r="X46" s="34" t="s">
        <v>78</v>
      </c>
      <c r="Y46" s="34" t="s">
        <v>3</v>
      </c>
      <c r="Z46" s="38">
        <v>46253</v>
      </c>
      <c r="AA46" s="38">
        <v>46269</v>
      </c>
      <c r="AB46" s="75">
        <f t="shared" si="4"/>
        <v>1</v>
      </c>
      <c r="AC46" s="34" t="str">
        <f>IF(G46="已完成","正常",IF(OR(G46="暂停",G46="挂起"),"暂停",IF(J46="","日期缺失",IF(J46&lt;项目驾驶舱!$B$3,"已延期",IF(J46&lt;=项目驾驶舱!$B$3+7,"临近到期","正常")))))</f>
        <v>正常</v>
      </c>
      <c r="AD46" s="34" t="s">
        <v>79</v>
      </c>
      <c r="AE46" s="34" t="s">
        <v>79</v>
      </c>
    </row>
    <row r="47" ht="17" customHeight="1" spans="1:31">
      <c r="A47" s="34" t="s">
        <v>181</v>
      </c>
      <c r="B47" s="34" t="s">
        <v>102</v>
      </c>
      <c r="C47" s="34" t="s">
        <v>179</v>
      </c>
      <c r="D47" s="34" t="s">
        <v>182</v>
      </c>
      <c r="E47" s="34" t="s">
        <v>74</v>
      </c>
      <c r="F47" s="34" t="s">
        <v>26</v>
      </c>
      <c r="G47" s="34" t="str">
        <f t="shared" si="5"/>
        <v>已完成</v>
      </c>
      <c r="H47" s="34" t="str">
        <f t="shared" si="1"/>
        <v>郑士旺</v>
      </c>
      <c r="I47" s="38">
        <f t="shared" si="2"/>
        <v>46209</v>
      </c>
      <c r="J47" s="38">
        <f t="shared" si="3"/>
        <v>46269</v>
      </c>
      <c r="K47" s="38"/>
      <c r="L47" s="34" t="s">
        <v>75</v>
      </c>
      <c r="M47" s="34" t="s">
        <v>3</v>
      </c>
      <c r="N47" s="38">
        <v>46209</v>
      </c>
      <c r="O47" s="38">
        <v>46213</v>
      </c>
      <c r="P47" s="34" t="s">
        <v>76</v>
      </c>
      <c r="Q47" s="34" t="s">
        <v>3</v>
      </c>
      <c r="R47" s="38">
        <v>46230</v>
      </c>
      <c r="S47" s="38">
        <v>46262</v>
      </c>
      <c r="T47" s="34" t="s">
        <v>77</v>
      </c>
      <c r="U47" s="34" t="s">
        <v>3</v>
      </c>
      <c r="V47" s="38">
        <v>46230</v>
      </c>
      <c r="W47" s="38">
        <v>46262</v>
      </c>
      <c r="X47" s="34" t="s">
        <v>78</v>
      </c>
      <c r="Y47" s="34" t="s">
        <v>3</v>
      </c>
      <c r="Z47" s="38">
        <v>46253</v>
      </c>
      <c r="AA47" s="38">
        <v>46269</v>
      </c>
      <c r="AB47" s="75">
        <f t="shared" si="4"/>
        <v>1</v>
      </c>
      <c r="AC47" s="34" t="str">
        <f>IF(G47="已完成","正常",IF(OR(G47="暂停",G47="挂起"),"暂停",IF(J47="","日期缺失",IF(J47&lt;项目驾驶舱!$B$3,"已延期",IF(J47&lt;=项目驾驶舱!$B$3+7,"临近到期","正常")))))</f>
        <v>正常</v>
      </c>
      <c r="AD47" s="34" t="s">
        <v>79</v>
      </c>
      <c r="AE47" s="34" t="s">
        <v>79</v>
      </c>
    </row>
    <row r="48" ht="17" customHeight="1" spans="1:31">
      <c r="A48" s="34" t="s">
        <v>183</v>
      </c>
      <c r="B48" s="34" t="s">
        <v>102</v>
      </c>
      <c r="C48" s="34" t="s">
        <v>179</v>
      </c>
      <c r="D48" s="34" t="s">
        <v>184</v>
      </c>
      <c r="E48" s="34" t="s">
        <v>74</v>
      </c>
      <c r="F48" s="34" t="s">
        <v>26</v>
      </c>
      <c r="G48" s="34" t="str">
        <f t="shared" si="5"/>
        <v>已完成</v>
      </c>
      <c r="H48" s="34" t="str">
        <f t="shared" si="1"/>
        <v>郑士旺</v>
      </c>
      <c r="I48" s="38">
        <f t="shared" si="2"/>
        <v>46209</v>
      </c>
      <c r="J48" s="38">
        <f t="shared" si="3"/>
        <v>46269</v>
      </c>
      <c r="K48" s="38"/>
      <c r="L48" s="34" t="s">
        <v>75</v>
      </c>
      <c r="M48" s="34" t="s">
        <v>3</v>
      </c>
      <c r="N48" s="38">
        <v>46209</v>
      </c>
      <c r="O48" s="38">
        <v>46213</v>
      </c>
      <c r="P48" s="34" t="s">
        <v>76</v>
      </c>
      <c r="Q48" s="34" t="s">
        <v>3</v>
      </c>
      <c r="R48" s="38">
        <v>46230</v>
      </c>
      <c r="S48" s="38">
        <v>46262</v>
      </c>
      <c r="T48" s="34" t="s">
        <v>77</v>
      </c>
      <c r="U48" s="34" t="s">
        <v>3</v>
      </c>
      <c r="V48" s="38">
        <v>46230</v>
      </c>
      <c r="W48" s="38">
        <v>46262</v>
      </c>
      <c r="X48" s="34" t="s">
        <v>78</v>
      </c>
      <c r="Y48" s="34" t="s">
        <v>3</v>
      </c>
      <c r="Z48" s="38">
        <v>46253</v>
      </c>
      <c r="AA48" s="38">
        <v>46269</v>
      </c>
      <c r="AB48" s="75">
        <f t="shared" si="4"/>
        <v>1</v>
      </c>
      <c r="AC48" s="34" t="str">
        <f>IF(G48="已完成","正常",IF(OR(G48="暂停",G48="挂起"),"暂停",IF(J48="","日期缺失",IF(J48&lt;项目驾驶舱!$B$3,"已延期",IF(J48&lt;=项目驾驶舱!$B$3+7,"临近到期","正常")))))</f>
        <v>正常</v>
      </c>
      <c r="AD48" s="34" t="s">
        <v>79</v>
      </c>
      <c r="AE48" s="34" t="s">
        <v>79</v>
      </c>
    </row>
    <row r="49" ht="17" customHeight="1" spans="1:31">
      <c r="A49" s="34" t="s">
        <v>185</v>
      </c>
      <c r="B49" s="34" t="s">
        <v>102</v>
      </c>
      <c r="C49" s="34" t="s">
        <v>186</v>
      </c>
      <c r="D49" s="34" t="s">
        <v>187</v>
      </c>
      <c r="E49" s="34" t="s">
        <v>74</v>
      </c>
      <c r="F49" s="34" t="s">
        <v>26</v>
      </c>
      <c r="G49" s="34" t="str">
        <f t="shared" si="5"/>
        <v>已完成</v>
      </c>
      <c r="H49" s="34" t="str">
        <f t="shared" si="1"/>
        <v>郑士旺</v>
      </c>
      <c r="I49" s="38">
        <f t="shared" si="2"/>
        <v>46230</v>
      </c>
      <c r="J49" s="38">
        <f t="shared" si="3"/>
        <v>46353</v>
      </c>
      <c r="K49" s="38" t="s">
        <v>74</v>
      </c>
      <c r="L49" s="34" t="s">
        <v>75</v>
      </c>
      <c r="M49" s="34" t="s">
        <v>3</v>
      </c>
      <c r="N49" s="38">
        <v>46230</v>
      </c>
      <c r="O49" s="38">
        <v>46241</v>
      </c>
      <c r="P49" s="34" t="s">
        <v>76</v>
      </c>
      <c r="Q49" s="34" t="s">
        <v>3</v>
      </c>
      <c r="R49" s="38">
        <v>46307</v>
      </c>
      <c r="S49" s="38">
        <v>46339</v>
      </c>
      <c r="T49" s="34" t="s">
        <v>77</v>
      </c>
      <c r="U49" s="34" t="s">
        <v>3</v>
      </c>
      <c r="V49" s="38">
        <v>46307</v>
      </c>
      <c r="W49" s="38">
        <v>46339</v>
      </c>
      <c r="X49" s="34" t="s">
        <v>78</v>
      </c>
      <c r="Y49" s="34" t="s">
        <v>3</v>
      </c>
      <c r="Z49" s="38">
        <v>46342</v>
      </c>
      <c r="AA49" s="38">
        <v>46353</v>
      </c>
      <c r="AB49" s="75">
        <f t="shared" si="4"/>
        <v>1</v>
      </c>
      <c r="AC49" s="34" t="str">
        <f>IF(G49="已完成","正常",IF(OR(G49="暂停",G49="挂起"),"暂停",IF(J49="","日期缺失",IF(J49&lt;项目驾驶舱!$B$3,"已延期",IF(J49&lt;=项目驾驶舱!$B$3+7,"临近到期","正常")))))</f>
        <v>正常</v>
      </c>
      <c r="AD49" s="34" t="s">
        <v>79</v>
      </c>
      <c r="AE49" s="34" t="s">
        <v>79</v>
      </c>
    </row>
    <row r="50" ht="17" customHeight="1" spans="1:31">
      <c r="A50" s="34" t="s">
        <v>188</v>
      </c>
      <c r="B50" s="34" t="s">
        <v>102</v>
      </c>
      <c r="C50" s="34" t="s">
        <v>186</v>
      </c>
      <c r="D50" s="34" t="s">
        <v>189</v>
      </c>
      <c r="E50" s="34" t="s">
        <v>74</v>
      </c>
      <c r="F50" s="34" t="s">
        <v>26</v>
      </c>
      <c r="G50" s="34" t="str">
        <f>IF(OR(M50="挂起",M50="暂停",Q50="挂起",Q50="暂停",U50="挂起",U50="暂停",Y50="挂起",Y50="暂停"),"暂停","未开始")</f>
        <v>未开始</v>
      </c>
      <c r="H50" s="34" t="str">
        <f t="shared" si="1"/>
        <v>郑士旺</v>
      </c>
      <c r="I50" s="38">
        <f t="shared" si="2"/>
        <v>46230</v>
      </c>
      <c r="J50" s="38">
        <f t="shared" si="3"/>
        <v>46353</v>
      </c>
      <c r="K50" s="38"/>
      <c r="L50" s="34" t="s">
        <v>75</v>
      </c>
      <c r="M50" s="34" t="s">
        <v>5</v>
      </c>
      <c r="N50" s="38">
        <v>46230</v>
      </c>
      <c r="O50" s="38">
        <v>46241</v>
      </c>
      <c r="P50" s="34" t="s">
        <v>76</v>
      </c>
      <c r="Q50" s="34" t="s">
        <v>5</v>
      </c>
      <c r="R50" s="38">
        <v>46307</v>
      </c>
      <c r="S50" s="38">
        <v>46339</v>
      </c>
      <c r="T50" s="34" t="s">
        <v>77</v>
      </c>
      <c r="U50" s="34" t="s">
        <v>5</v>
      </c>
      <c r="V50" s="38">
        <v>46307</v>
      </c>
      <c r="W50" s="38">
        <v>46339</v>
      </c>
      <c r="X50" s="34" t="s">
        <v>78</v>
      </c>
      <c r="Y50" s="34" t="s">
        <v>5</v>
      </c>
      <c r="Z50" s="38">
        <v>46342</v>
      </c>
      <c r="AA50" s="38">
        <v>46353</v>
      </c>
      <c r="AB50" s="75">
        <f t="shared" si="4"/>
        <v>0</v>
      </c>
      <c r="AC50" s="34" t="str">
        <f>IF(G50="已完成","正常",IF(OR(G50="暂停",G50="挂起"),"暂停",IF(J50="","日期缺失",IF(J50&lt;项目驾驶舱!$B$3,"已延期",IF(J50&lt;=项目驾驶舱!$B$3+7,"临近到期","正常")))))</f>
        <v>正常</v>
      </c>
      <c r="AD50" s="34" t="s">
        <v>79</v>
      </c>
      <c r="AE50" s="34" t="s">
        <v>79</v>
      </c>
    </row>
    <row r="51" ht="17" customHeight="1" spans="1:31">
      <c r="A51" s="34" t="s">
        <v>190</v>
      </c>
      <c r="B51" s="34" t="s">
        <v>102</v>
      </c>
      <c r="C51" s="34" t="s">
        <v>191</v>
      </c>
      <c r="D51" s="34" t="s">
        <v>189</v>
      </c>
      <c r="E51" s="34" t="s">
        <v>74</v>
      </c>
      <c r="F51" s="34" t="s">
        <v>26</v>
      </c>
      <c r="G51" s="34" t="str">
        <f>IF(OR(M51="挂起",M51="暂停",Q51="挂起",Q51="暂停",U51="挂起",U51="暂停",Y51="挂起",Y51="暂停"),"暂停","未开始")</f>
        <v>未开始</v>
      </c>
      <c r="H51" s="34" t="str">
        <f t="shared" si="1"/>
        <v>郑士旺</v>
      </c>
      <c r="I51" s="38">
        <f t="shared" si="2"/>
        <v>46230</v>
      </c>
      <c r="J51" s="38">
        <f t="shared" si="3"/>
        <v>46261</v>
      </c>
      <c r="K51" s="38">
        <v>46261</v>
      </c>
      <c r="L51" s="34" t="s">
        <v>75</v>
      </c>
      <c r="M51" s="34" t="s">
        <v>5</v>
      </c>
      <c r="N51" s="38">
        <v>46230</v>
      </c>
      <c r="O51" s="38">
        <v>46241</v>
      </c>
      <c r="P51" s="34" t="s">
        <v>76</v>
      </c>
      <c r="Q51" s="34" t="s">
        <v>5</v>
      </c>
      <c r="R51" s="38">
        <v>46307</v>
      </c>
      <c r="S51" s="38">
        <v>46339</v>
      </c>
      <c r="T51" s="34" t="s">
        <v>77</v>
      </c>
      <c r="U51" s="34" t="s">
        <v>5</v>
      </c>
      <c r="V51" s="38">
        <v>46307</v>
      </c>
      <c r="W51" s="38">
        <v>46339</v>
      </c>
      <c r="X51" s="34" t="s">
        <v>78</v>
      </c>
      <c r="Y51" s="34" t="s">
        <v>5</v>
      </c>
      <c r="Z51" s="38">
        <v>46342</v>
      </c>
      <c r="AA51" s="38">
        <v>46353</v>
      </c>
      <c r="AB51" s="75">
        <f t="shared" si="4"/>
        <v>0</v>
      </c>
      <c r="AC51" s="34" t="str">
        <f>IF(G51="已完成","正常",IF(OR(G51="暂停",G51="挂起"),"暂停",IF(J51="","日期缺失",IF(J51&lt;项目驾驶舱!$B$3,"已延期",IF(J51&lt;=项目驾驶舱!$B$3+7,"临近到期","正常")))))</f>
        <v>已延期</v>
      </c>
      <c r="AD51" s="34" t="s">
        <v>79</v>
      </c>
      <c r="AE51" s="34" t="s">
        <v>79</v>
      </c>
    </row>
    <row r="52" ht="17" customHeight="1" spans="1:31">
      <c r="A52" s="34" t="s">
        <v>192</v>
      </c>
      <c r="B52" s="34" t="s">
        <v>102</v>
      </c>
      <c r="C52" s="34" t="s">
        <v>193</v>
      </c>
      <c r="D52" s="34" t="s">
        <v>194</v>
      </c>
      <c r="E52" s="34" t="s">
        <v>74</v>
      </c>
      <c r="F52" s="34" t="s">
        <v>26</v>
      </c>
      <c r="G52" s="34" t="str">
        <f>IF(OR(M52="挂起",M52="暂停",Q52="挂起",Q52="暂停",U52="挂起",U52="暂停",Y52="挂起",Y52="暂停"),"暂停","已完成")</f>
        <v>已完成</v>
      </c>
      <c r="H52" s="34" t="str">
        <f t="shared" si="1"/>
        <v>郑士旺</v>
      </c>
      <c r="I52" s="38">
        <f t="shared" si="2"/>
        <v>46230</v>
      </c>
      <c r="J52" s="38">
        <f t="shared" si="3"/>
        <v>46261</v>
      </c>
      <c r="K52" s="38">
        <v>46261</v>
      </c>
      <c r="L52" s="34" t="s">
        <v>75</v>
      </c>
      <c r="M52" s="34" t="s">
        <v>3</v>
      </c>
      <c r="N52" s="38">
        <v>46230</v>
      </c>
      <c r="O52" s="38">
        <v>46241</v>
      </c>
      <c r="P52" s="34" t="s">
        <v>76</v>
      </c>
      <c r="Q52" s="34" t="s">
        <v>3</v>
      </c>
      <c r="R52" s="38">
        <v>46307</v>
      </c>
      <c r="S52" s="38">
        <v>46339</v>
      </c>
      <c r="T52" s="34" t="s">
        <v>77</v>
      </c>
      <c r="U52" s="34" t="s">
        <v>3</v>
      </c>
      <c r="V52" s="38">
        <v>46307</v>
      </c>
      <c r="W52" s="38">
        <v>46339</v>
      </c>
      <c r="X52" s="34" t="s">
        <v>78</v>
      </c>
      <c r="Y52" s="34" t="s">
        <v>3</v>
      </c>
      <c r="Z52" s="38">
        <v>46342</v>
      </c>
      <c r="AA52" s="38">
        <v>46353</v>
      </c>
      <c r="AB52" s="75">
        <f t="shared" si="4"/>
        <v>1</v>
      </c>
      <c r="AC52" s="34" t="str">
        <f>IF(G52="已完成","正常",IF(OR(G52="暂停",G52="挂起"),"暂停",IF(J52="","日期缺失",IF(J52&lt;项目驾驶舱!$B$3,"已延期",IF(J52&lt;=项目驾驶舱!$B$3+7,"临近到期","正常")))))</f>
        <v>正常</v>
      </c>
      <c r="AD52" s="34" t="s">
        <v>79</v>
      </c>
      <c r="AE52" s="34" t="s">
        <v>79</v>
      </c>
    </row>
    <row r="53" ht="17" customHeight="1" spans="1:31">
      <c r="A53" s="34" t="s">
        <v>195</v>
      </c>
      <c r="B53" s="34" t="s">
        <v>102</v>
      </c>
      <c r="C53" s="34" t="s">
        <v>196</v>
      </c>
      <c r="D53" s="34" t="s">
        <v>197</v>
      </c>
      <c r="E53" s="34" t="s">
        <v>74</v>
      </c>
      <c r="F53" s="34" t="s">
        <v>25</v>
      </c>
      <c r="G53" s="34" t="str">
        <f>IF(OR(M53="挂起",M53="暂停",Q53="挂起",Q53="暂停",U53="挂起",U53="暂停",Y53="挂起",Y53="暂停"),"暂停","进行中")</f>
        <v>进行中</v>
      </c>
      <c r="H53" s="34" t="str">
        <f t="shared" si="1"/>
        <v>郑士旺</v>
      </c>
      <c r="I53" s="38">
        <f t="shared" si="2"/>
        <v>46202</v>
      </c>
      <c r="J53" s="38">
        <f t="shared" si="3"/>
        <v>46265</v>
      </c>
      <c r="K53" s="38" t="s">
        <v>74</v>
      </c>
      <c r="L53" s="34" t="s">
        <v>75</v>
      </c>
      <c r="M53" s="34" t="s">
        <v>3</v>
      </c>
      <c r="N53" s="38">
        <v>46202</v>
      </c>
      <c r="O53" s="38">
        <v>46206</v>
      </c>
      <c r="P53" s="34" t="s">
        <v>152</v>
      </c>
      <c r="Q53" s="34" t="s">
        <v>3</v>
      </c>
      <c r="R53" s="38">
        <v>46212</v>
      </c>
      <c r="S53" s="38">
        <v>46265</v>
      </c>
      <c r="T53" s="34" t="s">
        <v>77</v>
      </c>
      <c r="U53" s="34" t="s">
        <v>3</v>
      </c>
      <c r="V53" s="38">
        <v>46212</v>
      </c>
      <c r="W53" s="38">
        <v>46265</v>
      </c>
      <c r="X53" s="34" t="s">
        <v>78</v>
      </c>
      <c r="Y53" s="34" t="s">
        <v>4</v>
      </c>
      <c r="Z53" s="38">
        <v>46216</v>
      </c>
      <c r="AA53" s="38">
        <v>46234</v>
      </c>
      <c r="AB53" s="75">
        <f t="shared" si="4"/>
        <v>0.9</v>
      </c>
      <c r="AC53" s="34" t="str">
        <f>IF(G53="已完成","正常",IF(OR(G53="暂停",G53="挂起"),"暂停",IF(J53="","日期缺失",IF(J53&lt;项目驾驶舱!$B$3,"已延期",IF(J53&lt;=项目驾驶舱!$B$3+7,"临近到期","正常")))))</f>
        <v>已延期</v>
      </c>
      <c r="AD53" s="34" t="s">
        <v>79</v>
      </c>
      <c r="AE53" s="34" t="s">
        <v>79</v>
      </c>
    </row>
    <row r="54" ht="17" customHeight="1" spans="1:31">
      <c r="A54" s="34" t="s">
        <v>198</v>
      </c>
      <c r="B54" s="34" t="s">
        <v>102</v>
      </c>
      <c r="C54" s="34" t="s">
        <v>196</v>
      </c>
      <c r="D54" s="34" t="s">
        <v>199</v>
      </c>
      <c r="E54" s="34" t="s">
        <v>74</v>
      </c>
      <c r="F54" s="34" t="s">
        <v>25</v>
      </c>
      <c r="G54" s="34" t="str">
        <f>IF(OR(M54="挂起",M54="暂停",Q54="挂起",Q54="暂停",U54="挂起",U54="暂停",Y54="挂起",Y54="暂停"),"暂停","进行中")</f>
        <v>进行中</v>
      </c>
      <c r="H54" s="34" t="str">
        <f t="shared" si="1"/>
        <v>郑士旺</v>
      </c>
      <c r="I54" s="38">
        <f t="shared" si="2"/>
        <v>46202</v>
      </c>
      <c r="J54" s="38">
        <f t="shared" si="3"/>
        <v>46261</v>
      </c>
      <c r="K54" s="38">
        <v>46261</v>
      </c>
      <c r="L54" s="34" t="s">
        <v>75</v>
      </c>
      <c r="M54" s="34" t="s">
        <v>3</v>
      </c>
      <c r="N54" s="38">
        <v>46202</v>
      </c>
      <c r="O54" s="38">
        <v>46206</v>
      </c>
      <c r="P54" s="34" t="s">
        <v>152</v>
      </c>
      <c r="Q54" s="34" t="s">
        <v>3</v>
      </c>
      <c r="R54" s="38">
        <v>46212</v>
      </c>
      <c r="S54" s="38">
        <v>46265</v>
      </c>
      <c r="T54" s="34" t="s">
        <v>77</v>
      </c>
      <c r="U54" s="34" t="s">
        <v>3</v>
      </c>
      <c r="V54" s="38">
        <v>46212</v>
      </c>
      <c r="W54" s="38">
        <v>46265</v>
      </c>
      <c r="X54" s="34" t="s">
        <v>78</v>
      </c>
      <c r="Y54" s="34" t="s">
        <v>4</v>
      </c>
      <c r="Z54" s="38">
        <v>46216</v>
      </c>
      <c r="AA54" s="38">
        <v>46234</v>
      </c>
      <c r="AB54" s="75">
        <f t="shared" si="4"/>
        <v>0.9</v>
      </c>
      <c r="AC54" s="34" t="str">
        <f>IF(G54="已完成","正常",IF(OR(G54="暂停",G54="挂起"),"暂停",IF(J54="","日期缺失",IF(J54&lt;项目驾驶舱!$B$3,"已延期",IF(J54&lt;=项目驾驶舱!$B$3+7,"临近到期","正常")))))</f>
        <v>已延期</v>
      </c>
      <c r="AD54" s="34" t="s">
        <v>79</v>
      </c>
      <c r="AE54" s="34" t="s">
        <v>79</v>
      </c>
    </row>
    <row r="55" ht="17" customHeight="1" spans="1:31">
      <c r="A55" s="34" t="s">
        <v>200</v>
      </c>
      <c r="B55" s="34" t="s">
        <v>102</v>
      </c>
      <c r="C55" s="34" t="s">
        <v>196</v>
      </c>
      <c r="D55" s="34" t="s">
        <v>196</v>
      </c>
      <c r="E55" s="34" t="s">
        <v>74</v>
      </c>
      <c r="F55" s="34" t="s">
        <v>25</v>
      </c>
      <c r="G55" s="34" t="str">
        <f>IF(OR(M55="挂起",M55="暂停",Q55="挂起",Q55="暂停",U55="挂起",U55="暂停",Y55="挂起",Y55="暂停"),"暂停","进行中")</f>
        <v>进行中</v>
      </c>
      <c r="H55" s="34" t="str">
        <f t="shared" si="1"/>
        <v>郑士旺</v>
      </c>
      <c r="I55" s="38">
        <f t="shared" si="2"/>
        <v>46202</v>
      </c>
      <c r="J55" s="38">
        <f t="shared" si="3"/>
        <v>46261</v>
      </c>
      <c r="K55" s="38">
        <v>46261</v>
      </c>
      <c r="L55" s="34" t="s">
        <v>75</v>
      </c>
      <c r="M55" s="34" t="s">
        <v>3</v>
      </c>
      <c r="N55" s="38">
        <v>46202</v>
      </c>
      <c r="O55" s="38">
        <v>46206</v>
      </c>
      <c r="P55" s="34" t="s">
        <v>152</v>
      </c>
      <c r="Q55" s="34" t="s">
        <v>3</v>
      </c>
      <c r="R55" s="38">
        <v>46212</v>
      </c>
      <c r="S55" s="38">
        <v>46265</v>
      </c>
      <c r="T55" s="34" t="s">
        <v>77</v>
      </c>
      <c r="U55" s="34" t="s">
        <v>3</v>
      </c>
      <c r="V55" s="38">
        <v>46212</v>
      </c>
      <c r="W55" s="38">
        <v>46265</v>
      </c>
      <c r="X55" s="34" t="s">
        <v>78</v>
      </c>
      <c r="Y55" s="34" t="s">
        <v>4</v>
      </c>
      <c r="Z55" s="38">
        <v>46216</v>
      </c>
      <c r="AA55" s="38">
        <v>46234</v>
      </c>
      <c r="AB55" s="75">
        <f t="shared" si="4"/>
        <v>0.9</v>
      </c>
      <c r="AC55" s="34" t="str">
        <f>IF(G55="已完成","正常",IF(OR(G55="暂停",G55="挂起"),"暂停",IF(J55="","日期缺失",IF(J55&lt;项目驾驶舱!$B$3,"已延期",IF(J55&lt;=项目驾驶舱!$B$3+7,"临近到期","正常")))))</f>
        <v>已延期</v>
      </c>
      <c r="AD55" s="34" t="s">
        <v>79</v>
      </c>
      <c r="AE55" s="34" t="s">
        <v>79</v>
      </c>
    </row>
    <row r="56" ht="34" customHeight="1" spans="1:31">
      <c r="A56" s="34" t="s">
        <v>201</v>
      </c>
      <c r="B56" s="34" t="s">
        <v>102</v>
      </c>
      <c r="C56" s="34" t="s">
        <v>202</v>
      </c>
      <c r="D56" s="34" t="s">
        <v>203</v>
      </c>
      <c r="E56" s="34" t="s">
        <v>74</v>
      </c>
      <c r="F56" s="34" t="s">
        <v>26</v>
      </c>
      <c r="G56" s="34" t="str">
        <f>IF(OR(M56="挂起",M56="暂停",Q56="挂起",Q56="暂停",U56="挂起",U56="暂停",Y56="挂起",Y56="暂停"),"暂停","未开始")</f>
        <v>未开始</v>
      </c>
      <c r="H56" s="34" t="str">
        <f t="shared" si="1"/>
        <v>郑士旺</v>
      </c>
      <c r="I56" s="38">
        <f t="shared" si="2"/>
        <v>46223</v>
      </c>
      <c r="J56" s="38">
        <f t="shared" si="3"/>
        <v>46224</v>
      </c>
      <c r="K56" s="38">
        <v>46224</v>
      </c>
      <c r="L56" s="34" t="s">
        <v>75</v>
      </c>
      <c r="M56" s="34" t="s">
        <v>5</v>
      </c>
      <c r="N56" s="38">
        <v>46223</v>
      </c>
      <c r="O56" s="38">
        <v>46227</v>
      </c>
      <c r="P56" s="34" t="s">
        <v>76</v>
      </c>
      <c r="Q56" s="34" t="s">
        <v>5</v>
      </c>
      <c r="R56" s="38">
        <v>46272</v>
      </c>
      <c r="S56" s="38">
        <v>46304</v>
      </c>
      <c r="T56" s="34" t="s">
        <v>77</v>
      </c>
      <c r="U56" s="34" t="s">
        <v>5</v>
      </c>
      <c r="V56" s="38">
        <v>46272</v>
      </c>
      <c r="W56" s="38">
        <v>46304</v>
      </c>
      <c r="X56" s="34" t="s">
        <v>78</v>
      </c>
      <c r="Y56" s="34" t="s">
        <v>5</v>
      </c>
      <c r="Z56" s="38">
        <v>46307</v>
      </c>
      <c r="AA56" s="38">
        <v>46318</v>
      </c>
      <c r="AB56" s="75">
        <f t="shared" si="4"/>
        <v>0</v>
      </c>
      <c r="AC56" s="34" t="str">
        <f>IF(G56="已完成","正常",IF(OR(G56="暂停",G56="挂起"),"暂停",IF(J56="","日期缺失",IF(J56&lt;项目驾驶舱!$B$3,"已延期",IF(J56&lt;=项目驾驶舱!$B$3+7,"临近到期","正常")))))</f>
        <v>已延期</v>
      </c>
      <c r="AD56" s="34" t="s">
        <v>79</v>
      </c>
      <c r="AE56" s="34" t="s">
        <v>79</v>
      </c>
    </row>
    <row r="57" ht="34" customHeight="1" spans="1:31">
      <c r="A57" s="34" t="s">
        <v>204</v>
      </c>
      <c r="B57" s="34" t="s">
        <v>102</v>
      </c>
      <c r="C57" s="34" t="s">
        <v>202</v>
      </c>
      <c r="D57" s="34" t="s">
        <v>205</v>
      </c>
      <c r="E57" s="34" t="s">
        <v>74</v>
      </c>
      <c r="F57" s="34" t="s">
        <v>26</v>
      </c>
      <c r="G57" s="34" t="str">
        <f>IF(OR(M57="挂起",M57="暂停",Q57="挂起",Q57="暂停",U57="挂起",U57="暂停",Y57="挂起",Y57="暂停"),"暂停","未开始")</f>
        <v>未开始</v>
      </c>
      <c r="H57" s="34" t="str">
        <f t="shared" si="1"/>
        <v>郑士旺</v>
      </c>
      <c r="I57" s="38">
        <f t="shared" si="2"/>
        <v>46223</v>
      </c>
      <c r="J57" s="38">
        <f t="shared" si="3"/>
        <v>46224</v>
      </c>
      <c r="K57" s="38">
        <v>46224</v>
      </c>
      <c r="L57" s="34" t="s">
        <v>75</v>
      </c>
      <c r="M57" s="34" t="s">
        <v>5</v>
      </c>
      <c r="N57" s="38">
        <v>46223</v>
      </c>
      <c r="O57" s="38">
        <v>46227</v>
      </c>
      <c r="P57" s="34" t="s">
        <v>76</v>
      </c>
      <c r="Q57" s="34" t="s">
        <v>5</v>
      </c>
      <c r="R57" s="38">
        <v>46272</v>
      </c>
      <c r="S57" s="38">
        <v>46304</v>
      </c>
      <c r="T57" s="34" t="s">
        <v>77</v>
      </c>
      <c r="U57" s="34" t="s">
        <v>5</v>
      </c>
      <c r="V57" s="38">
        <v>46272</v>
      </c>
      <c r="W57" s="38">
        <v>46304</v>
      </c>
      <c r="X57" s="34" t="s">
        <v>78</v>
      </c>
      <c r="Y57" s="34" t="s">
        <v>5</v>
      </c>
      <c r="Z57" s="38">
        <v>46307</v>
      </c>
      <c r="AA57" s="38">
        <v>46318</v>
      </c>
      <c r="AB57" s="75">
        <f t="shared" si="4"/>
        <v>0</v>
      </c>
      <c r="AC57" s="34" t="str">
        <f>IF(G57="已完成","正常",IF(OR(G57="暂停",G57="挂起"),"暂停",IF(J57="","日期缺失",IF(J57&lt;项目驾驶舱!$B$3,"已延期",IF(J57&lt;=项目驾驶舱!$B$3+7,"临近到期","正常")))))</f>
        <v>已延期</v>
      </c>
      <c r="AD57" s="34" t="s">
        <v>79</v>
      </c>
      <c r="AE57" s="34" t="s">
        <v>79</v>
      </c>
    </row>
    <row r="58" ht="34" customHeight="1" spans="1:31">
      <c r="A58" s="34" t="s">
        <v>206</v>
      </c>
      <c r="B58" s="34" t="s">
        <v>102</v>
      </c>
      <c r="C58" s="34" t="s">
        <v>202</v>
      </c>
      <c r="D58" s="34" t="s">
        <v>207</v>
      </c>
      <c r="E58" s="34" t="s">
        <v>74</v>
      </c>
      <c r="F58" s="34" t="s">
        <v>26</v>
      </c>
      <c r="G58" s="34" t="str">
        <f>IF(OR(M58="挂起",M58="暂停",Q58="挂起",Q58="暂停",U58="挂起",U58="暂停",Y58="挂起",Y58="暂停"),"暂停","未开始")</f>
        <v>未开始</v>
      </c>
      <c r="H58" s="34" t="str">
        <f t="shared" si="1"/>
        <v>郑士旺</v>
      </c>
      <c r="I58" s="38">
        <f t="shared" si="2"/>
        <v>46223</v>
      </c>
      <c r="J58" s="38">
        <f t="shared" si="3"/>
        <v>46224</v>
      </c>
      <c r="K58" s="38">
        <v>46224</v>
      </c>
      <c r="L58" s="34" t="s">
        <v>75</v>
      </c>
      <c r="M58" s="34" t="s">
        <v>5</v>
      </c>
      <c r="N58" s="38">
        <v>46223</v>
      </c>
      <c r="O58" s="38">
        <v>46227</v>
      </c>
      <c r="P58" s="34" t="s">
        <v>76</v>
      </c>
      <c r="Q58" s="34" t="s">
        <v>5</v>
      </c>
      <c r="R58" s="38">
        <v>46272</v>
      </c>
      <c r="S58" s="38">
        <v>46304</v>
      </c>
      <c r="T58" s="34" t="s">
        <v>77</v>
      </c>
      <c r="U58" s="34" t="s">
        <v>5</v>
      </c>
      <c r="V58" s="38">
        <v>46272</v>
      </c>
      <c r="W58" s="38">
        <v>46304</v>
      </c>
      <c r="X58" s="34" t="s">
        <v>78</v>
      </c>
      <c r="Y58" s="34" t="s">
        <v>5</v>
      </c>
      <c r="Z58" s="38">
        <v>46307</v>
      </c>
      <c r="AA58" s="38">
        <v>46318</v>
      </c>
      <c r="AB58" s="75">
        <f t="shared" si="4"/>
        <v>0</v>
      </c>
      <c r="AC58" s="34" t="str">
        <f>IF(G58="已完成","正常",IF(OR(G58="暂停",G58="挂起"),"暂停",IF(J58="","日期缺失",IF(J58&lt;项目驾驶舱!$B$3,"已延期",IF(J58&lt;=项目驾驶舱!$B$3+7,"临近到期","正常")))))</f>
        <v>已延期</v>
      </c>
      <c r="AD58" s="34" t="s">
        <v>79</v>
      </c>
      <c r="AE58" s="34" t="s">
        <v>79</v>
      </c>
    </row>
    <row r="59" ht="17" customHeight="1" spans="1:31">
      <c r="A59" s="34" t="s">
        <v>208</v>
      </c>
      <c r="B59" s="34" t="s">
        <v>102</v>
      </c>
      <c r="C59" s="34" t="s">
        <v>202</v>
      </c>
      <c r="D59" s="34" t="s">
        <v>209</v>
      </c>
      <c r="E59" s="34" t="s">
        <v>74</v>
      </c>
      <c r="F59" s="34" t="s">
        <v>26</v>
      </c>
      <c r="G59" s="34" t="str">
        <f>IF(OR(M59="挂起",M59="暂停",Q59="挂起",Q59="暂停",U59="挂起",U59="暂停",Y59="挂起",Y59="暂停"),"暂停","未开始")</f>
        <v>未开始</v>
      </c>
      <c r="H59" s="34" t="str">
        <f t="shared" si="1"/>
        <v>郑士旺</v>
      </c>
      <c r="I59" s="38">
        <f t="shared" si="2"/>
        <v>46223</v>
      </c>
      <c r="J59" s="38">
        <f t="shared" si="3"/>
        <v>46318</v>
      </c>
      <c r="K59" s="38"/>
      <c r="L59" s="34" t="s">
        <v>75</v>
      </c>
      <c r="M59" s="34" t="s">
        <v>5</v>
      </c>
      <c r="N59" s="38">
        <v>46223</v>
      </c>
      <c r="O59" s="38">
        <v>46227</v>
      </c>
      <c r="P59" s="34" t="s">
        <v>76</v>
      </c>
      <c r="Q59" s="34" t="s">
        <v>5</v>
      </c>
      <c r="R59" s="38">
        <v>46272</v>
      </c>
      <c r="S59" s="38">
        <v>46304</v>
      </c>
      <c r="T59" s="34" t="s">
        <v>77</v>
      </c>
      <c r="U59" s="34" t="s">
        <v>5</v>
      </c>
      <c r="V59" s="38">
        <v>46272</v>
      </c>
      <c r="W59" s="38">
        <v>46304</v>
      </c>
      <c r="X59" s="34" t="s">
        <v>78</v>
      </c>
      <c r="Y59" s="34" t="s">
        <v>5</v>
      </c>
      <c r="Z59" s="38">
        <v>46307</v>
      </c>
      <c r="AA59" s="38">
        <v>46318</v>
      </c>
      <c r="AB59" s="75">
        <f t="shared" si="4"/>
        <v>0</v>
      </c>
      <c r="AC59" s="34" t="str">
        <f>IF(G59="已完成","正常",IF(OR(G59="暂停",G59="挂起"),"暂停",IF(J59="","日期缺失",IF(J59&lt;项目驾驶舱!$B$3,"已延期",IF(J59&lt;=项目驾驶舱!$B$3+7,"临近到期","正常")))))</f>
        <v>正常</v>
      </c>
      <c r="AD59" s="34" t="s">
        <v>79</v>
      </c>
      <c r="AE59" s="34" t="s">
        <v>79</v>
      </c>
    </row>
    <row r="60" ht="17" customHeight="1" spans="1:31">
      <c r="A60" s="34" t="s">
        <v>210</v>
      </c>
      <c r="B60" s="34" t="s">
        <v>102</v>
      </c>
      <c r="C60" s="34" t="s">
        <v>202</v>
      </c>
      <c r="D60" s="34" t="s">
        <v>211</v>
      </c>
      <c r="E60" s="34" t="s">
        <v>74</v>
      </c>
      <c r="F60" s="34" t="s">
        <v>26</v>
      </c>
      <c r="G60" s="34" t="str">
        <f>IF(OR(M60="挂起",M60="暂停",Q60="挂起",Q60="暂停",U60="挂起",U60="暂停",Y60="挂起",Y60="暂停"),"暂停","未开始")</f>
        <v>未开始</v>
      </c>
      <c r="H60" s="34" t="str">
        <f t="shared" si="1"/>
        <v>郑士旺</v>
      </c>
      <c r="I60" s="38">
        <f t="shared" si="2"/>
        <v>46223</v>
      </c>
      <c r="J60" s="38">
        <f t="shared" si="3"/>
        <v>46224</v>
      </c>
      <c r="K60" s="38">
        <v>46224</v>
      </c>
      <c r="L60" s="34" t="s">
        <v>75</v>
      </c>
      <c r="M60" s="34" t="s">
        <v>5</v>
      </c>
      <c r="N60" s="38">
        <v>46223</v>
      </c>
      <c r="O60" s="38">
        <v>46227</v>
      </c>
      <c r="P60" s="34" t="s">
        <v>76</v>
      </c>
      <c r="Q60" s="34" t="s">
        <v>5</v>
      </c>
      <c r="R60" s="38">
        <v>46272</v>
      </c>
      <c r="S60" s="38">
        <v>46304</v>
      </c>
      <c r="T60" s="34" t="s">
        <v>77</v>
      </c>
      <c r="U60" s="34" t="s">
        <v>5</v>
      </c>
      <c r="V60" s="38">
        <v>46272</v>
      </c>
      <c r="W60" s="38">
        <v>46304</v>
      </c>
      <c r="X60" s="34" t="s">
        <v>78</v>
      </c>
      <c r="Y60" s="34" t="s">
        <v>5</v>
      </c>
      <c r="Z60" s="38">
        <v>46307</v>
      </c>
      <c r="AA60" s="38">
        <v>46318</v>
      </c>
      <c r="AB60" s="75">
        <f t="shared" si="4"/>
        <v>0</v>
      </c>
      <c r="AC60" s="34" t="str">
        <f>IF(G60="已完成","正常",IF(OR(G60="暂停",G60="挂起"),"暂停",IF(J60="","日期缺失",IF(J60&lt;项目驾驶舱!$B$3,"已延期",IF(J60&lt;=项目驾驶舱!$B$3+7,"临近到期","正常")))))</f>
        <v>已延期</v>
      </c>
      <c r="AD60" s="34" t="s">
        <v>79</v>
      </c>
      <c r="AE60" s="34" t="s">
        <v>79</v>
      </c>
    </row>
    <row r="61" ht="17" customHeight="1" spans="1:31">
      <c r="A61" s="34" t="s">
        <v>212</v>
      </c>
      <c r="B61" s="34" t="s">
        <v>102</v>
      </c>
      <c r="C61" s="34" t="s">
        <v>213</v>
      </c>
      <c r="D61" s="34" t="s">
        <v>214</v>
      </c>
      <c r="E61" s="34" t="s">
        <v>74</v>
      </c>
      <c r="F61" s="34" t="s">
        <v>25</v>
      </c>
      <c r="G61" s="34" t="str">
        <f t="shared" ref="G61:G80" si="6">IF(OR(M61="挂起",M61="暂停",Q61="挂起",Q61="暂停",U61="挂起",U61="暂停",Y61="挂起",Y61="暂停"),"暂停","已完成")</f>
        <v>已完成</v>
      </c>
      <c r="H61" s="34" t="str">
        <f t="shared" si="1"/>
        <v>郑士旺</v>
      </c>
      <c r="I61" s="38">
        <f t="shared" si="2"/>
        <v>46195</v>
      </c>
      <c r="J61" s="38">
        <f t="shared" si="3"/>
        <v>46224</v>
      </c>
      <c r="K61" s="38">
        <v>46224</v>
      </c>
      <c r="L61" s="34" t="s">
        <v>75</v>
      </c>
      <c r="M61" s="34" t="s">
        <v>3</v>
      </c>
      <c r="N61" s="38" t="s">
        <v>74</v>
      </c>
      <c r="O61" s="38" t="s">
        <v>74</v>
      </c>
      <c r="P61" s="34" t="s">
        <v>76</v>
      </c>
      <c r="Q61" s="34" t="s">
        <v>3</v>
      </c>
      <c r="R61" s="38">
        <v>46195</v>
      </c>
      <c r="S61" s="38">
        <v>46206</v>
      </c>
      <c r="T61" s="34" t="s">
        <v>77</v>
      </c>
      <c r="U61" s="34" t="s">
        <v>3</v>
      </c>
      <c r="V61" s="38">
        <v>46195</v>
      </c>
      <c r="W61" s="38">
        <v>46206</v>
      </c>
      <c r="X61" s="34" t="s">
        <v>78</v>
      </c>
      <c r="Y61" s="34" t="s">
        <v>3</v>
      </c>
      <c r="Z61" s="38">
        <v>46202</v>
      </c>
      <c r="AA61" s="38">
        <v>46213</v>
      </c>
      <c r="AB61" s="75">
        <f t="shared" si="4"/>
        <v>1</v>
      </c>
      <c r="AC61" s="34" t="str">
        <f>IF(G61="已完成","正常",IF(OR(G61="暂停",G61="挂起"),"暂停",IF(J61="","日期缺失",IF(J61&lt;项目驾驶舱!$B$3,"已延期",IF(J61&lt;=项目驾驶舱!$B$3+7,"临近到期","正常")))))</f>
        <v>正常</v>
      </c>
      <c r="AD61" s="34" t="s">
        <v>79</v>
      </c>
      <c r="AE61" s="34" t="s">
        <v>79</v>
      </c>
    </row>
    <row r="62" ht="17" customHeight="1" spans="1:31">
      <c r="A62" s="34" t="s">
        <v>215</v>
      </c>
      <c r="B62" s="34" t="s">
        <v>102</v>
      </c>
      <c r="C62" s="34" t="s">
        <v>216</v>
      </c>
      <c r="D62" s="34" t="s">
        <v>217</v>
      </c>
      <c r="E62" s="34" t="s">
        <v>74</v>
      </c>
      <c r="F62" s="34" t="s">
        <v>25</v>
      </c>
      <c r="G62" s="34" t="str">
        <f t="shared" si="6"/>
        <v>已完成</v>
      </c>
      <c r="H62" s="34" t="str">
        <f t="shared" si="1"/>
        <v>郑士旺</v>
      </c>
      <c r="I62" s="38">
        <f t="shared" si="2"/>
        <v>46230</v>
      </c>
      <c r="J62" s="38">
        <f t="shared" si="3"/>
        <v>46318</v>
      </c>
      <c r="K62" s="38" t="s">
        <v>74</v>
      </c>
      <c r="L62" s="34" t="s">
        <v>75</v>
      </c>
      <c r="M62" s="34" t="s">
        <v>3</v>
      </c>
      <c r="N62" s="38">
        <v>46230</v>
      </c>
      <c r="O62" s="38">
        <v>46241</v>
      </c>
      <c r="P62" s="34" t="s">
        <v>76</v>
      </c>
      <c r="Q62" s="34" t="s">
        <v>3</v>
      </c>
      <c r="R62" s="38">
        <v>46230</v>
      </c>
      <c r="S62" s="38">
        <v>46241</v>
      </c>
      <c r="T62" s="34" t="s">
        <v>77</v>
      </c>
      <c r="U62" s="34" t="s">
        <v>3</v>
      </c>
      <c r="V62" s="38">
        <v>46230</v>
      </c>
      <c r="W62" s="38">
        <v>46241</v>
      </c>
      <c r="X62" s="34" t="s">
        <v>78</v>
      </c>
      <c r="Y62" s="34" t="s">
        <v>3</v>
      </c>
      <c r="Z62" s="38">
        <v>46307</v>
      </c>
      <c r="AA62" s="38">
        <v>46318</v>
      </c>
      <c r="AB62" s="75">
        <f t="shared" si="4"/>
        <v>1</v>
      </c>
      <c r="AC62" s="34" t="str">
        <f>IF(G62="已完成","正常",IF(OR(G62="暂停",G62="挂起"),"暂停",IF(J62="","日期缺失",IF(J62&lt;项目驾驶舱!$B$3,"已延期",IF(J62&lt;=项目驾驶舱!$B$3+7,"临近到期","正常")))))</f>
        <v>正常</v>
      </c>
      <c r="AD62" s="34" t="s">
        <v>79</v>
      </c>
      <c r="AE62" s="34" t="s">
        <v>79</v>
      </c>
    </row>
    <row r="63" ht="17" customHeight="1" spans="1:31">
      <c r="A63" s="34" t="s">
        <v>218</v>
      </c>
      <c r="B63" s="34" t="s">
        <v>102</v>
      </c>
      <c r="C63" s="34" t="s">
        <v>219</v>
      </c>
      <c r="D63" s="34" t="s">
        <v>220</v>
      </c>
      <c r="E63" s="34" t="s">
        <v>74</v>
      </c>
      <c r="F63" s="34" t="s">
        <v>25</v>
      </c>
      <c r="G63" s="34" t="str">
        <f t="shared" si="6"/>
        <v>已完成</v>
      </c>
      <c r="H63" s="34" t="str">
        <f t="shared" si="1"/>
        <v>郑士旺</v>
      </c>
      <c r="I63" s="38">
        <f t="shared" si="2"/>
        <v>46202</v>
      </c>
      <c r="J63" s="38">
        <f t="shared" si="3"/>
        <v>46261</v>
      </c>
      <c r="K63" s="38">
        <v>46261</v>
      </c>
      <c r="L63" s="34" t="s">
        <v>75</v>
      </c>
      <c r="M63" s="34" t="s">
        <v>3</v>
      </c>
      <c r="N63" s="38">
        <v>46202</v>
      </c>
      <c r="O63" s="38">
        <v>46206</v>
      </c>
      <c r="P63" s="34" t="s">
        <v>76</v>
      </c>
      <c r="Q63" s="34" t="s">
        <v>3</v>
      </c>
      <c r="R63" s="38">
        <v>46209</v>
      </c>
      <c r="S63" s="38">
        <v>46227</v>
      </c>
      <c r="T63" s="34" t="s">
        <v>77</v>
      </c>
      <c r="U63" s="34" t="s">
        <v>3</v>
      </c>
      <c r="V63" s="38">
        <v>46209</v>
      </c>
      <c r="W63" s="38">
        <v>46227</v>
      </c>
      <c r="X63" s="34" t="s">
        <v>78</v>
      </c>
      <c r="Y63" s="34" t="s">
        <v>3</v>
      </c>
      <c r="Z63" s="38">
        <v>46216</v>
      </c>
      <c r="AA63" s="38">
        <v>46234</v>
      </c>
      <c r="AB63" s="75">
        <f t="shared" si="4"/>
        <v>1</v>
      </c>
      <c r="AC63" s="34" t="str">
        <f>IF(G63="已完成","正常",IF(OR(G63="暂停",G63="挂起"),"暂停",IF(J63="","日期缺失",IF(J63&lt;项目驾驶舱!$B$3,"已延期",IF(J63&lt;=项目驾驶舱!$B$3+7,"临近到期","正常")))))</f>
        <v>正常</v>
      </c>
      <c r="AD63" s="34" t="s">
        <v>79</v>
      </c>
      <c r="AE63" s="34" t="s">
        <v>79</v>
      </c>
    </row>
    <row r="64" ht="17" customHeight="1" spans="1:31">
      <c r="A64" s="34" t="s">
        <v>221</v>
      </c>
      <c r="B64" s="34" t="s">
        <v>102</v>
      </c>
      <c r="C64" s="34" t="s">
        <v>219</v>
      </c>
      <c r="D64" s="34" t="s">
        <v>222</v>
      </c>
      <c r="E64" s="34" t="s">
        <v>74</v>
      </c>
      <c r="F64" s="34" t="s">
        <v>25</v>
      </c>
      <c r="G64" s="34" t="str">
        <f t="shared" si="6"/>
        <v>已完成</v>
      </c>
      <c r="H64" s="34" t="str">
        <f t="shared" si="1"/>
        <v>郑士旺</v>
      </c>
      <c r="I64" s="38">
        <f t="shared" si="2"/>
        <v>46202</v>
      </c>
      <c r="J64" s="38">
        <f t="shared" si="3"/>
        <v>46261</v>
      </c>
      <c r="K64" s="38">
        <v>46261</v>
      </c>
      <c r="L64" s="34" t="s">
        <v>75</v>
      </c>
      <c r="M64" s="34" t="s">
        <v>3</v>
      </c>
      <c r="N64" s="38">
        <v>46202</v>
      </c>
      <c r="O64" s="38">
        <v>46206</v>
      </c>
      <c r="P64" s="34" t="s">
        <v>76</v>
      </c>
      <c r="Q64" s="34" t="s">
        <v>3</v>
      </c>
      <c r="R64" s="38">
        <v>46209</v>
      </c>
      <c r="S64" s="38">
        <v>46227</v>
      </c>
      <c r="T64" s="34" t="s">
        <v>77</v>
      </c>
      <c r="U64" s="34" t="s">
        <v>3</v>
      </c>
      <c r="V64" s="38">
        <v>46209</v>
      </c>
      <c r="W64" s="38">
        <v>46227</v>
      </c>
      <c r="X64" s="34" t="s">
        <v>78</v>
      </c>
      <c r="Y64" s="34" t="s">
        <v>3</v>
      </c>
      <c r="Z64" s="38">
        <v>46216</v>
      </c>
      <c r="AA64" s="38">
        <v>46234</v>
      </c>
      <c r="AB64" s="75">
        <f t="shared" si="4"/>
        <v>1</v>
      </c>
      <c r="AC64" s="34" t="str">
        <f>IF(G64="已完成","正常",IF(OR(G64="暂停",G64="挂起"),"暂停",IF(J64="","日期缺失",IF(J64&lt;项目驾驶舱!$B$3,"已延期",IF(J64&lt;=项目驾驶舱!$B$3+7,"临近到期","正常")))))</f>
        <v>正常</v>
      </c>
      <c r="AD64" s="34" t="s">
        <v>79</v>
      </c>
      <c r="AE64" s="34" t="s">
        <v>79</v>
      </c>
    </row>
    <row r="65" ht="17" customHeight="1" spans="1:31">
      <c r="A65" s="34" t="s">
        <v>223</v>
      </c>
      <c r="B65" s="34" t="s">
        <v>102</v>
      </c>
      <c r="C65" s="34" t="s">
        <v>219</v>
      </c>
      <c r="D65" s="34" t="s">
        <v>224</v>
      </c>
      <c r="E65" s="34" t="s">
        <v>74</v>
      </c>
      <c r="F65" s="34" t="s">
        <v>25</v>
      </c>
      <c r="G65" s="34" t="str">
        <f t="shared" si="6"/>
        <v>已完成</v>
      </c>
      <c r="H65" s="34" t="str">
        <f t="shared" si="1"/>
        <v>郑士旺</v>
      </c>
      <c r="I65" s="38">
        <f t="shared" si="2"/>
        <v>46202</v>
      </c>
      <c r="J65" s="38">
        <f t="shared" si="3"/>
        <v>46261</v>
      </c>
      <c r="K65" s="38">
        <v>46261</v>
      </c>
      <c r="L65" s="34" t="s">
        <v>75</v>
      </c>
      <c r="M65" s="34" t="s">
        <v>3</v>
      </c>
      <c r="N65" s="38">
        <v>46202</v>
      </c>
      <c r="O65" s="38">
        <v>46206</v>
      </c>
      <c r="P65" s="34" t="s">
        <v>76</v>
      </c>
      <c r="Q65" s="34" t="s">
        <v>3</v>
      </c>
      <c r="R65" s="38">
        <v>46209</v>
      </c>
      <c r="S65" s="38">
        <v>46227</v>
      </c>
      <c r="T65" s="34" t="s">
        <v>77</v>
      </c>
      <c r="U65" s="34" t="s">
        <v>3</v>
      </c>
      <c r="V65" s="38">
        <v>46209</v>
      </c>
      <c r="W65" s="38">
        <v>46227</v>
      </c>
      <c r="X65" s="34" t="s">
        <v>78</v>
      </c>
      <c r="Y65" s="34" t="s">
        <v>3</v>
      </c>
      <c r="Z65" s="38">
        <v>46216</v>
      </c>
      <c r="AA65" s="38">
        <v>46234</v>
      </c>
      <c r="AB65" s="75">
        <f t="shared" si="4"/>
        <v>1</v>
      </c>
      <c r="AC65" s="34" t="str">
        <f>IF(G65="已完成","正常",IF(OR(G65="暂停",G65="挂起"),"暂停",IF(J65="","日期缺失",IF(J65&lt;项目驾驶舱!$B$3,"已延期",IF(J65&lt;=项目驾驶舱!$B$3+7,"临近到期","正常")))))</f>
        <v>正常</v>
      </c>
      <c r="AD65" s="34" t="s">
        <v>79</v>
      </c>
      <c r="AE65" s="34" t="s">
        <v>79</v>
      </c>
    </row>
    <row r="66" ht="17" customHeight="1" spans="1:31">
      <c r="A66" s="34" t="s">
        <v>225</v>
      </c>
      <c r="B66" s="34" t="s">
        <v>102</v>
      </c>
      <c r="C66" s="34" t="s">
        <v>226</v>
      </c>
      <c r="D66" s="34" t="s">
        <v>227</v>
      </c>
      <c r="E66" s="34" t="s">
        <v>74</v>
      </c>
      <c r="F66" s="34" t="s">
        <v>25</v>
      </c>
      <c r="G66" s="34" t="str">
        <f t="shared" si="6"/>
        <v>已完成</v>
      </c>
      <c r="H66" s="34" t="str">
        <f t="shared" si="1"/>
        <v>郑士旺</v>
      </c>
      <c r="I66" s="38">
        <f t="shared" si="2"/>
        <v>46202</v>
      </c>
      <c r="J66" s="38">
        <f t="shared" si="3"/>
        <v>46261</v>
      </c>
      <c r="K66" s="38">
        <v>46261</v>
      </c>
      <c r="L66" s="34" t="s">
        <v>75</v>
      </c>
      <c r="M66" s="34" t="s">
        <v>3</v>
      </c>
      <c r="N66" s="38">
        <v>46202</v>
      </c>
      <c r="O66" s="38">
        <v>46206</v>
      </c>
      <c r="P66" s="34" t="s">
        <v>76</v>
      </c>
      <c r="Q66" s="34" t="s">
        <v>3</v>
      </c>
      <c r="R66" s="38">
        <v>46209</v>
      </c>
      <c r="S66" s="38">
        <v>46227</v>
      </c>
      <c r="T66" s="34" t="s">
        <v>77</v>
      </c>
      <c r="U66" s="34" t="s">
        <v>3</v>
      </c>
      <c r="V66" s="38">
        <v>46209</v>
      </c>
      <c r="W66" s="38">
        <v>46227</v>
      </c>
      <c r="X66" s="34" t="s">
        <v>78</v>
      </c>
      <c r="Y66" s="34" t="s">
        <v>3</v>
      </c>
      <c r="Z66" s="38">
        <v>46216</v>
      </c>
      <c r="AA66" s="38">
        <v>46234</v>
      </c>
      <c r="AB66" s="75">
        <f t="shared" si="4"/>
        <v>1</v>
      </c>
      <c r="AC66" s="34" t="str">
        <f>IF(G66="已完成","正常",IF(OR(G66="暂停",G66="挂起"),"暂停",IF(J66="","日期缺失",IF(J66&lt;项目驾驶舱!$B$3,"已延期",IF(J66&lt;=项目驾驶舱!$B$3+7,"临近到期","正常")))))</f>
        <v>正常</v>
      </c>
      <c r="AD66" s="34" t="s">
        <v>79</v>
      </c>
      <c r="AE66" s="34" t="s">
        <v>79</v>
      </c>
    </row>
    <row r="67" ht="17" customHeight="1" spans="1:31">
      <c r="A67" s="34" t="s">
        <v>228</v>
      </c>
      <c r="B67" s="34" t="s">
        <v>102</v>
      </c>
      <c r="C67" s="34" t="s">
        <v>226</v>
      </c>
      <c r="D67" s="34" t="s">
        <v>227</v>
      </c>
      <c r="E67" s="34" t="s">
        <v>74</v>
      </c>
      <c r="F67" s="34" t="s">
        <v>25</v>
      </c>
      <c r="G67" s="34" t="str">
        <f t="shared" si="6"/>
        <v>已完成</v>
      </c>
      <c r="H67" s="34" t="str">
        <f t="shared" si="1"/>
        <v>郑士旺</v>
      </c>
      <c r="I67" s="38">
        <f t="shared" si="2"/>
        <v>46202</v>
      </c>
      <c r="J67" s="38">
        <f t="shared" si="3"/>
        <v>46261</v>
      </c>
      <c r="K67" s="38">
        <v>46261</v>
      </c>
      <c r="L67" s="34" t="s">
        <v>75</v>
      </c>
      <c r="M67" s="34" t="s">
        <v>3</v>
      </c>
      <c r="N67" s="38">
        <v>46202</v>
      </c>
      <c r="O67" s="38">
        <v>46206</v>
      </c>
      <c r="P67" s="34" t="s">
        <v>76</v>
      </c>
      <c r="Q67" s="34" t="s">
        <v>3</v>
      </c>
      <c r="R67" s="38">
        <v>46209</v>
      </c>
      <c r="S67" s="38">
        <v>46227</v>
      </c>
      <c r="T67" s="34" t="s">
        <v>77</v>
      </c>
      <c r="U67" s="34" t="s">
        <v>3</v>
      </c>
      <c r="V67" s="38">
        <v>46209</v>
      </c>
      <c r="W67" s="38">
        <v>46227</v>
      </c>
      <c r="X67" s="34" t="s">
        <v>78</v>
      </c>
      <c r="Y67" s="34" t="s">
        <v>3</v>
      </c>
      <c r="Z67" s="38">
        <v>46216</v>
      </c>
      <c r="AA67" s="38">
        <v>46234</v>
      </c>
      <c r="AB67" s="75">
        <f t="shared" si="4"/>
        <v>1</v>
      </c>
      <c r="AC67" s="34" t="str">
        <f>IF(G67="已完成","正常",IF(OR(G67="暂停",G67="挂起"),"暂停",IF(J67="","日期缺失",IF(J67&lt;项目驾驶舱!$B$3,"已延期",IF(J67&lt;=项目驾驶舱!$B$3+7,"临近到期","正常")))))</f>
        <v>正常</v>
      </c>
      <c r="AD67" s="34" t="s">
        <v>79</v>
      </c>
      <c r="AE67" s="34" t="s">
        <v>79</v>
      </c>
    </row>
    <row r="68" ht="17" customHeight="1" spans="1:31">
      <c r="A68" s="34" t="s">
        <v>229</v>
      </c>
      <c r="B68" s="34" t="s">
        <v>102</v>
      </c>
      <c r="C68" s="34" t="s">
        <v>226</v>
      </c>
      <c r="D68" s="34" t="s">
        <v>230</v>
      </c>
      <c r="E68" s="34" t="s">
        <v>74</v>
      </c>
      <c r="F68" s="34" t="s">
        <v>25</v>
      </c>
      <c r="G68" s="34" t="str">
        <f t="shared" si="6"/>
        <v>已完成</v>
      </c>
      <c r="H68" s="34" t="str">
        <f t="shared" ref="H68:H131" si="7">IF(L68&lt;&gt;"",L68,IF(P68&lt;&gt;"",P68,IF(T68&lt;&gt;"",T68,X68)))</f>
        <v>郑士旺</v>
      </c>
      <c r="I68" s="38">
        <f t="shared" ref="I68:I131" si="8">IF(COUNT(N68,R68,V68,Z68)=0,"",MIN(N68,R68,V68,Z68))</f>
        <v>46202</v>
      </c>
      <c r="J68" s="38">
        <f t="shared" ref="J68:J131" si="9">IF(ISNUMBER(K68),K68,IF(COUNT(O68,S68,W68,AA68)=0,"",MAX(O68,S68,W68,AA68)))</f>
        <v>46261</v>
      </c>
      <c r="K68" s="38">
        <v>46261</v>
      </c>
      <c r="L68" s="34" t="s">
        <v>75</v>
      </c>
      <c r="M68" s="34" t="s">
        <v>3</v>
      </c>
      <c r="N68" s="38">
        <v>46202</v>
      </c>
      <c r="O68" s="38">
        <v>46206</v>
      </c>
      <c r="P68" s="34" t="s">
        <v>76</v>
      </c>
      <c r="Q68" s="34" t="s">
        <v>3</v>
      </c>
      <c r="R68" s="38">
        <v>46209</v>
      </c>
      <c r="S68" s="38">
        <v>46227</v>
      </c>
      <c r="T68" s="34" t="s">
        <v>77</v>
      </c>
      <c r="U68" s="34" t="s">
        <v>3</v>
      </c>
      <c r="V68" s="38">
        <v>46209</v>
      </c>
      <c r="W68" s="38">
        <v>46227</v>
      </c>
      <c r="X68" s="34" t="s">
        <v>78</v>
      </c>
      <c r="Y68" s="34" t="s">
        <v>3</v>
      </c>
      <c r="Z68" s="38">
        <v>46216</v>
      </c>
      <c r="AA68" s="38">
        <v>46234</v>
      </c>
      <c r="AB68" s="75">
        <f t="shared" ref="AB68:AB131" si="10">(IF(M68="已完成",1,IF(M68="进行中",0.5,0))*15%+IF(Q68="已完成",1,IF(Q68="进行中",0.5,0))*35%+IF(U68="已完成",1,IF(U68="进行中",0.5,0))*30%+IF(Y68="已完成",1,IF(Y68="进行中",0.5,0))*20%)</f>
        <v>1</v>
      </c>
      <c r="AC68" s="34" t="str">
        <f>IF(G68="已完成","正常",IF(OR(G68="暂停",G68="挂起"),"暂停",IF(J68="","日期缺失",IF(J68&lt;项目驾驶舱!$B$3,"已延期",IF(J68&lt;=项目驾驶舱!$B$3+7,"临近到期","正常")))))</f>
        <v>正常</v>
      </c>
      <c r="AD68" s="34" t="s">
        <v>79</v>
      </c>
      <c r="AE68" s="34" t="s">
        <v>79</v>
      </c>
    </row>
    <row r="69" ht="17" customHeight="1" spans="1:31">
      <c r="A69" s="34" t="s">
        <v>231</v>
      </c>
      <c r="B69" s="34" t="s">
        <v>102</v>
      </c>
      <c r="C69" s="34" t="s">
        <v>226</v>
      </c>
      <c r="D69" s="34" t="s">
        <v>230</v>
      </c>
      <c r="E69" s="34" t="s">
        <v>74</v>
      </c>
      <c r="F69" s="34" t="s">
        <v>25</v>
      </c>
      <c r="G69" s="34" t="str">
        <f t="shared" si="6"/>
        <v>已完成</v>
      </c>
      <c r="H69" s="34" t="str">
        <f t="shared" si="7"/>
        <v>郑士旺</v>
      </c>
      <c r="I69" s="38">
        <f t="shared" si="8"/>
        <v>46202</v>
      </c>
      <c r="J69" s="38">
        <f t="shared" si="9"/>
        <v>46261</v>
      </c>
      <c r="K69" s="38">
        <v>46261</v>
      </c>
      <c r="L69" s="34" t="s">
        <v>75</v>
      </c>
      <c r="M69" s="34" t="s">
        <v>3</v>
      </c>
      <c r="N69" s="38">
        <v>46202</v>
      </c>
      <c r="O69" s="38">
        <v>46206</v>
      </c>
      <c r="P69" s="34" t="s">
        <v>76</v>
      </c>
      <c r="Q69" s="34" t="s">
        <v>3</v>
      </c>
      <c r="R69" s="38">
        <v>46209</v>
      </c>
      <c r="S69" s="38">
        <v>46227</v>
      </c>
      <c r="T69" s="34" t="s">
        <v>77</v>
      </c>
      <c r="U69" s="34" t="s">
        <v>3</v>
      </c>
      <c r="V69" s="38">
        <v>46209</v>
      </c>
      <c r="W69" s="38">
        <v>46227</v>
      </c>
      <c r="X69" s="34" t="s">
        <v>78</v>
      </c>
      <c r="Y69" s="34" t="s">
        <v>3</v>
      </c>
      <c r="Z69" s="38">
        <v>46216</v>
      </c>
      <c r="AA69" s="38">
        <v>46234</v>
      </c>
      <c r="AB69" s="75">
        <f t="shared" si="10"/>
        <v>1</v>
      </c>
      <c r="AC69" s="34" t="str">
        <f>IF(G69="已完成","正常",IF(OR(G69="暂停",G69="挂起"),"暂停",IF(J69="","日期缺失",IF(J69&lt;项目驾驶舱!$B$3,"已延期",IF(J69&lt;=项目驾驶舱!$B$3+7,"临近到期","正常")))))</f>
        <v>正常</v>
      </c>
      <c r="AD69" s="34" t="s">
        <v>79</v>
      </c>
      <c r="AE69" s="34" t="s">
        <v>79</v>
      </c>
    </row>
    <row r="70" ht="17" customHeight="1" spans="1:31">
      <c r="A70" s="34" t="s">
        <v>232</v>
      </c>
      <c r="B70" s="34" t="s">
        <v>102</v>
      </c>
      <c r="C70" s="34" t="s">
        <v>226</v>
      </c>
      <c r="D70" s="34" t="s">
        <v>230</v>
      </c>
      <c r="E70" s="34" t="s">
        <v>74</v>
      </c>
      <c r="F70" s="34" t="s">
        <v>25</v>
      </c>
      <c r="G70" s="34" t="str">
        <f t="shared" si="6"/>
        <v>已完成</v>
      </c>
      <c r="H70" s="34" t="str">
        <f t="shared" si="7"/>
        <v>郑士旺</v>
      </c>
      <c r="I70" s="38">
        <f t="shared" si="8"/>
        <v>46202</v>
      </c>
      <c r="J70" s="38">
        <f t="shared" si="9"/>
        <v>46261</v>
      </c>
      <c r="K70" s="38">
        <v>46261</v>
      </c>
      <c r="L70" s="34" t="s">
        <v>75</v>
      </c>
      <c r="M70" s="34" t="s">
        <v>3</v>
      </c>
      <c r="N70" s="38">
        <v>46202</v>
      </c>
      <c r="O70" s="38">
        <v>46206</v>
      </c>
      <c r="P70" s="34" t="s">
        <v>76</v>
      </c>
      <c r="Q70" s="34" t="s">
        <v>3</v>
      </c>
      <c r="R70" s="38">
        <v>46209</v>
      </c>
      <c r="S70" s="38">
        <v>46227</v>
      </c>
      <c r="T70" s="34" t="s">
        <v>77</v>
      </c>
      <c r="U70" s="34" t="s">
        <v>3</v>
      </c>
      <c r="V70" s="38">
        <v>46209</v>
      </c>
      <c r="W70" s="38">
        <v>46227</v>
      </c>
      <c r="X70" s="34" t="s">
        <v>78</v>
      </c>
      <c r="Y70" s="34" t="s">
        <v>3</v>
      </c>
      <c r="Z70" s="38">
        <v>46216</v>
      </c>
      <c r="AA70" s="38">
        <v>46234</v>
      </c>
      <c r="AB70" s="75">
        <f t="shared" si="10"/>
        <v>1</v>
      </c>
      <c r="AC70" s="34" t="str">
        <f>IF(G70="已完成","正常",IF(OR(G70="暂停",G70="挂起"),"暂停",IF(J70="","日期缺失",IF(J70&lt;项目驾驶舱!$B$3,"已延期",IF(J70&lt;=项目驾驶舱!$B$3+7,"临近到期","正常")))))</f>
        <v>正常</v>
      </c>
      <c r="AD70" s="34" t="s">
        <v>79</v>
      </c>
      <c r="AE70" s="34" t="s">
        <v>79</v>
      </c>
    </row>
    <row r="71" ht="17" customHeight="1" spans="1:31">
      <c r="A71" s="34" t="s">
        <v>233</v>
      </c>
      <c r="B71" s="34" t="s">
        <v>102</v>
      </c>
      <c r="C71" s="34" t="s">
        <v>226</v>
      </c>
      <c r="D71" s="34" t="s">
        <v>230</v>
      </c>
      <c r="E71" s="34" t="s">
        <v>74</v>
      </c>
      <c r="F71" s="34" t="s">
        <v>25</v>
      </c>
      <c r="G71" s="34" t="str">
        <f t="shared" si="6"/>
        <v>已完成</v>
      </c>
      <c r="H71" s="34" t="str">
        <f t="shared" si="7"/>
        <v>郑士旺</v>
      </c>
      <c r="I71" s="38">
        <f t="shared" si="8"/>
        <v>46202</v>
      </c>
      <c r="J71" s="38">
        <f t="shared" si="9"/>
        <v>46261</v>
      </c>
      <c r="K71" s="38">
        <v>46261</v>
      </c>
      <c r="L71" s="34" t="s">
        <v>75</v>
      </c>
      <c r="M71" s="34" t="s">
        <v>3</v>
      </c>
      <c r="N71" s="38">
        <v>46202</v>
      </c>
      <c r="O71" s="38">
        <v>46206</v>
      </c>
      <c r="P71" s="34" t="s">
        <v>76</v>
      </c>
      <c r="Q71" s="34" t="s">
        <v>3</v>
      </c>
      <c r="R71" s="38">
        <v>46209</v>
      </c>
      <c r="S71" s="38">
        <v>46227</v>
      </c>
      <c r="T71" s="34" t="s">
        <v>77</v>
      </c>
      <c r="U71" s="34" t="s">
        <v>3</v>
      </c>
      <c r="V71" s="38">
        <v>46209</v>
      </c>
      <c r="W71" s="38">
        <v>46227</v>
      </c>
      <c r="X71" s="34" t="s">
        <v>78</v>
      </c>
      <c r="Y71" s="34" t="s">
        <v>3</v>
      </c>
      <c r="Z71" s="38">
        <v>46216</v>
      </c>
      <c r="AA71" s="38">
        <v>46234</v>
      </c>
      <c r="AB71" s="75">
        <f t="shared" si="10"/>
        <v>1</v>
      </c>
      <c r="AC71" s="34" t="str">
        <f>IF(G71="已完成","正常",IF(OR(G71="暂停",G71="挂起"),"暂停",IF(J71="","日期缺失",IF(J71&lt;项目驾驶舱!$B$3,"已延期",IF(J71&lt;=项目驾驶舱!$B$3+7,"临近到期","正常")))))</f>
        <v>正常</v>
      </c>
      <c r="AD71" s="34" t="s">
        <v>79</v>
      </c>
      <c r="AE71" s="34" t="s">
        <v>79</v>
      </c>
    </row>
    <row r="72" ht="17" customHeight="1" spans="1:31">
      <c r="A72" s="34" t="s">
        <v>234</v>
      </c>
      <c r="B72" s="34" t="s">
        <v>102</v>
      </c>
      <c r="C72" s="34" t="s">
        <v>235</v>
      </c>
      <c r="D72" s="34" t="s">
        <v>236</v>
      </c>
      <c r="E72" s="34" t="s">
        <v>74</v>
      </c>
      <c r="F72" s="34" t="s">
        <v>25</v>
      </c>
      <c r="G72" s="34" t="str">
        <f t="shared" si="6"/>
        <v>已完成</v>
      </c>
      <c r="H72" s="34" t="str">
        <f t="shared" si="7"/>
        <v>郑士旺</v>
      </c>
      <c r="I72" s="38">
        <f t="shared" si="8"/>
        <v>46195</v>
      </c>
      <c r="J72" s="38">
        <f t="shared" si="9"/>
        <v>46224</v>
      </c>
      <c r="K72" s="38">
        <v>46224</v>
      </c>
      <c r="L72" s="34" t="s">
        <v>75</v>
      </c>
      <c r="M72" s="34" t="s">
        <v>3</v>
      </c>
      <c r="N72" s="38" t="s">
        <v>74</v>
      </c>
      <c r="O72" s="38" t="s">
        <v>74</v>
      </c>
      <c r="P72" s="34" t="s">
        <v>76</v>
      </c>
      <c r="Q72" s="34" t="s">
        <v>3</v>
      </c>
      <c r="R72" s="38">
        <v>46195</v>
      </c>
      <c r="S72" s="38">
        <v>46206</v>
      </c>
      <c r="T72" s="34" t="s">
        <v>77</v>
      </c>
      <c r="U72" s="34" t="s">
        <v>3</v>
      </c>
      <c r="V72" s="38">
        <v>46195</v>
      </c>
      <c r="W72" s="38">
        <v>46206</v>
      </c>
      <c r="X72" s="34" t="s">
        <v>78</v>
      </c>
      <c r="Y72" s="34" t="s">
        <v>3</v>
      </c>
      <c r="Z72" s="38">
        <v>46216</v>
      </c>
      <c r="AA72" s="38">
        <v>46234</v>
      </c>
      <c r="AB72" s="75">
        <f t="shared" si="10"/>
        <v>1</v>
      </c>
      <c r="AC72" s="34" t="str">
        <f>IF(G72="已完成","正常",IF(OR(G72="暂停",G72="挂起"),"暂停",IF(J72="","日期缺失",IF(J72&lt;项目驾驶舱!$B$3,"已延期",IF(J72&lt;=项目驾驶舱!$B$3+7,"临近到期","正常")))))</f>
        <v>正常</v>
      </c>
      <c r="AD72" s="34" t="s">
        <v>79</v>
      </c>
      <c r="AE72" s="34" t="s">
        <v>79</v>
      </c>
    </row>
    <row r="73" ht="17" customHeight="1" spans="1:31">
      <c r="A73" s="34" t="s">
        <v>237</v>
      </c>
      <c r="B73" s="34" t="s">
        <v>102</v>
      </c>
      <c r="C73" s="34" t="s">
        <v>235</v>
      </c>
      <c r="D73" s="34" t="s">
        <v>238</v>
      </c>
      <c r="E73" s="34" t="s">
        <v>74</v>
      </c>
      <c r="F73" s="34" t="s">
        <v>25</v>
      </c>
      <c r="G73" s="34" t="str">
        <f t="shared" si="6"/>
        <v>已完成</v>
      </c>
      <c r="H73" s="34" t="str">
        <f t="shared" si="7"/>
        <v>郑士旺</v>
      </c>
      <c r="I73" s="38">
        <f t="shared" si="8"/>
        <v>46195</v>
      </c>
      <c r="J73" s="38">
        <f t="shared" si="9"/>
        <v>46224</v>
      </c>
      <c r="K73" s="38">
        <v>46224</v>
      </c>
      <c r="L73" s="34" t="s">
        <v>75</v>
      </c>
      <c r="M73" s="34" t="s">
        <v>3</v>
      </c>
      <c r="N73" s="38" t="s">
        <v>74</v>
      </c>
      <c r="O73" s="38" t="s">
        <v>74</v>
      </c>
      <c r="P73" s="34" t="s">
        <v>76</v>
      </c>
      <c r="Q73" s="34" t="s">
        <v>3</v>
      </c>
      <c r="R73" s="38">
        <v>46195</v>
      </c>
      <c r="S73" s="38">
        <v>46206</v>
      </c>
      <c r="T73" s="34" t="s">
        <v>77</v>
      </c>
      <c r="U73" s="34" t="s">
        <v>3</v>
      </c>
      <c r="V73" s="38">
        <v>46195</v>
      </c>
      <c r="W73" s="38">
        <v>46206</v>
      </c>
      <c r="X73" s="34" t="s">
        <v>78</v>
      </c>
      <c r="Y73" s="34" t="s">
        <v>3</v>
      </c>
      <c r="Z73" s="38">
        <v>46202</v>
      </c>
      <c r="AA73" s="38">
        <v>46213</v>
      </c>
      <c r="AB73" s="75">
        <f t="shared" si="10"/>
        <v>1</v>
      </c>
      <c r="AC73" s="34" t="str">
        <f>IF(G73="已完成","正常",IF(OR(G73="暂停",G73="挂起"),"暂停",IF(J73="","日期缺失",IF(J73&lt;项目驾驶舱!$B$3,"已延期",IF(J73&lt;=项目驾驶舱!$B$3+7,"临近到期","正常")))))</f>
        <v>正常</v>
      </c>
      <c r="AD73" s="34" t="s">
        <v>79</v>
      </c>
      <c r="AE73" s="34" t="s">
        <v>79</v>
      </c>
    </row>
    <row r="74" ht="17" customHeight="1" spans="1:31">
      <c r="A74" s="34" t="s">
        <v>239</v>
      </c>
      <c r="B74" s="34" t="s">
        <v>102</v>
      </c>
      <c r="C74" s="34" t="s">
        <v>240</v>
      </c>
      <c r="D74" s="34" t="s">
        <v>74</v>
      </c>
      <c r="E74" s="34" t="s">
        <v>74</v>
      </c>
      <c r="F74" s="34" t="s">
        <v>25</v>
      </c>
      <c r="G74" s="34" t="str">
        <f t="shared" si="6"/>
        <v>已完成</v>
      </c>
      <c r="H74" s="34" t="str">
        <f t="shared" si="7"/>
        <v>郑士旺</v>
      </c>
      <c r="I74" s="38">
        <f t="shared" si="8"/>
        <v>46195</v>
      </c>
      <c r="J74" s="38">
        <f t="shared" si="9"/>
        <v>46224</v>
      </c>
      <c r="K74" s="38">
        <v>46224</v>
      </c>
      <c r="L74" s="34" t="s">
        <v>75</v>
      </c>
      <c r="M74" s="34" t="s">
        <v>3</v>
      </c>
      <c r="N74" s="38" t="s">
        <v>74</v>
      </c>
      <c r="O74" s="38" t="s">
        <v>74</v>
      </c>
      <c r="P74" s="34" t="s">
        <v>76</v>
      </c>
      <c r="Q74" s="34" t="s">
        <v>3</v>
      </c>
      <c r="R74" s="38">
        <v>46195</v>
      </c>
      <c r="S74" s="38">
        <v>46206</v>
      </c>
      <c r="T74" s="34" t="s">
        <v>77</v>
      </c>
      <c r="U74" s="34" t="s">
        <v>3</v>
      </c>
      <c r="V74" s="38">
        <v>46195</v>
      </c>
      <c r="W74" s="38">
        <v>46206</v>
      </c>
      <c r="X74" s="34" t="s">
        <v>78</v>
      </c>
      <c r="Y74" s="34" t="s">
        <v>3</v>
      </c>
      <c r="Z74" s="38">
        <v>46202</v>
      </c>
      <c r="AA74" s="38">
        <v>46213</v>
      </c>
      <c r="AB74" s="75">
        <f t="shared" si="10"/>
        <v>1</v>
      </c>
      <c r="AC74" s="34" t="str">
        <f>IF(G74="已完成","正常",IF(OR(G74="暂停",G74="挂起"),"暂停",IF(J74="","日期缺失",IF(J74&lt;项目驾驶舱!$B$3,"已延期",IF(J74&lt;=项目驾驶舱!$B$3+7,"临近到期","正常")))))</f>
        <v>正常</v>
      </c>
      <c r="AD74" s="34" t="s">
        <v>79</v>
      </c>
      <c r="AE74" s="34" t="s">
        <v>79</v>
      </c>
    </row>
    <row r="75" ht="17" customHeight="1" spans="1:31">
      <c r="A75" s="34" t="s">
        <v>241</v>
      </c>
      <c r="B75" s="34" t="s">
        <v>102</v>
      </c>
      <c r="C75" s="34" t="s">
        <v>242</v>
      </c>
      <c r="D75" s="34" t="s">
        <v>243</v>
      </c>
      <c r="E75" s="34" t="s">
        <v>74</v>
      </c>
      <c r="F75" s="34" t="s">
        <v>25</v>
      </c>
      <c r="G75" s="34" t="str">
        <f t="shared" si="6"/>
        <v>已完成</v>
      </c>
      <c r="H75" s="34" t="str">
        <f t="shared" si="7"/>
        <v>郑士旺</v>
      </c>
      <c r="I75" s="38">
        <f t="shared" si="8"/>
        <v>46202</v>
      </c>
      <c r="J75" s="38">
        <f t="shared" si="9"/>
        <v>46234</v>
      </c>
      <c r="K75" s="38" t="s">
        <v>74</v>
      </c>
      <c r="L75" s="34" t="s">
        <v>75</v>
      </c>
      <c r="M75" s="34" t="s">
        <v>3</v>
      </c>
      <c r="N75" s="38">
        <v>46202</v>
      </c>
      <c r="O75" s="38">
        <v>46206</v>
      </c>
      <c r="P75" s="34" t="s">
        <v>76</v>
      </c>
      <c r="Q75" s="34" t="s">
        <v>3</v>
      </c>
      <c r="R75" s="38">
        <v>46209</v>
      </c>
      <c r="S75" s="38">
        <v>46225</v>
      </c>
      <c r="T75" s="34" t="s">
        <v>77</v>
      </c>
      <c r="U75" s="34" t="s">
        <v>3</v>
      </c>
      <c r="V75" s="38">
        <v>46209</v>
      </c>
      <c r="W75" s="38">
        <v>46225</v>
      </c>
      <c r="X75" s="34" t="s">
        <v>78</v>
      </c>
      <c r="Y75" s="34" t="s">
        <v>3</v>
      </c>
      <c r="Z75" s="38">
        <v>46216</v>
      </c>
      <c r="AA75" s="38">
        <v>46234</v>
      </c>
      <c r="AB75" s="75">
        <f t="shared" si="10"/>
        <v>1</v>
      </c>
      <c r="AC75" s="34" t="str">
        <f>IF(G75="已完成","正常",IF(OR(G75="暂停",G75="挂起"),"暂停",IF(J75="","日期缺失",IF(J75&lt;项目驾驶舱!$B$3,"已延期",IF(J75&lt;=项目驾驶舱!$B$3+7,"临近到期","正常")))))</f>
        <v>正常</v>
      </c>
      <c r="AD75" s="34" t="s">
        <v>79</v>
      </c>
      <c r="AE75" s="34" t="s">
        <v>79</v>
      </c>
    </row>
    <row r="76" ht="17" customHeight="1" spans="1:31">
      <c r="A76" s="34" t="s">
        <v>244</v>
      </c>
      <c r="B76" s="34" t="s">
        <v>102</v>
      </c>
      <c r="C76" s="34" t="s">
        <v>245</v>
      </c>
      <c r="D76" s="34" t="s">
        <v>246</v>
      </c>
      <c r="E76" s="34" t="s">
        <v>74</v>
      </c>
      <c r="F76" s="34" t="s">
        <v>25</v>
      </c>
      <c r="G76" s="34" t="str">
        <f t="shared" si="6"/>
        <v>已完成</v>
      </c>
      <c r="H76" s="34" t="str">
        <f t="shared" si="7"/>
        <v>郑士旺</v>
      </c>
      <c r="I76" s="38">
        <f t="shared" si="8"/>
        <v>46202</v>
      </c>
      <c r="J76" s="38">
        <f t="shared" si="9"/>
        <v>46224</v>
      </c>
      <c r="K76" s="38">
        <v>46224</v>
      </c>
      <c r="L76" s="34" t="s">
        <v>75</v>
      </c>
      <c r="M76" s="34" t="s">
        <v>3</v>
      </c>
      <c r="N76" s="38">
        <v>46202</v>
      </c>
      <c r="O76" s="38">
        <v>46206</v>
      </c>
      <c r="P76" s="34" t="s">
        <v>76</v>
      </c>
      <c r="Q76" s="34" t="s">
        <v>3</v>
      </c>
      <c r="R76" s="38">
        <v>46227</v>
      </c>
      <c r="S76" s="38">
        <v>46227</v>
      </c>
      <c r="T76" s="34" t="s">
        <v>77</v>
      </c>
      <c r="U76" s="34" t="s">
        <v>3</v>
      </c>
      <c r="V76" s="38">
        <v>46227</v>
      </c>
      <c r="W76" s="38">
        <v>46227</v>
      </c>
      <c r="X76" s="34" t="s">
        <v>78</v>
      </c>
      <c r="Y76" s="34" t="s">
        <v>3</v>
      </c>
      <c r="Z76" s="38">
        <v>46216</v>
      </c>
      <c r="AA76" s="38">
        <v>46234</v>
      </c>
      <c r="AB76" s="75">
        <f t="shared" si="10"/>
        <v>1</v>
      </c>
      <c r="AC76" s="34" t="str">
        <f>IF(G76="已完成","正常",IF(OR(G76="暂停",G76="挂起"),"暂停",IF(J76="","日期缺失",IF(J76&lt;项目驾驶舱!$B$3,"已延期",IF(J76&lt;=项目驾驶舱!$B$3+7,"临近到期","正常")))))</f>
        <v>正常</v>
      </c>
      <c r="AD76" s="34" t="s">
        <v>79</v>
      </c>
      <c r="AE76" s="34" t="s">
        <v>79</v>
      </c>
    </row>
    <row r="77" ht="17" customHeight="1" spans="1:31">
      <c r="A77" s="34" t="s">
        <v>247</v>
      </c>
      <c r="B77" s="34" t="s">
        <v>102</v>
      </c>
      <c r="C77" s="34" t="s">
        <v>245</v>
      </c>
      <c r="D77" s="34" t="s">
        <v>248</v>
      </c>
      <c r="E77" s="34" t="s">
        <v>74</v>
      </c>
      <c r="F77" s="34" t="s">
        <v>25</v>
      </c>
      <c r="G77" s="34" t="str">
        <f t="shared" si="6"/>
        <v>已完成</v>
      </c>
      <c r="H77" s="34" t="str">
        <f t="shared" si="7"/>
        <v>郑士旺</v>
      </c>
      <c r="I77" s="38">
        <f t="shared" si="8"/>
        <v>46202</v>
      </c>
      <c r="J77" s="38">
        <f t="shared" si="9"/>
        <v>46224</v>
      </c>
      <c r="K77" s="38">
        <v>46224</v>
      </c>
      <c r="L77" s="34" t="s">
        <v>75</v>
      </c>
      <c r="M77" s="34" t="s">
        <v>3</v>
      </c>
      <c r="N77" s="38">
        <v>46202</v>
      </c>
      <c r="O77" s="38">
        <v>46206</v>
      </c>
      <c r="P77" s="34" t="s">
        <v>76</v>
      </c>
      <c r="Q77" s="34" t="s">
        <v>3</v>
      </c>
      <c r="R77" s="38">
        <v>46227</v>
      </c>
      <c r="S77" s="38">
        <v>46227</v>
      </c>
      <c r="T77" s="34" t="s">
        <v>77</v>
      </c>
      <c r="U77" s="34" t="s">
        <v>3</v>
      </c>
      <c r="V77" s="38">
        <v>46227</v>
      </c>
      <c r="W77" s="38">
        <v>46227</v>
      </c>
      <c r="X77" s="34" t="s">
        <v>78</v>
      </c>
      <c r="Y77" s="34" t="s">
        <v>3</v>
      </c>
      <c r="Z77" s="38">
        <v>46216</v>
      </c>
      <c r="AA77" s="38">
        <v>46234</v>
      </c>
      <c r="AB77" s="75">
        <f t="shared" si="10"/>
        <v>1</v>
      </c>
      <c r="AC77" s="34" t="str">
        <f>IF(G77="已完成","正常",IF(OR(G77="暂停",G77="挂起"),"暂停",IF(J77="","日期缺失",IF(J77&lt;项目驾驶舱!$B$3,"已延期",IF(J77&lt;=项目驾驶舱!$B$3+7,"临近到期","正常")))))</f>
        <v>正常</v>
      </c>
      <c r="AD77" s="34" t="s">
        <v>79</v>
      </c>
      <c r="AE77" s="34" t="s">
        <v>79</v>
      </c>
    </row>
    <row r="78" ht="17" customHeight="1" spans="1:31">
      <c r="A78" s="34" t="s">
        <v>249</v>
      </c>
      <c r="B78" s="34" t="s">
        <v>102</v>
      </c>
      <c r="C78" s="34" t="s">
        <v>245</v>
      </c>
      <c r="D78" s="34" t="s">
        <v>250</v>
      </c>
      <c r="E78" s="34" t="s">
        <v>74</v>
      </c>
      <c r="F78" s="34" t="s">
        <v>25</v>
      </c>
      <c r="G78" s="34" t="str">
        <f t="shared" si="6"/>
        <v>已完成</v>
      </c>
      <c r="H78" s="34" t="str">
        <f t="shared" si="7"/>
        <v>郑士旺</v>
      </c>
      <c r="I78" s="38">
        <f t="shared" si="8"/>
        <v>46202</v>
      </c>
      <c r="J78" s="38">
        <f t="shared" si="9"/>
        <v>46224</v>
      </c>
      <c r="K78" s="38">
        <v>46224</v>
      </c>
      <c r="L78" s="34" t="s">
        <v>75</v>
      </c>
      <c r="M78" s="34" t="s">
        <v>3</v>
      </c>
      <c r="N78" s="38">
        <v>46202</v>
      </c>
      <c r="O78" s="38">
        <v>46206</v>
      </c>
      <c r="P78" s="34" t="s">
        <v>76</v>
      </c>
      <c r="Q78" s="34" t="s">
        <v>3</v>
      </c>
      <c r="R78" s="38">
        <v>46227</v>
      </c>
      <c r="S78" s="38">
        <v>46227</v>
      </c>
      <c r="T78" s="34" t="s">
        <v>77</v>
      </c>
      <c r="U78" s="34" t="s">
        <v>3</v>
      </c>
      <c r="V78" s="38">
        <v>46227</v>
      </c>
      <c r="W78" s="38">
        <v>46227</v>
      </c>
      <c r="X78" s="34" t="s">
        <v>78</v>
      </c>
      <c r="Y78" s="34" t="s">
        <v>3</v>
      </c>
      <c r="Z78" s="38">
        <v>46216</v>
      </c>
      <c r="AA78" s="38">
        <v>46234</v>
      </c>
      <c r="AB78" s="75">
        <f t="shared" si="10"/>
        <v>1</v>
      </c>
      <c r="AC78" s="34" t="str">
        <f>IF(G78="已完成","正常",IF(OR(G78="暂停",G78="挂起"),"暂停",IF(J78="","日期缺失",IF(J78&lt;项目驾驶舱!$B$3,"已延期",IF(J78&lt;=项目驾驶舱!$B$3+7,"临近到期","正常")))))</f>
        <v>正常</v>
      </c>
      <c r="AD78" s="34" t="s">
        <v>79</v>
      </c>
      <c r="AE78" s="34" t="s">
        <v>79</v>
      </c>
    </row>
    <row r="79" ht="17" customHeight="1" spans="1:31">
      <c r="A79" s="34" t="s">
        <v>251</v>
      </c>
      <c r="B79" s="34" t="s">
        <v>102</v>
      </c>
      <c r="C79" s="34" t="s">
        <v>245</v>
      </c>
      <c r="D79" s="34" t="s">
        <v>252</v>
      </c>
      <c r="E79" s="34" t="s">
        <v>74</v>
      </c>
      <c r="F79" s="34" t="s">
        <v>25</v>
      </c>
      <c r="G79" s="34" t="str">
        <f t="shared" si="6"/>
        <v>已完成</v>
      </c>
      <c r="H79" s="34" t="str">
        <f t="shared" si="7"/>
        <v>郑士旺</v>
      </c>
      <c r="I79" s="38">
        <f t="shared" si="8"/>
        <v>46202</v>
      </c>
      <c r="J79" s="38">
        <f t="shared" si="9"/>
        <v>46224</v>
      </c>
      <c r="K79" s="38">
        <v>46224</v>
      </c>
      <c r="L79" s="34" t="s">
        <v>75</v>
      </c>
      <c r="M79" s="34" t="s">
        <v>3</v>
      </c>
      <c r="N79" s="38">
        <v>46202</v>
      </c>
      <c r="O79" s="38">
        <v>46206</v>
      </c>
      <c r="P79" s="34" t="s">
        <v>76</v>
      </c>
      <c r="Q79" s="34" t="s">
        <v>3</v>
      </c>
      <c r="R79" s="38">
        <v>46227</v>
      </c>
      <c r="S79" s="38">
        <v>46227</v>
      </c>
      <c r="T79" s="34" t="s">
        <v>77</v>
      </c>
      <c r="U79" s="34" t="s">
        <v>3</v>
      </c>
      <c r="V79" s="38">
        <v>46227</v>
      </c>
      <c r="W79" s="38">
        <v>46227</v>
      </c>
      <c r="X79" s="34" t="s">
        <v>78</v>
      </c>
      <c r="Y79" s="34" t="s">
        <v>3</v>
      </c>
      <c r="Z79" s="38">
        <v>46216</v>
      </c>
      <c r="AA79" s="38">
        <v>46234</v>
      </c>
      <c r="AB79" s="75">
        <f t="shared" si="10"/>
        <v>1</v>
      </c>
      <c r="AC79" s="34" t="str">
        <f>IF(G79="已完成","正常",IF(OR(G79="暂停",G79="挂起"),"暂停",IF(J79="","日期缺失",IF(J79&lt;项目驾驶舱!$B$3,"已延期",IF(J79&lt;=项目驾驶舱!$B$3+7,"临近到期","正常")))))</f>
        <v>正常</v>
      </c>
      <c r="AD79" s="34" t="s">
        <v>79</v>
      </c>
      <c r="AE79" s="34" t="s">
        <v>79</v>
      </c>
    </row>
    <row r="80" ht="17" customHeight="1" spans="1:31">
      <c r="A80" s="34" t="s">
        <v>253</v>
      </c>
      <c r="B80" s="34" t="s">
        <v>102</v>
      </c>
      <c r="C80" s="34" t="s">
        <v>245</v>
      </c>
      <c r="D80" s="34" t="s">
        <v>254</v>
      </c>
      <c r="E80" s="34" t="s">
        <v>74</v>
      </c>
      <c r="F80" s="34" t="s">
        <v>25</v>
      </c>
      <c r="G80" s="34" t="str">
        <f t="shared" si="6"/>
        <v>已完成</v>
      </c>
      <c r="H80" s="34" t="str">
        <f t="shared" si="7"/>
        <v>郑士旺</v>
      </c>
      <c r="I80" s="38">
        <f t="shared" si="8"/>
        <v>46202</v>
      </c>
      <c r="J80" s="38">
        <f t="shared" si="9"/>
        <v>46224</v>
      </c>
      <c r="K80" s="38">
        <v>46224</v>
      </c>
      <c r="L80" s="34" t="s">
        <v>75</v>
      </c>
      <c r="M80" s="34" t="s">
        <v>3</v>
      </c>
      <c r="N80" s="38">
        <v>46202</v>
      </c>
      <c r="O80" s="38">
        <v>46206</v>
      </c>
      <c r="P80" s="34" t="s">
        <v>76</v>
      </c>
      <c r="Q80" s="34" t="s">
        <v>3</v>
      </c>
      <c r="R80" s="38">
        <v>46227</v>
      </c>
      <c r="S80" s="38">
        <v>46227</v>
      </c>
      <c r="T80" s="34" t="s">
        <v>77</v>
      </c>
      <c r="U80" s="34" t="s">
        <v>3</v>
      </c>
      <c r="V80" s="38">
        <v>46227</v>
      </c>
      <c r="W80" s="38">
        <v>46227</v>
      </c>
      <c r="X80" s="34" t="s">
        <v>78</v>
      </c>
      <c r="Y80" s="34" t="s">
        <v>3</v>
      </c>
      <c r="Z80" s="38">
        <v>46216</v>
      </c>
      <c r="AA80" s="38">
        <v>46234</v>
      </c>
      <c r="AB80" s="75">
        <f t="shared" si="10"/>
        <v>1</v>
      </c>
      <c r="AC80" s="34" t="str">
        <f>IF(G80="已完成","正常",IF(OR(G80="暂停",G80="挂起"),"暂停",IF(J80="","日期缺失",IF(J80&lt;项目驾驶舱!$B$3,"已延期",IF(J80&lt;=项目驾驶舱!$B$3+7,"临近到期","正常")))))</f>
        <v>正常</v>
      </c>
      <c r="AD80" s="34" t="s">
        <v>79</v>
      </c>
      <c r="AE80" s="34" t="s">
        <v>79</v>
      </c>
    </row>
    <row r="81" ht="17" customHeight="1" spans="1:31">
      <c r="A81" s="34" t="s">
        <v>255</v>
      </c>
      <c r="B81" s="34" t="s">
        <v>256</v>
      </c>
      <c r="C81" s="34" t="s">
        <v>257</v>
      </c>
      <c r="D81" s="34" t="s">
        <v>258</v>
      </c>
      <c r="E81" s="34" t="s">
        <v>74</v>
      </c>
      <c r="F81" s="34" t="s">
        <v>26</v>
      </c>
      <c r="G81" s="34" t="str">
        <f>IF(OR(M81="挂起",M81="暂停",Q81="挂起",Q81="暂停",U81="挂起",U81="暂停",Y81="挂起",Y81="暂停"),"暂停","进行中")</f>
        <v>进行中</v>
      </c>
      <c r="H81" s="34" t="str">
        <f t="shared" si="7"/>
        <v>郑士旺</v>
      </c>
      <c r="I81" s="38">
        <f t="shared" si="8"/>
        <v>46223</v>
      </c>
      <c r="J81" s="38">
        <f t="shared" si="9"/>
        <v>46318</v>
      </c>
      <c r="K81" s="38"/>
      <c r="L81" s="34" t="s">
        <v>75</v>
      </c>
      <c r="M81" s="34" t="s">
        <v>3</v>
      </c>
      <c r="N81" s="38">
        <v>46223</v>
      </c>
      <c r="O81" s="38">
        <v>46227</v>
      </c>
      <c r="P81" s="34" t="s">
        <v>76</v>
      </c>
      <c r="Q81" s="34" t="s">
        <v>4</v>
      </c>
      <c r="R81" s="38">
        <v>46272</v>
      </c>
      <c r="S81" s="38">
        <v>46279</v>
      </c>
      <c r="T81" s="34" t="s">
        <v>77</v>
      </c>
      <c r="U81" s="34" t="s">
        <v>4</v>
      </c>
      <c r="V81" s="38">
        <v>46272</v>
      </c>
      <c r="W81" s="38">
        <v>46279</v>
      </c>
      <c r="X81" s="34" t="s">
        <v>78</v>
      </c>
      <c r="Y81" s="34" t="s">
        <v>5</v>
      </c>
      <c r="Z81" s="38">
        <v>46307</v>
      </c>
      <c r="AA81" s="38">
        <v>46318</v>
      </c>
      <c r="AB81" s="75">
        <f t="shared" si="10"/>
        <v>0.475</v>
      </c>
      <c r="AC81" s="34" t="str">
        <f>IF(G81="已完成","正常",IF(OR(G81="暂停",G81="挂起"),"暂停",IF(J81="","日期缺失",IF(J81&lt;项目驾驶舱!$B$3,"已延期",IF(J81&lt;=项目驾驶舱!$B$3+7,"临近到期","正常")))))</f>
        <v>正常</v>
      </c>
      <c r="AD81" s="34" t="s">
        <v>79</v>
      </c>
      <c r="AE81" s="34" t="s">
        <v>79</v>
      </c>
    </row>
    <row r="82" ht="17" customHeight="1" spans="1:31">
      <c r="A82" s="34" t="s">
        <v>259</v>
      </c>
      <c r="B82" s="34" t="s">
        <v>256</v>
      </c>
      <c r="C82" s="34" t="s">
        <v>257</v>
      </c>
      <c r="D82" s="34" t="s">
        <v>260</v>
      </c>
      <c r="E82" s="34" t="s">
        <v>74</v>
      </c>
      <c r="F82" s="34" t="s">
        <v>26</v>
      </c>
      <c r="G82" s="34" t="str">
        <f>IF(OR(M82="挂起",M82="暂停",Q82="挂起",Q82="暂停",U82="挂起",U82="暂停",Y82="挂起",Y82="暂停"),"暂停","进行中")</f>
        <v>进行中</v>
      </c>
      <c r="H82" s="34" t="str">
        <f t="shared" si="7"/>
        <v>郑士旺</v>
      </c>
      <c r="I82" s="38">
        <f t="shared" si="8"/>
        <v>46223</v>
      </c>
      <c r="J82" s="38">
        <f t="shared" si="9"/>
        <v>46318</v>
      </c>
      <c r="K82" s="38"/>
      <c r="L82" s="34" t="s">
        <v>75</v>
      </c>
      <c r="M82" s="34" t="s">
        <v>3</v>
      </c>
      <c r="N82" s="38">
        <v>46223</v>
      </c>
      <c r="O82" s="38">
        <v>46227</v>
      </c>
      <c r="P82" s="34" t="s">
        <v>76</v>
      </c>
      <c r="Q82" s="34" t="s">
        <v>4</v>
      </c>
      <c r="R82" s="38">
        <v>46272</v>
      </c>
      <c r="S82" s="38">
        <v>46279</v>
      </c>
      <c r="T82" s="34" t="s">
        <v>77</v>
      </c>
      <c r="U82" s="34" t="s">
        <v>4</v>
      </c>
      <c r="V82" s="38">
        <v>46272</v>
      </c>
      <c r="W82" s="38">
        <v>46279</v>
      </c>
      <c r="X82" s="34" t="s">
        <v>78</v>
      </c>
      <c r="Y82" s="34" t="s">
        <v>5</v>
      </c>
      <c r="Z82" s="38">
        <v>46307</v>
      </c>
      <c r="AA82" s="38">
        <v>46318</v>
      </c>
      <c r="AB82" s="75">
        <f t="shared" si="10"/>
        <v>0.475</v>
      </c>
      <c r="AC82" s="34" t="str">
        <f>IF(G82="已完成","正常",IF(OR(G82="暂停",G82="挂起"),"暂停",IF(J82="","日期缺失",IF(J82&lt;项目驾驶舱!$B$3,"已延期",IF(J82&lt;=项目驾驶舱!$B$3+7,"临近到期","正常")))))</f>
        <v>正常</v>
      </c>
      <c r="AD82" s="34" t="s">
        <v>79</v>
      </c>
      <c r="AE82" s="34" t="s">
        <v>79</v>
      </c>
    </row>
    <row r="83" ht="17" customHeight="1" spans="1:31">
      <c r="A83" s="34" t="s">
        <v>261</v>
      </c>
      <c r="B83" s="34" t="s">
        <v>256</v>
      </c>
      <c r="C83" s="34" t="s">
        <v>257</v>
      </c>
      <c r="D83" s="34" t="s">
        <v>262</v>
      </c>
      <c r="E83" s="34" t="s">
        <v>74</v>
      </c>
      <c r="F83" s="34" t="s">
        <v>26</v>
      </c>
      <c r="G83" s="34" t="str">
        <f>IF(OR(M83="挂起",M83="暂停",Q83="挂起",Q83="暂停",U83="挂起",U83="暂停",Y83="挂起",Y83="暂停"),"暂停","进行中")</f>
        <v>进行中</v>
      </c>
      <c r="H83" s="34" t="str">
        <f t="shared" si="7"/>
        <v>郑士旺</v>
      </c>
      <c r="I83" s="38">
        <f t="shared" si="8"/>
        <v>46223</v>
      </c>
      <c r="J83" s="38">
        <f t="shared" si="9"/>
        <v>46261</v>
      </c>
      <c r="K83" s="38">
        <v>46261</v>
      </c>
      <c r="L83" s="34" t="s">
        <v>75</v>
      </c>
      <c r="M83" s="34" t="s">
        <v>3</v>
      </c>
      <c r="N83" s="38">
        <v>46223</v>
      </c>
      <c r="O83" s="38">
        <v>46227</v>
      </c>
      <c r="P83" s="34" t="s">
        <v>76</v>
      </c>
      <c r="Q83" s="34" t="s">
        <v>4</v>
      </c>
      <c r="R83" s="38">
        <v>46272</v>
      </c>
      <c r="S83" s="38">
        <v>46279</v>
      </c>
      <c r="T83" s="34" t="s">
        <v>77</v>
      </c>
      <c r="U83" s="34" t="s">
        <v>4</v>
      </c>
      <c r="V83" s="38">
        <v>46272</v>
      </c>
      <c r="W83" s="38">
        <v>46279</v>
      </c>
      <c r="X83" s="34" t="s">
        <v>78</v>
      </c>
      <c r="Y83" s="34" t="s">
        <v>5</v>
      </c>
      <c r="Z83" s="38">
        <v>46307</v>
      </c>
      <c r="AA83" s="38">
        <v>46318</v>
      </c>
      <c r="AB83" s="75">
        <f t="shared" si="10"/>
        <v>0.475</v>
      </c>
      <c r="AC83" s="34" t="str">
        <f>IF(G83="已完成","正常",IF(OR(G83="暂停",G83="挂起"),"暂停",IF(J83="","日期缺失",IF(J83&lt;项目驾驶舱!$B$3,"已延期",IF(J83&lt;=项目驾驶舱!$B$3+7,"临近到期","正常")))))</f>
        <v>已延期</v>
      </c>
      <c r="AD83" s="34" t="s">
        <v>79</v>
      </c>
      <c r="AE83" s="34" t="s">
        <v>79</v>
      </c>
    </row>
    <row r="84" ht="17" customHeight="1" spans="1:31">
      <c r="A84" s="34" t="s">
        <v>263</v>
      </c>
      <c r="B84" s="34" t="s">
        <v>256</v>
      </c>
      <c r="C84" s="34" t="s">
        <v>264</v>
      </c>
      <c r="D84" s="34" t="s">
        <v>265</v>
      </c>
      <c r="E84" s="34" t="s">
        <v>74</v>
      </c>
      <c r="F84" s="34" t="s">
        <v>26</v>
      </c>
      <c r="G84" s="34" t="str">
        <f t="shared" ref="G84:G97" si="11">IF(OR(M84="挂起",M84="暂停",Q84="挂起",Q84="暂停",U84="挂起",U84="暂停",Y84="挂起",Y84="暂停"),"暂停","未开始")</f>
        <v>未开始</v>
      </c>
      <c r="H84" s="34" t="str">
        <f t="shared" si="7"/>
        <v>郑士旺</v>
      </c>
      <c r="I84" s="38">
        <f t="shared" si="8"/>
        <v>46230</v>
      </c>
      <c r="J84" s="38">
        <f t="shared" si="9"/>
        <v>46353</v>
      </c>
      <c r="K84" s="38"/>
      <c r="L84" s="34" t="s">
        <v>75</v>
      </c>
      <c r="M84" s="34" t="s">
        <v>5</v>
      </c>
      <c r="N84" s="38">
        <v>46230</v>
      </c>
      <c r="O84" s="38">
        <v>46241</v>
      </c>
      <c r="P84" s="34" t="s">
        <v>76</v>
      </c>
      <c r="Q84" s="34" t="s">
        <v>5</v>
      </c>
      <c r="R84" s="38">
        <v>46307</v>
      </c>
      <c r="S84" s="38">
        <v>46339</v>
      </c>
      <c r="T84" s="34" t="s">
        <v>77</v>
      </c>
      <c r="U84" s="34" t="s">
        <v>5</v>
      </c>
      <c r="V84" s="38">
        <v>46307</v>
      </c>
      <c r="W84" s="38">
        <v>46339</v>
      </c>
      <c r="X84" s="34" t="s">
        <v>78</v>
      </c>
      <c r="Y84" s="34" t="s">
        <v>5</v>
      </c>
      <c r="Z84" s="38">
        <v>46342</v>
      </c>
      <c r="AA84" s="38">
        <v>46353</v>
      </c>
      <c r="AB84" s="75">
        <f t="shared" si="10"/>
        <v>0</v>
      </c>
      <c r="AC84" s="34" t="str">
        <f>IF(G84="已完成","正常",IF(OR(G84="暂停",G84="挂起"),"暂停",IF(J84="","日期缺失",IF(J84&lt;项目驾驶舱!$B$3,"已延期",IF(J84&lt;=项目驾驶舱!$B$3+7,"临近到期","正常")))))</f>
        <v>正常</v>
      </c>
      <c r="AD84" s="34" t="s">
        <v>79</v>
      </c>
      <c r="AE84" s="34" t="s">
        <v>79</v>
      </c>
    </row>
    <row r="85" ht="17" customHeight="1" spans="1:31">
      <c r="A85" s="34" t="s">
        <v>266</v>
      </c>
      <c r="B85" s="34" t="s">
        <v>256</v>
      </c>
      <c r="C85" s="34" t="s">
        <v>264</v>
      </c>
      <c r="D85" s="34" t="s">
        <v>267</v>
      </c>
      <c r="E85" s="34" t="s">
        <v>74</v>
      </c>
      <c r="F85" s="34" t="s">
        <v>26</v>
      </c>
      <c r="G85" s="34" t="str">
        <f t="shared" si="11"/>
        <v>未开始</v>
      </c>
      <c r="H85" s="34" t="str">
        <f t="shared" si="7"/>
        <v>郑士旺</v>
      </c>
      <c r="I85" s="38">
        <f t="shared" si="8"/>
        <v>46230</v>
      </c>
      <c r="J85" s="38">
        <f t="shared" si="9"/>
        <v>46224</v>
      </c>
      <c r="K85" s="38">
        <v>46224</v>
      </c>
      <c r="L85" s="34" t="s">
        <v>75</v>
      </c>
      <c r="M85" s="34" t="s">
        <v>5</v>
      </c>
      <c r="N85" s="38">
        <v>46230</v>
      </c>
      <c r="O85" s="38">
        <v>46241</v>
      </c>
      <c r="P85" s="34" t="s">
        <v>76</v>
      </c>
      <c r="Q85" s="34" t="s">
        <v>5</v>
      </c>
      <c r="R85" s="38">
        <v>46307</v>
      </c>
      <c r="S85" s="38">
        <v>46339</v>
      </c>
      <c r="T85" s="34" t="s">
        <v>77</v>
      </c>
      <c r="U85" s="34" t="s">
        <v>5</v>
      </c>
      <c r="V85" s="38">
        <v>46307</v>
      </c>
      <c r="W85" s="38">
        <v>46339</v>
      </c>
      <c r="X85" s="34" t="s">
        <v>78</v>
      </c>
      <c r="Y85" s="34" t="s">
        <v>5</v>
      </c>
      <c r="Z85" s="38">
        <v>46342</v>
      </c>
      <c r="AA85" s="38">
        <v>46353</v>
      </c>
      <c r="AB85" s="75">
        <f t="shared" si="10"/>
        <v>0</v>
      </c>
      <c r="AC85" s="34" t="str">
        <f>IF(G85="已完成","正常",IF(OR(G85="暂停",G85="挂起"),"暂停",IF(J85="","日期缺失",IF(J85&lt;项目驾驶舱!$B$3,"已延期",IF(J85&lt;=项目驾驶舱!$B$3+7,"临近到期","正常")))))</f>
        <v>已延期</v>
      </c>
      <c r="AD85" s="34" t="s">
        <v>79</v>
      </c>
      <c r="AE85" s="34" t="s">
        <v>79</v>
      </c>
    </row>
    <row r="86" ht="17" customHeight="1" spans="1:31">
      <c r="A86" s="34" t="s">
        <v>268</v>
      </c>
      <c r="B86" s="34" t="s">
        <v>256</v>
      </c>
      <c r="C86" s="34" t="s">
        <v>269</v>
      </c>
      <c r="D86" s="34" t="s">
        <v>265</v>
      </c>
      <c r="E86" s="34" t="s">
        <v>74</v>
      </c>
      <c r="F86" s="34" t="s">
        <v>26</v>
      </c>
      <c r="G86" s="34" t="str">
        <f t="shared" si="11"/>
        <v>未开始</v>
      </c>
      <c r="H86" s="34" t="str">
        <f t="shared" si="7"/>
        <v>郑士旺</v>
      </c>
      <c r="I86" s="38">
        <f t="shared" si="8"/>
        <v>46230</v>
      </c>
      <c r="J86" s="38">
        <f t="shared" si="9"/>
        <v>46224</v>
      </c>
      <c r="K86" s="38">
        <v>46224</v>
      </c>
      <c r="L86" s="34" t="s">
        <v>75</v>
      </c>
      <c r="M86" s="34" t="s">
        <v>5</v>
      </c>
      <c r="N86" s="38">
        <v>46230</v>
      </c>
      <c r="O86" s="38">
        <v>46241</v>
      </c>
      <c r="P86" s="34" t="s">
        <v>76</v>
      </c>
      <c r="Q86" s="34" t="s">
        <v>5</v>
      </c>
      <c r="R86" s="38">
        <v>46307</v>
      </c>
      <c r="S86" s="38">
        <v>46339</v>
      </c>
      <c r="T86" s="34" t="s">
        <v>77</v>
      </c>
      <c r="U86" s="34" t="s">
        <v>5</v>
      </c>
      <c r="V86" s="38">
        <v>46307</v>
      </c>
      <c r="W86" s="38">
        <v>46339</v>
      </c>
      <c r="X86" s="34" t="s">
        <v>78</v>
      </c>
      <c r="Y86" s="34" t="s">
        <v>5</v>
      </c>
      <c r="Z86" s="38">
        <v>46342</v>
      </c>
      <c r="AA86" s="38">
        <v>46353</v>
      </c>
      <c r="AB86" s="75">
        <f t="shared" si="10"/>
        <v>0</v>
      </c>
      <c r="AC86" s="34" t="str">
        <f>IF(G86="已完成","正常",IF(OR(G86="暂停",G86="挂起"),"暂停",IF(J86="","日期缺失",IF(J86&lt;项目驾驶舱!$B$3,"已延期",IF(J86&lt;=项目驾驶舱!$B$3+7,"临近到期","正常")))))</f>
        <v>已延期</v>
      </c>
      <c r="AD86" s="34" t="s">
        <v>79</v>
      </c>
      <c r="AE86" s="34" t="s">
        <v>79</v>
      </c>
    </row>
    <row r="87" ht="17" customHeight="1" spans="1:31">
      <c r="A87" s="34" t="s">
        <v>270</v>
      </c>
      <c r="B87" s="34" t="s">
        <v>256</v>
      </c>
      <c r="C87" s="34" t="s">
        <v>269</v>
      </c>
      <c r="D87" s="34" t="s">
        <v>271</v>
      </c>
      <c r="E87" s="34" t="s">
        <v>74</v>
      </c>
      <c r="F87" s="34" t="s">
        <v>26</v>
      </c>
      <c r="G87" s="34" t="str">
        <f t="shared" si="11"/>
        <v>未开始</v>
      </c>
      <c r="H87" s="34" t="str">
        <f t="shared" si="7"/>
        <v>郑士旺</v>
      </c>
      <c r="I87" s="38">
        <f t="shared" si="8"/>
        <v>46230</v>
      </c>
      <c r="J87" s="38">
        <f t="shared" si="9"/>
        <v>46224</v>
      </c>
      <c r="K87" s="38">
        <v>46224</v>
      </c>
      <c r="L87" s="34" t="s">
        <v>75</v>
      </c>
      <c r="M87" s="34" t="s">
        <v>5</v>
      </c>
      <c r="N87" s="38">
        <v>46230</v>
      </c>
      <c r="O87" s="38">
        <v>46241</v>
      </c>
      <c r="P87" s="34" t="s">
        <v>76</v>
      </c>
      <c r="Q87" s="34" t="s">
        <v>5</v>
      </c>
      <c r="R87" s="38">
        <v>46307</v>
      </c>
      <c r="S87" s="38">
        <v>46339</v>
      </c>
      <c r="T87" s="34" t="s">
        <v>77</v>
      </c>
      <c r="U87" s="34" t="s">
        <v>5</v>
      </c>
      <c r="V87" s="38">
        <v>46307</v>
      </c>
      <c r="W87" s="38">
        <v>46339</v>
      </c>
      <c r="X87" s="34" t="s">
        <v>78</v>
      </c>
      <c r="Y87" s="34" t="s">
        <v>5</v>
      </c>
      <c r="Z87" s="38">
        <v>46342</v>
      </c>
      <c r="AA87" s="38">
        <v>46353</v>
      </c>
      <c r="AB87" s="75">
        <f t="shared" si="10"/>
        <v>0</v>
      </c>
      <c r="AC87" s="34" t="str">
        <f>IF(G87="已完成","正常",IF(OR(G87="暂停",G87="挂起"),"暂停",IF(J87="","日期缺失",IF(J87&lt;项目驾驶舱!$B$3,"已延期",IF(J87&lt;=项目驾驶舱!$B$3+7,"临近到期","正常")))))</f>
        <v>已延期</v>
      </c>
      <c r="AD87" s="34" t="s">
        <v>79</v>
      </c>
      <c r="AE87" s="34" t="s">
        <v>79</v>
      </c>
    </row>
    <row r="88" ht="17" customHeight="1" spans="1:31">
      <c r="A88" s="34" t="s">
        <v>272</v>
      </c>
      <c r="B88" s="34" t="s">
        <v>256</v>
      </c>
      <c r="C88" s="34" t="s">
        <v>273</v>
      </c>
      <c r="D88" s="34" t="s">
        <v>265</v>
      </c>
      <c r="E88" s="34" t="s">
        <v>74</v>
      </c>
      <c r="F88" s="34" t="s">
        <v>26</v>
      </c>
      <c r="G88" s="34" t="str">
        <f t="shared" si="11"/>
        <v>未开始</v>
      </c>
      <c r="H88" s="34" t="str">
        <f t="shared" si="7"/>
        <v>郑士旺</v>
      </c>
      <c r="I88" s="38">
        <f t="shared" si="8"/>
        <v>46230</v>
      </c>
      <c r="J88" s="38">
        <f t="shared" si="9"/>
        <v>46224</v>
      </c>
      <c r="K88" s="38">
        <v>46224</v>
      </c>
      <c r="L88" s="34" t="s">
        <v>75</v>
      </c>
      <c r="M88" s="34" t="s">
        <v>5</v>
      </c>
      <c r="N88" s="38">
        <v>46230</v>
      </c>
      <c r="O88" s="38">
        <v>46241</v>
      </c>
      <c r="P88" s="34" t="s">
        <v>152</v>
      </c>
      <c r="Q88" s="34" t="s">
        <v>5</v>
      </c>
      <c r="R88" s="38">
        <v>46293</v>
      </c>
      <c r="S88" s="38">
        <v>46311</v>
      </c>
      <c r="T88" s="34" t="s">
        <v>152</v>
      </c>
      <c r="U88" s="34" t="s">
        <v>5</v>
      </c>
      <c r="V88" s="38">
        <v>46293</v>
      </c>
      <c r="W88" s="38">
        <v>46311</v>
      </c>
      <c r="X88" s="34" t="s">
        <v>78</v>
      </c>
      <c r="Y88" s="34" t="s">
        <v>5</v>
      </c>
      <c r="Z88" s="38">
        <v>46342</v>
      </c>
      <c r="AA88" s="38">
        <v>46353</v>
      </c>
      <c r="AB88" s="75">
        <f t="shared" si="10"/>
        <v>0</v>
      </c>
      <c r="AC88" s="34" t="str">
        <f>IF(G88="已完成","正常",IF(OR(G88="暂停",G88="挂起"),"暂停",IF(J88="","日期缺失",IF(J88&lt;项目驾驶舱!$B$3,"已延期",IF(J88&lt;=项目驾驶舱!$B$3+7,"临近到期","正常")))))</f>
        <v>已延期</v>
      </c>
      <c r="AD88" s="34" t="s">
        <v>79</v>
      </c>
      <c r="AE88" s="34" t="s">
        <v>79</v>
      </c>
    </row>
    <row r="89" ht="17" customHeight="1" spans="1:31">
      <c r="A89" s="34" t="s">
        <v>274</v>
      </c>
      <c r="B89" s="34" t="s">
        <v>256</v>
      </c>
      <c r="C89" s="34" t="s">
        <v>273</v>
      </c>
      <c r="D89" s="34" t="s">
        <v>267</v>
      </c>
      <c r="E89" s="34" t="s">
        <v>74</v>
      </c>
      <c r="F89" s="34" t="s">
        <v>26</v>
      </c>
      <c r="G89" s="34" t="str">
        <f t="shared" si="11"/>
        <v>未开始</v>
      </c>
      <c r="H89" s="34" t="str">
        <f t="shared" si="7"/>
        <v>郑士旺</v>
      </c>
      <c r="I89" s="38">
        <f t="shared" si="8"/>
        <v>46230</v>
      </c>
      <c r="J89" s="38">
        <f t="shared" si="9"/>
        <v>46224</v>
      </c>
      <c r="K89" s="38">
        <v>46224</v>
      </c>
      <c r="L89" s="34" t="s">
        <v>75</v>
      </c>
      <c r="M89" s="34" t="s">
        <v>5</v>
      </c>
      <c r="N89" s="38">
        <v>46230</v>
      </c>
      <c r="O89" s="38">
        <v>46241</v>
      </c>
      <c r="P89" s="34" t="s">
        <v>152</v>
      </c>
      <c r="Q89" s="34" t="s">
        <v>5</v>
      </c>
      <c r="R89" s="38">
        <v>46293</v>
      </c>
      <c r="S89" s="38">
        <v>46311</v>
      </c>
      <c r="T89" s="34" t="s">
        <v>77</v>
      </c>
      <c r="U89" s="34" t="s">
        <v>5</v>
      </c>
      <c r="V89" s="38">
        <v>46293</v>
      </c>
      <c r="W89" s="38">
        <v>46311</v>
      </c>
      <c r="X89" s="34" t="s">
        <v>78</v>
      </c>
      <c r="Y89" s="34" t="s">
        <v>5</v>
      </c>
      <c r="Z89" s="38">
        <v>46342</v>
      </c>
      <c r="AA89" s="38">
        <v>46353</v>
      </c>
      <c r="AB89" s="75">
        <f t="shared" si="10"/>
        <v>0</v>
      </c>
      <c r="AC89" s="34" t="str">
        <f>IF(G89="已完成","正常",IF(OR(G89="暂停",G89="挂起"),"暂停",IF(J89="","日期缺失",IF(J89&lt;项目驾驶舱!$B$3,"已延期",IF(J89&lt;=项目驾驶舱!$B$3+7,"临近到期","正常")))))</f>
        <v>已延期</v>
      </c>
      <c r="AD89" s="34" t="s">
        <v>79</v>
      </c>
      <c r="AE89" s="34" t="s">
        <v>79</v>
      </c>
    </row>
    <row r="90" ht="17" customHeight="1" spans="1:31">
      <c r="A90" s="34" t="s">
        <v>275</v>
      </c>
      <c r="B90" s="34" t="s">
        <v>256</v>
      </c>
      <c r="C90" s="34" t="s">
        <v>276</v>
      </c>
      <c r="D90" s="34" t="s">
        <v>265</v>
      </c>
      <c r="E90" s="34" t="s">
        <v>74</v>
      </c>
      <c r="F90" s="34" t="s">
        <v>26</v>
      </c>
      <c r="G90" s="34" t="str">
        <f t="shared" si="11"/>
        <v>未开始</v>
      </c>
      <c r="H90" s="34" t="str">
        <f t="shared" si="7"/>
        <v>郑士旺</v>
      </c>
      <c r="I90" s="38">
        <f t="shared" si="8"/>
        <v>46230</v>
      </c>
      <c r="J90" s="38">
        <f t="shared" si="9"/>
        <v>46224</v>
      </c>
      <c r="K90" s="38">
        <v>46224</v>
      </c>
      <c r="L90" s="34" t="s">
        <v>75</v>
      </c>
      <c r="M90" s="34" t="s">
        <v>5</v>
      </c>
      <c r="N90" s="38">
        <v>46230</v>
      </c>
      <c r="O90" s="38">
        <v>46241</v>
      </c>
      <c r="P90" s="34" t="s">
        <v>152</v>
      </c>
      <c r="Q90" s="34" t="s">
        <v>5</v>
      </c>
      <c r="R90" s="38">
        <v>46293</v>
      </c>
      <c r="S90" s="38">
        <v>46311</v>
      </c>
      <c r="T90" s="34" t="s">
        <v>152</v>
      </c>
      <c r="U90" s="34" t="s">
        <v>5</v>
      </c>
      <c r="V90" s="38">
        <v>46293</v>
      </c>
      <c r="W90" s="38">
        <v>46311</v>
      </c>
      <c r="X90" s="34" t="s">
        <v>78</v>
      </c>
      <c r="Y90" s="34" t="s">
        <v>5</v>
      </c>
      <c r="Z90" s="38">
        <v>46342</v>
      </c>
      <c r="AA90" s="38">
        <v>46353</v>
      </c>
      <c r="AB90" s="75">
        <f t="shared" si="10"/>
        <v>0</v>
      </c>
      <c r="AC90" s="34" t="str">
        <f>IF(G90="已完成","正常",IF(OR(G90="暂停",G90="挂起"),"暂停",IF(J90="","日期缺失",IF(J90&lt;项目驾驶舱!$B$3,"已延期",IF(J90&lt;=项目驾驶舱!$B$3+7,"临近到期","正常")))))</f>
        <v>已延期</v>
      </c>
      <c r="AD90" s="34" t="s">
        <v>79</v>
      </c>
      <c r="AE90" s="34" t="s">
        <v>79</v>
      </c>
    </row>
    <row r="91" ht="17" customHeight="1" spans="1:31">
      <c r="A91" s="34" t="s">
        <v>277</v>
      </c>
      <c r="B91" s="34" t="s">
        <v>256</v>
      </c>
      <c r="C91" s="34" t="s">
        <v>276</v>
      </c>
      <c r="D91" s="34" t="s">
        <v>267</v>
      </c>
      <c r="E91" s="34" t="s">
        <v>74</v>
      </c>
      <c r="F91" s="34" t="s">
        <v>26</v>
      </c>
      <c r="G91" s="34" t="str">
        <f t="shared" si="11"/>
        <v>未开始</v>
      </c>
      <c r="H91" s="34" t="str">
        <f t="shared" si="7"/>
        <v>郑士旺</v>
      </c>
      <c r="I91" s="38">
        <f t="shared" si="8"/>
        <v>46230</v>
      </c>
      <c r="J91" s="38">
        <f t="shared" si="9"/>
        <v>46353</v>
      </c>
      <c r="K91" s="38"/>
      <c r="L91" s="34" t="s">
        <v>75</v>
      </c>
      <c r="M91" s="34" t="s">
        <v>5</v>
      </c>
      <c r="N91" s="38">
        <v>46230</v>
      </c>
      <c r="O91" s="38">
        <v>46241</v>
      </c>
      <c r="P91" s="34" t="s">
        <v>152</v>
      </c>
      <c r="Q91" s="34" t="s">
        <v>5</v>
      </c>
      <c r="R91" s="38">
        <v>46293</v>
      </c>
      <c r="S91" s="38">
        <v>46311</v>
      </c>
      <c r="T91" s="34" t="s">
        <v>152</v>
      </c>
      <c r="U91" s="34" t="s">
        <v>5</v>
      </c>
      <c r="V91" s="38">
        <v>46293</v>
      </c>
      <c r="W91" s="38">
        <v>46311</v>
      </c>
      <c r="X91" s="34" t="s">
        <v>78</v>
      </c>
      <c r="Y91" s="34" t="s">
        <v>5</v>
      </c>
      <c r="Z91" s="38">
        <v>46342</v>
      </c>
      <c r="AA91" s="38">
        <v>46353</v>
      </c>
      <c r="AB91" s="75">
        <f t="shared" si="10"/>
        <v>0</v>
      </c>
      <c r="AC91" s="34" t="str">
        <f>IF(G91="已完成","正常",IF(OR(G91="暂停",G91="挂起"),"暂停",IF(J91="","日期缺失",IF(J91&lt;项目驾驶舱!$B$3,"已延期",IF(J91&lt;=项目驾驶舱!$B$3+7,"临近到期","正常")))))</f>
        <v>正常</v>
      </c>
      <c r="AD91" s="34" t="s">
        <v>79</v>
      </c>
      <c r="AE91" s="34" t="s">
        <v>79</v>
      </c>
    </row>
    <row r="92" ht="17" customHeight="1" spans="1:31">
      <c r="A92" s="34" t="s">
        <v>278</v>
      </c>
      <c r="B92" s="34" t="s">
        <v>256</v>
      </c>
      <c r="C92" s="34" t="s">
        <v>279</v>
      </c>
      <c r="D92" s="34" t="s">
        <v>280</v>
      </c>
      <c r="E92" s="34" t="s">
        <v>74</v>
      </c>
      <c r="F92" s="34" t="s">
        <v>26</v>
      </c>
      <c r="G92" s="34" t="str">
        <f t="shared" si="11"/>
        <v>未开始</v>
      </c>
      <c r="H92" s="34" t="str">
        <f t="shared" si="7"/>
        <v>郑士旺</v>
      </c>
      <c r="I92" s="38">
        <f t="shared" si="8"/>
        <v>46230</v>
      </c>
      <c r="J92" s="38">
        <f t="shared" si="9"/>
        <v>46353</v>
      </c>
      <c r="K92" s="38"/>
      <c r="L92" s="34" t="s">
        <v>75</v>
      </c>
      <c r="M92" s="34" t="s">
        <v>5</v>
      </c>
      <c r="N92" s="38">
        <v>46230</v>
      </c>
      <c r="O92" s="38">
        <v>46241</v>
      </c>
      <c r="P92" s="34" t="s">
        <v>76</v>
      </c>
      <c r="Q92" s="34" t="s">
        <v>5</v>
      </c>
      <c r="R92" s="38">
        <v>46307</v>
      </c>
      <c r="S92" s="38">
        <v>46339</v>
      </c>
      <c r="T92" s="34" t="s">
        <v>77</v>
      </c>
      <c r="U92" s="34" t="s">
        <v>5</v>
      </c>
      <c r="V92" s="38">
        <v>46307</v>
      </c>
      <c r="W92" s="38">
        <v>46339</v>
      </c>
      <c r="X92" s="34" t="s">
        <v>78</v>
      </c>
      <c r="Y92" s="34" t="s">
        <v>5</v>
      </c>
      <c r="Z92" s="38">
        <v>46342</v>
      </c>
      <c r="AA92" s="38">
        <v>46353</v>
      </c>
      <c r="AB92" s="75">
        <f t="shared" si="10"/>
        <v>0</v>
      </c>
      <c r="AC92" s="34" t="str">
        <f>IF(G92="已完成","正常",IF(OR(G92="暂停",G92="挂起"),"暂停",IF(J92="","日期缺失",IF(J92&lt;项目驾驶舱!$B$3,"已延期",IF(J92&lt;=项目驾驶舱!$B$3+7,"临近到期","正常")))))</f>
        <v>正常</v>
      </c>
      <c r="AD92" s="34" t="s">
        <v>79</v>
      </c>
      <c r="AE92" s="34" t="s">
        <v>79</v>
      </c>
    </row>
    <row r="93" ht="17" customHeight="1" spans="1:31">
      <c r="A93" s="34" t="s">
        <v>281</v>
      </c>
      <c r="B93" s="34" t="s">
        <v>256</v>
      </c>
      <c r="C93" s="34" t="s">
        <v>279</v>
      </c>
      <c r="D93" s="34" t="s">
        <v>282</v>
      </c>
      <c r="E93" s="34" t="s">
        <v>74</v>
      </c>
      <c r="F93" s="34" t="s">
        <v>26</v>
      </c>
      <c r="G93" s="34" t="str">
        <f t="shared" si="11"/>
        <v>未开始</v>
      </c>
      <c r="H93" s="34" t="str">
        <f t="shared" si="7"/>
        <v>郑士旺</v>
      </c>
      <c r="I93" s="38">
        <f t="shared" si="8"/>
        <v>46230</v>
      </c>
      <c r="J93" s="38">
        <f t="shared" si="9"/>
        <v>46353</v>
      </c>
      <c r="K93" s="38"/>
      <c r="L93" s="34" t="s">
        <v>75</v>
      </c>
      <c r="M93" s="34" t="s">
        <v>5</v>
      </c>
      <c r="N93" s="38">
        <v>46230</v>
      </c>
      <c r="O93" s="38">
        <v>46241</v>
      </c>
      <c r="P93" s="34" t="s">
        <v>76</v>
      </c>
      <c r="Q93" s="34" t="s">
        <v>5</v>
      </c>
      <c r="R93" s="38">
        <v>46307</v>
      </c>
      <c r="S93" s="38">
        <v>46339</v>
      </c>
      <c r="T93" s="34" t="s">
        <v>77</v>
      </c>
      <c r="U93" s="34" t="s">
        <v>5</v>
      </c>
      <c r="V93" s="38">
        <v>46307</v>
      </c>
      <c r="W93" s="38">
        <v>46339</v>
      </c>
      <c r="X93" s="34" t="s">
        <v>78</v>
      </c>
      <c r="Y93" s="34" t="s">
        <v>5</v>
      </c>
      <c r="Z93" s="38">
        <v>46342</v>
      </c>
      <c r="AA93" s="38">
        <v>46353</v>
      </c>
      <c r="AB93" s="75">
        <f t="shared" si="10"/>
        <v>0</v>
      </c>
      <c r="AC93" s="34" t="str">
        <f>IF(G93="已完成","正常",IF(OR(G93="暂停",G93="挂起"),"暂停",IF(J93="","日期缺失",IF(J93&lt;项目驾驶舱!$B$3,"已延期",IF(J93&lt;=项目驾驶舱!$B$3+7,"临近到期","正常")))))</f>
        <v>正常</v>
      </c>
      <c r="AD93" s="34" t="s">
        <v>79</v>
      </c>
      <c r="AE93" s="34" t="s">
        <v>79</v>
      </c>
    </row>
    <row r="94" ht="34" customHeight="1" spans="1:31">
      <c r="A94" s="34" t="s">
        <v>283</v>
      </c>
      <c r="B94" s="34" t="s">
        <v>256</v>
      </c>
      <c r="C94" s="34" t="s">
        <v>279</v>
      </c>
      <c r="D94" s="34" t="s">
        <v>284</v>
      </c>
      <c r="E94" s="34" t="s">
        <v>74</v>
      </c>
      <c r="F94" s="34" t="s">
        <v>26</v>
      </c>
      <c r="G94" s="34" t="str">
        <f t="shared" si="11"/>
        <v>未开始</v>
      </c>
      <c r="H94" s="34" t="str">
        <f t="shared" si="7"/>
        <v>郑士旺</v>
      </c>
      <c r="I94" s="38">
        <f t="shared" si="8"/>
        <v>46230</v>
      </c>
      <c r="J94" s="38">
        <f t="shared" si="9"/>
        <v>46353</v>
      </c>
      <c r="K94" s="38"/>
      <c r="L94" s="34" t="s">
        <v>75</v>
      </c>
      <c r="M94" s="34" t="s">
        <v>5</v>
      </c>
      <c r="N94" s="38">
        <v>46230</v>
      </c>
      <c r="O94" s="38">
        <v>46241</v>
      </c>
      <c r="P94" s="34" t="s">
        <v>76</v>
      </c>
      <c r="Q94" s="34" t="s">
        <v>5</v>
      </c>
      <c r="R94" s="38">
        <v>46307</v>
      </c>
      <c r="S94" s="38">
        <v>46339</v>
      </c>
      <c r="T94" s="34" t="s">
        <v>77</v>
      </c>
      <c r="U94" s="34" t="s">
        <v>5</v>
      </c>
      <c r="V94" s="38">
        <v>46307</v>
      </c>
      <c r="W94" s="38">
        <v>46339</v>
      </c>
      <c r="X94" s="34" t="s">
        <v>78</v>
      </c>
      <c r="Y94" s="34" t="s">
        <v>5</v>
      </c>
      <c r="Z94" s="38">
        <v>46342</v>
      </c>
      <c r="AA94" s="38">
        <v>46353</v>
      </c>
      <c r="AB94" s="75">
        <f t="shared" si="10"/>
        <v>0</v>
      </c>
      <c r="AC94" s="34" t="str">
        <f>IF(G94="已完成","正常",IF(OR(G94="暂停",G94="挂起"),"暂停",IF(J94="","日期缺失",IF(J94&lt;项目驾驶舱!$B$3,"已延期",IF(J94&lt;=项目驾驶舱!$B$3+7,"临近到期","正常")))))</f>
        <v>正常</v>
      </c>
      <c r="AD94" s="34" t="s">
        <v>79</v>
      </c>
      <c r="AE94" s="34" t="s">
        <v>79</v>
      </c>
    </row>
    <row r="95" ht="34" customHeight="1" spans="1:31">
      <c r="A95" s="34" t="s">
        <v>285</v>
      </c>
      <c r="B95" s="34" t="s">
        <v>256</v>
      </c>
      <c r="C95" s="34" t="s">
        <v>279</v>
      </c>
      <c r="D95" s="34" t="s">
        <v>286</v>
      </c>
      <c r="E95" s="34" t="s">
        <v>74</v>
      </c>
      <c r="F95" s="34" t="s">
        <v>26</v>
      </c>
      <c r="G95" s="34" t="str">
        <f t="shared" si="11"/>
        <v>未开始</v>
      </c>
      <c r="H95" s="34" t="str">
        <f t="shared" si="7"/>
        <v>郑士旺</v>
      </c>
      <c r="I95" s="38">
        <f t="shared" si="8"/>
        <v>46230</v>
      </c>
      <c r="J95" s="38">
        <f t="shared" si="9"/>
        <v>46353</v>
      </c>
      <c r="K95" s="38"/>
      <c r="L95" s="34" t="s">
        <v>75</v>
      </c>
      <c r="M95" s="34" t="s">
        <v>5</v>
      </c>
      <c r="N95" s="38">
        <v>46230</v>
      </c>
      <c r="O95" s="38">
        <v>46241</v>
      </c>
      <c r="P95" s="34" t="s">
        <v>76</v>
      </c>
      <c r="Q95" s="34" t="s">
        <v>5</v>
      </c>
      <c r="R95" s="38">
        <v>46307</v>
      </c>
      <c r="S95" s="38">
        <v>46339</v>
      </c>
      <c r="T95" s="34" t="s">
        <v>77</v>
      </c>
      <c r="U95" s="34" t="s">
        <v>5</v>
      </c>
      <c r="V95" s="38">
        <v>46307</v>
      </c>
      <c r="W95" s="38">
        <v>46339</v>
      </c>
      <c r="X95" s="34" t="s">
        <v>78</v>
      </c>
      <c r="Y95" s="34" t="s">
        <v>5</v>
      </c>
      <c r="Z95" s="38">
        <v>46342</v>
      </c>
      <c r="AA95" s="38">
        <v>46353</v>
      </c>
      <c r="AB95" s="75">
        <f t="shared" si="10"/>
        <v>0</v>
      </c>
      <c r="AC95" s="34" t="str">
        <f>IF(G95="已完成","正常",IF(OR(G95="暂停",G95="挂起"),"暂停",IF(J95="","日期缺失",IF(J95&lt;项目驾驶舱!$B$3,"已延期",IF(J95&lt;=项目驾驶舱!$B$3+7,"临近到期","正常")))))</f>
        <v>正常</v>
      </c>
      <c r="AD95" s="34" t="s">
        <v>79</v>
      </c>
      <c r="AE95" s="34" t="s">
        <v>79</v>
      </c>
    </row>
    <row r="96" ht="34" customHeight="1" spans="1:31">
      <c r="A96" s="34" t="s">
        <v>287</v>
      </c>
      <c r="B96" s="34" t="s">
        <v>256</v>
      </c>
      <c r="C96" s="34" t="s">
        <v>288</v>
      </c>
      <c r="D96" s="34" t="s">
        <v>265</v>
      </c>
      <c r="E96" s="34" t="s">
        <v>74</v>
      </c>
      <c r="F96" s="34" t="s">
        <v>26</v>
      </c>
      <c r="G96" s="34" t="str">
        <f t="shared" si="11"/>
        <v>未开始</v>
      </c>
      <c r="H96" s="34" t="str">
        <f t="shared" si="7"/>
        <v>郑士旺</v>
      </c>
      <c r="I96" s="38">
        <f t="shared" si="8"/>
        <v>46230</v>
      </c>
      <c r="J96" s="38">
        <f t="shared" si="9"/>
        <v>46353</v>
      </c>
      <c r="K96" s="38"/>
      <c r="L96" s="34" t="s">
        <v>75</v>
      </c>
      <c r="M96" s="34" t="s">
        <v>5</v>
      </c>
      <c r="N96" s="38">
        <v>46230</v>
      </c>
      <c r="O96" s="38">
        <v>46241</v>
      </c>
      <c r="P96" s="34" t="s">
        <v>76</v>
      </c>
      <c r="Q96" s="34" t="s">
        <v>5</v>
      </c>
      <c r="R96" s="38">
        <v>46307</v>
      </c>
      <c r="S96" s="38">
        <v>46339</v>
      </c>
      <c r="T96" s="34" t="s">
        <v>77</v>
      </c>
      <c r="U96" s="34" t="s">
        <v>5</v>
      </c>
      <c r="V96" s="38">
        <v>46307</v>
      </c>
      <c r="W96" s="38">
        <v>46339</v>
      </c>
      <c r="X96" s="34" t="s">
        <v>78</v>
      </c>
      <c r="Y96" s="34" t="s">
        <v>5</v>
      </c>
      <c r="Z96" s="38">
        <v>46342</v>
      </c>
      <c r="AA96" s="38">
        <v>46353</v>
      </c>
      <c r="AB96" s="75">
        <f t="shared" si="10"/>
        <v>0</v>
      </c>
      <c r="AC96" s="34" t="str">
        <f>IF(G96="已完成","正常",IF(OR(G96="暂停",G96="挂起"),"暂停",IF(J96="","日期缺失",IF(J96&lt;项目驾驶舱!$B$3,"已延期",IF(J96&lt;=项目驾驶舱!$B$3+7,"临近到期","正常")))))</f>
        <v>正常</v>
      </c>
      <c r="AD96" s="34" t="s">
        <v>79</v>
      </c>
      <c r="AE96" s="34" t="s">
        <v>79</v>
      </c>
    </row>
    <row r="97" ht="34" customHeight="1" spans="1:31">
      <c r="A97" s="34" t="s">
        <v>289</v>
      </c>
      <c r="B97" s="34" t="s">
        <v>256</v>
      </c>
      <c r="C97" s="34" t="s">
        <v>288</v>
      </c>
      <c r="D97" s="34" t="s">
        <v>267</v>
      </c>
      <c r="E97" s="34" t="s">
        <v>74</v>
      </c>
      <c r="F97" s="34" t="s">
        <v>26</v>
      </c>
      <c r="G97" s="34" t="str">
        <f t="shared" si="11"/>
        <v>未开始</v>
      </c>
      <c r="H97" s="34" t="str">
        <f t="shared" si="7"/>
        <v>郑士旺</v>
      </c>
      <c r="I97" s="38">
        <f t="shared" si="8"/>
        <v>46230</v>
      </c>
      <c r="J97" s="38">
        <f t="shared" si="9"/>
        <v>46353</v>
      </c>
      <c r="K97" s="38"/>
      <c r="L97" s="34" t="s">
        <v>75</v>
      </c>
      <c r="M97" s="34" t="s">
        <v>5</v>
      </c>
      <c r="N97" s="38">
        <v>46230</v>
      </c>
      <c r="O97" s="38">
        <v>46241</v>
      </c>
      <c r="P97" s="34" t="s">
        <v>76</v>
      </c>
      <c r="Q97" s="34" t="s">
        <v>5</v>
      </c>
      <c r="R97" s="38">
        <v>46307</v>
      </c>
      <c r="S97" s="38">
        <v>46339</v>
      </c>
      <c r="T97" s="34" t="s">
        <v>77</v>
      </c>
      <c r="U97" s="34" t="s">
        <v>5</v>
      </c>
      <c r="V97" s="38">
        <v>46307</v>
      </c>
      <c r="W97" s="38">
        <v>46339</v>
      </c>
      <c r="X97" s="34" t="s">
        <v>78</v>
      </c>
      <c r="Y97" s="34" t="s">
        <v>5</v>
      </c>
      <c r="Z97" s="38">
        <v>46342</v>
      </c>
      <c r="AA97" s="38">
        <v>46353</v>
      </c>
      <c r="AB97" s="75">
        <f t="shared" si="10"/>
        <v>0</v>
      </c>
      <c r="AC97" s="34" t="str">
        <f>IF(G97="已完成","正常",IF(OR(G97="暂停",G97="挂起"),"暂停",IF(J97="","日期缺失",IF(J97&lt;项目驾驶舱!$B$3,"已延期",IF(J97&lt;=项目驾驶舱!$B$3+7,"临近到期","正常")))))</f>
        <v>正常</v>
      </c>
      <c r="AD97" s="34" t="s">
        <v>79</v>
      </c>
      <c r="AE97" s="34" t="s">
        <v>79</v>
      </c>
    </row>
    <row r="98" ht="17" customHeight="1" spans="1:31">
      <c r="A98" s="34" t="s">
        <v>290</v>
      </c>
      <c r="B98" s="34" t="s">
        <v>256</v>
      </c>
      <c r="C98" s="34" t="s">
        <v>291</v>
      </c>
      <c r="D98" s="34" t="s">
        <v>292</v>
      </c>
      <c r="E98" s="34" t="s">
        <v>74</v>
      </c>
      <c r="F98" s="34" t="s">
        <v>25</v>
      </c>
      <c r="G98" s="34" t="str">
        <f>IF(OR(M98="挂起",M98="暂停",Q98="挂起",Q98="暂停",U98="挂起",U98="暂停",Y98="挂起",Y98="暂停"),"暂停","进行中")</f>
        <v>进行中</v>
      </c>
      <c r="H98" s="34" t="str">
        <f t="shared" si="7"/>
        <v>郑士旺</v>
      </c>
      <c r="I98" s="38">
        <f t="shared" si="8"/>
        <v>46202</v>
      </c>
      <c r="J98" s="38">
        <f t="shared" si="9"/>
        <v>46273</v>
      </c>
      <c r="K98" s="38"/>
      <c r="L98" s="34" t="s">
        <v>75</v>
      </c>
      <c r="M98" s="34" t="s">
        <v>3</v>
      </c>
      <c r="N98" s="38">
        <v>46202</v>
      </c>
      <c r="O98" s="38">
        <v>46206</v>
      </c>
      <c r="P98" s="34" t="s">
        <v>152</v>
      </c>
      <c r="Q98" s="34" t="s">
        <v>3</v>
      </c>
      <c r="R98" s="38">
        <v>46265</v>
      </c>
      <c r="S98" s="38">
        <v>46273</v>
      </c>
      <c r="T98" s="34" t="s">
        <v>152</v>
      </c>
      <c r="U98" s="34" t="s">
        <v>3</v>
      </c>
      <c r="V98" s="38">
        <v>46265</v>
      </c>
      <c r="W98" s="38">
        <v>46273</v>
      </c>
      <c r="X98" s="34" t="s">
        <v>78</v>
      </c>
      <c r="Y98" s="34" t="s">
        <v>4</v>
      </c>
      <c r="Z98" s="38">
        <v>46216</v>
      </c>
      <c r="AA98" s="38">
        <v>46234</v>
      </c>
      <c r="AB98" s="75">
        <f t="shared" si="10"/>
        <v>0.9</v>
      </c>
      <c r="AC98" s="34" t="str">
        <f>IF(G98="已完成","正常",IF(OR(G98="暂停",G98="挂起"),"暂停",IF(J98="","日期缺失",IF(J98&lt;项目驾驶舱!$B$3,"已延期",IF(J98&lt;=项目驾驶舱!$B$3+7,"临近到期","正常")))))</f>
        <v>已延期</v>
      </c>
      <c r="AD98" s="34" t="s">
        <v>79</v>
      </c>
      <c r="AE98" s="34" t="s">
        <v>79</v>
      </c>
    </row>
    <row r="99" ht="17" customHeight="1" spans="1:31">
      <c r="A99" s="34" t="s">
        <v>293</v>
      </c>
      <c r="B99" s="34" t="s">
        <v>256</v>
      </c>
      <c r="C99" s="34" t="s">
        <v>294</v>
      </c>
      <c r="D99" s="34" t="s">
        <v>295</v>
      </c>
      <c r="E99" s="34" t="s">
        <v>74</v>
      </c>
      <c r="F99" s="34" t="s">
        <v>25</v>
      </c>
      <c r="G99" s="34" t="str">
        <f t="shared" ref="G99:G113" si="12">IF(OR(M99="挂起",M99="暂停",Q99="挂起",Q99="暂停",U99="挂起",U99="暂停",Y99="挂起",Y99="暂停"),"暂停","已完成")</f>
        <v>已完成</v>
      </c>
      <c r="H99" s="34" t="str">
        <f t="shared" si="7"/>
        <v>郑士旺</v>
      </c>
      <c r="I99" s="38">
        <f t="shared" si="8"/>
        <v>46202</v>
      </c>
      <c r="J99" s="38">
        <f t="shared" si="9"/>
        <v>46261</v>
      </c>
      <c r="K99" s="38">
        <v>46261</v>
      </c>
      <c r="L99" s="34" t="s">
        <v>75</v>
      </c>
      <c r="M99" s="34" t="s">
        <v>3</v>
      </c>
      <c r="N99" s="38">
        <v>46202</v>
      </c>
      <c r="O99" s="38">
        <v>46206</v>
      </c>
      <c r="P99" s="34" t="s">
        <v>76</v>
      </c>
      <c r="Q99" s="34" t="s">
        <v>3</v>
      </c>
      <c r="R99" s="38">
        <v>46209</v>
      </c>
      <c r="S99" s="38">
        <v>46225</v>
      </c>
      <c r="T99" s="34" t="s">
        <v>77</v>
      </c>
      <c r="U99" s="34" t="s">
        <v>3</v>
      </c>
      <c r="V99" s="38">
        <v>46209</v>
      </c>
      <c r="W99" s="38">
        <v>46225</v>
      </c>
      <c r="X99" s="34" t="s">
        <v>78</v>
      </c>
      <c r="Y99" s="34" t="s">
        <v>3</v>
      </c>
      <c r="Z99" s="38">
        <v>46216</v>
      </c>
      <c r="AA99" s="38">
        <v>46234</v>
      </c>
      <c r="AB99" s="75">
        <f t="shared" si="10"/>
        <v>1</v>
      </c>
      <c r="AC99" s="34" t="str">
        <f>IF(G99="已完成","正常",IF(OR(G99="暂停",G99="挂起"),"暂停",IF(J99="","日期缺失",IF(J99&lt;项目驾驶舱!$B$3,"已延期",IF(J99&lt;=项目驾驶舱!$B$3+7,"临近到期","正常")))))</f>
        <v>正常</v>
      </c>
      <c r="AD99" s="34" t="s">
        <v>79</v>
      </c>
      <c r="AE99" s="34" t="s">
        <v>79</v>
      </c>
    </row>
    <row r="100" ht="17" customHeight="1" spans="1:31">
      <c r="A100" s="34" t="s">
        <v>296</v>
      </c>
      <c r="B100" s="34" t="s">
        <v>256</v>
      </c>
      <c r="C100" s="34" t="s">
        <v>297</v>
      </c>
      <c r="D100" s="34" t="s">
        <v>298</v>
      </c>
      <c r="E100" s="34" t="s">
        <v>74</v>
      </c>
      <c r="F100" s="34" t="s">
        <v>25</v>
      </c>
      <c r="G100" s="34" t="str">
        <f t="shared" si="12"/>
        <v>已完成</v>
      </c>
      <c r="H100" s="34" t="str">
        <f t="shared" si="7"/>
        <v>郑士旺</v>
      </c>
      <c r="I100" s="38">
        <f t="shared" si="8"/>
        <v>46202</v>
      </c>
      <c r="J100" s="38">
        <f t="shared" si="9"/>
        <v>46234</v>
      </c>
      <c r="K100" s="38"/>
      <c r="L100" s="34" t="s">
        <v>75</v>
      </c>
      <c r="M100" s="34" t="s">
        <v>3</v>
      </c>
      <c r="N100" s="38">
        <v>46202</v>
      </c>
      <c r="O100" s="38">
        <v>46206</v>
      </c>
      <c r="P100" s="34" t="s">
        <v>76</v>
      </c>
      <c r="Q100" s="34" t="s">
        <v>3</v>
      </c>
      <c r="R100" s="38">
        <v>46227</v>
      </c>
      <c r="S100" s="38">
        <v>46227</v>
      </c>
      <c r="T100" s="34" t="s">
        <v>77</v>
      </c>
      <c r="U100" s="34" t="s">
        <v>3</v>
      </c>
      <c r="V100" s="38">
        <v>46227</v>
      </c>
      <c r="W100" s="38">
        <v>46227</v>
      </c>
      <c r="X100" s="34" t="s">
        <v>78</v>
      </c>
      <c r="Y100" s="34" t="s">
        <v>3</v>
      </c>
      <c r="Z100" s="38">
        <v>46216</v>
      </c>
      <c r="AA100" s="38">
        <v>46234</v>
      </c>
      <c r="AB100" s="75">
        <f t="shared" si="10"/>
        <v>1</v>
      </c>
      <c r="AC100" s="34" t="str">
        <f>IF(G100="已完成","正常",IF(OR(G100="暂停",G100="挂起"),"暂停",IF(J100="","日期缺失",IF(J100&lt;项目驾驶舱!$B$3,"已延期",IF(J100&lt;=项目驾驶舱!$B$3+7,"临近到期","正常")))))</f>
        <v>正常</v>
      </c>
      <c r="AD100" s="34" t="s">
        <v>79</v>
      </c>
      <c r="AE100" s="34" t="s">
        <v>79</v>
      </c>
    </row>
    <row r="101" ht="17" customHeight="1" spans="1:31">
      <c r="A101" s="34" t="s">
        <v>299</v>
      </c>
      <c r="B101" s="34" t="s">
        <v>256</v>
      </c>
      <c r="C101" s="34" t="s">
        <v>300</v>
      </c>
      <c r="D101" s="34" t="s">
        <v>301</v>
      </c>
      <c r="E101" s="34" t="s">
        <v>74</v>
      </c>
      <c r="F101" s="34" t="s">
        <v>25</v>
      </c>
      <c r="G101" s="34" t="str">
        <f t="shared" si="12"/>
        <v>已完成</v>
      </c>
      <c r="H101" s="34" t="str">
        <f t="shared" si="7"/>
        <v>郑士旺</v>
      </c>
      <c r="I101" s="38">
        <f t="shared" si="8"/>
        <v>46202</v>
      </c>
      <c r="J101" s="38">
        <f t="shared" si="9"/>
        <v>46224</v>
      </c>
      <c r="K101" s="38">
        <v>46224</v>
      </c>
      <c r="L101" s="34" t="s">
        <v>75</v>
      </c>
      <c r="M101" s="34" t="s">
        <v>3</v>
      </c>
      <c r="N101" s="38">
        <v>46202</v>
      </c>
      <c r="O101" s="38">
        <v>46206</v>
      </c>
      <c r="P101" s="34" t="s">
        <v>76</v>
      </c>
      <c r="Q101" s="34" t="s">
        <v>3</v>
      </c>
      <c r="R101" s="38">
        <v>46227</v>
      </c>
      <c r="S101" s="38">
        <v>46227</v>
      </c>
      <c r="T101" s="34" t="s">
        <v>77</v>
      </c>
      <c r="U101" s="34" t="s">
        <v>3</v>
      </c>
      <c r="V101" s="38">
        <v>46227</v>
      </c>
      <c r="W101" s="38">
        <v>46227</v>
      </c>
      <c r="X101" s="34" t="s">
        <v>78</v>
      </c>
      <c r="Y101" s="34" t="s">
        <v>3</v>
      </c>
      <c r="Z101" s="38">
        <v>46216</v>
      </c>
      <c r="AA101" s="38">
        <v>46234</v>
      </c>
      <c r="AB101" s="75">
        <f t="shared" si="10"/>
        <v>1</v>
      </c>
      <c r="AC101" s="34" t="str">
        <f>IF(G101="已完成","正常",IF(OR(G101="暂停",G101="挂起"),"暂停",IF(J101="","日期缺失",IF(J101&lt;项目驾驶舱!$B$3,"已延期",IF(J101&lt;=项目驾驶舱!$B$3+7,"临近到期","正常")))))</f>
        <v>正常</v>
      </c>
      <c r="AD101" s="34" t="s">
        <v>79</v>
      </c>
      <c r="AE101" s="34" t="s">
        <v>79</v>
      </c>
    </row>
    <row r="102" ht="17" customHeight="1" spans="1:31">
      <c r="A102" s="34" t="s">
        <v>302</v>
      </c>
      <c r="B102" s="34" t="s">
        <v>256</v>
      </c>
      <c r="C102" s="34" t="s">
        <v>300</v>
      </c>
      <c r="D102" s="34" t="s">
        <v>303</v>
      </c>
      <c r="E102" s="34" t="s">
        <v>74</v>
      </c>
      <c r="F102" s="34" t="s">
        <v>25</v>
      </c>
      <c r="G102" s="34" t="str">
        <f t="shared" si="12"/>
        <v>已完成</v>
      </c>
      <c r="H102" s="34" t="str">
        <f t="shared" si="7"/>
        <v>郑士旺</v>
      </c>
      <c r="I102" s="38">
        <f t="shared" si="8"/>
        <v>46202</v>
      </c>
      <c r="J102" s="38">
        <f t="shared" si="9"/>
        <v>46224</v>
      </c>
      <c r="K102" s="38">
        <v>46224</v>
      </c>
      <c r="L102" s="34" t="s">
        <v>75</v>
      </c>
      <c r="M102" s="34" t="s">
        <v>3</v>
      </c>
      <c r="N102" s="38">
        <v>46202</v>
      </c>
      <c r="O102" s="38">
        <v>46206</v>
      </c>
      <c r="P102" s="34" t="s">
        <v>76</v>
      </c>
      <c r="Q102" s="34" t="s">
        <v>3</v>
      </c>
      <c r="R102" s="38">
        <v>46227</v>
      </c>
      <c r="S102" s="38">
        <v>46227</v>
      </c>
      <c r="T102" s="34" t="s">
        <v>77</v>
      </c>
      <c r="U102" s="34" t="s">
        <v>3</v>
      </c>
      <c r="V102" s="38">
        <v>46227</v>
      </c>
      <c r="W102" s="38">
        <v>46227</v>
      </c>
      <c r="X102" s="34" t="s">
        <v>78</v>
      </c>
      <c r="Y102" s="34" t="s">
        <v>3</v>
      </c>
      <c r="Z102" s="38">
        <v>46216</v>
      </c>
      <c r="AA102" s="38">
        <v>46234</v>
      </c>
      <c r="AB102" s="75">
        <f t="shared" si="10"/>
        <v>1</v>
      </c>
      <c r="AC102" s="34" t="str">
        <f>IF(G102="已完成","正常",IF(OR(G102="暂停",G102="挂起"),"暂停",IF(J102="","日期缺失",IF(J102&lt;项目驾驶舱!$B$3,"已延期",IF(J102&lt;=项目驾驶舱!$B$3+7,"临近到期","正常")))))</f>
        <v>正常</v>
      </c>
      <c r="AD102" s="34" t="s">
        <v>79</v>
      </c>
      <c r="AE102" s="34" t="s">
        <v>79</v>
      </c>
    </row>
    <row r="103" ht="34" customHeight="1" spans="1:31">
      <c r="A103" s="34" t="s">
        <v>304</v>
      </c>
      <c r="B103" s="34" t="s">
        <v>305</v>
      </c>
      <c r="C103" s="34" t="s">
        <v>306</v>
      </c>
      <c r="D103" s="34" t="s">
        <v>307</v>
      </c>
      <c r="E103" s="34" t="s">
        <v>74</v>
      </c>
      <c r="F103" s="34" t="s">
        <v>25</v>
      </c>
      <c r="G103" s="34" t="str">
        <f t="shared" si="12"/>
        <v>已完成</v>
      </c>
      <c r="H103" s="34" t="str">
        <f t="shared" si="7"/>
        <v>郑士旺</v>
      </c>
      <c r="I103" s="38">
        <f t="shared" si="8"/>
        <v>46209</v>
      </c>
      <c r="J103" s="38">
        <f t="shared" si="9"/>
        <v>46224</v>
      </c>
      <c r="K103" s="38">
        <v>46224</v>
      </c>
      <c r="L103" s="34" t="s">
        <v>75</v>
      </c>
      <c r="M103" s="34" t="s">
        <v>3</v>
      </c>
      <c r="N103" s="38">
        <v>46209</v>
      </c>
      <c r="O103" s="38">
        <v>46213</v>
      </c>
      <c r="P103" s="34" t="s">
        <v>76</v>
      </c>
      <c r="Q103" s="34" t="s">
        <v>3</v>
      </c>
      <c r="R103" s="38">
        <v>46230</v>
      </c>
      <c r="S103" s="38">
        <v>46262</v>
      </c>
      <c r="T103" s="34" t="s">
        <v>77</v>
      </c>
      <c r="U103" s="34" t="s">
        <v>3</v>
      </c>
      <c r="V103" s="38">
        <v>46230</v>
      </c>
      <c r="W103" s="38">
        <v>46262</v>
      </c>
      <c r="X103" s="34" t="s">
        <v>78</v>
      </c>
      <c r="Y103" s="34" t="s">
        <v>3</v>
      </c>
      <c r="Z103" s="38">
        <v>46253</v>
      </c>
      <c r="AA103" s="38">
        <v>46269</v>
      </c>
      <c r="AB103" s="75">
        <f t="shared" si="10"/>
        <v>1</v>
      </c>
      <c r="AC103" s="34" t="str">
        <f>IF(G103="已完成","正常",IF(OR(G103="暂停",G103="挂起"),"暂停",IF(J103="","日期缺失",IF(J103&lt;项目驾驶舱!$B$3,"已延期",IF(J103&lt;=项目驾驶舱!$B$3+7,"临近到期","正常")))))</f>
        <v>正常</v>
      </c>
      <c r="AD103" s="34" t="s">
        <v>79</v>
      </c>
      <c r="AE103" s="34" t="s">
        <v>79</v>
      </c>
    </row>
    <row r="104" ht="17" customHeight="1" spans="1:31">
      <c r="A104" s="34" t="s">
        <v>308</v>
      </c>
      <c r="B104" s="34" t="s">
        <v>305</v>
      </c>
      <c r="C104" s="34" t="s">
        <v>306</v>
      </c>
      <c r="D104" s="34" t="s">
        <v>309</v>
      </c>
      <c r="E104" s="34" t="s">
        <v>74</v>
      </c>
      <c r="F104" s="34" t="s">
        <v>25</v>
      </c>
      <c r="G104" s="34" t="str">
        <f t="shared" si="12"/>
        <v>已完成</v>
      </c>
      <c r="H104" s="34" t="str">
        <f t="shared" si="7"/>
        <v>郑士旺</v>
      </c>
      <c r="I104" s="38">
        <f t="shared" si="8"/>
        <v>46209</v>
      </c>
      <c r="J104" s="38">
        <f t="shared" si="9"/>
        <v>46224</v>
      </c>
      <c r="K104" s="38">
        <v>46224</v>
      </c>
      <c r="L104" s="34" t="s">
        <v>75</v>
      </c>
      <c r="M104" s="34" t="s">
        <v>3</v>
      </c>
      <c r="N104" s="38">
        <v>46209</v>
      </c>
      <c r="O104" s="38">
        <v>46213</v>
      </c>
      <c r="P104" s="34" t="s">
        <v>76</v>
      </c>
      <c r="Q104" s="34" t="s">
        <v>3</v>
      </c>
      <c r="R104" s="38">
        <v>46230</v>
      </c>
      <c r="S104" s="38">
        <v>46262</v>
      </c>
      <c r="T104" s="34" t="s">
        <v>77</v>
      </c>
      <c r="U104" s="34" t="s">
        <v>3</v>
      </c>
      <c r="V104" s="38">
        <v>46230</v>
      </c>
      <c r="W104" s="38">
        <v>46262</v>
      </c>
      <c r="X104" s="34" t="s">
        <v>78</v>
      </c>
      <c r="Y104" s="34" t="s">
        <v>3</v>
      </c>
      <c r="Z104" s="38">
        <v>46253</v>
      </c>
      <c r="AA104" s="38">
        <v>46269</v>
      </c>
      <c r="AB104" s="75">
        <f t="shared" si="10"/>
        <v>1</v>
      </c>
      <c r="AC104" s="34" t="str">
        <f>IF(G104="已完成","正常",IF(OR(G104="暂停",G104="挂起"),"暂停",IF(J104="","日期缺失",IF(J104&lt;项目驾驶舱!$B$3,"已延期",IF(J104&lt;=项目驾驶舱!$B$3+7,"临近到期","正常")))))</f>
        <v>正常</v>
      </c>
      <c r="AD104" s="34" t="s">
        <v>79</v>
      </c>
      <c r="AE104" s="34" t="s">
        <v>79</v>
      </c>
    </row>
    <row r="105" ht="17" customHeight="1" spans="1:31">
      <c r="A105" s="34" t="s">
        <v>310</v>
      </c>
      <c r="B105" s="34" t="s">
        <v>305</v>
      </c>
      <c r="C105" s="34" t="s">
        <v>306</v>
      </c>
      <c r="D105" s="34" t="s">
        <v>311</v>
      </c>
      <c r="E105" s="34" t="s">
        <v>74</v>
      </c>
      <c r="F105" s="34" t="s">
        <v>25</v>
      </c>
      <c r="G105" s="34" t="str">
        <f t="shared" si="12"/>
        <v>已完成</v>
      </c>
      <c r="H105" s="34" t="str">
        <f t="shared" si="7"/>
        <v>郑士旺</v>
      </c>
      <c r="I105" s="38">
        <f t="shared" si="8"/>
        <v>46209</v>
      </c>
      <c r="J105" s="38">
        <f t="shared" si="9"/>
        <v>46224</v>
      </c>
      <c r="K105" s="38">
        <v>46224</v>
      </c>
      <c r="L105" s="34" t="s">
        <v>75</v>
      </c>
      <c r="M105" s="34" t="s">
        <v>3</v>
      </c>
      <c r="N105" s="38">
        <v>46209</v>
      </c>
      <c r="O105" s="38">
        <v>46213</v>
      </c>
      <c r="P105" s="34" t="s">
        <v>76</v>
      </c>
      <c r="Q105" s="34" t="s">
        <v>3</v>
      </c>
      <c r="R105" s="38">
        <v>46230</v>
      </c>
      <c r="S105" s="38">
        <v>46262</v>
      </c>
      <c r="T105" s="34" t="s">
        <v>77</v>
      </c>
      <c r="U105" s="34" t="s">
        <v>3</v>
      </c>
      <c r="V105" s="38">
        <v>46230</v>
      </c>
      <c r="W105" s="38">
        <v>46262</v>
      </c>
      <c r="X105" s="34" t="s">
        <v>78</v>
      </c>
      <c r="Y105" s="34" t="s">
        <v>3</v>
      </c>
      <c r="Z105" s="38">
        <v>46253</v>
      </c>
      <c r="AA105" s="38">
        <v>46269</v>
      </c>
      <c r="AB105" s="75">
        <f t="shared" si="10"/>
        <v>1</v>
      </c>
      <c r="AC105" s="34" t="str">
        <f>IF(G105="已完成","正常",IF(OR(G105="暂停",G105="挂起"),"暂停",IF(J105="","日期缺失",IF(J105&lt;项目驾驶舱!$B$3,"已延期",IF(J105&lt;=项目驾驶舱!$B$3+7,"临近到期","正常")))))</f>
        <v>正常</v>
      </c>
      <c r="AD105" s="34" t="s">
        <v>79</v>
      </c>
      <c r="AE105" s="34" t="s">
        <v>79</v>
      </c>
    </row>
    <row r="106" ht="17" customHeight="1" spans="1:31">
      <c r="A106" s="34" t="s">
        <v>312</v>
      </c>
      <c r="B106" s="34" t="s">
        <v>305</v>
      </c>
      <c r="C106" s="34" t="s">
        <v>306</v>
      </c>
      <c r="D106" s="34" t="s">
        <v>313</v>
      </c>
      <c r="E106" s="34" t="s">
        <v>74</v>
      </c>
      <c r="F106" s="34" t="s">
        <v>25</v>
      </c>
      <c r="G106" s="34" t="str">
        <f t="shared" si="12"/>
        <v>已完成</v>
      </c>
      <c r="H106" s="34" t="str">
        <f t="shared" si="7"/>
        <v>郑士旺</v>
      </c>
      <c r="I106" s="38">
        <f t="shared" si="8"/>
        <v>46209</v>
      </c>
      <c r="J106" s="38">
        <f t="shared" si="9"/>
        <v>46224</v>
      </c>
      <c r="K106" s="38">
        <v>46224</v>
      </c>
      <c r="L106" s="34" t="s">
        <v>75</v>
      </c>
      <c r="M106" s="34" t="s">
        <v>3</v>
      </c>
      <c r="N106" s="38">
        <v>46209</v>
      </c>
      <c r="O106" s="38">
        <v>46213</v>
      </c>
      <c r="P106" s="34" t="s">
        <v>76</v>
      </c>
      <c r="Q106" s="34" t="s">
        <v>3</v>
      </c>
      <c r="R106" s="38">
        <v>46230</v>
      </c>
      <c r="S106" s="38">
        <v>46262</v>
      </c>
      <c r="T106" s="34" t="s">
        <v>77</v>
      </c>
      <c r="U106" s="34" t="s">
        <v>3</v>
      </c>
      <c r="V106" s="38">
        <v>46230</v>
      </c>
      <c r="W106" s="38">
        <v>46262</v>
      </c>
      <c r="X106" s="34" t="s">
        <v>78</v>
      </c>
      <c r="Y106" s="34" t="s">
        <v>3</v>
      </c>
      <c r="Z106" s="38">
        <v>46253</v>
      </c>
      <c r="AA106" s="38">
        <v>46269</v>
      </c>
      <c r="AB106" s="75">
        <f t="shared" si="10"/>
        <v>1</v>
      </c>
      <c r="AC106" s="34" t="str">
        <f>IF(G106="已完成","正常",IF(OR(G106="暂停",G106="挂起"),"暂停",IF(J106="","日期缺失",IF(J106&lt;项目驾驶舱!$B$3,"已延期",IF(J106&lt;=项目驾驶舱!$B$3+7,"临近到期","正常")))))</f>
        <v>正常</v>
      </c>
      <c r="AD106" s="34" t="s">
        <v>79</v>
      </c>
      <c r="AE106" s="34" t="s">
        <v>79</v>
      </c>
    </row>
    <row r="107" ht="17" customHeight="1" spans="1:31">
      <c r="A107" s="34" t="s">
        <v>314</v>
      </c>
      <c r="B107" s="34" t="s">
        <v>315</v>
      </c>
      <c r="C107" s="34" t="s">
        <v>316</v>
      </c>
      <c r="D107" s="34" t="s">
        <v>74</v>
      </c>
      <c r="E107" s="34" t="s">
        <v>74</v>
      </c>
      <c r="F107" s="34" t="s">
        <v>25</v>
      </c>
      <c r="G107" s="34" t="str">
        <f t="shared" si="12"/>
        <v>已完成</v>
      </c>
      <c r="H107" s="34" t="str">
        <f t="shared" si="7"/>
        <v>郑士旺</v>
      </c>
      <c r="I107" s="38">
        <f t="shared" si="8"/>
        <v>46209</v>
      </c>
      <c r="J107" s="38">
        <f t="shared" si="9"/>
        <v>46269</v>
      </c>
      <c r="K107" s="38" t="s">
        <v>74</v>
      </c>
      <c r="L107" s="34" t="s">
        <v>75</v>
      </c>
      <c r="M107" s="34" t="s">
        <v>3</v>
      </c>
      <c r="N107" s="38">
        <v>46209</v>
      </c>
      <c r="O107" s="38">
        <v>46213</v>
      </c>
      <c r="P107" s="34" t="s">
        <v>76</v>
      </c>
      <c r="Q107" s="34" t="s">
        <v>3</v>
      </c>
      <c r="R107" s="38">
        <v>46230</v>
      </c>
      <c r="S107" s="38">
        <v>46262</v>
      </c>
      <c r="T107" s="34" t="s">
        <v>77</v>
      </c>
      <c r="U107" s="34" t="s">
        <v>3</v>
      </c>
      <c r="V107" s="38">
        <v>46230</v>
      </c>
      <c r="W107" s="38">
        <v>46262</v>
      </c>
      <c r="X107" s="34" t="s">
        <v>78</v>
      </c>
      <c r="Y107" s="34" t="s">
        <v>3</v>
      </c>
      <c r="Z107" s="38">
        <v>46253</v>
      </c>
      <c r="AA107" s="38">
        <v>46269</v>
      </c>
      <c r="AB107" s="75">
        <f t="shared" si="10"/>
        <v>1</v>
      </c>
      <c r="AC107" s="34" t="str">
        <f>IF(G107="已完成","正常",IF(OR(G107="暂停",G107="挂起"),"暂停",IF(J107="","日期缺失",IF(J107&lt;项目驾驶舱!$B$3,"已延期",IF(J107&lt;=项目驾驶舱!$B$3+7,"临近到期","正常")))))</f>
        <v>正常</v>
      </c>
      <c r="AD107" s="34" t="s">
        <v>79</v>
      </c>
      <c r="AE107" s="34" t="s">
        <v>79</v>
      </c>
    </row>
    <row r="108" ht="17" customHeight="1" spans="1:31">
      <c r="A108" s="34" t="s">
        <v>317</v>
      </c>
      <c r="B108" s="34" t="s">
        <v>315</v>
      </c>
      <c r="C108" s="34" t="s">
        <v>318</v>
      </c>
      <c r="D108" s="34" t="s">
        <v>74</v>
      </c>
      <c r="E108" s="34" t="s">
        <v>74</v>
      </c>
      <c r="F108" s="34" t="s">
        <v>25</v>
      </c>
      <c r="G108" s="34" t="str">
        <f t="shared" si="12"/>
        <v>已完成</v>
      </c>
      <c r="H108" s="34" t="str">
        <f t="shared" si="7"/>
        <v>郑士旺</v>
      </c>
      <c r="I108" s="38">
        <f t="shared" si="8"/>
        <v>46209</v>
      </c>
      <c r="J108" s="38">
        <f t="shared" si="9"/>
        <v>46269</v>
      </c>
      <c r="K108" s="38" t="s">
        <v>74</v>
      </c>
      <c r="L108" s="34" t="s">
        <v>75</v>
      </c>
      <c r="M108" s="34" t="s">
        <v>3</v>
      </c>
      <c r="N108" s="38">
        <v>46209</v>
      </c>
      <c r="O108" s="38">
        <v>46213</v>
      </c>
      <c r="P108" s="34" t="s">
        <v>76</v>
      </c>
      <c r="Q108" s="34" t="s">
        <v>3</v>
      </c>
      <c r="R108" s="38">
        <v>46230</v>
      </c>
      <c r="S108" s="38">
        <v>46262</v>
      </c>
      <c r="T108" s="34" t="s">
        <v>77</v>
      </c>
      <c r="U108" s="34" t="s">
        <v>3</v>
      </c>
      <c r="V108" s="38">
        <v>46230</v>
      </c>
      <c r="W108" s="38">
        <v>46262</v>
      </c>
      <c r="X108" s="34" t="s">
        <v>78</v>
      </c>
      <c r="Y108" s="34" t="s">
        <v>3</v>
      </c>
      <c r="Z108" s="38">
        <v>46253</v>
      </c>
      <c r="AA108" s="38">
        <v>46269</v>
      </c>
      <c r="AB108" s="75">
        <f t="shared" si="10"/>
        <v>1</v>
      </c>
      <c r="AC108" s="34" t="str">
        <f>IF(G108="已完成","正常",IF(OR(G108="暂停",G108="挂起"),"暂停",IF(J108="","日期缺失",IF(J108&lt;项目驾驶舱!$B$3,"已延期",IF(J108&lt;=项目驾驶舱!$B$3+7,"临近到期","正常")))))</f>
        <v>正常</v>
      </c>
      <c r="AD108" s="34" t="s">
        <v>79</v>
      </c>
      <c r="AE108" s="34" t="s">
        <v>79</v>
      </c>
    </row>
    <row r="109" ht="17" customHeight="1" spans="1:31">
      <c r="A109" s="34" t="s">
        <v>319</v>
      </c>
      <c r="B109" s="34" t="s">
        <v>315</v>
      </c>
      <c r="C109" s="34" t="s">
        <v>320</v>
      </c>
      <c r="D109" s="34" t="s">
        <v>74</v>
      </c>
      <c r="E109" s="34" t="s">
        <v>74</v>
      </c>
      <c r="F109" s="34" t="s">
        <v>25</v>
      </c>
      <c r="G109" s="34" t="str">
        <f t="shared" si="12"/>
        <v>已完成</v>
      </c>
      <c r="H109" s="34" t="str">
        <f t="shared" si="7"/>
        <v>郑士旺</v>
      </c>
      <c r="I109" s="38">
        <f t="shared" si="8"/>
        <v>46209</v>
      </c>
      <c r="J109" s="38">
        <f t="shared" si="9"/>
        <v>46269</v>
      </c>
      <c r="K109" s="38" t="s">
        <v>74</v>
      </c>
      <c r="L109" s="34" t="s">
        <v>75</v>
      </c>
      <c r="M109" s="34" t="s">
        <v>3</v>
      </c>
      <c r="N109" s="38">
        <v>46209</v>
      </c>
      <c r="O109" s="38">
        <v>46213</v>
      </c>
      <c r="P109" s="34" t="s">
        <v>76</v>
      </c>
      <c r="Q109" s="34" t="s">
        <v>3</v>
      </c>
      <c r="R109" s="38">
        <v>46230</v>
      </c>
      <c r="S109" s="38">
        <v>46262</v>
      </c>
      <c r="T109" s="34" t="s">
        <v>77</v>
      </c>
      <c r="U109" s="34" t="s">
        <v>3</v>
      </c>
      <c r="V109" s="38">
        <v>46230</v>
      </c>
      <c r="W109" s="38">
        <v>46262</v>
      </c>
      <c r="X109" s="34" t="s">
        <v>78</v>
      </c>
      <c r="Y109" s="34" t="s">
        <v>3</v>
      </c>
      <c r="Z109" s="38">
        <v>46253</v>
      </c>
      <c r="AA109" s="38">
        <v>46269</v>
      </c>
      <c r="AB109" s="75">
        <f t="shared" si="10"/>
        <v>1</v>
      </c>
      <c r="AC109" s="34" t="str">
        <f>IF(G109="已完成","正常",IF(OR(G109="暂停",G109="挂起"),"暂停",IF(J109="","日期缺失",IF(J109&lt;项目驾驶舱!$B$3,"已延期",IF(J109&lt;=项目驾驶舱!$B$3+7,"临近到期","正常")))))</f>
        <v>正常</v>
      </c>
      <c r="AD109" s="34" t="s">
        <v>79</v>
      </c>
      <c r="AE109" s="34" t="s">
        <v>79</v>
      </c>
    </row>
    <row r="110" ht="17" customHeight="1" spans="1:31">
      <c r="A110" s="34" t="s">
        <v>321</v>
      </c>
      <c r="B110" s="34" t="s">
        <v>315</v>
      </c>
      <c r="C110" s="34" t="s">
        <v>322</v>
      </c>
      <c r="D110" s="34" t="s">
        <v>74</v>
      </c>
      <c r="E110" s="34" t="s">
        <v>74</v>
      </c>
      <c r="F110" s="34" t="s">
        <v>25</v>
      </c>
      <c r="G110" s="34" t="str">
        <f t="shared" si="12"/>
        <v>已完成</v>
      </c>
      <c r="H110" s="34" t="str">
        <f t="shared" si="7"/>
        <v>郑士旺</v>
      </c>
      <c r="I110" s="38">
        <f t="shared" si="8"/>
        <v>46209</v>
      </c>
      <c r="J110" s="38">
        <f t="shared" si="9"/>
        <v>46269</v>
      </c>
      <c r="K110" s="38" t="s">
        <v>74</v>
      </c>
      <c r="L110" s="34" t="s">
        <v>75</v>
      </c>
      <c r="M110" s="34" t="s">
        <v>3</v>
      </c>
      <c r="N110" s="38">
        <v>46209</v>
      </c>
      <c r="O110" s="38">
        <v>46213</v>
      </c>
      <c r="P110" s="34" t="s">
        <v>76</v>
      </c>
      <c r="Q110" s="34" t="s">
        <v>3</v>
      </c>
      <c r="R110" s="38">
        <v>46230</v>
      </c>
      <c r="S110" s="38">
        <v>46262</v>
      </c>
      <c r="T110" s="34" t="s">
        <v>77</v>
      </c>
      <c r="U110" s="34" t="s">
        <v>3</v>
      </c>
      <c r="V110" s="38">
        <v>46230</v>
      </c>
      <c r="W110" s="38">
        <v>46262</v>
      </c>
      <c r="X110" s="34" t="s">
        <v>78</v>
      </c>
      <c r="Y110" s="34" t="s">
        <v>3</v>
      </c>
      <c r="Z110" s="38">
        <v>46253</v>
      </c>
      <c r="AA110" s="38">
        <v>46269</v>
      </c>
      <c r="AB110" s="75">
        <f t="shared" si="10"/>
        <v>1</v>
      </c>
      <c r="AC110" s="34" t="str">
        <f>IF(G110="已完成","正常",IF(OR(G110="暂停",G110="挂起"),"暂停",IF(J110="","日期缺失",IF(J110&lt;项目驾驶舱!$B$3,"已延期",IF(J110&lt;=项目驾驶舱!$B$3+7,"临近到期","正常")))))</f>
        <v>正常</v>
      </c>
      <c r="AD110" s="34" t="s">
        <v>79</v>
      </c>
      <c r="AE110" s="34" t="s">
        <v>79</v>
      </c>
    </row>
    <row r="111" ht="17" customHeight="1" spans="1:31">
      <c r="A111" s="34" t="s">
        <v>323</v>
      </c>
      <c r="B111" s="34" t="s">
        <v>315</v>
      </c>
      <c r="C111" s="34" t="s">
        <v>324</v>
      </c>
      <c r="D111" s="34" t="s">
        <v>74</v>
      </c>
      <c r="E111" s="34" t="s">
        <v>74</v>
      </c>
      <c r="F111" s="34" t="s">
        <v>25</v>
      </c>
      <c r="G111" s="34" t="str">
        <f t="shared" si="12"/>
        <v>已完成</v>
      </c>
      <c r="H111" s="34" t="str">
        <f t="shared" si="7"/>
        <v>郑士旺</v>
      </c>
      <c r="I111" s="38">
        <f t="shared" si="8"/>
        <v>46209</v>
      </c>
      <c r="J111" s="38">
        <f t="shared" si="9"/>
        <v>46269</v>
      </c>
      <c r="K111" s="38" t="s">
        <v>74</v>
      </c>
      <c r="L111" s="34" t="s">
        <v>75</v>
      </c>
      <c r="M111" s="34" t="s">
        <v>3</v>
      </c>
      <c r="N111" s="38">
        <v>46209</v>
      </c>
      <c r="O111" s="38">
        <v>46213</v>
      </c>
      <c r="P111" s="34" t="s">
        <v>76</v>
      </c>
      <c r="Q111" s="34" t="s">
        <v>3</v>
      </c>
      <c r="R111" s="38">
        <v>46230</v>
      </c>
      <c r="S111" s="38">
        <v>46262</v>
      </c>
      <c r="T111" s="34" t="s">
        <v>77</v>
      </c>
      <c r="U111" s="34" t="s">
        <v>3</v>
      </c>
      <c r="V111" s="38">
        <v>46230</v>
      </c>
      <c r="W111" s="38">
        <v>46262</v>
      </c>
      <c r="X111" s="34" t="s">
        <v>78</v>
      </c>
      <c r="Y111" s="34" t="s">
        <v>3</v>
      </c>
      <c r="Z111" s="38">
        <v>46253</v>
      </c>
      <c r="AA111" s="38">
        <v>46269</v>
      </c>
      <c r="AB111" s="75">
        <f t="shared" si="10"/>
        <v>1</v>
      </c>
      <c r="AC111" s="34" t="str">
        <f>IF(G111="已完成","正常",IF(OR(G111="暂停",G111="挂起"),"暂停",IF(J111="","日期缺失",IF(J111&lt;项目驾驶舱!$B$3,"已延期",IF(J111&lt;=项目驾驶舱!$B$3+7,"临近到期","正常")))))</f>
        <v>正常</v>
      </c>
      <c r="AD111" s="34" t="s">
        <v>79</v>
      </c>
      <c r="AE111" s="34" t="s">
        <v>79</v>
      </c>
    </row>
    <row r="112" ht="17" customHeight="1" spans="1:31">
      <c r="A112" s="34" t="s">
        <v>325</v>
      </c>
      <c r="B112" s="34" t="s">
        <v>315</v>
      </c>
      <c r="C112" s="34" t="s">
        <v>326</v>
      </c>
      <c r="D112" s="34" t="s">
        <v>74</v>
      </c>
      <c r="E112" s="34" t="s">
        <v>74</v>
      </c>
      <c r="F112" s="34" t="s">
        <v>25</v>
      </c>
      <c r="G112" s="34" t="str">
        <f t="shared" si="12"/>
        <v>已完成</v>
      </c>
      <c r="H112" s="34" t="str">
        <f t="shared" si="7"/>
        <v>郑士旺</v>
      </c>
      <c r="I112" s="38">
        <f t="shared" si="8"/>
        <v>46209</v>
      </c>
      <c r="J112" s="38">
        <f t="shared" si="9"/>
        <v>46269</v>
      </c>
      <c r="K112" s="38" t="s">
        <v>74</v>
      </c>
      <c r="L112" s="34" t="s">
        <v>75</v>
      </c>
      <c r="M112" s="34" t="s">
        <v>3</v>
      </c>
      <c r="N112" s="38">
        <v>46209</v>
      </c>
      <c r="O112" s="38">
        <v>46213</v>
      </c>
      <c r="P112" s="34" t="s">
        <v>76</v>
      </c>
      <c r="Q112" s="34" t="s">
        <v>3</v>
      </c>
      <c r="R112" s="38">
        <v>46230</v>
      </c>
      <c r="S112" s="38">
        <v>46262</v>
      </c>
      <c r="T112" s="34" t="s">
        <v>77</v>
      </c>
      <c r="U112" s="34" t="s">
        <v>3</v>
      </c>
      <c r="V112" s="38">
        <v>46230</v>
      </c>
      <c r="W112" s="38">
        <v>46262</v>
      </c>
      <c r="X112" s="34" t="s">
        <v>78</v>
      </c>
      <c r="Y112" s="34" t="s">
        <v>3</v>
      </c>
      <c r="Z112" s="38">
        <v>46253</v>
      </c>
      <c r="AA112" s="38">
        <v>46269</v>
      </c>
      <c r="AB112" s="75">
        <f t="shared" si="10"/>
        <v>1</v>
      </c>
      <c r="AC112" s="34" t="str">
        <f>IF(G112="已完成","正常",IF(OR(G112="暂停",G112="挂起"),"暂停",IF(J112="","日期缺失",IF(J112&lt;项目驾驶舱!$B$3,"已延期",IF(J112&lt;=项目驾驶舱!$B$3+7,"临近到期","正常")))))</f>
        <v>正常</v>
      </c>
      <c r="AD112" s="34" t="s">
        <v>79</v>
      </c>
      <c r="AE112" s="34" t="s">
        <v>79</v>
      </c>
    </row>
    <row r="113" ht="17" customHeight="1" spans="1:31">
      <c r="A113" s="34" t="s">
        <v>327</v>
      </c>
      <c r="B113" s="34" t="s">
        <v>315</v>
      </c>
      <c r="C113" s="34" t="s">
        <v>328</v>
      </c>
      <c r="D113" s="34" t="s">
        <v>74</v>
      </c>
      <c r="E113" s="34" t="s">
        <v>74</v>
      </c>
      <c r="F113" s="34" t="s">
        <v>26</v>
      </c>
      <c r="G113" s="34" t="str">
        <f t="shared" si="12"/>
        <v>已完成</v>
      </c>
      <c r="H113" s="34" t="str">
        <f t="shared" si="7"/>
        <v>郑士旺</v>
      </c>
      <c r="I113" s="38">
        <f t="shared" si="8"/>
        <v>46209</v>
      </c>
      <c r="J113" s="38">
        <f t="shared" si="9"/>
        <v>46269</v>
      </c>
      <c r="K113" s="38" t="s">
        <v>74</v>
      </c>
      <c r="L113" s="34" t="s">
        <v>75</v>
      </c>
      <c r="M113" s="34" t="s">
        <v>3</v>
      </c>
      <c r="N113" s="38">
        <v>46209</v>
      </c>
      <c r="O113" s="38">
        <v>46213</v>
      </c>
      <c r="P113" s="34" t="s">
        <v>76</v>
      </c>
      <c r="Q113" s="34" t="s">
        <v>3</v>
      </c>
      <c r="R113" s="38">
        <v>46230</v>
      </c>
      <c r="S113" s="38">
        <v>46262</v>
      </c>
      <c r="T113" s="34" t="s">
        <v>77</v>
      </c>
      <c r="U113" s="34" t="s">
        <v>3</v>
      </c>
      <c r="V113" s="38">
        <v>46230</v>
      </c>
      <c r="W113" s="38">
        <v>46262</v>
      </c>
      <c r="X113" s="34" t="s">
        <v>78</v>
      </c>
      <c r="Y113" s="34" t="s">
        <v>3</v>
      </c>
      <c r="Z113" s="38">
        <v>46253</v>
      </c>
      <c r="AA113" s="38">
        <v>46269</v>
      </c>
      <c r="AB113" s="75">
        <f t="shared" si="10"/>
        <v>1</v>
      </c>
      <c r="AC113" s="34" t="str">
        <f>IF(G113="已完成","正常",IF(OR(G113="暂停",G113="挂起"),"暂停",IF(J113="","日期缺失",IF(J113&lt;项目驾驶舱!$B$3,"已延期",IF(J113&lt;=项目驾驶舱!$B$3+7,"临近到期","正常")))))</f>
        <v>正常</v>
      </c>
      <c r="AD113" s="34" t="s">
        <v>79</v>
      </c>
      <c r="AE113" s="34" t="s">
        <v>79</v>
      </c>
    </row>
    <row r="114" ht="17" customHeight="1" spans="1:31">
      <c r="A114" s="34" t="s">
        <v>329</v>
      </c>
      <c r="B114" s="34" t="s">
        <v>315</v>
      </c>
      <c r="C114" s="34" t="s">
        <v>330</v>
      </c>
      <c r="D114" s="34" t="s">
        <v>74</v>
      </c>
      <c r="E114" s="34" t="s">
        <v>74</v>
      </c>
      <c r="F114" s="34" t="s">
        <v>74</v>
      </c>
      <c r="G114" s="34" t="str">
        <f t="shared" ref="G114:G119" si="13">IF(OR(M114="挂起",M114="暂停",Q114="挂起",Q114="暂停",U114="挂起",U114="暂停",Y114="挂起",Y114="暂停"),"暂停","暂停")</f>
        <v>暂停</v>
      </c>
      <c r="H114" s="34" t="str">
        <f t="shared" si="7"/>
        <v>/</v>
      </c>
      <c r="I114" s="38" t="str">
        <f t="shared" si="8"/>
        <v/>
      </c>
      <c r="J114" s="38" t="str">
        <f t="shared" si="9"/>
        <v/>
      </c>
      <c r="K114" s="38"/>
      <c r="L114" s="34" t="s">
        <v>74</v>
      </c>
      <c r="M114" s="34" t="s">
        <v>74</v>
      </c>
      <c r="N114" s="38" t="s">
        <v>74</v>
      </c>
      <c r="O114" s="38" t="s">
        <v>74</v>
      </c>
      <c r="P114" s="34" t="s">
        <v>74</v>
      </c>
      <c r="Q114" s="34" t="s">
        <v>74</v>
      </c>
      <c r="R114" s="38" t="s">
        <v>74</v>
      </c>
      <c r="S114" s="38" t="s">
        <v>74</v>
      </c>
      <c r="T114" s="34" t="s">
        <v>74</v>
      </c>
      <c r="U114" s="34" t="s">
        <v>74</v>
      </c>
      <c r="V114" s="38" t="s">
        <v>74</v>
      </c>
      <c r="W114" s="38" t="s">
        <v>74</v>
      </c>
      <c r="X114" s="34" t="s">
        <v>74</v>
      </c>
      <c r="Y114" s="34" t="s">
        <v>74</v>
      </c>
      <c r="Z114" s="38" t="s">
        <v>74</v>
      </c>
      <c r="AA114" s="38" t="s">
        <v>74</v>
      </c>
      <c r="AB114" s="75">
        <f t="shared" si="10"/>
        <v>0</v>
      </c>
      <c r="AC114" s="34" t="str">
        <f>IF(G114="已完成","正常",IF(OR(G114="暂停",G114="挂起"),"暂停",IF(J114="","日期缺失",IF(J114&lt;项目驾驶舱!$B$3,"已延期",IF(J114&lt;=项目驾驶舱!$B$3+7,"临近到期","正常")))))</f>
        <v>暂停</v>
      </c>
      <c r="AD114" s="34" t="s">
        <v>79</v>
      </c>
      <c r="AE114" s="34" t="s">
        <v>79</v>
      </c>
    </row>
    <row r="115" ht="17" customHeight="1" spans="1:31">
      <c r="A115" s="34" t="s">
        <v>331</v>
      </c>
      <c r="B115" s="34" t="s">
        <v>315</v>
      </c>
      <c r="C115" s="34" t="s">
        <v>332</v>
      </c>
      <c r="D115" s="34" t="s">
        <v>74</v>
      </c>
      <c r="E115" s="34" t="s">
        <v>74</v>
      </c>
      <c r="F115" s="34" t="s">
        <v>74</v>
      </c>
      <c r="G115" s="34" t="str">
        <f t="shared" si="13"/>
        <v>暂停</v>
      </c>
      <c r="H115" s="34" t="str">
        <f t="shared" si="7"/>
        <v>/</v>
      </c>
      <c r="I115" s="38" t="str">
        <f t="shared" si="8"/>
        <v/>
      </c>
      <c r="J115" s="38" t="str">
        <f t="shared" si="9"/>
        <v/>
      </c>
      <c r="K115" s="38"/>
      <c r="L115" s="34" t="s">
        <v>74</v>
      </c>
      <c r="M115" s="34" t="s">
        <v>74</v>
      </c>
      <c r="N115" s="38" t="s">
        <v>74</v>
      </c>
      <c r="O115" s="38" t="s">
        <v>74</v>
      </c>
      <c r="P115" s="34" t="s">
        <v>74</v>
      </c>
      <c r="Q115" s="34" t="s">
        <v>74</v>
      </c>
      <c r="R115" s="38" t="s">
        <v>74</v>
      </c>
      <c r="S115" s="38" t="s">
        <v>74</v>
      </c>
      <c r="T115" s="34" t="s">
        <v>74</v>
      </c>
      <c r="U115" s="34" t="s">
        <v>74</v>
      </c>
      <c r="V115" s="38" t="s">
        <v>74</v>
      </c>
      <c r="W115" s="38" t="s">
        <v>74</v>
      </c>
      <c r="X115" s="34" t="s">
        <v>74</v>
      </c>
      <c r="Y115" s="34" t="s">
        <v>74</v>
      </c>
      <c r="Z115" s="38" t="s">
        <v>74</v>
      </c>
      <c r="AA115" s="38" t="s">
        <v>74</v>
      </c>
      <c r="AB115" s="75">
        <f t="shared" si="10"/>
        <v>0</v>
      </c>
      <c r="AC115" s="34" t="str">
        <f>IF(G115="已完成","正常",IF(OR(G115="暂停",G115="挂起"),"暂停",IF(J115="","日期缺失",IF(J115&lt;项目驾驶舱!$B$3,"已延期",IF(J115&lt;=项目驾驶舱!$B$3+7,"临近到期","正常")))))</f>
        <v>暂停</v>
      </c>
      <c r="AD115" s="34" t="s">
        <v>79</v>
      </c>
      <c r="AE115" s="34" t="s">
        <v>79</v>
      </c>
    </row>
    <row r="116" ht="17" customHeight="1" spans="1:31">
      <c r="A116" s="34" t="s">
        <v>333</v>
      </c>
      <c r="B116" s="34" t="s">
        <v>315</v>
      </c>
      <c r="C116" s="34" t="s">
        <v>334</v>
      </c>
      <c r="D116" s="34" t="s">
        <v>74</v>
      </c>
      <c r="E116" s="34" t="s">
        <v>74</v>
      </c>
      <c r="F116" s="34" t="s">
        <v>74</v>
      </c>
      <c r="G116" s="34" t="str">
        <f t="shared" si="13"/>
        <v>暂停</v>
      </c>
      <c r="H116" s="34" t="str">
        <f t="shared" si="7"/>
        <v>/</v>
      </c>
      <c r="I116" s="38" t="str">
        <f t="shared" si="8"/>
        <v/>
      </c>
      <c r="J116" s="38" t="str">
        <f t="shared" si="9"/>
        <v/>
      </c>
      <c r="K116" s="38"/>
      <c r="L116" s="34" t="s">
        <v>74</v>
      </c>
      <c r="M116" s="34" t="s">
        <v>74</v>
      </c>
      <c r="N116" s="38" t="s">
        <v>74</v>
      </c>
      <c r="O116" s="38" t="s">
        <v>74</v>
      </c>
      <c r="P116" s="34" t="s">
        <v>74</v>
      </c>
      <c r="Q116" s="34" t="s">
        <v>74</v>
      </c>
      <c r="R116" s="38" t="s">
        <v>74</v>
      </c>
      <c r="S116" s="38" t="s">
        <v>74</v>
      </c>
      <c r="T116" s="34" t="s">
        <v>74</v>
      </c>
      <c r="U116" s="34" t="s">
        <v>74</v>
      </c>
      <c r="V116" s="38" t="s">
        <v>74</v>
      </c>
      <c r="W116" s="38" t="s">
        <v>74</v>
      </c>
      <c r="X116" s="34" t="s">
        <v>74</v>
      </c>
      <c r="Y116" s="34" t="s">
        <v>74</v>
      </c>
      <c r="Z116" s="38" t="s">
        <v>74</v>
      </c>
      <c r="AA116" s="38" t="s">
        <v>74</v>
      </c>
      <c r="AB116" s="75">
        <f t="shared" si="10"/>
        <v>0</v>
      </c>
      <c r="AC116" s="34" t="str">
        <f>IF(G116="已完成","正常",IF(OR(G116="暂停",G116="挂起"),"暂停",IF(J116="","日期缺失",IF(J116&lt;项目驾驶舱!$B$3,"已延期",IF(J116&lt;=项目驾驶舱!$B$3+7,"临近到期","正常")))))</f>
        <v>暂停</v>
      </c>
      <c r="AD116" s="34" t="s">
        <v>79</v>
      </c>
      <c r="AE116" s="34" t="s">
        <v>79</v>
      </c>
    </row>
    <row r="117" ht="17" customHeight="1" spans="1:31">
      <c r="A117" s="34" t="s">
        <v>335</v>
      </c>
      <c r="B117" s="34" t="s">
        <v>315</v>
      </c>
      <c r="C117" s="34" t="s">
        <v>336</v>
      </c>
      <c r="D117" s="34" t="s">
        <v>74</v>
      </c>
      <c r="E117" s="34" t="s">
        <v>74</v>
      </c>
      <c r="F117" s="34" t="s">
        <v>74</v>
      </c>
      <c r="G117" s="34" t="str">
        <f t="shared" si="13"/>
        <v>暂停</v>
      </c>
      <c r="H117" s="34" t="str">
        <f t="shared" si="7"/>
        <v>/</v>
      </c>
      <c r="I117" s="38" t="str">
        <f t="shared" si="8"/>
        <v/>
      </c>
      <c r="J117" s="38" t="str">
        <f t="shared" si="9"/>
        <v/>
      </c>
      <c r="K117" s="38"/>
      <c r="L117" s="34" t="s">
        <v>74</v>
      </c>
      <c r="M117" s="34" t="s">
        <v>74</v>
      </c>
      <c r="N117" s="38" t="s">
        <v>74</v>
      </c>
      <c r="O117" s="38" t="s">
        <v>74</v>
      </c>
      <c r="P117" s="34" t="s">
        <v>74</v>
      </c>
      <c r="Q117" s="34" t="s">
        <v>74</v>
      </c>
      <c r="R117" s="38" t="s">
        <v>74</v>
      </c>
      <c r="S117" s="38" t="s">
        <v>74</v>
      </c>
      <c r="T117" s="34" t="s">
        <v>74</v>
      </c>
      <c r="U117" s="34" t="s">
        <v>74</v>
      </c>
      <c r="V117" s="38" t="s">
        <v>74</v>
      </c>
      <c r="W117" s="38" t="s">
        <v>74</v>
      </c>
      <c r="X117" s="34" t="s">
        <v>74</v>
      </c>
      <c r="Y117" s="34" t="s">
        <v>74</v>
      </c>
      <c r="Z117" s="38" t="s">
        <v>74</v>
      </c>
      <c r="AA117" s="38" t="s">
        <v>74</v>
      </c>
      <c r="AB117" s="75">
        <f t="shared" si="10"/>
        <v>0</v>
      </c>
      <c r="AC117" s="34" t="str">
        <f>IF(G117="已完成","正常",IF(OR(G117="暂停",G117="挂起"),"暂停",IF(J117="","日期缺失",IF(J117&lt;项目驾驶舱!$B$3,"已延期",IF(J117&lt;=项目驾驶舱!$B$3+7,"临近到期","正常")))))</f>
        <v>暂停</v>
      </c>
      <c r="AD117" s="34" t="s">
        <v>79</v>
      </c>
      <c r="AE117" s="34" t="s">
        <v>79</v>
      </c>
    </row>
    <row r="118" ht="17" customHeight="1" spans="1:31">
      <c r="A118" s="34" t="s">
        <v>337</v>
      </c>
      <c r="B118" s="34" t="s">
        <v>315</v>
      </c>
      <c r="C118" s="34" t="s">
        <v>338</v>
      </c>
      <c r="D118" s="34" t="s">
        <v>74</v>
      </c>
      <c r="E118" s="34" t="s">
        <v>74</v>
      </c>
      <c r="F118" s="34" t="s">
        <v>74</v>
      </c>
      <c r="G118" s="34" t="str">
        <f t="shared" si="13"/>
        <v>暂停</v>
      </c>
      <c r="H118" s="34" t="str">
        <f t="shared" si="7"/>
        <v>/</v>
      </c>
      <c r="I118" s="38" t="str">
        <f t="shared" si="8"/>
        <v/>
      </c>
      <c r="J118" s="38" t="str">
        <f t="shared" si="9"/>
        <v/>
      </c>
      <c r="K118" s="38"/>
      <c r="L118" s="34" t="s">
        <v>74</v>
      </c>
      <c r="M118" s="34" t="s">
        <v>74</v>
      </c>
      <c r="N118" s="38" t="s">
        <v>74</v>
      </c>
      <c r="O118" s="38" t="s">
        <v>74</v>
      </c>
      <c r="P118" s="34" t="s">
        <v>74</v>
      </c>
      <c r="Q118" s="34" t="s">
        <v>74</v>
      </c>
      <c r="R118" s="38" t="s">
        <v>74</v>
      </c>
      <c r="S118" s="38" t="s">
        <v>74</v>
      </c>
      <c r="T118" s="34" t="s">
        <v>74</v>
      </c>
      <c r="U118" s="34" t="s">
        <v>74</v>
      </c>
      <c r="V118" s="38" t="s">
        <v>74</v>
      </c>
      <c r="W118" s="38" t="s">
        <v>74</v>
      </c>
      <c r="X118" s="34" t="s">
        <v>74</v>
      </c>
      <c r="Y118" s="34" t="s">
        <v>74</v>
      </c>
      <c r="Z118" s="38" t="s">
        <v>74</v>
      </c>
      <c r="AA118" s="38" t="s">
        <v>74</v>
      </c>
      <c r="AB118" s="75">
        <f t="shared" si="10"/>
        <v>0</v>
      </c>
      <c r="AC118" s="34" t="str">
        <f>IF(G118="已完成","正常",IF(OR(G118="暂停",G118="挂起"),"暂停",IF(J118="","日期缺失",IF(J118&lt;项目驾驶舱!$B$3,"已延期",IF(J118&lt;=项目驾驶舱!$B$3+7,"临近到期","正常")))))</f>
        <v>暂停</v>
      </c>
      <c r="AD118" s="34" t="s">
        <v>79</v>
      </c>
      <c r="AE118" s="34" t="s">
        <v>79</v>
      </c>
    </row>
    <row r="119" ht="17" customHeight="1" spans="1:31">
      <c r="A119" s="34" t="s">
        <v>339</v>
      </c>
      <c r="B119" s="34" t="s">
        <v>315</v>
      </c>
      <c r="C119" s="34" t="s">
        <v>340</v>
      </c>
      <c r="D119" s="34" t="s">
        <v>74</v>
      </c>
      <c r="E119" s="34" t="s">
        <v>74</v>
      </c>
      <c r="F119" s="34" t="s">
        <v>74</v>
      </c>
      <c r="G119" s="34" t="str">
        <f t="shared" si="13"/>
        <v>暂停</v>
      </c>
      <c r="H119" s="34" t="str">
        <f t="shared" si="7"/>
        <v>/</v>
      </c>
      <c r="I119" s="38" t="str">
        <f t="shared" si="8"/>
        <v/>
      </c>
      <c r="J119" s="38" t="str">
        <f t="shared" si="9"/>
        <v/>
      </c>
      <c r="K119" s="38"/>
      <c r="L119" s="34" t="s">
        <v>74</v>
      </c>
      <c r="M119" s="34" t="s">
        <v>74</v>
      </c>
      <c r="N119" s="38" t="s">
        <v>74</v>
      </c>
      <c r="O119" s="38" t="s">
        <v>74</v>
      </c>
      <c r="P119" s="34" t="s">
        <v>74</v>
      </c>
      <c r="Q119" s="34" t="s">
        <v>74</v>
      </c>
      <c r="R119" s="38" t="s">
        <v>74</v>
      </c>
      <c r="S119" s="38" t="s">
        <v>74</v>
      </c>
      <c r="T119" s="34" t="s">
        <v>74</v>
      </c>
      <c r="U119" s="34" t="s">
        <v>74</v>
      </c>
      <c r="V119" s="38" t="s">
        <v>74</v>
      </c>
      <c r="W119" s="38" t="s">
        <v>74</v>
      </c>
      <c r="X119" s="34" t="s">
        <v>74</v>
      </c>
      <c r="Y119" s="34" t="s">
        <v>74</v>
      </c>
      <c r="Z119" s="38" t="s">
        <v>74</v>
      </c>
      <c r="AA119" s="38" t="s">
        <v>74</v>
      </c>
      <c r="AB119" s="75">
        <f t="shared" si="10"/>
        <v>0</v>
      </c>
      <c r="AC119" s="34" t="str">
        <f>IF(G119="已完成","正常",IF(OR(G119="暂停",G119="挂起"),"暂停",IF(J119="","日期缺失",IF(J119&lt;项目驾驶舱!$B$3,"已延期",IF(J119&lt;=项目驾驶舱!$B$3+7,"临近到期","正常")))))</f>
        <v>暂停</v>
      </c>
      <c r="AD119" s="34" t="s">
        <v>79</v>
      </c>
      <c r="AE119" s="34" t="s">
        <v>79</v>
      </c>
    </row>
    <row r="120" ht="17" customHeight="1" spans="1:31">
      <c r="A120" s="34" t="s">
        <v>341</v>
      </c>
      <c r="B120" s="34" t="s">
        <v>342</v>
      </c>
      <c r="C120" s="34" t="s">
        <v>343</v>
      </c>
      <c r="D120" s="34" t="s">
        <v>74</v>
      </c>
      <c r="E120" s="34" t="s">
        <v>74</v>
      </c>
      <c r="F120" s="34" t="s">
        <v>25</v>
      </c>
      <c r="G120" s="34" t="str">
        <f t="shared" ref="G120:G128" si="14">IF(OR(M120="挂起",M120="暂停",Q120="挂起",Q120="暂停",U120="挂起",U120="暂停",Y120="挂起",Y120="暂停"),"暂停","已完成")</f>
        <v>已完成</v>
      </c>
      <c r="H120" s="34" t="str">
        <f t="shared" si="7"/>
        <v>郑士旺</v>
      </c>
      <c r="I120" s="38">
        <f t="shared" si="8"/>
        <v>46230</v>
      </c>
      <c r="J120" s="38">
        <f t="shared" si="9"/>
        <v>46269</v>
      </c>
      <c r="K120" s="38" t="s">
        <v>74</v>
      </c>
      <c r="L120" s="34" t="s">
        <v>75</v>
      </c>
      <c r="M120" s="34" t="s">
        <v>3</v>
      </c>
      <c r="N120" s="38" t="s">
        <v>74</v>
      </c>
      <c r="O120" s="38" t="s">
        <v>74</v>
      </c>
      <c r="P120" s="34" t="s">
        <v>76</v>
      </c>
      <c r="Q120" s="34" t="s">
        <v>3</v>
      </c>
      <c r="R120" s="38">
        <v>46230</v>
      </c>
      <c r="S120" s="38">
        <v>46262</v>
      </c>
      <c r="T120" s="34" t="s">
        <v>77</v>
      </c>
      <c r="U120" s="34" t="s">
        <v>3</v>
      </c>
      <c r="V120" s="38">
        <v>46230</v>
      </c>
      <c r="W120" s="38">
        <v>46262</v>
      </c>
      <c r="X120" s="34" t="s">
        <v>78</v>
      </c>
      <c r="Y120" s="34" t="s">
        <v>3</v>
      </c>
      <c r="Z120" s="38">
        <v>46253</v>
      </c>
      <c r="AA120" s="38">
        <v>46269</v>
      </c>
      <c r="AB120" s="75">
        <f t="shared" si="10"/>
        <v>1</v>
      </c>
      <c r="AC120" s="34" t="str">
        <f>IF(G120="已完成","正常",IF(OR(G120="暂停",G120="挂起"),"暂停",IF(J120="","日期缺失",IF(J120&lt;项目驾驶舱!$B$3,"已延期",IF(J120&lt;=项目驾驶舱!$B$3+7,"临近到期","正常")))))</f>
        <v>正常</v>
      </c>
      <c r="AD120" s="34" t="s">
        <v>79</v>
      </c>
      <c r="AE120" s="34" t="s">
        <v>79</v>
      </c>
    </row>
    <row r="121" ht="17" customHeight="1" spans="1:31">
      <c r="A121" s="34" t="s">
        <v>344</v>
      </c>
      <c r="B121" s="34" t="s">
        <v>342</v>
      </c>
      <c r="C121" s="34" t="s">
        <v>345</v>
      </c>
      <c r="D121" s="34" t="s">
        <v>74</v>
      </c>
      <c r="E121" s="34" t="s">
        <v>74</v>
      </c>
      <c r="F121" s="34" t="s">
        <v>25</v>
      </c>
      <c r="G121" s="34" t="str">
        <f t="shared" si="14"/>
        <v>已完成</v>
      </c>
      <c r="H121" s="34" t="str">
        <f t="shared" si="7"/>
        <v>郑士旺</v>
      </c>
      <c r="I121" s="38">
        <f t="shared" si="8"/>
        <v>46230</v>
      </c>
      <c r="J121" s="38">
        <f t="shared" si="9"/>
        <v>46269</v>
      </c>
      <c r="K121" s="38" t="s">
        <v>74</v>
      </c>
      <c r="L121" s="34" t="s">
        <v>75</v>
      </c>
      <c r="M121" s="34" t="s">
        <v>3</v>
      </c>
      <c r="N121" s="38" t="s">
        <v>74</v>
      </c>
      <c r="O121" s="38" t="s">
        <v>74</v>
      </c>
      <c r="P121" s="34" t="s">
        <v>76</v>
      </c>
      <c r="Q121" s="34" t="s">
        <v>3</v>
      </c>
      <c r="R121" s="38">
        <v>46230</v>
      </c>
      <c r="S121" s="38">
        <v>46262</v>
      </c>
      <c r="T121" s="34" t="s">
        <v>77</v>
      </c>
      <c r="U121" s="34" t="s">
        <v>3</v>
      </c>
      <c r="V121" s="38">
        <v>46230</v>
      </c>
      <c r="W121" s="38">
        <v>46262</v>
      </c>
      <c r="X121" s="34" t="s">
        <v>78</v>
      </c>
      <c r="Y121" s="34" t="s">
        <v>3</v>
      </c>
      <c r="Z121" s="38">
        <v>46253</v>
      </c>
      <c r="AA121" s="38">
        <v>46269</v>
      </c>
      <c r="AB121" s="75">
        <f t="shared" si="10"/>
        <v>1</v>
      </c>
      <c r="AC121" s="34" t="str">
        <f>IF(G121="已完成","正常",IF(OR(G121="暂停",G121="挂起"),"暂停",IF(J121="","日期缺失",IF(J121&lt;项目驾驶舱!$B$3,"已延期",IF(J121&lt;=项目驾驶舱!$B$3+7,"临近到期","正常")))))</f>
        <v>正常</v>
      </c>
      <c r="AD121" s="34" t="s">
        <v>79</v>
      </c>
      <c r="AE121" s="34" t="s">
        <v>79</v>
      </c>
    </row>
    <row r="122" ht="17" customHeight="1" spans="1:31">
      <c r="A122" s="34" t="s">
        <v>346</v>
      </c>
      <c r="B122" s="34" t="s">
        <v>342</v>
      </c>
      <c r="C122" s="34" t="s">
        <v>347</v>
      </c>
      <c r="D122" s="34" t="s">
        <v>74</v>
      </c>
      <c r="E122" s="34" t="s">
        <v>74</v>
      </c>
      <c r="F122" s="34" t="s">
        <v>25</v>
      </c>
      <c r="G122" s="34" t="str">
        <f t="shared" si="14"/>
        <v>已完成</v>
      </c>
      <c r="H122" s="34" t="str">
        <f t="shared" si="7"/>
        <v>郑士旺</v>
      </c>
      <c r="I122" s="38">
        <f t="shared" si="8"/>
        <v>46230</v>
      </c>
      <c r="J122" s="38">
        <f t="shared" si="9"/>
        <v>46269</v>
      </c>
      <c r="K122" s="38" t="s">
        <v>74</v>
      </c>
      <c r="L122" s="34" t="s">
        <v>75</v>
      </c>
      <c r="M122" s="34" t="s">
        <v>3</v>
      </c>
      <c r="N122" s="38" t="s">
        <v>74</v>
      </c>
      <c r="O122" s="38" t="s">
        <v>74</v>
      </c>
      <c r="P122" s="34" t="s">
        <v>76</v>
      </c>
      <c r="Q122" s="34" t="s">
        <v>3</v>
      </c>
      <c r="R122" s="38">
        <v>46230</v>
      </c>
      <c r="S122" s="38">
        <v>46262</v>
      </c>
      <c r="T122" s="34" t="s">
        <v>77</v>
      </c>
      <c r="U122" s="34" t="s">
        <v>3</v>
      </c>
      <c r="V122" s="38">
        <v>46230</v>
      </c>
      <c r="W122" s="38">
        <v>46262</v>
      </c>
      <c r="X122" s="34" t="s">
        <v>78</v>
      </c>
      <c r="Y122" s="34" t="s">
        <v>3</v>
      </c>
      <c r="Z122" s="38">
        <v>46253</v>
      </c>
      <c r="AA122" s="38">
        <v>46269</v>
      </c>
      <c r="AB122" s="75">
        <f t="shared" si="10"/>
        <v>1</v>
      </c>
      <c r="AC122" s="34" t="str">
        <f>IF(G122="已完成","正常",IF(OR(G122="暂停",G122="挂起"),"暂停",IF(J122="","日期缺失",IF(J122&lt;项目驾驶舱!$B$3,"已延期",IF(J122&lt;=项目驾驶舱!$B$3+7,"临近到期","正常")))))</f>
        <v>正常</v>
      </c>
      <c r="AD122" s="34" t="s">
        <v>79</v>
      </c>
      <c r="AE122" s="34" t="s">
        <v>79</v>
      </c>
    </row>
    <row r="123" ht="17" customHeight="1" spans="1:31">
      <c r="A123" s="34" t="s">
        <v>348</v>
      </c>
      <c r="B123" s="34" t="s">
        <v>342</v>
      </c>
      <c r="C123" s="34" t="s">
        <v>349</v>
      </c>
      <c r="D123" s="34" t="s">
        <v>74</v>
      </c>
      <c r="E123" s="34" t="s">
        <v>74</v>
      </c>
      <c r="F123" s="34" t="s">
        <v>25</v>
      </c>
      <c r="G123" s="34" t="str">
        <f t="shared" si="14"/>
        <v>已完成</v>
      </c>
      <c r="H123" s="34" t="str">
        <f t="shared" si="7"/>
        <v>郑士旺</v>
      </c>
      <c r="I123" s="38">
        <f t="shared" si="8"/>
        <v>46230</v>
      </c>
      <c r="J123" s="38">
        <f t="shared" si="9"/>
        <v>46269</v>
      </c>
      <c r="K123" s="38" t="s">
        <v>74</v>
      </c>
      <c r="L123" s="34" t="s">
        <v>75</v>
      </c>
      <c r="M123" s="34" t="s">
        <v>3</v>
      </c>
      <c r="N123" s="38" t="s">
        <v>74</v>
      </c>
      <c r="O123" s="38" t="s">
        <v>74</v>
      </c>
      <c r="P123" s="34" t="s">
        <v>76</v>
      </c>
      <c r="Q123" s="34" t="s">
        <v>3</v>
      </c>
      <c r="R123" s="38">
        <v>46230</v>
      </c>
      <c r="S123" s="38">
        <v>46262</v>
      </c>
      <c r="T123" s="34" t="s">
        <v>77</v>
      </c>
      <c r="U123" s="34" t="s">
        <v>3</v>
      </c>
      <c r="V123" s="38">
        <v>46230</v>
      </c>
      <c r="W123" s="38">
        <v>46262</v>
      </c>
      <c r="X123" s="34" t="s">
        <v>78</v>
      </c>
      <c r="Y123" s="34" t="s">
        <v>3</v>
      </c>
      <c r="Z123" s="38">
        <v>46253</v>
      </c>
      <c r="AA123" s="38">
        <v>46269</v>
      </c>
      <c r="AB123" s="75">
        <f t="shared" si="10"/>
        <v>1</v>
      </c>
      <c r="AC123" s="34" t="str">
        <f>IF(G123="已完成","正常",IF(OR(G123="暂停",G123="挂起"),"暂停",IF(J123="","日期缺失",IF(J123&lt;项目驾驶舱!$B$3,"已延期",IF(J123&lt;=项目驾驶舱!$B$3+7,"临近到期","正常")))))</f>
        <v>正常</v>
      </c>
      <c r="AD123" s="34" t="s">
        <v>79</v>
      </c>
      <c r="AE123" s="34" t="s">
        <v>79</v>
      </c>
    </row>
    <row r="124" ht="17" customHeight="1" spans="1:31">
      <c r="A124" s="34" t="s">
        <v>350</v>
      </c>
      <c r="B124" s="34" t="s">
        <v>351</v>
      </c>
      <c r="C124" s="34" t="s">
        <v>352</v>
      </c>
      <c r="D124" s="34" t="s">
        <v>353</v>
      </c>
      <c r="E124" s="34" t="s">
        <v>74</v>
      </c>
      <c r="F124" s="34" t="s">
        <v>26</v>
      </c>
      <c r="G124" s="34" t="str">
        <f t="shared" si="14"/>
        <v>已完成</v>
      </c>
      <c r="H124" s="34" t="str">
        <f t="shared" si="7"/>
        <v>郑士旺</v>
      </c>
      <c r="I124" s="38">
        <f t="shared" si="8"/>
        <v>46216</v>
      </c>
      <c r="J124" s="38">
        <f t="shared" si="9"/>
        <v>46261</v>
      </c>
      <c r="K124" s="38">
        <v>46261</v>
      </c>
      <c r="L124" s="34" t="s">
        <v>75</v>
      </c>
      <c r="M124" s="34" t="s">
        <v>3</v>
      </c>
      <c r="N124" s="38">
        <v>46216</v>
      </c>
      <c r="O124" s="38">
        <v>46220</v>
      </c>
      <c r="P124" s="34" t="s">
        <v>76</v>
      </c>
      <c r="Q124" s="34" t="s">
        <v>3</v>
      </c>
      <c r="R124" s="38">
        <v>46265</v>
      </c>
      <c r="S124" s="38">
        <v>46269</v>
      </c>
      <c r="T124" s="34" t="s">
        <v>77</v>
      </c>
      <c r="U124" s="34" t="s">
        <v>3</v>
      </c>
      <c r="V124" s="38">
        <v>46265</v>
      </c>
      <c r="W124" s="38">
        <v>46269</v>
      </c>
      <c r="X124" s="34" t="s">
        <v>78</v>
      </c>
      <c r="Y124" s="34" t="s">
        <v>3</v>
      </c>
      <c r="Z124" s="38">
        <v>46272</v>
      </c>
      <c r="AA124" s="38">
        <v>46276</v>
      </c>
      <c r="AB124" s="75">
        <f t="shared" si="10"/>
        <v>1</v>
      </c>
      <c r="AC124" s="34" t="str">
        <f>IF(G124="已完成","正常",IF(OR(G124="暂停",G124="挂起"),"暂停",IF(J124="","日期缺失",IF(J124&lt;项目驾驶舱!$B$3,"已延期",IF(J124&lt;=项目驾驶舱!$B$3+7,"临近到期","正常")))))</f>
        <v>正常</v>
      </c>
      <c r="AD124" s="34" t="s">
        <v>79</v>
      </c>
      <c r="AE124" s="34" t="s">
        <v>79</v>
      </c>
    </row>
    <row r="125" ht="17" customHeight="1" spans="1:31">
      <c r="A125" s="34" t="s">
        <v>354</v>
      </c>
      <c r="B125" s="34" t="s">
        <v>351</v>
      </c>
      <c r="C125" s="34" t="s">
        <v>352</v>
      </c>
      <c r="D125" s="34" t="s">
        <v>355</v>
      </c>
      <c r="E125" s="34" t="s">
        <v>74</v>
      </c>
      <c r="F125" s="34" t="s">
        <v>26</v>
      </c>
      <c r="G125" s="34" t="str">
        <f t="shared" si="14"/>
        <v>已完成</v>
      </c>
      <c r="H125" s="34" t="str">
        <f t="shared" si="7"/>
        <v>郑士旺</v>
      </c>
      <c r="I125" s="38">
        <f t="shared" si="8"/>
        <v>46216</v>
      </c>
      <c r="J125" s="38">
        <f t="shared" si="9"/>
        <v>46261</v>
      </c>
      <c r="K125" s="38">
        <v>46261</v>
      </c>
      <c r="L125" s="34" t="s">
        <v>75</v>
      </c>
      <c r="M125" s="34" t="s">
        <v>3</v>
      </c>
      <c r="N125" s="38">
        <v>46216</v>
      </c>
      <c r="O125" s="38">
        <v>46220</v>
      </c>
      <c r="P125" s="34" t="s">
        <v>76</v>
      </c>
      <c r="Q125" s="34" t="s">
        <v>3</v>
      </c>
      <c r="R125" s="38">
        <v>46265</v>
      </c>
      <c r="S125" s="38">
        <v>46269</v>
      </c>
      <c r="T125" s="34" t="s">
        <v>77</v>
      </c>
      <c r="U125" s="34" t="s">
        <v>3</v>
      </c>
      <c r="V125" s="38">
        <v>46265</v>
      </c>
      <c r="W125" s="38">
        <v>46269</v>
      </c>
      <c r="X125" s="34" t="s">
        <v>78</v>
      </c>
      <c r="Y125" s="34" t="s">
        <v>3</v>
      </c>
      <c r="Z125" s="38">
        <v>46272</v>
      </c>
      <c r="AA125" s="38">
        <v>46276</v>
      </c>
      <c r="AB125" s="75">
        <f t="shared" si="10"/>
        <v>1</v>
      </c>
      <c r="AC125" s="34" t="str">
        <f>IF(G125="已完成","正常",IF(OR(G125="暂停",G125="挂起"),"暂停",IF(J125="","日期缺失",IF(J125&lt;项目驾驶舱!$B$3,"已延期",IF(J125&lt;=项目驾驶舱!$B$3+7,"临近到期","正常")))))</f>
        <v>正常</v>
      </c>
      <c r="AD125" s="34" t="s">
        <v>79</v>
      </c>
      <c r="AE125" s="34" t="s">
        <v>79</v>
      </c>
    </row>
    <row r="126" ht="17" customHeight="1" spans="1:31">
      <c r="A126" s="34" t="s">
        <v>356</v>
      </c>
      <c r="B126" s="34" t="s">
        <v>351</v>
      </c>
      <c r="C126" s="34" t="s">
        <v>352</v>
      </c>
      <c r="D126" s="34" t="s">
        <v>357</v>
      </c>
      <c r="E126" s="34" t="s">
        <v>74</v>
      </c>
      <c r="F126" s="34" t="s">
        <v>26</v>
      </c>
      <c r="G126" s="34" t="str">
        <f t="shared" si="14"/>
        <v>已完成</v>
      </c>
      <c r="H126" s="34" t="str">
        <f t="shared" si="7"/>
        <v>郑士旺</v>
      </c>
      <c r="I126" s="38">
        <f t="shared" si="8"/>
        <v>46216</v>
      </c>
      <c r="J126" s="38">
        <f t="shared" si="9"/>
        <v>46261</v>
      </c>
      <c r="K126" s="38">
        <v>46261</v>
      </c>
      <c r="L126" s="34" t="s">
        <v>75</v>
      </c>
      <c r="M126" s="34" t="s">
        <v>3</v>
      </c>
      <c r="N126" s="38">
        <v>46216</v>
      </c>
      <c r="O126" s="38">
        <v>46220</v>
      </c>
      <c r="P126" s="34" t="s">
        <v>76</v>
      </c>
      <c r="Q126" s="34" t="s">
        <v>3</v>
      </c>
      <c r="R126" s="38">
        <v>46265</v>
      </c>
      <c r="S126" s="38">
        <v>46269</v>
      </c>
      <c r="T126" s="34" t="s">
        <v>77</v>
      </c>
      <c r="U126" s="34" t="s">
        <v>3</v>
      </c>
      <c r="V126" s="38">
        <v>46265</v>
      </c>
      <c r="W126" s="38">
        <v>46269</v>
      </c>
      <c r="X126" s="34" t="s">
        <v>78</v>
      </c>
      <c r="Y126" s="34" t="s">
        <v>3</v>
      </c>
      <c r="Z126" s="38">
        <v>46272</v>
      </c>
      <c r="AA126" s="38">
        <v>46276</v>
      </c>
      <c r="AB126" s="75">
        <f t="shared" si="10"/>
        <v>1</v>
      </c>
      <c r="AC126" s="34" t="str">
        <f>IF(G126="已完成","正常",IF(OR(G126="暂停",G126="挂起"),"暂停",IF(J126="","日期缺失",IF(J126&lt;项目驾驶舱!$B$3,"已延期",IF(J126&lt;=项目驾驶舱!$B$3+7,"临近到期","正常")))))</f>
        <v>正常</v>
      </c>
      <c r="AD126" s="34" t="s">
        <v>79</v>
      </c>
      <c r="AE126" s="34" t="s">
        <v>79</v>
      </c>
    </row>
    <row r="127" ht="17" customHeight="1" spans="1:31">
      <c r="A127" s="34" t="s">
        <v>358</v>
      </c>
      <c r="B127" s="34" t="s">
        <v>351</v>
      </c>
      <c r="C127" s="34" t="s">
        <v>352</v>
      </c>
      <c r="D127" s="34" t="s">
        <v>359</v>
      </c>
      <c r="E127" s="34" t="s">
        <v>74</v>
      </c>
      <c r="F127" s="34" t="s">
        <v>26</v>
      </c>
      <c r="G127" s="34" t="str">
        <f t="shared" si="14"/>
        <v>已完成</v>
      </c>
      <c r="H127" s="34" t="str">
        <f t="shared" si="7"/>
        <v>郑士旺</v>
      </c>
      <c r="I127" s="38">
        <f t="shared" si="8"/>
        <v>46216</v>
      </c>
      <c r="J127" s="38">
        <f t="shared" si="9"/>
        <v>46261</v>
      </c>
      <c r="K127" s="38">
        <v>46261</v>
      </c>
      <c r="L127" s="34" t="s">
        <v>75</v>
      </c>
      <c r="M127" s="34" t="s">
        <v>3</v>
      </c>
      <c r="N127" s="38">
        <v>46216</v>
      </c>
      <c r="O127" s="38">
        <v>46220</v>
      </c>
      <c r="P127" s="34" t="s">
        <v>76</v>
      </c>
      <c r="Q127" s="34" t="s">
        <v>3</v>
      </c>
      <c r="R127" s="38">
        <v>46265</v>
      </c>
      <c r="S127" s="38">
        <v>46269</v>
      </c>
      <c r="T127" s="34" t="s">
        <v>77</v>
      </c>
      <c r="U127" s="34" t="s">
        <v>3</v>
      </c>
      <c r="V127" s="38">
        <v>46265</v>
      </c>
      <c r="W127" s="38">
        <v>46269</v>
      </c>
      <c r="X127" s="34" t="s">
        <v>78</v>
      </c>
      <c r="Y127" s="34" t="s">
        <v>3</v>
      </c>
      <c r="Z127" s="38">
        <v>46272</v>
      </c>
      <c r="AA127" s="38">
        <v>46276</v>
      </c>
      <c r="AB127" s="75">
        <f t="shared" si="10"/>
        <v>1</v>
      </c>
      <c r="AC127" s="34" t="str">
        <f>IF(G127="已完成","正常",IF(OR(G127="暂停",G127="挂起"),"暂停",IF(J127="","日期缺失",IF(J127&lt;项目驾驶舱!$B$3,"已延期",IF(J127&lt;=项目驾驶舱!$B$3+7,"临近到期","正常")))))</f>
        <v>正常</v>
      </c>
      <c r="AD127" s="34" t="s">
        <v>79</v>
      </c>
      <c r="AE127" s="34" t="s">
        <v>79</v>
      </c>
    </row>
    <row r="128" ht="17" customHeight="1" spans="1:31">
      <c r="A128" s="34" t="s">
        <v>360</v>
      </c>
      <c r="B128" s="34" t="s">
        <v>351</v>
      </c>
      <c r="C128" s="34" t="s">
        <v>352</v>
      </c>
      <c r="D128" s="34" t="s">
        <v>361</v>
      </c>
      <c r="E128" s="34" t="s">
        <v>74</v>
      </c>
      <c r="F128" s="34" t="s">
        <v>26</v>
      </c>
      <c r="G128" s="34" t="str">
        <f t="shared" si="14"/>
        <v>已完成</v>
      </c>
      <c r="H128" s="34" t="str">
        <f t="shared" si="7"/>
        <v>郑士旺</v>
      </c>
      <c r="I128" s="38">
        <f t="shared" si="8"/>
        <v>46216</v>
      </c>
      <c r="J128" s="38">
        <f t="shared" si="9"/>
        <v>46261</v>
      </c>
      <c r="K128" s="38">
        <v>46261</v>
      </c>
      <c r="L128" s="34" t="s">
        <v>75</v>
      </c>
      <c r="M128" s="34" t="s">
        <v>3</v>
      </c>
      <c r="N128" s="38">
        <v>46216</v>
      </c>
      <c r="O128" s="38">
        <v>46220</v>
      </c>
      <c r="P128" s="34" t="s">
        <v>76</v>
      </c>
      <c r="Q128" s="34" t="s">
        <v>3</v>
      </c>
      <c r="R128" s="38">
        <v>46265</v>
      </c>
      <c r="S128" s="38">
        <v>46269</v>
      </c>
      <c r="T128" s="34" t="s">
        <v>77</v>
      </c>
      <c r="U128" s="34" t="s">
        <v>3</v>
      </c>
      <c r="V128" s="38">
        <v>46265</v>
      </c>
      <c r="W128" s="38">
        <v>46269</v>
      </c>
      <c r="X128" s="34" t="s">
        <v>78</v>
      </c>
      <c r="Y128" s="34" t="s">
        <v>3</v>
      </c>
      <c r="Z128" s="38">
        <v>46272</v>
      </c>
      <c r="AA128" s="38">
        <v>46276</v>
      </c>
      <c r="AB128" s="75">
        <f t="shared" si="10"/>
        <v>1</v>
      </c>
      <c r="AC128" s="34" t="str">
        <f>IF(G128="已完成","正常",IF(OR(G128="暂停",G128="挂起"),"暂停",IF(J128="","日期缺失",IF(J128&lt;项目驾驶舱!$B$3,"已延期",IF(J128&lt;=项目驾驶舱!$B$3+7,"临近到期","正常")))))</f>
        <v>正常</v>
      </c>
      <c r="AD128" s="34" t="s">
        <v>79</v>
      </c>
      <c r="AE128" s="34" t="s">
        <v>79</v>
      </c>
    </row>
    <row r="129" ht="17" customHeight="1" spans="1:31">
      <c r="A129" s="34" t="s">
        <v>362</v>
      </c>
      <c r="B129" s="34" t="s">
        <v>351</v>
      </c>
      <c r="C129" s="34" t="s">
        <v>352</v>
      </c>
      <c r="D129" s="34" t="s">
        <v>363</v>
      </c>
      <c r="E129" s="34" t="s">
        <v>74</v>
      </c>
      <c r="F129" s="34" t="s">
        <v>26</v>
      </c>
      <c r="G129" s="34" t="str">
        <f t="shared" ref="G129:G140" si="15">IF(OR(M129="挂起",M129="暂停",Q129="挂起",Q129="暂停",U129="挂起",U129="暂停",Y129="挂起",Y129="暂停"),"暂停","未开始")</f>
        <v>未开始</v>
      </c>
      <c r="H129" s="34" t="str">
        <f t="shared" si="7"/>
        <v>郑士旺</v>
      </c>
      <c r="I129" s="38">
        <f t="shared" si="8"/>
        <v>46230</v>
      </c>
      <c r="J129" s="38">
        <f t="shared" si="9"/>
        <v>46353</v>
      </c>
      <c r="K129" s="38"/>
      <c r="L129" s="34" t="s">
        <v>75</v>
      </c>
      <c r="M129" s="34" t="s">
        <v>5</v>
      </c>
      <c r="N129" s="38">
        <v>46230</v>
      </c>
      <c r="O129" s="38">
        <v>46241</v>
      </c>
      <c r="P129" s="34" t="s">
        <v>76</v>
      </c>
      <c r="Q129" s="34" t="s">
        <v>5</v>
      </c>
      <c r="R129" s="38">
        <v>46307</v>
      </c>
      <c r="S129" s="38">
        <v>46339</v>
      </c>
      <c r="T129" s="34" t="s">
        <v>77</v>
      </c>
      <c r="U129" s="34" t="s">
        <v>5</v>
      </c>
      <c r="V129" s="38">
        <v>46307</v>
      </c>
      <c r="W129" s="38">
        <v>46339</v>
      </c>
      <c r="X129" s="34" t="s">
        <v>78</v>
      </c>
      <c r="Y129" s="34" t="s">
        <v>5</v>
      </c>
      <c r="Z129" s="38">
        <v>46342</v>
      </c>
      <c r="AA129" s="38">
        <v>46353</v>
      </c>
      <c r="AB129" s="75">
        <f t="shared" si="10"/>
        <v>0</v>
      </c>
      <c r="AC129" s="34" t="str">
        <f>IF(G129="已完成","正常",IF(OR(G129="暂停",G129="挂起"),"暂停",IF(J129="","日期缺失",IF(J129&lt;项目驾驶舱!$B$3,"已延期",IF(J129&lt;=项目驾驶舱!$B$3+7,"临近到期","正常")))))</f>
        <v>正常</v>
      </c>
      <c r="AD129" s="34" t="s">
        <v>79</v>
      </c>
      <c r="AE129" s="34" t="s">
        <v>79</v>
      </c>
    </row>
    <row r="130" ht="17" customHeight="1" spans="1:31">
      <c r="A130" s="34" t="s">
        <v>364</v>
      </c>
      <c r="B130" s="34" t="s">
        <v>351</v>
      </c>
      <c r="C130" s="34" t="s">
        <v>352</v>
      </c>
      <c r="D130" s="34" t="s">
        <v>365</v>
      </c>
      <c r="E130" s="34" t="s">
        <v>74</v>
      </c>
      <c r="F130" s="34" t="s">
        <v>26</v>
      </c>
      <c r="G130" s="34" t="str">
        <f t="shared" si="15"/>
        <v>未开始</v>
      </c>
      <c r="H130" s="34" t="str">
        <f t="shared" si="7"/>
        <v>郑士旺</v>
      </c>
      <c r="I130" s="38">
        <f t="shared" si="8"/>
        <v>46230</v>
      </c>
      <c r="J130" s="38">
        <f t="shared" si="9"/>
        <v>46261</v>
      </c>
      <c r="K130" s="38">
        <v>46261</v>
      </c>
      <c r="L130" s="34" t="s">
        <v>75</v>
      </c>
      <c r="M130" s="34" t="s">
        <v>5</v>
      </c>
      <c r="N130" s="38">
        <v>46230</v>
      </c>
      <c r="O130" s="38">
        <v>46241</v>
      </c>
      <c r="P130" s="34" t="s">
        <v>76</v>
      </c>
      <c r="Q130" s="34" t="s">
        <v>5</v>
      </c>
      <c r="R130" s="38">
        <v>46307</v>
      </c>
      <c r="S130" s="38">
        <v>46339</v>
      </c>
      <c r="T130" s="34" t="s">
        <v>77</v>
      </c>
      <c r="U130" s="34" t="s">
        <v>5</v>
      </c>
      <c r="V130" s="38">
        <v>46307</v>
      </c>
      <c r="W130" s="38">
        <v>46339</v>
      </c>
      <c r="X130" s="34" t="s">
        <v>78</v>
      </c>
      <c r="Y130" s="34" t="s">
        <v>5</v>
      </c>
      <c r="Z130" s="38">
        <v>46342</v>
      </c>
      <c r="AA130" s="38">
        <v>46353</v>
      </c>
      <c r="AB130" s="75">
        <f t="shared" si="10"/>
        <v>0</v>
      </c>
      <c r="AC130" s="34" t="str">
        <f>IF(G130="已完成","正常",IF(OR(G130="暂停",G130="挂起"),"暂停",IF(J130="","日期缺失",IF(J130&lt;项目驾驶舱!$B$3,"已延期",IF(J130&lt;=项目驾驶舱!$B$3+7,"临近到期","正常")))))</f>
        <v>已延期</v>
      </c>
      <c r="AD130" s="34" t="s">
        <v>79</v>
      </c>
      <c r="AE130" s="34" t="s">
        <v>79</v>
      </c>
    </row>
    <row r="131" ht="17" customHeight="1" spans="1:31">
      <c r="A131" s="34" t="s">
        <v>366</v>
      </c>
      <c r="B131" s="34" t="s">
        <v>351</v>
      </c>
      <c r="C131" s="34" t="s">
        <v>352</v>
      </c>
      <c r="D131" s="34" t="s">
        <v>367</v>
      </c>
      <c r="E131" s="34" t="s">
        <v>74</v>
      </c>
      <c r="F131" s="34" t="s">
        <v>26</v>
      </c>
      <c r="G131" s="34" t="str">
        <f t="shared" si="15"/>
        <v>未开始</v>
      </c>
      <c r="H131" s="34" t="str">
        <f t="shared" si="7"/>
        <v>郑士旺</v>
      </c>
      <c r="I131" s="38">
        <f t="shared" si="8"/>
        <v>46230</v>
      </c>
      <c r="J131" s="38">
        <f t="shared" si="9"/>
        <v>46261</v>
      </c>
      <c r="K131" s="38">
        <v>46261</v>
      </c>
      <c r="L131" s="34" t="s">
        <v>75</v>
      </c>
      <c r="M131" s="34" t="s">
        <v>5</v>
      </c>
      <c r="N131" s="38">
        <v>46230</v>
      </c>
      <c r="O131" s="38">
        <v>46241</v>
      </c>
      <c r="P131" s="34" t="s">
        <v>152</v>
      </c>
      <c r="Q131" s="34" t="s">
        <v>5</v>
      </c>
      <c r="R131" s="38">
        <v>46307</v>
      </c>
      <c r="S131" s="38">
        <v>46339</v>
      </c>
      <c r="T131" s="34" t="s">
        <v>152</v>
      </c>
      <c r="U131" s="34" t="s">
        <v>5</v>
      </c>
      <c r="V131" s="38">
        <v>46307</v>
      </c>
      <c r="W131" s="38">
        <v>46339</v>
      </c>
      <c r="X131" s="34" t="s">
        <v>78</v>
      </c>
      <c r="Y131" s="34" t="s">
        <v>5</v>
      </c>
      <c r="Z131" s="38">
        <v>46342</v>
      </c>
      <c r="AA131" s="38">
        <v>46353</v>
      </c>
      <c r="AB131" s="75">
        <f t="shared" si="10"/>
        <v>0</v>
      </c>
      <c r="AC131" s="34" t="str">
        <f>IF(G131="已完成","正常",IF(OR(G131="暂停",G131="挂起"),"暂停",IF(J131="","日期缺失",IF(J131&lt;项目驾驶舱!$B$3,"已延期",IF(J131&lt;=项目驾驶舱!$B$3+7,"临近到期","正常")))))</f>
        <v>已延期</v>
      </c>
      <c r="AD131" s="34" t="s">
        <v>79</v>
      </c>
      <c r="AE131" s="34" t="s">
        <v>79</v>
      </c>
    </row>
    <row r="132" ht="17" customHeight="1" spans="1:31">
      <c r="A132" s="34" t="s">
        <v>368</v>
      </c>
      <c r="B132" s="34" t="s">
        <v>351</v>
      </c>
      <c r="C132" s="34" t="s">
        <v>352</v>
      </c>
      <c r="D132" s="34" t="s">
        <v>369</v>
      </c>
      <c r="E132" s="34" t="s">
        <v>74</v>
      </c>
      <c r="F132" s="34" t="s">
        <v>26</v>
      </c>
      <c r="G132" s="34" t="str">
        <f t="shared" si="15"/>
        <v>未开始</v>
      </c>
      <c r="H132" s="34" t="str">
        <f t="shared" ref="H132:H148" si="16">IF(L132&lt;&gt;"",L132,IF(P132&lt;&gt;"",P132,IF(T132&lt;&gt;"",T132,X132)))</f>
        <v>郑士旺</v>
      </c>
      <c r="I132" s="38">
        <f t="shared" ref="I132:I148" si="17">IF(COUNT(N132,R132,V132,Z132)=0,"",MIN(N132,R132,V132,Z132))</f>
        <v>46230</v>
      </c>
      <c r="J132" s="38">
        <f t="shared" ref="J132:J148" si="18">IF(ISNUMBER(K132),K132,IF(COUNT(O132,S132,W132,AA132)=0,"",MAX(O132,S132,W132,AA132)))</f>
        <v>46353</v>
      </c>
      <c r="K132" s="38"/>
      <c r="L132" s="34" t="s">
        <v>75</v>
      </c>
      <c r="M132" s="34" t="s">
        <v>5</v>
      </c>
      <c r="N132" s="38">
        <v>46230</v>
      </c>
      <c r="O132" s="38">
        <v>46241</v>
      </c>
      <c r="P132" s="34" t="s">
        <v>152</v>
      </c>
      <c r="Q132" s="34" t="s">
        <v>5</v>
      </c>
      <c r="R132" s="38">
        <v>46307</v>
      </c>
      <c r="S132" s="38">
        <v>46339</v>
      </c>
      <c r="T132" s="34" t="s">
        <v>152</v>
      </c>
      <c r="U132" s="34" t="s">
        <v>5</v>
      </c>
      <c r="V132" s="38">
        <v>46307</v>
      </c>
      <c r="W132" s="38">
        <v>46339</v>
      </c>
      <c r="X132" s="34" t="s">
        <v>78</v>
      </c>
      <c r="Y132" s="34" t="s">
        <v>5</v>
      </c>
      <c r="Z132" s="38">
        <v>46342</v>
      </c>
      <c r="AA132" s="38">
        <v>46353</v>
      </c>
      <c r="AB132" s="75">
        <f t="shared" ref="AB132:AB148" si="19">(IF(M132="已完成",1,IF(M132="进行中",0.5,0))*15%+IF(Q132="已完成",1,IF(Q132="进行中",0.5,0))*35%+IF(U132="已完成",1,IF(U132="进行中",0.5,0))*30%+IF(Y132="已完成",1,IF(Y132="进行中",0.5,0))*20%)</f>
        <v>0</v>
      </c>
      <c r="AC132" s="34" t="str">
        <f>IF(G132="已完成","正常",IF(OR(G132="暂停",G132="挂起"),"暂停",IF(J132="","日期缺失",IF(J132&lt;项目驾驶舱!$B$3,"已延期",IF(J132&lt;=项目驾驶舱!$B$3+7,"临近到期","正常")))))</f>
        <v>正常</v>
      </c>
      <c r="AD132" s="34" t="s">
        <v>79</v>
      </c>
      <c r="AE132" s="34" t="s">
        <v>79</v>
      </c>
    </row>
    <row r="133" ht="17" customHeight="1" spans="1:31">
      <c r="A133" s="34" t="s">
        <v>370</v>
      </c>
      <c r="B133" s="34" t="s">
        <v>351</v>
      </c>
      <c r="C133" s="34" t="s">
        <v>352</v>
      </c>
      <c r="D133" s="34" t="s">
        <v>371</v>
      </c>
      <c r="E133" s="34" t="s">
        <v>74</v>
      </c>
      <c r="F133" s="34" t="s">
        <v>26</v>
      </c>
      <c r="G133" s="34" t="str">
        <f t="shared" si="15"/>
        <v>未开始</v>
      </c>
      <c r="H133" s="34" t="str">
        <f t="shared" si="16"/>
        <v>郑士旺</v>
      </c>
      <c r="I133" s="38">
        <f t="shared" si="17"/>
        <v>46230</v>
      </c>
      <c r="J133" s="38">
        <f t="shared" si="18"/>
        <v>46353</v>
      </c>
      <c r="K133" s="38"/>
      <c r="L133" s="34" t="s">
        <v>75</v>
      </c>
      <c r="M133" s="34" t="s">
        <v>5</v>
      </c>
      <c r="N133" s="38">
        <v>46230</v>
      </c>
      <c r="O133" s="38">
        <v>46241</v>
      </c>
      <c r="P133" s="34" t="s">
        <v>76</v>
      </c>
      <c r="Q133" s="34" t="s">
        <v>5</v>
      </c>
      <c r="R133" s="38">
        <v>46307</v>
      </c>
      <c r="S133" s="38">
        <v>46339</v>
      </c>
      <c r="T133" s="34" t="s">
        <v>77</v>
      </c>
      <c r="U133" s="34" t="s">
        <v>5</v>
      </c>
      <c r="V133" s="38">
        <v>46307</v>
      </c>
      <c r="W133" s="38">
        <v>46339</v>
      </c>
      <c r="X133" s="34" t="s">
        <v>78</v>
      </c>
      <c r="Y133" s="34" t="s">
        <v>5</v>
      </c>
      <c r="Z133" s="38">
        <v>46342</v>
      </c>
      <c r="AA133" s="38">
        <v>46353</v>
      </c>
      <c r="AB133" s="75">
        <f t="shared" si="19"/>
        <v>0</v>
      </c>
      <c r="AC133" s="34" t="str">
        <f>IF(G133="已完成","正常",IF(OR(G133="暂停",G133="挂起"),"暂停",IF(J133="","日期缺失",IF(J133&lt;项目驾驶舱!$B$3,"已延期",IF(J133&lt;=项目驾驶舱!$B$3+7,"临近到期","正常")))))</f>
        <v>正常</v>
      </c>
      <c r="AD133" s="34" t="s">
        <v>79</v>
      </c>
      <c r="AE133" s="34" t="s">
        <v>79</v>
      </c>
    </row>
    <row r="134" ht="17" customHeight="1" spans="1:31">
      <c r="A134" s="34" t="s">
        <v>372</v>
      </c>
      <c r="B134" s="34" t="s">
        <v>351</v>
      </c>
      <c r="C134" s="34" t="s">
        <v>352</v>
      </c>
      <c r="D134" s="34" t="s">
        <v>373</v>
      </c>
      <c r="E134" s="34" t="s">
        <v>74</v>
      </c>
      <c r="F134" s="34" t="s">
        <v>26</v>
      </c>
      <c r="G134" s="34" t="str">
        <f t="shared" si="15"/>
        <v>未开始</v>
      </c>
      <c r="H134" s="34" t="str">
        <f t="shared" si="16"/>
        <v>郑士旺</v>
      </c>
      <c r="I134" s="38">
        <f t="shared" si="17"/>
        <v>46230</v>
      </c>
      <c r="J134" s="38">
        <f t="shared" si="18"/>
        <v>46353</v>
      </c>
      <c r="K134" s="38"/>
      <c r="L134" s="34" t="s">
        <v>75</v>
      </c>
      <c r="M134" s="34" t="s">
        <v>5</v>
      </c>
      <c r="N134" s="38">
        <v>46230</v>
      </c>
      <c r="O134" s="38">
        <v>46241</v>
      </c>
      <c r="P134" s="34" t="s">
        <v>76</v>
      </c>
      <c r="Q134" s="34" t="s">
        <v>5</v>
      </c>
      <c r="R134" s="38">
        <v>46307</v>
      </c>
      <c r="S134" s="38">
        <v>46339</v>
      </c>
      <c r="T134" s="34" t="s">
        <v>77</v>
      </c>
      <c r="U134" s="34" t="s">
        <v>5</v>
      </c>
      <c r="V134" s="38">
        <v>46307</v>
      </c>
      <c r="W134" s="38">
        <v>46339</v>
      </c>
      <c r="X134" s="34" t="s">
        <v>78</v>
      </c>
      <c r="Y134" s="34" t="s">
        <v>5</v>
      </c>
      <c r="Z134" s="38">
        <v>46342</v>
      </c>
      <c r="AA134" s="38">
        <v>46353</v>
      </c>
      <c r="AB134" s="75">
        <f t="shared" si="19"/>
        <v>0</v>
      </c>
      <c r="AC134" s="34" t="str">
        <f>IF(G134="已完成","正常",IF(OR(G134="暂停",G134="挂起"),"暂停",IF(J134="","日期缺失",IF(J134&lt;项目驾驶舱!$B$3,"已延期",IF(J134&lt;=项目驾驶舱!$B$3+7,"临近到期","正常")))))</f>
        <v>正常</v>
      </c>
      <c r="AD134" s="34" t="s">
        <v>79</v>
      </c>
      <c r="AE134" s="34" t="s">
        <v>79</v>
      </c>
    </row>
    <row r="135" ht="17" customHeight="1" spans="1:31">
      <c r="A135" s="34" t="s">
        <v>374</v>
      </c>
      <c r="B135" s="34" t="s">
        <v>351</v>
      </c>
      <c r="C135" s="34" t="s">
        <v>352</v>
      </c>
      <c r="D135" s="34" t="s">
        <v>159</v>
      </c>
      <c r="E135" s="34" t="s">
        <v>74</v>
      </c>
      <c r="F135" s="34" t="s">
        <v>26</v>
      </c>
      <c r="G135" s="34" t="str">
        <f t="shared" si="15"/>
        <v>未开始</v>
      </c>
      <c r="H135" s="34" t="str">
        <f t="shared" si="16"/>
        <v>郑士旺</v>
      </c>
      <c r="I135" s="38">
        <f t="shared" si="17"/>
        <v>46230</v>
      </c>
      <c r="J135" s="38">
        <f t="shared" si="18"/>
        <v>46353</v>
      </c>
      <c r="K135" s="38"/>
      <c r="L135" s="34" t="s">
        <v>75</v>
      </c>
      <c r="M135" s="34" t="s">
        <v>5</v>
      </c>
      <c r="N135" s="38">
        <v>46230</v>
      </c>
      <c r="O135" s="38">
        <v>46241</v>
      </c>
      <c r="P135" s="34" t="s">
        <v>76</v>
      </c>
      <c r="Q135" s="34" t="s">
        <v>5</v>
      </c>
      <c r="R135" s="38">
        <v>46307</v>
      </c>
      <c r="S135" s="38">
        <v>46339</v>
      </c>
      <c r="T135" s="34" t="s">
        <v>77</v>
      </c>
      <c r="U135" s="34" t="s">
        <v>5</v>
      </c>
      <c r="V135" s="38">
        <v>46307</v>
      </c>
      <c r="W135" s="38">
        <v>46339</v>
      </c>
      <c r="X135" s="34" t="s">
        <v>78</v>
      </c>
      <c r="Y135" s="34" t="s">
        <v>5</v>
      </c>
      <c r="Z135" s="38">
        <v>46342</v>
      </c>
      <c r="AA135" s="38">
        <v>46353</v>
      </c>
      <c r="AB135" s="75">
        <f t="shared" si="19"/>
        <v>0</v>
      </c>
      <c r="AC135" s="34" t="str">
        <f>IF(G135="已完成","正常",IF(OR(G135="暂停",G135="挂起"),"暂停",IF(J135="","日期缺失",IF(J135&lt;项目驾驶舱!$B$3,"已延期",IF(J135&lt;=项目驾驶舱!$B$3+7,"临近到期","正常")))))</f>
        <v>正常</v>
      </c>
      <c r="AD135" s="34" t="s">
        <v>79</v>
      </c>
      <c r="AE135" s="34" t="s">
        <v>79</v>
      </c>
    </row>
    <row r="136" ht="17" customHeight="1" spans="1:31">
      <c r="A136" s="34" t="s">
        <v>375</v>
      </c>
      <c r="B136" s="34" t="s">
        <v>351</v>
      </c>
      <c r="C136" s="34" t="s">
        <v>352</v>
      </c>
      <c r="D136" s="34" t="s">
        <v>163</v>
      </c>
      <c r="E136" s="34" t="s">
        <v>74</v>
      </c>
      <c r="F136" s="34" t="s">
        <v>26</v>
      </c>
      <c r="G136" s="34" t="str">
        <f t="shared" si="15"/>
        <v>未开始</v>
      </c>
      <c r="H136" s="34" t="str">
        <f t="shared" si="16"/>
        <v>郑士旺</v>
      </c>
      <c r="I136" s="38">
        <f t="shared" si="17"/>
        <v>46230</v>
      </c>
      <c r="J136" s="38">
        <f t="shared" si="18"/>
        <v>46353</v>
      </c>
      <c r="K136" s="38"/>
      <c r="L136" s="34" t="s">
        <v>75</v>
      </c>
      <c r="M136" s="34" t="s">
        <v>5</v>
      </c>
      <c r="N136" s="38">
        <v>46230</v>
      </c>
      <c r="O136" s="38">
        <v>46241</v>
      </c>
      <c r="P136" s="34" t="s">
        <v>76</v>
      </c>
      <c r="Q136" s="34" t="s">
        <v>5</v>
      </c>
      <c r="R136" s="38">
        <v>46307</v>
      </c>
      <c r="S136" s="38">
        <v>46339</v>
      </c>
      <c r="T136" s="34" t="s">
        <v>77</v>
      </c>
      <c r="U136" s="34" t="s">
        <v>5</v>
      </c>
      <c r="V136" s="38">
        <v>46307</v>
      </c>
      <c r="W136" s="38">
        <v>46339</v>
      </c>
      <c r="X136" s="34" t="s">
        <v>78</v>
      </c>
      <c r="Y136" s="34" t="s">
        <v>5</v>
      </c>
      <c r="Z136" s="38">
        <v>46342</v>
      </c>
      <c r="AA136" s="38">
        <v>46353</v>
      </c>
      <c r="AB136" s="75">
        <f t="shared" si="19"/>
        <v>0</v>
      </c>
      <c r="AC136" s="34" t="str">
        <f>IF(G136="已完成","正常",IF(OR(G136="暂停",G136="挂起"),"暂停",IF(J136="","日期缺失",IF(J136&lt;项目驾驶舱!$B$3,"已延期",IF(J136&lt;=项目驾驶舱!$B$3+7,"临近到期","正常")))))</f>
        <v>正常</v>
      </c>
      <c r="AD136" s="34" t="s">
        <v>79</v>
      </c>
      <c r="AE136" s="34" t="s">
        <v>79</v>
      </c>
    </row>
    <row r="137" ht="17" customHeight="1" spans="1:31">
      <c r="A137" s="34" t="s">
        <v>376</v>
      </c>
      <c r="B137" s="34" t="s">
        <v>351</v>
      </c>
      <c r="C137" s="34" t="s">
        <v>352</v>
      </c>
      <c r="D137" s="34" t="s">
        <v>377</v>
      </c>
      <c r="E137" s="34" t="s">
        <v>74</v>
      </c>
      <c r="F137" s="34" t="s">
        <v>26</v>
      </c>
      <c r="G137" s="34" t="str">
        <f t="shared" si="15"/>
        <v>未开始</v>
      </c>
      <c r="H137" s="34" t="str">
        <f t="shared" si="16"/>
        <v>郑士旺</v>
      </c>
      <c r="I137" s="38">
        <f t="shared" si="17"/>
        <v>46230</v>
      </c>
      <c r="J137" s="38">
        <f t="shared" si="18"/>
        <v>46353</v>
      </c>
      <c r="K137" s="38"/>
      <c r="L137" s="34" t="s">
        <v>75</v>
      </c>
      <c r="M137" s="34" t="s">
        <v>5</v>
      </c>
      <c r="N137" s="38">
        <v>46230</v>
      </c>
      <c r="O137" s="38">
        <v>46241</v>
      </c>
      <c r="P137" s="34" t="s">
        <v>76</v>
      </c>
      <c r="Q137" s="34" t="s">
        <v>5</v>
      </c>
      <c r="R137" s="38">
        <v>46307</v>
      </c>
      <c r="S137" s="38">
        <v>46339</v>
      </c>
      <c r="T137" s="34" t="s">
        <v>77</v>
      </c>
      <c r="U137" s="34" t="s">
        <v>5</v>
      </c>
      <c r="V137" s="38">
        <v>46307</v>
      </c>
      <c r="W137" s="38">
        <v>46339</v>
      </c>
      <c r="X137" s="34" t="s">
        <v>78</v>
      </c>
      <c r="Y137" s="34" t="s">
        <v>5</v>
      </c>
      <c r="Z137" s="38">
        <v>46342</v>
      </c>
      <c r="AA137" s="38">
        <v>46353</v>
      </c>
      <c r="AB137" s="75">
        <f t="shared" si="19"/>
        <v>0</v>
      </c>
      <c r="AC137" s="34" t="str">
        <f>IF(G137="已完成","正常",IF(OR(G137="暂停",G137="挂起"),"暂停",IF(J137="","日期缺失",IF(J137&lt;项目驾驶舱!$B$3,"已延期",IF(J137&lt;=项目驾驶舱!$B$3+7,"临近到期","正常")))))</f>
        <v>正常</v>
      </c>
      <c r="AD137" s="34" t="s">
        <v>79</v>
      </c>
      <c r="AE137" s="34" t="s">
        <v>79</v>
      </c>
    </row>
    <row r="138" ht="17" customHeight="1" spans="1:31">
      <c r="A138" s="34" t="s">
        <v>378</v>
      </c>
      <c r="B138" s="34" t="s">
        <v>351</v>
      </c>
      <c r="C138" s="34" t="s">
        <v>352</v>
      </c>
      <c r="D138" s="34" t="s">
        <v>134</v>
      </c>
      <c r="E138" s="34" t="s">
        <v>74</v>
      </c>
      <c r="F138" s="34" t="s">
        <v>26</v>
      </c>
      <c r="G138" s="34" t="str">
        <f t="shared" si="15"/>
        <v>未开始</v>
      </c>
      <c r="H138" s="34" t="str">
        <f t="shared" si="16"/>
        <v>郑士旺</v>
      </c>
      <c r="I138" s="38">
        <f t="shared" si="17"/>
        <v>46230</v>
      </c>
      <c r="J138" s="38">
        <f t="shared" si="18"/>
        <v>46353</v>
      </c>
      <c r="K138" s="38"/>
      <c r="L138" s="34" t="s">
        <v>75</v>
      </c>
      <c r="M138" s="34" t="s">
        <v>5</v>
      </c>
      <c r="N138" s="38">
        <v>46230</v>
      </c>
      <c r="O138" s="38">
        <v>46241</v>
      </c>
      <c r="P138" s="34" t="s">
        <v>76</v>
      </c>
      <c r="Q138" s="34" t="s">
        <v>5</v>
      </c>
      <c r="R138" s="38">
        <v>46307</v>
      </c>
      <c r="S138" s="38">
        <v>46339</v>
      </c>
      <c r="T138" s="34" t="s">
        <v>77</v>
      </c>
      <c r="U138" s="34" t="s">
        <v>5</v>
      </c>
      <c r="V138" s="38">
        <v>46307</v>
      </c>
      <c r="W138" s="38">
        <v>46339</v>
      </c>
      <c r="X138" s="34" t="s">
        <v>78</v>
      </c>
      <c r="Y138" s="34" t="s">
        <v>5</v>
      </c>
      <c r="Z138" s="38">
        <v>46342</v>
      </c>
      <c r="AA138" s="38">
        <v>46353</v>
      </c>
      <c r="AB138" s="75">
        <f t="shared" si="19"/>
        <v>0</v>
      </c>
      <c r="AC138" s="34" t="str">
        <f>IF(G138="已完成","正常",IF(OR(G138="暂停",G138="挂起"),"暂停",IF(J138="","日期缺失",IF(J138&lt;项目驾驶舱!$B$3,"已延期",IF(J138&lt;=项目驾驶舱!$B$3+7,"临近到期","正常")))))</f>
        <v>正常</v>
      </c>
      <c r="AD138" s="34" t="s">
        <v>79</v>
      </c>
      <c r="AE138" s="34" t="s">
        <v>79</v>
      </c>
    </row>
    <row r="139" ht="17" customHeight="1" spans="1:31">
      <c r="A139" s="34" t="s">
        <v>379</v>
      </c>
      <c r="B139" s="34" t="s">
        <v>351</v>
      </c>
      <c r="C139" s="34" t="s">
        <v>352</v>
      </c>
      <c r="D139" s="34" t="s">
        <v>139</v>
      </c>
      <c r="E139" s="34" t="s">
        <v>74</v>
      </c>
      <c r="F139" s="34" t="s">
        <v>26</v>
      </c>
      <c r="G139" s="34" t="str">
        <f t="shared" si="15"/>
        <v>未开始</v>
      </c>
      <c r="H139" s="34" t="str">
        <f t="shared" si="16"/>
        <v>郑士旺</v>
      </c>
      <c r="I139" s="38">
        <f t="shared" si="17"/>
        <v>46230</v>
      </c>
      <c r="J139" s="38">
        <f t="shared" si="18"/>
        <v>46353</v>
      </c>
      <c r="K139" s="38"/>
      <c r="L139" s="34" t="s">
        <v>75</v>
      </c>
      <c r="M139" s="34" t="s">
        <v>5</v>
      </c>
      <c r="N139" s="38">
        <v>46230</v>
      </c>
      <c r="O139" s="38">
        <v>46241</v>
      </c>
      <c r="P139" s="34" t="s">
        <v>76</v>
      </c>
      <c r="Q139" s="34" t="s">
        <v>5</v>
      </c>
      <c r="R139" s="38">
        <v>46307</v>
      </c>
      <c r="S139" s="38">
        <v>46339</v>
      </c>
      <c r="T139" s="34" t="s">
        <v>77</v>
      </c>
      <c r="U139" s="34" t="s">
        <v>5</v>
      </c>
      <c r="V139" s="38">
        <v>46307</v>
      </c>
      <c r="W139" s="38">
        <v>46339</v>
      </c>
      <c r="X139" s="34" t="s">
        <v>78</v>
      </c>
      <c r="Y139" s="34" t="s">
        <v>5</v>
      </c>
      <c r="Z139" s="38">
        <v>46342</v>
      </c>
      <c r="AA139" s="38">
        <v>46353</v>
      </c>
      <c r="AB139" s="75">
        <f t="shared" si="19"/>
        <v>0</v>
      </c>
      <c r="AC139" s="34" t="str">
        <f>IF(G139="已完成","正常",IF(OR(G139="暂停",G139="挂起"),"暂停",IF(J139="","日期缺失",IF(J139&lt;项目驾驶舱!$B$3,"已延期",IF(J139&lt;=项目驾驶舱!$B$3+7,"临近到期","正常")))))</f>
        <v>正常</v>
      </c>
      <c r="AD139" s="34" t="s">
        <v>79</v>
      </c>
      <c r="AE139" s="34" t="s">
        <v>79</v>
      </c>
    </row>
    <row r="140" ht="17" customHeight="1" spans="1:31">
      <c r="A140" s="34" t="s">
        <v>380</v>
      </c>
      <c r="B140" s="34" t="s">
        <v>351</v>
      </c>
      <c r="C140" s="34" t="s">
        <v>352</v>
      </c>
      <c r="D140" s="34" t="s">
        <v>381</v>
      </c>
      <c r="E140" s="34" t="s">
        <v>74</v>
      </c>
      <c r="F140" s="34" t="s">
        <v>26</v>
      </c>
      <c r="G140" s="34" t="str">
        <f t="shared" si="15"/>
        <v>未开始</v>
      </c>
      <c r="H140" s="34" t="str">
        <f t="shared" si="16"/>
        <v>郑士旺</v>
      </c>
      <c r="I140" s="38">
        <f t="shared" si="17"/>
        <v>46230</v>
      </c>
      <c r="J140" s="38">
        <f t="shared" si="18"/>
        <v>46353</v>
      </c>
      <c r="K140" s="38"/>
      <c r="L140" s="34" t="s">
        <v>75</v>
      </c>
      <c r="M140" s="34" t="s">
        <v>5</v>
      </c>
      <c r="N140" s="38">
        <v>46230</v>
      </c>
      <c r="O140" s="38">
        <v>46241</v>
      </c>
      <c r="P140" s="34" t="s">
        <v>152</v>
      </c>
      <c r="Q140" s="34" t="s">
        <v>5</v>
      </c>
      <c r="R140" s="38">
        <v>46307</v>
      </c>
      <c r="S140" s="38">
        <v>46339</v>
      </c>
      <c r="T140" s="34" t="s">
        <v>152</v>
      </c>
      <c r="U140" s="34" t="s">
        <v>5</v>
      </c>
      <c r="V140" s="38">
        <v>46307</v>
      </c>
      <c r="W140" s="38">
        <v>46339</v>
      </c>
      <c r="X140" s="34" t="s">
        <v>78</v>
      </c>
      <c r="Y140" s="34" t="s">
        <v>5</v>
      </c>
      <c r="Z140" s="38">
        <v>46342</v>
      </c>
      <c r="AA140" s="38">
        <v>46353</v>
      </c>
      <c r="AB140" s="75">
        <f t="shared" si="19"/>
        <v>0</v>
      </c>
      <c r="AC140" s="34" t="str">
        <f>IF(G140="已完成","正常",IF(OR(G140="暂停",G140="挂起"),"暂停",IF(J140="","日期缺失",IF(J140&lt;项目驾驶舱!$B$3,"已延期",IF(J140&lt;=项目驾驶舱!$B$3+7,"临近到期","正常")))))</f>
        <v>正常</v>
      </c>
      <c r="AD140" s="34" t="s">
        <v>79</v>
      </c>
      <c r="AE140" s="34" t="s">
        <v>79</v>
      </c>
    </row>
    <row r="141" ht="17" customHeight="1" spans="1:31">
      <c r="A141" s="34" t="s">
        <v>382</v>
      </c>
      <c r="B141" s="34" t="s">
        <v>351</v>
      </c>
      <c r="C141" s="34" t="s">
        <v>352</v>
      </c>
      <c r="D141" s="34" t="s">
        <v>168</v>
      </c>
      <c r="E141" s="34" t="s">
        <v>74</v>
      </c>
      <c r="F141" s="34" t="s">
        <v>26</v>
      </c>
      <c r="G141" s="34" t="str">
        <f>IF(OR(M141="挂起",M141="暂停",Q141="挂起",Q141="暂停",U141="挂起",U141="暂停",Y141="挂起",Y141="暂停"),"暂停","已完成")</f>
        <v>已完成</v>
      </c>
      <c r="H141" s="34" t="str">
        <f t="shared" si="16"/>
        <v>郑士旺</v>
      </c>
      <c r="I141" s="38">
        <f t="shared" si="17"/>
        <v>46209</v>
      </c>
      <c r="J141" s="38">
        <f t="shared" si="18"/>
        <v>46261</v>
      </c>
      <c r="K141" s="38">
        <v>46261</v>
      </c>
      <c r="L141" s="34" t="s">
        <v>75</v>
      </c>
      <c r="M141" s="34" t="s">
        <v>3</v>
      </c>
      <c r="N141" s="38">
        <v>46209</v>
      </c>
      <c r="O141" s="38">
        <v>46213</v>
      </c>
      <c r="P141" s="34" t="s">
        <v>76</v>
      </c>
      <c r="Q141" s="34" t="s">
        <v>3</v>
      </c>
      <c r="R141" s="38">
        <v>46230</v>
      </c>
      <c r="S141" s="38">
        <v>46262</v>
      </c>
      <c r="T141" s="34" t="s">
        <v>77</v>
      </c>
      <c r="U141" s="34" t="s">
        <v>3</v>
      </c>
      <c r="V141" s="38">
        <v>46230</v>
      </c>
      <c r="W141" s="38">
        <v>46262</v>
      </c>
      <c r="X141" s="34" t="s">
        <v>78</v>
      </c>
      <c r="Y141" s="34" t="s">
        <v>3</v>
      </c>
      <c r="Z141" s="38">
        <v>46342</v>
      </c>
      <c r="AA141" s="38">
        <v>46353</v>
      </c>
      <c r="AB141" s="75">
        <f t="shared" si="19"/>
        <v>1</v>
      </c>
      <c r="AC141" s="34" t="str">
        <f>IF(G141="已完成","正常",IF(OR(G141="暂停",G141="挂起"),"暂停",IF(J141="","日期缺失",IF(J141&lt;项目驾驶舱!$B$3,"已延期",IF(J141&lt;=项目驾驶舱!$B$3+7,"临近到期","正常")))))</f>
        <v>正常</v>
      </c>
      <c r="AD141" s="34" t="s">
        <v>79</v>
      </c>
      <c r="AE141" s="34" t="s">
        <v>79</v>
      </c>
    </row>
    <row r="142" ht="17" customHeight="1" spans="1:31">
      <c r="A142" s="34" t="s">
        <v>383</v>
      </c>
      <c r="B142" s="34" t="s">
        <v>351</v>
      </c>
      <c r="C142" s="34" t="s">
        <v>352</v>
      </c>
      <c r="D142" s="34" t="s">
        <v>175</v>
      </c>
      <c r="E142" s="34" t="s">
        <v>74</v>
      </c>
      <c r="F142" s="34" t="s">
        <v>26</v>
      </c>
      <c r="G142" s="34" t="str">
        <f>IF(OR(M142="挂起",M142="暂停",Q142="挂起",Q142="暂停",U142="挂起",U142="暂停",Y142="挂起",Y142="暂停"),"暂停","已完成")</f>
        <v>已完成</v>
      </c>
      <c r="H142" s="34" t="str">
        <f t="shared" si="16"/>
        <v>郑士旺</v>
      </c>
      <c r="I142" s="38">
        <f t="shared" si="17"/>
        <v>46209</v>
      </c>
      <c r="J142" s="38">
        <f t="shared" si="18"/>
        <v>46261</v>
      </c>
      <c r="K142" s="38">
        <v>46261</v>
      </c>
      <c r="L142" s="34" t="s">
        <v>75</v>
      </c>
      <c r="M142" s="34" t="s">
        <v>3</v>
      </c>
      <c r="N142" s="38">
        <v>46209</v>
      </c>
      <c r="O142" s="38">
        <v>46213</v>
      </c>
      <c r="P142" s="34" t="s">
        <v>76</v>
      </c>
      <c r="Q142" s="34" t="s">
        <v>3</v>
      </c>
      <c r="R142" s="38">
        <v>46230</v>
      </c>
      <c r="S142" s="38">
        <v>46262</v>
      </c>
      <c r="T142" s="34" t="s">
        <v>77</v>
      </c>
      <c r="U142" s="34" t="s">
        <v>3</v>
      </c>
      <c r="V142" s="38">
        <v>46230</v>
      </c>
      <c r="W142" s="38">
        <v>46262</v>
      </c>
      <c r="X142" s="34" t="s">
        <v>78</v>
      </c>
      <c r="Y142" s="34" t="s">
        <v>3</v>
      </c>
      <c r="Z142" s="38">
        <v>46342</v>
      </c>
      <c r="AA142" s="38">
        <v>46353</v>
      </c>
      <c r="AB142" s="75">
        <f t="shared" si="19"/>
        <v>1</v>
      </c>
      <c r="AC142" s="34" t="str">
        <f>IF(G142="已完成","正常",IF(OR(G142="暂停",G142="挂起"),"暂停",IF(J142="","日期缺失",IF(J142&lt;项目驾驶舱!$B$3,"已延期",IF(J142&lt;=项目驾驶舱!$B$3+7,"临近到期","正常")))))</f>
        <v>正常</v>
      </c>
      <c r="AD142" s="34" t="s">
        <v>79</v>
      </c>
      <c r="AE142" s="34" t="s">
        <v>79</v>
      </c>
    </row>
    <row r="143" ht="17" customHeight="1" spans="1:31">
      <c r="A143" s="34" t="s">
        <v>384</v>
      </c>
      <c r="B143" s="34" t="s">
        <v>351</v>
      </c>
      <c r="C143" s="34" t="s">
        <v>352</v>
      </c>
      <c r="D143" s="34" t="s">
        <v>182</v>
      </c>
      <c r="E143" s="34" t="s">
        <v>74</v>
      </c>
      <c r="F143" s="34" t="s">
        <v>26</v>
      </c>
      <c r="G143" s="34" t="str">
        <f>IF(OR(M143="挂起",M143="暂停",Q143="挂起",Q143="暂停",U143="挂起",U143="暂停",Y143="挂起",Y143="暂停"),"暂停","已完成")</f>
        <v>已完成</v>
      </c>
      <c r="H143" s="34" t="str">
        <f t="shared" si="16"/>
        <v>郑士旺</v>
      </c>
      <c r="I143" s="38">
        <f t="shared" si="17"/>
        <v>46209</v>
      </c>
      <c r="J143" s="38">
        <f t="shared" si="18"/>
        <v>46353</v>
      </c>
      <c r="K143" s="38"/>
      <c r="L143" s="34" t="s">
        <v>75</v>
      </c>
      <c r="M143" s="34" t="s">
        <v>3</v>
      </c>
      <c r="N143" s="38">
        <v>46209</v>
      </c>
      <c r="O143" s="38">
        <v>46213</v>
      </c>
      <c r="P143" s="34" t="s">
        <v>76</v>
      </c>
      <c r="Q143" s="34" t="s">
        <v>3</v>
      </c>
      <c r="R143" s="38">
        <v>46230</v>
      </c>
      <c r="S143" s="38">
        <v>46262</v>
      </c>
      <c r="T143" s="34" t="s">
        <v>77</v>
      </c>
      <c r="U143" s="34" t="s">
        <v>3</v>
      </c>
      <c r="V143" s="38">
        <v>46230</v>
      </c>
      <c r="W143" s="38">
        <v>46262</v>
      </c>
      <c r="X143" s="34" t="s">
        <v>78</v>
      </c>
      <c r="Y143" s="34" t="s">
        <v>3</v>
      </c>
      <c r="Z143" s="38">
        <v>46342</v>
      </c>
      <c r="AA143" s="38">
        <v>46353</v>
      </c>
      <c r="AB143" s="75">
        <f t="shared" si="19"/>
        <v>1</v>
      </c>
      <c r="AC143" s="34" t="str">
        <f>IF(G143="已完成","正常",IF(OR(G143="暂停",G143="挂起"),"暂停",IF(J143="","日期缺失",IF(J143&lt;项目驾驶舱!$B$3,"已延期",IF(J143&lt;=项目驾驶舱!$B$3+7,"临近到期","正常")))))</f>
        <v>正常</v>
      </c>
      <c r="AD143" s="34" t="s">
        <v>79</v>
      </c>
      <c r="AE143" s="34" t="s">
        <v>79</v>
      </c>
    </row>
    <row r="144" ht="17" customHeight="1" spans="1:31">
      <c r="A144" s="34" t="s">
        <v>385</v>
      </c>
      <c r="B144" s="34" t="s">
        <v>351</v>
      </c>
      <c r="C144" s="34" t="s">
        <v>352</v>
      </c>
      <c r="D144" s="34" t="s">
        <v>386</v>
      </c>
      <c r="E144" s="34" t="s">
        <v>74</v>
      </c>
      <c r="F144" s="34" t="s">
        <v>26</v>
      </c>
      <c r="G144" s="34" t="str">
        <f>IF(OR(M144="挂起",M144="暂停",Q144="挂起",Q144="暂停",U144="挂起",U144="暂停",Y144="挂起",Y144="暂停"),"暂停","未开始")</f>
        <v>未开始</v>
      </c>
      <c r="H144" s="34" t="str">
        <f t="shared" si="16"/>
        <v>郑士旺</v>
      </c>
      <c r="I144" s="38">
        <f t="shared" si="17"/>
        <v>46223</v>
      </c>
      <c r="J144" s="38">
        <f t="shared" si="18"/>
        <v>46318</v>
      </c>
      <c r="K144" s="38"/>
      <c r="L144" s="34" t="s">
        <v>75</v>
      </c>
      <c r="M144" s="34" t="s">
        <v>5</v>
      </c>
      <c r="N144" s="38">
        <v>46223</v>
      </c>
      <c r="O144" s="38">
        <v>46227</v>
      </c>
      <c r="P144" s="34" t="s">
        <v>76</v>
      </c>
      <c r="Q144" s="34" t="s">
        <v>5</v>
      </c>
      <c r="R144" s="38">
        <v>46272</v>
      </c>
      <c r="S144" s="38">
        <v>46304</v>
      </c>
      <c r="T144" s="34" t="s">
        <v>77</v>
      </c>
      <c r="U144" s="34" t="s">
        <v>5</v>
      </c>
      <c r="V144" s="38">
        <v>46272</v>
      </c>
      <c r="W144" s="38">
        <v>46304</v>
      </c>
      <c r="X144" s="34" t="s">
        <v>78</v>
      </c>
      <c r="Y144" s="34" t="s">
        <v>5</v>
      </c>
      <c r="Z144" s="38">
        <v>46307</v>
      </c>
      <c r="AA144" s="38">
        <v>46318</v>
      </c>
      <c r="AB144" s="75">
        <f t="shared" si="19"/>
        <v>0</v>
      </c>
      <c r="AC144" s="34" t="str">
        <f>IF(G144="已完成","正常",IF(OR(G144="暂停",G144="挂起"),"暂停",IF(J144="","日期缺失",IF(J144&lt;项目驾驶舱!$B$3,"已延期",IF(J144&lt;=项目驾驶舱!$B$3+7,"临近到期","正常")))))</f>
        <v>正常</v>
      </c>
      <c r="AD144" s="34" t="s">
        <v>79</v>
      </c>
      <c r="AE144" s="34" t="s">
        <v>79</v>
      </c>
    </row>
    <row r="145" ht="17" customHeight="1" spans="1:31">
      <c r="A145" s="34" t="s">
        <v>387</v>
      </c>
      <c r="B145" s="34" t="s">
        <v>351</v>
      </c>
      <c r="C145" s="34" t="s">
        <v>388</v>
      </c>
      <c r="D145" s="34" t="s">
        <v>161</v>
      </c>
      <c r="E145" s="34" t="s">
        <v>74</v>
      </c>
      <c r="F145" s="34" t="s">
        <v>26</v>
      </c>
      <c r="G145" s="34" t="str">
        <f>IF(OR(M145="挂起",M145="暂停",Q145="挂起",Q145="暂停",U145="挂起",U145="暂停",Y145="挂起",Y145="暂停"),"暂停","未开始")</f>
        <v>未开始</v>
      </c>
      <c r="H145" s="34" t="str">
        <f t="shared" si="16"/>
        <v>郑士旺</v>
      </c>
      <c r="I145" s="38">
        <f t="shared" si="17"/>
        <v>46230</v>
      </c>
      <c r="J145" s="38">
        <f t="shared" si="18"/>
        <v>46353</v>
      </c>
      <c r="K145" s="38"/>
      <c r="L145" s="34" t="s">
        <v>75</v>
      </c>
      <c r="M145" s="34" t="s">
        <v>5</v>
      </c>
      <c r="N145" s="38">
        <v>46230</v>
      </c>
      <c r="O145" s="38">
        <v>46241</v>
      </c>
      <c r="P145" s="34" t="s">
        <v>76</v>
      </c>
      <c r="Q145" s="34" t="s">
        <v>5</v>
      </c>
      <c r="R145" s="38">
        <v>46307</v>
      </c>
      <c r="S145" s="38">
        <v>46339</v>
      </c>
      <c r="T145" s="34" t="s">
        <v>77</v>
      </c>
      <c r="U145" s="34" t="s">
        <v>5</v>
      </c>
      <c r="V145" s="38">
        <v>46307</v>
      </c>
      <c r="W145" s="38">
        <v>46339</v>
      </c>
      <c r="X145" s="34" t="s">
        <v>78</v>
      </c>
      <c r="Y145" s="34" t="s">
        <v>5</v>
      </c>
      <c r="Z145" s="38">
        <v>46342</v>
      </c>
      <c r="AA145" s="38">
        <v>46353</v>
      </c>
      <c r="AB145" s="75">
        <f t="shared" si="19"/>
        <v>0</v>
      </c>
      <c r="AC145" s="34" t="str">
        <f>IF(G145="已完成","正常",IF(OR(G145="暂停",G145="挂起"),"暂停",IF(J145="","日期缺失",IF(J145&lt;项目驾驶舱!$B$3,"已延期",IF(J145&lt;=项目驾驶舱!$B$3+7,"临近到期","正常")))))</f>
        <v>正常</v>
      </c>
      <c r="AD145" s="34" t="s">
        <v>79</v>
      </c>
      <c r="AE145" s="34" t="s">
        <v>79</v>
      </c>
    </row>
    <row r="146" ht="17" customHeight="1" spans="1:31">
      <c r="A146" s="34" t="s">
        <v>389</v>
      </c>
      <c r="B146" s="34" t="s">
        <v>351</v>
      </c>
      <c r="C146" s="34" t="s">
        <v>388</v>
      </c>
      <c r="D146" s="34" t="s">
        <v>165</v>
      </c>
      <c r="E146" s="34" t="s">
        <v>390</v>
      </c>
      <c r="F146" s="34" t="s">
        <v>25</v>
      </c>
      <c r="G146" s="34" t="str">
        <f>IF(OR(M146="挂起",M146="暂停",Q146="挂起",Q146="暂停",U146="挂起",U146="暂停",Y146="挂起",Y146="暂停"),"暂停","已完成")</f>
        <v>已完成</v>
      </c>
      <c r="H146" s="34" t="str">
        <f t="shared" si="16"/>
        <v>郑士旺</v>
      </c>
      <c r="I146" s="38">
        <f t="shared" si="17"/>
        <v>46209</v>
      </c>
      <c r="J146" s="38">
        <f t="shared" si="18"/>
        <v>46261</v>
      </c>
      <c r="K146" s="38">
        <v>46261</v>
      </c>
      <c r="L146" s="34" t="s">
        <v>75</v>
      </c>
      <c r="M146" s="34" t="s">
        <v>3</v>
      </c>
      <c r="N146" s="38">
        <v>46209</v>
      </c>
      <c r="O146" s="38">
        <v>46213</v>
      </c>
      <c r="P146" s="34" t="s">
        <v>76</v>
      </c>
      <c r="Q146" s="34" t="s">
        <v>3</v>
      </c>
      <c r="R146" s="38">
        <v>46237</v>
      </c>
      <c r="S146" s="38">
        <v>46252</v>
      </c>
      <c r="T146" s="34" t="s">
        <v>77</v>
      </c>
      <c r="U146" s="34" t="s">
        <v>3</v>
      </c>
      <c r="V146" s="38">
        <v>46237</v>
      </c>
      <c r="W146" s="38">
        <v>46252</v>
      </c>
      <c r="X146" s="34" t="s">
        <v>78</v>
      </c>
      <c r="Y146" s="34" t="s">
        <v>3</v>
      </c>
      <c r="Z146" s="38">
        <v>46251</v>
      </c>
      <c r="AA146" s="38">
        <v>46269</v>
      </c>
      <c r="AB146" s="75">
        <f t="shared" si="19"/>
        <v>1</v>
      </c>
      <c r="AC146" s="34" t="str">
        <f>IF(G146="已完成","正常",IF(OR(G146="暂停",G146="挂起"),"暂停",IF(J146="","日期缺失",IF(J146&lt;项目驾驶舱!$B$3,"已延期",IF(J146&lt;=项目驾驶舱!$B$3+7,"临近到期","正常")))))</f>
        <v>正常</v>
      </c>
      <c r="AD146" s="34" t="s">
        <v>79</v>
      </c>
      <c r="AE146" s="34" t="s">
        <v>79</v>
      </c>
    </row>
    <row r="147" ht="17" customHeight="1" spans="1:31">
      <c r="A147" s="34" t="s">
        <v>391</v>
      </c>
      <c r="B147" s="34" t="s">
        <v>351</v>
      </c>
      <c r="C147" s="34" t="s">
        <v>388</v>
      </c>
      <c r="D147" s="34" t="s">
        <v>172</v>
      </c>
      <c r="E147" s="34" t="s">
        <v>390</v>
      </c>
      <c r="F147" s="34" t="s">
        <v>25</v>
      </c>
      <c r="G147" s="34" t="str">
        <f>IF(OR(M147="挂起",M147="暂停",Q147="挂起",Q147="暂停",U147="挂起",U147="暂停",Y147="挂起",Y147="暂停"),"暂停","已完成")</f>
        <v>已完成</v>
      </c>
      <c r="H147" s="34" t="str">
        <f t="shared" si="16"/>
        <v>郑士旺</v>
      </c>
      <c r="I147" s="38">
        <f t="shared" si="17"/>
        <v>46209</v>
      </c>
      <c r="J147" s="38">
        <f t="shared" si="18"/>
        <v>46261</v>
      </c>
      <c r="K147" s="38">
        <v>46261</v>
      </c>
      <c r="L147" s="34" t="s">
        <v>75</v>
      </c>
      <c r="M147" s="34" t="s">
        <v>3</v>
      </c>
      <c r="N147" s="38">
        <v>46209</v>
      </c>
      <c r="O147" s="38">
        <v>46213</v>
      </c>
      <c r="P147" s="34" t="s">
        <v>76</v>
      </c>
      <c r="Q147" s="34" t="s">
        <v>3</v>
      </c>
      <c r="R147" s="38">
        <v>46237</v>
      </c>
      <c r="S147" s="38">
        <v>46252</v>
      </c>
      <c r="T147" s="34" t="s">
        <v>77</v>
      </c>
      <c r="U147" s="34" t="s">
        <v>3</v>
      </c>
      <c r="V147" s="38">
        <v>46237</v>
      </c>
      <c r="W147" s="38">
        <v>46252</v>
      </c>
      <c r="X147" s="34" t="s">
        <v>78</v>
      </c>
      <c r="Y147" s="34" t="s">
        <v>3</v>
      </c>
      <c r="Z147" s="38">
        <v>46251</v>
      </c>
      <c r="AA147" s="38">
        <v>46269</v>
      </c>
      <c r="AB147" s="75">
        <f t="shared" si="19"/>
        <v>1</v>
      </c>
      <c r="AC147" s="34" t="str">
        <f>IF(G147="已完成","正常",IF(OR(G147="暂停",G147="挂起"),"暂停",IF(J147="","日期缺失",IF(J147&lt;项目驾驶舱!$B$3,"已延期",IF(J147&lt;=项目驾驶舱!$B$3+7,"临近到期","正常")))))</f>
        <v>正常</v>
      </c>
      <c r="AD147" s="34" t="s">
        <v>79</v>
      </c>
      <c r="AE147" s="34" t="s">
        <v>79</v>
      </c>
    </row>
    <row r="148" ht="17" customHeight="1" spans="1:31">
      <c r="A148" s="34" t="s">
        <v>392</v>
      </c>
      <c r="B148" s="34" t="s">
        <v>351</v>
      </c>
      <c r="C148" s="34" t="s">
        <v>388</v>
      </c>
      <c r="D148" s="34" t="s">
        <v>179</v>
      </c>
      <c r="E148" s="34" t="s">
        <v>390</v>
      </c>
      <c r="F148" s="34" t="s">
        <v>26</v>
      </c>
      <c r="G148" s="34" t="str">
        <f>IF(OR(M148="挂起",M148="暂停",Q148="挂起",Q148="暂停",U148="挂起",U148="暂停",Y148="挂起",Y148="暂停"),"暂停","已完成")</f>
        <v>已完成</v>
      </c>
      <c r="H148" s="34" t="str">
        <f t="shared" si="16"/>
        <v>郑士旺</v>
      </c>
      <c r="I148" s="38">
        <f t="shared" si="17"/>
        <v>46209</v>
      </c>
      <c r="J148" s="38">
        <f t="shared" si="18"/>
        <v>46269</v>
      </c>
      <c r="K148" s="38"/>
      <c r="L148" s="34" t="s">
        <v>75</v>
      </c>
      <c r="M148" s="34" t="s">
        <v>3</v>
      </c>
      <c r="N148" s="38">
        <v>46209</v>
      </c>
      <c r="O148" s="38">
        <v>46213</v>
      </c>
      <c r="P148" s="34" t="s">
        <v>76</v>
      </c>
      <c r="Q148" s="34" t="s">
        <v>3</v>
      </c>
      <c r="R148" s="38">
        <v>46237</v>
      </c>
      <c r="S148" s="38">
        <v>46252</v>
      </c>
      <c r="T148" s="34" t="s">
        <v>77</v>
      </c>
      <c r="U148" s="34" t="s">
        <v>3</v>
      </c>
      <c r="V148" s="38">
        <v>46237</v>
      </c>
      <c r="W148" s="38">
        <v>46252</v>
      </c>
      <c r="X148" s="34" t="s">
        <v>78</v>
      </c>
      <c r="Y148" s="34" t="s">
        <v>3</v>
      </c>
      <c r="Z148" s="38">
        <v>46251</v>
      </c>
      <c r="AA148" s="38">
        <v>46269</v>
      </c>
      <c r="AB148" s="75">
        <f t="shared" si="19"/>
        <v>1</v>
      </c>
      <c r="AC148" s="34" t="str">
        <f>IF(G148="已完成","正常",IF(OR(G148="暂停",G148="挂起"),"暂停",IF(J148="","日期缺失",IF(J148&lt;项目驾驶舱!$B$3,"已延期",IF(J148&lt;=项目驾驶舱!$B$3+7,"临近到期","正常")))))</f>
        <v>正常</v>
      </c>
      <c r="AD148" s="34"/>
      <c r="AE148" s="34"/>
    </row>
  </sheetData>
  <autoFilter xmlns:etc="http://www.wps.cn/officeDocument/2017/etCustomData" ref="A3:AE148" etc:filterBottomFollowUsedRange="0">
    <extLst/>
  </autoFilter>
  <mergeCells count="2">
    <mergeCell ref="A1:AE1"/>
    <mergeCell ref="A2:AE2"/>
  </mergeCells>
  <conditionalFormatting sqref="G4:G132">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conditionalFormatting sqref="M4:M132">
    <cfRule type="containsText" dxfId="0" priority="5" operator="between" text="已完成">
      <formula>NOT(ISERROR(SEARCH("已完成",M4)))</formula>
    </cfRule>
    <cfRule type="containsText" dxfId="1" priority="6" operator="between" text="进行中">
      <formula>NOT(ISERROR(SEARCH("进行中",M4)))</formula>
    </cfRule>
    <cfRule type="containsText" dxfId="2" priority="7" operator="between" text="未开始">
      <formula>NOT(ISERROR(SEARCH("未开始",M4)))</formula>
    </cfRule>
    <cfRule type="containsText" dxfId="3" priority="8" operator="between" text="暂停">
      <formula>NOT(ISERROR(SEARCH("暂停",M4)))</formula>
    </cfRule>
  </conditionalFormatting>
  <conditionalFormatting sqref="Q4:Q132">
    <cfRule type="containsText" dxfId="0" priority="9" operator="between" text="已完成">
      <formula>NOT(ISERROR(SEARCH("已完成",Q4)))</formula>
    </cfRule>
    <cfRule type="containsText" dxfId="1" priority="10" operator="between" text="进行中">
      <formula>NOT(ISERROR(SEARCH("进行中",Q4)))</formula>
    </cfRule>
    <cfRule type="containsText" dxfId="2" priority="11" operator="between" text="未开始">
      <formula>NOT(ISERROR(SEARCH("未开始",Q4)))</formula>
    </cfRule>
    <cfRule type="containsText" dxfId="3" priority="12" operator="between" text="暂停">
      <formula>NOT(ISERROR(SEARCH("暂停",Q4)))</formula>
    </cfRule>
  </conditionalFormatting>
  <conditionalFormatting sqref="U4:U132">
    <cfRule type="containsText" dxfId="0" priority="13" operator="between" text="已完成">
      <formula>NOT(ISERROR(SEARCH("已完成",U4)))</formula>
    </cfRule>
    <cfRule type="containsText" dxfId="1" priority="14" operator="between" text="进行中">
      <formula>NOT(ISERROR(SEARCH("进行中",U4)))</formula>
    </cfRule>
    <cfRule type="containsText" dxfId="2" priority="15" operator="between" text="未开始">
      <formula>NOT(ISERROR(SEARCH("未开始",U4)))</formula>
    </cfRule>
    <cfRule type="containsText" dxfId="3" priority="16" operator="between" text="暂停">
      <formula>NOT(ISERROR(SEARCH("暂停",U4)))</formula>
    </cfRule>
  </conditionalFormatting>
  <conditionalFormatting sqref="Y4:Y132">
    <cfRule type="containsText" dxfId="0" priority="17" operator="between" text="已完成">
      <formula>NOT(ISERROR(SEARCH("已完成",Y4)))</formula>
    </cfRule>
    <cfRule type="containsText" dxfId="1" priority="18" operator="between" text="进行中">
      <formula>NOT(ISERROR(SEARCH("进行中",Y4)))</formula>
    </cfRule>
    <cfRule type="containsText" dxfId="2" priority="19" operator="between" text="未开始">
      <formula>NOT(ISERROR(SEARCH("未开始",Y4)))</formula>
    </cfRule>
    <cfRule type="containsText" dxfId="3" priority="20" operator="between" text="暂停">
      <formula>NOT(ISERROR(SEARCH("暂停",Y4)))</formula>
    </cfRule>
  </conditionalFormatting>
  <conditionalFormatting sqref="AB4:AB132">
    <cfRule type="dataBar" priority="23">
      <dataBar>
        <cfvo type="min"/>
        <cfvo type="max"/>
        <color rgb="FF70AD47"/>
      </dataBar>
      <extLst>
        <ext xmlns:x14="http://schemas.microsoft.com/office/spreadsheetml/2009/9/main" uri="{B025F937-C7B1-47D3-B67F-A62EFF666E3E}">
          <x14:id>{72859857-6009-45f4-9281-a2b1400e55b2}</x14:id>
        </ext>
      </extLst>
    </cfRule>
  </conditionalFormatting>
  <conditionalFormatting sqref="AC4:AC132">
    <cfRule type="containsText" dxfId="4" priority="21" operator="between" text="已延期">
      <formula>NOT(ISERROR(SEARCH("已延期",AC4)))</formula>
    </cfRule>
    <cfRule type="containsText" dxfId="1" priority="22" operator="between" text="临近到期">
      <formula>NOT(ISERROR(SEARCH("临近到期",AC4)))</formula>
    </cfRule>
  </conditionalFormatting>
  <dataValidations count="1">
    <dataValidation type="list" sqref="G4:G132 M4:M132 Q4:Q132 U4:U132 Y4:Y132">
      <formula1>"未开始,进行中,已完成,暂停"</formula1>
    </dataValidation>
  </dataValidations>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72859857-6009-45f4-9281-a2b1400e55b2}">
            <x14:dataBar minLength="10" maxLength="90" negativeBarColorSameAsPositive="1" axisPosition="none">
              <x14:cfvo type="min"/>
              <x14:cfvo type="max"/>
              <x14:axisColor indexed="65"/>
            </x14:dataBar>
          </x14:cfRule>
          <xm:sqref>AB4:AB132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pageSetUpPr fitToPage="1"/>
  </sheetPr>
  <dimension ref="A1:L157"/>
  <sheetViews>
    <sheetView showGridLines="0" zoomScale="85" zoomScaleNormal="85" workbookViewId="0">
      <pane ySplit="15" topLeftCell="A16" activePane="bottomLeft" state="frozen"/>
      <selection/>
      <selection pane="bottomLeft" activeCell="I17" sqref="I17:K17"/>
    </sheetView>
  </sheetViews>
  <sheetFormatPr defaultColWidth="9" defaultRowHeight="16.8"/>
  <cols>
    <col min="1" max="1" width="14" style="1" customWidth="1"/>
    <col min="2" max="2" width="11" style="1" customWidth="1"/>
    <col min="3" max="3" width="28" style="1" customWidth="1"/>
    <col min="4" max="7" width="13" style="1" customWidth="1"/>
    <col min="8" max="8" width="14" style="1" customWidth="1"/>
    <col min="9" max="9" width="13" style="1" customWidth="1"/>
    <col min="10" max="10" width="28" style="1" customWidth="1"/>
    <col min="11" max="11" width="24" style="1" customWidth="1"/>
    <col min="12" max="12" width="13" style="1" hidden="1" customWidth="1"/>
  </cols>
  <sheetData>
    <row r="1" ht="28" customHeight="1" spans="1:12">
      <c r="A1" s="2" t="s">
        <v>393</v>
      </c>
      <c r="B1" s="3"/>
      <c r="C1" s="3"/>
      <c r="D1" s="3"/>
      <c r="E1" s="3"/>
      <c r="F1" s="3"/>
      <c r="G1" s="3"/>
      <c r="H1" s="3"/>
      <c r="I1" s="3"/>
      <c r="J1" s="3"/>
      <c r="K1" s="3"/>
      <c r="L1" s="4"/>
    </row>
    <row r="2" ht="22" customHeight="1" spans="1:12">
      <c r="A2" s="5" t="s">
        <v>394</v>
      </c>
      <c r="B2" s="3"/>
      <c r="C2" s="3"/>
      <c r="D2" s="3"/>
      <c r="E2" s="3"/>
      <c r="F2" s="3"/>
      <c r="G2" s="3"/>
      <c r="H2" s="3"/>
      <c r="I2" s="3"/>
      <c r="J2" s="3"/>
      <c r="K2" s="3"/>
      <c r="L2" s="4"/>
    </row>
    <row r="3" spans="1:12">
      <c r="A3" s="6"/>
      <c r="B3" s="6"/>
      <c r="C3" s="6"/>
      <c r="D3" s="6"/>
      <c r="E3" s="6"/>
      <c r="F3" s="6"/>
      <c r="G3" s="6"/>
      <c r="H3" s="6"/>
      <c r="I3" s="6"/>
      <c r="J3" s="6"/>
      <c r="K3" s="6"/>
      <c r="L3" s="6"/>
    </row>
    <row r="4" ht="28" customHeight="1" spans="1:12">
      <c r="A4" s="7" t="s">
        <v>395</v>
      </c>
      <c r="B4" s="7" t="s">
        <v>396</v>
      </c>
      <c r="C4" s="7" t="s">
        <v>22</v>
      </c>
      <c r="D4" s="7" t="s">
        <v>397</v>
      </c>
      <c r="E4" s="7" t="s">
        <v>398</v>
      </c>
      <c r="F4" s="7" t="s">
        <v>399</v>
      </c>
      <c r="G4" s="7" t="s">
        <v>400</v>
      </c>
      <c r="H4" s="7" t="s">
        <v>401</v>
      </c>
      <c r="I4" s="7" t="s">
        <v>402</v>
      </c>
      <c r="J4" s="7" t="s">
        <v>403</v>
      </c>
      <c r="K4" s="7" t="s">
        <v>404</v>
      </c>
      <c r="L4" s="7" t="s">
        <v>69</v>
      </c>
    </row>
    <row r="5" spans="1:12">
      <c r="A5" s="8" t="s">
        <v>405</v>
      </c>
      <c r="B5" s="8" t="s">
        <v>406</v>
      </c>
      <c r="C5" s="8">
        <v>125</v>
      </c>
      <c r="D5" s="8">
        <v>125</v>
      </c>
      <c r="E5" s="25">
        <v>46195</v>
      </c>
      <c r="F5" s="25">
        <v>46339</v>
      </c>
      <c r="G5" s="10">
        <v>40</v>
      </c>
      <c r="H5" s="69">
        <v>840</v>
      </c>
      <c r="I5" s="24">
        <v>1</v>
      </c>
      <c r="J5" s="8" t="s">
        <v>407</v>
      </c>
      <c r="K5" s="8" t="s">
        <v>408</v>
      </c>
      <c r="L5" s="10"/>
    </row>
    <row r="6" spans="1:12">
      <c r="A6" s="8" t="s">
        <v>152</v>
      </c>
      <c r="B6" s="8" t="s">
        <v>409</v>
      </c>
      <c r="C6" s="8">
        <v>14</v>
      </c>
      <c r="D6" s="8">
        <v>14</v>
      </c>
      <c r="E6" s="25">
        <v>46212</v>
      </c>
      <c r="F6" s="25">
        <v>46339</v>
      </c>
      <c r="G6" s="10">
        <v>40</v>
      </c>
      <c r="H6" s="69">
        <v>720</v>
      </c>
      <c r="I6" s="24">
        <v>0.947368421052632</v>
      </c>
      <c r="J6" s="8" t="s">
        <v>407</v>
      </c>
      <c r="K6" s="8" t="s">
        <v>408</v>
      </c>
      <c r="L6" s="10"/>
    </row>
    <row r="7" spans="1:12">
      <c r="A7" s="8" t="s">
        <v>410</v>
      </c>
      <c r="B7" s="8" t="s">
        <v>406</v>
      </c>
      <c r="C7" s="8">
        <v>125</v>
      </c>
      <c r="D7" s="8">
        <v>125</v>
      </c>
      <c r="E7" s="25">
        <v>46195</v>
      </c>
      <c r="F7" s="25">
        <v>46339</v>
      </c>
      <c r="G7" s="10">
        <v>40</v>
      </c>
      <c r="H7" s="69">
        <v>840</v>
      </c>
      <c r="I7" s="24">
        <v>1</v>
      </c>
      <c r="J7" s="8" t="s">
        <v>407</v>
      </c>
      <c r="K7" s="8" t="s">
        <v>408</v>
      </c>
      <c r="L7" s="10"/>
    </row>
    <row r="8" spans="1:12">
      <c r="A8" s="8" t="s">
        <v>78</v>
      </c>
      <c r="B8" s="8" t="s">
        <v>411</v>
      </c>
      <c r="C8" s="8">
        <v>139</v>
      </c>
      <c r="D8" s="8">
        <v>139</v>
      </c>
      <c r="E8" s="25">
        <v>46202</v>
      </c>
      <c r="F8" s="25">
        <v>46353</v>
      </c>
      <c r="G8" s="10">
        <v>40</v>
      </c>
      <c r="H8" s="69">
        <v>520</v>
      </c>
      <c r="I8" s="24">
        <v>0.590909090909091</v>
      </c>
      <c r="J8" s="8" t="s">
        <v>412</v>
      </c>
      <c r="K8" s="8" t="s">
        <v>413</v>
      </c>
      <c r="L8" s="10"/>
    </row>
    <row r="9" spans="1:12">
      <c r="A9" s="8" t="s">
        <v>77</v>
      </c>
      <c r="B9" s="8" t="s">
        <v>414</v>
      </c>
      <c r="C9" s="8">
        <v>129</v>
      </c>
      <c r="D9" s="8">
        <v>129</v>
      </c>
      <c r="E9" s="25">
        <v>46195</v>
      </c>
      <c r="F9" s="25">
        <v>46339</v>
      </c>
      <c r="G9" s="10">
        <v>40</v>
      </c>
      <c r="H9" s="69">
        <v>840</v>
      </c>
      <c r="I9" s="24">
        <v>1</v>
      </c>
      <c r="J9" s="8" t="s">
        <v>407</v>
      </c>
      <c r="K9" s="8" t="s">
        <v>408</v>
      </c>
      <c r="L9" s="10"/>
    </row>
    <row r="10" spans="1:12">
      <c r="A10" s="8" t="s">
        <v>75</v>
      </c>
      <c r="B10" s="8" t="s">
        <v>415</v>
      </c>
      <c r="C10" s="8">
        <v>139</v>
      </c>
      <c r="D10" s="8">
        <v>139</v>
      </c>
      <c r="E10" s="25">
        <v>46202</v>
      </c>
      <c r="F10" s="25">
        <v>46241</v>
      </c>
      <c r="G10" s="10">
        <v>40</v>
      </c>
      <c r="H10" s="69">
        <v>240</v>
      </c>
      <c r="I10" s="24">
        <v>1</v>
      </c>
      <c r="J10" s="8" t="s">
        <v>407</v>
      </c>
      <c r="K10" s="8" t="s">
        <v>408</v>
      </c>
      <c r="L10" s="10"/>
    </row>
    <row r="13" ht="17.6" customHeight="1" spans="1:12">
      <c r="A13" s="23" t="s">
        <v>416</v>
      </c>
    </row>
    <row r="14" spans="1:12">
      <c r="A14" s="70" t="s">
        <v>417</v>
      </c>
      <c r="B14" s="3"/>
      <c r="C14" s="3"/>
      <c r="D14" s="3"/>
      <c r="E14" s="3"/>
      <c r="F14" s="3"/>
      <c r="G14" s="3"/>
      <c r="H14" s="3"/>
      <c r="I14" s="3"/>
      <c r="J14" s="3"/>
      <c r="K14" s="4"/>
    </row>
    <row r="15" ht="28" customHeight="1" spans="1:12">
      <c r="A15" s="7" t="s">
        <v>395</v>
      </c>
      <c r="B15" s="7" t="s">
        <v>418</v>
      </c>
      <c r="C15" s="7" t="s">
        <v>419</v>
      </c>
      <c r="D15" s="7" t="s">
        <v>420</v>
      </c>
      <c r="E15" s="7" t="s">
        <v>22</v>
      </c>
      <c r="F15" s="7" t="s">
        <v>421</v>
      </c>
      <c r="G15" s="7" t="s">
        <v>402</v>
      </c>
      <c r="H15" s="7" t="s">
        <v>403</v>
      </c>
      <c r="I15" s="7" t="s">
        <v>422</v>
      </c>
      <c r="J15" s="3"/>
      <c r="K15" s="4"/>
    </row>
    <row r="16" ht="48" customHeight="1" spans="1:12">
      <c r="A16" s="71" t="s">
        <v>405</v>
      </c>
      <c r="B16" s="25">
        <v>46195</v>
      </c>
      <c r="C16" s="25">
        <v>46201</v>
      </c>
      <c r="D16" s="8" t="s">
        <v>423</v>
      </c>
      <c r="E16" s="8">
        <v>4</v>
      </c>
      <c r="F16" s="69">
        <v>40</v>
      </c>
      <c r="G16" s="24">
        <v>1</v>
      </c>
      <c r="H16" s="8" t="s">
        <v>407</v>
      </c>
      <c r="I16" s="8" t="s">
        <v>424</v>
      </c>
      <c r="J16" s="3"/>
      <c r="K16" s="4"/>
      <c r="L16" s="6" t="s">
        <v>405</v>
      </c>
    </row>
    <row r="17" ht="48" customHeight="1" spans="1:12">
      <c r="A17" s="72"/>
      <c r="B17" s="25">
        <v>46202</v>
      </c>
      <c r="C17" s="25">
        <v>46208</v>
      </c>
      <c r="D17" s="8" t="s">
        <v>423</v>
      </c>
      <c r="E17" s="8">
        <v>4</v>
      </c>
      <c r="F17" s="69">
        <v>40</v>
      </c>
      <c r="G17" s="24">
        <v>1</v>
      </c>
      <c r="H17" s="8" t="s">
        <v>407</v>
      </c>
      <c r="I17" s="8" t="s">
        <v>424</v>
      </c>
      <c r="J17" s="3"/>
      <c r="K17" s="4"/>
      <c r="L17" s="6" t="s">
        <v>405</v>
      </c>
    </row>
    <row r="18" ht="48" customHeight="1" spans="1:12">
      <c r="A18" s="72"/>
      <c r="B18" s="25">
        <v>46209</v>
      </c>
      <c r="C18" s="25">
        <v>46215</v>
      </c>
      <c r="D18" s="8" t="s">
        <v>423</v>
      </c>
      <c r="E18" s="8">
        <v>22</v>
      </c>
      <c r="F18" s="69">
        <v>40</v>
      </c>
      <c r="G18" s="24">
        <v>1</v>
      </c>
      <c r="H18" s="8" t="s">
        <v>407</v>
      </c>
      <c r="I18" s="8" t="s">
        <v>425</v>
      </c>
      <c r="J18" s="3"/>
      <c r="K18" s="4"/>
      <c r="L18" s="6" t="s">
        <v>405</v>
      </c>
    </row>
    <row r="19" ht="48" customHeight="1" spans="1:12">
      <c r="A19" s="72"/>
      <c r="B19" s="25">
        <v>46216</v>
      </c>
      <c r="C19" s="25">
        <v>46222</v>
      </c>
      <c r="D19" s="8" t="s">
        <v>423</v>
      </c>
      <c r="E19" s="8">
        <v>22</v>
      </c>
      <c r="F19" s="69">
        <v>40</v>
      </c>
      <c r="G19" s="24">
        <v>1</v>
      </c>
      <c r="H19" s="8" t="s">
        <v>407</v>
      </c>
      <c r="I19" s="8" t="s">
        <v>425</v>
      </c>
      <c r="J19" s="3"/>
      <c r="K19" s="4"/>
      <c r="L19" s="6" t="s">
        <v>405</v>
      </c>
    </row>
    <row r="20" ht="48" customHeight="1" spans="1:12">
      <c r="A20" s="72"/>
      <c r="B20" s="25">
        <v>46223</v>
      </c>
      <c r="C20" s="25">
        <v>46229</v>
      </c>
      <c r="D20" s="8" t="s">
        <v>423</v>
      </c>
      <c r="E20" s="8">
        <v>30</v>
      </c>
      <c r="F20" s="69">
        <v>40</v>
      </c>
      <c r="G20" s="24">
        <v>1</v>
      </c>
      <c r="H20" s="8" t="s">
        <v>407</v>
      </c>
      <c r="I20" s="8" t="s">
        <v>426</v>
      </c>
      <c r="J20" s="3"/>
      <c r="K20" s="4"/>
      <c r="L20" s="6" t="s">
        <v>405</v>
      </c>
    </row>
    <row r="21" ht="48" customHeight="1" spans="1:12">
      <c r="A21" s="72"/>
      <c r="B21" s="25">
        <v>46230</v>
      </c>
      <c r="C21" s="25">
        <v>46236</v>
      </c>
      <c r="D21" s="8" t="s">
        <v>423</v>
      </c>
      <c r="E21" s="8">
        <v>28</v>
      </c>
      <c r="F21" s="69">
        <v>40</v>
      </c>
      <c r="G21" s="24">
        <v>1</v>
      </c>
      <c r="H21" s="8" t="s">
        <v>407</v>
      </c>
      <c r="I21" s="8" t="s">
        <v>427</v>
      </c>
      <c r="J21" s="3"/>
      <c r="K21" s="4"/>
      <c r="L21" s="6" t="s">
        <v>405</v>
      </c>
    </row>
    <row r="22" ht="48" customHeight="1" spans="1:12">
      <c r="A22" s="72"/>
      <c r="B22" s="25">
        <v>46237</v>
      </c>
      <c r="C22" s="25">
        <v>46243</v>
      </c>
      <c r="D22" s="8" t="s">
        <v>423</v>
      </c>
      <c r="E22" s="8">
        <v>31</v>
      </c>
      <c r="F22" s="69">
        <v>40</v>
      </c>
      <c r="G22" s="24">
        <v>1</v>
      </c>
      <c r="H22" s="8" t="s">
        <v>407</v>
      </c>
      <c r="I22" s="8" t="s">
        <v>428</v>
      </c>
      <c r="J22" s="3"/>
      <c r="K22" s="4"/>
      <c r="L22" s="6" t="s">
        <v>405</v>
      </c>
    </row>
    <row r="23" ht="48" customHeight="1" spans="1:12">
      <c r="A23" s="72"/>
      <c r="B23" s="25">
        <v>46244</v>
      </c>
      <c r="C23" s="25">
        <v>46250</v>
      </c>
      <c r="D23" s="8" t="s">
        <v>423</v>
      </c>
      <c r="E23" s="8">
        <v>30</v>
      </c>
      <c r="F23" s="69">
        <v>40</v>
      </c>
      <c r="G23" s="24">
        <v>1</v>
      </c>
      <c r="H23" s="8" t="s">
        <v>407</v>
      </c>
      <c r="I23" s="8" t="s">
        <v>429</v>
      </c>
      <c r="J23" s="3"/>
      <c r="K23" s="4"/>
      <c r="L23" s="6" t="s">
        <v>405</v>
      </c>
    </row>
    <row r="24" ht="48" customHeight="1" spans="1:12">
      <c r="A24" s="72"/>
      <c r="B24" s="25">
        <v>46251</v>
      </c>
      <c r="C24" s="25">
        <v>46257</v>
      </c>
      <c r="D24" s="8" t="s">
        <v>423</v>
      </c>
      <c r="E24" s="8">
        <v>30</v>
      </c>
      <c r="F24" s="69">
        <v>40</v>
      </c>
      <c r="G24" s="24">
        <v>1</v>
      </c>
      <c r="H24" s="8" t="s">
        <v>407</v>
      </c>
      <c r="I24" s="8" t="s">
        <v>429</v>
      </c>
      <c r="J24" s="3"/>
      <c r="K24" s="4"/>
      <c r="L24" s="6" t="s">
        <v>405</v>
      </c>
    </row>
    <row r="25" ht="48" customHeight="1" spans="1:12">
      <c r="A25" s="72"/>
      <c r="B25" s="25">
        <v>46258</v>
      </c>
      <c r="C25" s="25">
        <v>46264</v>
      </c>
      <c r="D25" s="8" t="s">
        <v>423</v>
      </c>
      <c r="E25" s="8">
        <v>27</v>
      </c>
      <c r="F25" s="69">
        <v>40</v>
      </c>
      <c r="G25" s="24">
        <v>1</v>
      </c>
      <c r="H25" s="8" t="s">
        <v>407</v>
      </c>
      <c r="I25" s="8" t="s">
        <v>430</v>
      </c>
      <c r="J25" s="3"/>
      <c r="K25" s="4"/>
      <c r="L25" s="6" t="s">
        <v>405</v>
      </c>
    </row>
    <row r="26" ht="48" customHeight="1" spans="1:12">
      <c r="A26" s="72"/>
      <c r="B26" s="25">
        <v>46265</v>
      </c>
      <c r="C26" s="25">
        <v>46271</v>
      </c>
      <c r="D26" s="8" t="s">
        <v>423</v>
      </c>
      <c r="E26" s="8">
        <v>13</v>
      </c>
      <c r="F26" s="69">
        <v>40</v>
      </c>
      <c r="G26" s="24">
        <v>1</v>
      </c>
      <c r="H26" s="8" t="s">
        <v>407</v>
      </c>
      <c r="I26" s="8" t="s">
        <v>431</v>
      </c>
      <c r="J26" s="3"/>
      <c r="K26" s="4"/>
      <c r="L26" s="6" t="s">
        <v>405</v>
      </c>
    </row>
    <row r="27" ht="48" customHeight="1" spans="1:12">
      <c r="A27" s="72"/>
      <c r="B27" s="25">
        <v>46272</v>
      </c>
      <c r="C27" s="25">
        <v>46278</v>
      </c>
      <c r="D27" s="8" t="s">
        <v>423</v>
      </c>
      <c r="E27" s="8">
        <v>23</v>
      </c>
      <c r="F27" s="69">
        <v>40</v>
      </c>
      <c r="G27" s="24">
        <v>1</v>
      </c>
      <c r="H27" s="8" t="s">
        <v>407</v>
      </c>
      <c r="I27" s="8" t="s">
        <v>432</v>
      </c>
      <c r="J27" s="3"/>
      <c r="K27" s="4"/>
      <c r="L27" s="6" t="s">
        <v>405</v>
      </c>
    </row>
    <row r="28" ht="48" customHeight="1" spans="1:12">
      <c r="A28" s="72"/>
      <c r="B28" s="25">
        <v>46279</v>
      </c>
      <c r="C28" s="25">
        <v>46285</v>
      </c>
      <c r="D28" s="8" t="s">
        <v>423</v>
      </c>
      <c r="E28" s="8">
        <v>15</v>
      </c>
      <c r="F28" s="69">
        <v>40</v>
      </c>
      <c r="G28" s="24">
        <v>1</v>
      </c>
      <c r="H28" s="8" t="s">
        <v>407</v>
      </c>
      <c r="I28" s="8" t="s">
        <v>433</v>
      </c>
      <c r="J28" s="3"/>
      <c r="K28" s="4"/>
      <c r="L28" s="6" t="s">
        <v>405</v>
      </c>
    </row>
    <row r="29" ht="48" customHeight="1" spans="1:12">
      <c r="A29" s="72"/>
      <c r="B29" s="25">
        <v>46286</v>
      </c>
      <c r="C29" s="25">
        <v>46292</v>
      </c>
      <c r="D29" s="8" t="s">
        <v>423</v>
      </c>
      <c r="E29" s="8">
        <v>7</v>
      </c>
      <c r="F29" s="69">
        <v>40</v>
      </c>
      <c r="G29" s="24">
        <v>1</v>
      </c>
      <c r="H29" s="8" t="s">
        <v>407</v>
      </c>
      <c r="I29" s="8" t="s">
        <v>434</v>
      </c>
      <c r="J29" s="3"/>
      <c r="K29" s="4"/>
      <c r="L29" s="6" t="s">
        <v>405</v>
      </c>
    </row>
    <row r="30" ht="48" customHeight="1" spans="1:12">
      <c r="A30" s="72"/>
      <c r="B30" s="25">
        <v>46293</v>
      </c>
      <c r="C30" s="25">
        <v>46299</v>
      </c>
      <c r="D30" s="8" t="s">
        <v>423</v>
      </c>
      <c r="E30" s="8">
        <v>7</v>
      </c>
      <c r="F30" s="69">
        <v>40</v>
      </c>
      <c r="G30" s="24">
        <v>1</v>
      </c>
      <c r="H30" s="8" t="s">
        <v>407</v>
      </c>
      <c r="I30" s="8" t="s">
        <v>434</v>
      </c>
      <c r="J30" s="3"/>
      <c r="K30" s="4"/>
      <c r="L30" s="6" t="s">
        <v>405</v>
      </c>
    </row>
    <row r="31" ht="48" customHeight="1" spans="1:12">
      <c r="A31" s="72"/>
      <c r="B31" s="25">
        <v>46300</v>
      </c>
      <c r="C31" s="25">
        <v>46306</v>
      </c>
      <c r="D31" s="8" t="s">
        <v>423</v>
      </c>
      <c r="E31" s="8">
        <v>7</v>
      </c>
      <c r="F31" s="69">
        <v>40</v>
      </c>
      <c r="G31" s="24">
        <v>1</v>
      </c>
      <c r="H31" s="8" t="s">
        <v>407</v>
      </c>
      <c r="I31" s="8" t="s">
        <v>434</v>
      </c>
      <c r="J31" s="3"/>
      <c r="K31" s="4"/>
      <c r="L31" s="6" t="s">
        <v>405</v>
      </c>
    </row>
    <row r="32" ht="48" customHeight="1" spans="1:12">
      <c r="A32" s="72"/>
      <c r="B32" s="25">
        <v>46307</v>
      </c>
      <c r="C32" s="25">
        <v>46313</v>
      </c>
      <c r="D32" s="8" t="s">
        <v>423</v>
      </c>
      <c r="E32" s="8">
        <v>32</v>
      </c>
      <c r="F32" s="69">
        <v>40</v>
      </c>
      <c r="G32" s="24">
        <v>1</v>
      </c>
      <c r="H32" s="8" t="s">
        <v>407</v>
      </c>
      <c r="I32" s="8" t="s">
        <v>435</v>
      </c>
      <c r="J32" s="3"/>
      <c r="K32" s="4"/>
      <c r="L32" s="6" t="s">
        <v>405</v>
      </c>
    </row>
    <row r="33" ht="48" customHeight="1" spans="1:12">
      <c r="A33" s="72"/>
      <c r="B33" s="25">
        <v>46314</v>
      </c>
      <c r="C33" s="25">
        <v>46320</v>
      </c>
      <c r="D33" s="8" t="s">
        <v>423</v>
      </c>
      <c r="E33" s="8">
        <v>32</v>
      </c>
      <c r="F33" s="69">
        <v>40</v>
      </c>
      <c r="G33" s="24">
        <v>1</v>
      </c>
      <c r="H33" s="8" t="s">
        <v>407</v>
      </c>
      <c r="I33" s="8" t="s">
        <v>435</v>
      </c>
      <c r="J33" s="3"/>
      <c r="K33" s="4"/>
      <c r="L33" s="6" t="s">
        <v>405</v>
      </c>
    </row>
    <row r="34" ht="48" customHeight="1" spans="1:12">
      <c r="A34" s="72"/>
      <c r="B34" s="25">
        <v>46321</v>
      </c>
      <c r="C34" s="25">
        <v>46327</v>
      </c>
      <c r="D34" s="8" t="s">
        <v>423</v>
      </c>
      <c r="E34" s="8">
        <v>32</v>
      </c>
      <c r="F34" s="69">
        <v>40</v>
      </c>
      <c r="G34" s="24">
        <v>1</v>
      </c>
      <c r="H34" s="8" t="s">
        <v>407</v>
      </c>
      <c r="I34" s="8" t="s">
        <v>435</v>
      </c>
      <c r="J34" s="3"/>
      <c r="K34" s="4"/>
      <c r="L34" s="6" t="s">
        <v>405</v>
      </c>
    </row>
    <row r="35" ht="48" customHeight="1" spans="1:12">
      <c r="A35" s="72"/>
      <c r="B35" s="25">
        <v>46328</v>
      </c>
      <c r="C35" s="25">
        <v>46334</v>
      </c>
      <c r="D35" s="8" t="s">
        <v>423</v>
      </c>
      <c r="E35" s="8">
        <v>32</v>
      </c>
      <c r="F35" s="69">
        <v>40</v>
      </c>
      <c r="G35" s="24">
        <v>1</v>
      </c>
      <c r="H35" s="8" t="s">
        <v>407</v>
      </c>
      <c r="I35" s="8" t="s">
        <v>435</v>
      </c>
      <c r="J35" s="3"/>
      <c r="K35" s="4"/>
      <c r="L35" s="6" t="s">
        <v>405</v>
      </c>
    </row>
    <row r="36" ht="48" customHeight="1" spans="1:12">
      <c r="A36" s="72"/>
      <c r="B36" s="25">
        <v>46335</v>
      </c>
      <c r="C36" s="25">
        <v>46341</v>
      </c>
      <c r="D36" s="8" t="s">
        <v>423</v>
      </c>
      <c r="E36" s="8">
        <v>32</v>
      </c>
      <c r="F36" s="69">
        <v>40</v>
      </c>
      <c r="G36" s="24">
        <v>1</v>
      </c>
      <c r="H36" s="8" t="s">
        <v>407</v>
      </c>
      <c r="I36" s="8" t="s">
        <v>435</v>
      </c>
      <c r="J36" s="3"/>
      <c r="K36" s="4"/>
      <c r="L36" s="6" t="s">
        <v>405</v>
      </c>
    </row>
    <row r="37" ht="20" customHeight="1" spans="1:12">
      <c r="A37" s="72"/>
      <c r="B37" s="25">
        <v>46342</v>
      </c>
      <c r="C37" s="25">
        <v>46348</v>
      </c>
      <c r="D37" s="8" t="s">
        <v>436</v>
      </c>
      <c r="E37" s="8">
        <v>0</v>
      </c>
      <c r="F37" s="69">
        <v>0</v>
      </c>
      <c r="G37" s="24">
        <v>0</v>
      </c>
      <c r="H37" s="8" t="s">
        <v>437</v>
      </c>
      <c r="I37" s="8" t="s">
        <v>438</v>
      </c>
      <c r="J37" s="3"/>
      <c r="K37" s="4"/>
      <c r="L37" s="6" t="s">
        <v>405</v>
      </c>
    </row>
    <row r="38" ht="20" customHeight="1" spans="1:12">
      <c r="A38" s="73"/>
      <c r="B38" s="25">
        <v>46349</v>
      </c>
      <c r="C38" s="25">
        <v>46355</v>
      </c>
      <c r="D38" s="8" t="s">
        <v>436</v>
      </c>
      <c r="E38" s="8">
        <v>0</v>
      </c>
      <c r="F38" s="69">
        <v>0</v>
      </c>
      <c r="G38" s="24">
        <v>0</v>
      </c>
      <c r="H38" s="8" t="s">
        <v>437</v>
      </c>
      <c r="I38" s="8" t="s">
        <v>438</v>
      </c>
      <c r="J38" s="3"/>
      <c r="K38" s="4"/>
      <c r="L38" s="6" t="s">
        <v>405</v>
      </c>
    </row>
    <row r="39" ht="20" customHeight="1" spans="1:12">
      <c r="A39" s="71" t="s">
        <v>152</v>
      </c>
      <c r="B39" s="25">
        <v>46195</v>
      </c>
      <c r="C39" s="25">
        <v>46201</v>
      </c>
      <c r="D39" s="8" t="s">
        <v>436</v>
      </c>
      <c r="E39" s="8">
        <v>0</v>
      </c>
      <c r="F39" s="69">
        <v>0</v>
      </c>
      <c r="G39" s="24">
        <v>0</v>
      </c>
      <c r="H39" s="8" t="s">
        <v>437</v>
      </c>
      <c r="I39" s="8" t="s">
        <v>438</v>
      </c>
      <c r="J39" s="3"/>
      <c r="K39" s="4"/>
      <c r="L39" s="6" t="s">
        <v>152</v>
      </c>
    </row>
    <row r="40" ht="20" customHeight="1" spans="1:12">
      <c r="A40" s="72"/>
      <c r="B40" s="25">
        <v>46202</v>
      </c>
      <c r="C40" s="25">
        <v>46208</v>
      </c>
      <c r="D40" s="8" t="s">
        <v>436</v>
      </c>
      <c r="E40" s="8">
        <v>0</v>
      </c>
      <c r="F40" s="69">
        <v>0</v>
      </c>
      <c r="G40" s="24">
        <v>0</v>
      </c>
      <c r="H40" s="8" t="s">
        <v>437</v>
      </c>
      <c r="I40" s="8" t="s">
        <v>438</v>
      </c>
      <c r="J40" s="3"/>
      <c r="K40" s="4"/>
      <c r="L40" s="6" t="s">
        <v>152</v>
      </c>
    </row>
    <row r="41" ht="48" customHeight="1" spans="1:12">
      <c r="A41" s="72"/>
      <c r="B41" s="25">
        <v>46209</v>
      </c>
      <c r="C41" s="25">
        <v>46215</v>
      </c>
      <c r="D41" s="8" t="s">
        <v>423</v>
      </c>
      <c r="E41" s="8">
        <v>3</v>
      </c>
      <c r="F41" s="69">
        <v>40</v>
      </c>
      <c r="G41" s="24">
        <v>1</v>
      </c>
      <c r="H41" s="8" t="s">
        <v>407</v>
      </c>
      <c r="I41" s="8" t="s">
        <v>439</v>
      </c>
      <c r="J41" s="3"/>
      <c r="K41" s="4"/>
      <c r="L41" s="6" t="s">
        <v>152</v>
      </c>
    </row>
    <row r="42" ht="48" customHeight="1" spans="1:12">
      <c r="A42" s="72"/>
      <c r="B42" s="25">
        <v>46216</v>
      </c>
      <c r="C42" s="25">
        <v>46222</v>
      </c>
      <c r="D42" s="8" t="s">
        <v>423</v>
      </c>
      <c r="E42" s="8">
        <v>3</v>
      </c>
      <c r="F42" s="69">
        <v>40</v>
      </c>
      <c r="G42" s="24">
        <v>1</v>
      </c>
      <c r="H42" s="8" t="s">
        <v>407</v>
      </c>
      <c r="I42" s="8" t="s">
        <v>439</v>
      </c>
      <c r="J42" s="3"/>
      <c r="K42" s="4"/>
      <c r="L42" s="6" t="s">
        <v>152</v>
      </c>
    </row>
    <row r="43" ht="48" customHeight="1" spans="1:12">
      <c r="A43" s="72"/>
      <c r="B43" s="25">
        <v>46223</v>
      </c>
      <c r="C43" s="25">
        <v>46229</v>
      </c>
      <c r="D43" s="8" t="s">
        <v>423</v>
      </c>
      <c r="E43" s="8">
        <v>3</v>
      </c>
      <c r="F43" s="69">
        <v>40</v>
      </c>
      <c r="G43" s="24">
        <v>1</v>
      </c>
      <c r="H43" s="8" t="s">
        <v>407</v>
      </c>
      <c r="I43" s="8" t="s">
        <v>439</v>
      </c>
      <c r="J43" s="3"/>
      <c r="K43" s="4"/>
      <c r="L43" s="6" t="s">
        <v>152</v>
      </c>
    </row>
    <row r="44" ht="48" customHeight="1" spans="1:12">
      <c r="A44" s="72"/>
      <c r="B44" s="25">
        <v>46230</v>
      </c>
      <c r="C44" s="25">
        <v>46236</v>
      </c>
      <c r="D44" s="8" t="s">
        <v>423</v>
      </c>
      <c r="E44" s="8">
        <v>3</v>
      </c>
      <c r="F44" s="69">
        <v>40</v>
      </c>
      <c r="G44" s="24">
        <v>1</v>
      </c>
      <c r="H44" s="8" t="s">
        <v>407</v>
      </c>
      <c r="I44" s="8" t="s">
        <v>439</v>
      </c>
      <c r="J44" s="3"/>
      <c r="K44" s="4"/>
      <c r="L44" s="6" t="s">
        <v>152</v>
      </c>
    </row>
    <row r="45" ht="48" customHeight="1" spans="1:12">
      <c r="A45" s="72"/>
      <c r="B45" s="25">
        <v>46237</v>
      </c>
      <c r="C45" s="25">
        <v>46243</v>
      </c>
      <c r="D45" s="8" t="s">
        <v>423</v>
      </c>
      <c r="E45" s="8">
        <v>3</v>
      </c>
      <c r="F45" s="69">
        <v>40</v>
      </c>
      <c r="G45" s="24">
        <v>1</v>
      </c>
      <c r="H45" s="8" t="s">
        <v>407</v>
      </c>
      <c r="I45" s="8" t="s">
        <v>439</v>
      </c>
      <c r="J45" s="3"/>
      <c r="K45" s="4"/>
      <c r="L45" s="6" t="s">
        <v>152</v>
      </c>
    </row>
    <row r="46" ht="48" customHeight="1" spans="1:12">
      <c r="A46" s="72"/>
      <c r="B46" s="25">
        <v>46244</v>
      </c>
      <c r="C46" s="25">
        <v>46250</v>
      </c>
      <c r="D46" s="8" t="s">
        <v>423</v>
      </c>
      <c r="E46" s="8">
        <v>3</v>
      </c>
      <c r="F46" s="69">
        <v>40</v>
      </c>
      <c r="G46" s="24">
        <v>1</v>
      </c>
      <c r="H46" s="8" t="s">
        <v>407</v>
      </c>
      <c r="I46" s="8" t="s">
        <v>439</v>
      </c>
      <c r="J46" s="3"/>
      <c r="K46" s="4"/>
      <c r="L46" s="6" t="s">
        <v>152</v>
      </c>
    </row>
    <row r="47" ht="48" customHeight="1" spans="1:12">
      <c r="A47" s="72"/>
      <c r="B47" s="25">
        <v>46251</v>
      </c>
      <c r="C47" s="25">
        <v>46257</v>
      </c>
      <c r="D47" s="8" t="s">
        <v>423</v>
      </c>
      <c r="E47" s="8">
        <v>3</v>
      </c>
      <c r="F47" s="69">
        <v>40</v>
      </c>
      <c r="G47" s="24">
        <v>1</v>
      </c>
      <c r="H47" s="8" t="s">
        <v>407</v>
      </c>
      <c r="I47" s="8" t="s">
        <v>439</v>
      </c>
      <c r="J47" s="3"/>
      <c r="K47" s="4"/>
      <c r="L47" s="6" t="s">
        <v>152</v>
      </c>
    </row>
    <row r="48" ht="48" customHeight="1" spans="1:12">
      <c r="A48" s="72"/>
      <c r="B48" s="25">
        <v>46258</v>
      </c>
      <c r="C48" s="25">
        <v>46264</v>
      </c>
      <c r="D48" s="8" t="s">
        <v>423</v>
      </c>
      <c r="E48" s="8">
        <v>3</v>
      </c>
      <c r="F48" s="69">
        <v>40</v>
      </c>
      <c r="G48" s="24">
        <v>1</v>
      </c>
      <c r="H48" s="8" t="s">
        <v>407</v>
      </c>
      <c r="I48" s="8" t="s">
        <v>439</v>
      </c>
      <c r="J48" s="3"/>
      <c r="K48" s="4"/>
      <c r="L48" s="6" t="s">
        <v>152</v>
      </c>
    </row>
    <row r="49" ht="48" customHeight="1" spans="1:12">
      <c r="A49" s="72"/>
      <c r="B49" s="25">
        <v>46265</v>
      </c>
      <c r="C49" s="25">
        <v>46271</v>
      </c>
      <c r="D49" s="8" t="s">
        <v>423</v>
      </c>
      <c r="E49" s="8">
        <v>4</v>
      </c>
      <c r="F49" s="69">
        <v>40</v>
      </c>
      <c r="G49" s="24">
        <v>1</v>
      </c>
      <c r="H49" s="8" t="s">
        <v>407</v>
      </c>
      <c r="I49" s="8" t="s">
        <v>440</v>
      </c>
      <c r="J49" s="3"/>
      <c r="K49" s="4"/>
      <c r="L49" s="6" t="s">
        <v>152</v>
      </c>
    </row>
    <row r="50" ht="48" customHeight="1" spans="1:12">
      <c r="A50" s="72"/>
      <c r="B50" s="25">
        <v>46272</v>
      </c>
      <c r="C50" s="25">
        <v>46278</v>
      </c>
      <c r="D50" s="8" t="s">
        <v>423</v>
      </c>
      <c r="E50" s="8">
        <v>1</v>
      </c>
      <c r="F50" s="69">
        <v>40</v>
      </c>
      <c r="G50" s="24">
        <v>1</v>
      </c>
      <c r="H50" s="8" t="s">
        <v>407</v>
      </c>
      <c r="I50" s="8" t="s">
        <v>441</v>
      </c>
      <c r="J50" s="3"/>
      <c r="K50" s="4"/>
      <c r="L50" s="6" t="s">
        <v>152</v>
      </c>
    </row>
    <row r="51" ht="20" customHeight="1" spans="1:12">
      <c r="A51" s="72"/>
      <c r="B51" s="25">
        <v>46279</v>
      </c>
      <c r="C51" s="25">
        <v>46285</v>
      </c>
      <c r="D51" s="8" t="s">
        <v>436</v>
      </c>
      <c r="E51" s="8">
        <v>0</v>
      </c>
      <c r="F51" s="69">
        <v>0</v>
      </c>
      <c r="G51" s="24">
        <v>0</v>
      </c>
      <c r="H51" s="8" t="s">
        <v>437</v>
      </c>
      <c r="I51" s="8" t="s">
        <v>438</v>
      </c>
      <c r="J51" s="3"/>
      <c r="K51" s="4"/>
      <c r="L51" s="6" t="s">
        <v>152</v>
      </c>
    </row>
    <row r="52" ht="48" customHeight="1" spans="1:12">
      <c r="A52" s="72"/>
      <c r="B52" s="25">
        <v>46286</v>
      </c>
      <c r="C52" s="25">
        <v>46292</v>
      </c>
      <c r="D52" s="8" t="s">
        <v>423</v>
      </c>
      <c r="E52" s="8">
        <v>3</v>
      </c>
      <c r="F52" s="69">
        <v>40</v>
      </c>
      <c r="G52" s="24">
        <v>1</v>
      </c>
      <c r="H52" s="8" t="s">
        <v>407</v>
      </c>
      <c r="I52" s="8" t="s">
        <v>442</v>
      </c>
      <c r="J52" s="3"/>
      <c r="K52" s="4"/>
      <c r="L52" s="6" t="s">
        <v>152</v>
      </c>
    </row>
    <row r="53" ht="48" customHeight="1" spans="1:12">
      <c r="A53" s="72"/>
      <c r="B53" s="25">
        <v>46293</v>
      </c>
      <c r="C53" s="25">
        <v>46299</v>
      </c>
      <c r="D53" s="8" t="s">
        <v>423</v>
      </c>
      <c r="E53" s="8">
        <v>4</v>
      </c>
      <c r="F53" s="69">
        <v>40</v>
      </c>
      <c r="G53" s="24">
        <v>1</v>
      </c>
      <c r="H53" s="8" t="s">
        <v>407</v>
      </c>
      <c r="I53" s="8" t="s">
        <v>443</v>
      </c>
      <c r="J53" s="3"/>
      <c r="K53" s="4"/>
      <c r="L53" s="6" t="s">
        <v>152</v>
      </c>
    </row>
    <row r="54" ht="48" customHeight="1" spans="1:12">
      <c r="A54" s="72"/>
      <c r="B54" s="25">
        <v>46300</v>
      </c>
      <c r="C54" s="25">
        <v>46306</v>
      </c>
      <c r="D54" s="8" t="s">
        <v>423</v>
      </c>
      <c r="E54" s="8">
        <v>4</v>
      </c>
      <c r="F54" s="69">
        <v>40</v>
      </c>
      <c r="G54" s="24">
        <v>1</v>
      </c>
      <c r="H54" s="8" t="s">
        <v>407</v>
      </c>
      <c r="I54" s="8" t="s">
        <v>443</v>
      </c>
      <c r="J54" s="3"/>
      <c r="K54" s="4"/>
      <c r="L54" s="6" t="s">
        <v>152</v>
      </c>
    </row>
    <row r="55" ht="48" customHeight="1" spans="1:12">
      <c r="A55" s="72"/>
      <c r="B55" s="25">
        <v>46307</v>
      </c>
      <c r="C55" s="25">
        <v>46313</v>
      </c>
      <c r="D55" s="8" t="s">
        <v>423</v>
      </c>
      <c r="E55" s="8">
        <v>7</v>
      </c>
      <c r="F55" s="69">
        <v>40</v>
      </c>
      <c r="G55" s="24">
        <v>1</v>
      </c>
      <c r="H55" s="8" t="s">
        <v>407</v>
      </c>
      <c r="I55" s="8" t="s">
        <v>444</v>
      </c>
      <c r="J55" s="3"/>
      <c r="K55" s="4"/>
      <c r="L55" s="6" t="s">
        <v>152</v>
      </c>
    </row>
    <row r="56" ht="48" customHeight="1" spans="1:12">
      <c r="A56" s="72"/>
      <c r="B56" s="25">
        <v>46314</v>
      </c>
      <c r="C56" s="25">
        <v>46320</v>
      </c>
      <c r="D56" s="8" t="s">
        <v>423</v>
      </c>
      <c r="E56" s="8">
        <v>3</v>
      </c>
      <c r="F56" s="69">
        <v>40</v>
      </c>
      <c r="G56" s="24">
        <v>1</v>
      </c>
      <c r="H56" s="8" t="s">
        <v>407</v>
      </c>
      <c r="I56" s="8" t="s">
        <v>445</v>
      </c>
      <c r="J56" s="3"/>
      <c r="K56" s="4"/>
      <c r="L56" s="6" t="s">
        <v>152</v>
      </c>
    </row>
    <row r="57" ht="48" customHeight="1" spans="1:12">
      <c r="A57" s="72"/>
      <c r="B57" s="25">
        <v>46321</v>
      </c>
      <c r="C57" s="25">
        <v>46327</v>
      </c>
      <c r="D57" s="8" t="s">
        <v>423</v>
      </c>
      <c r="E57" s="8">
        <v>3</v>
      </c>
      <c r="F57" s="69">
        <v>40</v>
      </c>
      <c r="G57" s="24">
        <v>1</v>
      </c>
      <c r="H57" s="8" t="s">
        <v>407</v>
      </c>
      <c r="I57" s="8" t="s">
        <v>445</v>
      </c>
      <c r="J57" s="3"/>
      <c r="K57" s="4"/>
      <c r="L57" s="6" t="s">
        <v>152</v>
      </c>
    </row>
    <row r="58" ht="48" customHeight="1" spans="1:12">
      <c r="A58" s="72"/>
      <c r="B58" s="25">
        <v>46328</v>
      </c>
      <c r="C58" s="25">
        <v>46334</v>
      </c>
      <c r="D58" s="8" t="s">
        <v>423</v>
      </c>
      <c r="E58" s="8">
        <v>3</v>
      </c>
      <c r="F58" s="69">
        <v>40</v>
      </c>
      <c r="G58" s="24">
        <v>1</v>
      </c>
      <c r="H58" s="8" t="s">
        <v>407</v>
      </c>
      <c r="I58" s="8" t="s">
        <v>445</v>
      </c>
      <c r="J58" s="3"/>
      <c r="K58" s="4"/>
      <c r="L58" s="6" t="s">
        <v>152</v>
      </c>
    </row>
    <row r="59" ht="48" customHeight="1" spans="1:12">
      <c r="A59" s="72"/>
      <c r="B59" s="25">
        <v>46335</v>
      </c>
      <c r="C59" s="25">
        <v>46341</v>
      </c>
      <c r="D59" s="8" t="s">
        <v>423</v>
      </c>
      <c r="E59" s="8">
        <v>3</v>
      </c>
      <c r="F59" s="69">
        <v>40</v>
      </c>
      <c r="G59" s="24">
        <v>1</v>
      </c>
      <c r="H59" s="8" t="s">
        <v>407</v>
      </c>
      <c r="I59" s="8" t="s">
        <v>445</v>
      </c>
      <c r="J59" s="3"/>
      <c r="K59" s="4"/>
      <c r="L59" s="6" t="s">
        <v>152</v>
      </c>
    </row>
    <row r="60" ht="20" customHeight="1" spans="1:12">
      <c r="A60" s="72"/>
      <c r="B60" s="25">
        <v>46342</v>
      </c>
      <c r="C60" s="25">
        <v>46348</v>
      </c>
      <c r="D60" s="8" t="s">
        <v>436</v>
      </c>
      <c r="E60" s="8">
        <v>0</v>
      </c>
      <c r="F60" s="69">
        <v>0</v>
      </c>
      <c r="G60" s="24">
        <v>0</v>
      </c>
      <c r="H60" s="8" t="s">
        <v>437</v>
      </c>
      <c r="I60" s="8" t="s">
        <v>438</v>
      </c>
      <c r="J60" s="3"/>
      <c r="K60" s="4"/>
      <c r="L60" s="6" t="s">
        <v>152</v>
      </c>
    </row>
    <row r="61" ht="20" customHeight="1" spans="1:12">
      <c r="A61" s="73"/>
      <c r="B61" s="25">
        <v>46349</v>
      </c>
      <c r="C61" s="25">
        <v>46355</v>
      </c>
      <c r="D61" s="8" t="s">
        <v>436</v>
      </c>
      <c r="E61" s="8">
        <v>0</v>
      </c>
      <c r="F61" s="69">
        <v>0</v>
      </c>
      <c r="G61" s="24">
        <v>0</v>
      </c>
      <c r="H61" s="8" t="s">
        <v>437</v>
      </c>
      <c r="I61" s="8" t="s">
        <v>438</v>
      </c>
      <c r="J61" s="3"/>
      <c r="K61" s="4"/>
      <c r="L61" s="6" t="s">
        <v>152</v>
      </c>
    </row>
    <row r="62" ht="48" customHeight="1" spans="1:12">
      <c r="A62" s="71" t="s">
        <v>410</v>
      </c>
      <c r="B62" s="25">
        <v>46195</v>
      </c>
      <c r="C62" s="25">
        <v>46201</v>
      </c>
      <c r="D62" s="8" t="s">
        <v>423</v>
      </c>
      <c r="E62" s="8">
        <v>4</v>
      </c>
      <c r="F62" s="69">
        <v>40</v>
      </c>
      <c r="G62" s="24">
        <v>1</v>
      </c>
      <c r="H62" s="8" t="s">
        <v>407</v>
      </c>
      <c r="I62" s="8" t="s">
        <v>424</v>
      </c>
      <c r="J62" s="3"/>
      <c r="K62" s="4"/>
      <c r="L62" s="6" t="s">
        <v>410</v>
      </c>
    </row>
    <row r="63" ht="48" customHeight="1" spans="1:12">
      <c r="A63" s="72"/>
      <c r="B63" s="25">
        <v>46202</v>
      </c>
      <c r="C63" s="25">
        <v>46208</v>
      </c>
      <c r="D63" s="8" t="s">
        <v>423</v>
      </c>
      <c r="E63" s="8">
        <v>4</v>
      </c>
      <c r="F63" s="69">
        <v>40</v>
      </c>
      <c r="G63" s="24">
        <v>1</v>
      </c>
      <c r="H63" s="8" t="s">
        <v>407</v>
      </c>
      <c r="I63" s="8" t="s">
        <v>424</v>
      </c>
      <c r="J63" s="3"/>
      <c r="K63" s="4"/>
      <c r="L63" s="6" t="s">
        <v>410</v>
      </c>
    </row>
    <row r="64" ht="48" customHeight="1" spans="1:12">
      <c r="A64" s="72"/>
      <c r="B64" s="25">
        <v>46209</v>
      </c>
      <c r="C64" s="25">
        <v>46215</v>
      </c>
      <c r="D64" s="8" t="s">
        <v>423</v>
      </c>
      <c r="E64" s="8">
        <v>22</v>
      </c>
      <c r="F64" s="69">
        <v>40</v>
      </c>
      <c r="G64" s="24">
        <v>1</v>
      </c>
      <c r="H64" s="8" t="s">
        <v>407</v>
      </c>
      <c r="I64" s="8" t="s">
        <v>425</v>
      </c>
      <c r="J64" s="3"/>
      <c r="K64" s="4"/>
      <c r="L64" s="6" t="s">
        <v>410</v>
      </c>
    </row>
    <row r="65" ht="48" customHeight="1" spans="1:12">
      <c r="A65" s="72"/>
      <c r="B65" s="25">
        <v>46216</v>
      </c>
      <c r="C65" s="25">
        <v>46222</v>
      </c>
      <c r="D65" s="8" t="s">
        <v>423</v>
      </c>
      <c r="E65" s="8">
        <v>22</v>
      </c>
      <c r="F65" s="69">
        <v>40</v>
      </c>
      <c r="G65" s="24">
        <v>1</v>
      </c>
      <c r="H65" s="8" t="s">
        <v>407</v>
      </c>
      <c r="I65" s="8" t="s">
        <v>425</v>
      </c>
      <c r="J65" s="3"/>
      <c r="K65" s="4"/>
      <c r="L65" s="6" t="s">
        <v>410</v>
      </c>
    </row>
    <row r="66" ht="48" customHeight="1" spans="1:12">
      <c r="A66" s="72"/>
      <c r="B66" s="25">
        <v>46223</v>
      </c>
      <c r="C66" s="25">
        <v>46229</v>
      </c>
      <c r="D66" s="8" t="s">
        <v>423</v>
      </c>
      <c r="E66" s="8">
        <v>30</v>
      </c>
      <c r="F66" s="69">
        <v>40</v>
      </c>
      <c r="G66" s="24">
        <v>1</v>
      </c>
      <c r="H66" s="8" t="s">
        <v>407</v>
      </c>
      <c r="I66" s="8" t="s">
        <v>426</v>
      </c>
      <c r="J66" s="3"/>
      <c r="K66" s="4"/>
      <c r="L66" s="6" t="s">
        <v>410</v>
      </c>
    </row>
    <row r="67" ht="48" customHeight="1" spans="1:12">
      <c r="A67" s="72"/>
      <c r="B67" s="25">
        <v>46230</v>
      </c>
      <c r="C67" s="25">
        <v>46236</v>
      </c>
      <c r="D67" s="8" t="s">
        <v>423</v>
      </c>
      <c r="E67" s="8">
        <v>28</v>
      </c>
      <c r="F67" s="69">
        <v>40</v>
      </c>
      <c r="G67" s="24">
        <v>1</v>
      </c>
      <c r="H67" s="8" t="s">
        <v>407</v>
      </c>
      <c r="I67" s="8" t="s">
        <v>427</v>
      </c>
      <c r="J67" s="3"/>
      <c r="K67" s="4"/>
      <c r="L67" s="6" t="s">
        <v>410</v>
      </c>
    </row>
    <row r="68" ht="48" customHeight="1" spans="1:12">
      <c r="A68" s="72"/>
      <c r="B68" s="25">
        <v>46237</v>
      </c>
      <c r="C68" s="25">
        <v>46243</v>
      </c>
      <c r="D68" s="8" t="s">
        <v>423</v>
      </c>
      <c r="E68" s="8">
        <v>31</v>
      </c>
      <c r="F68" s="69">
        <v>40</v>
      </c>
      <c r="G68" s="24">
        <v>1</v>
      </c>
      <c r="H68" s="8" t="s">
        <v>407</v>
      </c>
      <c r="I68" s="8" t="s">
        <v>428</v>
      </c>
      <c r="J68" s="3"/>
      <c r="K68" s="4"/>
      <c r="L68" s="6" t="s">
        <v>410</v>
      </c>
    </row>
    <row r="69" ht="48" customHeight="1" spans="1:12">
      <c r="A69" s="72"/>
      <c r="B69" s="25">
        <v>46244</v>
      </c>
      <c r="C69" s="25">
        <v>46250</v>
      </c>
      <c r="D69" s="8" t="s">
        <v>423</v>
      </c>
      <c r="E69" s="8">
        <v>30</v>
      </c>
      <c r="F69" s="69">
        <v>40</v>
      </c>
      <c r="G69" s="24">
        <v>1</v>
      </c>
      <c r="H69" s="8" t="s">
        <v>407</v>
      </c>
      <c r="I69" s="8" t="s">
        <v>429</v>
      </c>
      <c r="J69" s="3"/>
      <c r="K69" s="4"/>
      <c r="L69" s="6" t="s">
        <v>410</v>
      </c>
    </row>
    <row r="70" ht="48" customHeight="1" spans="1:12">
      <c r="A70" s="72"/>
      <c r="B70" s="25">
        <v>46251</v>
      </c>
      <c r="C70" s="25">
        <v>46257</v>
      </c>
      <c r="D70" s="8" t="s">
        <v>423</v>
      </c>
      <c r="E70" s="8">
        <v>30</v>
      </c>
      <c r="F70" s="69">
        <v>40</v>
      </c>
      <c r="G70" s="24">
        <v>1</v>
      </c>
      <c r="H70" s="8" t="s">
        <v>407</v>
      </c>
      <c r="I70" s="8" t="s">
        <v>429</v>
      </c>
      <c r="J70" s="3"/>
      <c r="K70" s="4"/>
      <c r="L70" s="6" t="s">
        <v>410</v>
      </c>
    </row>
    <row r="71" ht="48" customHeight="1" spans="1:12">
      <c r="A71" s="72"/>
      <c r="B71" s="25">
        <v>46258</v>
      </c>
      <c r="C71" s="25">
        <v>46264</v>
      </c>
      <c r="D71" s="8" t="s">
        <v>423</v>
      </c>
      <c r="E71" s="8">
        <v>27</v>
      </c>
      <c r="F71" s="69">
        <v>40</v>
      </c>
      <c r="G71" s="24">
        <v>1</v>
      </c>
      <c r="H71" s="8" t="s">
        <v>407</v>
      </c>
      <c r="I71" s="8" t="s">
        <v>430</v>
      </c>
      <c r="J71" s="3"/>
      <c r="K71" s="4"/>
      <c r="L71" s="6" t="s">
        <v>410</v>
      </c>
    </row>
    <row r="72" ht="48" customHeight="1" spans="1:12">
      <c r="A72" s="72"/>
      <c r="B72" s="25">
        <v>46265</v>
      </c>
      <c r="C72" s="25">
        <v>46271</v>
      </c>
      <c r="D72" s="8" t="s">
        <v>423</v>
      </c>
      <c r="E72" s="8">
        <v>13</v>
      </c>
      <c r="F72" s="69">
        <v>40</v>
      </c>
      <c r="G72" s="24">
        <v>1</v>
      </c>
      <c r="H72" s="8" t="s">
        <v>407</v>
      </c>
      <c r="I72" s="8" t="s">
        <v>431</v>
      </c>
      <c r="J72" s="3"/>
      <c r="K72" s="4"/>
      <c r="L72" s="6" t="s">
        <v>410</v>
      </c>
    </row>
    <row r="73" ht="48" customHeight="1" spans="1:12">
      <c r="A73" s="72"/>
      <c r="B73" s="25">
        <v>46272</v>
      </c>
      <c r="C73" s="25">
        <v>46278</v>
      </c>
      <c r="D73" s="8" t="s">
        <v>423</v>
      </c>
      <c r="E73" s="8">
        <v>23</v>
      </c>
      <c r="F73" s="69">
        <v>40</v>
      </c>
      <c r="G73" s="24">
        <v>1</v>
      </c>
      <c r="H73" s="8" t="s">
        <v>407</v>
      </c>
      <c r="I73" s="8" t="s">
        <v>432</v>
      </c>
      <c r="J73" s="3"/>
      <c r="K73" s="4"/>
      <c r="L73" s="6" t="s">
        <v>410</v>
      </c>
    </row>
    <row r="74" ht="48" customHeight="1" spans="1:12">
      <c r="A74" s="72"/>
      <c r="B74" s="25">
        <v>46279</v>
      </c>
      <c r="C74" s="25">
        <v>46285</v>
      </c>
      <c r="D74" s="8" t="s">
        <v>423</v>
      </c>
      <c r="E74" s="8">
        <v>15</v>
      </c>
      <c r="F74" s="69">
        <v>40</v>
      </c>
      <c r="G74" s="24">
        <v>1</v>
      </c>
      <c r="H74" s="8" t="s">
        <v>407</v>
      </c>
      <c r="I74" s="8" t="s">
        <v>433</v>
      </c>
      <c r="J74" s="3"/>
      <c r="K74" s="4"/>
      <c r="L74" s="6" t="s">
        <v>410</v>
      </c>
    </row>
    <row r="75" ht="48" customHeight="1" spans="1:12">
      <c r="A75" s="72"/>
      <c r="B75" s="25">
        <v>46286</v>
      </c>
      <c r="C75" s="25">
        <v>46292</v>
      </c>
      <c r="D75" s="8" t="s">
        <v>423</v>
      </c>
      <c r="E75" s="8">
        <v>7</v>
      </c>
      <c r="F75" s="69">
        <v>40</v>
      </c>
      <c r="G75" s="24">
        <v>1</v>
      </c>
      <c r="H75" s="8" t="s">
        <v>407</v>
      </c>
      <c r="I75" s="8" t="s">
        <v>434</v>
      </c>
      <c r="J75" s="3"/>
      <c r="K75" s="4"/>
      <c r="L75" s="6" t="s">
        <v>410</v>
      </c>
    </row>
    <row r="76" ht="48" customHeight="1" spans="1:12">
      <c r="A76" s="72"/>
      <c r="B76" s="25">
        <v>46293</v>
      </c>
      <c r="C76" s="25">
        <v>46299</v>
      </c>
      <c r="D76" s="8" t="s">
        <v>423</v>
      </c>
      <c r="E76" s="8">
        <v>7</v>
      </c>
      <c r="F76" s="69">
        <v>40</v>
      </c>
      <c r="G76" s="24">
        <v>1</v>
      </c>
      <c r="H76" s="8" t="s">
        <v>407</v>
      </c>
      <c r="I76" s="8" t="s">
        <v>434</v>
      </c>
      <c r="J76" s="3"/>
      <c r="K76" s="4"/>
      <c r="L76" s="6" t="s">
        <v>410</v>
      </c>
    </row>
    <row r="77" ht="48" customHeight="1" spans="1:12">
      <c r="A77" s="72"/>
      <c r="B77" s="25">
        <v>46300</v>
      </c>
      <c r="C77" s="25">
        <v>46306</v>
      </c>
      <c r="D77" s="8" t="s">
        <v>423</v>
      </c>
      <c r="E77" s="8">
        <v>7</v>
      </c>
      <c r="F77" s="69">
        <v>40</v>
      </c>
      <c r="G77" s="24">
        <v>1</v>
      </c>
      <c r="H77" s="8" t="s">
        <v>407</v>
      </c>
      <c r="I77" s="8" t="s">
        <v>434</v>
      </c>
      <c r="J77" s="3"/>
      <c r="K77" s="4"/>
      <c r="L77" s="6" t="s">
        <v>410</v>
      </c>
    </row>
    <row r="78" ht="48" customHeight="1" spans="1:12">
      <c r="A78" s="72"/>
      <c r="B78" s="25">
        <v>46307</v>
      </c>
      <c r="C78" s="25">
        <v>46313</v>
      </c>
      <c r="D78" s="8" t="s">
        <v>423</v>
      </c>
      <c r="E78" s="8">
        <v>32</v>
      </c>
      <c r="F78" s="69">
        <v>40</v>
      </c>
      <c r="G78" s="24">
        <v>1</v>
      </c>
      <c r="H78" s="8" t="s">
        <v>407</v>
      </c>
      <c r="I78" s="8" t="s">
        <v>435</v>
      </c>
      <c r="J78" s="3"/>
      <c r="K78" s="4"/>
      <c r="L78" s="6" t="s">
        <v>410</v>
      </c>
    </row>
    <row r="79" ht="48" customHeight="1" spans="1:12">
      <c r="A79" s="72"/>
      <c r="B79" s="25">
        <v>46314</v>
      </c>
      <c r="C79" s="25">
        <v>46320</v>
      </c>
      <c r="D79" s="8" t="s">
        <v>423</v>
      </c>
      <c r="E79" s="8">
        <v>32</v>
      </c>
      <c r="F79" s="69">
        <v>40</v>
      </c>
      <c r="G79" s="24">
        <v>1</v>
      </c>
      <c r="H79" s="8" t="s">
        <v>407</v>
      </c>
      <c r="I79" s="8" t="s">
        <v>435</v>
      </c>
      <c r="J79" s="3"/>
      <c r="K79" s="4"/>
      <c r="L79" s="6" t="s">
        <v>410</v>
      </c>
    </row>
    <row r="80" ht="48" customHeight="1" spans="1:12">
      <c r="A80" s="72"/>
      <c r="B80" s="25">
        <v>46321</v>
      </c>
      <c r="C80" s="25">
        <v>46327</v>
      </c>
      <c r="D80" s="8" t="s">
        <v>423</v>
      </c>
      <c r="E80" s="8">
        <v>32</v>
      </c>
      <c r="F80" s="69">
        <v>40</v>
      </c>
      <c r="G80" s="24">
        <v>1</v>
      </c>
      <c r="H80" s="8" t="s">
        <v>407</v>
      </c>
      <c r="I80" s="8" t="s">
        <v>435</v>
      </c>
      <c r="J80" s="3"/>
      <c r="K80" s="4"/>
      <c r="L80" s="6" t="s">
        <v>410</v>
      </c>
    </row>
    <row r="81" ht="48" customHeight="1" spans="1:12">
      <c r="A81" s="72"/>
      <c r="B81" s="25">
        <v>46328</v>
      </c>
      <c r="C81" s="25">
        <v>46334</v>
      </c>
      <c r="D81" s="8" t="s">
        <v>423</v>
      </c>
      <c r="E81" s="8">
        <v>32</v>
      </c>
      <c r="F81" s="69">
        <v>40</v>
      </c>
      <c r="G81" s="24">
        <v>1</v>
      </c>
      <c r="H81" s="8" t="s">
        <v>407</v>
      </c>
      <c r="I81" s="8" t="s">
        <v>435</v>
      </c>
      <c r="J81" s="3"/>
      <c r="K81" s="4"/>
      <c r="L81" s="6" t="s">
        <v>410</v>
      </c>
    </row>
    <row r="82" ht="48" customHeight="1" spans="1:12">
      <c r="A82" s="72"/>
      <c r="B82" s="25">
        <v>46335</v>
      </c>
      <c r="C82" s="25">
        <v>46341</v>
      </c>
      <c r="D82" s="8" t="s">
        <v>423</v>
      </c>
      <c r="E82" s="8">
        <v>32</v>
      </c>
      <c r="F82" s="69">
        <v>40</v>
      </c>
      <c r="G82" s="24">
        <v>1</v>
      </c>
      <c r="H82" s="8" t="s">
        <v>407</v>
      </c>
      <c r="I82" s="8" t="s">
        <v>435</v>
      </c>
      <c r="J82" s="3"/>
      <c r="K82" s="4"/>
      <c r="L82" s="6" t="s">
        <v>410</v>
      </c>
    </row>
    <row r="83" ht="20" customHeight="1" spans="1:12">
      <c r="A83" s="72"/>
      <c r="B83" s="25">
        <v>46342</v>
      </c>
      <c r="C83" s="25">
        <v>46348</v>
      </c>
      <c r="D83" s="8" t="s">
        <v>436</v>
      </c>
      <c r="E83" s="8">
        <v>0</v>
      </c>
      <c r="F83" s="69">
        <v>0</v>
      </c>
      <c r="G83" s="24">
        <v>0</v>
      </c>
      <c r="H83" s="8" t="s">
        <v>437</v>
      </c>
      <c r="I83" s="8" t="s">
        <v>438</v>
      </c>
      <c r="J83" s="3"/>
      <c r="K83" s="4"/>
      <c r="L83" s="6" t="s">
        <v>410</v>
      </c>
    </row>
    <row r="84" ht="20" customHeight="1" spans="1:12">
      <c r="A84" s="73"/>
      <c r="B84" s="25">
        <v>46349</v>
      </c>
      <c r="C84" s="25">
        <v>46355</v>
      </c>
      <c r="D84" s="8" t="s">
        <v>436</v>
      </c>
      <c r="E84" s="8">
        <v>0</v>
      </c>
      <c r="F84" s="69">
        <v>0</v>
      </c>
      <c r="G84" s="24">
        <v>0</v>
      </c>
      <c r="H84" s="8" t="s">
        <v>437</v>
      </c>
      <c r="I84" s="8" t="s">
        <v>438</v>
      </c>
      <c r="J84" s="3"/>
      <c r="K84" s="4"/>
      <c r="L84" s="6" t="s">
        <v>410</v>
      </c>
    </row>
    <row r="85" ht="20" customHeight="1" spans="1:12">
      <c r="A85" s="71" t="s">
        <v>78</v>
      </c>
      <c r="B85" s="25">
        <v>46195</v>
      </c>
      <c r="C85" s="25">
        <v>46201</v>
      </c>
      <c r="D85" s="8" t="s">
        <v>436</v>
      </c>
      <c r="E85" s="8">
        <v>0</v>
      </c>
      <c r="F85" s="69">
        <v>0</v>
      </c>
      <c r="G85" s="24">
        <v>0</v>
      </c>
      <c r="H85" s="8" t="s">
        <v>437</v>
      </c>
      <c r="I85" s="8" t="s">
        <v>438</v>
      </c>
      <c r="J85" s="3"/>
      <c r="K85" s="4"/>
      <c r="L85" s="6" t="s">
        <v>78</v>
      </c>
    </row>
    <row r="86" ht="48" customHeight="1" spans="1:12">
      <c r="A86" s="72"/>
      <c r="B86" s="25">
        <v>46202</v>
      </c>
      <c r="C86" s="25">
        <v>46208</v>
      </c>
      <c r="D86" s="8" t="s">
        <v>423</v>
      </c>
      <c r="E86" s="8">
        <v>3</v>
      </c>
      <c r="F86" s="69">
        <v>40</v>
      </c>
      <c r="G86" s="24">
        <v>1</v>
      </c>
      <c r="H86" s="8" t="s">
        <v>407</v>
      </c>
      <c r="I86" s="8" t="s">
        <v>446</v>
      </c>
      <c r="J86" s="3"/>
      <c r="K86" s="4"/>
      <c r="L86" s="6" t="s">
        <v>78</v>
      </c>
    </row>
    <row r="87" ht="48" customHeight="1" spans="1:12">
      <c r="A87" s="72"/>
      <c r="B87" s="25">
        <v>46209</v>
      </c>
      <c r="C87" s="25">
        <v>46215</v>
      </c>
      <c r="D87" s="8" t="s">
        <v>423</v>
      </c>
      <c r="E87" s="8">
        <v>3</v>
      </c>
      <c r="F87" s="69">
        <v>40</v>
      </c>
      <c r="G87" s="24">
        <v>1</v>
      </c>
      <c r="H87" s="8" t="s">
        <v>407</v>
      </c>
      <c r="I87" s="8" t="s">
        <v>446</v>
      </c>
      <c r="J87" s="3"/>
      <c r="K87" s="4"/>
      <c r="L87" s="6" t="s">
        <v>78</v>
      </c>
    </row>
    <row r="88" ht="48" customHeight="1" spans="1:12">
      <c r="A88" s="72"/>
      <c r="B88" s="25">
        <v>46216</v>
      </c>
      <c r="C88" s="25">
        <v>46222</v>
      </c>
      <c r="D88" s="8" t="s">
        <v>423</v>
      </c>
      <c r="E88" s="8">
        <v>35</v>
      </c>
      <c r="F88" s="69">
        <v>40</v>
      </c>
      <c r="G88" s="24">
        <v>1</v>
      </c>
      <c r="H88" s="8" t="s">
        <v>407</v>
      </c>
      <c r="I88" s="8" t="s">
        <v>447</v>
      </c>
      <c r="J88" s="3"/>
      <c r="K88" s="4"/>
      <c r="L88" s="6" t="s">
        <v>78</v>
      </c>
    </row>
    <row r="89" ht="48" customHeight="1" spans="1:12">
      <c r="A89" s="72"/>
      <c r="B89" s="25">
        <v>46223</v>
      </c>
      <c r="C89" s="25">
        <v>46229</v>
      </c>
      <c r="D89" s="8" t="s">
        <v>423</v>
      </c>
      <c r="E89" s="8">
        <v>35</v>
      </c>
      <c r="F89" s="69">
        <v>40</v>
      </c>
      <c r="G89" s="24">
        <v>1</v>
      </c>
      <c r="H89" s="8" t="s">
        <v>407</v>
      </c>
      <c r="I89" s="8" t="s">
        <v>447</v>
      </c>
      <c r="J89" s="3"/>
      <c r="K89" s="4"/>
      <c r="L89" s="6" t="s">
        <v>78</v>
      </c>
    </row>
    <row r="90" ht="48" customHeight="1" spans="1:12">
      <c r="A90" s="72"/>
      <c r="B90" s="25">
        <v>46230</v>
      </c>
      <c r="C90" s="25">
        <v>46236</v>
      </c>
      <c r="D90" s="8" t="s">
        <v>423</v>
      </c>
      <c r="E90" s="8">
        <v>35</v>
      </c>
      <c r="F90" s="69">
        <v>40</v>
      </c>
      <c r="G90" s="24">
        <v>1</v>
      </c>
      <c r="H90" s="8" t="s">
        <v>407</v>
      </c>
      <c r="I90" s="8" t="s">
        <v>447</v>
      </c>
      <c r="J90" s="3"/>
      <c r="K90" s="4"/>
      <c r="L90" s="6" t="s">
        <v>78</v>
      </c>
    </row>
    <row r="91" ht="20" customHeight="1" spans="1:12">
      <c r="A91" s="72"/>
      <c r="B91" s="25">
        <v>46237</v>
      </c>
      <c r="C91" s="25">
        <v>46243</v>
      </c>
      <c r="D91" s="8" t="s">
        <v>436</v>
      </c>
      <c r="E91" s="8">
        <v>0</v>
      </c>
      <c r="F91" s="69">
        <v>0</v>
      </c>
      <c r="G91" s="24">
        <v>0</v>
      </c>
      <c r="H91" s="8" t="s">
        <v>437</v>
      </c>
      <c r="I91" s="8" t="s">
        <v>438</v>
      </c>
      <c r="J91" s="3"/>
      <c r="K91" s="4"/>
      <c r="L91" s="6" t="s">
        <v>78</v>
      </c>
    </row>
    <row r="92" ht="20" customHeight="1" spans="1:12">
      <c r="A92" s="72"/>
      <c r="B92" s="25">
        <v>46244</v>
      </c>
      <c r="C92" s="25">
        <v>46250</v>
      </c>
      <c r="D92" s="8" t="s">
        <v>436</v>
      </c>
      <c r="E92" s="8">
        <v>0</v>
      </c>
      <c r="F92" s="69">
        <v>0</v>
      </c>
      <c r="G92" s="24">
        <v>0</v>
      </c>
      <c r="H92" s="8" t="s">
        <v>437</v>
      </c>
      <c r="I92" s="8" t="s">
        <v>438</v>
      </c>
      <c r="J92" s="3"/>
      <c r="K92" s="4"/>
      <c r="L92" s="6" t="s">
        <v>78</v>
      </c>
    </row>
    <row r="93" ht="48" customHeight="1" spans="1:12">
      <c r="A93" s="72"/>
      <c r="B93" s="25">
        <v>46251</v>
      </c>
      <c r="C93" s="25">
        <v>46257</v>
      </c>
      <c r="D93" s="8" t="s">
        <v>423</v>
      </c>
      <c r="E93" s="8">
        <v>27</v>
      </c>
      <c r="F93" s="69">
        <v>40</v>
      </c>
      <c r="G93" s="24">
        <v>1</v>
      </c>
      <c r="H93" s="8" t="s">
        <v>407</v>
      </c>
      <c r="I93" s="8" t="s">
        <v>448</v>
      </c>
      <c r="J93" s="3"/>
      <c r="K93" s="4"/>
      <c r="L93" s="6" t="s">
        <v>78</v>
      </c>
    </row>
    <row r="94" ht="48" customHeight="1" spans="1:12">
      <c r="A94" s="72"/>
      <c r="B94" s="25">
        <v>46258</v>
      </c>
      <c r="C94" s="25">
        <v>46264</v>
      </c>
      <c r="D94" s="8" t="s">
        <v>423</v>
      </c>
      <c r="E94" s="8">
        <v>27</v>
      </c>
      <c r="F94" s="69">
        <v>40</v>
      </c>
      <c r="G94" s="24">
        <v>1</v>
      </c>
      <c r="H94" s="8" t="s">
        <v>407</v>
      </c>
      <c r="I94" s="8" t="s">
        <v>448</v>
      </c>
      <c r="J94" s="3"/>
      <c r="K94" s="4"/>
      <c r="L94" s="6" t="s">
        <v>78</v>
      </c>
    </row>
    <row r="95" ht="48" customHeight="1" spans="1:12">
      <c r="A95" s="72"/>
      <c r="B95" s="25">
        <v>46265</v>
      </c>
      <c r="C95" s="25">
        <v>46271</v>
      </c>
      <c r="D95" s="8" t="s">
        <v>423</v>
      </c>
      <c r="E95" s="8">
        <v>27</v>
      </c>
      <c r="F95" s="69">
        <v>40</v>
      </c>
      <c r="G95" s="24">
        <v>1</v>
      </c>
      <c r="H95" s="8" t="s">
        <v>407</v>
      </c>
      <c r="I95" s="8" t="s">
        <v>448</v>
      </c>
      <c r="J95" s="3"/>
      <c r="K95" s="4"/>
      <c r="L95" s="6" t="s">
        <v>78</v>
      </c>
    </row>
    <row r="96" ht="48" customHeight="1" spans="1:12">
      <c r="A96" s="72"/>
      <c r="B96" s="25">
        <v>46272</v>
      </c>
      <c r="C96" s="25">
        <v>46278</v>
      </c>
      <c r="D96" s="8" t="s">
        <v>423</v>
      </c>
      <c r="E96" s="8">
        <v>5</v>
      </c>
      <c r="F96" s="69">
        <v>40</v>
      </c>
      <c r="G96" s="24">
        <v>1</v>
      </c>
      <c r="H96" s="8" t="s">
        <v>407</v>
      </c>
      <c r="I96" s="8" t="s">
        <v>449</v>
      </c>
      <c r="J96" s="3"/>
      <c r="K96" s="4"/>
      <c r="L96" s="6" t="s">
        <v>78</v>
      </c>
    </row>
    <row r="97" ht="20" customHeight="1" spans="1:12">
      <c r="A97" s="72"/>
      <c r="B97" s="25">
        <v>46279</v>
      </c>
      <c r="C97" s="25">
        <v>46285</v>
      </c>
      <c r="D97" s="8" t="s">
        <v>436</v>
      </c>
      <c r="E97" s="8">
        <v>0</v>
      </c>
      <c r="F97" s="69">
        <v>0</v>
      </c>
      <c r="G97" s="24">
        <v>0</v>
      </c>
      <c r="H97" s="8" t="s">
        <v>437</v>
      </c>
      <c r="I97" s="8" t="s">
        <v>438</v>
      </c>
      <c r="J97" s="3"/>
      <c r="K97" s="4"/>
      <c r="L97" s="6" t="s">
        <v>78</v>
      </c>
    </row>
    <row r="98" ht="20" customHeight="1" spans="1:12">
      <c r="A98" s="72"/>
      <c r="B98" s="25">
        <v>46286</v>
      </c>
      <c r="C98" s="25">
        <v>46292</v>
      </c>
      <c r="D98" s="8" t="s">
        <v>436</v>
      </c>
      <c r="E98" s="8">
        <v>0</v>
      </c>
      <c r="F98" s="69">
        <v>0</v>
      </c>
      <c r="G98" s="24">
        <v>0</v>
      </c>
      <c r="H98" s="8" t="s">
        <v>437</v>
      </c>
      <c r="I98" s="8" t="s">
        <v>438</v>
      </c>
      <c r="J98" s="3"/>
      <c r="K98" s="4"/>
      <c r="L98" s="6" t="s">
        <v>78</v>
      </c>
    </row>
    <row r="99" ht="20" customHeight="1" spans="1:12">
      <c r="A99" s="72"/>
      <c r="B99" s="25">
        <v>46293</v>
      </c>
      <c r="C99" s="25">
        <v>46299</v>
      </c>
      <c r="D99" s="8" t="s">
        <v>436</v>
      </c>
      <c r="E99" s="8">
        <v>0</v>
      </c>
      <c r="F99" s="69">
        <v>0</v>
      </c>
      <c r="G99" s="24">
        <v>0</v>
      </c>
      <c r="H99" s="8" t="s">
        <v>437</v>
      </c>
      <c r="I99" s="8" t="s">
        <v>438</v>
      </c>
      <c r="J99" s="3"/>
      <c r="K99" s="4"/>
      <c r="L99" s="6" t="s">
        <v>78</v>
      </c>
    </row>
    <row r="100" ht="20" customHeight="1" spans="1:12">
      <c r="A100" s="72"/>
      <c r="B100" s="25">
        <v>46300</v>
      </c>
      <c r="C100" s="25">
        <v>46306</v>
      </c>
      <c r="D100" s="8" t="s">
        <v>436</v>
      </c>
      <c r="E100" s="8">
        <v>0</v>
      </c>
      <c r="F100" s="69">
        <v>0</v>
      </c>
      <c r="G100" s="24">
        <v>0</v>
      </c>
      <c r="H100" s="8" t="s">
        <v>437</v>
      </c>
      <c r="I100" s="8" t="s">
        <v>438</v>
      </c>
      <c r="J100" s="3"/>
      <c r="K100" s="4"/>
      <c r="L100" s="6" t="s">
        <v>78</v>
      </c>
    </row>
    <row r="101" ht="48" customHeight="1" spans="1:12">
      <c r="A101" s="72"/>
      <c r="B101" s="25">
        <v>46307</v>
      </c>
      <c r="C101" s="25">
        <v>46313</v>
      </c>
      <c r="D101" s="8" t="s">
        <v>423</v>
      </c>
      <c r="E101" s="8">
        <v>16</v>
      </c>
      <c r="F101" s="69">
        <v>40</v>
      </c>
      <c r="G101" s="24">
        <v>1</v>
      </c>
      <c r="H101" s="8" t="s">
        <v>407</v>
      </c>
      <c r="I101" s="8" t="s">
        <v>450</v>
      </c>
      <c r="J101" s="3"/>
      <c r="K101" s="4"/>
      <c r="L101" s="6" t="s">
        <v>78</v>
      </c>
    </row>
    <row r="102" ht="48" customHeight="1" spans="1:12">
      <c r="A102" s="72"/>
      <c r="B102" s="25">
        <v>46314</v>
      </c>
      <c r="C102" s="25">
        <v>46320</v>
      </c>
      <c r="D102" s="8" t="s">
        <v>423</v>
      </c>
      <c r="E102" s="8">
        <v>16</v>
      </c>
      <c r="F102" s="69">
        <v>40</v>
      </c>
      <c r="G102" s="24">
        <v>1</v>
      </c>
      <c r="H102" s="8" t="s">
        <v>407</v>
      </c>
      <c r="I102" s="8" t="s">
        <v>450</v>
      </c>
      <c r="J102" s="3"/>
      <c r="K102" s="4"/>
      <c r="L102" s="6" t="s">
        <v>78</v>
      </c>
    </row>
    <row r="103" ht="20" customHeight="1" spans="1:12">
      <c r="A103" s="72"/>
      <c r="B103" s="25">
        <v>46321</v>
      </c>
      <c r="C103" s="25">
        <v>46327</v>
      </c>
      <c r="D103" s="8" t="s">
        <v>436</v>
      </c>
      <c r="E103" s="8">
        <v>0</v>
      </c>
      <c r="F103" s="69">
        <v>0</v>
      </c>
      <c r="G103" s="24">
        <v>0</v>
      </c>
      <c r="H103" s="8" t="s">
        <v>437</v>
      </c>
      <c r="I103" s="8" t="s">
        <v>438</v>
      </c>
      <c r="J103" s="3"/>
      <c r="K103" s="4"/>
      <c r="L103" s="6" t="s">
        <v>78</v>
      </c>
    </row>
    <row r="104" ht="20" customHeight="1" spans="1:12">
      <c r="A104" s="72"/>
      <c r="B104" s="25">
        <v>46328</v>
      </c>
      <c r="C104" s="25">
        <v>46334</v>
      </c>
      <c r="D104" s="8" t="s">
        <v>436</v>
      </c>
      <c r="E104" s="8">
        <v>0</v>
      </c>
      <c r="F104" s="69">
        <v>0</v>
      </c>
      <c r="G104" s="24">
        <v>0</v>
      </c>
      <c r="H104" s="8" t="s">
        <v>437</v>
      </c>
      <c r="I104" s="8" t="s">
        <v>438</v>
      </c>
      <c r="J104" s="3"/>
      <c r="K104" s="4"/>
      <c r="L104" s="6" t="s">
        <v>78</v>
      </c>
    </row>
    <row r="105" ht="20" customHeight="1" spans="1:12">
      <c r="A105" s="72"/>
      <c r="B105" s="25">
        <v>46335</v>
      </c>
      <c r="C105" s="25">
        <v>46341</v>
      </c>
      <c r="D105" s="8" t="s">
        <v>436</v>
      </c>
      <c r="E105" s="8">
        <v>0</v>
      </c>
      <c r="F105" s="69">
        <v>0</v>
      </c>
      <c r="G105" s="24">
        <v>0</v>
      </c>
      <c r="H105" s="8" t="s">
        <v>437</v>
      </c>
      <c r="I105" s="8" t="s">
        <v>438</v>
      </c>
      <c r="J105" s="3"/>
      <c r="K105" s="4"/>
      <c r="L105" s="6" t="s">
        <v>78</v>
      </c>
    </row>
    <row r="106" ht="48" customHeight="1" spans="1:12">
      <c r="A106" s="72"/>
      <c r="B106" s="25">
        <v>46342</v>
      </c>
      <c r="C106" s="25">
        <v>46348</v>
      </c>
      <c r="D106" s="8" t="s">
        <v>423</v>
      </c>
      <c r="E106" s="8">
        <v>53</v>
      </c>
      <c r="F106" s="69">
        <v>40</v>
      </c>
      <c r="G106" s="24">
        <v>1</v>
      </c>
      <c r="H106" s="8" t="s">
        <v>407</v>
      </c>
      <c r="I106" s="8" t="s">
        <v>451</v>
      </c>
      <c r="J106" s="3"/>
      <c r="K106" s="4"/>
      <c r="L106" s="6" t="s">
        <v>78</v>
      </c>
    </row>
    <row r="107" ht="48" customHeight="1" spans="1:12">
      <c r="A107" s="73"/>
      <c r="B107" s="25">
        <v>46349</v>
      </c>
      <c r="C107" s="25">
        <v>46355</v>
      </c>
      <c r="D107" s="8" t="s">
        <v>423</v>
      </c>
      <c r="E107" s="8">
        <v>53</v>
      </c>
      <c r="F107" s="69">
        <v>40</v>
      </c>
      <c r="G107" s="24">
        <v>1</v>
      </c>
      <c r="H107" s="8" t="s">
        <v>407</v>
      </c>
      <c r="I107" s="8" t="s">
        <v>451</v>
      </c>
      <c r="J107" s="3"/>
      <c r="K107" s="4"/>
      <c r="L107" s="6" t="s">
        <v>78</v>
      </c>
    </row>
    <row r="108" ht="48" customHeight="1" spans="1:12">
      <c r="A108" s="71" t="s">
        <v>77</v>
      </c>
      <c r="B108" s="25">
        <v>46195</v>
      </c>
      <c r="C108" s="25">
        <v>46201</v>
      </c>
      <c r="D108" s="8" t="s">
        <v>423</v>
      </c>
      <c r="E108" s="8">
        <v>4</v>
      </c>
      <c r="F108" s="69">
        <v>40</v>
      </c>
      <c r="G108" s="24">
        <v>1</v>
      </c>
      <c r="H108" s="8" t="s">
        <v>407</v>
      </c>
      <c r="I108" s="8" t="s">
        <v>424</v>
      </c>
      <c r="J108" s="3"/>
      <c r="K108" s="4"/>
      <c r="L108" s="6" t="s">
        <v>77</v>
      </c>
    </row>
    <row r="109" ht="48" customHeight="1" spans="1:12">
      <c r="A109" s="72"/>
      <c r="B109" s="25">
        <v>46202</v>
      </c>
      <c r="C109" s="25">
        <v>46208</v>
      </c>
      <c r="D109" s="8" t="s">
        <v>423</v>
      </c>
      <c r="E109" s="8">
        <v>4</v>
      </c>
      <c r="F109" s="69">
        <v>40</v>
      </c>
      <c r="G109" s="24">
        <v>1</v>
      </c>
      <c r="H109" s="8" t="s">
        <v>407</v>
      </c>
      <c r="I109" s="8" t="s">
        <v>424</v>
      </c>
      <c r="J109" s="3"/>
      <c r="K109" s="4"/>
      <c r="L109" s="6" t="s">
        <v>77</v>
      </c>
    </row>
    <row r="110" ht="48" customHeight="1" spans="1:12">
      <c r="A110" s="72"/>
      <c r="B110" s="25">
        <v>46209</v>
      </c>
      <c r="C110" s="25">
        <v>46215</v>
      </c>
      <c r="D110" s="8" t="s">
        <v>423</v>
      </c>
      <c r="E110" s="8">
        <v>25</v>
      </c>
      <c r="F110" s="69">
        <v>40</v>
      </c>
      <c r="G110" s="24">
        <v>1</v>
      </c>
      <c r="H110" s="8" t="s">
        <v>407</v>
      </c>
      <c r="I110" s="8" t="s">
        <v>452</v>
      </c>
      <c r="J110" s="3"/>
      <c r="K110" s="4"/>
      <c r="L110" s="6" t="s">
        <v>77</v>
      </c>
    </row>
    <row r="111" ht="48" customHeight="1" spans="1:12">
      <c r="A111" s="72"/>
      <c r="B111" s="25">
        <v>46216</v>
      </c>
      <c r="C111" s="25">
        <v>46222</v>
      </c>
      <c r="D111" s="8" t="s">
        <v>423</v>
      </c>
      <c r="E111" s="8">
        <v>25</v>
      </c>
      <c r="F111" s="69">
        <v>40</v>
      </c>
      <c r="G111" s="24">
        <v>1</v>
      </c>
      <c r="H111" s="8" t="s">
        <v>407</v>
      </c>
      <c r="I111" s="8" t="s">
        <v>452</v>
      </c>
      <c r="J111" s="3"/>
      <c r="K111" s="4"/>
      <c r="L111" s="6" t="s">
        <v>77</v>
      </c>
    </row>
    <row r="112" ht="48" customHeight="1" spans="1:12">
      <c r="A112" s="72"/>
      <c r="B112" s="25">
        <v>46223</v>
      </c>
      <c r="C112" s="25">
        <v>46229</v>
      </c>
      <c r="D112" s="8" t="s">
        <v>423</v>
      </c>
      <c r="E112" s="8">
        <v>33</v>
      </c>
      <c r="F112" s="69">
        <v>40</v>
      </c>
      <c r="G112" s="24">
        <v>1</v>
      </c>
      <c r="H112" s="8" t="s">
        <v>407</v>
      </c>
      <c r="I112" s="8" t="s">
        <v>453</v>
      </c>
      <c r="J112" s="3"/>
      <c r="K112" s="4"/>
      <c r="L112" s="6" t="s">
        <v>77</v>
      </c>
    </row>
    <row r="113" ht="48" customHeight="1" spans="1:12">
      <c r="A113" s="72"/>
      <c r="B113" s="25">
        <v>46230</v>
      </c>
      <c r="C113" s="25">
        <v>46236</v>
      </c>
      <c r="D113" s="8" t="s">
        <v>423</v>
      </c>
      <c r="E113" s="8">
        <v>31</v>
      </c>
      <c r="F113" s="69">
        <v>40</v>
      </c>
      <c r="G113" s="24">
        <v>1</v>
      </c>
      <c r="H113" s="8" t="s">
        <v>407</v>
      </c>
      <c r="I113" s="8" t="s">
        <v>454</v>
      </c>
      <c r="J113" s="3"/>
      <c r="K113" s="4"/>
      <c r="L113" s="6" t="s">
        <v>77</v>
      </c>
    </row>
    <row r="114" ht="48" customHeight="1" spans="1:12">
      <c r="A114" s="72"/>
      <c r="B114" s="25">
        <v>46237</v>
      </c>
      <c r="C114" s="25">
        <v>46243</v>
      </c>
      <c r="D114" s="8" t="s">
        <v>423</v>
      </c>
      <c r="E114" s="8">
        <v>34</v>
      </c>
      <c r="F114" s="69">
        <v>40</v>
      </c>
      <c r="G114" s="24">
        <v>1</v>
      </c>
      <c r="H114" s="8" t="s">
        <v>407</v>
      </c>
      <c r="I114" s="8" t="s">
        <v>455</v>
      </c>
      <c r="J114" s="3"/>
      <c r="K114" s="4"/>
      <c r="L114" s="6" t="s">
        <v>77</v>
      </c>
    </row>
    <row r="115" ht="48" customHeight="1" spans="1:12">
      <c r="A115" s="72"/>
      <c r="B115" s="25">
        <v>46244</v>
      </c>
      <c r="C115" s="25">
        <v>46250</v>
      </c>
      <c r="D115" s="8" t="s">
        <v>423</v>
      </c>
      <c r="E115" s="8">
        <v>33</v>
      </c>
      <c r="F115" s="69">
        <v>40</v>
      </c>
      <c r="G115" s="24">
        <v>1</v>
      </c>
      <c r="H115" s="8" t="s">
        <v>407</v>
      </c>
      <c r="I115" s="8" t="s">
        <v>456</v>
      </c>
      <c r="J115" s="3"/>
      <c r="K115" s="4"/>
      <c r="L115" s="6" t="s">
        <v>77</v>
      </c>
    </row>
    <row r="116" ht="48" customHeight="1" spans="1:12">
      <c r="A116" s="72"/>
      <c r="B116" s="25">
        <v>46251</v>
      </c>
      <c r="C116" s="25">
        <v>46257</v>
      </c>
      <c r="D116" s="8" t="s">
        <v>423</v>
      </c>
      <c r="E116" s="8">
        <v>33</v>
      </c>
      <c r="F116" s="69">
        <v>40</v>
      </c>
      <c r="G116" s="24">
        <v>1</v>
      </c>
      <c r="H116" s="8" t="s">
        <v>407</v>
      </c>
      <c r="I116" s="8" t="s">
        <v>456</v>
      </c>
      <c r="J116" s="3"/>
      <c r="K116" s="4"/>
      <c r="L116" s="6" t="s">
        <v>77</v>
      </c>
    </row>
    <row r="117" ht="48" customHeight="1" spans="1:12">
      <c r="A117" s="72"/>
      <c r="B117" s="25">
        <v>46258</v>
      </c>
      <c r="C117" s="25">
        <v>46264</v>
      </c>
      <c r="D117" s="8" t="s">
        <v>423</v>
      </c>
      <c r="E117" s="8">
        <v>30</v>
      </c>
      <c r="F117" s="69">
        <v>40</v>
      </c>
      <c r="G117" s="24">
        <v>1</v>
      </c>
      <c r="H117" s="8" t="s">
        <v>407</v>
      </c>
      <c r="I117" s="8" t="s">
        <v>457</v>
      </c>
      <c r="J117" s="3"/>
      <c r="K117" s="4"/>
      <c r="L117" s="6" t="s">
        <v>77</v>
      </c>
    </row>
    <row r="118" ht="48" customHeight="1" spans="1:12">
      <c r="A118" s="72"/>
      <c r="B118" s="25">
        <v>46265</v>
      </c>
      <c r="C118" s="25">
        <v>46271</v>
      </c>
      <c r="D118" s="8" t="s">
        <v>423</v>
      </c>
      <c r="E118" s="8">
        <v>16</v>
      </c>
      <c r="F118" s="69">
        <v>40</v>
      </c>
      <c r="G118" s="24">
        <v>1</v>
      </c>
      <c r="H118" s="8" t="s">
        <v>407</v>
      </c>
      <c r="I118" s="8" t="s">
        <v>458</v>
      </c>
      <c r="J118" s="3"/>
      <c r="K118" s="4"/>
      <c r="L118" s="6" t="s">
        <v>77</v>
      </c>
    </row>
    <row r="119" ht="48" customHeight="1" spans="1:12">
      <c r="A119" s="72"/>
      <c r="B119" s="25">
        <v>46272</v>
      </c>
      <c r="C119" s="25">
        <v>46278</v>
      </c>
      <c r="D119" s="8" t="s">
        <v>423</v>
      </c>
      <c r="E119" s="8">
        <v>23</v>
      </c>
      <c r="F119" s="69">
        <v>40</v>
      </c>
      <c r="G119" s="24">
        <v>1</v>
      </c>
      <c r="H119" s="8" t="s">
        <v>407</v>
      </c>
      <c r="I119" s="8" t="s">
        <v>432</v>
      </c>
      <c r="J119" s="3"/>
      <c r="K119" s="4"/>
      <c r="L119" s="6" t="s">
        <v>77</v>
      </c>
    </row>
    <row r="120" ht="48" customHeight="1" spans="1:12">
      <c r="A120" s="72"/>
      <c r="B120" s="25">
        <v>46279</v>
      </c>
      <c r="C120" s="25">
        <v>46285</v>
      </c>
      <c r="D120" s="8" t="s">
        <v>423</v>
      </c>
      <c r="E120" s="8">
        <v>15</v>
      </c>
      <c r="F120" s="69">
        <v>40</v>
      </c>
      <c r="G120" s="24">
        <v>1</v>
      </c>
      <c r="H120" s="8" t="s">
        <v>407</v>
      </c>
      <c r="I120" s="8" t="s">
        <v>433</v>
      </c>
      <c r="J120" s="3"/>
      <c r="K120" s="4"/>
      <c r="L120" s="6" t="s">
        <v>77</v>
      </c>
    </row>
    <row r="121" ht="48" customHeight="1" spans="1:12">
      <c r="A121" s="72"/>
      <c r="B121" s="25">
        <v>46286</v>
      </c>
      <c r="C121" s="25">
        <v>46292</v>
      </c>
      <c r="D121" s="8" t="s">
        <v>423</v>
      </c>
      <c r="E121" s="8">
        <v>7</v>
      </c>
      <c r="F121" s="69">
        <v>40</v>
      </c>
      <c r="G121" s="24">
        <v>1</v>
      </c>
      <c r="H121" s="8" t="s">
        <v>407</v>
      </c>
      <c r="I121" s="8" t="s">
        <v>434</v>
      </c>
      <c r="J121" s="3"/>
      <c r="K121" s="4"/>
      <c r="L121" s="6" t="s">
        <v>77</v>
      </c>
    </row>
    <row r="122" ht="48" customHeight="1" spans="1:12">
      <c r="A122" s="72"/>
      <c r="B122" s="25">
        <v>46293</v>
      </c>
      <c r="C122" s="25">
        <v>46299</v>
      </c>
      <c r="D122" s="8" t="s">
        <v>423</v>
      </c>
      <c r="E122" s="8">
        <v>8</v>
      </c>
      <c r="F122" s="69">
        <v>40</v>
      </c>
      <c r="G122" s="24">
        <v>1</v>
      </c>
      <c r="H122" s="8" t="s">
        <v>407</v>
      </c>
      <c r="I122" s="8" t="s">
        <v>459</v>
      </c>
      <c r="J122" s="3"/>
      <c r="K122" s="4"/>
      <c r="L122" s="6" t="s">
        <v>77</v>
      </c>
    </row>
    <row r="123" ht="48" customHeight="1" spans="1:12">
      <c r="A123" s="72"/>
      <c r="B123" s="25">
        <v>46300</v>
      </c>
      <c r="C123" s="25">
        <v>46306</v>
      </c>
      <c r="D123" s="8" t="s">
        <v>423</v>
      </c>
      <c r="E123" s="8">
        <v>8</v>
      </c>
      <c r="F123" s="69">
        <v>40</v>
      </c>
      <c r="G123" s="24">
        <v>1</v>
      </c>
      <c r="H123" s="8" t="s">
        <v>407</v>
      </c>
      <c r="I123" s="8" t="s">
        <v>459</v>
      </c>
      <c r="J123" s="3"/>
      <c r="K123" s="4"/>
      <c r="L123" s="6" t="s">
        <v>77</v>
      </c>
    </row>
    <row r="124" ht="48" customHeight="1" spans="1:12">
      <c r="A124" s="72"/>
      <c r="B124" s="25">
        <v>46307</v>
      </c>
      <c r="C124" s="25">
        <v>46313</v>
      </c>
      <c r="D124" s="8" t="s">
        <v>423</v>
      </c>
      <c r="E124" s="8">
        <v>33</v>
      </c>
      <c r="F124" s="69">
        <v>40</v>
      </c>
      <c r="G124" s="24">
        <v>1</v>
      </c>
      <c r="H124" s="8" t="s">
        <v>407</v>
      </c>
      <c r="I124" s="8" t="s">
        <v>460</v>
      </c>
      <c r="J124" s="3"/>
      <c r="K124" s="4"/>
      <c r="L124" s="6" t="s">
        <v>77</v>
      </c>
    </row>
    <row r="125" ht="48" customHeight="1" spans="1:12">
      <c r="A125" s="72"/>
      <c r="B125" s="25">
        <v>46314</v>
      </c>
      <c r="C125" s="25">
        <v>46320</v>
      </c>
      <c r="D125" s="8" t="s">
        <v>423</v>
      </c>
      <c r="E125" s="8">
        <v>32</v>
      </c>
      <c r="F125" s="69">
        <v>40</v>
      </c>
      <c r="G125" s="24">
        <v>1</v>
      </c>
      <c r="H125" s="8" t="s">
        <v>407</v>
      </c>
      <c r="I125" s="8" t="s">
        <v>435</v>
      </c>
      <c r="J125" s="3"/>
      <c r="K125" s="4"/>
      <c r="L125" s="6" t="s">
        <v>77</v>
      </c>
    </row>
    <row r="126" ht="48" customHeight="1" spans="1:12">
      <c r="A126" s="72"/>
      <c r="B126" s="25">
        <v>46321</v>
      </c>
      <c r="C126" s="25">
        <v>46327</v>
      </c>
      <c r="D126" s="8" t="s">
        <v>423</v>
      </c>
      <c r="E126" s="8">
        <v>32</v>
      </c>
      <c r="F126" s="69">
        <v>40</v>
      </c>
      <c r="G126" s="24">
        <v>1</v>
      </c>
      <c r="H126" s="8" t="s">
        <v>407</v>
      </c>
      <c r="I126" s="8" t="s">
        <v>435</v>
      </c>
      <c r="J126" s="3"/>
      <c r="K126" s="4"/>
      <c r="L126" s="6" t="s">
        <v>77</v>
      </c>
    </row>
    <row r="127" ht="48" customHeight="1" spans="1:12">
      <c r="A127" s="72"/>
      <c r="B127" s="25">
        <v>46328</v>
      </c>
      <c r="C127" s="25">
        <v>46334</v>
      </c>
      <c r="D127" s="8" t="s">
        <v>423</v>
      </c>
      <c r="E127" s="8">
        <v>32</v>
      </c>
      <c r="F127" s="69">
        <v>40</v>
      </c>
      <c r="G127" s="24">
        <v>1</v>
      </c>
      <c r="H127" s="8" t="s">
        <v>407</v>
      </c>
      <c r="I127" s="8" t="s">
        <v>435</v>
      </c>
      <c r="J127" s="3"/>
      <c r="K127" s="4"/>
      <c r="L127" s="6" t="s">
        <v>77</v>
      </c>
    </row>
    <row r="128" ht="48" customHeight="1" spans="1:12">
      <c r="A128" s="72"/>
      <c r="B128" s="25">
        <v>46335</v>
      </c>
      <c r="C128" s="25">
        <v>46341</v>
      </c>
      <c r="D128" s="8" t="s">
        <v>423</v>
      </c>
      <c r="E128" s="8">
        <v>32</v>
      </c>
      <c r="F128" s="69">
        <v>40</v>
      </c>
      <c r="G128" s="24">
        <v>1</v>
      </c>
      <c r="H128" s="8" t="s">
        <v>407</v>
      </c>
      <c r="I128" s="8" t="s">
        <v>435</v>
      </c>
      <c r="J128" s="3"/>
      <c r="K128" s="4"/>
      <c r="L128" s="6" t="s">
        <v>77</v>
      </c>
    </row>
    <row r="129" ht="20" customHeight="1" spans="1:12">
      <c r="A129" s="72"/>
      <c r="B129" s="25">
        <v>46342</v>
      </c>
      <c r="C129" s="25">
        <v>46348</v>
      </c>
      <c r="D129" s="8" t="s">
        <v>436</v>
      </c>
      <c r="E129" s="8">
        <v>0</v>
      </c>
      <c r="F129" s="69">
        <v>0</v>
      </c>
      <c r="G129" s="24">
        <v>0</v>
      </c>
      <c r="H129" s="8" t="s">
        <v>437</v>
      </c>
      <c r="I129" s="8" t="s">
        <v>438</v>
      </c>
      <c r="J129" s="3"/>
      <c r="K129" s="4"/>
      <c r="L129" s="6" t="s">
        <v>77</v>
      </c>
    </row>
    <row r="130" ht="20" customHeight="1" spans="1:12">
      <c r="A130" s="73"/>
      <c r="B130" s="25">
        <v>46349</v>
      </c>
      <c r="C130" s="25">
        <v>46355</v>
      </c>
      <c r="D130" s="8" t="s">
        <v>436</v>
      </c>
      <c r="E130" s="8">
        <v>0</v>
      </c>
      <c r="F130" s="69">
        <v>0</v>
      </c>
      <c r="G130" s="24">
        <v>0</v>
      </c>
      <c r="H130" s="8" t="s">
        <v>437</v>
      </c>
      <c r="I130" s="8" t="s">
        <v>438</v>
      </c>
      <c r="J130" s="3"/>
      <c r="K130" s="4"/>
      <c r="L130" s="6" t="s">
        <v>77</v>
      </c>
    </row>
    <row r="131" ht="20" customHeight="1" spans="1:12">
      <c r="A131" s="71" t="s">
        <v>75</v>
      </c>
      <c r="B131" s="25">
        <v>46195</v>
      </c>
      <c r="C131" s="25">
        <v>46201</v>
      </c>
      <c r="D131" s="8" t="s">
        <v>436</v>
      </c>
      <c r="E131" s="8">
        <v>0</v>
      </c>
      <c r="F131" s="69">
        <v>0</v>
      </c>
      <c r="G131" s="24">
        <v>0</v>
      </c>
      <c r="H131" s="8" t="s">
        <v>437</v>
      </c>
      <c r="I131" s="8" t="s">
        <v>438</v>
      </c>
      <c r="J131" s="3"/>
      <c r="K131" s="4"/>
      <c r="L131" s="6" t="s">
        <v>75</v>
      </c>
    </row>
    <row r="132" ht="48" customHeight="1" spans="1:12">
      <c r="A132" s="72"/>
      <c r="B132" s="25">
        <v>46202</v>
      </c>
      <c r="C132" s="25">
        <v>46208</v>
      </c>
      <c r="D132" s="8" t="s">
        <v>423</v>
      </c>
      <c r="E132" s="8">
        <v>34</v>
      </c>
      <c r="F132" s="69">
        <v>40</v>
      </c>
      <c r="G132" s="24">
        <v>1</v>
      </c>
      <c r="H132" s="8" t="s">
        <v>407</v>
      </c>
      <c r="I132" s="8" t="s">
        <v>461</v>
      </c>
      <c r="J132" s="3"/>
      <c r="K132" s="4"/>
      <c r="L132" s="6" t="s">
        <v>75</v>
      </c>
    </row>
    <row r="133" ht="48" customHeight="1" spans="1:12">
      <c r="A133" s="72"/>
      <c r="B133" s="25">
        <v>46209</v>
      </c>
      <c r="C133" s="25">
        <v>46215</v>
      </c>
      <c r="D133" s="8" t="s">
        <v>423</v>
      </c>
      <c r="E133" s="8">
        <v>26</v>
      </c>
      <c r="F133" s="69">
        <v>40</v>
      </c>
      <c r="G133" s="24">
        <v>1</v>
      </c>
      <c r="H133" s="8" t="s">
        <v>407</v>
      </c>
      <c r="I133" s="8" t="s">
        <v>462</v>
      </c>
      <c r="J133" s="3"/>
      <c r="K133" s="4"/>
      <c r="L133" s="6" t="s">
        <v>75</v>
      </c>
    </row>
    <row r="134" ht="48" customHeight="1" spans="1:12">
      <c r="A134" s="72"/>
      <c r="B134" s="25">
        <v>46216</v>
      </c>
      <c r="C134" s="25">
        <v>46222</v>
      </c>
      <c r="D134" s="8" t="s">
        <v>423</v>
      </c>
      <c r="E134" s="8">
        <v>5</v>
      </c>
      <c r="F134" s="69">
        <v>40</v>
      </c>
      <c r="G134" s="24">
        <v>1</v>
      </c>
      <c r="H134" s="8" t="s">
        <v>407</v>
      </c>
      <c r="I134" s="8" t="s">
        <v>449</v>
      </c>
      <c r="J134" s="3"/>
      <c r="K134" s="4"/>
      <c r="L134" s="6" t="s">
        <v>75</v>
      </c>
    </row>
    <row r="135" ht="48" customHeight="1" spans="1:12">
      <c r="A135" s="72"/>
      <c r="B135" s="25">
        <v>46223</v>
      </c>
      <c r="C135" s="25">
        <v>46229</v>
      </c>
      <c r="D135" s="8" t="s">
        <v>423</v>
      </c>
      <c r="E135" s="8">
        <v>15</v>
      </c>
      <c r="F135" s="69">
        <v>40</v>
      </c>
      <c r="G135" s="24">
        <v>1</v>
      </c>
      <c r="H135" s="8" t="s">
        <v>407</v>
      </c>
      <c r="I135" s="8" t="s">
        <v>433</v>
      </c>
      <c r="J135" s="3"/>
      <c r="K135" s="4"/>
      <c r="L135" s="6" t="s">
        <v>75</v>
      </c>
    </row>
    <row r="136" ht="48" customHeight="1" spans="1:12">
      <c r="A136" s="72"/>
      <c r="B136" s="25">
        <v>46230</v>
      </c>
      <c r="C136" s="25">
        <v>46236</v>
      </c>
      <c r="D136" s="8" t="s">
        <v>423</v>
      </c>
      <c r="E136" s="8">
        <v>51</v>
      </c>
      <c r="F136" s="69">
        <v>40</v>
      </c>
      <c r="G136" s="24">
        <v>1</v>
      </c>
      <c r="H136" s="8" t="s">
        <v>407</v>
      </c>
      <c r="I136" s="8" t="s">
        <v>463</v>
      </c>
      <c r="J136" s="3"/>
      <c r="K136" s="4"/>
      <c r="L136" s="6" t="s">
        <v>75</v>
      </c>
    </row>
    <row r="137" ht="48" customHeight="1" spans="1:12">
      <c r="A137" s="72"/>
      <c r="B137" s="25">
        <v>46237</v>
      </c>
      <c r="C137" s="25">
        <v>46243</v>
      </c>
      <c r="D137" s="8" t="s">
        <v>423</v>
      </c>
      <c r="E137" s="8">
        <v>51</v>
      </c>
      <c r="F137" s="69">
        <v>40</v>
      </c>
      <c r="G137" s="24">
        <v>1</v>
      </c>
      <c r="H137" s="8" t="s">
        <v>407</v>
      </c>
      <c r="I137" s="8" t="s">
        <v>463</v>
      </c>
      <c r="J137" s="3"/>
      <c r="K137" s="4"/>
      <c r="L137" s="6" t="s">
        <v>75</v>
      </c>
    </row>
    <row r="138" ht="20" customHeight="1" spans="1:12">
      <c r="A138" s="72"/>
      <c r="B138" s="25">
        <v>46244</v>
      </c>
      <c r="C138" s="25">
        <v>46250</v>
      </c>
      <c r="D138" s="8" t="s">
        <v>436</v>
      </c>
      <c r="E138" s="8">
        <v>0</v>
      </c>
      <c r="F138" s="69">
        <v>0</v>
      </c>
      <c r="G138" s="24">
        <v>0</v>
      </c>
      <c r="H138" s="8" t="s">
        <v>437</v>
      </c>
      <c r="I138" s="8" t="s">
        <v>438</v>
      </c>
      <c r="J138" s="3"/>
      <c r="K138" s="4"/>
      <c r="L138" s="6" t="s">
        <v>75</v>
      </c>
    </row>
    <row r="139" ht="20" customHeight="1" spans="1:12">
      <c r="A139" s="72"/>
      <c r="B139" s="25">
        <v>46251</v>
      </c>
      <c r="C139" s="25">
        <v>46257</v>
      </c>
      <c r="D139" s="8" t="s">
        <v>436</v>
      </c>
      <c r="E139" s="8">
        <v>0</v>
      </c>
      <c r="F139" s="69">
        <v>0</v>
      </c>
      <c r="G139" s="24">
        <v>0</v>
      </c>
      <c r="H139" s="8" t="s">
        <v>437</v>
      </c>
      <c r="I139" s="8" t="s">
        <v>438</v>
      </c>
      <c r="J139" s="3"/>
      <c r="K139" s="4"/>
      <c r="L139" s="6" t="s">
        <v>75</v>
      </c>
    </row>
    <row r="140" ht="20" customHeight="1" spans="1:12">
      <c r="A140" s="72"/>
      <c r="B140" s="25">
        <v>46258</v>
      </c>
      <c r="C140" s="25">
        <v>46264</v>
      </c>
      <c r="D140" s="8" t="s">
        <v>436</v>
      </c>
      <c r="E140" s="8">
        <v>0</v>
      </c>
      <c r="F140" s="69">
        <v>0</v>
      </c>
      <c r="G140" s="24">
        <v>0</v>
      </c>
      <c r="H140" s="8" t="s">
        <v>437</v>
      </c>
      <c r="I140" s="8" t="s">
        <v>438</v>
      </c>
      <c r="J140" s="3"/>
      <c r="K140" s="4"/>
      <c r="L140" s="6" t="s">
        <v>75</v>
      </c>
    </row>
    <row r="141" ht="20" customHeight="1" spans="1:12">
      <c r="A141" s="72"/>
      <c r="B141" s="25">
        <v>46265</v>
      </c>
      <c r="C141" s="25">
        <v>46271</v>
      </c>
      <c r="D141" s="8" t="s">
        <v>436</v>
      </c>
      <c r="E141" s="8">
        <v>0</v>
      </c>
      <c r="F141" s="69">
        <v>0</v>
      </c>
      <c r="G141" s="24">
        <v>0</v>
      </c>
      <c r="H141" s="8" t="s">
        <v>437</v>
      </c>
      <c r="I141" s="8" t="s">
        <v>438</v>
      </c>
      <c r="J141" s="3"/>
      <c r="K141" s="4"/>
      <c r="L141" s="6" t="s">
        <v>75</v>
      </c>
    </row>
    <row r="142" ht="20" customHeight="1" spans="1:12">
      <c r="A142" s="72"/>
      <c r="B142" s="25">
        <v>46272</v>
      </c>
      <c r="C142" s="25">
        <v>46278</v>
      </c>
      <c r="D142" s="8" t="s">
        <v>436</v>
      </c>
      <c r="E142" s="8">
        <v>0</v>
      </c>
      <c r="F142" s="69">
        <v>0</v>
      </c>
      <c r="G142" s="24">
        <v>0</v>
      </c>
      <c r="H142" s="8" t="s">
        <v>437</v>
      </c>
      <c r="I142" s="8" t="s">
        <v>438</v>
      </c>
      <c r="J142" s="3"/>
      <c r="K142" s="4"/>
      <c r="L142" s="6" t="s">
        <v>75</v>
      </c>
    </row>
    <row r="143" ht="20" customHeight="1" spans="1:12">
      <c r="A143" s="72"/>
      <c r="B143" s="25">
        <v>46279</v>
      </c>
      <c r="C143" s="25">
        <v>46285</v>
      </c>
      <c r="D143" s="8" t="s">
        <v>436</v>
      </c>
      <c r="E143" s="8">
        <v>0</v>
      </c>
      <c r="F143" s="69">
        <v>0</v>
      </c>
      <c r="G143" s="24">
        <v>0</v>
      </c>
      <c r="H143" s="8" t="s">
        <v>437</v>
      </c>
      <c r="I143" s="8" t="s">
        <v>438</v>
      </c>
      <c r="J143" s="3"/>
      <c r="K143" s="4"/>
      <c r="L143" s="6" t="s">
        <v>75</v>
      </c>
    </row>
    <row r="144" ht="20" customHeight="1" spans="1:12">
      <c r="A144" s="72"/>
      <c r="B144" s="25">
        <v>46286</v>
      </c>
      <c r="C144" s="25">
        <v>46292</v>
      </c>
      <c r="D144" s="8" t="s">
        <v>436</v>
      </c>
      <c r="E144" s="8">
        <v>0</v>
      </c>
      <c r="F144" s="69">
        <v>0</v>
      </c>
      <c r="G144" s="24">
        <v>0</v>
      </c>
      <c r="H144" s="8" t="s">
        <v>437</v>
      </c>
      <c r="I144" s="8" t="s">
        <v>438</v>
      </c>
      <c r="J144" s="3"/>
      <c r="K144" s="4"/>
      <c r="L144" s="6" t="s">
        <v>75</v>
      </c>
    </row>
    <row r="145" ht="20" customHeight="1" spans="1:12">
      <c r="A145" s="72"/>
      <c r="B145" s="25">
        <v>46293</v>
      </c>
      <c r="C145" s="25">
        <v>46299</v>
      </c>
      <c r="D145" s="8" t="s">
        <v>436</v>
      </c>
      <c r="E145" s="8">
        <v>0</v>
      </c>
      <c r="F145" s="69">
        <v>0</v>
      </c>
      <c r="G145" s="24">
        <v>0</v>
      </c>
      <c r="H145" s="8" t="s">
        <v>437</v>
      </c>
      <c r="I145" s="8" t="s">
        <v>438</v>
      </c>
      <c r="J145" s="3"/>
      <c r="K145" s="4"/>
      <c r="L145" s="6" t="s">
        <v>75</v>
      </c>
    </row>
    <row r="146" ht="20" customHeight="1" spans="1:12">
      <c r="A146" s="72"/>
      <c r="B146" s="25">
        <v>46300</v>
      </c>
      <c r="C146" s="25">
        <v>46306</v>
      </c>
      <c r="D146" s="8" t="s">
        <v>436</v>
      </c>
      <c r="E146" s="8">
        <v>0</v>
      </c>
      <c r="F146" s="69">
        <v>0</v>
      </c>
      <c r="G146" s="24">
        <v>0</v>
      </c>
      <c r="H146" s="8" t="s">
        <v>437</v>
      </c>
      <c r="I146" s="8" t="s">
        <v>438</v>
      </c>
      <c r="J146" s="3"/>
      <c r="K146" s="4"/>
      <c r="L146" s="6" t="s">
        <v>75</v>
      </c>
    </row>
    <row r="147" ht="20" customHeight="1" spans="1:12">
      <c r="A147" s="72"/>
      <c r="B147" s="25">
        <v>46307</v>
      </c>
      <c r="C147" s="25">
        <v>46313</v>
      </c>
      <c r="D147" s="8" t="s">
        <v>436</v>
      </c>
      <c r="E147" s="8">
        <v>0</v>
      </c>
      <c r="F147" s="69">
        <v>0</v>
      </c>
      <c r="G147" s="24">
        <v>0</v>
      </c>
      <c r="H147" s="8" t="s">
        <v>437</v>
      </c>
      <c r="I147" s="8" t="s">
        <v>438</v>
      </c>
      <c r="J147" s="3"/>
      <c r="K147" s="4"/>
      <c r="L147" s="6" t="s">
        <v>75</v>
      </c>
    </row>
    <row r="148" ht="20" customHeight="1" spans="1:12">
      <c r="A148" s="72"/>
      <c r="B148" s="25">
        <v>46314</v>
      </c>
      <c r="C148" s="25">
        <v>46320</v>
      </c>
      <c r="D148" s="8" t="s">
        <v>436</v>
      </c>
      <c r="E148" s="8">
        <v>0</v>
      </c>
      <c r="F148" s="69">
        <v>0</v>
      </c>
      <c r="G148" s="24">
        <v>0</v>
      </c>
      <c r="H148" s="8" t="s">
        <v>437</v>
      </c>
      <c r="I148" s="8" t="s">
        <v>438</v>
      </c>
      <c r="J148" s="3"/>
      <c r="K148" s="4"/>
      <c r="L148" s="6" t="s">
        <v>75</v>
      </c>
    </row>
    <row r="149" ht="20" customHeight="1" spans="1:12">
      <c r="A149" s="72"/>
      <c r="B149" s="25">
        <v>46321</v>
      </c>
      <c r="C149" s="25">
        <v>46327</v>
      </c>
      <c r="D149" s="8" t="s">
        <v>436</v>
      </c>
      <c r="E149" s="8">
        <v>0</v>
      </c>
      <c r="F149" s="69">
        <v>0</v>
      </c>
      <c r="G149" s="24">
        <v>0</v>
      </c>
      <c r="H149" s="8" t="s">
        <v>437</v>
      </c>
      <c r="I149" s="8" t="s">
        <v>438</v>
      </c>
      <c r="J149" s="3"/>
      <c r="K149" s="4"/>
      <c r="L149" s="6" t="s">
        <v>75</v>
      </c>
    </row>
    <row r="150" ht="20" customHeight="1" spans="1:12">
      <c r="A150" s="72"/>
      <c r="B150" s="25">
        <v>46328</v>
      </c>
      <c r="C150" s="25">
        <v>46334</v>
      </c>
      <c r="D150" s="8" t="s">
        <v>436</v>
      </c>
      <c r="E150" s="8">
        <v>0</v>
      </c>
      <c r="F150" s="69">
        <v>0</v>
      </c>
      <c r="G150" s="24">
        <v>0</v>
      </c>
      <c r="H150" s="8" t="s">
        <v>437</v>
      </c>
      <c r="I150" s="8" t="s">
        <v>438</v>
      </c>
      <c r="J150" s="3"/>
      <c r="K150" s="4"/>
      <c r="L150" s="6" t="s">
        <v>75</v>
      </c>
    </row>
    <row r="151" ht="20" customHeight="1" spans="1:12">
      <c r="A151" s="72"/>
      <c r="B151" s="25">
        <v>46335</v>
      </c>
      <c r="C151" s="25">
        <v>46341</v>
      </c>
      <c r="D151" s="8" t="s">
        <v>436</v>
      </c>
      <c r="E151" s="8">
        <v>0</v>
      </c>
      <c r="F151" s="69">
        <v>0</v>
      </c>
      <c r="G151" s="24">
        <v>0</v>
      </c>
      <c r="H151" s="8" t="s">
        <v>437</v>
      </c>
      <c r="I151" s="8" t="s">
        <v>438</v>
      </c>
      <c r="J151" s="3"/>
      <c r="K151" s="4"/>
      <c r="L151" s="6" t="s">
        <v>75</v>
      </c>
    </row>
    <row r="152" ht="20" customHeight="1" spans="1:12">
      <c r="A152" s="72"/>
      <c r="B152" s="25">
        <v>46342</v>
      </c>
      <c r="C152" s="25">
        <v>46348</v>
      </c>
      <c r="D152" s="8" t="s">
        <v>436</v>
      </c>
      <c r="E152" s="8">
        <v>0</v>
      </c>
      <c r="F152" s="69">
        <v>0</v>
      </c>
      <c r="G152" s="24">
        <v>0</v>
      </c>
      <c r="H152" s="8" t="s">
        <v>437</v>
      </c>
      <c r="I152" s="8" t="s">
        <v>438</v>
      </c>
      <c r="J152" s="3"/>
      <c r="K152" s="4"/>
      <c r="L152" s="6" t="s">
        <v>75</v>
      </c>
    </row>
    <row r="153" ht="20" customHeight="1" spans="1:12">
      <c r="A153" s="73"/>
      <c r="B153" s="25">
        <v>46349</v>
      </c>
      <c r="C153" s="25">
        <v>46355</v>
      </c>
      <c r="D153" s="8" t="s">
        <v>436</v>
      </c>
      <c r="E153" s="8">
        <v>0</v>
      </c>
      <c r="F153" s="69">
        <v>0</v>
      </c>
      <c r="G153" s="24">
        <v>0</v>
      </c>
      <c r="H153" s="8" t="s">
        <v>437</v>
      </c>
      <c r="I153" s="8" t="s">
        <v>438</v>
      </c>
      <c r="J153" s="3"/>
      <c r="K153" s="4"/>
      <c r="L153" s="6" t="s">
        <v>75</v>
      </c>
    </row>
    <row r="157" ht="28" customHeight="1"/>
  </sheetData>
  <mergeCells count="148">
    <mergeCell ref="A1:L1"/>
    <mergeCell ref="A2:L2"/>
    <mergeCell ref="A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A16:A38"/>
    <mergeCell ref="A39:A61"/>
    <mergeCell ref="A62:A84"/>
    <mergeCell ref="A85:A107"/>
    <mergeCell ref="A108:A130"/>
    <mergeCell ref="A131:A153"/>
  </mergeCells>
  <conditionalFormatting sqref="D16:D153">
    <cfRule type="expression" dxfId="5" priority="4">
      <formula>$D16="无"</formula>
    </cfRule>
  </conditionalFormatting>
  <conditionalFormatting sqref="H16:H153">
    <cfRule type="expression" dxfId="6" priority="5">
      <formula>$H16="超负荷"</formula>
    </cfRule>
  </conditionalFormatting>
  <conditionalFormatting sqref="J5:J10">
    <cfRule type="expression" dxfId="6" priority="1">
      <formula>$J5="超负荷"</formula>
    </cfRule>
    <cfRule type="expression" dxfId="7" priority="2">
      <formula>$J5="高负荷"</formula>
    </cfRule>
    <cfRule type="expression" dxfId="8" priority="3">
      <formula>$J5="正常"</formula>
    </cfRule>
  </conditionalFormatting>
  <pageMargins left="0.75" right="0.75" top="1" bottom="1" header="0.5" footer="0.5"/>
  <pageSetup paperSize="1" fitToHeight="0" orientation="landscape"/>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064A2"/>
    <pageSetUpPr fitToPage="1"/>
  </sheetPr>
  <dimension ref="A1:AC108"/>
  <sheetViews>
    <sheetView showGridLines="0" zoomScale="80" zoomScaleNormal="80" workbookViewId="0">
      <pane ySplit="8" topLeftCell="A9" activePane="bottomLeft" state="frozen"/>
      <selection/>
      <selection pane="bottomLeft" activeCell="F9" sqref="F9"/>
    </sheetView>
  </sheetViews>
  <sheetFormatPr defaultColWidth="9" defaultRowHeight="16.8"/>
  <cols>
    <col min="1" max="1" width="13" style="1" customWidth="1"/>
    <col min="2" max="2" width="18" style="1" customWidth="1"/>
    <col min="3" max="3" width="20" style="1" customWidth="1"/>
    <col min="4" max="4" width="18" style="1" customWidth="1"/>
    <col min="5" max="5" width="15" style="1" customWidth="1"/>
    <col min="6" max="6" width="24" style="1" customWidth="1"/>
    <col min="7" max="7" width="28" style="1" customWidth="1"/>
    <col min="8" max="9" width="11" style="1" customWidth="1"/>
    <col min="10" max="11" width="14" style="1" customWidth="1"/>
    <col min="12" max="13" width="11" style="1" customWidth="1"/>
    <col min="14" max="14" width="14" style="1" customWidth="1"/>
    <col min="15" max="15" width="16" style="1" customWidth="1"/>
    <col min="16" max="16" width="13" style="1" customWidth="1"/>
    <col min="17" max="17" width="24" style="1" customWidth="1"/>
    <col min="18" max="18" width="15" style="1" customWidth="1"/>
    <col min="19" max="20" width="14" style="1" customWidth="1"/>
    <col min="21" max="22" width="30" style="1" customWidth="1"/>
    <col min="23" max="23" width="15" style="1" customWidth="1"/>
    <col min="24" max="24" width="14" style="1" customWidth="1"/>
    <col min="25" max="25" width="13" style="1" customWidth="1"/>
    <col min="26" max="26" width="14" style="1" customWidth="1"/>
    <col min="27" max="27" width="18" style="1" customWidth="1"/>
    <col min="28" max="28" width="28" style="1" customWidth="1"/>
    <col min="29" max="29" width="24" style="1" customWidth="1"/>
  </cols>
  <sheetData>
    <row r="1" ht="28" customHeight="1" spans="1:29">
      <c r="A1" s="44" t="s">
        <v>464</v>
      </c>
    </row>
    <row r="2" spans="1:29">
      <c r="A2" s="67" t="s">
        <v>465</v>
      </c>
    </row>
    <row r="4" spans="1:29">
      <c r="A4" s="68" t="s">
        <v>466</v>
      </c>
      <c r="B4" s="3"/>
      <c r="C4" s="4"/>
      <c r="D4" s="68" t="s">
        <v>467</v>
      </c>
      <c r="E4" s="3"/>
      <c r="F4" s="4"/>
      <c r="G4" s="68" t="s">
        <v>468</v>
      </c>
      <c r="H4" s="3"/>
      <c r="I4" s="4"/>
      <c r="J4" s="68" t="s">
        <v>469</v>
      </c>
      <c r="K4" s="3"/>
      <c r="L4" s="4"/>
      <c r="M4" s="68" t="s">
        <v>470</v>
      </c>
      <c r="N4" s="3"/>
      <c r="O4" s="4"/>
      <c r="P4" s="68" t="s">
        <v>471</v>
      </c>
      <c r="Q4" s="3"/>
      <c r="R4" s="4"/>
      <c r="S4" s="68" t="s">
        <v>472</v>
      </c>
      <c r="T4" s="3"/>
      <c r="U4" s="4"/>
      <c r="V4" s="68" t="s">
        <v>473</v>
      </c>
      <c r="W4" s="3"/>
      <c r="X4" s="4"/>
    </row>
    <row r="5" ht="22" customHeight="1" spans="1:29">
      <c r="A5" s="59">
        <f>COUNTIFS($B$9:$B$108,"&lt;&gt;")</f>
        <v>0</v>
      </c>
      <c r="B5" s="3"/>
      <c r="C5" s="4"/>
      <c r="D5" s="59">
        <f>COUNTIFS($B$9:$B$108,"&lt;&gt;",$H$9:$H$108,"高")</f>
        <v>0</v>
      </c>
      <c r="E5" s="3"/>
      <c r="F5" s="4"/>
      <c r="G5" s="59">
        <f>COUNTIFS($B$9:$B$108,"&lt;&gt;",$N$9:$N$108,"重点管理")</f>
        <v>0</v>
      </c>
      <c r="H5" s="3"/>
      <c r="I5" s="4"/>
      <c r="J5" s="59">
        <f>COUNTIFS($B$9:$B$108,"&lt;&gt;",$J$9:$J$108,"抵触")+COUNTIFS($B$9:$B$108,"&lt;&gt;",$J$9:$J$108,"不支持")</f>
        <v>0</v>
      </c>
      <c r="K5" s="3"/>
      <c r="L5" s="4"/>
      <c r="M5" s="59">
        <f>COUNTIFS($B$9:$B$108,"&lt;&gt;",$L$9:$L$108,"&gt;0")</f>
        <v>0</v>
      </c>
      <c r="N5" s="3"/>
      <c r="O5" s="4"/>
      <c r="P5" s="59">
        <f>COUNTIFS($B$9:$B$108,"&lt;&gt;",$T$9:$T$108,"&lt;"&amp;项目驾驶舱!$B$3,$T$9:$T$108,"&lt;&gt;")</f>
        <v>0</v>
      </c>
      <c r="Q5" s="3"/>
      <c r="R5" s="4"/>
      <c r="S5" s="59">
        <f>COUNTIFS($B$9:$B$108,"&lt;&gt;",$Y$9:$Y$108,"&lt;&gt;已完成",$V$9:$V$108,"&lt;&gt;")</f>
        <v>0</v>
      </c>
      <c r="T5" s="3"/>
      <c r="U5" s="4"/>
      <c r="V5" s="59">
        <f>COUNTIFS($B$9:$B$108,"&lt;&gt;",$Z$9:$Z$108,"是")</f>
        <v>0</v>
      </c>
      <c r="W5" s="3"/>
      <c r="X5" s="4"/>
    </row>
    <row r="7" ht="17.6" customHeight="1" spans="1:29">
      <c r="A7" s="50" t="s">
        <v>474</v>
      </c>
    </row>
    <row r="8" ht="34" customHeight="1" spans="1:29">
      <c r="A8" s="7" t="s">
        <v>475</v>
      </c>
      <c r="B8" s="7" t="s">
        <v>476</v>
      </c>
      <c r="C8" s="7" t="s">
        <v>477</v>
      </c>
      <c r="D8" s="7" t="s">
        <v>478</v>
      </c>
      <c r="E8" s="7" t="s">
        <v>479</v>
      </c>
      <c r="F8" s="7" t="s">
        <v>480</v>
      </c>
      <c r="G8" s="7" t="s">
        <v>481</v>
      </c>
      <c r="H8" s="7" t="s">
        <v>482</v>
      </c>
      <c r="I8" s="7" t="s">
        <v>483</v>
      </c>
      <c r="J8" s="7" t="s">
        <v>484</v>
      </c>
      <c r="K8" s="7" t="s">
        <v>485</v>
      </c>
      <c r="L8" s="7" t="s">
        <v>486</v>
      </c>
      <c r="M8" s="7" t="s">
        <v>487</v>
      </c>
      <c r="N8" s="7" t="s">
        <v>488</v>
      </c>
      <c r="O8" s="7" t="s">
        <v>489</v>
      </c>
      <c r="P8" s="7" t="s">
        <v>490</v>
      </c>
      <c r="Q8" s="7" t="s">
        <v>491</v>
      </c>
      <c r="R8" s="7" t="s">
        <v>492</v>
      </c>
      <c r="S8" s="7" t="s">
        <v>493</v>
      </c>
      <c r="T8" s="7" t="s">
        <v>494</v>
      </c>
      <c r="U8" s="7" t="s">
        <v>495</v>
      </c>
      <c r="V8" s="7" t="s">
        <v>496</v>
      </c>
      <c r="W8" s="7" t="s">
        <v>497</v>
      </c>
      <c r="X8" s="7" t="s">
        <v>498</v>
      </c>
      <c r="Y8" s="7" t="s">
        <v>499</v>
      </c>
      <c r="Z8" s="7" t="s">
        <v>500</v>
      </c>
      <c r="AA8" s="7" t="s">
        <v>501</v>
      </c>
      <c r="AB8" s="7" t="s">
        <v>502</v>
      </c>
      <c r="AC8" s="7" t="s">
        <v>69</v>
      </c>
    </row>
    <row r="9" spans="1:29">
      <c r="A9" s="8" t="str">
        <f t="shared" ref="A9:A72" si="0">IF(B9="","","SH-"&amp;TEXT(ROW()-8,"000"))</f>
        <v/>
      </c>
      <c r="B9" s="10"/>
      <c r="C9" s="10"/>
      <c r="D9" s="10"/>
      <c r="E9" s="10"/>
      <c r="F9" s="10"/>
      <c r="G9" s="10"/>
      <c r="H9" s="10"/>
      <c r="I9" s="10"/>
      <c r="J9" s="10"/>
      <c r="K9" s="10"/>
      <c r="L9" s="8" t="str">
        <f t="shared" ref="L9:L72" si="1">IF(OR(J9="",K9=""),"",IF(K9="抵触",1,IF(K9="不支持",2,IF(K9="中立",3,IF(K9="支持",4,IF(K9="积极推动",5,"")))))-IF(J9="抵触",1,IF(J9="不支持",2,IF(J9="中立",3,IF(J9="支持",4,IF(J9="积极推动",5,""))))))</f>
        <v/>
      </c>
      <c r="M9" s="10"/>
      <c r="N9" s="10" t="str">
        <f t="shared" ref="N9:N72" si="2">IF(OR(H9="",I9=""),"",IF(AND(H9="高",I9="高"),"重点管理",IF(H9="高","保持满意",IF(I9="高","保持沟通","监督观察"))))</f>
        <v/>
      </c>
      <c r="O9" s="10"/>
      <c r="P9" s="10"/>
      <c r="Q9" s="10"/>
      <c r="R9" s="10"/>
      <c r="S9" s="11"/>
      <c r="T9" s="11"/>
      <c r="U9" s="10"/>
      <c r="V9" s="10"/>
      <c r="W9" s="10"/>
      <c r="X9" s="11"/>
      <c r="Y9" s="10"/>
      <c r="Z9" s="10"/>
      <c r="AA9" s="10"/>
      <c r="AB9" s="8" t="str">
        <f>IF(B9="","",IF(AND(H9="高",OR(J9="抵触",J9="不支持")),"高权力不支持；","")&amp;IF(L9&gt;0,"存在支持差距；","")&amp;IF(AND(T9&lt;&gt;"",T9&lt;项目驾驶舱!$B$3),"沟通逾期；","")&amp;IF(AND(V9&lt;&gt;"",X9&lt;项目驾驶舱!$B$3,Y9&lt;&gt;"已完成"),"行动逾期；","")&amp;IF(AND(Z9="是",AA9=""),"未填升级对象",""))</f>
        <v/>
      </c>
      <c r="AC9" s="10"/>
    </row>
    <row r="10" spans="1:29">
      <c r="A10" s="8" t="str">
        <f t="shared" si="0"/>
        <v/>
      </c>
      <c r="B10" s="10"/>
      <c r="C10" s="10"/>
      <c r="D10" s="10"/>
      <c r="E10" s="10"/>
      <c r="F10" s="10"/>
      <c r="G10" s="10"/>
      <c r="H10" s="10"/>
      <c r="I10" s="10"/>
      <c r="J10" s="10"/>
      <c r="K10" s="10"/>
      <c r="L10" s="8" t="str">
        <f t="shared" si="1"/>
        <v/>
      </c>
      <c r="M10" s="10"/>
      <c r="N10" s="10" t="str">
        <f t="shared" si="2"/>
        <v/>
      </c>
      <c r="O10" s="10"/>
      <c r="P10" s="10"/>
      <c r="Q10" s="10"/>
      <c r="R10" s="10"/>
      <c r="S10" s="11"/>
      <c r="T10" s="11"/>
      <c r="U10" s="10"/>
      <c r="V10" s="10"/>
      <c r="W10" s="10"/>
      <c r="X10" s="11"/>
      <c r="Y10" s="10"/>
      <c r="Z10" s="10"/>
      <c r="AA10" s="10"/>
      <c r="AB10" s="8" t="str">
        <f>IF(B10="","",IF(AND(H10="高",OR(J10="抵触",J10="不支持")),"高权力不支持；","")&amp;IF(L10&gt;0,"存在支持差距；","")&amp;IF(AND(T10&lt;&gt;"",T10&lt;项目驾驶舱!$B$3),"沟通逾期；","")&amp;IF(AND(V10&lt;&gt;"",X10&lt;项目驾驶舱!$B$3,Y10&lt;&gt;"已完成"),"行动逾期；","")&amp;IF(AND(Z10="是",AA10=""),"未填升级对象",""))</f>
        <v/>
      </c>
      <c r="AC10" s="10"/>
    </row>
    <row r="11" spans="1:29">
      <c r="A11" s="8" t="str">
        <f t="shared" si="0"/>
        <v/>
      </c>
      <c r="B11" s="10"/>
      <c r="C11" s="10"/>
      <c r="D11" s="10"/>
      <c r="E11" s="10"/>
      <c r="F11" s="10"/>
      <c r="G11" s="10"/>
      <c r="H11" s="10"/>
      <c r="I11" s="10"/>
      <c r="J11" s="10"/>
      <c r="K11" s="10"/>
      <c r="L11" s="8" t="str">
        <f t="shared" si="1"/>
        <v/>
      </c>
      <c r="M11" s="10"/>
      <c r="N11" s="10" t="str">
        <f t="shared" si="2"/>
        <v/>
      </c>
      <c r="O11" s="10"/>
      <c r="P11" s="10"/>
      <c r="Q11" s="10"/>
      <c r="R11" s="10"/>
      <c r="S11" s="11"/>
      <c r="T11" s="11"/>
      <c r="U11" s="10"/>
      <c r="V11" s="10"/>
      <c r="W11" s="10"/>
      <c r="X11" s="11"/>
      <c r="Y11" s="10"/>
      <c r="Z11" s="10"/>
      <c r="AA11" s="10"/>
      <c r="AB11" s="8" t="str">
        <f>IF(B11="","",IF(AND(H11="高",OR(J11="抵触",J11="不支持")),"高权力不支持；","")&amp;IF(L11&gt;0,"存在支持差距；","")&amp;IF(AND(T11&lt;&gt;"",T11&lt;项目驾驶舱!$B$3),"沟通逾期；","")&amp;IF(AND(V11&lt;&gt;"",X11&lt;项目驾驶舱!$B$3,Y11&lt;&gt;"已完成"),"行动逾期；","")&amp;IF(AND(Z11="是",AA11=""),"未填升级对象",""))</f>
        <v/>
      </c>
      <c r="AC11" s="10"/>
    </row>
    <row r="12" spans="1:29">
      <c r="A12" s="8" t="str">
        <f t="shared" si="0"/>
        <v/>
      </c>
      <c r="B12" s="10"/>
      <c r="C12" s="10"/>
      <c r="D12" s="10"/>
      <c r="E12" s="10"/>
      <c r="F12" s="10"/>
      <c r="G12" s="10"/>
      <c r="H12" s="10"/>
      <c r="I12" s="10"/>
      <c r="J12" s="10"/>
      <c r="K12" s="10"/>
      <c r="L12" s="8" t="str">
        <f t="shared" si="1"/>
        <v/>
      </c>
      <c r="M12" s="10"/>
      <c r="N12" s="10" t="str">
        <f t="shared" si="2"/>
        <v/>
      </c>
      <c r="O12" s="10"/>
      <c r="P12" s="10"/>
      <c r="Q12" s="10"/>
      <c r="R12" s="10"/>
      <c r="S12" s="11"/>
      <c r="T12" s="11"/>
      <c r="U12" s="10"/>
      <c r="V12" s="10"/>
      <c r="W12" s="10"/>
      <c r="X12" s="11"/>
      <c r="Y12" s="10"/>
      <c r="Z12" s="10"/>
      <c r="AA12" s="10"/>
      <c r="AB12" s="8" t="str">
        <f>IF(B12="","",IF(AND(H12="高",OR(J12="抵触",J12="不支持")),"高权力不支持；","")&amp;IF(L12&gt;0,"存在支持差距；","")&amp;IF(AND(T12&lt;&gt;"",T12&lt;项目驾驶舱!$B$3),"沟通逾期；","")&amp;IF(AND(V12&lt;&gt;"",X12&lt;项目驾驶舱!$B$3,Y12&lt;&gt;"已完成"),"行动逾期；","")&amp;IF(AND(Z12="是",AA12=""),"未填升级对象",""))</f>
        <v/>
      </c>
      <c r="AC12" s="10"/>
    </row>
    <row r="13" spans="1:29">
      <c r="A13" s="8" t="str">
        <f t="shared" si="0"/>
        <v/>
      </c>
      <c r="B13" s="10"/>
      <c r="C13" s="10"/>
      <c r="D13" s="10"/>
      <c r="E13" s="10"/>
      <c r="F13" s="10"/>
      <c r="G13" s="10"/>
      <c r="H13" s="10"/>
      <c r="I13" s="10"/>
      <c r="J13" s="10"/>
      <c r="K13" s="10"/>
      <c r="L13" s="8" t="str">
        <f t="shared" si="1"/>
        <v/>
      </c>
      <c r="M13" s="10"/>
      <c r="N13" s="10" t="str">
        <f t="shared" si="2"/>
        <v/>
      </c>
      <c r="O13" s="10"/>
      <c r="P13" s="10"/>
      <c r="Q13" s="10"/>
      <c r="R13" s="10"/>
      <c r="S13" s="11"/>
      <c r="T13" s="11"/>
      <c r="U13" s="10"/>
      <c r="V13" s="10"/>
      <c r="W13" s="10"/>
      <c r="X13" s="11"/>
      <c r="Y13" s="10"/>
      <c r="Z13" s="10"/>
      <c r="AA13" s="10"/>
      <c r="AB13" s="8" t="str">
        <f>IF(B13="","",IF(AND(H13="高",OR(J13="抵触",J13="不支持")),"高权力不支持；","")&amp;IF(L13&gt;0,"存在支持差距；","")&amp;IF(AND(T13&lt;&gt;"",T13&lt;项目驾驶舱!$B$3),"沟通逾期；","")&amp;IF(AND(V13&lt;&gt;"",X13&lt;项目驾驶舱!$B$3,Y13&lt;&gt;"已完成"),"行动逾期；","")&amp;IF(AND(Z13="是",AA13=""),"未填升级对象",""))</f>
        <v/>
      </c>
      <c r="AC13" s="10"/>
    </row>
    <row r="14" spans="1:29">
      <c r="A14" s="8" t="str">
        <f t="shared" si="0"/>
        <v/>
      </c>
      <c r="B14" s="10"/>
      <c r="C14" s="10"/>
      <c r="D14" s="10"/>
      <c r="E14" s="10"/>
      <c r="F14" s="10"/>
      <c r="G14" s="10"/>
      <c r="H14" s="10"/>
      <c r="I14" s="10"/>
      <c r="J14" s="10"/>
      <c r="K14" s="10"/>
      <c r="L14" s="8" t="str">
        <f t="shared" si="1"/>
        <v/>
      </c>
      <c r="M14" s="10"/>
      <c r="N14" s="10" t="str">
        <f t="shared" si="2"/>
        <v/>
      </c>
      <c r="O14" s="10"/>
      <c r="P14" s="10"/>
      <c r="Q14" s="10"/>
      <c r="R14" s="10"/>
      <c r="S14" s="11"/>
      <c r="T14" s="11"/>
      <c r="U14" s="10"/>
      <c r="V14" s="10"/>
      <c r="W14" s="10"/>
      <c r="X14" s="11"/>
      <c r="Y14" s="10"/>
      <c r="Z14" s="10"/>
      <c r="AA14" s="10"/>
      <c r="AB14" s="8" t="str">
        <f>IF(B14="","",IF(AND(H14="高",OR(J14="抵触",J14="不支持")),"高权力不支持；","")&amp;IF(L14&gt;0,"存在支持差距；","")&amp;IF(AND(T14&lt;&gt;"",T14&lt;项目驾驶舱!$B$3),"沟通逾期；","")&amp;IF(AND(V14&lt;&gt;"",X14&lt;项目驾驶舱!$B$3,Y14&lt;&gt;"已完成"),"行动逾期；","")&amp;IF(AND(Z14="是",AA14=""),"未填升级对象",""))</f>
        <v/>
      </c>
      <c r="AC14" s="10"/>
    </row>
    <row r="15" spans="1:29">
      <c r="A15" s="8" t="str">
        <f t="shared" si="0"/>
        <v/>
      </c>
      <c r="B15" s="10"/>
      <c r="C15" s="10"/>
      <c r="D15" s="10"/>
      <c r="E15" s="10"/>
      <c r="F15" s="10"/>
      <c r="G15" s="10"/>
      <c r="H15" s="10"/>
      <c r="I15" s="10"/>
      <c r="J15" s="10"/>
      <c r="K15" s="10"/>
      <c r="L15" s="8" t="str">
        <f t="shared" si="1"/>
        <v/>
      </c>
      <c r="M15" s="10"/>
      <c r="N15" s="10" t="str">
        <f t="shared" si="2"/>
        <v/>
      </c>
      <c r="O15" s="10"/>
      <c r="P15" s="10"/>
      <c r="Q15" s="10"/>
      <c r="R15" s="10"/>
      <c r="S15" s="11"/>
      <c r="T15" s="11"/>
      <c r="U15" s="10"/>
      <c r="V15" s="10"/>
      <c r="W15" s="10"/>
      <c r="X15" s="11"/>
      <c r="Y15" s="10"/>
      <c r="Z15" s="10"/>
      <c r="AA15" s="10"/>
      <c r="AB15" s="8" t="str">
        <f>IF(B15="","",IF(AND(H15="高",OR(J15="抵触",J15="不支持")),"高权力不支持；","")&amp;IF(L15&gt;0,"存在支持差距；","")&amp;IF(AND(T15&lt;&gt;"",T15&lt;项目驾驶舱!$B$3),"沟通逾期；","")&amp;IF(AND(V15&lt;&gt;"",X15&lt;项目驾驶舱!$B$3,Y15&lt;&gt;"已完成"),"行动逾期；","")&amp;IF(AND(Z15="是",AA15=""),"未填升级对象",""))</f>
        <v/>
      </c>
      <c r="AC15" s="10"/>
    </row>
    <row r="16" spans="1:29">
      <c r="A16" s="8" t="str">
        <f t="shared" si="0"/>
        <v/>
      </c>
      <c r="B16" s="10"/>
      <c r="C16" s="10"/>
      <c r="D16" s="10"/>
      <c r="E16" s="10"/>
      <c r="F16" s="10"/>
      <c r="G16" s="10"/>
      <c r="H16" s="10"/>
      <c r="I16" s="10"/>
      <c r="J16" s="10"/>
      <c r="K16" s="10"/>
      <c r="L16" s="8" t="str">
        <f t="shared" si="1"/>
        <v/>
      </c>
      <c r="M16" s="10"/>
      <c r="N16" s="10" t="str">
        <f t="shared" si="2"/>
        <v/>
      </c>
      <c r="O16" s="10"/>
      <c r="P16" s="10"/>
      <c r="Q16" s="10"/>
      <c r="R16" s="10"/>
      <c r="S16" s="11"/>
      <c r="T16" s="11"/>
      <c r="U16" s="10"/>
      <c r="V16" s="10"/>
      <c r="W16" s="10"/>
      <c r="X16" s="11"/>
      <c r="Y16" s="10"/>
      <c r="Z16" s="10"/>
      <c r="AA16" s="10"/>
      <c r="AB16" s="8" t="str">
        <f>IF(B16="","",IF(AND(H16="高",OR(J16="抵触",J16="不支持")),"高权力不支持；","")&amp;IF(L16&gt;0,"存在支持差距；","")&amp;IF(AND(T16&lt;&gt;"",T16&lt;项目驾驶舱!$B$3),"沟通逾期；","")&amp;IF(AND(V16&lt;&gt;"",X16&lt;项目驾驶舱!$B$3,Y16&lt;&gt;"已完成"),"行动逾期；","")&amp;IF(AND(Z16="是",AA16=""),"未填升级对象",""))</f>
        <v/>
      </c>
      <c r="AC16" s="10"/>
    </row>
    <row r="17" spans="1:29">
      <c r="A17" s="8" t="str">
        <f t="shared" si="0"/>
        <v/>
      </c>
      <c r="B17" s="10"/>
      <c r="C17" s="10"/>
      <c r="D17" s="10"/>
      <c r="E17" s="10"/>
      <c r="F17" s="10"/>
      <c r="G17" s="10"/>
      <c r="H17" s="10"/>
      <c r="I17" s="10"/>
      <c r="J17" s="10"/>
      <c r="K17" s="10"/>
      <c r="L17" s="8" t="str">
        <f t="shared" si="1"/>
        <v/>
      </c>
      <c r="M17" s="10"/>
      <c r="N17" s="10" t="str">
        <f t="shared" si="2"/>
        <v/>
      </c>
      <c r="O17" s="10"/>
      <c r="P17" s="10"/>
      <c r="Q17" s="10"/>
      <c r="R17" s="10"/>
      <c r="S17" s="11"/>
      <c r="T17" s="11"/>
      <c r="U17" s="10"/>
      <c r="V17" s="10"/>
      <c r="W17" s="10"/>
      <c r="X17" s="11"/>
      <c r="Y17" s="10"/>
      <c r="Z17" s="10"/>
      <c r="AA17" s="10"/>
      <c r="AB17" s="8" t="str">
        <f>IF(B17="","",IF(AND(H17="高",OR(J17="抵触",J17="不支持")),"高权力不支持；","")&amp;IF(L17&gt;0,"存在支持差距；","")&amp;IF(AND(T17&lt;&gt;"",T17&lt;项目驾驶舱!$B$3),"沟通逾期；","")&amp;IF(AND(V17&lt;&gt;"",X17&lt;项目驾驶舱!$B$3,Y17&lt;&gt;"已完成"),"行动逾期；","")&amp;IF(AND(Z17="是",AA17=""),"未填升级对象",""))</f>
        <v/>
      </c>
      <c r="AC17" s="10"/>
    </row>
    <row r="18" spans="1:29">
      <c r="A18" s="8" t="str">
        <f t="shared" si="0"/>
        <v/>
      </c>
      <c r="B18" s="10"/>
      <c r="C18" s="10"/>
      <c r="D18" s="10"/>
      <c r="E18" s="10"/>
      <c r="F18" s="10"/>
      <c r="G18" s="10"/>
      <c r="H18" s="10"/>
      <c r="I18" s="10"/>
      <c r="J18" s="10"/>
      <c r="K18" s="10"/>
      <c r="L18" s="8" t="str">
        <f t="shared" si="1"/>
        <v/>
      </c>
      <c r="M18" s="10"/>
      <c r="N18" s="10" t="str">
        <f t="shared" si="2"/>
        <v/>
      </c>
      <c r="O18" s="10"/>
      <c r="P18" s="10"/>
      <c r="Q18" s="10"/>
      <c r="R18" s="10"/>
      <c r="S18" s="11"/>
      <c r="T18" s="11"/>
      <c r="U18" s="10"/>
      <c r="V18" s="10"/>
      <c r="W18" s="10"/>
      <c r="X18" s="11"/>
      <c r="Y18" s="10"/>
      <c r="Z18" s="10"/>
      <c r="AA18" s="10"/>
      <c r="AB18" s="8" t="str">
        <f>IF(B18="","",IF(AND(H18="高",OR(J18="抵触",J18="不支持")),"高权力不支持；","")&amp;IF(L18&gt;0,"存在支持差距；","")&amp;IF(AND(T18&lt;&gt;"",T18&lt;项目驾驶舱!$B$3),"沟通逾期；","")&amp;IF(AND(V18&lt;&gt;"",X18&lt;项目驾驶舱!$B$3,Y18&lt;&gt;"已完成"),"行动逾期；","")&amp;IF(AND(Z18="是",AA18=""),"未填升级对象",""))</f>
        <v/>
      </c>
      <c r="AC18" s="10"/>
    </row>
    <row r="19" spans="1:29">
      <c r="A19" s="8" t="str">
        <f t="shared" si="0"/>
        <v/>
      </c>
      <c r="B19" s="10"/>
      <c r="C19" s="10"/>
      <c r="D19" s="10"/>
      <c r="E19" s="10"/>
      <c r="F19" s="10"/>
      <c r="G19" s="10"/>
      <c r="H19" s="10"/>
      <c r="I19" s="10"/>
      <c r="J19" s="10"/>
      <c r="K19" s="10"/>
      <c r="L19" s="8" t="str">
        <f t="shared" si="1"/>
        <v/>
      </c>
      <c r="M19" s="10"/>
      <c r="N19" s="10" t="str">
        <f t="shared" si="2"/>
        <v/>
      </c>
      <c r="O19" s="10"/>
      <c r="P19" s="10"/>
      <c r="Q19" s="10"/>
      <c r="R19" s="10"/>
      <c r="S19" s="11"/>
      <c r="T19" s="11"/>
      <c r="U19" s="10"/>
      <c r="V19" s="10"/>
      <c r="W19" s="10"/>
      <c r="X19" s="11"/>
      <c r="Y19" s="10"/>
      <c r="Z19" s="10"/>
      <c r="AA19" s="10"/>
      <c r="AB19" s="8" t="str">
        <f>IF(B19="","",IF(AND(H19="高",OR(J19="抵触",J19="不支持")),"高权力不支持；","")&amp;IF(L19&gt;0,"存在支持差距；","")&amp;IF(AND(T19&lt;&gt;"",T19&lt;项目驾驶舱!$B$3),"沟通逾期；","")&amp;IF(AND(V19&lt;&gt;"",X19&lt;项目驾驶舱!$B$3,Y19&lt;&gt;"已完成"),"行动逾期；","")&amp;IF(AND(Z19="是",AA19=""),"未填升级对象",""))</f>
        <v/>
      </c>
      <c r="AC19" s="10"/>
    </row>
    <row r="20" spans="1:29">
      <c r="A20" s="8" t="str">
        <f t="shared" si="0"/>
        <v/>
      </c>
      <c r="B20" s="10"/>
      <c r="C20" s="10"/>
      <c r="D20" s="10"/>
      <c r="E20" s="10"/>
      <c r="F20" s="10"/>
      <c r="G20" s="10"/>
      <c r="H20" s="10"/>
      <c r="I20" s="10"/>
      <c r="J20" s="10"/>
      <c r="K20" s="10"/>
      <c r="L20" s="8" t="str">
        <f t="shared" si="1"/>
        <v/>
      </c>
      <c r="M20" s="10"/>
      <c r="N20" s="10" t="str">
        <f t="shared" si="2"/>
        <v/>
      </c>
      <c r="O20" s="10"/>
      <c r="P20" s="10"/>
      <c r="Q20" s="10"/>
      <c r="R20" s="10"/>
      <c r="S20" s="11"/>
      <c r="T20" s="11"/>
      <c r="U20" s="10"/>
      <c r="V20" s="10"/>
      <c r="W20" s="10"/>
      <c r="X20" s="11"/>
      <c r="Y20" s="10"/>
      <c r="Z20" s="10"/>
      <c r="AA20" s="10"/>
      <c r="AB20" s="8" t="str">
        <f>IF(B20="","",IF(AND(H20="高",OR(J20="抵触",J20="不支持")),"高权力不支持；","")&amp;IF(L20&gt;0,"存在支持差距；","")&amp;IF(AND(T20&lt;&gt;"",T20&lt;项目驾驶舱!$B$3),"沟通逾期；","")&amp;IF(AND(V20&lt;&gt;"",X20&lt;项目驾驶舱!$B$3,Y20&lt;&gt;"已完成"),"行动逾期；","")&amp;IF(AND(Z20="是",AA20=""),"未填升级对象",""))</f>
        <v/>
      </c>
      <c r="AC20" s="10"/>
    </row>
    <row r="21" spans="1:29">
      <c r="A21" s="8" t="str">
        <f t="shared" si="0"/>
        <v/>
      </c>
      <c r="B21" s="10"/>
      <c r="C21" s="10"/>
      <c r="D21" s="10"/>
      <c r="E21" s="10"/>
      <c r="F21" s="10"/>
      <c r="G21" s="10"/>
      <c r="H21" s="10"/>
      <c r="I21" s="10"/>
      <c r="J21" s="10"/>
      <c r="K21" s="10"/>
      <c r="L21" s="8" t="str">
        <f t="shared" si="1"/>
        <v/>
      </c>
      <c r="M21" s="10"/>
      <c r="N21" s="10" t="str">
        <f t="shared" si="2"/>
        <v/>
      </c>
      <c r="O21" s="10"/>
      <c r="P21" s="10"/>
      <c r="Q21" s="10"/>
      <c r="R21" s="10"/>
      <c r="S21" s="11"/>
      <c r="T21" s="11"/>
      <c r="U21" s="10"/>
      <c r="V21" s="10"/>
      <c r="W21" s="10"/>
      <c r="X21" s="11"/>
      <c r="Y21" s="10"/>
      <c r="Z21" s="10"/>
      <c r="AA21" s="10"/>
      <c r="AB21" s="8" t="str">
        <f>IF(B21="","",IF(AND(H21="高",OR(J21="抵触",J21="不支持")),"高权力不支持；","")&amp;IF(L21&gt;0,"存在支持差距；","")&amp;IF(AND(T21&lt;&gt;"",T21&lt;项目驾驶舱!$B$3),"沟通逾期；","")&amp;IF(AND(V21&lt;&gt;"",X21&lt;项目驾驶舱!$B$3,Y21&lt;&gt;"已完成"),"行动逾期；","")&amp;IF(AND(Z21="是",AA21=""),"未填升级对象",""))</f>
        <v/>
      </c>
      <c r="AC21" s="10"/>
    </row>
    <row r="22" spans="1:29">
      <c r="A22" s="8" t="str">
        <f t="shared" si="0"/>
        <v/>
      </c>
      <c r="B22" s="10"/>
      <c r="C22" s="10"/>
      <c r="D22" s="10"/>
      <c r="E22" s="10"/>
      <c r="F22" s="10"/>
      <c r="G22" s="10"/>
      <c r="H22" s="10"/>
      <c r="I22" s="10"/>
      <c r="J22" s="10"/>
      <c r="K22" s="10"/>
      <c r="L22" s="8" t="str">
        <f t="shared" si="1"/>
        <v/>
      </c>
      <c r="M22" s="10"/>
      <c r="N22" s="10" t="str">
        <f t="shared" si="2"/>
        <v/>
      </c>
      <c r="O22" s="10"/>
      <c r="P22" s="10"/>
      <c r="Q22" s="10"/>
      <c r="R22" s="10"/>
      <c r="S22" s="11"/>
      <c r="T22" s="11"/>
      <c r="U22" s="10"/>
      <c r="V22" s="10"/>
      <c r="W22" s="10"/>
      <c r="X22" s="11"/>
      <c r="Y22" s="10"/>
      <c r="Z22" s="10"/>
      <c r="AA22" s="10"/>
      <c r="AB22" s="8" t="str">
        <f>IF(B22="","",IF(AND(H22="高",OR(J22="抵触",J22="不支持")),"高权力不支持；","")&amp;IF(L22&gt;0,"存在支持差距；","")&amp;IF(AND(T22&lt;&gt;"",T22&lt;项目驾驶舱!$B$3),"沟通逾期；","")&amp;IF(AND(V22&lt;&gt;"",X22&lt;项目驾驶舱!$B$3,Y22&lt;&gt;"已完成"),"行动逾期；","")&amp;IF(AND(Z22="是",AA22=""),"未填升级对象",""))</f>
        <v/>
      </c>
      <c r="AC22" s="10"/>
    </row>
    <row r="23" spans="1:29">
      <c r="A23" s="8" t="str">
        <f t="shared" si="0"/>
        <v/>
      </c>
      <c r="B23" s="10"/>
      <c r="C23" s="10"/>
      <c r="D23" s="10"/>
      <c r="E23" s="10"/>
      <c r="F23" s="10"/>
      <c r="G23" s="10"/>
      <c r="H23" s="10"/>
      <c r="I23" s="10"/>
      <c r="J23" s="10"/>
      <c r="K23" s="10"/>
      <c r="L23" s="8" t="str">
        <f t="shared" si="1"/>
        <v/>
      </c>
      <c r="M23" s="10"/>
      <c r="N23" s="10" t="str">
        <f t="shared" si="2"/>
        <v/>
      </c>
      <c r="O23" s="10"/>
      <c r="P23" s="10"/>
      <c r="Q23" s="10"/>
      <c r="R23" s="10"/>
      <c r="S23" s="11"/>
      <c r="T23" s="11"/>
      <c r="U23" s="10"/>
      <c r="V23" s="10"/>
      <c r="W23" s="10"/>
      <c r="X23" s="11"/>
      <c r="Y23" s="10"/>
      <c r="Z23" s="10"/>
      <c r="AA23" s="10"/>
      <c r="AB23" s="8" t="str">
        <f>IF(B23="","",IF(AND(H23="高",OR(J23="抵触",J23="不支持")),"高权力不支持；","")&amp;IF(L23&gt;0,"存在支持差距；","")&amp;IF(AND(T23&lt;&gt;"",T23&lt;项目驾驶舱!$B$3),"沟通逾期；","")&amp;IF(AND(V23&lt;&gt;"",X23&lt;项目驾驶舱!$B$3,Y23&lt;&gt;"已完成"),"行动逾期；","")&amp;IF(AND(Z23="是",AA23=""),"未填升级对象",""))</f>
        <v/>
      </c>
      <c r="AC23" s="10"/>
    </row>
    <row r="24" spans="1:29">
      <c r="A24" s="8" t="str">
        <f t="shared" si="0"/>
        <v/>
      </c>
      <c r="B24" s="10"/>
      <c r="C24" s="10"/>
      <c r="D24" s="10"/>
      <c r="E24" s="10"/>
      <c r="F24" s="10"/>
      <c r="G24" s="10"/>
      <c r="H24" s="10"/>
      <c r="I24" s="10"/>
      <c r="J24" s="10"/>
      <c r="K24" s="10"/>
      <c r="L24" s="8" t="str">
        <f t="shared" si="1"/>
        <v/>
      </c>
      <c r="M24" s="10"/>
      <c r="N24" s="10" t="str">
        <f t="shared" si="2"/>
        <v/>
      </c>
      <c r="O24" s="10"/>
      <c r="P24" s="10"/>
      <c r="Q24" s="10"/>
      <c r="R24" s="10"/>
      <c r="S24" s="11"/>
      <c r="T24" s="11"/>
      <c r="U24" s="10"/>
      <c r="V24" s="10"/>
      <c r="W24" s="10"/>
      <c r="X24" s="11"/>
      <c r="Y24" s="10"/>
      <c r="Z24" s="10"/>
      <c r="AA24" s="10"/>
      <c r="AB24" s="8" t="str">
        <f>IF(B24="","",IF(AND(H24="高",OR(J24="抵触",J24="不支持")),"高权力不支持；","")&amp;IF(L24&gt;0,"存在支持差距；","")&amp;IF(AND(T24&lt;&gt;"",T24&lt;项目驾驶舱!$B$3),"沟通逾期；","")&amp;IF(AND(V24&lt;&gt;"",X24&lt;项目驾驶舱!$B$3,Y24&lt;&gt;"已完成"),"行动逾期；","")&amp;IF(AND(Z24="是",AA24=""),"未填升级对象",""))</f>
        <v/>
      </c>
      <c r="AC24" s="10"/>
    </row>
    <row r="25" spans="1:29">
      <c r="A25" s="8" t="str">
        <f t="shared" si="0"/>
        <v/>
      </c>
      <c r="B25" s="10"/>
      <c r="C25" s="10"/>
      <c r="D25" s="10"/>
      <c r="E25" s="10"/>
      <c r="F25" s="10"/>
      <c r="G25" s="10"/>
      <c r="H25" s="10"/>
      <c r="I25" s="10"/>
      <c r="J25" s="10"/>
      <c r="K25" s="10"/>
      <c r="L25" s="8" t="str">
        <f t="shared" si="1"/>
        <v/>
      </c>
      <c r="M25" s="10"/>
      <c r="N25" s="10" t="str">
        <f t="shared" si="2"/>
        <v/>
      </c>
      <c r="O25" s="10"/>
      <c r="P25" s="10"/>
      <c r="Q25" s="10"/>
      <c r="R25" s="10"/>
      <c r="S25" s="11"/>
      <c r="T25" s="11"/>
      <c r="U25" s="10"/>
      <c r="V25" s="10"/>
      <c r="W25" s="10"/>
      <c r="X25" s="11"/>
      <c r="Y25" s="10"/>
      <c r="Z25" s="10"/>
      <c r="AA25" s="10"/>
      <c r="AB25" s="8" t="str">
        <f>IF(B25="","",IF(AND(H25="高",OR(J25="抵触",J25="不支持")),"高权力不支持；","")&amp;IF(L25&gt;0,"存在支持差距；","")&amp;IF(AND(T25&lt;&gt;"",T25&lt;项目驾驶舱!$B$3),"沟通逾期；","")&amp;IF(AND(V25&lt;&gt;"",X25&lt;项目驾驶舱!$B$3,Y25&lt;&gt;"已完成"),"行动逾期；","")&amp;IF(AND(Z25="是",AA25=""),"未填升级对象",""))</f>
        <v/>
      </c>
      <c r="AC25" s="10"/>
    </row>
    <row r="26" spans="1:29">
      <c r="A26" s="8" t="str">
        <f t="shared" si="0"/>
        <v/>
      </c>
      <c r="B26" s="10"/>
      <c r="C26" s="10"/>
      <c r="D26" s="10"/>
      <c r="E26" s="10"/>
      <c r="F26" s="10"/>
      <c r="G26" s="10"/>
      <c r="H26" s="10"/>
      <c r="I26" s="10"/>
      <c r="J26" s="10"/>
      <c r="K26" s="10"/>
      <c r="L26" s="8" t="str">
        <f t="shared" si="1"/>
        <v/>
      </c>
      <c r="M26" s="10"/>
      <c r="N26" s="10" t="str">
        <f t="shared" si="2"/>
        <v/>
      </c>
      <c r="O26" s="10"/>
      <c r="P26" s="10"/>
      <c r="Q26" s="10"/>
      <c r="R26" s="10"/>
      <c r="S26" s="11"/>
      <c r="T26" s="11"/>
      <c r="U26" s="10"/>
      <c r="V26" s="10"/>
      <c r="W26" s="10"/>
      <c r="X26" s="11"/>
      <c r="Y26" s="10"/>
      <c r="Z26" s="10"/>
      <c r="AA26" s="10"/>
      <c r="AB26" s="8" t="str">
        <f>IF(B26="","",IF(AND(H26="高",OR(J26="抵触",J26="不支持")),"高权力不支持；","")&amp;IF(L26&gt;0,"存在支持差距；","")&amp;IF(AND(T26&lt;&gt;"",T26&lt;项目驾驶舱!$B$3),"沟通逾期；","")&amp;IF(AND(V26&lt;&gt;"",X26&lt;项目驾驶舱!$B$3,Y26&lt;&gt;"已完成"),"行动逾期；","")&amp;IF(AND(Z26="是",AA26=""),"未填升级对象",""))</f>
        <v/>
      </c>
      <c r="AC26" s="10"/>
    </row>
    <row r="27" spans="1:29">
      <c r="A27" s="8" t="str">
        <f t="shared" si="0"/>
        <v/>
      </c>
      <c r="B27" s="10"/>
      <c r="C27" s="10"/>
      <c r="D27" s="10"/>
      <c r="E27" s="10"/>
      <c r="F27" s="10"/>
      <c r="G27" s="10"/>
      <c r="H27" s="10"/>
      <c r="I27" s="10"/>
      <c r="J27" s="10"/>
      <c r="K27" s="10"/>
      <c r="L27" s="8" t="str">
        <f t="shared" si="1"/>
        <v/>
      </c>
      <c r="M27" s="10"/>
      <c r="N27" s="10" t="str">
        <f t="shared" si="2"/>
        <v/>
      </c>
      <c r="O27" s="10"/>
      <c r="P27" s="10"/>
      <c r="Q27" s="10"/>
      <c r="R27" s="10"/>
      <c r="S27" s="11"/>
      <c r="T27" s="11"/>
      <c r="U27" s="10"/>
      <c r="V27" s="10"/>
      <c r="W27" s="10"/>
      <c r="X27" s="11"/>
      <c r="Y27" s="10"/>
      <c r="Z27" s="10"/>
      <c r="AA27" s="10"/>
      <c r="AB27" s="8" t="str">
        <f>IF(B27="","",IF(AND(H27="高",OR(J27="抵触",J27="不支持")),"高权力不支持；","")&amp;IF(L27&gt;0,"存在支持差距；","")&amp;IF(AND(T27&lt;&gt;"",T27&lt;项目驾驶舱!$B$3),"沟通逾期；","")&amp;IF(AND(V27&lt;&gt;"",X27&lt;项目驾驶舱!$B$3,Y27&lt;&gt;"已完成"),"行动逾期；","")&amp;IF(AND(Z27="是",AA27=""),"未填升级对象",""))</f>
        <v/>
      </c>
      <c r="AC27" s="10"/>
    </row>
    <row r="28" spans="1:29">
      <c r="A28" s="8" t="str">
        <f t="shared" si="0"/>
        <v/>
      </c>
      <c r="B28" s="10"/>
      <c r="C28" s="10"/>
      <c r="D28" s="10"/>
      <c r="E28" s="10"/>
      <c r="F28" s="10"/>
      <c r="G28" s="10"/>
      <c r="H28" s="10"/>
      <c r="I28" s="10"/>
      <c r="J28" s="10"/>
      <c r="K28" s="10"/>
      <c r="L28" s="8" t="str">
        <f t="shared" si="1"/>
        <v/>
      </c>
      <c r="M28" s="10"/>
      <c r="N28" s="10" t="str">
        <f t="shared" si="2"/>
        <v/>
      </c>
      <c r="O28" s="10"/>
      <c r="P28" s="10"/>
      <c r="Q28" s="10"/>
      <c r="R28" s="10"/>
      <c r="S28" s="11"/>
      <c r="T28" s="11"/>
      <c r="U28" s="10"/>
      <c r="V28" s="10"/>
      <c r="W28" s="10"/>
      <c r="X28" s="11"/>
      <c r="Y28" s="10"/>
      <c r="Z28" s="10"/>
      <c r="AA28" s="10"/>
      <c r="AB28" s="8" t="str">
        <f>IF(B28="","",IF(AND(H28="高",OR(J28="抵触",J28="不支持")),"高权力不支持；","")&amp;IF(L28&gt;0,"存在支持差距；","")&amp;IF(AND(T28&lt;&gt;"",T28&lt;项目驾驶舱!$B$3),"沟通逾期；","")&amp;IF(AND(V28&lt;&gt;"",X28&lt;项目驾驶舱!$B$3,Y28&lt;&gt;"已完成"),"行动逾期；","")&amp;IF(AND(Z28="是",AA28=""),"未填升级对象",""))</f>
        <v/>
      </c>
      <c r="AC28" s="10"/>
    </row>
    <row r="29" spans="1:29">
      <c r="A29" s="8" t="str">
        <f t="shared" si="0"/>
        <v/>
      </c>
      <c r="B29" s="10"/>
      <c r="C29" s="10"/>
      <c r="D29" s="10"/>
      <c r="E29" s="10"/>
      <c r="F29" s="10"/>
      <c r="G29" s="10"/>
      <c r="H29" s="10"/>
      <c r="I29" s="10"/>
      <c r="J29" s="10"/>
      <c r="K29" s="10"/>
      <c r="L29" s="8" t="str">
        <f t="shared" si="1"/>
        <v/>
      </c>
      <c r="M29" s="10"/>
      <c r="N29" s="10" t="str">
        <f t="shared" si="2"/>
        <v/>
      </c>
      <c r="O29" s="10"/>
      <c r="P29" s="10"/>
      <c r="Q29" s="10"/>
      <c r="R29" s="10"/>
      <c r="S29" s="11"/>
      <c r="T29" s="11"/>
      <c r="U29" s="10"/>
      <c r="V29" s="10"/>
      <c r="W29" s="10"/>
      <c r="X29" s="11"/>
      <c r="Y29" s="10"/>
      <c r="Z29" s="10"/>
      <c r="AA29" s="10"/>
      <c r="AB29" s="8" t="str">
        <f>IF(B29="","",IF(AND(H29="高",OR(J29="抵触",J29="不支持")),"高权力不支持；","")&amp;IF(L29&gt;0,"存在支持差距；","")&amp;IF(AND(T29&lt;&gt;"",T29&lt;项目驾驶舱!$B$3),"沟通逾期；","")&amp;IF(AND(V29&lt;&gt;"",X29&lt;项目驾驶舱!$B$3,Y29&lt;&gt;"已完成"),"行动逾期；","")&amp;IF(AND(Z29="是",AA29=""),"未填升级对象",""))</f>
        <v/>
      </c>
      <c r="AC29" s="10"/>
    </row>
    <row r="30" spans="1:29">
      <c r="A30" s="8" t="str">
        <f t="shared" si="0"/>
        <v/>
      </c>
      <c r="B30" s="10"/>
      <c r="C30" s="10"/>
      <c r="D30" s="10"/>
      <c r="E30" s="10"/>
      <c r="F30" s="10"/>
      <c r="G30" s="10"/>
      <c r="H30" s="10"/>
      <c r="I30" s="10"/>
      <c r="J30" s="10"/>
      <c r="K30" s="10"/>
      <c r="L30" s="8" t="str">
        <f t="shared" si="1"/>
        <v/>
      </c>
      <c r="M30" s="10"/>
      <c r="N30" s="10" t="str">
        <f t="shared" si="2"/>
        <v/>
      </c>
      <c r="O30" s="10"/>
      <c r="P30" s="10"/>
      <c r="Q30" s="10"/>
      <c r="R30" s="10"/>
      <c r="S30" s="11"/>
      <c r="T30" s="11"/>
      <c r="U30" s="10"/>
      <c r="V30" s="10"/>
      <c r="W30" s="10"/>
      <c r="X30" s="11"/>
      <c r="Y30" s="10"/>
      <c r="Z30" s="10"/>
      <c r="AA30" s="10"/>
      <c r="AB30" s="8" t="str">
        <f>IF(B30="","",IF(AND(H30="高",OR(J30="抵触",J30="不支持")),"高权力不支持；","")&amp;IF(L30&gt;0,"存在支持差距；","")&amp;IF(AND(T30&lt;&gt;"",T30&lt;项目驾驶舱!$B$3),"沟通逾期；","")&amp;IF(AND(V30&lt;&gt;"",X30&lt;项目驾驶舱!$B$3,Y30&lt;&gt;"已完成"),"行动逾期；","")&amp;IF(AND(Z30="是",AA30=""),"未填升级对象",""))</f>
        <v/>
      </c>
      <c r="AC30" s="10"/>
    </row>
    <row r="31" spans="1:29">
      <c r="A31" s="8" t="str">
        <f t="shared" si="0"/>
        <v/>
      </c>
      <c r="B31" s="10"/>
      <c r="C31" s="10"/>
      <c r="D31" s="10"/>
      <c r="E31" s="10"/>
      <c r="F31" s="10"/>
      <c r="G31" s="10"/>
      <c r="H31" s="10"/>
      <c r="I31" s="10"/>
      <c r="J31" s="10"/>
      <c r="K31" s="10"/>
      <c r="L31" s="8" t="str">
        <f t="shared" si="1"/>
        <v/>
      </c>
      <c r="M31" s="10"/>
      <c r="N31" s="10" t="str">
        <f t="shared" si="2"/>
        <v/>
      </c>
      <c r="O31" s="10"/>
      <c r="P31" s="10"/>
      <c r="Q31" s="10"/>
      <c r="R31" s="10"/>
      <c r="S31" s="11"/>
      <c r="T31" s="11"/>
      <c r="U31" s="10"/>
      <c r="V31" s="10"/>
      <c r="W31" s="10"/>
      <c r="X31" s="11"/>
      <c r="Y31" s="10"/>
      <c r="Z31" s="10"/>
      <c r="AA31" s="10"/>
      <c r="AB31" s="8" t="str">
        <f>IF(B31="","",IF(AND(H31="高",OR(J31="抵触",J31="不支持")),"高权力不支持；","")&amp;IF(L31&gt;0,"存在支持差距；","")&amp;IF(AND(T31&lt;&gt;"",T31&lt;项目驾驶舱!$B$3),"沟通逾期；","")&amp;IF(AND(V31&lt;&gt;"",X31&lt;项目驾驶舱!$B$3,Y31&lt;&gt;"已完成"),"行动逾期；","")&amp;IF(AND(Z31="是",AA31=""),"未填升级对象",""))</f>
        <v/>
      </c>
      <c r="AC31" s="10"/>
    </row>
    <row r="32" spans="1:29">
      <c r="A32" s="8" t="str">
        <f t="shared" si="0"/>
        <v/>
      </c>
      <c r="B32" s="10"/>
      <c r="C32" s="10"/>
      <c r="D32" s="10"/>
      <c r="E32" s="10"/>
      <c r="F32" s="10"/>
      <c r="G32" s="10"/>
      <c r="H32" s="10"/>
      <c r="I32" s="10"/>
      <c r="J32" s="10"/>
      <c r="K32" s="10"/>
      <c r="L32" s="8" t="str">
        <f t="shared" si="1"/>
        <v/>
      </c>
      <c r="M32" s="10"/>
      <c r="N32" s="10" t="str">
        <f t="shared" si="2"/>
        <v/>
      </c>
      <c r="O32" s="10"/>
      <c r="P32" s="10"/>
      <c r="Q32" s="10"/>
      <c r="R32" s="10"/>
      <c r="S32" s="11"/>
      <c r="T32" s="11"/>
      <c r="U32" s="10"/>
      <c r="V32" s="10"/>
      <c r="W32" s="10"/>
      <c r="X32" s="11"/>
      <c r="Y32" s="10"/>
      <c r="Z32" s="10"/>
      <c r="AA32" s="10"/>
      <c r="AB32" s="8" t="str">
        <f>IF(B32="","",IF(AND(H32="高",OR(J32="抵触",J32="不支持")),"高权力不支持；","")&amp;IF(L32&gt;0,"存在支持差距；","")&amp;IF(AND(T32&lt;&gt;"",T32&lt;项目驾驶舱!$B$3),"沟通逾期；","")&amp;IF(AND(V32&lt;&gt;"",X32&lt;项目驾驶舱!$B$3,Y32&lt;&gt;"已完成"),"行动逾期；","")&amp;IF(AND(Z32="是",AA32=""),"未填升级对象",""))</f>
        <v/>
      </c>
      <c r="AC32" s="10"/>
    </row>
    <row r="33" spans="1:29">
      <c r="A33" s="8" t="str">
        <f t="shared" si="0"/>
        <v/>
      </c>
      <c r="B33" s="10"/>
      <c r="C33" s="10"/>
      <c r="D33" s="10"/>
      <c r="E33" s="10"/>
      <c r="F33" s="10"/>
      <c r="G33" s="10"/>
      <c r="H33" s="10"/>
      <c r="I33" s="10"/>
      <c r="J33" s="10"/>
      <c r="K33" s="10"/>
      <c r="L33" s="8" t="str">
        <f t="shared" si="1"/>
        <v/>
      </c>
      <c r="M33" s="10"/>
      <c r="N33" s="10" t="str">
        <f t="shared" si="2"/>
        <v/>
      </c>
      <c r="O33" s="10"/>
      <c r="P33" s="10"/>
      <c r="Q33" s="10"/>
      <c r="R33" s="10"/>
      <c r="S33" s="11"/>
      <c r="T33" s="11"/>
      <c r="U33" s="10"/>
      <c r="V33" s="10"/>
      <c r="W33" s="10"/>
      <c r="X33" s="11"/>
      <c r="Y33" s="10"/>
      <c r="Z33" s="10"/>
      <c r="AA33" s="10"/>
      <c r="AB33" s="8" t="str">
        <f>IF(B33="","",IF(AND(H33="高",OR(J33="抵触",J33="不支持")),"高权力不支持；","")&amp;IF(L33&gt;0,"存在支持差距；","")&amp;IF(AND(T33&lt;&gt;"",T33&lt;项目驾驶舱!$B$3),"沟通逾期；","")&amp;IF(AND(V33&lt;&gt;"",X33&lt;项目驾驶舱!$B$3,Y33&lt;&gt;"已完成"),"行动逾期；","")&amp;IF(AND(Z33="是",AA33=""),"未填升级对象",""))</f>
        <v/>
      </c>
      <c r="AC33" s="10"/>
    </row>
    <row r="34" spans="1:29">
      <c r="A34" s="8" t="str">
        <f t="shared" si="0"/>
        <v/>
      </c>
      <c r="B34" s="10"/>
      <c r="C34" s="10"/>
      <c r="D34" s="10"/>
      <c r="E34" s="10"/>
      <c r="F34" s="10"/>
      <c r="G34" s="10"/>
      <c r="H34" s="10"/>
      <c r="I34" s="10"/>
      <c r="J34" s="10"/>
      <c r="K34" s="10"/>
      <c r="L34" s="8" t="str">
        <f t="shared" si="1"/>
        <v/>
      </c>
      <c r="M34" s="10"/>
      <c r="N34" s="10" t="str">
        <f t="shared" si="2"/>
        <v/>
      </c>
      <c r="O34" s="10"/>
      <c r="P34" s="10"/>
      <c r="Q34" s="10"/>
      <c r="R34" s="10"/>
      <c r="S34" s="11"/>
      <c r="T34" s="11"/>
      <c r="U34" s="10"/>
      <c r="V34" s="10"/>
      <c r="W34" s="10"/>
      <c r="X34" s="11"/>
      <c r="Y34" s="10"/>
      <c r="Z34" s="10"/>
      <c r="AA34" s="10"/>
      <c r="AB34" s="8" t="str">
        <f>IF(B34="","",IF(AND(H34="高",OR(J34="抵触",J34="不支持")),"高权力不支持；","")&amp;IF(L34&gt;0,"存在支持差距；","")&amp;IF(AND(T34&lt;&gt;"",T34&lt;项目驾驶舱!$B$3),"沟通逾期；","")&amp;IF(AND(V34&lt;&gt;"",X34&lt;项目驾驶舱!$B$3,Y34&lt;&gt;"已完成"),"行动逾期；","")&amp;IF(AND(Z34="是",AA34=""),"未填升级对象",""))</f>
        <v/>
      </c>
      <c r="AC34" s="10"/>
    </row>
    <row r="35" spans="1:29">
      <c r="A35" s="8" t="str">
        <f t="shared" si="0"/>
        <v/>
      </c>
      <c r="B35" s="10"/>
      <c r="C35" s="10"/>
      <c r="D35" s="10"/>
      <c r="E35" s="10"/>
      <c r="F35" s="10"/>
      <c r="G35" s="10"/>
      <c r="H35" s="10"/>
      <c r="I35" s="10"/>
      <c r="J35" s="10"/>
      <c r="K35" s="10"/>
      <c r="L35" s="8" t="str">
        <f t="shared" si="1"/>
        <v/>
      </c>
      <c r="M35" s="10"/>
      <c r="N35" s="10" t="str">
        <f t="shared" si="2"/>
        <v/>
      </c>
      <c r="O35" s="10"/>
      <c r="P35" s="10"/>
      <c r="Q35" s="10"/>
      <c r="R35" s="10"/>
      <c r="S35" s="11"/>
      <c r="T35" s="11"/>
      <c r="U35" s="10"/>
      <c r="V35" s="10"/>
      <c r="W35" s="10"/>
      <c r="X35" s="11"/>
      <c r="Y35" s="10"/>
      <c r="Z35" s="10"/>
      <c r="AA35" s="10"/>
      <c r="AB35" s="8" t="str">
        <f>IF(B35="","",IF(AND(H35="高",OR(J35="抵触",J35="不支持")),"高权力不支持；","")&amp;IF(L35&gt;0,"存在支持差距；","")&amp;IF(AND(T35&lt;&gt;"",T35&lt;项目驾驶舱!$B$3),"沟通逾期；","")&amp;IF(AND(V35&lt;&gt;"",X35&lt;项目驾驶舱!$B$3,Y35&lt;&gt;"已完成"),"行动逾期；","")&amp;IF(AND(Z35="是",AA35=""),"未填升级对象",""))</f>
        <v/>
      </c>
      <c r="AC35" s="10"/>
    </row>
    <row r="36" spans="1:29">
      <c r="A36" s="8" t="str">
        <f t="shared" si="0"/>
        <v/>
      </c>
      <c r="B36" s="10"/>
      <c r="C36" s="10"/>
      <c r="D36" s="10"/>
      <c r="E36" s="10"/>
      <c r="F36" s="10"/>
      <c r="G36" s="10"/>
      <c r="H36" s="10"/>
      <c r="I36" s="10"/>
      <c r="J36" s="10"/>
      <c r="K36" s="10"/>
      <c r="L36" s="8" t="str">
        <f t="shared" si="1"/>
        <v/>
      </c>
      <c r="M36" s="10"/>
      <c r="N36" s="10" t="str">
        <f t="shared" si="2"/>
        <v/>
      </c>
      <c r="O36" s="10"/>
      <c r="P36" s="10"/>
      <c r="Q36" s="10"/>
      <c r="R36" s="10"/>
      <c r="S36" s="11"/>
      <c r="T36" s="11"/>
      <c r="U36" s="10"/>
      <c r="V36" s="10"/>
      <c r="W36" s="10"/>
      <c r="X36" s="11"/>
      <c r="Y36" s="10"/>
      <c r="Z36" s="10"/>
      <c r="AA36" s="10"/>
      <c r="AB36" s="8" t="str">
        <f>IF(B36="","",IF(AND(H36="高",OR(J36="抵触",J36="不支持")),"高权力不支持；","")&amp;IF(L36&gt;0,"存在支持差距；","")&amp;IF(AND(T36&lt;&gt;"",T36&lt;项目驾驶舱!$B$3),"沟通逾期；","")&amp;IF(AND(V36&lt;&gt;"",X36&lt;项目驾驶舱!$B$3,Y36&lt;&gt;"已完成"),"行动逾期；","")&amp;IF(AND(Z36="是",AA36=""),"未填升级对象",""))</f>
        <v/>
      </c>
      <c r="AC36" s="10"/>
    </row>
    <row r="37" spans="1:29">
      <c r="A37" s="8" t="str">
        <f t="shared" si="0"/>
        <v/>
      </c>
      <c r="B37" s="10"/>
      <c r="C37" s="10"/>
      <c r="D37" s="10"/>
      <c r="E37" s="10"/>
      <c r="F37" s="10"/>
      <c r="G37" s="10"/>
      <c r="H37" s="10"/>
      <c r="I37" s="10"/>
      <c r="J37" s="10"/>
      <c r="K37" s="10"/>
      <c r="L37" s="8" t="str">
        <f t="shared" si="1"/>
        <v/>
      </c>
      <c r="M37" s="10"/>
      <c r="N37" s="10" t="str">
        <f t="shared" si="2"/>
        <v/>
      </c>
      <c r="O37" s="10"/>
      <c r="P37" s="10"/>
      <c r="Q37" s="10"/>
      <c r="R37" s="10"/>
      <c r="S37" s="11"/>
      <c r="T37" s="11"/>
      <c r="U37" s="10"/>
      <c r="V37" s="10"/>
      <c r="W37" s="10"/>
      <c r="X37" s="11"/>
      <c r="Y37" s="10"/>
      <c r="Z37" s="10"/>
      <c r="AA37" s="10"/>
      <c r="AB37" s="8" t="str">
        <f>IF(B37="","",IF(AND(H37="高",OR(J37="抵触",J37="不支持")),"高权力不支持；","")&amp;IF(L37&gt;0,"存在支持差距；","")&amp;IF(AND(T37&lt;&gt;"",T37&lt;项目驾驶舱!$B$3),"沟通逾期；","")&amp;IF(AND(V37&lt;&gt;"",X37&lt;项目驾驶舱!$B$3,Y37&lt;&gt;"已完成"),"行动逾期；","")&amp;IF(AND(Z37="是",AA37=""),"未填升级对象",""))</f>
        <v/>
      </c>
      <c r="AC37" s="10"/>
    </row>
    <row r="38" spans="1:29">
      <c r="A38" s="8" t="str">
        <f t="shared" si="0"/>
        <v/>
      </c>
      <c r="B38" s="10"/>
      <c r="C38" s="10"/>
      <c r="D38" s="10"/>
      <c r="E38" s="10"/>
      <c r="F38" s="10"/>
      <c r="G38" s="10"/>
      <c r="H38" s="10"/>
      <c r="I38" s="10"/>
      <c r="J38" s="10"/>
      <c r="K38" s="10"/>
      <c r="L38" s="8" t="str">
        <f t="shared" si="1"/>
        <v/>
      </c>
      <c r="M38" s="10"/>
      <c r="N38" s="10" t="str">
        <f t="shared" si="2"/>
        <v/>
      </c>
      <c r="O38" s="10"/>
      <c r="P38" s="10"/>
      <c r="Q38" s="10"/>
      <c r="R38" s="10"/>
      <c r="S38" s="11"/>
      <c r="T38" s="11"/>
      <c r="U38" s="10"/>
      <c r="V38" s="10"/>
      <c r="W38" s="10"/>
      <c r="X38" s="11"/>
      <c r="Y38" s="10"/>
      <c r="Z38" s="10"/>
      <c r="AA38" s="10"/>
      <c r="AB38" s="8" t="str">
        <f>IF(B38="","",IF(AND(H38="高",OR(J38="抵触",J38="不支持")),"高权力不支持；","")&amp;IF(L38&gt;0,"存在支持差距；","")&amp;IF(AND(T38&lt;&gt;"",T38&lt;项目驾驶舱!$B$3),"沟通逾期；","")&amp;IF(AND(V38&lt;&gt;"",X38&lt;项目驾驶舱!$B$3,Y38&lt;&gt;"已完成"),"行动逾期；","")&amp;IF(AND(Z38="是",AA38=""),"未填升级对象",""))</f>
        <v/>
      </c>
      <c r="AC38" s="10"/>
    </row>
    <row r="39" spans="1:29">
      <c r="A39" s="8" t="str">
        <f t="shared" si="0"/>
        <v/>
      </c>
      <c r="B39" s="10"/>
      <c r="C39" s="10"/>
      <c r="D39" s="10"/>
      <c r="E39" s="10"/>
      <c r="F39" s="10"/>
      <c r="G39" s="10"/>
      <c r="H39" s="10"/>
      <c r="I39" s="10"/>
      <c r="J39" s="10"/>
      <c r="K39" s="10"/>
      <c r="L39" s="8" t="str">
        <f t="shared" si="1"/>
        <v/>
      </c>
      <c r="M39" s="10"/>
      <c r="N39" s="10" t="str">
        <f t="shared" si="2"/>
        <v/>
      </c>
      <c r="O39" s="10"/>
      <c r="P39" s="10"/>
      <c r="Q39" s="10"/>
      <c r="R39" s="10"/>
      <c r="S39" s="11"/>
      <c r="T39" s="11"/>
      <c r="U39" s="10"/>
      <c r="V39" s="10"/>
      <c r="W39" s="10"/>
      <c r="X39" s="11"/>
      <c r="Y39" s="10"/>
      <c r="Z39" s="10"/>
      <c r="AA39" s="10"/>
      <c r="AB39" s="8" t="str">
        <f>IF(B39="","",IF(AND(H39="高",OR(J39="抵触",J39="不支持")),"高权力不支持；","")&amp;IF(L39&gt;0,"存在支持差距；","")&amp;IF(AND(T39&lt;&gt;"",T39&lt;项目驾驶舱!$B$3),"沟通逾期；","")&amp;IF(AND(V39&lt;&gt;"",X39&lt;项目驾驶舱!$B$3,Y39&lt;&gt;"已完成"),"行动逾期；","")&amp;IF(AND(Z39="是",AA39=""),"未填升级对象",""))</f>
        <v/>
      </c>
      <c r="AC39" s="10"/>
    </row>
    <row r="40" spans="1:29">
      <c r="A40" s="8" t="str">
        <f t="shared" si="0"/>
        <v/>
      </c>
      <c r="B40" s="10"/>
      <c r="C40" s="10"/>
      <c r="D40" s="10"/>
      <c r="E40" s="10"/>
      <c r="F40" s="10"/>
      <c r="G40" s="10"/>
      <c r="H40" s="10"/>
      <c r="I40" s="10"/>
      <c r="J40" s="10"/>
      <c r="K40" s="10"/>
      <c r="L40" s="8" t="str">
        <f t="shared" si="1"/>
        <v/>
      </c>
      <c r="M40" s="10"/>
      <c r="N40" s="10" t="str">
        <f t="shared" si="2"/>
        <v/>
      </c>
      <c r="O40" s="10"/>
      <c r="P40" s="10"/>
      <c r="Q40" s="10"/>
      <c r="R40" s="10"/>
      <c r="S40" s="11"/>
      <c r="T40" s="11"/>
      <c r="U40" s="10"/>
      <c r="V40" s="10"/>
      <c r="W40" s="10"/>
      <c r="X40" s="11"/>
      <c r="Y40" s="10"/>
      <c r="Z40" s="10"/>
      <c r="AA40" s="10"/>
      <c r="AB40" s="8" t="str">
        <f>IF(B40="","",IF(AND(H40="高",OR(J40="抵触",J40="不支持")),"高权力不支持；","")&amp;IF(L40&gt;0,"存在支持差距；","")&amp;IF(AND(T40&lt;&gt;"",T40&lt;项目驾驶舱!$B$3),"沟通逾期；","")&amp;IF(AND(V40&lt;&gt;"",X40&lt;项目驾驶舱!$B$3,Y40&lt;&gt;"已完成"),"行动逾期；","")&amp;IF(AND(Z40="是",AA40=""),"未填升级对象",""))</f>
        <v/>
      </c>
      <c r="AC40" s="10"/>
    </row>
    <row r="41" spans="1:29">
      <c r="A41" s="8" t="str">
        <f t="shared" si="0"/>
        <v/>
      </c>
      <c r="B41" s="10"/>
      <c r="C41" s="10"/>
      <c r="D41" s="10"/>
      <c r="E41" s="10"/>
      <c r="F41" s="10"/>
      <c r="G41" s="10"/>
      <c r="H41" s="10"/>
      <c r="I41" s="10"/>
      <c r="J41" s="10"/>
      <c r="K41" s="10"/>
      <c r="L41" s="8" t="str">
        <f t="shared" si="1"/>
        <v/>
      </c>
      <c r="M41" s="10"/>
      <c r="N41" s="10" t="str">
        <f t="shared" si="2"/>
        <v/>
      </c>
      <c r="O41" s="10"/>
      <c r="P41" s="10"/>
      <c r="Q41" s="10"/>
      <c r="R41" s="10"/>
      <c r="S41" s="11"/>
      <c r="T41" s="11"/>
      <c r="U41" s="10"/>
      <c r="V41" s="10"/>
      <c r="W41" s="10"/>
      <c r="X41" s="11"/>
      <c r="Y41" s="10"/>
      <c r="Z41" s="10"/>
      <c r="AA41" s="10"/>
      <c r="AB41" s="8" t="str">
        <f>IF(B41="","",IF(AND(H41="高",OR(J41="抵触",J41="不支持")),"高权力不支持；","")&amp;IF(L41&gt;0,"存在支持差距；","")&amp;IF(AND(T41&lt;&gt;"",T41&lt;项目驾驶舱!$B$3),"沟通逾期；","")&amp;IF(AND(V41&lt;&gt;"",X41&lt;项目驾驶舱!$B$3,Y41&lt;&gt;"已完成"),"行动逾期；","")&amp;IF(AND(Z41="是",AA41=""),"未填升级对象",""))</f>
        <v/>
      </c>
      <c r="AC41" s="10"/>
    </row>
    <row r="42" spans="1:29">
      <c r="A42" s="8" t="str">
        <f t="shared" si="0"/>
        <v/>
      </c>
      <c r="B42" s="10"/>
      <c r="C42" s="10"/>
      <c r="D42" s="10"/>
      <c r="E42" s="10"/>
      <c r="F42" s="10"/>
      <c r="G42" s="10"/>
      <c r="H42" s="10"/>
      <c r="I42" s="10"/>
      <c r="J42" s="10"/>
      <c r="K42" s="10"/>
      <c r="L42" s="8" t="str">
        <f t="shared" si="1"/>
        <v/>
      </c>
      <c r="M42" s="10"/>
      <c r="N42" s="10" t="str">
        <f t="shared" si="2"/>
        <v/>
      </c>
      <c r="O42" s="10"/>
      <c r="P42" s="10"/>
      <c r="Q42" s="10"/>
      <c r="R42" s="10"/>
      <c r="S42" s="11"/>
      <c r="T42" s="11"/>
      <c r="U42" s="10"/>
      <c r="V42" s="10"/>
      <c r="W42" s="10"/>
      <c r="X42" s="11"/>
      <c r="Y42" s="10"/>
      <c r="Z42" s="10"/>
      <c r="AA42" s="10"/>
      <c r="AB42" s="8" t="str">
        <f>IF(B42="","",IF(AND(H42="高",OR(J42="抵触",J42="不支持")),"高权力不支持；","")&amp;IF(L42&gt;0,"存在支持差距；","")&amp;IF(AND(T42&lt;&gt;"",T42&lt;项目驾驶舱!$B$3),"沟通逾期；","")&amp;IF(AND(V42&lt;&gt;"",X42&lt;项目驾驶舱!$B$3,Y42&lt;&gt;"已完成"),"行动逾期；","")&amp;IF(AND(Z42="是",AA42=""),"未填升级对象",""))</f>
        <v/>
      </c>
      <c r="AC42" s="10"/>
    </row>
    <row r="43" spans="1:29">
      <c r="A43" s="8" t="str">
        <f t="shared" si="0"/>
        <v/>
      </c>
      <c r="B43" s="10"/>
      <c r="C43" s="10"/>
      <c r="D43" s="10"/>
      <c r="E43" s="10"/>
      <c r="F43" s="10"/>
      <c r="G43" s="10"/>
      <c r="H43" s="10"/>
      <c r="I43" s="10"/>
      <c r="J43" s="10"/>
      <c r="K43" s="10"/>
      <c r="L43" s="8" t="str">
        <f t="shared" si="1"/>
        <v/>
      </c>
      <c r="M43" s="10"/>
      <c r="N43" s="10" t="str">
        <f t="shared" si="2"/>
        <v/>
      </c>
      <c r="O43" s="10"/>
      <c r="P43" s="10"/>
      <c r="Q43" s="10"/>
      <c r="R43" s="10"/>
      <c r="S43" s="11"/>
      <c r="T43" s="11"/>
      <c r="U43" s="10"/>
      <c r="V43" s="10"/>
      <c r="W43" s="10"/>
      <c r="X43" s="11"/>
      <c r="Y43" s="10"/>
      <c r="Z43" s="10"/>
      <c r="AA43" s="10"/>
      <c r="AB43" s="8" t="str">
        <f>IF(B43="","",IF(AND(H43="高",OR(J43="抵触",J43="不支持")),"高权力不支持；","")&amp;IF(L43&gt;0,"存在支持差距；","")&amp;IF(AND(T43&lt;&gt;"",T43&lt;项目驾驶舱!$B$3),"沟通逾期；","")&amp;IF(AND(V43&lt;&gt;"",X43&lt;项目驾驶舱!$B$3,Y43&lt;&gt;"已完成"),"行动逾期；","")&amp;IF(AND(Z43="是",AA43=""),"未填升级对象",""))</f>
        <v/>
      </c>
      <c r="AC43" s="10"/>
    </row>
    <row r="44" spans="1:29">
      <c r="A44" s="8" t="str">
        <f t="shared" si="0"/>
        <v/>
      </c>
      <c r="B44" s="10"/>
      <c r="C44" s="10"/>
      <c r="D44" s="10"/>
      <c r="E44" s="10"/>
      <c r="F44" s="10"/>
      <c r="G44" s="10"/>
      <c r="H44" s="10"/>
      <c r="I44" s="10"/>
      <c r="J44" s="10"/>
      <c r="K44" s="10"/>
      <c r="L44" s="8" t="str">
        <f t="shared" si="1"/>
        <v/>
      </c>
      <c r="M44" s="10"/>
      <c r="N44" s="10" t="str">
        <f t="shared" si="2"/>
        <v/>
      </c>
      <c r="O44" s="10"/>
      <c r="P44" s="10"/>
      <c r="Q44" s="10"/>
      <c r="R44" s="10"/>
      <c r="S44" s="11"/>
      <c r="T44" s="11"/>
      <c r="U44" s="10"/>
      <c r="V44" s="10"/>
      <c r="W44" s="10"/>
      <c r="X44" s="11"/>
      <c r="Y44" s="10"/>
      <c r="Z44" s="10"/>
      <c r="AA44" s="10"/>
      <c r="AB44" s="8" t="str">
        <f>IF(B44="","",IF(AND(H44="高",OR(J44="抵触",J44="不支持")),"高权力不支持；","")&amp;IF(L44&gt;0,"存在支持差距；","")&amp;IF(AND(T44&lt;&gt;"",T44&lt;项目驾驶舱!$B$3),"沟通逾期；","")&amp;IF(AND(V44&lt;&gt;"",X44&lt;项目驾驶舱!$B$3,Y44&lt;&gt;"已完成"),"行动逾期；","")&amp;IF(AND(Z44="是",AA44=""),"未填升级对象",""))</f>
        <v/>
      </c>
      <c r="AC44" s="10"/>
    </row>
    <row r="45" spans="1:29">
      <c r="A45" s="8" t="str">
        <f t="shared" si="0"/>
        <v/>
      </c>
      <c r="B45" s="10"/>
      <c r="C45" s="10"/>
      <c r="D45" s="10"/>
      <c r="E45" s="10"/>
      <c r="F45" s="10"/>
      <c r="G45" s="10"/>
      <c r="H45" s="10"/>
      <c r="I45" s="10"/>
      <c r="J45" s="10"/>
      <c r="K45" s="10"/>
      <c r="L45" s="8" t="str">
        <f t="shared" si="1"/>
        <v/>
      </c>
      <c r="M45" s="10"/>
      <c r="N45" s="10" t="str">
        <f t="shared" si="2"/>
        <v/>
      </c>
      <c r="O45" s="10"/>
      <c r="P45" s="10"/>
      <c r="Q45" s="10"/>
      <c r="R45" s="10"/>
      <c r="S45" s="11"/>
      <c r="T45" s="11"/>
      <c r="U45" s="10"/>
      <c r="V45" s="10"/>
      <c r="W45" s="10"/>
      <c r="X45" s="11"/>
      <c r="Y45" s="10"/>
      <c r="Z45" s="10"/>
      <c r="AA45" s="10"/>
      <c r="AB45" s="8" t="str">
        <f>IF(B45="","",IF(AND(H45="高",OR(J45="抵触",J45="不支持")),"高权力不支持；","")&amp;IF(L45&gt;0,"存在支持差距；","")&amp;IF(AND(T45&lt;&gt;"",T45&lt;项目驾驶舱!$B$3),"沟通逾期；","")&amp;IF(AND(V45&lt;&gt;"",X45&lt;项目驾驶舱!$B$3,Y45&lt;&gt;"已完成"),"行动逾期；","")&amp;IF(AND(Z45="是",AA45=""),"未填升级对象",""))</f>
        <v/>
      </c>
      <c r="AC45" s="10"/>
    </row>
    <row r="46" spans="1:29">
      <c r="A46" s="8" t="str">
        <f t="shared" si="0"/>
        <v/>
      </c>
      <c r="B46" s="10"/>
      <c r="C46" s="10"/>
      <c r="D46" s="10"/>
      <c r="E46" s="10"/>
      <c r="F46" s="10"/>
      <c r="G46" s="10"/>
      <c r="H46" s="10"/>
      <c r="I46" s="10"/>
      <c r="J46" s="10"/>
      <c r="K46" s="10"/>
      <c r="L46" s="8" t="str">
        <f t="shared" si="1"/>
        <v/>
      </c>
      <c r="M46" s="10"/>
      <c r="N46" s="10" t="str">
        <f t="shared" si="2"/>
        <v/>
      </c>
      <c r="O46" s="10"/>
      <c r="P46" s="10"/>
      <c r="Q46" s="10"/>
      <c r="R46" s="10"/>
      <c r="S46" s="11"/>
      <c r="T46" s="11"/>
      <c r="U46" s="10"/>
      <c r="V46" s="10"/>
      <c r="W46" s="10"/>
      <c r="X46" s="11"/>
      <c r="Y46" s="10"/>
      <c r="Z46" s="10"/>
      <c r="AA46" s="10"/>
      <c r="AB46" s="8" t="str">
        <f>IF(B46="","",IF(AND(H46="高",OR(J46="抵触",J46="不支持")),"高权力不支持；","")&amp;IF(L46&gt;0,"存在支持差距；","")&amp;IF(AND(T46&lt;&gt;"",T46&lt;项目驾驶舱!$B$3),"沟通逾期；","")&amp;IF(AND(V46&lt;&gt;"",X46&lt;项目驾驶舱!$B$3,Y46&lt;&gt;"已完成"),"行动逾期；","")&amp;IF(AND(Z46="是",AA46=""),"未填升级对象",""))</f>
        <v/>
      </c>
      <c r="AC46" s="10"/>
    </row>
    <row r="47" spans="1:29">
      <c r="A47" s="8" t="str">
        <f t="shared" si="0"/>
        <v/>
      </c>
      <c r="B47" s="10"/>
      <c r="C47" s="10"/>
      <c r="D47" s="10"/>
      <c r="E47" s="10"/>
      <c r="F47" s="10"/>
      <c r="G47" s="10"/>
      <c r="H47" s="10"/>
      <c r="I47" s="10"/>
      <c r="J47" s="10"/>
      <c r="K47" s="10"/>
      <c r="L47" s="8" t="str">
        <f t="shared" si="1"/>
        <v/>
      </c>
      <c r="M47" s="10"/>
      <c r="N47" s="10" t="str">
        <f t="shared" si="2"/>
        <v/>
      </c>
      <c r="O47" s="10"/>
      <c r="P47" s="10"/>
      <c r="Q47" s="10"/>
      <c r="R47" s="10"/>
      <c r="S47" s="11"/>
      <c r="T47" s="11"/>
      <c r="U47" s="10"/>
      <c r="V47" s="10"/>
      <c r="W47" s="10"/>
      <c r="X47" s="11"/>
      <c r="Y47" s="10"/>
      <c r="Z47" s="10"/>
      <c r="AA47" s="10"/>
      <c r="AB47" s="8" t="str">
        <f>IF(B47="","",IF(AND(H47="高",OR(J47="抵触",J47="不支持")),"高权力不支持；","")&amp;IF(L47&gt;0,"存在支持差距；","")&amp;IF(AND(T47&lt;&gt;"",T47&lt;项目驾驶舱!$B$3),"沟通逾期；","")&amp;IF(AND(V47&lt;&gt;"",X47&lt;项目驾驶舱!$B$3,Y47&lt;&gt;"已完成"),"行动逾期；","")&amp;IF(AND(Z47="是",AA47=""),"未填升级对象",""))</f>
        <v/>
      </c>
      <c r="AC47" s="10"/>
    </row>
    <row r="48" spans="1:29">
      <c r="A48" s="8" t="str">
        <f t="shared" si="0"/>
        <v/>
      </c>
      <c r="B48" s="10"/>
      <c r="C48" s="10"/>
      <c r="D48" s="10"/>
      <c r="E48" s="10"/>
      <c r="F48" s="10"/>
      <c r="G48" s="10"/>
      <c r="H48" s="10"/>
      <c r="I48" s="10"/>
      <c r="J48" s="10"/>
      <c r="K48" s="10"/>
      <c r="L48" s="8" t="str">
        <f t="shared" si="1"/>
        <v/>
      </c>
      <c r="M48" s="10"/>
      <c r="N48" s="10" t="str">
        <f t="shared" si="2"/>
        <v/>
      </c>
      <c r="O48" s="10"/>
      <c r="P48" s="10"/>
      <c r="Q48" s="10"/>
      <c r="R48" s="10"/>
      <c r="S48" s="11"/>
      <c r="T48" s="11"/>
      <c r="U48" s="10"/>
      <c r="V48" s="10"/>
      <c r="W48" s="10"/>
      <c r="X48" s="11"/>
      <c r="Y48" s="10"/>
      <c r="Z48" s="10"/>
      <c r="AA48" s="10"/>
      <c r="AB48" s="8" t="str">
        <f>IF(B48="","",IF(AND(H48="高",OR(J48="抵触",J48="不支持")),"高权力不支持；","")&amp;IF(L48&gt;0,"存在支持差距；","")&amp;IF(AND(T48&lt;&gt;"",T48&lt;项目驾驶舱!$B$3),"沟通逾期；","")&amp;IF(AND(V48&lt;&gt;"",X48&lt;项目驾驶舱!$B$3,Y48&lt;&gt;"已完成"),"行动逾期；","")&amp;IF(AND(Z48="是",AA48=""),"未填升级对象",""))</f>
        <v/>
      </c>
      <c r="AC48" s="10"/>
    </row>
    <row r="49" spans="1:29">
      <c r="A49" s="8" t="str">
        <f t="shared" si="0"/>
        <v/>
      </c>
      <c r="B49" s="10"/>
      <c r="C49" s="10"/>
      <c r="D49" s="10"/>
      <c r="E49" s="10"/>
      <c r="F49" s="10"/>
      <c r="G49" s="10"/>
      <c r="H49" s="10"/>
      <c r="I49" s="10"/>
      <c r="J49" s="10"/>
      <c r="K49" s="10"/>
      <c r="L49" s="8" t="str">
        <f t="shared" si="1"/>
        <v/>
      </c>
      <c r="M49" s="10"/>
      <c r="N49" s="10" t="str">
        <f t="shared" si="2"/>
        <v/>
      </c>
      <c r="O49" s="10"/>
      <c r="P49" s="10"/>
      <c r="Q49" s="10"/>
      <c r="R49" s="10"/>
      <c r="S49" s="11"/>
      <c r="T49" s="11"/>
      <c r="U49" s="10"/>
      <c r="V49" s="10"/>
      <c r="W49" s="10"/>
      <c r="X49" s="11"/>
      <c r="Y49" s="10"/>
      <c r="Z49" s="10"/>
      <c r="AA49" s="10"/>
      <c r="AB49" s="8" t="str">
        <f>IF(B49="","",IF(AND(H49="高",OR(J49="抵触",J49="不支持")),"高权力不支持；","")&amp;IF(L49&gt;0,"存在支持差距；","")&amp;IF(AND(T49&lt;&gt;"",T49&lt;项目驾驶舱!$B$3),"沟通逾期；","")&amp;IF(AND(V49&lt;&gt;"",X49&lt;项目驾驶舱!$B$3,Y49&lt;&gt;"已完成"),"行动逾期；","")&amp;IF(AND(Z49="是",AA49=""),"未填升级对象",""))</f>
        <v/>
      </c>
      <c r="AC49" s="10"/>
    </row>
    <row r="50" spans="1:29">
      <c r="A50" s="8" t="str">
        <f t="shared" si="0"/>
        <v/>
      </c>
      <c r="B50" s="10"/>
      <c r="C50" s="10"/>
      <c r="D50" s="10"/>
      <c r="E50" s="10"/>
      <c r="F50" s="10"/>
      <c r="G50" s="10"/>
      <c r="H50" s="10"/>
      <c r="I50" s="10"/>
      <c r="J50" s="10"/>
      <c r="K50" s="10"/>
      <c r="L50" s="8" t="str">
        <f t="shared" si="1"/>
        <v/>
      </c>
      <c r="M50" s="10"/>
      <c r="N50" s="10" t="str">
        <f t="shared" si="2"/>
        <v/>
      </c>
      <c r="O50" s="10"/>
      <c r="P50" s="10"/>
      <c r="Q50" s="10"/>
      <c r="R50" s="10"/>
      <c r="S50" s="11"/>
      <c r="T50" s="11"/>
      <c r="U50" s="10"/>
      <c r="V50" s="10"/>
      <c r="W50" s="10"/>
      <c r="X50" s="11"/>
      <c r="Y50" s="10"/>
      <c r="Z50" s="10"/>
      <c r="AA50" s="10"/>
      <c r="AB50" s="8" t="str">
        <f>IF(B50="","",IF(AND(H50="高",OR(J50="抵触",J50="不支持")),"高权力不支持；","")&amp;IF(L50&gt;0,"存在支持差距；","")&amp;IF(AND(T50&lt;&gt;"",T50&lt;项目驾驶舱!$B$3),"沟通逾期；","")&amp;IF(AND(V50&lt;&gt;"",X50&lt;项目驾驶舱!$B$3,Y50&lt;&gt;"已完成"),"行动逾期；","")&amp;IF(AND(Z50="是",AA50=""),"未填升级对象",""))</f>
        <v/>
      </c>
      <c r="AC50" s="10"/>
    </row>
    <row r="51" spans="1:29">
      <c r="A51" s="8" t="str">
        <f t="shared" si="0"/>
        <v/>
      </c>
      <c r="B51" s="10"/>
      <c r="C51" s="10"/>
      <c r="D51" s="10"/>
      <c r="E51" s="10"/>
      <c r="F51" s="10"/>
      <c r="G51" s="10"/>
      <c r="H51" s="10"/>
      <c r="I51" s="10"/>
      <c r="J51" s="10"/>
      <c r="K51" s="10"/>
      <c r="L51" s="8" t="str">
        <f t="shared" si="1"/>
        <v/>
      </c>
      <c r="M51" s="10"/>
      <c r="N51" s="10" t="str">
        <f t="shared" si="2"/>
        <v/>
      </c>
      <c r="O51" s="10"/>
      <c r="P51" s="10"/>
      <c r="Q51" s="10"/>
      <c r="R51" s="10"/>
      <c r="S51" s="11"/>
      <c r="T51" s="11"/>
      <c r="U51" s="10"/>
      <c r="V51" s="10"/>
      <c r="W51" s="10"/>
      <c r="X51" s="11"/>
      <c r="Y51" s="10"/>
      <c r="Z51" s="10"/>
      <c r="AA51" s="10"/>
      <c r="AB51" s="8" t="str">
        <f>IF(B51="","",IF(AND(H51="高",OR(J51="抵触",J51="不支持")),"高权力不支持；","")&amp;IF(L51&gt;0,"存在支持差距；","")&amp;IF(AND(T51&lt;&gt;"",T51&lt;项目驾驶舱!$B$3),"沟通逾期；","")&amp;IF(AND(V51&lt;&gt;"",X51&lt;项目驾驶舱!$B$3,Y51&lt;&gt;"已完成"),"行动逾期；","")&amp;IF(AND(Z51="是",AA51=""),"未填升级对象",""))</f>
        <v/>
      </c>
      <c r="AC51" s="10"/>
    </row>
    <row r="52" spans="1:29">
      <c r="A52" s="8" t="str">
        <f t="shared" si="0"/>
        <v/>
      </c>
      <c r="B52" s="10"/>
      <c r="C52" s="10"/>
      <c r="D52" s="10"/>
      <c r="E52" s="10"/>
      <c r="F52" s="10"/>
      <c r="G52" s="10"/>
      <c r="H52" s="10"/>
      <c r="I52" s="10"/>
      <c r="J52" s="10"/>
      <c r="K52" s="10"/>
      <c r="L52" s="8" t="str">
        <f t="shared" si="1"/>
        <v/>
      </c>
      <c r="M52" s="10"/>
      <c r="N52" s="10" t="str">
        <f t="shared" si="2"/>
        <v/>
      </c>
      <c r="O52" s="10"/>
      <c r="P52" s="10"/>
      <c r="Q52" s="10"/>
      <c r="R52" s="10"/>
      <c r="S52" s="11"/>
      <c r="T52" s="11"/>
      <c r="U52" s="10"/>
      <c r="V52" s="10"/>
      <c r="W52" s="10"/>
      <c r="X52" s="11"/>
      <c r="Y52" s="10"/>
      <c r="Z52" s="10"/>
      <c r="AA52" s="10"/>
      <c r="AB52" s="8" t="str">
        <f>IF(B52="","",IF(AND(H52="高",OR(J52="抵触",J52="不支持")),"高权力不支持；","")&amp;IF(L52&gt;0,"存在支持差距；","")&amp;IF(AND(T52&lt;&gt;"",T52&lt;项目驾驶舱!$B$3),"沟通逾期；","")&amp;IF(AND(V52&lt;&gt;"",X52&lt;项目驾驶舱!$B$3,Y52&lt;&gt;"已完成"),"行动逾期；","")&amp;IF(AND(Z52="是",AA52=""),"未填升级对象",""))</f>
        <v/>
      </c>
      <c r="AC52" s="10"/>
    </row>
    <row r="53" spans="1:29">
      <c r="A53" s="8" t="str">
        <f t="shared" si="0"/>
        <v/>
      </c>
      <c r="B53" s="10"/>
      <c r="C53" s="10"/>
      <c r="D53" s="10"/>
      <c r="E53" s="10"/>
      <c r="F53" s="10"/>
      <c r="G53" s="10"/>
      <c r="H53" s="10"/>
      <c r="I53" s="10"/>
      <c r="J53" s="10"/>
      <c r="K53" s="10"/>
      <c r="L53" s="8" t="str">
        <f t="shared" si="1"/>
        <v/>
      </c>
      <c r="M53" s="10"/>
      <c r="N53" s="10" t="str">
        <f t="shared" si="2"/>
        <v/>
      </c>
      <c r="O53" s="10"/>
      <c r="P53" s="10"/>
      <c r="Q53" s="10"/>
      <c r="R53" s="10"/>
      <c r="S53" s="11"/>
      <c r="T53" s="11"/>
      <c r="U53" s="10"/>
      <c r="V53" s="10"/>
      <c r="W53" s="10"/>
      <c r="X53" s="11"/>
      <c r="Y53" s="10"/>
      <c r="Z53" s="10"/>
      <c r="AA53" s="10"/>
      <c r="AB53" s="8" t="str">
        <f>IF(B53="","",IF(AND(H53="高",OR(J53="抵触",J53="不支持")),"高权力不支持；","")&amp;IF(L53&gt;0,"存在支持差距；","")&amp;IF(AND(T53&lt;&gt;"",T53&lt;项目驾驶舱!$B$3),"沟通逾期；","")&amp;IF(AND(V53&lt;&gt;"",X53&lt;项目驾驶舱!$B$3,Y53&lt;&gt;"已完成"),"行动逾期；","")&amp;IF(AND(Z53="是",AA53=""),"未填升级对象",""))</f>
        <v/>
      </c>
      <c r="AC53" s="10"/>
    </row>
    <row r="54" spans="1:29">
      <c r="A54" s="8" t="str">
        <f t="shared" si="0"/>
        <v/>
      </c>
      <c r="B54" s="10"/>
      <c r="C54" s="10"/>
      <c r="D54" s="10"/>
      <c r="E54" s="10"/>
      <c r="F54" s="10"/>
      <c r="G54" s="10"/>
      <c r="H54" s="10"/>
      <c r="I54" s="10"/>
      <c r="J54" s="10"/>
      <c r="K54" s="10"/>
      <c r="L54" s="8" t="str">
        <f t="shared" si="1"/>
        <v/>
      </c>
      <c r="M54" s="10"/>
      <c r="N54" s="10" t="str">
        <f t="shared" si="2"/>
        <v/>
      </c>
      <c r="O54" s="10"/>
      <c r="P54" s="10"/>
      <c r="Q54" s="10"/>
      <c r="R54" s="10"/>
      <c r="S54" s="11"/>
      <c r="T54" s="11"/>
      <c r="U54" s="10"/>
      <c r="V54" s="10"/>
      <c r="W54" s="10"/>
      <c r="X54" s="11"/>
      <c r="Y54" s="10"/>
      <c r="Z54" s="10"/>
      <c r="AA54" s="10"/>
      <c r="AB54" s="8" t="str">
        <f>IF(B54="","",IF(AND(H54="高",OR(J54="抵触",J54="不支持")),"高权力不支持；","")&amp;IF(L54&gt;0,"存在支持差距；","")&amp;IF(AND(T54&lt;&gt;"",T54&lt;项目驾驶舱!$B$3),"沟通逾期；","")&amp;IF(AND(V54&lt;&gt;"",X54&lt;项目驾驶舱!$B$3,Y54&lt;&gt;"已完成"),"行动逾期；","")&amp;IF(AND(Z54="是",AA54=""),"未填升级对象",""))</f>
        <v/>
      </c>
      <c r="AC54" s="10"/>
    </row>
    <row r="55" spans="1:29">
      <c r="A55" s="8" t="str">
        <f t="shared" si="0"/>
        <v/>
      </c>
      <c r="B55" s="10"/>
      <c r="C55" s="10"/>
      <c r="D55" s="10"/>
      <c r="E55" s="10"/>
      <c r="F55" s="10"/>
      <c r="G55" s="10"/>
      <c r="H55" s="10"/>
      <c r="I55" s="10"/>
      <c r="J55" s="10"/>
      <c r="K55" s="10"/>
      <c r="L55" s="8" t="str">
        <f t="shared" si="1"/>
        <v/>
      </c>
      <c r="M55" s="10"/>
      <c r="N55" s="10" t="str">
        <f t="shared" si="2"/>
        <v/>
      </c>
      <c r="O55" s="10"/>
      <c r="P55" s="10"/>
      <c r="Q55" s="10"/>
      <c r="R55" s="10"/>
      <c r="S55" s="11"/>
      <c r="T55" s="11"/>
      <c r="U55" s="10"/>
      <c r="V55" s="10"/>
      <c r="W55" s="10"/>
      <c r="X55" s="11"/>
      <c r="Y55" s="10"/>
      <c r="Z55" s="10"/>
      <c r="AA55" s="10"/>
      <c r="AB55" s="8" t="str">
        <f>IF(B55="","",IF(AND(H55="高",OR(J55="抵触",J55="不支持")),"高权力不支持；","")&amp;IF(L55&gt;0,"存在支持差距；","")&amp;IF(AND(T55&lt;&gt;"",T55&lt;项目驾驶舱!$B$3),"沟通逾期；","")&amp;IF(AND(V55&lt;&gt;"",X55&lt;项目驾驶舱!$B$3,Y55&lt;&gt;"已完成"),"行动逾期；","")&amp;IF(AND(Z55="是",AA55=""),"未填升级对象",""))</f>
        <v/>
      </c>
      <c r="AC55" s="10"/>
    </row>
    <row r="56" spans="1:29">
      <c r="A56" s="8" t="str">
        <f t="shared" si="0"/>
        <v/>
      </c>
      <c r="B56" s="10"/>
      <c r="C56" s="10"/>
      <c r="D56" s="10"/>
      <c r="E56" s="10"/>
      <c r="F56" s="10"/>
      <c r="G56" s="10"/>
      <c r="H56" s="10"/>
      <c r="I56" s="10"/>
      <c r="J56" s="10"/>
      <c r="K56" s="10"/>
      <c r="L56" s="8" t="str">
        <f t="shared" si="1"/>
        <v/>
      </c>
      <c r="M56" s="10"/>
      <c r="N56" s="10" t="str">
        <f t="shared" si="2"/>
        <v/>
      </c>
      <c r="O56" s="10"/>
      <c r="P56" s="10"/>
      <c r="Q56" s="10"/>
      <c r="R56" s="10"/>
      <c r="S56" s="11"/>
      <c r="T56" s="11"/>
      <c r="U56" s="10"/>
      <c r="V56" s="10"/>
      <c r="W56" s="10"/>
      <c r="X56" s="11"/>
      <c r="Y56" s="10"/>
      <c r="Z56" s="10"/>
      <c r="AA56" s="10"/>
      <c r="AB56" s="8" t="str">
        <f>IF(B56="","",IF(AND(H56="高",OR(J56="抵触",J56="不支持")),"高权力不支持；","")&amp;IF(L56&gt;0,"存在支持差距；","")&amp;IF(AND(T56&lt;&gt;"",T56&lt;项目驾驶舱!$B$3),"沟通逾期；","")&amp;IF(AND(V56&lt;&gt;"",X56&lt;项目驾驶舱!$B$3,Y56&lt;&gt;"已完成"),"行动逾期；","")&amp;IF(AND(Z56="是",AA56=""),"未填升级对象",""))</f>
        <v/>
      </c>
      <c r="AC56" s="10"/>
    </row>
    <row r="57" spans="1:29">
      <c r="A57" s="8" t="str">
        <f t="shared" si="0"/>
        <v/>
      </c>
      <c r="B57" s="10"/>
      <c r="C57" s="10"/>
      <c r="D57" s="10"/>
      <c r="E57" s="10"/>
      <c r="F57" s="10"/>
      <c r="G57" s="10"/>
      <c r="H57" s="10"/>
      <c r="I57" s="10"/>
      <c r="J57" s="10"/>
      <c r="K57" s="10"/>
      <c r="L57" s="8" t="str">
        <f t="shared" si="1"/>
        <v/>
      </c>
      <c r="M57" s="10"/>
      <c r="N57" s="10" t="str">
        <f t="shared" si="2"/>
        <v/>
      </c>
      <c r="O57" s="10"/>
      <c r="P57" s="10"/>
      <c r="Q57" s="10"/>
      <c r="R57" s="10"/>
      <c r="S57" s="11"/>
      <c r="T57" s="11"/>
      <c r="U57" s="10"/>
      <c r="V57" s="10"/>
      <c r="W57" s="10"/>
      <c r="X57" s="11"/>
      <c r="Y57" s="10"/>
      <c r="Z57" s="10"/>
      <c r="AA57" s="10"/>
      <c r="AB57" s="8" t="str">
        <f>IF(B57="","",IF(AND(H57="高",OR(J57="抵触",J57="不支持")),"高权力不支持；","")&amp;IF(L57&gt;0,"存在支持差距；","")&amp;IF(AND(T57&lt;&gt;"",T57&lt;项目驾驶舱!$B$3),"沟通逾期；","")&amp;IF(AND(V57&lt;&gt;"",X57&lt;项目驾驶舱!$B$3,Y57&lt;&gt;"已完成"),"行动逾期；","")&amp;IF(AND(Z57="是",AA57=""),"未填升级对象",""))</f>
        <v/>
      </c>
      <c r="AC57" s="10"/>
    </row>
    <row r="58" spans="1:29">
      <c r="A58" s="8" t="str">
        <f t="shared" si="0"/>
        <v/>
      </c>
      <c r="B58" s="10"/>
      <c r="C58" s="10"/>
      <c r="D58" s="10"/>
      <c r="E58" s="10"/>
      <c r="F58" s="10"/>
      <c r="G58" s="10"/>
      <c r="H58" s="10"/>
      <c r="I58" s="10"/>
      <c r="J58" s="10"/>
      <c r="K58" s="10"/>
      <c r="L58" s="8" t="str">
        <f t="shared" si="1"/>
        <v/>
      </c>
      <c r="M58" s="10"/>
      <c r="N58" s="10" t="str">
        <f t="shared" si="2"/>
        <v/>
      </c>
      <c r="O58" s="10"/>
      <c r="P58" s="10"/>
      <c r="Q58" s="10"/>
      <c r="R58" s="10"/>
      <c r="S58" s="11"/>
      <c r="T58" s="11"/>
      <c r="U58" s="10"/>
      <c r="V58" s="10"/>
      <c r="W58" s="10"/>
      <c r="X58" s="11"/>
      <c r="Y58" s="10"/>
      <c r="Z58" s="10"/>
      <c r="AA58" s="10"/>
      <c r="AB58" s="8" t="str">
        <f>IF(B58="","",IF(AND(H58="高",OR(J58="抵触",J58="不支持")),"高权力不支持；","")&amp;IF(L58&gt;0,"存在支持差距；","")&amp;IF(AND(T58&lt;&gt;"",T58&lt;项目驾驶舱!$B$3),"沟通逾期；","")&amp;IF(AND(V58&lt;&gt;"",X58&lt;项目驾驶舱!$B$3,Y58&lt;&gt;"已完成"),"行动逾期；","")&amp;IF(AND(Z58="是",AA58=""),"未填升级对象",""))</f>
        <v/>
      </c>
      <c r="AC58" s="10"/>
    </row>
    <row r="59" spans="1:29">
      <c r="A59" s="8" t="str">
        <f t="shared" si="0"/>
        <v/>
      </c>
      <c r="B59" s="10"/>
      <c r="C59" s="10"/>
      <c r="D59" s="10"/>
      <c r="E59" s="10"/>
      <c r="F59" s="10"/>
      <c r="G59" s="10"/>
      <c r="H59" s="10"/>
      <c r="I59" s="10"/>
      <c r="J59" s="10"/>
      <c r="K59" s="10"/>
      <c r="L59" s="8" t="str">
        <f t="shared" si="1"/>
        <v/>
      </c>
      <c r="M59" s="10"/>
      <c r="N59" s="10" t="str">
        <f t="shared" si="2"/>
        <v/>
      </c>
      <c r="O59" s="10"/>
      <c r="P59" s="10"/>
      <c r="Q59" s="10"/>
      <c r="R59" s="10"/>
      <c r="S59" s="11"/>
      <c r="T59" s="11"/>
      <c r="U59" s="10"/>
      <c r="V59" s="10"/>
      <c r="W59" s="10"/>
      <c r="X59" s="11"/>
      <c r="Y59" s="10"/>
      <c r="Z59" s="10"/>
      <c r="AA59" s="10"/>
      <c r="AB59" s="8" t="str">
        <f>IF(B59="","",IF(AND(H59="高",OR(J59="抵触",J59="不支持")),"高权力不支持；","")&amp;IF(L59&gt;0,"存在支持差距；","")&amp;IF(AND(T59&lt;&gt;"",T59&lt;项目驾驶舱!$B$3),"沟通逾期；","")&amp;IF(AND(V59&lt;&gt;"",X59&lt;项目驾驶舱!$B$3,Y59&lt;&gt;"已完成"),"行动逾期；","")&amp;IF(AND(Z59="是",AA59=""),"未填升级对象",""))</f>
        <v/>
      </c>
      <c r="AC59" s="10"/>
    </row>
    <row r="60" spans="1:29">
      <c r="A60" s="8" t="str">
        <f t="shared" si="0"/>
        <v/>
      </c>
      <c r="B60" s="10"/>
      <c r="C60" s="10"/>
      <c r="D60" s="10"/>
      <c r="E60" s="10"/>
      <c r="F60" s="10"/>
      <c r="G60" s="10"/>
      <c r="H60" s="10"/>
      <c r="I60" s="10"/>
      <c r="J60" s="10"/>
      <c r="K60" s="10"/>
      <c r="L60" s="8" t="str">
        <f t="shared" si="1"/>
        <v/>
      </c>
      <c r="M60" s="10"/>
      <c r="N60" s="10" t="str">
        <f t="shared" si="2"/>
        <v/>
      </c>
      <c r="O60" s="10"/>
      <c r="P60" s="10"/>
      <c r="Q60" s="10"/>
      <c r="R60" s="10"/>
      <c r="S60" s="11"/>
      <c r="T60" s="11"/>
      <c r="U60" s="10"/>
      <c r="V60" s="10"/>
      <c r="W60" s="10"/>
      <c r="X60" s="11"/>
      <c r="Y60" s="10"/>
      <c r="Z60" s="10"/>
      <c r="AA60" s="10"/>
      <c r="AB60" s="8" t="str">
        <f>IF(B60="","",IF(AND(H60="高",OR(J60="抵触",J60="不支持")),"高权力不支持；","")&amp;IF(L60&gt;0,"存在支持差距；","")&amp;IF(AND(T60&lt;&gt;"",T60&lt;项目驾驶舱!$B$3),"沟通逾期；","")&amp;IF(AND(V60&lt;&gt;"",X60&lt;项目驾驶舱!$B$3,Y60&lt;&gt;"已完成"),"行动逾期；","")&amp;IF(AND(Z60="是",AA60=""),"未填升级对象",""))</f>
        <v/>
      </c>
      <c r="AC60" s="10"/>
    </row>
    <row r="61" spans="1:29">
      <c r="A61" s="8" t="str">
        <f t="shared" si="0"/>
        <v/>
      </c>
      <c r="B61" s="10"/>
      <c r="C61" s="10"/>
      <c r="D61" s="10"/>
      <c r="E61" s="10"/>
      <c r="F61" s="10"/>
      <c r="G61" s="10"/>
      <c r="H61" s="10"/>
      <c r="I61" s="10"/>
      <c r="J61" s="10"/>
      <c r="K61" s="10"/>
      <c r="L61" s="8" t="str">
        <f t="shared" si="1"/>
        <v/>
      </c>
      <c r="M61" s="10"/>
      <c r="N61" s="10" t="str">
        <f t="shared" si="2"/>
        <v/>
      </c>
      <c r="O61" s="10"/>
      <c r="P61" s="10"/>
      <c r="Q61" s="10"/>
      <c r="R61" s="10"/>
      <c r="S61" s="11"/>
      <c r="T61" s="11"/>
      <c r="U61" s="10"/>
      <c r="V61" s="10"/>
      <c r="W61" s="10"/>
      <c r="X61" s="11"/>
      <c r="Y61" s="10"/>
      <c r="Z61" s="10"/>
      <c r="AA61" s="10"/>
      <c r="AB61" s="8" t="str">
        <f>IF(B61="","",IF(AND(H61="高",OR(J61="抵触",J61="不支持")),"高权力不支持；","")&amp;IF(L61&gt;0,"存在支持差距；","")&amp;IF(AND(T61&lt;&gt;"",T61&lt;项目驾驶舱!$B$3),"沟通逾期；","")&amp;IF(AND(V61&lt;&gt;"",X61&lt;项目驾驶舱!$B$3,Y61&lt;&gt;"已完成"),"行动逾期；","")&amp;IF(AND(Z61="是",AA61=""),"未填升级对象",""))</f>
        <v/>
      </c>
      <c r="AC61" s="10"/>
    </row>
    <row r="62" spans="1:29">
      <c r="A62" s="8" t="str">
        <f t="shared" si="0"/>
        <v/>
      </c>
      <c r="B62" s="10"/>
      <c r="C62" s="10"/>
      <c r="D62" s="10"/>
      <c r="E62" s="10"/>
      <c r="F62" s="10"/>
      <c r="G62" s="10"/>
      <c r="H62" s="10"/>
      <c r="I62" s="10"/>
      <c r="J62" s="10"/>
      <c r="K62" s="10"/>
      <c r="L62" s="8" t="str">
        <f t="shared" si="1"/>
        <v/>
      </c>
      <c r="M62" s="10"/>
      <c r="N62" s="10" t="str">
        <f t="shared" si="2"/>
        <v/>
      </c>
      <c r="O62" s="10"/>
      <c r="P62" s="10"/>
      <c r="Q62" s="10"/>
      <c r="R62" s="10"/>
      <c r="S62" s="11"/>
      <c r="T62" s="11"/>
      <c r="U62" s="10"/>
      <c r="V62" s="10"/>
      <c r="W62" s="10"/>
      <c r="X62" s="11"/>
      <c r="Y62" s="10"/>
      <c r="Z62" s="10"/>
      <c r="AA62" s="10"/>
      <c r="AB62" s="8" t="str">
        <f>IF(B62="","",IF(AND(H62="高",OR(J62="抵触",J62="不支持")),"高权力不支持；","")&amp;IF(L62&gt;0,"存在支持差距；","")&amp;IF(AND(T62&lt;&gt;"",T62&lt;项目驾驶舱!$B$3),"沟通逾期；","")&amp;IF(AND(V62&lt;&gt;"",X62&lt;项目驾驶舱!$B$3,Y62&lt;&gt;"已完成"),"行动逾期；","")&amp;IF(AND(Z62="是",AA62=""),"未填升级对象",""))</f>
        <v/>
      </c>
      <c r="AC62" s="10"/>
    </row>
    <row r="63" spans="1:29">
      <c r="A63" s="8" t="str">
        <f t="shared" si="0"/>
        <v/>
      </c>
      <c r="B63" s="10"/>
      <c r="C63" s="10"/>
      <c r="D63" s="10"/>
      <c r="E63" s="10"/>
      <c r="F63" s="10"/>
      <c r="G63" s="10"/>
      <c r="H63" s="10"/>
      <c r="I63" s="10"/>
      <c r="J63" s="10"/>
      <c r="K63" s="10"/>
      <c r="L63" s="8" t="str">
        <f t="shared" si="1"/>
        <v/>
      </c>
      <c r="M63" s="10"/>
      <c r="N63" s="10" t="str">
        <f t="shared" si="2"/>
        <v/>
      </c>
      <c r="O63" s="10"/>
      <c r="P63" s="10"/>
      <c r="Q63" s="10"/>
      <c r="R63" s="10"/>
      <c r="S63" s="11"/>
      <c r="T63" s="11"/>
      <c r="U63" s="10"/>
      <c r="V63" s="10"/>
      <c r="W63" s="10"/>
      <c r="X63" s="11"/>
      <c r="Y63" s="10"/>
      <c r="Z63" s="10"/>
      <c r="AA63" s="10"/>
      <c r="AB63" s="8" t="str">
        <f>IF(B63="","",IF(AND(H63="高",OR(J63="抵触",J63="不支持")),"高权力不支持；","")&amp;IF(L63&gt;0,"存在支持差距；","")&amp;IF(AND(T63&lt;&gt;"",T63&lt;项目驾驶舱!$B$3),"沟通逾期；","")&amp;IF(AND(V63&lt;&gt;"",X63&lt;项目驾驶舱!$B$3,Y63&lt;&gt;"已完成"),"行动逾期；","")&amp;IF(AND(Z63="是",AA63=""),"未填升级对象",""))</f>
        <v/>
      </c>
      <c r="AC63" s="10"/>
    </row>
    <row r="64" spans="1:29">
      <c r="A64" s="8" t="str">
        <f t="shared" si="0"/>
        <v/>
      </c>
      <c r="B64" s="10"/>
      <c r="C64" s="10"/>
      <c r="D64" s="10"/>
      <c r="E64" s="10"/>
      <c r="F64" s="10"/>
      <c r="G64" s="10"/>
      <c r="H64" s="10"/>
      <c r="I64" s="10"/>
      <c r="J64" s="10"/>
      <c r="K64" s="10"/>
      <c r="L64" s="8" t="str">
        <f t="shared" si="1"/>
        <v/>
      </c>
      <c r="M64" s="10"/>
      <c r="N64" s="10" t="str">
        <f t="shared" si="2"/>
        <v/>
      </c>
      <c r="O64" s="10"/>
      <c r="P64" s="10"/>
      <c r="Q64" s="10"/>
      <c r="R64" s="10"/>
      <c r="S64" s="11"/>
      <c r="T64" s="11"/>
      <c r="U64" s="10"/>
      <c r="V64" s="10"/>
      <c r="W64" s="10"/>
      <c r="X64" s="11"/>
      <c r="Y64" s="10"/>
      <c r="Z64" s="10"/>
      <c r="AA64" s="10"/>
      <c r="AB64" s="8" t="str">
        <f>IF(B64="","",IF(AND(H64="高",OR(J64="抵触",J64="不支持")),"高权力不支持；","")&amp;IF(L64&gt;0,"存在支持差距；","")&amp;IF(AND(T64&lt;&gt;"",T64&lt;项目驾驶舱!$B$3),"沟通逾期；","")&amp;IF(AND(V64&lt;&gt;"",X64&lt;项目驾驶舱!$B$3,Y64&lt;&gt;"已完成"),"行动逾期；","")&amp;IF(AND(Z64="是",AA64=""),"未填升级对象",""))</f>
        <v/>
      </c>
      <c r="AC64" s="10"/>
    </row>
    <row r="65" spans="1:29">
      <c r="A65" s="8" t="str">
        <f t="shared" si="0"/>
        <v/>
      </c>
      <c r="B65" s="10"/>
      <c r="C65" s="10"/>
      <c r="D65" s="10"/>
      <c r="E65" s="10"/>
      <c r="F65" s="10"/>
      <c r="G65" s="10"/>
      <c r="H65" s="10"/>
      <c r="I65" s="10"/>
      <c r="J65" s="10"/>
      <c r="K65" s="10"/>
      <c r="L65" s="8" t="str">
        <f t="shared" si="1"/>
        <v/>
      </c>
      <c r="M65" s="10"/>
      <c r="N65" s="10" t="str">
        <f t="shared" si="2"/>
        <v/>
      </c>
      <c r="O65" s="10"/>
      <c r="P65" s="10"/>
      <c r="Q65" s="10"/>
      <c r="R65" s="10"/>
      <c r="S65" s="11"/>
      <c r="T65" s="11"/>
      <c r="U65" s="10"/>
      <c r="V65" s="10"/>
      <c r="W65" s="10"/>
      <c r="X65" s="11"/>
      <c r="Y65" s="10"/>
      <c r="Z65" s="10"/>
      <c r="AA65" s="10"/>
      <c r="AB65" s="8" t="str">
        <f>IF(B65="","",IF(AND(H65="高",OR(J65="抵触",J65="不支持")),"高权力不支持；","")&amp;IF(L65&gt;0,"存在支持差距；","")&amp;IF(AND(T65&lt;&gt;"",T65&lt;项目驾驶舱!$B$3),"沟通逾期；","")&amp;IF(AND(V65&lt;&gt;"",X65&lt;项目驾驶舱!$B$3,Y65&lt;&gt;"已完成"),"行动逾期；","")&amp;IF(AND(Z65="是",AA65=""),"未填升级对象",""))</f>
        <v/>
      </c>
      <c r="AC65" s="10"/>
    </row>
    <row r="66" spans="1:29">
      <c r="A66" s="8" t="str">
        <f t="shared" si="0"/>
        <v/>
      </c>
      <c r="B66" s="10"/>
      <c r="C66" s="10"/>
      <c r="D66" s="10"/>
      <c r="E66" s="10"/>
      <c r="F66" s="10"/>
      <c r="G66" s="10"/>
      <c r="H66" s="10"/>
      <c r="I66" s="10"/>
      <c r="J66" s="10"/>
      <c r="K66" s="10"/>
      <c r="L66" s="8" t="str">
        <f t="shared" si="1"/>
        <v/>
      </c>
      <c r="M66" s="10"/>
      <c r="N66" s="10" t="str">
        <f t="shared" si="2"/>
        <v/>
      </c>
      <c r="O66" s="10"/>
      <c r="P66" s="10"/>
      <c r="Q66" s="10"/>
      <c r="R66" s="10"/>
      <c r="S66" s="11"/>
      <c r="T66" s="11"/>
      <c r="U66" s="10"/>
      <c r="V66" s="10"/>
      <c r="W66" s="10"/>
      <c r="X66" s="11"/>
      <c r="Y66" s="10"/>
      <c r="Z66" s="10"/>
      <c r="AA66" s="10"/>
      <c r="AB66" s="8" t="str">
        <f>IF(B66="","",IF(AND(H66="高",OR(J66="抵触",J66="不支持")),"高权力不支持；","")&amp;IF(L66&gt;0,"存在支持差距；","")&amp;IF(AND(T66&lt;&gt;"",T66&lt;项目驾驶舱!$B$3),"沟通逾期；","")&amp;IF(AND(V66&lt;&gt;"",X66&lt;项目驾驶舱!$B$3,Y66&lt;&gt;"已完成"),"行动逾期；","")&amp;IF(AND(Z66="是",AA66=""),"未填升级对象",""))</f>
        <v/>
      </c>
      <c r="AC66" s="10"/>
    </row>
    <row r="67" spans="1:29">
      <c r="A67" s="8" t="str">
        <f t="shared" si="0"/>
        <v/>
      </c>
      <c r="B67" s="10"/>
      <c r="C67" s="10"/>
      <c r="D67" s="10"/>
      <c r="E67" s="10"/>
      <c r="F67" s="10"/>
      <c r="G67" s="10"/>
      <c r="H67" s="10"/>
      <c r="I67" s="10"/>
      <c r="J67" s="10"/>
      <c r="K67" s="10"/>
      <c r="L67" s="8" t="str">
        <f t="shared" si="1"/>
        <v/>
      </c>
      <c r="M67" s="10"/>
      <c r="N67" s="10" t="str">
        <f t="shared" si="2"/>
        <v/>
      </c>
      <c r="O67" s="10"/>
      <c r="P67" s="10"/>
      <c r="Q67" s="10"/>
      <c r="R67" s="10"/>
      <c r="S67" s="11"/>
      <c r="T67" s="11"/>
      <c r="U67" s="10"/>
      <c r="V67" s="10"/>
      <c r="W67" s="10"/>
      <c r="X67" s="11"/>
      <c r="Y67" s="10"/>
      <c r="Z67" s="10"/>
      <c r="AA67" s="10"/>
      <c r="AB67" s="8" t="str">
        <f>IF(B67="","",IF(AND(H67="高",OR(J67="抵触",J67="不支持")),"高权力不支持；","")&amp;IF(L67&gt;0,"存在支持差距；","")&amp;IF(AND(T67&lt;&gt;"",T67&lt;项目驾驶舱!$B$3),"沟通逾期；","")&amp;IF(AND(V67&lt;&gt;"",X67&lt;项目驾驶舱!$B$3,Y67&lt;&gt;"已完成"),"行动逾期；","")&amp;IF(AND(Z67="是",AA67=""),"未填升级对象",""))</f>
        <v/>
      </c>
      <c r="AC67" s="10"/>
    </row>
    <row r="68" spans="1:29">
      <c r="A68" s="8" t="str">
        <f t="shared" si="0"/>
        <v/>
      </c>
      <c r="B68" s="10"/>
      <c r="C68" s="10"/>
      <c r="D68" s="10"/>
      <c r="E68" s="10"/>
      <c r="F68" s="10"/>
      <c r="G68" s="10"/>
      <c r="H68" s="10"/>
      <c r="I68" s="10"/>
      <c r="J68" s="10"/>
      <c r="K68" s="10"/>
      <c r="L68" s="8" t="str">
        <f t="shared" si="1"/>
        <v/>
      </c>
      <c r="M68" s="10"/>
      <c r="N68" s="10" t="str">
        <f t="shared" si="2"/>
        <v/>
      </c>
      <c r="O68" s="10"/>
      <c r="P68" s="10"/>
      <c r="Q68" s="10"/>
      <c r="R68" s="10"/>
      <c r="S68" s="11"/>
      <c r="T68" s="11"/>
      <c r="U68" s="10"/>
      <c r="V68" s="10"/>
      <c r="W68" s="10"/>
      <c r="X68" s="11"/>
      <c r="Y68" s="10"/>
      <c r="Z68" s="10"/>
      <c r="AA68" s="10"/>
      <c r="AB68" s="8" t="str">
        <f>IF(B68="","",IF(AND(H68="高",OR(J68="抵触",J68="不支持")),"高权力不支持；","")&amp;IF(L68&gt;0,"存在支持差距；","")&amp;IF(AND(T68&lt;&gt;"",T68&lt;项目驾驶舱!$B$3),"沟通逾期；","")&amp;IF(AND(V68&lt;&gt;"",X68&lt;项目驾驶舱!$B$3,Y68&lt;&gt;"已完成"),"行动逾期；","")&amp;IF(AND(Z68="是",AA68=""),"未填升级对象",""))</f>
        <v/>
      </c>
      <c r="AC68" s="10"/>
    </row>
    <row r="69" spans="1:29">
      <c r="A69" s="8" t="str">
        <f t="shared" si="0"/>
        <v/>
      </c>
      <c r="B69" s="10"/>
      <c r="C69" s="10"/>
      <c r="D69" s="10"/>
      <c r="E69" s="10"/>
      <c r="F69" s="10"/>
      <c r="G69" s="10"/>
      <c r="H69" s="10"/>
      <c r="I69" s="10"/>
      <c r="J69" s="10"/>
      <c r="K69" s="10"/>
      <c r="L69" s="8" t="str">
        <f t="shared" si="1"/>
        <v/>
      </c>
      <c r="M69" s="10"/>
      <c r="N69" s="10" t="str">
        <f t="shared" si="2"/>
        <v/>
      </c>
      <c r="O69" s="10"/>
      <c r="P69" s="10"/>
      <c r="Q69" s="10"/>
      <c r="R69" s="10"/>
      <c r="S69" s="11"/>
      <c r="T69" s="11"/>
      <c r="U69" s="10"/>
      <c r="V69" s="10"/>
      <c r="W69" s="10"/>
      <c r="X69" s="11"/>
      <c r="Y69" s="10"/>
      <c r="Z69" s="10"/>
      <c r="AA69" s="10"/>
      <c r="AB69" s="8" t="str">
        <f>IF(B69="","",IF(AND(H69="高",OR(J69="抵触",J69="不支持")),"高权力不支持；","")&amp;IF(L69&gt;0,"存在支持差距；","")&amp;IF(AND(T69&lt;&gt;"",T69&lt;项目驾驶舱!$B$3),"沟通逾期；","")&amp;IF(AND(V69&lt;&gt;"",X69&lt;项目驾驶舱!$B$3,Y69&lt;&gt;"已完成"),"行动逾期；","")&amp;IF(AND(Z69="是",AA69=""),"未填升级对象",""))</f>
        <v/>
      </c>
      <c r="AC69" s="10"/>
    </row>
    <row r="70" spans="1:29">
      <c r="A70" s="8" t="str">
        <f t="shared" si="0"/>
        <v/>
      </c>
      <c r="B70" s="10"/>
      <c r="C70" s="10"/>
      <c r="D70" s="10"/>
      <c r="E70" s="10"/>
      <c r="F70" s="10"/>
      <c r="G70" s="10"/>
      <c r="H70" s="10"/>
      <c r="I70" s="10"/>
      <c r="J70" s="10"/>
      <c r="K70" s="10"/>
      <c r="L70" s="8" t="str">
        <f t="shared" si="1"/>
        <v/>
      </c>
      <c r="M70" s="10"/>
      <c r="N70" s="10" t="str">
        <f t="shared" si="2"/>
        <v/>
      </c>
      <c r="O70" s="10"/>
      <c r="P70" s="10"/>
      <c r="Q70" s="10"/>
      <c r="R70" s="10"/>
      <c r="S70" s="11"/>
      <c r="T70" s="11"/>
      <c r="U70" s="10"/>
      <c r="V70" s="10"/>
      <c r="W70" s="10"/>
      <c r="X70" s="11"/>
      <c r="Y70" s="10"/>
      <c r="Z70" s="10"/>
      <c r="AA70" s="10"/>
      <c r="AB70" s="8" t="str">
        <f>IF(B70="","",IF(AND(H70="高",OR(J70="抵触",J70="不支持")),"高权力不支持；","")&amp;IF(L70&gt;0,"存在支持差距；","")&amp;IF(AND(T70&lt;&gt;"",T70&lt;项目驾驶舱!$B$3),"沟通逾期；","")&amp;IF(AND(V70&lt;&gt;"",X70&lt;项目驾驶舱!$B$3,Y70&lt;&gt;"已完成"),"行动逾期；","")&amp;IF(AND(Z70="是",AA70=""),"未填升级对象",""))</f>
        <v/>
      </c>
      <c r="AC70" s="10"/>
    </row>
    <row r="71" spans="1:29">
      <c r="A71" s="8" t="str">
        <f t="shared" si="0"/>
        <v/>
      </c>
      <c r="B71" s="10"/>
      <c r="C71" s="10"/>
      <c r="D71" s="10"/>
      <c r="E71" s="10"/>
      <c r="F71" s="10"/>
      <c r="G71" s="10"/>
      <c r="H71" s="10"/>
      <c r="I71" s="10"/>
      <c r="J71" s="10"/>
      <c r="K71" s="10"/>
      <c r="L71" s="8" t="str">
        <f t="shared" si="1"/>
        <v/>
      </c>
      <c r="M71" s="10"/>
      <c r="N71" s="10" t="str">
        <f t="shared" si="2"/>
        <v/>
      </c>
      <c r="O71" s="10"/>
      <c r="P71" s="10"/>
      <c r="Q71" s="10"/>
      <c r="R71" s="10"/>
      <c r="S71" s="11"/>
      <c r="T71" s="11"/>
      <c r="U71" s="10"/>
      <c r="V71" s="10"/>
      <c r="W71" s="10"/>
      <c r="X71" s="11"/>
      <c r="Y71" s="10"/>
      <c r="Z71" s="10"/>
      <c r="AA71" s="10"/>
      <c r="AB71" s="8" t="str">
        <f>IF(B71="","",IF(AND(H71="高",OR(J71="抵触",J71="不支持")),"高权力不支持；","")&amp;IF(L71&gt;0,"存在支持差距；","")&amp;IF(AND(T71&lt;&gt;"",T71&lt;项目驾驶舱!$B$3),"沟通逾期；","")&amp;IF(AND(V71&lt;&gt;"",X71&lt;项目驾驶舱!$B$3,Y71&lt;&gt;"已完成"),"行动逾期；","")&amp;IF(AND(Z71="是",AA71=""),"未填升级对象",""))</f>
        <v/>
      </c>
      <c r="AC71" s="10"/>
    </row>
    <row r="72" spans="1:29">
      <c r="A72" s="8" t="str">
        <f t="shared" si="0"/>
        <v/>
      </c>
      <c r="B72" s="10"/>
      <c r="C72" s="10"/>
      <c r="D72" s="10"/>
      <c r="E72" s="10"/>
      <c r="F72" s="10"/>
      <c r="G72" s="10"/>
      <c r="H72" s="10"/>
      <c r="I72" s="10"/>
      <c r="J72" s="10"/>
      <c r="K72" s="10"/>
      <c r="L72" s="8" t="str">
        <f t="shared" si="1"/>
        <v/>
      </c>
      <c r="M72" s="10"/>
      <c r="N72" s="10" t="str">
        <f t="shared" si="2"/>
        <v/>
      </c>
      <c r="O72" s="10"/>
      <c r="P72" s="10"/>
      <c r="Q72" s="10"/>
      <c r="R72" s="10"/>
      <c r="S72" s="11"/>
      <c r="T72" s="11"/>
      <c r="U72" s="10"/>
      <c r="V72" s="10"/>
      <c r="W72" s="10"/>
      <c r="X72" s="11"/>
      <c r="Y72" s="10"/>
      <c r="Z72" s="10"/>
      <c r="AA72" s="10"/>
      <c r="AB72" s="8" t="str">
        <f>IF(B72="","",IF(AND(H72="高",OR(J72="抵触",J72="不支持")),"高权力不支持；","")&amp;IF(L72&gt;0,"存在支持差距；","")&amp;IF(AND(T72&lt;&gt;"",T72&lt;项目驾驶舱!$B$3),"沟通逾期；","")&amp;IF(AND(V72&lt;&gt;"",X72&lt;项目驾驶舱!$B$3,Y72&lt;&gt;"已完成"),"行动逾期；","")&amp;IF(AND(Z72="是",AA72=""),"未填升级对象",""))</f>
        <v/>
      </c>
      <c r="AC72" s="10"/>
    </row>
    <row r="73" spans="1:29">
      <c r="A73" s="8" t="str">
        <f t="shared" ref="A73:A108" si="3">IF(B73="","","SH-"&amp;TEXT(ROW()-8,"000"))</f>
        <v/>
      </c>
      <c r="B73" s="10"/>
      <c r="C73" s="10"/>
      <c r="D73" s="10"/>
      <c r="E73" s="10"/>
      <c r="F73" s="10"/>
      <c r="G73" s="10"/>
      <c r="H73" s="10"/>
      <c r="I73" s="10"/>
      <c r="J73" s="10"/>
      <c r="K73" s="10"/>
      <c r="L73" s="8" t="str">
        <f t="shared" ref="L73:L108" si="4">IF(OR(J73="",K73=""),"",IF(K73="抵触",1,IF(K73="不支持",2,IF(K73="中立",3,IF(K73="支持",4,IF(K73="积极推动",5,"")))))-IF(J73="抵触",1,IF(J73="不支持",2,IF(J73="中立",3,IF(J73="支持",4,IF(J73="积极推动",5,""))))))</f>
        <v/>
      </c>
      <c r="M73" s="10"/>
      <c r="N73" s="10" t="str">
        <f t="shared" ref="N73:N108" si="5">IF(OR(H73="",I73=""),"",IF(AND(H73="高",I73="高"),"重点管理",IF(H73="高","保持满意",IF(I73="高","保持沟通","监督观察"))))</f>
        <v/>
      </c>
      <c r="O73" s="10"/>
      <c r="P73" s="10"/>
      <c r="Q73" s="10"/>
      <c r="R73" s="10"/>
      <c r="S73" s="11"/>
      <c r="T73" s="11"/>
      <c r="U73" s="10"/>
      <c r="V73" s="10"/>
      <c r="W73" s="10"/>
      <c r="X73" s="11"/>
      <c r="Y73" s="10"/>
      <c r="Z73" s="10"/>
      <c r="AA73" s="10"/>
      <c r="AB73" s="8" t="str">
        <f>IF(B73="","",IF(AND(H73="高",OR(J73="抵触",J73="不支持")),"高权力不支持；","")&amp;IF(L73&gt;0,"存在支持差距；","")&amp;IF(AND(T73&lt;&gt;"",T73&lt;项目驾驶舱!$B$3),"沟通逾期；","")&amp;IF(AND(V73&lt;&gt;"",X73&lt;项目驾驶舱!$B$3,Y73&lt;&gt;"已完成"),"行动逾期；","")&amp;IF(AND(Z73="是",AA73=""),"未填升级对象",""))</f>
        <v/>
      </c>
      <c r="AC73" s="10"/>
    </row>
    <row r="74" spans="1:29">
      <c r="A74" s="8" t="str">
        <f t="shared" si="3"/>
        <v/>
      </c>
      <c r="B74" s="10"/>
      <c r="C74" s="10"/>
      <c r="D74" s="10"/>
      <c r="E74" s="10"/>
      <c r="F74" s="10"/>
      <c r="G74" s="10"/>
      <c r="H74" s="10"/>
      <c r="I74" s="10"/>
      <c r="J74" s="10"/>
      <c r="K74" s="10"/>
      <c r="L74" s="8" t="str">
        <f t="shared" si="4"/>
        <v/>
      </c>
      <c r="M74" s="10"/>
      <c r="N74" s="10" t="str">
        <f t="shared" si="5"/>
        <v/>
      </c>
      <c r="O74" s="10"/>
      <c r="P74" s="10"/>
      <c r="Q74" s="10"/>
      <c r="R74" s="10"/>
      <c r="S74" s="11"/>
      <c r="T74" s="11"/>
      <c r="U74" s="10"/>
      <c r="V74" s="10"/>
      <c r="W74" s="10"/>
      <c r="X74" s="11"/>
      <c r="Y74" s="10"/>
      <c r="Z74" s="10"/>
      <c r="AA74" s="10"/>
      <c r="AB74" s="8" t="str">
        <f>IF(B74="","",IF(AND(H74="高",OR(J74="抵触",J74="不支持")),"高权力不支持；","")&amp;IF(L74&gt;0,"存在支持差距；","")&amp;IF(AND(T74&lt;&gt;"",T74&lt;项目驾驶舱!$B$3),"沟通逾期；","")&amp;IF(AND(V74&lt;&gt;"",X74&lt;项目驾驶舱!$B$3,Y74&lt;&gt;"已完成"),"行动逾期；","")&amp;IF(AND(Z74="是",AA74=""),"未填升级对象",""))</f>
        <v/>
      </c>
      <c r="AC74" s="10"/>
    </row>
    <row r="75" spans="1:29">
      <c r="A75" s="8" t="str">
        <f t="shared" si="3"/>
        <v/>
      </c>
      <c r="B75" s="10"/>
      <c r="C75" s="10"/>
      <c r="D75" s="10"/>
      <c r="E75" s="10"/>
      <c r="F75" s="10"/>
      <c r="G75" s="10"/>
      <c r="H75" s="10"/>
      <c r="I75" s="10"/>
      <c r="J75" s="10"/>
      <c r="K75" s="10"/>
      <c r="L75" s="8" t="str">
        <f t="shared" si="4"/>
        <v/>
      </c>
      <c r="M75" s="10"/>
      <c r="N75" s="10" t="str">
        <f t="shared" si="5"/>
        <v/>
      </c>
      <c r="O75" s="10"/>
      <c r="P75" s="10"/>
      <c r="Q75" s="10"/>
      <c r="R75" s="10"/>
      <c r="S75" s="11"/>
      <c r="T75" s="11"/>
      <c r="U75" s="10"/>
      <c r="V75" s="10"/>
      <c r="W75" s="10"/>
      <c r="X75" s="11"/>
      <c r="Y75" s="10"/>
      <c r="Z75" s="10"/>
      <c r="AA75" s="10"/>
      <c r="AB75" s="8" t="str">
        <f>IF(B75="","",IF(AND(H75="高",OR(J75="抵触",J75="不支持")),"高权力不支持；","")&amp;IF(L75&gt;0,"存在支持差距；","")&amp;IF(AND(T75&lt;&gt;"",T75&lt;项目驾驶舱!$B$3),"沟通逾期；","")&amp;IF(AND(V75&lt;&gt;"",X75&lt;项目驾驶舱!$B$3,Y75&lt;&gt;"已完成"),"行动逾期；","")&amp;IF(AND(Z75="是",AA75=""),"未填升级对象",""))</f>
        <v/>
      </c>
      <c r="AC75" s="10"/>
    </row>
    <row r="76" spans="1:29">
      <c r="A76" s="8" t="str">
        <f t="shared" si="3"/>
        <v/>
      </c>
      <c r="B76" s="10"/>
      <c r="C76" s="10"/>
      <c r="D76" s="10"/>
      <c r="E76" s="10"/>
      <c r="F76" s="10"/>
      <c r="G76" s="10"/>
      <c r="H76" s="10"/>
      <c r="I76" s="10"/>
      <c r="J76" s="10"/>
      <c r="K76" s="10"/>
      <c r="L76" s="8" t="str">
        <f t="shared" si="4"/>
        <v/>
      </c>
      <c r="M76" s="10"/>
      <c r="N76" s="10" t="str">
        <f t="shared" si="5"/>
        <v/>
      </c>
      <c r="O76" s="10"/>
      <c r="P76" s="10"/>
      <c r="Q76" s="10"/>
      <c r="R76" s="10"/>
      <c r="S76" s="11"/>
      <c r="T76" s="11"/>
      <c r="U76" s="10"/>
      <c r="V76" s="10"/>
      <c r="W76" s="10"/>
      <c r="X76" s="11"/>
      <c r="Y76" s="10"/>
      <c r="Z76" s="10"/>
      <c r="AA76" s="10"/>
      <c r="AB76" s="8" t="str">
        <f>IF(B76="","",IF(AND(H76="高",OR(J76="抵触",J76="不支持")),"高权力不支持；","")&amp;IF(L76&gt;0,"存在支持差距；","")&amp;IF(AND(T76&lt;&gt;"",T76&lt;项目驾驶舱!$B$3),"沟通逾期；","")&amp;IF(AND(V76&lt;&gt;"",X76&lt;项目驾驶舱!$B$3,Y76&lt;&gt;"已完成"),"行动逾期；","")&amp;IF(AND(Z76="是",AA76=""),"未填升级对象",""))</f>
        <v/>
      </c>
      <c r="AC76" s="10"/>
    </row>
    <row r="77" spans="1:29">
      <c r="A77" s="8" t="str">
        <f t="shared" si="3"/>
        <v/>
      </c>
      <c r="B77" s="10"/>
      <c r="C77" s="10"/>
      <c r="D77" s="10"/>
      <c r="E77" s="10"/>
      <c r="F77" s="10"/>
      <c r="G77" s="10"/>
      <c r="H77" s="10"/>
      <c r="I77" s="10"/>
      <c r="J77" s="10"/>
      <c r="K77" s="10"/>
      <c r="L77" s="8" t="str">
        <f t="shared" si="4"/>
        <v/>
      </c>
      <c r="M77" s="10"/>
      <c r="N77" s="10" t="str">
        <f t="shared" si="5"/>
        <v/>
      </c>
      <c r="O77" s="10"/>
      <c r="P77" s="10"/>
      <c r="Q77" s="10"/>
      <c r="R77" s="10"/>
      <c r="S77" s="11"/>
      <c r="T77" s="11"/>
      <c r="U77" s="10"/>
      <c r="V77" s="10"/>
      <c r="W77" s="10"/>
      <c r="X77" s="11"/>
      <c r="Y77" s="10"/>
      <c r="Z77" s="10"/>
      <c r="AA77" s="10"/>
      <c r="AB77" s="8" t="str">
        <f>IF(B77="","",IF(AND(H77="高",OR(J77="抵触",J77="不支持")),"高权力不支持；","")&amp;IF(L77&gt;0,"存在支持差距；","")&amp;IF(AND(T77&lt;&gt;"",T77&lt;项目驾驶舱!$B$3),"沟通逾期；","")&amp;IF(AND(V77&lt;&gt;"",X77&lt;项目驾驶舱!$B$3,Y77&lt;&gt;"已完成"),"行动逾期；","")&amp;IF(AND(Z77="是",AA77=""),"未填升级对象",""))</f>
        <v/>
      </c>
      <c r="AC77" s="10"/>
    </row>
    <row r="78" spans="1:29">
      <c r="A78" s="8" t="str">
        <f t="shared" si="3"/>
        <v/>
      </c>
      <c r="B78" s="10"/>
      <c r="C78" s="10"/>
      <c r="D78" s="10"/>
      <c r="E78" s="10"/>
      <c r="F78" s="10"/>
      <c r="G78" s="10"/>
      <c r="H78" s="10"/>
      <c r="I78" s="10"/>
      <c r="J78" s="10"/>
      <c r="K78" s="10"/>
      <c r="L78" s="8" t="str">
        <f t="shared" si="4"/>
        <v/>
      </c>
      <c r="M78" s="10"/>
      <c r="N78" s="10" t="str">
        <f t="shared" si="5"/>
        <v/>
      </c>
      <c r="O78" s="10"/>
      <c r="P78" s="10"/>
      <c r="Q78" s="10"/>
      <c r="R78" s="10"/>
      <c r="S78" s="11"/>
      <c r="T78" s="11"/>
      <c r="U78" s="10"/>
      <c r="V78" s="10"/>
      <c r="W78" s="10"/>
      <c r="X78" s="11"/>
      <c r="Y78" s="10"/>
      <c r="Z78" s="10"/>
      <c r="AA78" s="10"/>
      <c r="AB78" s="8" t="str">
        <f>IF(B78="","",IF(AND(H78="高",OR(J78="抵触",J78="不支持")),"高权力不支持；","")&amp;IF(L78&gt;0,"存在支持差距；","")&amp;IF(AND(T78&lt;&gt;"",T78&lt;项目驾驶舱!$B$3),"沟通逾期；","")&amp;IF(AND(V78&lt;&gt;"",X78&lt;项目驾驶舱!$B$3,Y78&lt;&gt;"已完成"),"行动逾期；","")&amp;IF(AND(Z78="是",AA78=""),"未填升级对象",""))</f>
        <v/>
      </c>
      <c r="AC78" s="10"/>
    </row>
    <row r="79" spans="1:29">
      <c r="A79" s="8" t="str">
        <f t="shared" si="3"/>
        <v/>
      </c>
      <c r="B79" s="10"/>
      <c r="C79" s="10"/>
      <c r="D79" s="10"/>
      <c r="E79" s="10"/>
      <c r="F79" s="10"/>
      <c r="G79" s="10"/>
      <c r="H79" s="10"/>
      <c r="I79" s="10"/>
      <c r="J79" s="10"/>
      <c r="K79" s="10"/>
      <c r="L79" s="8" t="str">
        <f t="shared" si="4"/>
        <v/>
      </c>
      <c r="M79" s="10"/>
      <c r="N79" s="10" t="str">
        <f t="shared" si="5"/>
        <v/>
      </c>
      <c r="O79" s="10"/>
      <c r="P79" s="10"/>
      <c r="Q79" s="10"/>
      <c r="R79" s="10"/>
      <c r="S79" s="11"/>
      <c r="T79" s="11"/>
      <c r="U79" s="10"/>
      <c r="V79" s="10"/>
      <c r="W79" s="10"/>
      <c r="X79" s="11"/>
      <c r="Y79" s="10"/>
      <c r="Z79" s="10"/>
      <c r="AA79" s="10"/>
      <c r="AB79" s="8" t="str">
        <f>IF(B79="","",IF(AND(H79="高",OR(J79="抵触",J79="不支持")),"高权力不支持；","")&amp;IF(L79&gt;0,"存在支持差距；","")&amp;IF(AND(T79&lt;&gt;"",T79&lt;项目驾驶舱!$B$3),"沟通逾期；","")&amp;IF(AND(V79&lt;&gt;"",X79&lt;项目驾驶舱!$B$3,Y79&lt;&gt;"已完成"),"行动逾期；","")&amp;IF(AND(Z79="是",AA79=""),"未填升级对象",""))</f>
        <v/>
      </c>
      <c r="AC79" s="10"/>
    </row>
    <row r="80" spans="1:29">
      <c r="A80" s="8" t="str">
        <f t="shared" si="3"/>
        <v/>
      </c>
      <c r="B80" s="10"/>
      <c r="C80" s="10"/>
      <c r="D80" s="10"/>
      <c r="E80" s="10"/>
      <c r="F80" s="10"/>
      <c r="G80" s="10"/>
      <c r="H80" s="10"/>
      <c r="I80" s="10"/>
      <c r="J80" s="10"/>
      <c r="K80" s="10"/>
      <c r="L80" s="8" t="str">
        <f t="shared" si="4"/>
        <v/>
      </c>
      <c r="M80" s="10"/>
      <c r="N80" s="10" t="str">
        <f t="shared" si="5"/>
        <v/>
      </c>
      <c r="O80" s="10"/>
      <c r="P80" s="10"/>
      <c r="Q80" s="10"/>
      <c r="R80" s="10"/>
      <c r="S80" s="11"/>
      <c r="T80" s="11"/>
      <c r="U80" s="10"/>
      <c r="V80" s="10"/>
      <c r="W80" s="10"/>
      <c r="X80" s="11"/>
      <c r="Y80" s="10"/>
      <c r="Z80" s="10"/>
      <c r="AA80" s="10"/>
      <c r="AB80" s="8" t="str">
        <f>IF(B80="","",IF(AND(H80="高",OR(J80="抵触",J80="不支持")),"高权力不支持；","")&amp;IF(L80&gt;0,"存在支持差距；","")&amp;IF(AND(T80&lt;&gt;"",T80&lt;项目驾驶舱!$B$3),"沟通逾期；","")&amp;IF(AND(V80&lt;&gt;"",X80&lt;项目驾驶舱!$B$3,Y80&lt;&gt;"已完成"),"行动逾期；","")&amp;IF(AND(Z80="是",AA80=""),"未填升级对象",""))</f>
        <v/>
      </c>
      <c r="AC80" s="10"/>
    </row>
    <row r="81" spans="1:29">
      <c r="A81" s="8" t="str">
        <f t="shared" si="3"/>
        <v/>
      </c>
      <c r="B81" s="10"/>
      <c r="C81" s="10"/>
      <c r="D81" s="10"/>
      <c r="E81" s="10"/>
      <c r="F81" s="10"/>
      <c r="G81" s="10"/>
      <c r="H81" s="10"/>
      <c r="I81" s="10"/>
      <c r="J81" s="10"/>
      <c r="K81" s="10"/>
      <c r="L81" s="8" t="str">
        <f t="shared" si="4"/>
        <v/>
      </c>
      <c r="M81" s="10"/>
      <c r="N81" s="10" t="str">
        <f t="shared" si="5"/>
        <v/>
      </c>
      <c r="O81" s="10"/>
      <c r="P81" s="10"/>
      <c r="Q81" s="10"/>
      <c r="R81" s="10"/>
      <c r="S81" s="11"/>
      <c r="T81" s="11"/>
      <c r="U81" s="10"/>
      <c r="V81" s="10"/>
      <c r="W81" s="10"/>
      <c r="X81" s="11"/>
      <c r="Y81" s="10"/>
      <c r="Z81" s="10"/>
      <c r="AA81" s="10"/>
      <c r="AB81" s="8" t="str">
        <f>IF(B81="","",IF(AND(H81="高",OR(J81="抵触",J81="不支持")),"高权力不支持；","")&amp;IF(L81&gt;0,"存在支持差距；","")&amp;IF(AND(T81&lt;&gt;"",T81&lt;项目驾驶舱!$B$3),"沟通逾期；","")&amp;IF(AND(V81&lt;&gt;"",X81&lt;项目驾驶舱!$B$3,Y81&lt;&gt;"已完成"),"行动逾期；","")&amp;IF(AND(Z81="是",AA81=""),"未填升级对象",""))</f>
        <v/>
      </c>
      <c r="AC81" s="10"/>
    </row>
    <row r="82" spans="1:29">
      <c r="A82" s="8" t="str">
        <f t="shared" si="3"/>
        <v/>
      </c>
      <c r="B82" s="10"/>
      <c r="C82" s="10"/>
      <c r="D82" s="10"/>
      <c r="E82" s="10"/>
      <c r="F82" s="10"/>
      <c r="G82" s="10"/>
      <c r="H82" s="10"/>
      <c r="I82" s="10"/>
      <c r="J82" s="10"/>
      <c r="K82" s="10"/>
      <c r="L82" s="8" t="str">
        <f t="shared" si="4"/>
        <v/>
      </c>
      <c r="M82" s="10"/>
      <c r="N82" s="10" t="str">
        <f t="shared" si="5"/>
        <v/>
      </c>
      <c r="O82" s="10"/>
      <c r="P82" s="10"/>
      <c r="Q82" s="10"/>
      <c r="R82" s="10"/>
      <c r="S82" s="11"/>
      <c r="T82" s="11"/>
      <c r="U82" s="10"/>
      <c r="V82" s="10"/>
      <c r="W82" s="10"/>
      <c r="X82" s="11"/>
      <c r="Y82" s="10"/>
      <c r="Z82" s="10"/>
      <c r="AA82" s="10"/>
      <c r="AB82" s="8" t="str">
        <f>IF(B82="","",IF(AND(H82="高",OR(J82="抵触",J82="不支持")),"高权力不支持；","")&amp;IF(L82&gt;0,"存在支持差距；","")&amp;IF(AND(T82&lt;&gt;"",T82&lt;项目驾驶舱!$B$3),"沟通逾期；","")&amp;IF(AND(V82&lt;&gt;"",X82&lt;项目驾驶舱!$B$3,Y82&lt;&gt;"已完成"),"行动逾期；","")&amp;IF(AND(Z82="是",AA82=""),"未填升级对象",""))</f>
        <v/>
      </c>
      <c r="AC82" s="10"/>
    </row>
    <row r="83" spans="1:29">
      <c r="A83" s="8" t="str">
        <f t="shared" si="3"/>
        <v/>
      </c>
      <c r="B83" s="10"/>
      <c r="C83" s="10"/>
      <c r="D83" s="10"/>
      <c r="E83" s="10"/>
      <c r="F83" s="10"/>
      <c r="G83" s="10"/>
      <c r="H83" s="10"/>
      <c r="I83" s="10"/>
      <c r="J83" s="10"/>
      <c r="K83" s="10"/>
      <c r="L83" s="8" t="str">
        <f t="shared" si="4"/>
        <v/>
      </c>
      <c r="M83" s="10"/>
      <c r="N83" s="10" t="str">
        <f t="shared" si="5"/>
        <v/>
      </c>
      <c r="O83" s="10"/>
      <c r="P83" s="10"/>
      <c r="Q83" s="10"/>
      <c r="R83" s="10"/>
      <c r="S83" s="11"/>
      <c r="T83" s="11"/>
      <c r="U83" s="10"/>
      <c r="V83" s="10"/>
      <c r="W83" s="10"/>
      <c r="X83" s="11"/>
      <c r="Y83" s="10"/>
      <c r="Z83" s="10"/>
      <c r="AA83" s="10"/>
      <c r="AB83" s="8" t="str">
        <f>IF(B83="","",IF(AND(H83="高",OR(J83="抵触",J83="不支持")),"高权力不支持；","")&amp;IF(L83&gt;0,"存在支持差距；","")&amp;IF(AND(T83&lt;&gt;"",T83&lt;项目驾驶舱!$B$3),"沟通逾期；","")&amp;IF(AND(V83&lt;&gt;"",X83&lt;项目驾驶舱!$B$3,Y83&lt;&gt;"已完成"),"行动逾期；","")&amp;IF(AND(Z83="是",AA83=""),"未填升级对象",""))</f>
        <v/>
      </c>
      <c r="AC83" s="10"/>
    </row>
    <row r="84" spans="1:29">
      <c r="A84" s="8" t="str">
        <f t="shared" si="3"/>
        <v/>
      </c>
      <c r="B84" s="10"/>
      <c r="C84" s="10"/>
      <c r="D84" s="10"/>
      <c r="E84" s="10"/>
      <c r="F84" s="10"/>
      <c r="G84" s="10"/>
      <c r="H84" s="10"/>
      <c r="I84" s="10"/>
      <c r="J84" s="10"/>
      <c r="K84" s="10"/>
      <c r="L84" s="8" t="str">
        <f t="shared" si="4"/>
        <v/>
      </c>
      <c r="M84" s="10"/>
      <c r="N84" s="10" t="str">
        <f t="shared" si="5"/>
        <v/>
      </c>
      <c r="O84" s="10"/>
      <c r="P84" s="10"/>
      <c r="Q84" s="10"/>
      <c r="R84" s="10"/>
      <c r="S84" s="11"/>
      <c r="T84" s="11"/>
      <c r="U84" s="10"/>
      <c r="V84" s="10"/>
      <c r="W84" s="10"/>
      <c r="X84" s="11"/>
      <c r="Y84" s="10"/>
      <c r="Z84" s="10"/>
      <c r="AA84" s="10"/>
      <c r="AB84" s="8" t="str">
        <f>IF(B84="","",IF(AND(H84="高",OR(J84="抵触",J84="不支持")),"高权力不支持；","")&amp;IF(L84&gt;0,"存在支持差距；","")&amp;IF(AND(T84&lt;&gt;"",T84&lt;项目驾驶舱!$B$3),"沟通逾期；","")&amp;IF(AND(V84&lt;&gt;"",X84&lt;项目驾驶舱!$B$3,Y84&lt;&gt;"已完成"),"行动逾期；","")&amp;IF(AND(Z84="是",AA84=""),"未填升级对象",""))</f>
        <v/>
      </c>
      <c r="AC84" s="10"/>
    </row>
    <row r="85" spans="1:29">
      <c r="A85" s="8" t="str">
        <f t="shared" si="3"/>
        <v/>
      </c>
      <c r="B85" s="10"/>
      <c r="C85" s="10"/>
      <c r="D85" s="10"/>
      <c r="E85" s="10"/>
      <c r="F85" s="10"/>
      <c r="G85" s="10"/>
      <c r="H85" s="10"/>
      <c r="I85" s="10"/>
      <c r="J85" s="10"/>
      <c r="K85" s="10"/>
      <c r="L85" s="8" t="str">
        <f t="shared" si="4"/>
        <v/>
      </c>
      <c r="M85" s="10"/>
      <c r="N85" s="10" t="str">
        <f t="shared" si="5"/>
        <v/>
      </c>
      <c r="O85" s="10"/>
      <c r="P85" s="10"/>
      <c r="Q85" s="10"/>
      <c r="R85" s="10"/>
      <c r="S85" s="11"/>
      <c r="T85" s="11"/>
      <c r="U85" s="10"/>
      <c r="V85" s="10"/>
      <c r="W85" s="10"/>
      <c r="X85" s="11"/>
      <c r="Y85" s="10"/>
      <c r="Z85" s="10"/>
      <c r="AA85" s="10"/>
      <c r="AB85" s="8" t="str">
        <f>IF(B85="","",IF(AND(H85="高",OR(J85="抵触",J85="不支持")),"高权力不支持；","")&amp;IF(L85&gt;0,"存在支持差距；","")&amp;IF(AND(T85&lt;&gt;"",T85&lt;项目驾驶舱!$B$3),"沟通逾期；","")&amp;IF(AND(V85&lt;&gt;"",X85&lt;项目驾驶舱!$B$3,Y85&lt;&gt;"已完成"),"行动逾期；","")&amp;IF(AND(Z85="是",AA85=""),"未填升级对象",""))</f>
        <v/>
      </c>
      <c r="AC85" s="10"/>
    </row>
    <row r="86" spans="1:29">
      <c r="A86" s="8" t="str">
        <f t="shared" si="3"/>
        <v/>
      </c>
      <c r="B86" s="10"/>
      <c r="C86" s="10"/>
      <c r="D86" s="10"/>
      <c r="E86" s="10"/>
      <c r="F86" s="10"/>
      <c r="G86" s="10"/>
      <c r="H86" s="10"/>
      <c r="I86" s="10"/>
      <c r="J86" s="10"/>
      <c r="K86" s="10"/>
      <c r="L86" s="8" t="str">
        <f t="shared" si="4"/>
        <v/>
      </c>
      <c r="M86" s="10"/>
      <c r="N86" s="10" t="str">
        <f t="shared" si="5"/>
        <v/>
      </c>
      <c r="O86" s="10"/>
      <c r="P86" s="10"/>
      <c r="Q86" s="10"/>
      <c r="R86" s="10"/>
      <c r="S86" s="11"/>
      <c r="T86" s="11"/>
      <c r="U86" s="10"/>
      <c r="V86" s="10"/>
      <c r="W86" s="10"/>
      <c r="X86" s="11"/>
      <c r="Y86" s="10"/>
      <c r="Z86" s="10"/>
      <c r="AA86" s="10"/>
      <c r="AB86" s="8" t="str">
        <f>IF(B86="","",IF(AND(H86="高",OR(J86="抵触",J86="不支持")),"高权力不支持；","")&amp;IF(L86&gt;0,"存在支持差距；","")&amp;IF(AND(T86&lt;&gt;"",T86&lt;项目驾驶舱!$B$3),"沟通逾期；","")&amp;IF(AND(V86&lt;&gt;"",X86&lt;项目驾驶舱!$B$3,Y86&lt;&gt;"已完成"),"行动逾期；","")&amp;IF(AND(Z86="是",AA86=""),"未填升级对象",""))</f>
        <v/>
      </c>
      <c r="AC86" s="10"/>
    </row>
    <row r="87" spans="1:29">
      <c r="A87" s="8" t="str">
        <f t="shared" si="3"/>
        <v/>
      </c>
      <c r="B87" s="10"/>
      <c r="C87" s="10"/>
      <c r="D87" s="10"/>
      <c r="E87" s="10"/>
      <c r="F87" s="10"/>
      <c r="G87" s="10"/>
      <c r="H87" s="10"/>
      <c r="I87" s="10"/>
      <c r="J87" s="10"/>
      <c r="K87" s="10"/>
      <c r="L87" s="8" t="str">
        <f t="shared" si="4"/>
        <v/>
      </c>
      <c r="M87" s="10"/>
      <c r="N87" s="10" t="str">
        <f t="shared" si="5"/>
        <v/>
      </c>
      <c r="O87" s="10"/>
      <c r="P87" s="10"/>
      <c r="Q87" s="10"/>
      <c r="R87" s="10"/>
      <c r="S87" s="11"/>
      <c r="T87" s="11"/>
      <c r="U87" s="10"/>
      <c r="V87" s="10"/>
      <c r="W87" s="10"/>
      <c r="X87" s="11"/>
      <c r="Y87" s="10"/>
      <c r="Z87" s="10"/>
      <c r="AA87" s="10"/>
      <c r="AB87" s="8" t="str">
        <f>IF(B87="","",IF(AND(H87="高",OR(J87="抵触",J87="不支持")),"高权力不支持；","")&amp;IF(L87&gt;0,"存在支持差距；","")&amp;IF(AND(T87&lt;&gt;"",T87&lt;项目驾驶舱!$B$3),"沟通逾期；","")&amp;IF(AND(V87&lt;&gt;"",X87&lt;项目驾驶舱!$B$3,Y87&lt;&gt;"已完成"),"行动逾期；","")&amp;IF(AND(Z87="是",AA87=""),"未填升级对象",""))</f>
        <v/>
      </c>
      <c r="AC87" s="10"/>
    </row>
    <row r="88" spans="1:29">
      <c r="A88" s="8" t="str">
        <f t="shared" si="3"/>
        <v/>
      </c>
      <c r="B88" s="10"/>
      <c r="C88" s="10"/>
      <c r="D88" s="10"/>
      <c r="E88" s="10"/>
      <c r="F88" s="10"/>
      <c r="G88" s="10"/>
      <c r="H88" s="10"/>
      <c r="I88" s="10"/>
      <c r="J88" s="10"/>
      <c r="K88" s="10"/>
      <c r="L88" s="8" t="str">
        <f t="shared" si="4"/>
        <v/>
      </c>
      <c r="M88" s="10"/>
      <c r="N88" s="10" t="str">
        <f t="shared" si="5"/>
        <v/>
      </c>
      <c r="O88" s="10"/>
      <c r="P88" s="10"/>
      <c r="Q88" s="10"/>
      <c r="R88" s="10"/>
      <c r="S88" s="11"/>
      <c r="T88" s="11"/>
      <c r="U88" s="10"/>
      <c r="V88" s="10"/>
      <c r="W88" s="10"/>
      <c r="X88" s="11"/>
      <c r="Y88" s="10"/>
      <c r="Z88" s="10"/>
      <c r="AA88" s="10"/>
      <c r="AB88" s="8" t="str">
        <f>IF(B88="","",IF(AND(H88="高",OR(J88="抵触",J88="不支持")),"高权力不支持；","")&amp;IF(L88&gt;0,"存在支持差距；","")&amp;IF(AND(T88&lt;&gt;"",T88&lt;项目驾驶舱!$B$3),"沟通逾期；","")&amp;IF(AND(V88&lt;&gt;"",X88&lt;项目驾驶舱!$B$3,Y88&lt;&gt;"已完成"),"行动逾期；","")&amp;IF(AND(Z88="是",AA88=""),"未填升级对象",""))</f>
        <v/>
      </c>
      <c r="AC88" s="10"/>
    </row>
    <row r="89" spans="1:29">
      <c r="A89" s="8" t="str">
        <f t="shared" si="3"/>
        <v/>
      </c>
      <c r="B89" s="10"/>
      <c r="C89" s="10"/>
      <c r="D89" s="10"/>
      <c r="E89" s="10"/>
      <c r="F89" s="10"/>
      <c r="G89" s="10"/>
      <c r="H89" s="10"/>
      <c r="I89" s="10"/>
      <c r="J89" s="10"/>
      <c r="K89" s="10"/>
      <c r="L89" s="8" t="str">
        <f t="shared" si="4"/>
        <v/>
      </c>
      <c r="M89" s="10"/>
      <c r="N89" s="10" t="str">
        <f t="shared" si="5"/>
        <v/>
      </c>
      <c r="O89" s="10"/>
      <c r="P89" s="10"/>
      <c r="Q89" s="10"/>
      <c r="R89" s="10"/>
      <c r="S89" s="11"/>
      <c r="T89" s="11"/>
      <c r="U89" s="10"/>
      <c r="V89" s="10"/>
      <c r="W89" s="10"/>
      <c r="X89" s="11"/>
      <c r="Y89" s="10"/>
      <c r="Z89" s="10"/>
      <c r="AA89" s="10"/>
      <c r="AB89" s="8" t="str">
        <f>IF(B89="","",IF(AND(H89="高",OR(J89="抵触",J89="不支持")),"高权力不支持；","")&amp;IF(L89&gt;0,"存在支持差距；","")&amp;IF(AND(T89&lt;&gt;"",T89&lt;项目驾驶舱!$B$3),"沟通逾期；","")&amp;IF(AND(V89&lt;&gt;"",X89&lt;项目驾驶舱!$B$3,Y89&lt;&gt;"已完成"),"行动逾期；","")&amp;IF(AND(Z89="是",AA89=""),"未填升级对象",""))</f>
        <v/>
      </c>
      <c r="AC89" s="10"/>
    </row>
    <row r="90" spans="1:29">
      <c r="A90" s="8" t="str">
        <f t="shared" si="3"/>
        <v/>
      </c>
      <c r="B90" s="10"/>
      <c r="C90" s="10"/>
      <c r="D90" s="10"/>
      <c r="E90" s="10"/>
      <c r="F90" s="10"/>
      <c r="G90" s="10"/>
      <c r="H90" s="10"/>
      <c r="I90" s="10"/>
      <c r="J90" s="10"/>
      <c r="K90" s="10"/>
      <c r="L90" s="8" t="str">
        <f t="shared" si="4"/>
        <v/>
      </c>
      <c r="M90" s="10"/>
      <c r="N90" s="10" t="str">
        <f t="shared" si="5"/>
        <v/>
      </c>
      <c r="O90" s="10"/>
      <c r="P90" s="10"/>
      <c r="Q90" s="10"/>
      <c r="R90" s="10"/>
      <c r="S90" s="11"/>
      <c r="T90" s="11"/>
      <c r="U90" s="10"/>
      <c r="V90" s="10"/>
      <c r="W90" s="10"/>
      <c r="X90" s="11"/>
      <c r="Y90" s="10"/>
      <c r="Z90" s="10"/>
      <c r="AA90" s="10"/>
      <c r="AB90" s="8" t="str">
        <f>IF(B90="","",IF(AND(H90="高",OR(J90="抵触",J90="不支持")),"高权力不支持；","")&amp;IF(L90&gt;0,"存在支持差距；","")&amp;IF(AND(T90&lt;&gt;"",T90&lt;项目驾驶舱!$B$3),"沟通逾期；","")&amp;IF(AND(V90&lt;&gt;"",X90&lt;项目驾驶舱!$B$3,Y90&lt;&gt;"已完成"),"行动逾期；","")&amp;IF(AND(Z90="是",AA90=""),"未填升级对象",""))</f>
        <v/>
      </c>
      <c r="AC90" s="10"/>
    </row>
    <row r="91" spans="1:29">
      <c r="A91" s="8" t="str">
        <f t="shared" si="3"/>
        <v/>
      </c>
      <c r="B91" s="10"/>
      <c r="C91" s="10"/>
      <c r="D91" s="10"/>
      <c r="E91" s="10"/>
      <c r="F91" s="10"/>
      <c r="G91" s="10"/>
      <c r="H91" s="10"/>
      <c r="I91" s="10"/>
      <c r="J91" s="10"/>
      <c r="K91" s="10"/>
      <c r="L91" s="8" t="str">
        <f t="shared" si="4"/>
        <v/>
      </c>
      <c r="M91" s="10"/>
      <c r="N91" s="10" t="str">
        <f t="shared" si="5"/>
        <v/>
      </c>
      <c r="O91" s="10"/>
      <c r="P91" s="10"/>
      <c r="Q91" s="10"/>
      <c r="R91" s="10"/>
      <c r="S91" s="11"/>
      <c r="T91" s="11"/>
      <c r="U91" s="10"/>
      <c r="V91" s="10"/>
      <c r="W91" s="10"/>
      <c r="X91" s="11"/>
      <c r="Y91" s="10"/>
      <c r="Z91" s="10"/>
      <c r="AA91" s="10"/>
      <c r="AB91" s="8" t="str">
        <f>IF(B91="","",IF(AND(H91="高",OR(J91="抵触",J91="不支持")),"高权力不支持；","")&amp;IF(L91&gt;0,"存在支持差距；","")&amp;IF(AND(T91&lt;&gt;"",T91&lt;项目驾驶舱!$B$3),"沟通逾期；","")&amp;IF(AND(V91&lt;&gt;"",X91&lt;项目驾驶舱!$B$3,Y91&lt;&gt;"已完成"),"行动逾期；","")&amp;IF(AND(Z91="是",AA91=""),"未填升级对象",""))</f>
        <v/>
      </c>
      <c r="AC91" s="10"/>
    </row>
    <row r="92" spans="1:29">
      <c r="A92" s="8" t="str">
        <f t="shared" si="3"/>
        <v/>
      </c>
      <c r="B92" s="10"/>
      <c r="C92" s="10"/>
      <c r="D92" s="10"/>
      <c r="E92" s="10"/>
      <c r="F92" s="10"/>
      <c r="G92" s="10"/>
      <c r="H92" s="10"/>
      <c r="I92" s="10"/>
      <c r="J92" s="10"/>
      <c r="K92" s="10"/>
      <c r="L92" s="8" t="str">
        <f t="shared" si="4"/>
        <v/>
      </c>
      <c r="M92" s="10"/>
      <c r="N92" s="10" t="str">
        <f t="shared" si="5"/>
        <v/>
      </c>
      <c r="O92" s="10"/>
      <c r="P92" s="10"/>
      <c r="Q92" s="10"/>
      <c r="R92" s="10"/>
      <c r="S92" s="11"/>
      <c r="T92" s="11"/>
      <c r="U92" s="10"/>
      <c r="V92" s="10"/>
      <c r="W92" s="10"/>
      <c r="X92" s="11"/>
      <c r="Y92" s="10"/>
      <c r="Z92" s="10"/>
      <c r="AA92" s="10"/>
      <c r="AB92" s="8" t="str">
        <f>IF(B92="","",IF(AND(H92="高",OR(J92="抵触",J92="不支持")),"高权力不支持；","")&amp;IF(L92&gt;0,"存在支持差距；","")&amp;IF(AND(T92&lt;&gt;"",T92&lt;项目驾驶舱!$B$3),"沟通逾期；","")&amp;IF(AND(V92&lt;&gt;"",X92&lt;项目驾驶舱!$B$3,Y92&lt;&gt;"已完成"),"行动逾期；","")&amp;IF(AND(Z92="是",AA92=""),"未填升级对象",""))</f>
        <v/>
      </c>
      <c r="AC92" s="10"/>
    </row>
    <row r="93" spans="1:29">
      <c r="A93" s="8" t="str">
        <f t="shared" si="3"/>
        <v/>
      </c>
      <c r="B93" s="10"/>
      <c r="C93" s="10"/>
      <c r="D93" s="10"/>
      <c r="E93" s="10"/>
      <c r="F93" s="10"/>
      <c r="G93" s="10"/>
      <c r="H93" s="10"/>
      <c r="I93" s="10"/>
      <c r="J93" s="10"/>
      <c r="K93" s="10"/>
      <c r="L93" s="8" t="str">
        <f t="shared" si="4"/>
        <v/>
      </c>
      <c r="M93" s="10"/>
      <c r="N93" s="10" t="str">
        <f t="shared" si="5"/>
        <v/>
      </c>
      <c r="O93" s="10"/>
      <c r="P93" s="10"/>
      <c r="Q93" s="10"/>
      <c r="R93" s="10"/>
      <c r="S93" s="11"/>
      <c r="T93" s="11"/>
      <c r="U93" s="10"/>
      <c r="V93" s="10"/>
      <c r="W93" s="10"/>
      <c r="X93" s="11"/>
      <c r="Y93" s="10"/>
      <c r="Z93" s="10"/>
      <c r="AA93" s="10"/>
      <c r="AB93" s="8" t="str">
        <f>IF(B93="","",IF(AND(H93="高",OR(J93="抵触",J93="不支持")),"高权力不支持；","")&amp;IF(L93&gt;0,"存在支持差距；","")&amp;IF(AND(T93&lt;&gt;"",T93&lt;项目驾驶舱!$B$3),"沟通逾期；","")&amp;IF(AND(V93&lt;&gt;"",X93&lt;项目驾驶舱!$B$3,Y93&lt;&gt;"已完成"),"行动逾期；","")&amp;IF(AND(Z93="是",AA93=""),"未填升级对象",""))</f>
        <v/>
      </c>
      <c r="AC93" s="10"/>
    </row>
    <row r="94" spans="1:29">
      <c r="A94" s="8" t="str">
        <f t="shared" si="3"/>
        <v/>
      </c>
      <c r="B94" s="10"/>
      <c r="C94" s="10"/>
      <c r="D94" s="10"/>
      <c r="E94" s="10"/>
      <c r="F94" s="10"/>
      <c r="G94" s="10"/>
      <c r="H94" s="10"/>
      <c r="I94" s="10"/>
      <c r="J94" s="10"/>
      <c r="K94" s="10"/>
      <c r="L94" s="8" t="str">
        <f t="shared" si="4"/>
        <v/>
      </c>
      <c r="M94" s="10"/>
      <c r="N94" s="10" t="str">
        <f t="shared" si="5"/>
        <v/>
      </c>
      <c r="O94" s="10"/>
      <c r="P94" s="10"/>
      <c r="Q94" s="10"/>
      <c r="R94" s="10"/>
      <c r="S94" s="11"/>
      <c r="T94" s="11"/>
      <c r="U94" s="10"/>
      <c r="V94" s="10"/>
      <c r="W94" s="10"/>
      <c r="X94" s="11"/>
      <c r="Y94" s="10"/>
      <c r="Z94" s="10"/>
      <c r="AA94" s="10"/>
      <c r="AB94" s="8" t="str">
        <f>IF(B94="","",IF(AND(H94="高",OR(J94="抵触",J94="不支持")),"高权力不支持；","")&amp;IF(L94&gt;0,"存在支持差距；","")&amp;IF(AND(T94&lt;&gt;"",T94&lt;项目驾驶舱!$B$3),"沟通逾期；","")&amp;IF(AND(V94&lt;&gt;"",X94&lt;项目驾驶舱!$B$3,Y94&lt;&gt;"已完成"),"行动逾期；","")&amp;IF(AND(Z94="是",AA94=""),"未填升级对象",""))</f>
        <v/>
      </c>
      <c r="AC94" s="10"/>
    </row>
    <row r="95" spans="1:29">
      <c r="A95" s="8" t="str">
        <f t="shared" si="3"/>
        <v/>
      </c>
      <c r="B95" s="10"/>
      <c r="C95" s="10"/>
      <c r="D95" s="10"/>
      <c r="E95" s="10"/>
      <c r="F95" s="10"/>
      <c r="G95" s="10"/>
      <c r="H95" s="10"/>
      <c r="I95" s="10"/>
      <c r="J95" s="10"/>
      <c r="K95" s="10"/>
      <c r="L95" s="8" t="str">
        <f t="shared" si="4"/>
        <v/>
      </c>
      <c r="M95" s="10"/>
      <c r="N95" s="10" t="str">
        <f t="shared" si="5"/>
        <v/>
      </c>
      <c r="O95" s="10"/>
      <c r="P95" s="10"/>
      <c r="Q95" s="10"/>
      <c r="R95" s="10"/>
      <c r="S95" s="11"/>
      <c r="T95" s="11"/>
      <c r="U95" s="10"/>
      <c r="V95" s="10"/>
      <c r="W95" s="10"/>
      <c r="X95" s="11"/>
      <c r="Y95" s="10"/>
      <c r="Z95" s="10"/>
      <c r="AA95" s="10"/>
      <c r="AB95" s="8" t="str">
        <f>IF(B95="","",IF(AND(H95="高",OR(J95="抵触",J95="不支持")),"高权力不支持；","")&amp;IF(L95&gt;0,"存在支持差距；","")&amp;IF(AND(T95&lt;&gt;"",T95&lt;项目驾驶舱!$B$3),"沟通逾期；","")&amp;IF(AND(V95&lt;&gt;"",X95&lt;项目驾驶舱!$B$3,Y95&lt;&gt;"已完成"),"行动逾期；","")&amp;IF(AND(Z95="是",AA95=""),"未填升级对象",""))</f>
        <v/>
      </c>
      <c r="AC95" s="10"/>
    </row>
    <row r="96" spans="1:29">
      <c r="A96" s="8" t="str">
        <f t="shared" si="3"/>
        <v/>
      </c>
      <c r="B96" s="10"/>
      <c r="C96" s="10"/>
      <c r="D96" s="10"/>
      <c r="E96" s="10"/>
      <c r="F96" s="10"/>
      <c r="G96" s="10"/>
      <c r="H96" s="10"/>
      <c r="I96" s="10"/>
      <c r="J96" s="10"/>
      <c r="K96" s="10"/>
      <c r="L96" s="8" t="str">
        <f t="shared" si="4"/>
        <v/>
      </c>
      <c r="M96" s="10"/>
      <c r="N96" s="10" t="str">
        <f t="shared" si="5"/>
        <v/>
      </c>
      <c r="O96" s="10"/>
      <c r="P96" s="10"/>
      <c r="Q96" s="10"/>
      <c r="R96" s="10"/>
      <c r="S96" s="11"/>
      <c r="T96" s="11"/>
      <c r="U96" s="10"/>
      <c r="V96" s="10"/>
      <c r="W96" s="10"/>
      <c r="X96" s="11"/>
      <c r="Y96" s="10"/>
      <c r="Z96" s="10"/>
      <c r="AA96" s="10"/>
      <c r="AB96" s="8" t="str">
        <f>IF(B96="","",IF(AND(H96="高",OR(J96="抵触",J96="不支持")),"高权力不支持；","")&amp;IF(L96&gt;0,"存在支持差距；","")&amp;IF(AND(T96&lt;&gt;"",T96&lt;项目驾驶舱!$B$3),"沟通逾期；","")&amp;IF(AND(V96&lt;&gt;"",X96&lt;项目驾驶舱!$B$3,Y96&lt;&gt;"已完成"),"行动逾期；","")&amp;IF(AND(Z96="是",AA96=""),"未填升级对象",""))</f>
        <v/>
      </c>
      <c r="AC96" s="10"/>
    </row>
    <row r="97" spans="1:29">
      <c r="A97" s="8" t="str">
        <f t="shared" si="3"/>
        <v/>
      </c>
      <c r="B97" s="10"/>
      <c r="C97" s="10"/>
      <c r="D97" s="10"/>
      <c r="E97" s="10"/>
      <c r="F97" s="10"/>
      <c r="G97" s="10"/>
      <c r="H97" s="10"/>
      <c r="I97" s="10"/>
      <c r="J97" s="10"/>
      <c r="K97" s="10"/>
      <c r="L97" s="8" t="str">
        <f t="shared" si="4"/>
        <v/>
      </c>
      <c r="M97" s="10"/>
      <c r="N97" s="10" t="str">
        <f t="shared" si="5"/>
        <v/>
      </c>
      <c r="O97" s="10"/>
      <c r="P97" s="10"/>
      <c r="Q97" s="10"/>
      <c r="R97" s="10"/>
      <c r="S97" s="11"/>
      <c r="T97" s="11"/>
      <c r="U97" s="10"/>
      <c r="V97" s="10"/>
      <c r="W97" s="10"/>
      <c r="X97" s="11"/>
      <c r="Y97" s="10"/>
      <c r="Z97" s="10"/>
      <c r="AA97" s="10"/>
      <c r="AB97" s="8" t="str">
        <f>IF(B97="","",IF(AND(H97="高",OR(J97="抵触",J97="不支持")),"高权力不支持；","")&amp;IF(L97&gt;0,"存在支持差距；","")&amp;IF(AND(T97&lt;&gt;"",T97&lt;项目驾驶舱!$B$3),"沟通逾期；","")&amp;IF(AND(V97&lt;&gt;"",X97&lt;项目驾驶舱!$B$3,Y97&lt;&gt;"已完成"),"行动逾期；","")&amp;IF(AND(Z97="是",AA97=""),"未填升级对象",""))</f>
        <v/>
      </c>
      <c r="AC97" s="10"/>
    </row>
    <row r="98" spans="1:29">
      <c r="A98" s="8" t="str">
        <f t="shared" si="3"/>
        <v/>
      </c>
      <c r="B98" s="10"/>
      <c r="C98" s="10"/>
      <c r="D98" s="10"/>
      <c r="E98" s="10"/>
      <c r="F98" s="10"/>
      <c r="G98" s="10"/>
      <c r="H98" s="10"/>
      <c r="I98" s="10"/>
      <c r="J98" s="10"/>
      <c r="K98" s="10"/>
      <c r="L98" s="8" t="str">
        <f t="shared" si="4"/>
        <v/>
      </c>
      <c r="M98" s="10"/>
      <c r="N98" s="10" t="str">
        <f t="shared" si="5"/>
        <v/>
      </c>
      <c r="O98" s="10"/>
      <c r="P98" s="10"/>
      <c r="Q98" s="10"/>
      <c r="R98" s="10"/>
      <c r="S98" s="11"/>
      <c r="T98" s="11"/>
      <c r="U98" s="10"/>
      <c r="V98" s="10"/>
      <c r="W98" s="10"/>
      <c r="X98" s="11"/>
      <c r="Y98" s="10"/>
      <c r="Z98" s="10"/>
      <c r="AA98" s="10"/>
      <c r="AB98" s="8" t="str">
        <f>IF(B98="","",IF(AND(H98="高",OR(J98="抵触",J98="不支持")),"高权力不支持；","")&amp;IF(L98&gt;0,"存在支持差距；","")&amp;IF(AND(T98&lt;&gt;"",T98&lt;项目驾驶舱!$B$3),"沟通逾期；","")&amp;IF(AND(V98&lt;&gt;"",X98&lt;项目驾驶舱!$B$3,Y98&lt;&gt;"已完成"),"行动逾期；","")&amp;IF(AND(Z98="是",AA98=""),"未填升级对象",""))</f>
        <v/>
      </c>
      <c r="AC98" s="10"/>
    </row>
    <row r="99" spans="1:29">
      <c r="A99" s="8" t="str">
        <f t="shared" si="3"/>
        <v/>
      </c>
      <c r="B99" s="10"/>
      <c r="C99" s="10"/>
      <c r="D99" s="10"/>
      <c r="E99" s="10"/>
      <c r="F99" s="10"/>
      <c r="G99" s="10"/>
      <c r="H99" s="10"/>
      <c r="I99" s="10"/>
      <c r="J99" s="10"/>
      <c r="K99" s="10"/>
      <c r="L99" s="8" t="str">
        <f t="shared" si="4"/>
        <v/>
      </c>
      <c r="M99" s="10"/>
      <c r="N99" s="10" t="str">
        <f t="shared" si="5"/>
        <v/>
      </c>
      <c r="O99" s="10"/>
      <c r="P99" s="10"/>
      <c r="Q99" s="10"/>
      <c r="R99" s="10"/>
      <c r="S99" s="11"/>
      <c r="T99" s="11"/>
      <c r="U99" s="10"/>
      <c r="V99" s="10"/>
      <c r="W99" s="10"/>
      <c r="X99" s="11"/>
      <c r="Y99" s="10"/>
      <c r="Z99" s="10"/>
      <c r="AA99" s="10"/>
      <c r="AB99" s="8" t="str">
        <f>IF(B99="","",IF(AND(H99="高",OR(J99="抵触",J99="不支持")),"高权力不支持；","")&amp;IF(L99&gt;0,"存在支持差距；","")&amp;IF(AND(T99&lt;&gt;"",T99&lt;项目驾驶舱!$B$3),"沟通逾期；","")&amp;IF(AND(V99&lt;&gt;"",X99&lt;项目驾驶舱!$B$3,Y99&lt;&gt;"已完成"),"行动逾期；","")&amp;IF(AND(Z99="是",AA99=""),"未填升级对象",""))</f>
        <v/>
      </c>
      <c r="AC99" s="10"/>
    </row>
    <row r="100" spans="1:29">
      <c r="A100" s="8" t="str">
        <f t="shared" si="3"/>
        <v/>
      </c>
      <c r="B100" s="10"/>
      <c r="C100" s="10"/>
      <c r="D100" s="10"/>
      <c r="E100" s="10"/>
      <c r="F100" s="10"/>
      <c r="G100" s="10"/>
      <c r="H100" s="10"/>
      <c r="I100" s="10"/>
      <c r="J100" s="10"/>
      <c r="K100" s="10"/>
      <c r="L100" s="8" t="str">
        <f t="shared" si="4"/>
        <v/>
      </c>
      <c r="M100" s="10"/>
      <c r="N100" s="10" t="str">
        <f t="shared" si="5"/>
        <v/>
      </c>
      <c r="O100" s="10"/>
      <c r="P100" s="10"/>
      <c r="Q100" s="10"/>
      <c r="R100" s="10"/>
      <c r="S100" s="11"/>
      <c r="T100" s="11"/>
      <c r="U100" s="10"/>
      <c r="V100" s="10"/>
      <c r="W100" s="10"/>
      <c r="X100" s="11"/>
      <c r="Y100" s="10"/>
      <c r="Z100" s="10"/>
      <c r="AA100" s="10"/>
      <c r="AB100" s="8" t="str">
        <f>IF(B100="","",IF(AND(H100="高",OR(J100="抵触",J100="不支持")),"高权力不支持；","")&amp;IF(L100&gt;0,"存在支持差距；","")&amp;IF(AND(T100&lt;&gt;"",T100&lt;项目驾驶舱!$B$3),"沟通逾期；","")&amp;IF(AND(V100&lt;&gt;"",X100&lt;项目驾驶舱!$B$3,Y100&lt;&gt;"已完成"),"行动逾期；","")&amp;IF(AND(Z100="是",AA100=""),"未填升级对象",""))</f>
        <v/>
      </c>
      <c r="AC100" s="10"/>
    </row>
    <row r="101" spans="1:29">
      <c r="A101" s="8" t="str">
        <f t="shared" si="3"/>
        <v/>
      </c>
      <c r="B101" s="10"/>
      <c r="C101" s="10"/>
      <c r="D101" s="10"/>
      <c r="E101" s="10"/>
      <c r="F101" s="10"/>
      <c r="G101" s="10"/>
      <c r="H101" s="10"/>
      <c r="I101" s="10"/>
      <c r="J101" s="10"/>
      <c r="K101" s="10"/>
      <c r="L101" s="8" t="str">
        <f t="shared" si="4"/>
        <v/>
      </c>
      <c r="M101" s="10"/>
      <c r="N101" s="10" t="str">
        <f t="shared" si="5"/>
        <v/>
      </c>
      <c r="O101" s="10"/>
      <c r="P101" s="10"/>
      <c r="Q101" s="10"/>
      <c r="R101" s="10"/>
      <c r="S101" s="11"/>
      <c r="T101" s="11"/>
      <c r="U101" s="10"/>
      <c r="V101" s="10"/>
      <c r="W101" s="10"/>
      <c r="X101" s="11"/>
      <c r="Y101" s="10"/>
      <c r="Z101" s="10"/>
      <c r="AA101" s="10"/>
      <c r="AB101" s="8" t="str">
        <f>IF(B101="","",IF(AND(H101="高",OR(J101="抵触",J101="不支持")),"高权力不支持；","")&amp;IF(L101&gt;0,"存在支持差距；","")&amp;IF(AND(T101&lt;&gt;"",T101&lt;项目驾驶舱!$B$3),"沟通逾期；","")&amp;IF(AND(V101&lt;&gt;"",X101&lt;项目驾驶舱!$B$3,Y101&lt;&gt;"已完成"),"行动逾期；","")&amp;IF(AND(Z101="是",AA101=""),"未填升级对象",""))</f>
        <v/>
      </c>
      <c r="AC101" s="10"/>
    </row>
    <row r="102" spans="1:29">
      <c r="A102" s="8" t="str">
        <f t="shared" si="3"/>
        <v/>
      </c>
      <c r="B102" s="10"/>
      <c r="C102" s="10"/>
      <c r="D102" s="10"/>
      <c r="E102" s="10"/>
      <c r="F102" s="10"/>
      <c r="G102" s="10"/>
      <c r="H102" s="10"/>
      <c r="I102" s="10"/>
      <c r="J102" s="10"/>
      <c r="K102" s="10"/>
      <c r="L102" s="8" t="str">
        <f t="shared" si="4"/>
        <v/>
      </c>
      <c r="M102" s="10"/>
      <c r="N102" s="10" t="str">
        <f t="shared" si="5"/>
        <v/>
      </c>
      <c r="O102" s="10"/>
      <c r="P102" s="10"/>
      <c r="Q102" s="10"/>
      <c r="R102" s="10"/>
      <c r="S102" s="11"/>
      <c r="T102" s="11"/>
      <c r="U102" s="10"/>
      <c r="V102" s="10"/>
      <c r="W102" s="10"/>
      <c r="X102" s="11"/>
      <c r="Y102" s="10"/>
      <c r="Z102" s="10"/>
      <c r="AA102" s="10"/>
      <c r="AB102" s="8" t="str">
        <f>IF(B102="","",IF(AND(H102="高",OR(J102="抵触",J102="不支持")),"高权力不支持；","")&amp;IF(L102&gt;0,"存在支持差距；","")&amp;IF(AND(T102&lt;&gt;"",T102&lt;项目驾驶舱!$B$3),"沟通逾期；","")&amp;IF(AND(V102&lt;&gt;"",X102&lt;项目驾驶舱!$B$3,Y102&lt;&gt;"已完成"),"行动逾期；","")&amp;IF(AND(Z102="是",AA102=""),"未填升级对象",""))</f>
        <v/>
      </c>
      <c r="AC102" s="10"/>
    </row>
    <row r="103" spans="1:29">
      <c r="A103" s="8" t="str">
        <f t="shared" si="3"/>
        <v/>
      </c>
      <c r="B103" s="10"/>
      <c r="C103" s="10"/>
      <c r="D103" s="10"/>
      <c r="E103" s="10"/>
      <c r="F103" s="10"/>
      <c r="G103" s="10"/>
      <c r="H103" s="10"/>
      <c r="I103" s="10"/>
      <c r="J103" s="10"/>
      <c r="K103" s="10"/>
      <c r="L103" s="8" t="str">
        <f t="shared" si="4"/>
        <v/>
      </c>
      <c r="M103" s="10"/>
      <c r="N103" s="10" t="str">
        <f t="shared" si="5"/>
        <v/>
      </c>
      <c r="O103" s="10"/>
      <c r="P103" s="10"/>
      <c r="Q103" s="10"/>
      <c r="R103" s="10"/>
      <c r="S103" s="11"/>
      <c r="T103" s="11"/>
      <c r="U103" s="10"/>
      <c r="V103" s="10"/>
      <c r="W103" s="10"/>
      <c r="X103" s="11"/>
      <c r="Y103" s="10"/>
      <c r="Z103" s="10"/>
      <c r="AA103" s="10"/>
      <c r="AB103" s="8" t="str">
        <f>IF(B103="","",IF(AND(H103="高",OR(J103="抵触",J103="不支持")),"高权力不支持；","")&amp;IF(L103&gt;0,"存在支持差距；","")&amp;IF(AND(T103&lt;&gt;"",T103&lt;项目驾驶舱!$B$3),"沟通逾期；","")&amp;IF(AND(V103&lt;&gt;"",X103&lt;项目驾驶舱!$B$3,Y103&lt;&gt;"已完成"),"行动逾期；","")&amp;IF(AND(Z103="是",AA103=""),"未填升级对象",""))</f>
        <v/>
      </c>
      <c r="AC103" s="10"/>
    </row>
    <row r="104" spans="1:29">
      <c r="A104" s="8" t="str">
        <f t="shared" si="3"/>
        <v/>
      </c>
      <c r="B104" s="10"/>
      <c r="C104" s="10"/>
      <c r="D104" s="10"/>
      <c r="E104" s="10"/>
      <c r="F104" s="10"/>
      <c r="G104" s="10"/>
      <c r="H104" s="10"/>
      <c r="I104" s="10"/>
      <c r="J104" s="10"/>
      <c r="K104" s="10"/>
      <c r="L104" s="8" t="str">
        <f t="shared" si="4"/>
        <v/>
      </c>
      <c r="M104" s="10"/>
      <c r="N104" s="10" t="str">
        <f t="shared" si="5"/>
        <v/>
      </c>
      <c r="O104" s="10"/>
      <c r="P104" s="10"/>
      <c r="Q104" s="10"/>
      <c r="R104" s="10"/>
      <c r="S104" s="11"/>
      <c r="T104" s="11"/>
      <c r="U104" s="10"/>
      <c r="V104" s="10"/>
      <c r="W104" s="10"/>
      <c r="X104" s="11"/>
      <c r="Y104" s="10"/>
      <c r="Z104" s="10"/>
      <c r="AA104" s="10"/>
      <c r="AB104" s="8" t="str">
        <f>IF(B104="","",IF(AND(H104="高",OR(J104="抵触",J104="不支持")),"高权力不支持；","")&amp;IF(L104&gt;0,"存在支持差距；","")&amp;IF(AND(T104&lt;&gt;"",T104&lt;项目驾驶舱!$B$3),"沟通逾期；","")&amp;IF(AND(V104&lt;&gt;"",X104&lt;项目驾驶舱!$B$3,Y104&lt;&gt;"已完成"),"行动逾期；","")&amp;IF(AND(Z104="是",AA104=""),"未填升级对象",""))</f>
        <v/>
      </c>
      <c r="AC104" s="10"/>
    </row>
    <row r="105" spans="1:29">
      <c r="A105" s="8" t="str">
        <f t="shared" si="3"/>
        <v/>
      </c>
      <c r="B105" s="10"/>
      <c r="C105" s="10"/>
      <c r="D105" s="10"/>
      <c r="E105" s="10"/>
      <c r="F105" s="10"/>
      <c r="G105" s="10"/>
      <c r="H105" s="10"/>
      <c r="I105" s="10"/>
      <c r="J105" s="10"/>
      <c r="K105" s="10"/>
      <c r="L105" s="8" t="str">
        <f t="shared" si="4"/>
        <v/>
      </c>
      <c r="M105" s="10"/>
      <c r="N105" s="10" t="str">
        <f t="shared" si="5"/>
        <v/>
      </c>
      <c r="O105" s="10"/>
      <c r="P105" s="10"/>
      <c r="Q105" s="10"/>
      <c r="R105" s="10"/>
      <c r="S105" s="11"/>
      <c r="T105" s="11"/>
      <c r="U105" s="10"/>
      <c r="V105" s="10"/>
      <c r="W105" s="10"/>
      <c r="X105" s="11"/>
      <c r="Y105" s="10"/>
      <c r="Z105" s="10"/>
      <c r="AA105" s="10"/>
      <c r="AB105" s="8" t="str">
        <f>IF(B105="","",IF(AND(H105="高",OR(J105="抵触",J105="不支持")),"高权力不支持；","")&amp;IF(L105&gt;0,"存在支持差距；","")&amp;IF(AND(T105&lt;&gt;"",T105&lt;项目驾驶舱!$B$3),"沟通逾期；","")&amp;IF(AND(V105&lt;&gt;"",X105&lt;项目驾驶舱!$B$3,Y105&lt;&gt;"已完成"),"行动逾期；","")&amp;IF(AND(Z105="是",AA105=""),"未填升级对象",""))</f>
        <v/>
      </c>
      <c r="AC105" s="10"/>
    </row>
    <row r="106" spans="1:29">
      <c r="A106" s="8" t="str">
        <f t="shared" si="3"/>
        <v/>
      </c>
      <c r="B106" s="10"/>
      <c r="C106" s="10"/>
      <c r="D106" s="10"/>
      <c r="E106" s="10"/>
      <c r="F106" s="10"/>
      <c r="G106" s="10"/>
      <c r="H106" s="10"/>
      <c r="I106" s="10"/>
      <c r="J106" s="10"/>
      <c r="K106" s="10"/>
      <c r="L106" s="8" t="str">
        <f t="shared" si="4"/>
        <v/>
      </c>
      <c r="M106" s="10"/>
      <c r="N106" s="10" t="str">
        <f t="shared" si="5"/>
        <v/>
      </c>
      <c r="O106" s="10"/>
      <c r="P106" s="10"/>
      <c r="Q106" s="10"/>
      <c r="R106" s="10"/>
      <c r="S106" s="11"/>
      <c r="T106" s="11"/>
      <c r="U106" s="10"/>
      <c r="V106" s="10"/>
      <c r="W106" s="10"/>
      <c r="X106" s="11"/>
      <c r="Y106" s="10"/>
      <c r="Z106" s="10"/>
      <c r="AA106" s="10"/>
      <c r="AB106" s="8" t="str">
        <f>IF(B106="","",IF(AND(H106="高",OR(J106="抵触",J106="不支持")),"高权力不支持；","")&amp;IF(L106&gt;0,"存在支持差距；","")&amp;IF(AND(T106&lt;&gt;"",T106&lt;项目驾驶舱!$B$3),"沟通逾期；","")&amp;IF(AND(V106&lt;&gt;"",X106&lt;项目驾驶舱!$B$3,Y106&lt;&gt;"已完成"),"行动逾期；","")&amp;IF(AND(Z106="是",AA106=""),"未填升级对象",""))</f>
        <v/>
      </c>
      <c r="AC106" s="10"/>
    </row>
    <row r="107" spans="1:29">
      <c r="A107" s="8" t="str">
        <f t="shared" si="3"/>
        <v/>
      </c>
      <c r="B107" s="10"/>
      <c r="C107" s="10"/>
      <c r="D107" s="10"/>
      <c r="E107" s="10"/>
      <c r="F107" s="10"/>
      <c r="G107" s="10"/>
      <c r="H107" s="10"/>
      <c r="I107" s="10"/>
      <c r="J107" s="10"/>
      <c r="K107" s="10"/>
      <c r="L107" s="8" t="str">
        <f t="shared" si="4"/>
        <v/>
      </c>
      <c r="M107" s="10"/>
      <c r="N107" s="10" t="str">
        <f t="shared" si="5"/>
        <v/>
      </c>
      <c r="O107" s="10"/>
      <c r="P107" s="10"/>
      <c r="Q107" s="10"/>
      <c r="R107" s="10"/>
      <c r="S107" s="11"/>
      <c r="T107" s="11"/>
      <c r="U107" s="10"/>
      <c r="V107" s="10"/>
      <c r="W107" s="10"/>
      <c r="X107" s="11"/>
      <c r="Y107" s="10"/>
      <c r="Z107" s="10"/>
      <c r="AA107" s="10"/>
      <c r="AB107" s="8" t="str">
        <f>IF(B107="","",IF(AND(H107="高",OR(J107="抵触",J107="不支持")),"高权力不支持；","")&amp;IF(L107&gt;0,"存在支持差距；","")&amp;IF(AND(T107&lt;&gt;"",T107&lt;项目驾驶舱!$B$3),"沟通逾期；","")&amp;IF(AND(V107&lt;&gt;"",X107&lt;项目驾驶舱!$B$3,Y107&lt;&gt;"已完成"),"行动逾期；","")&amp;IF(AND(Z107="是",AA107=""),"未填升级对象",""))</f>
        <v/>
      </c>
      <c r="AC107" s="10"/>
    </row>
    <row r="108" spans="1:29">
      <c r="A108" s="8" t="str">
        <f t="shared" si="3"/>
        <v/>
      </c>
      <c r="B108" s="10"/>
      <c r="C108" s="10"/>
      <c r="D108" s="10"/>
      <c r="E108" s="10"/>
      <c r="F108" s="10"/>
      <c r="G108" s="10"/>
      <c r="H108" s="10"/>
      <c r="I108" s="10"/>
      <c r="J108" s="10"/>
      <c r="K108" s="10"/>
      <c r="L108" s="8" t="str">
        <f t="shared" si="4"/>
        <v/>
      </c>
      <c r="M108" s="10"/>
      <c r="N108" s="10" t="str">
        <f t="shared" si="5"/>
        <v/>
      </c>
      <c r="O108" s="10"/>
      <c r="P108" s="10"/>
      <c r="Q108" s="10"/>
      <c r="R108" s="10"/>
      <c r="S108" s="11"/>
      <c r="T108" s="11"/>
      <c r="U108" s="10"/>
      <c r="V108" s="10"/>
      <c r="W108" s="10"/>
      <c r="X108" s="11"/>
      <c r="Y108" s="10"/>
      <c r="Z108" s="10"/>
      <c r="AA108" s="10"/>
      <c r="AB108" s="8" t="str">
        <f>IF(B108="","",IF(AND(H108="高",OR(J108="抵触",J108="不支持")),"高权力不支持；","")&amp;IF(L108&gt;0,"存在支持差距；","")&amp;IF(AND(T108&lt;&gt;"",T108&lt;项目驾驶舱!$B$3),"沟通逾期；","")&amp;IF(AND(V108&lt;&gt;"",X108&lt;项目驾驶舱!$B$3,Y108&lt;&gt;"已完成"),"行动逾期；","")&amp;IF(AND(Z108="是",AA108=""),"未填升级对象",""))</f>
        <v/>
      </c>
      <c r="AC108" s="10"/>
    </row>
  </sheetData>
  <autoFilter xmlns:etc="http://www.wps.cn/officeDocument/2017/etCustomData" ref="A8:AC108" etc:filterBottomFollowUsedRange="0">
    <extLst/>
  </autoFilter>
  <mergeCells count="18">
    <mergeCell ref="A1:AC1"/>
    <mergeCell ref="A2:AC2"/>
    <mergeCell ref="A4:C4"/>
    <mergeCell ref="D4:F4"/>
    <mergeCell ref="G4:I4"/>
    <mergeCell ref="J4:L4"/>
    <mergeCell ref="M4:O4"/>
    <mergeCell ref="P4:R4"/>
    <mergeCell ref="S4:U4"/>
    <mergeCell ref="V4:X4"/>
    <mergeCell ref="A5:C5"/>
    <mergeCell ref="D5:F5"/>
    <mergeCell ref="G5:I5"/>
    <mergeCell ref="J5:L5"/>
    <mergeCell ref="M5:O5"/>
    <mergeCell ref="P5:R5"/>
    <mergeCell ref="S5:U5"/>
    <mergeCell ref="V5:X5"/>
  </mergeCells>
  <conditionalFormatting sqref="A9:AC108">
    <cfRule type="expression" dxfId="9" priority="1">
      <formula>$AB9&lt;&gt;""</formula>
    </cfRule>
    <cfRule type="expression" dxfId="10" priority="2">
      <formula>AND($AB9="",$B9&lt;&gt;"")</formula>
    </cfRule>
  </conditionalFormatting>
  <dataValidations count="8">
    <dataValidation type="list" allowBlank="1" sqref="E9:E108">
      <formula1>"决策方,业务方,建设方,使用方,监管方,供应商"</formula1>
    </dataValidation>
    <dataValidation type="list" allowBlank="1" sqref="M9:M108">
      <formula1>"正向,中性,负向"</formula1>
    </dataValidation>
    <dataValidation type="list" allowBlank="1" sqref="O9:O108">
      <formula1>"会议,周报,专题汇报,邮件,即时沟通"</formula1>
    </dataValidation>
    <dataValidation type="list" allowBlank="1" sqref="P9:P108">
      <formula1>"随时,每周,双周,每月,里程碑"</formula1>
    </dataValidation>
    <dataValidation type="list" allowBlank="1" sqref="Y9:Y108">
      <formula1>"未开始,进行中,已完成,暂停"</formula1>
    </dataValidation>
    <dataValidation type="list" allowBlank="1" sqref="Z9:Z108">
      <formula1>"是,否"</formula1>
    </dataValidation>
    <dataValidation type="list" allowBlank="1" sqref="H9:I108">
      <formula1>"高,中,低"</formula1>
    </dataValidation>
    <dataValidation type="list" allowBlank="1" sqref="J9:K108">
      <formula1>"抵触,不支持,中立,支持,积极推动"</formula1>
    </dataValidation>
  </dataValidations>
  <pageMargins left="0.75" right="0.75" top="1" bottom="1" header="0.5" footer="0.5"/>
  <pageSetup paperSize="1"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9"/>
  <sheetViews>
    <sheetView showGridLines="0" tabSelected="1" workbookViewId="0">
      <pane ySplit="9" topLeftCell="A10" activePane="bottomLeft" state="frozen"/>
      <selection/>
      <selection pane="bottomLeft" activeCell="A2" sqref="A2:J2"/>
    </sheetView>
  </sheetViews>
  <sheetFormatPr defaultColWidth="9" defaultRowHeight="16.8"/>
  <cols>
    <col min="1" max="1" width="18" style="1" customWidth="1"/>
    <col min="2" max="2" width="28" style="1" customWidth="1"/>
    <col min="3" max="3" width="24" style="1" customWidth="1"/>
    <col min="4" max="5" width="16" style="1" customWidth="1"/>
    <col min="6" max="6" width="20" style="1" customWidth="1"/>
    <col min="7" max="7" width="24" style="1" customWidth="1"/>
    <col min="8" max="9" width="18" style="1" customWidth="1"/>
    <col min="10" max="10" width="24" style="1" customWidth="1"/>
  </cols>
  <sheetData>
    <row r="1" ht="28" customHeight="1" spans="1:10">
      <c r="A1" s="44" t="s">
        <v>503</v>
      </c>
    </row>
    <row r="2" ht="24" customHeight="1" spans="1:10">
      <c r="A2" s="45" t="s">
        <v>504</v>
      </c>
    </row>
    <row r="4" ht="17" spans="1:10">
      <c r="A4" s="36" t="s">
        <v>505</v>
      </c>
      <c r="B4" s="60" t="s">
        <v>506</v>
      </c>
      <c r="C4" s="61"/>
      <c r="D4" s="62"/>
      <c r="F4" s="36" t="s">
        <v>507</v>
      </c>
      <c r="G4" s="60" t="s">
        <v>508</v>
      </c>
      <c r="H4" s="61"/>
      <c r="I4" s="61"/>
      <c r="J4" s="62"/>
    </row>
    <row r="5" ht="17" spans="1:10">
      <c r="A5" s="36" t="s">
        <v>509</v>
      </c>
      <c r="B5" s="60" t="s">
        <v>510</v>
      </c>
      <c r="C5" s="61"/>
      <c r="D5" s="62"/>
      <c r="F5" s="36" t="s">
        <v>511</v>
      </c>
      <c r="G5" s="60" t="s">
        <v>512</v>
      </c>
      <c r="H5" s="61"/>
      <c r="I5" s="61"/>
      <c r="J5" s="62"/>
    </row>
    <row r="6" ht="17" spans="1:10">
      <c r="A6" s="36" t="s">
        <v>1</v>
      </c>
      <c r="B6" s="63">
        <f>项目驾驶舱!B3</f>
        <v>46276</v>
      </c>
      <c r="C6" s="64"/>
      <c r="D6" s="65"/>
      <c r="F6" s="36" t="s">
        <v>513</v>
      </c>
      <c r="G6" s="60" t="s">
        <v>514</v>
      </c>
      <c r="H6" s="61"/>
      <c r="I6" s="61"/>
      <c r="J6" s="62"/>
    </row>
    <row r="7" ht="17" spans="1:10">
      <c r="A7" s="36" t="s">
        <v>515</v>
      </c>
      <c r="B7" s="60" t="s">
        <v>516</v>
      </c>
      <c r="C7" s="61"/>
      <c r="D7" s="62"/>
      <c r="F7" s="36" t="s">
        <v>517</v>
      </c>
      <c r="G7" s="60" t="s">
        <v>518</v>
      </c>
      <c r="H7" s="61"/>
      <c r="I7" s="61"/>
      <c r="J7" s="62"/>
    </row>
    <row r="9" ht="17.6" spans="1:10">
      <c r="A9" s="50" t="s">
        <v>519</v>
      </c>
    </row>
    <row r="10" ht="34" customHeight="1" spans="1:10">
      <c r="A10" s="7" t="s">
        <v>396</v>
      </c>
      <c r="B10" s="7" t="s">
        <v>520</v>
      </c>
      <c r="C10" s="7" t="s">
        <v>521</v>
      </c>
      <c r="D10" s="7" t="s">
        <v>522</v>
      </c>
      <c r="E10" s="7" t="s">
        <v>523</v>
      </c>
    </row>
    <row r="11" spans="1:10">
      <c r="A11" s="8" t="s">
        <v>524</v>
      </c>
      <c r="B11" s="8" t="s">
        <v>525</v>
      </c>
      <c r="C11" s="8" t="s">
        <v>526</v>
      </c>
      <c r="D11" s="8" t="s">
        <v>527</v>
      </c>
      <c r="E11" s="8" t="s">
        <v>528</v>
      </c>
    </row>
    <row r="12" spans="1:10">
      <c r="A12" s="8" t="s">
        <v>508</v>
      </c>
      <c r="B12" s="8" t="s">
        <v>529</v>
      </c>
      <c r="C12" s="8" t="s">
        <v>530</v>
      </c>
      <c r="D12" s="8" t="s">
        <v>531</v>
      </c>
      <c r="E12" s="8" t="s">
        <v>532</v>
      </c>
    </row>
    <row r="13" spans="1:10">
      <c r="A13" s="8" t="s">
        <v>533</v>
      </c>
      <c r="B13" s="8" t="s">
        <v>534</v>
      </c>
      <c r="C13" s="8" t="s">
        <v>535</v>
      </c>
      <c r="D13" s="8" t="s">
        <v>536</v>
      </c>
      <c r="E13" s="8" t="s">
        <v>537</v>
      </c>
    </row>
    <row r="14" spans="1:10">
      <c r="A14" s="8" t="s">
        <v>538</v>
      </c>
      <c r="B14" s="8" t="s">
        <v>539</v>
      </c>
      <c r="C14" s="8" t="s">
        <v>540</v>
      </c>
      <c r="D14" s="8" t="s">
        <v>541</v>
      </c>
      <c r="E14" s="8" t="s">
        <v>542</v>
      </c>
    </row>
    <row r="15" spans="1:10">
      <c r="A15" s="8" t="s">
        <v>543</v>
      </c>
      <c r="B15" s="8" t="s">
        <v>544</v>
      </c>
      <c r="C15" s="8" t="s">
        <v>545</v>
      </c>
      <c r="D15" s="8" t="s">
        <v>546</v>
      </c>
      <c r="E15" s="8" t="s">
        <v>547</v>
      </c>
    </row>
    <row r="17" ht="17.6" spans="1:7">
      <c r="A17" s="50" t="s">
        <v>548</v>
      </c>
    </row>
    <row r="18" spans="1:7">
      <c r="A18" s="66" t="s">
        <v>549</v>
      </c>
      <c r="C18" s="66" t="s">
        <v>550</v>
      </c>
      <c r="E18" s="66" t="s">
        <v>551</v>
      </c>
      <c r="G18" s="66" t="s">
        <v>552</v>
      </c>
    </row>
    <row r="19" spans="1:7">
      <c r="A19" s="66" t="s">
        <v>553</v>
      </c>
      <c r="C19" s="66" t="s">
        <v>554</v>
      </c>
      <c r="E19" s="66" t="s">
        <v>555</v>
      </c>
      <c r="G19" s="66" t="s">
        <v>556</v>
      </c>
    </row>
    <row r="20" spans="1:7">
      <c r="A20" s="66" t="s">
        <v>557</v>
      </c>
      <c r="C20" s="66" t="s">
        <v>558</v>
      </c>
      <c r="E20" s="66" t="s">
        <v>559</v>
      </c>
      <c r="G20" s="66" t="s">
        <v>560</v>
      </c>
    </row>
    <row r="21" spans="1:7">
      <c r="A21" s="66" t="s">
        <v>561</v>
      </c>
      <c r="C21" s="66" t="s">
        <v>562</v>
      </c>
      <c r="E21" s="66" t="s">
        <v>563</v>
      </c>
      <c r="G21" s="66" t="s">
        <v>564</v>
      </c>
    </row>
    <row r="23" ht="17.6" spans="1:7">
      <c r="A23" s="50" t="s">
        <v>565</v>
      </c>
    </row>
    <row r="24" ht="34" customHeight="1" spans="1:7">
      <c r="A24" s="7" t="s">
        <v>566</v>
      </c>
      <c r="B24" s="7" t="s">
        <v>567</v>
      </c>
      <c r="C24" s="7" t="s">
        <v>568</v>
      </c>
      <c r="D24" s="7" t="s">
        <v>569</v>
      </c>
      <c r="E24" s="7" t="s">
        <v>570</v>
      </c>
      <c r="F24" s="7" t="s">
        <v>571</v>
      </c>
    </row>
    <row r="25" spans="1:7">
      <c r="A25" s="8">
        <v>1</v>
      </c>
      <c r="B25" s="8" t="s">
        <v>572</v>
      </c>
      <c r="C25" s="8" t="s">
        <v>573</v>
      </c>
      <c r="D25" s="8" t="s">
        <v>574</v>
      </c>
      <c r="E25" s="8" t="s">
        <v>575</v>
      </c>
      <c r="F25" s="8" t="s">
        <v>576</v>
      </c>
    </row>
    <row r="26" spans="1:7">
      <c r="A26" s="8">
        <v>2</v>
      </c>
      <c r="B26" s="8" t="s">
        <v>577</v>
      </c>
      <c r="C26" s="8" t="s">
        <v>578</v>
      </c>
      <c r="D26" s="8" t="s">
        <v>579</v>
      </c>
      <c r="E26" s="8" t="s">
        <v>580</v>
      </c>
      <c r="F26" s="8" t="s">
        <v>581</v>
      </c>
    </row>
    <row r="27" spans="1:7">
      <c r="A27" s="8">
        <v>3</v>
      </c>
      <c r="B27" s="8" t="s">
        <v>582</v>
      </c>
      <c r="C27" s="8" t="s">
        <v>583</v>
      </c>
      <c r="D27" s="8" t="s">
        <v>584</v>
      </c>
      <c r="E27" s="8" t="s">
        <v>585</v>
      </c>
      <c r="F27" s="8" t="s">
        <v>586</v>
      </c>
    </row>
    <row r="28" spans="1:7">
      <c r="A28" s="8">
        <v>4</v>
      </c>
      <c r="B28" s="8" t="s">
        <v>587</v>
      </c>
      <c r="C28" s="8" t="s">
        <v>588</v>
      </c>
      <c r="D28" s="8" t="s">
        <v>589</v>
      </c>
      <c r="E28" s="8" t="s">
        <v>590</v>
      </c>
      <c r="F28" s="8" t="s">
        <v>591</v>
      </c>
    </row>
    <row r="29" spans="1:7">
      <c r="A29" s="8">
        <v>5</v>
      </c>
      <c r="B29" s="8" t="s">
        <v>592</v>
      </c>
      <c r="C29" s="8" t="s">
        <v>593</v>
      </c>
      <c r="D29" s="8" t="s">
        <v>594</v>
      </c>
      <c r="E29" s="8" t="s">
        <v>590</v>
      </c>
      <c r="F29" s="8" t="s">
        <v>595</v>
      </c>
    </row>
  </sheetData>
  <mergeCells count="26">
    <mergeCell ref="A1:J1"/>
    <mergeCell ref="A2:J2"/>
    <mergeCell ref="B4:D4"/>
    <mergeCell ref="G4:J4"/>
    <mergeCell ref="B5:D5"/>
    <mergeCell ref="G5:J5"/>
    <mergeCell ref="B6:D6"/>
    <mergeCell ref="G6:J6"/>
    <mergeCell ref="B7:D7"/>
    <mergeCell ref="G7:J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s>
  <pageMargins left="0.75" right="0.75" top="1" bottom="1" header="0.5" footer="0.5"/>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08"/>
  <sheetViews>
    <sheetView showGridLines="0" zoomScale="75" zoomScaleNormal="75" workbookViewId="0">
      <pane ySplit="8" topLeftCell="A9" activePane="bottomLeft" state="frozen"/>
      <selection/>
      <selection pane="bottomLeft" activeCell="A1" sqref="A1:AR1"/>
    </sheetView>
  </sheetViews>
  <sheetFormatPr defaultColWidth="9" defaultRowHeight="16.8"/>
  <cols>
    <col min="1" max="1" width="13" style="1" customWidth="1"/>
    <col min="2" max="2" width="24" style="1" customWidth="1"/>
    <col min="3" max="3" width="10" style="1" customWidth="1"/>
    <col min="4" max="4" width="20" style="1" customWidth="1"/>
    <col min="5" max="5" width="16" style="1" customWidth="1"/>
    <col min="6" max="6" width="26" style="1" customWidth="1"/>
    <col min="7" max="7" width="28" style="1" customWidth="1"/>
    <col min="8" max="8" width="30" style="1" customWidth="1"/>
    <col min="9" max="10" width="14" style="1" customWidth="1"/>
    <col min="11" max="11" width="18" style="1" customWidth="1"/>
    <col min="12" max="12" width="9" style="1" customWidth="1"/>
    <col min="13" max="16" width="11" style="1" customWidth="1"/>
    <col min="17" max="17" width="13" style="1" customWidth="1"/>
    <col min="18" max="18" width="15" style="1" customWidth="1"/>
    <col min="19" max="19" width="13" style="1" customWidth="1"/>
    <col min="20" max="20" width="11" style="1" customWidth="1"/>
    <col min="21" max="22" width="13" style="1" customWidth="1"/>
    <col min="23" max="23" width="15" style="1" customWidth="1"/>
    <col min="24" max="24" width="16" style="1" customWidth="1"/>
    <col min="25" max="25" width="13" style="1" customWidth="1"/>
    <col min="26" max="26" width="25" style="1" customWidth="1"/>
    <col min="27" max="27" width="18" style="1" customWidth="1"/>
    <col min="28" max="28" width="14" style="1" customWidth="1"/>
    <col min="29" max="30" width="13" style="1" customWidth="1"/>
    <col min="31" max="32" width="11" style="1" customWidth="1"/>
    <col min="33" max="34" width="13" style="1" customWidth="1"/>
    <col min="35" max="35" width="10" style="1" customWidth="1"/>
    <col min="36" max="36" width="13" style="1" customWidth="1"/>
    <col min="37" max="37" width="15" style="1" customWidth="1"/>
    <col min="38" max="40" width="14" style="1" customWidth="1"/>
    <col min="41" max="41" width="28" style="1" customWidth="1"/>
    <col min="42" max="42" width="11" style="1" customWidth="1"/>
    <col min="43" max="43" width="24" style="1" customWidth="1"/>
    <col min="44" max="44" width="10" style="1" hidden="1" customWidth="1"/>
  </cols>
  <sheetData>
    <row r="1" ht="28" customHeight="1" spans="1:44">
      <c r="A1" s="44" t="s">
        <v>596</v>
      </c>
    </row>
    <row r="2" ht="24" customHeight="1" spans="1:44">
      <c r="A2" s="45" t="s">
        <v>597</v>
      </c>
    </row>
    <row r="4" spans="1:44">
      <c r="A4" s="58" t="s">
        <v>598</v>
      </c>
      <c r="B4" s="6"/>
      <c r="C4" s="6"/>
      <c r="D4" s="58" t="s">
        <v>599</v>
      </c>
      <c r="E4" s="6"/>
      <c r="F4" s="6"/>
      <c r="G4" s="58" t="s">
        <v>10</v>
      </c>
      <c r="H4" s="6"/>
      <c r="I4" s="6"/>
      <c r="J4" s="58" t="s">
        <v>600</v>
      </c>
      <c r="K4" s="6"/>
      <c r="L4" s="6"/>
      <c r="M4" s="58" t="s">
        <v>37</v>
      </c>
      <c r="N4" s="6"/>
      <c r="O4" s="6"/>
      <c r="P4" s="58" t="s">
        <v>601</v>
      </c>
      <c r="Q4" s="6"/>
      <c r="R4" s="6"/>
      <c r="S4" s="58" t="s">
        <v>602</v>
      </c>
      <c r="T4" s="6"/>
      <c r="U4" s="6"/>
    </row>
    <row r="5" ht="22" spans="1:44">
      <c r="A5" s="59">
        <f>COUNTIFS($B$9:$B$108,"&lt;&gt;")</f>
        <v>0</v>
      </c>
      <c r="B5" s="6"/>
      <c r="C5" s="6"/>
      <c r="D5" s="59">
        <f>COUNTIFS($B$9:$B$108,"&lt;&gt;",$AH$9:$AH$108,"重大")</f>
        <v>0</v>
      </c>
      <c r="E5" s="6"/>
      <c r="F5" s="6"/>
      <c r="G5" s="59">
        <f>COUNTIFS($B$9:$B$108,"&lt;&gt;",$AH$9:$AH$108,"高")</f>
        <v>0</v>
      </c>
      <c r="H5" s="6"/>
      <c r="I5" s="6"/>
      <c r="J5" s="59">
        <f>COUNTIFS($B$9:$B$108,"&lt;&gt;",$AJ$9:$AJ$108,"是")</f>
        <v>0</v>
      </c>
      <c r="K5" s="6"/>
      <c r="L5" s="6"/>
      <c r="M5" s="59">
        <f>COUNTIFS($B$9:$B$108,"&lt;&gt;",$AB$9:$AB$108,"&lt;"&amp;项目驾驶舱!$B$3,$AB$9:$AB$108,"&lt;&gt;",$AC$9:$AC$108,"&lt;&gt;已关闭")</f>
        <v>0</v>
      </c>
      <c r="N5" s="6"/>
      <c r="O5" s="6"/>
      <c r="P5" s="59">
        <f>COUNTIFS($B$9:$B$108,"&lt;&gt;",$W$9:$W$108,"")</f>
        <v>0</v>
      </c>
      <c r="Q5" s="6"/>
      <c r="R5" s="6"/>
      <c r="S5" s="59">
        <f>SUMIFS($AG$9:$AG$108,$B$9:$B$108,"&lt;&gt;")</f>
        <v>0</v>
      </c>
      <c r="T5" s="6"/>
      <c r="U5" s="6"/>
    </row>
    <row r="7" ht="17.6" spans="1:44">
      <c r="A7" s="50" t="s">
        <v>603</v>
      </c>
    </row>
    <row r="8" ht="34" customHeight="1" spans="1:44">
      <c r="A8" s="7" t="s">
        <v>604</v>
      </c>
      <c r="B8" s="7" t="s">
        <v>605</v>
      </c>
      <c r="C8" s="7" t="s">
        <v>606</v>
      </c>
      <c r="D8" s="7" t="s">
        <v>607</v>
      </c>
      <c r="E8" s="7" t="s">
        <v>509</v>
      </c>
      <c r="F8" s="7" t="s">
        <v>608</v>
      </c>
      <c r="G8" s="7" t="s">
        <v>609</v>
      </c>
      <c r="H8" s="7" t="s">
        <v>610</v>
      </c>
      <c r="I8" s="7" t="s">
        <v>611</v>
      </c>
      <c r="J8" s="7" t="s">
        <v>612</v>
      </c>
      <c r="K8" s="7" t="s">
        <v>613</v>
      </c>
      <c r="L8" s="7" t="s">
        <v>614</v>
      </c>
      <c r="M8" s="7" t="s">
        <v>615</v>
      </c>
      <c r="N8" s="7" t="s">
        <v>616</v>
      </c>
      <c r="O8" s="7" t="s">
        <v>617</v>
      </c>
      <c r="P8" s="7" t="s">
        <v>618</v>
      </c>
      <c r="Q8" s="7" t="s">
        <v>619</v>
      </c>
      <c r="R8" s="7" t="s">
        <v>620</v>
      </c>
      <c r="S8" s="7" t="s">
        <v>621</v>
      </c>
      <c r="T8" s="7" t="s">
        <v>622</v>
      </c>
      <c r="U8" s="7" t="s">
        <v>623</v>
      </c>
      <c r="V8" s="7" t="s">
        <v>624</v>
      </c>
      <c r="W8" s="7" t="s">
        <v>533</v>
      </c>
      <c r="X8" s="7" t="s">
        <v>625</v>
      </c>
      <c r="Y8" s="7" t="s">
        <v>626</v>
      </c>
      <c r="Z8" s="7" t="s">
        <v>627</v>
      </c>
      <c r="AA8" s="7" t="s">
        <v>628</v>
      </c>
      <c r="AB8" s="7" t="s">
        <v>629</v>
      </c>
      <c r="AC8" s="7" t="s">
        <v>21</v>
      </c>
      <c r="AD8" s="7" t="s">
        <v>630</v>
      </c>
      <c r="AE8" s="7" t="s">
        <v>631</v>
      </c>
      <c r="AF8" s="7" t="s">
        <v>632</v>
      </c>
      <c r="AG8" s="7" t="s">
        <v>633</v>
      </c>
      <c r="AH8" s="7" t="s">
        <v>634</v>
      </c>
      <c r="AI8" s="7" t="s">
        <v>635</v>
      </c>
      <c r="AJ8" s="7" t="s">
        <v>636</v>
      </c>
      <c r="AK8" s="7" t="s">
        <v>637</v>
      </c>
      <c r="AL8" s="7" t="s">
        <v>638</v>
      </c>
      <c r="AM8" s="7" t="s">
        <v>639</v>
      </c>
      <c r="AN8" s="7" t="s">
        <v>640</v>
      </c>
      <c r="AO8" s="7" t="s">
        <v>641</v>
      </c>
      <c r="AP8" s="7" t="s">
        <v>642</v>
      </c>
      <c r="AQ8" s="7" t="s">
        <v>643</v>
      </c>
      <c r="AR8" s="7" t="s">
        <v>644</v>
      </c>
    </row>
    <row r="9" spans="1:44">
      <c r="A9" s="8" t="str">
        <f t="shared" ref="A9:A72" si="0">IF(B9="","","RSK-"&amp;TEXT(ROW()-8,"000"))</f>
        <v/>
      </c>
      <c r="B9" s="10"/>
      <c r="C9" s="10"/>
      <c r="D9" s="10"/>
      <c r="E9" s="10"/>
      <c r="F9" s="10"/>
      <c r="G9" s="10"/>
      <c r="H9" s="10"/>
      <c r="I9" s="10"/>
      <c r="J9" s="11"/>
      <c r="K9" s="10"/>
      <c r="L9" s="10"/>
      <c r="M9" s="10"/>
      <c r="N9" s="10"/>
      <c r="O9" s="10"/>
      <c r="P9" s="10"/>
      <c r="Q9" s="10"/>
      <c r="R9" s="10"/>
      <c r="S9" s="10"/>
      <c r="T9" s="8" t="str">
        <f t="shared" ref="T9:T72" si="1">IF(B9="","",MAX(M9:S9))</f>
        <v/>
      </c>
      <c r="U9" s="8" t="str">
        <f t="shared" ref="U9:U72" si="2">IF(OR(L9="",T9=""),"",L9*T9)</f>
        <v/>
      </c>
      <c r="V9" s="8" t="str">
        <f t="shared" ref="V9:V72" si="3">IF(U9="","",IF(OR(U9&gt;=17,T9=5),"重大",IF(U9&gt;=10,"高",IF(U9&gt;=5,"中","低"))))</f>
        <v/>
      </c>
      <c r="W9" s="10"/>
      <c r="X9" s="10"/>
      <c r="Y9" s="10"/>
      <c r="Z9" s="10"/>
      <c r="AA9" s="10"/>
      <c r="AB9" s="11"/>
      <c r="AC9" s="10"/>
      <c r="AD9" s="47"/>
      <c r="AE9" s="10"/>
      <c r="AF9" s="10"/>
      <c r="AG9" s="8" t="str">
        <f t="shared" ref="AG9:AG72" si="4">IF(OR(AE9="",AF9=""),"",AE9*AF9)</f>
        <v/>
      </c>
      <c r="AH9" s="8" t="str">
        <f t="shared" ref="AH9:AH72" si="5">IF(AG9="","",IF(OR(AG9&gt;=17,AF9=5),"重大",IF(AG9&gt;=10,"高",IF(AG9&gt;=5,"中","低"))))</f>
        <v/>
      </c>
      <c r="AI9" s="10"/>
      <c r="AJ9" s="10"/>
      <c r="AK9" s="10"/>
      <c r="AL9" s="11"/>
      <c r="AM9" s="11"/>
      <c r="AN9" s="11"/>
      <c r="AO9" s="10"/>
      <c r="AP9" s="8" t="str">
        <f>IF(B9="","",IF(OR(V9="重大",AH9="重大",AH9="高",AI9="上升",AJ9="是",AND(AB9&lt;&gt;"",AB9&lt;项目驾驶舱!$B$3,AC9&lt;&gt;"已关闭")),"是","否"))</f>
        <v/>
      </c>
      <c r="AQ9" s="8" t="str">
        <f>IF(B9="","",IF(W9="","缺风险责任人",IF(AND(OR(V9="重大",V9="高"),Y9=""),"高风险缺应对策略",IF(AND(AJ9="是",AK9=""),"已发生未关联问题",IF(AND(AC9="已关闭",AO9=""),"关闭缺证据",IF(AND(AM9&lt;&gt;"",AM9&lt;项目驾驶舱!$B$3),"评审逾期",""))))))</f>
        <v/>
      </c>
      <c r="AR9" s="8" t="str">
        <f>IF(AP9="是",COUNTIFS($AP$9:AP9,"是"),"")</f>
        <v/>
      </c>
    </row>
    <row r="10" spans="1:44">
      <c r="A10" s="8" t="str">
        <f t="shared" si="0"/>
        <v/>
      </c>
      <c r="B10" s="10"/>
      <c r="C10" s="10"/>
      <c r="D10" s="10"/>
      <c r="E10" s="10"/>
      <c r="F10" s="10"/>
      <c r="G10" s="10"/>
      <c r="H10" s="10"/>
      <c r="I10" s="10"/>
      <c r="J10" s="11"/>
      <c r="K10" s="10"/>
      <c r="L10" s="10"/>
      <c r="M10" s="10"/>
      <c r="N10" s="10"/>
      <c r="O10" s="10"/>
      <c r="P10" s="10"/>
      <c r="Q10" s="10"/>
      <c r="R10" s="10"/>
      <c r="S10" s="10"/>
      <c r="T10" s="8" t="str">
        <f t="shared" si="1"/>
        <v/>
      </c>
      <c r="U10" s="8" t="str">
        <f t="shared" si="2"/>
        <v/>
      </c>
      <c r="V10" s="8" t="str">
        <f t="shared" si="3"/>
        <v/>
      </c>
      <c r="W10" s="10"/>
      <c r="X10" s="10"/>
      <c r="Y10" s="10"/>
      <c r="Z10" s="10"/>
      <c r="AA10" s="10"/>
      <c r="AB10" s="11"/>
      <c r="AC10" s="10"/>
      <c r="AD10" s="47"/>
      <c r="AE10" s="10"/>
      <c r="AF10" s="10"/>
      <c r="AG10" s="8" t="str">
        <f t="shared" si="4"/>
        <v/>
      </c>
      <c r="AH10" s="8" t="str">
        <f t="shared" si="5"/>
        <v/>
      </c>
      <c r="AI10" s="10"/>
      <c r="AJ10" s="10"/>
      <c r="AK10" s="10"/>
      <c r="AL10" s="11"/>
      <c r="AM10" s="11"/>
      <c r="AN10" s="11"/>
      <c r="AO10" s="10"/>
      <c r="AP10" s="8" t="str">
        <f>IF(B10="","",IF(OR(V10="重大",AH10="重大",AH10="高",AI10="上升",AJ10="是",AND(AB10&lt;&gt;"",AB10&lt;项目驾驶舱!$B$3,AC10&lt;&gt;"已关闭")),"是","否"))</f>
        <v/>
      </c>
      <c r="AQ10" s="8" t="str">
        <f>IF(B10="","",IF(W10="","缺风险责任人",IF(AND(OR(V10="重大",V10="高"),Y10=""),"高风险缺应对策略",IF(AND(AJ10="是",AK10=""),"已发生未关联问题",IF(AND(AC10="已关闭",AO10=""),"关闭缺证据",IF(AND(AM10&lt;&gt;"",AM10&lt;项目驾驶舱!$B$3),"评审逾期",""))))))</f>
        <v/>
      </c>
      <c r="AR10" s="8" t="str">
        <f>IF(AP10="是",COUNTIFS($AP$9:AP10,"是"),"")</f>
        <v/>
      </c>
    </row>
    <row r="11" spans="1:44">
      <c r="A11" s="8" t="str">
        <f t="shared" si="0"/>
        <v/>
      </c>
      <c r="B11" s="10"/>
      <c r="C11" s="10"/>
      <c r="D11" s="10"/>
      <c r="E11" s="10"/>
      <c r="F11" s="10"/>
      <c r="G11" s="10"/>
      <c r="H11" s="10"/>
      <c r="I11" s="10"/>
      <c r="J11" s="11"/>
      <c r="K11" s="10"/>
      <c r="L11" s="10"/>
      <c r="M11" s="10"/>
      <c r="N11" s="10"/>
      <c r="O11" s="10"/>
      <c r="P11" s="10"/>
      <c r="Q11" s="10"/>
      <c r="R11" s="10"/>
      <c r="S11" s="10"/>
      <c r="T11" s="8" t="str">
        <f t="shared" si="1"/>
        <v/>
      </c>
      <c r="U11" s="8" t="str">
        <f t="shared" si="2"/>
        <v/>
      </c>
      <c r="V11" s="8" t="str">
        <f t="shared" si="3"/>
        <v/>
      </c>
      <c r="W11" s="10"/>
      <c r="X11" s="10"/>
      <c r="Y11" s="10"/>
      <c r="Z11" s="10"/>
      <c r="AA11" s="10"/>
      <c r="AB11" s="11"/>
      <c r="AC11" s="10"/>
      <c r="AD11" s="47"/>
      <c r="AE11" s="10"/>
      <c r="AF11" s="10"/>
      <c r="AG11" s="8" t="str">
        <f t="shared" si="4"/>
        <v/>
      </c>
      <c r="AH11" s="8" t="str">
        <f t="shared" si="5"/>
        <v/>
      </c>
      <c r="AI11" s="10"/>
      <c r="AJ11" s="10"/>
      <c r="AK11" s="10"/>
      <c r="AL11" s="11"/>
      <c r="AM11" s="11"/>
      <c r="AN11" s="11"/>
      <c r="AO11" s="10"/>
      <c r="AP11" s="8" t="str">
        <f>IF(B11="","",IF(OR(V11="重大",AH11="重大",AH11="高",AI11="上升",AJ11="是",AND(AB11&lt;&gt;"",AB11&lt;项目驾驶舱!$B$3,AC11&lt;&gt;"已关闭")),"是","否"))</f>
        <v/>
      </c>
      <c r="AQ11" s="8" t="str">
        <f>IF(B11="","",IF(W11="","缺风险责任人",IF(AND(OR(V11="重大",V11="高"),Y11=""),"高风险缺应对策略",IF(AND(AJ11="是",AK11=""),"已发生未关联问题",IF(AND(AC11="已关闭",AO11=""),"关闭缺证据",IF(AND(AM11&lt;&gt;"",AM11&lt;项目驾驶舱!$B$3),"评审逾期",""))))))</f>
        <v/>
      </c>
      <c r="AR11" s="8" t="str">
        <f>IF(AP11="是",COUNTIFS($AP$9:AP11,"是"),"")</f>
        <v/>
      </c>
    </row>
    <row r="12" spans="1:44">
      <c r="A12" s="8" t="str">
        <f t="shared" si="0"/>
        <v/>
      </c>
      <c r="B12" s="10"/>
      <c r="C12" s="10"/>
      <c r="D12" s="10"/>
      <c r="E12" s="10"/>
      <c r="F12" s="10"/>
      <c r="G12" s="10"/>
      <c r="H12" s="10"/>
      <c r="I12" s="10"/>
      <c r="J12" s="11"/>
      <c r="K12" s="10"/>
      <c r="L12" s="10"/>
      <c r="M12" s="10"/>
      <c r="N12" s="10"/>
      <c r="O12" s="10"/>
      <c r="P12" s="10"/>
      <c r="Q12" s="10"/>
      <c r="R12" s="10"/>
      <c r="S12" s="10"/>
      <c r="T12" s="8" t="str">
        <f t="shared" si="1"/>
        <v/>
      </c>
      <c r="U12" s="8" t="str">
        <f t="shared" si="2"/>
        <v/>
      </c>
      <c r="V12" s="8" t="str">
        <f t="shared" si="3"/>
        <v/>
      </c>
      <c r="W12" s="10"/>
      <c r="X12" s="10"/>
      <c r="Y12" s="10"/>
      <c r="Z12" s="10"/>
      <c r="AA12" s="10"/>
      <c r="AB12" s="11"/>
      <c r="AC12" s="10"/>
      <c r="AD12" s="47"/>
      <c r="AE12" s="10"/>
      <c r="AF12" s="10"/>
      <c r="AG12" s="8" t="str">
        <f t="shared" si="4"/>
        <v/>
      </c>
      <c r="AH12" s="8" t="str">
        <f t="shared" si="5"/>
        <v/>
      </c>
      <c r="AI12" s="10"/>
      <c r="AJ12" s="10"/>
      <c r="AK12" s="10"/>
      <c r="AL12" s="11"/>
      <c r="AM12" s="11"/>
      <c r="AN12" s="11"/>
      <c r="AO12" s="10"/>
      <c r="AP12" s="8" t="str">
        <f>IF(B12="","",IF(OR(V12="重大",AH12="重大",AH12="高",AI12="上升",AJ12="是",AND(AB12&lt;&gt;"",AB12&lt;项目驾驶舱!$B$3,AC12&lt;&gt;"已关闭")),"是","否"))</f>
        <v/>
      </c>
      <c r="AQ12" s="8" t="str">
        <f>IF(B12="","",IF(W12="","缺风险责任人",IF(AND(OR(V12="重大",V12="高"),Y12=""),"高风险缺应对策略",IF(AND(AJ12="是",AK12=""),"已发生未关联问题",IF(AND(AC12="已关闭",AO12=""),"关闭缺证据",IF(AND(AM12&lt;&gt;"",AM12&lt;项目驾驶舱!$B$3),"评审逾期",""))))))</f>
        <v/>
      </c>
      <c r="AR12" s="8" t="str">
        <f>IF(AP12="是",COUNTIFS($AP$9:AP12,"是"),"")</f>
        <v/>
      </c>
    </row>
    <row r="13" spans="1:44">
      <c r="A13" s="8" t="str">
        <f t="shared" si="0"/>
        <v/>
      </c>
      <c r="B13" s="10"/>
      <c r="C13" s="10"/>
      <c r="D13" s="10"/>
      <c r="E13" s="10"/>
      <c r="F13" s="10"/>
      <c r="G13" s="10"/>
      <c r="H13" s="10"/>
      <c r="I13" s="10"/>
      <c r="J13" s="11"/>
      <c r="K13" s="10"/>
      <c r="L13" s="10"/>
      <c r="M13" s="10"/>
      <c r="N13" s="10"/>
      <c r="O13" s="10"/>
      <c r="P13" s="10"/>
      <c r="Q13" s="10"/>
      <c r="R13" s="10"/>
      <c r="S13" s="10"/>
      <c r="T13" s="8" t="str">
        <f t="shared" si="1"/>
        <v/>
      </c>
      <c r="U13" s="8" t="str">
        <f t="shared" si="2"/>
        <v/>
      </c>
      <c r="V13" s="8" t="str">
        <f t="shared" si="3"/>
        <v/>
      </c>
      <c r="W13" s="10"/>
      <c r="X13" s="10"/>
      <c r="Y13" s="10"/>
      <c r="Z13" s="10"/>
      <c r="AA13" s="10"/>
      <c r="AB13" s="11"/>
      <c r="AC13" s="10"/>
      <c r="AD13" s="47"/>
      <c r="AE13" s="10"/>
      <c r="AF13" s="10"/>
      <c r="AG13" s="8" t="str">
        <f t="shared" si="4"/>
        <v/>
      </c>
      <c r="AH13" s="8" t="str">
        <f t="shared" si="5"/>
        <v/>
      </c>
      <c r="AI13" s="10"/>
      <c r="AJ13" s="10"/>
      <c r="AK13" s="10"/>
      <c r="AL13" s="11"/>
      <c r="AM13" s="11"/>
      <c r="AN13" s="11"/>
      <c r="AO13" s="10"/>
      <c r="AP13" s="8" t="str">
        <f>IF(B13="","",IF(OR(V13="重大",AH13="重大",AH13="高",AI13="上升",AJ13="是",AND(AB13&lt;&gt;"",AB13&lt;项目驾驶舱!$B$3,AC13&lt;&gt;"已关闭")),"是","否"))</f>
        <v/>
      </c>
      <c r="AQ13" s="8" t="str">
        <f>IF(B13="","",IF(W13="","缺风险责任人",IF(AND(OR(V13="重大",V13="高"),Y13=""),"高风险缺应对策略",IF(AND(AJ13="是",AK13=""),"已发生未关联问题",IF(AND(AC13="已关闭",AO13=""),"关闭缺证据",IF(AND(AM13&lt;&gt;"",AM13&lt;项目驾驶舱!$B$3),"评审逾期",""))))))</f>
        <v/>
      </c>
      <c r="AR13" s="8" t="str">
        <f>IF(AP13="是",COUNTIFS($AP$9:AP13,"是"),"")</f>
        <v/>
      </c>
    </row>
    <row r="14" spans="1:44">
      <c r="A14" s="8" t="str">
        <f t="shared" si="0"/>
        <v/>
      </c>
      <c r="B14" s="10"/>
      <c r="C14" s="10"/>
      <c r="D14" s="10"/>
      <c r="E14" s="10"/>
      <c r="F14" s="10"/>
      <c r="G14" s="10"/>
      <c r="H14" s="10"/>
      <c r="I14" s="10"/>
      <c r="J14" s="11"/>
      <c r="K14" s="10"/>
      <c r="L14" s="10"/>
      <c r="M14" s="10"/>
      <c r="N14" s="10"/>
      <c r="O14" s="10"/>
      <c r="P14" s="10"/>
      <c r="Q14" s="10"/>
      <c r="R14" s="10"/>
      <c r="S14" s="10"/>
      <c r="T14" s="8" t="str">
        <f t="shared" si="1"/>
        <v/>
      </c>
      <c r="U14" s="8" t="str">
        <f t="shared" si="2"/>
        <v/>
      </c>
      <c r="V14" s="8" t="str">
        <f t="shared" si="3"/>
        <v/>
      </c>
      <c r="W14" s="10"/>
      <c r="X14" s="10"/>
      <c r="Y14" s="10"/>
      <c r="Z14" s="10"/>
      <c r="AA14" s="10"/>
      <c r="AB14" s="11"/>
      <c r="AC14" s="10"/>
      <c r="AD14" s="47"/>
      <c r="AE14" s="10"/>
      <c r="AF14" s="10"/>
      <c r="AG14" s="8" t="str">
        <f t="shared" si="4"/>
        <v/>
      </c>
      <c r="AH14" s="8" t="str">
        <f t="shared" si="5"/>
        <v/>
      </c>
      <c r="AI14" s="10"/>
      <c r="AJ14" s="10"/>
      <c r="AK14" s="10"/>
      <c r="AL14" s="11"/>
      <c r="AM14" s="11"/>
      <c r="AN14" s="11"/>
      <c r="AO14" s="10"/>
      <c r="AP14" s="8" t="str">
        <f>IF(B14="","",IF(OR(V14="重大",AH14="重大",AH14="高",AI14="上升",AJ14="是",AND(AB14&lt;&gt;"",AB14&lt;项目驾驶舱!$B$3,AC14&lt;&gt;"已关闭")),"是","否"))</f>
        <v/>
      </c>
      <c r="AQ14" s="8" t="str">
        <f>IF(B14="","",IF(W14="","缺风险责任人",IF(AND(OR(V14="重大",V14="高"),Y14=""),"高风险缺应对策略",IF(AND(AJ14="是",AK14=""),"已发生未关联问题",IF(AND(AC14="已关闭",AO14=""),"关闭缺证据",IF(AND(AM14&lt;&gt;"",AM14&lt;项目驾驶舱!$B$3),"评审逾期",""))))))</f>
        <v/>
      </c>
      <c r="AR14" s="8" t="str">
        <f>IF(AP14="是",COUNTIFS($AP$9:AP14,"是"),"")</f>
        <v/>
      </c>
    </row>
    <row r="15" spans="1:44">
      <c r="A15" s="8" t="str">
        <f t="shared" si="0"/>
        <v/>
      </c>
      <c r="B15" s="10"/>
      <c r="C15" s="10"/>
      <c r="D15" s="10"/>
      <c r="E15" s="10"/>
      <c r="F15" s="10"/>
      <c r="G15" s="10"/>
      <c r="H15" s="10"/>
      <c r="I15" s="10"/>
      <c r="J15" s="11"/>
      <c r="K15" s="10"/>
      <c r="L15" s="10"/>
      <c r="M15" s="10"/>
      <c r="N15" s="10"/>
      <c r="O15" s="10"/>
      <c r="P15" s="10"/>
      <c r="Q15" s="10"/>
      <c r="R15" s="10"/>
      <c r="S15" s="10"/>
      <c r="T15" s="8" t="str">
        <f t="shared" si="1"/>
        <v/>
      </c>
      <c r="U15" s="8" t="str">
        <f t="shared" si="2"/>
        <v/>
      </c>
      <c r="V15" s="8" t="str">
        <f t="shared" si="3"/>
        <v/>
      </c>
      <c r="W15" s="10"/>
      <c r="X15" s="10"/>
      <c r="Y15" s="10"/>
      <c r="Z15" s="10"/>
      <c r="AA15" s="10"/>
      <c r="AB15" s="11"/>
      <c r="AC15" s="10"/>
      <c r="AD15" s="47"/>
      <c r="AE15" s="10"/>
      <c r="AF15" s="10"/>
      <c r="AG15" s="8" t="str">
        <f t="shared" si="4"/>
        <v/>
      </c>
      <c r="AH15" s="8" t="str">
        <f t="shared" si="5"/>
        <v/>
      </c>
      <c r="AI15" s="10"/>
      <c r="AJ15" s="10"/>
      <c r="AK15" s="10"/>
      <c r="AL15" s="11"/>
      <c r="AM15" s="11"/>
      <c r="AN15" s="11"/>
      <c r="AO15" s="10"/>
      <c r="AP15" s="8" t="str">
        <f>IF(B15="","",IF(OR(V15="重大",AH15="重大",AH15="高",AI15="上升",AJ15="是",AND(AB15&lt;&gt;"",AB15&lt;项目驾驶舱!$B$3,AC15&lt;&gt;"已关闭")),"是","否"))</f>
        <v/>
      </c>
      <c r="AQ15" s="8" t="str">
        <f>IF(B15="","",IF(W15="","缺风险责任人",IF(AND(OR(V15="重大",V15="高"),Y15=""),"高风险缺应对策略",IF(AND(AJ15="是",AK15=""),"已发生未关联问题",IF(AND(AC15="已关闭",AO15=""),"关闭缺证据",IF(AND(AM15&lt;&gt;"",AM15&lt;项目驾驶舱!$B$3),"评审逾期",""))))))</f>
        <v/>
      </c>
      <c r="AR15" s="8" t="str">
        <f>IF(AP15="是",COUNTIFS($AP$9:AP15,"是"),"")</f>
        <v/>
      </c>
    </row>
    <row r="16" spans="1:44">
      <c r="A16" s="8" t="str">
        <f t="shared" si="0"/>
        <v/>
      </c>
      <c r="B16" s="10"/>
      <c r="C16" s="10"/>
      <c r="D16" s="10"/>
      <c r="E16" s="10"/>
      <c r="F16" s="10"/>
      <c r="G16" s="10"/>
      <c r="H16" s="10"/>
      <c r="I16" s="10"/>
      <c r="J16" s="11"/>
      <c r="K16" s="10"/>
      <c r="L16" s="10"/>
      <c r="M16" s="10"/>
      <c r="N16" s="10"/>
      <c r="O16" s="10"/>
      <c r="P16" s="10"/>
      <c r="Q16" s="10"/>
      <c r="R16" s="10"/>
      <c r="S16" s="10"/>
      <c r="T16" s="8" t="str">
        <f t="shared" si="1"/>
        <v/>
      </c>
      <c r="U16" s="8" t="str">
        <f t="shared" si="2"/>
        <v/>
      </c>
      <c r="V16" s="8" t="str">
        <f t="shared" si="3"/>
        <v/>
      </c>
      <c r="W16" s="10"/>
      <c r="X16" s="10"/>
      <c r="Y16" s="10"/>
      <c r="Z16" s="10"/>
      <c r="AA16" s="10"/>
      <c r="AB16" s="11"/>
      <c r="AC16" s="10"/>
      <c r="AD16" s="47"/>
      <c r="AE16" s="10"/>
      <c r="AF16" s="10"/>
      <c r="AG16" s="8" t="str">
        <f t="shared" si="4"/>
        <v/>
      </c>
      <c r="AH16" s="8" t="str">
        <f t="shared" si="5"/>
        <v/>
      </c>
      <c r="AI16" s="10"/>
      <c r="AJ16" s="10"/>
      <c r="AK16" s="10"/>
      <c r="AL16" s="11"/>
      <c r="AM16" s="11"/>
      <c r="AN16" s="11"/>
      <c r="AO16" s="10"/>
      <c r="AP16" s="8" t="str">
        <f>IF(B16="","",IF(OR(V16="重大",AH16="重大",AH16="高",AI16="上升",AJ16="是",AND(AB16&lt;&gt;"",AB16&lt;项目驾驶舱!$B$3,AC16&lt;&gt;"已关闭")),"是","否"))</f>
        <v/>
      </c>
      <c r="AQ16" s="8" t="str">
        <f>IF(B16="","",IF(W16="","缺风险责任人",IF(AND(OR(V16="重大",V16="高"),Y16=""),"高风险缺应对策略",IF(AND(AJ16="是",AK16=""),"已发生未关联问题",IF(AND(AC16="已关闭",AO16=""),"关闭缺证据",IF(AND(AM16&lt;&gt;"",AM16&lt;项目驾驶舱!$B$3),"评审逾期",""))))))</f>
        <v/>
      </c>
      <c r="AR16" s="8" t="str">
        <f>IF(AP16="是",COUNTIFS($AP$9:AP16,"是"),"")</f>
        <v/>
      </c>
    </row>
    <row r="17" spans="1:44">
      <c r="A17" s="8" t="str">
        <f t="shared" si="0"/>
        <v/>
      </c>
      <c r="B17" s="10"/>
      <c r="C17" s="10"/>
      <c r="D17" s="10"/>
      <c r="E17" s="10"/>
      <c r="F17" s="10"/>
      <c r="G17" s="10"/>
      <c r="H17" s="10"/>
      <c r="I17" s="10"/>
      <c r="J17" s="11"/>
      <c r="K17" s="10"/>
      <c r="L17" s="10"/>
      <c r="M17" s="10"/>
      <c r="N17" s="10"/>
      <c r="O17" s="10"/>
      <c r="P17" s="10"/>
      <c r="Q17" s="10"/>
      <c r="R17" s="10"/>
      <c r="S17" s="10"/>
      <c r="T17" s="8" t="str">
        <f t="shared" si="1"/>
        <v/>
      </c>
      <c r="U17" s="8" t="str">
        <f t="shared" si="2"/>
        <v/>
      </c>
      <c r="V17" s="8" t="str">
        <f t="shared" si="3"/>
        <v/>
      </c>
      <c r="W17" s="10"/>
      <c r="X17" s="10"/>
      <c r="Y17" s="10"/>
      <c r="Z17" s="10"/>
      <c r="AA17" s="10"/>
      <c r="AB17" s="11"/>
      <c r="AC17" s="10"/>
      <c r="AD17" s="47"/>
      <c r="AE17" s="10"/>
      <c r="AF17" s="10"/>
      <c r="AG17" s="8" t="str">
        <f t="shared" si="4"/>
        <v/>
      </c>
      <c r="AH17" s="8" t="str">
        <f t="shared" si="5"/>
        <v/>
      </c>
      <c r="AI17" s="10"/>
      <c r="AJ17" s="10"/>
      <c r="AK17" s="10"/>
      <c r="AL17" s="11"/>
      <c r="AM17" s="11"/>
      <c r="AN17" s="11"/>
      <c r="AO17" s="10"/>
      <c r="AP17" s="8" t="str">
        <f>IF(B17="","",IF(OR(V17="重大",AH17="重大",AH17="高",AI17="上升",AJ17="是",AND(AB17&lt;&gt;"",AB17&lt;项目驾驶舱!$B$3,AC17&lt;&gt;"已关闭")),"是","否"))</f>
        <v/>
      </c>
      <c r="AQ17" s="8" t="str">
        <f>IF(B17="","",IF(W17="","缺风险责任人",IF(AND(OR(V17="重大",V17="高"),Y17=""),"高风险缺应对策略",IF(AND(AJ17="是",AK17=""),"已发生未关联问题",IF(AND(AC17="已关闭",AO17=""),"关闭缺证据",IF(AND(AM17&lt;&gt;"",AM17&lt;项目驾驶舱!$B$3),"评审逾期",""))))))</f>
        <v/>
      </c>
      <c r="AR17" s="8" t="str">
        <f>IF(AP17="是",COUNTIFS($AP$9:AP17,"是"),"")</f>
        <v/>
      </c>
    </row>
    <row r="18" spans="1:44">
      <c r="A18" s="8" t="str">
        <f t="shared" si="0"/>
        <v/>
      </c>
      <c r="B18" s="10"/>
      <c r="C18" s="10"/>
      <c r="D18" s="10"/>
      <c r="E18" s="10"/>
      <c r="F18" s="10"/>
      <c r="G18" s="10"/>
      <c r="H18" s="10"/>
      <c r="I18" s="10"/>
      <c r="J18" s="11"/>
      <c r="K18" s="10"/>
      <c r="L18" s="10"/>
      <c r="M18" s="10"/>
      <c r="N18" s="10"/>
      <c r="O18" s="10"/>
      <c r="P18" s="10"/>
      <c r="Q18" s="10"/>
      <c r="R18" s="10"/>
      <c r="S18" s="10"/>
      <c r="T18" s="8" t="str">
        <f t="shared" si="1"/>
        <v/>
      </c>
      <c r="U18" s="8" t="str">
        <f t="shared" si="2"/>
        <v/>
      </c>
      <c r="V18" s="8" t="str">
        <f t="shared" si="3"/>
        <v/>
      </c>
      <c r="W18" s="10"/>
      <c r="X18" s="10"/>
      <c r="Y18" s="10"/>
      <c r="Z18" s="10"/>
      <c r="AA18" s="10"/>
      <c r="AB18" s="11"/>
      <c r="AC18" s="10"/>
      <c r="AD18" s="47"/>
      <c r="AE18" s="10"/>
      <c r="AF18" s="10"/>
      <c r="AG18" s="8" t="str">
        <f t="shared" si="4"/>
        <v/>
      </c>
      <c r="AH18" s="8" t="str">
        <f t="shared" si="5"/>
        <v/>
      </c>
      <c r="AI18" s="10"/>
      <c r="AJ18" s="10"/>
      <c r="AK18" s="10"/>
      <c r="AL18" s="11"/>
      <c r="AM18" s="11"/>
      <c r="AN18" s="11"/>
      <c r="AO18" s="10"/>
      <c r="AP18" s="8" t="str">
        <f>IF(B18="","",IF(OR(V18="重大",AH18="重大",AH18="高",AI18="上升",AJ18="是",AND(AB18&lt;&gt;"",AB18&lt;项目驾驶舱!$B$3,AC18&lt;&gt;"已关闭")),"是","否"))</f>
        <v/>
      </c>
      <c r="AQ18" s="8" t="str">
        <f>IF(B18="","",IF(W18="","缺风险责任人",IF(AND(OR(V18="重大",V18="高"),Y18=""),"高风险缺应对策略",IF(AND(AJ18="是",AK18=""),"已发生未关联问题",IF(AND(AC18="已关闭",AO18=""),"关闭缺证据",IF(AND(AM18&lt;&gt;"",AM18&lt;项目驾驶舱!$B$3),"评审逾期",""))))))</f>
        <v/>
      </c>
      <c r="AR18" s="8" t="str">
        <f>IF(AP18="是",COUNTIFS($AP$9:AP18,"是"),"")</f>
        <v/>
      </c>
    </row>
    <row r="19" spans="1:44">
      <c r="A19" s="8" t="str">
        <f t="shared" si="0"/>
        <v/>
      </c>
      <c r="B19" s="10"/>
      <c r="C19" s="10"/>
      <c r="D19" s="10"/>
      <c r="E19" s="10"/>
      <c r="F19" s="10"/>
      <c r="G19" s="10"/>
      <c r="H19" s="10"/>
      <c r="I19" s="10"/>
      <c r="J19" s="11"/>
      <c r="K19" s="10"/>
      <c r="L19" s="10"/>
      <c r="M19" s="10"/>
      <c r="N19" s="10"/>
      <c r="O19" s="10"/>
      <c r="P19" s="10"/>
      <c r="Q19" s="10"/>
      <c r="R19" s="10"/>
      <c r="S19" s="10"/>
      <c r="T19" s="8" t="str">
        <f t="shared" si="1"/>
        <v/>
      </c>
      <c r="U19" s="8" t="str">
        <f t="shared" si="2"/>
        <v/>
      </c>
      <c r="V19" s="8" t="str">
        <f t="shared" si="3"/>
        <v/>
      </c>
      <c r="W19" s="10"/>
      <c r="X19" s="10"/>
      <c r="Y19" s="10"/>
      <c r="Z19" s="10"/>
      <c r="AA19" s="10"/>
      <c r="AB19" s="11"/>
      <c r="AC19" s="10"/>
      <c r="AD19" s="47"/>
      <c r="AE19" s="10"/>
      <c r="AF19" s="10"/>
      <c r="AG19" s="8" t="str">
        <f t="shared" si="4"/>
        <v/>
      </c>
      <c r="AH19" s="8" t="str">
        <f t="shared" si="5"/>
        <v/>
      </c>
      <c r="AI19" s="10"/>
      <c r="AJ19" s="10"/>
      <c r="AK19" s="10"/>
      <c r="AL19" s="11"/>
      <c r="AM19" s="11"/>
      <c r="AN19" s="11"/>
      <c r="AO19" s="10"/>
      <c r="AP19" s="8" t="str">
        <f>IF(B19="","",IF(OR(V19="重大",AH19="重大",AH19="高",AI19="上升",AJ19="是",AND(AB19&lt;&gt;"",AB19&lt;项目驾驶舱!$B$3,AC19&lt;&gt;"已关闭")),"是","否"))</f>
        <v/>
      </c>
      <c r="AQ19" s="8" t="str">
        <f>IF(B19="","",IF(W19="","缺风险责任人",IF(AND(OR(V19="重大",V19="高"),Y19=""),"高风险缺应对策略",IF(AND(AJ19="是",AK19=""),"已发生未关联问题",IF(AND(AC19="已关闭",AO19=""),"关闭缺证据",IF(AND(AM19&lt;&gt;"",AM19&lt;项目驾驶舱!$B$3),"评审逾期",""))))))</f>
        <v/>
      </c>
      <c r="AR19" s="8" t="str">
        <f>IF(AP19="是",COUNTIFS($AP$9:AP19,"是"),"")</f>
        <v/>
      </c>
    </row>
    <row r="20" spans="1:44">
      <c r="A20" s="8" t="str">
        <f t="shared" si="0"/>
        <v/>
      </c>
      <c r="B20" s="10"/>
      <c r="C20" s="10"/>
      <c r="D20" s="10"/>
      <c r="E20" s="10"/>
      <c r="F20" s="10"/>
      <c r="G20" s="10"/>
      <c r="H20" s="10"/>
      <c r="I20" s="10"/>
      <c r="J20" s="11"/>
      <c r="K20" s="10"/>
      <c r="L20" s="10"/>
      <c r="M20" s="10"/>
      <c r="N20" s="10"/>
      <c r="O20" s="10"/>
      <c r="P20" s="10"/>
      <c r="Q20" s="10"/>
      <c r="R20" s="10"/>
      <c r="S20" s="10"/>
      <c r="T20" s="8" t="str">
        <f t="shared" si="1"/>
        <v/>
      </c>
      <c r="U20" s="8" t="str">
        <f t="shared" si="2"/>
        <v/>
      </c>
      <c r="V20" s="8" t="str">
        <f t="shared" si="3"/>
        <v/>
      </c>
      <c r="W20" s="10"/>
      <c r="X20" s="10"/>
      <c r="Y20" s="10"/>
      <c r="Z20" s="10"/>
      <c r="AA20" s="10"/>
      <c r="AB20" s="11"/>
      <c r="AC20" s="10"/>
      <c r="AD20" s="47"/>
      <c r="AE20" s="10"/>
      <c r="AF20" s="10"/>
      <c r="AG20" s="8" t="str">
        <f t="shared" si="4"/>
        <v/>
      </c>
      <c r="AH20" s="8" t="str">
        <f t="shared" si="5"/>
        <v/>
      </c>
      <c r="AI20" s="10"/>
      <c r="AJ20" s="10"/>
      <c r="AK20" s="10"/>
      <c r="AL20" s="11"/>
      <c r="AM20" s="11"/>
      <c r="AN20" s="11"/>
      <c r="AO20" s="10"/>
      <c r="AP20" s="8" t="str">
        <f>IF(B20="","",IF(OR(V20="重大",AH20="重大",AH20="高",AI20="上升",AJ20="是",AND(AB20&lt;&gt;"",AB20&lt;项目驾驶舱!$B$3,AC20&lt;&gt;"已关闭")),"是","否"))</f>
        <v/>
      </c>
      <c r="AQ20" s="8" t="str">
        <f>IF(B20="","",IF(W20="","缺风险责任人",IF(AND(OR(V20="重大",V20="高"),Y20=""),"高风险缺应对策略",IF(AND(AJ20="是",AK20=""),"已发生未关联问题",IF(AND(AC20="已关闭",AO20=""),"关闭缺证据",IF(AND(AM20&lt;&gt;"",AM20&lt;项目驾驶舱!$B$3),"评审逾期",""))))))</f>
        <v/>
      </c>
      <c r="AR20" s="8" t="str">
        <f>IF(AP20="是",COUNTIFS($AP$9:AP20,"是"),"")</f>
        <v/>
      </c>
    </row>
    <row r="21" spans="1:44">
      <c r="A21" s="8" t="str">
        <f t="shared" si="0"/>
        <v/>
      </c>
      <c r="B21" s="10"/>
      <c r="C21" s="10"/>
      <c r="D21" s="10"/>
      <c r="E21" s="10"/>
      <c r="F21" s="10"/>
      <c r="G21" s="10"/>
      <c r="H21" s="10"/>
      <c r="I21" s="10"/>
      <c r="J21" s="11"/>
      <c r="K21" s="10"/>
      <c r="L21" s="10"/>
      <c r="M21" s="10"/>
      <c r="N21" s="10"/>
      <c r="O21" s="10"/>
      <c r="P21" s="10"/>
      <c r="Q21" s="10"/>
      <c r="R21" s="10"/>
      <c r="S21" s="10"/>
      <c r="T21" s="8" t="str">
        <f t="shared" si="1"/>
        <v/>
      </c>
      <c r="U21" s="8" t="str">
        <f t="shared" si="2"/>
        <v/>
      </c>
      <c r="V21" s="8" t="str">
        <f t="shared" si="3"/>
        <v/>
      </c>
      <c r="W21" s="10"/>
      <c r="X21" s="10"/>
      <c r="Y21" s="10"/>
      <c r="Z21" s="10"/>
      <c r="AA21" s="10"/>
      <c r="AB21" s="11"/>
      <c r="AC21" s="10"/>
      <c r="AD21" s="47"/>
      <c r="AE21" s="10"/>
      <c r="AF21" s="10"/>
      <c r="AG21" s="8" t="str">
        <f t="shared" si="4"/>
        <v/>
      </c>
      <c r="AH21" s="8" t="str">
        <f t="shared" si="5"/>
        <v/>
      </c>
      <c r="AI21" s="10"/>
      <c r="AJ21" s="10"/>
      <c r="AK21" s="10"/>
      <c r="AL21" s="11"/>
      <c r="AM21" s="11"/>
      <c r="AN21" s="11"/>
      <c r="AO21" s="10"/>
      <c r="AP21" s="8" t="str">
        <f>IF(B21="","",IF(OR(V21="重大",AH21="重大",AH21="高",AI21="上升",AJ21="是",AND(AB21&lt;&gt;"",AB21&lt;项目驾驶舱!$B$3,AC21&lt;&gt;"已关闭")),"是","否"))</f>
        <v/>
      </c>
      <c r="AQ21" s="8" t="str">
        <f>IF(B21="","",IF(W21="","缺风险责任人",IF(AND(OR(V21="重大",V21="高"),Y21=""),"高风险缺应对策略",IF(AND(AJ21="是",AK21=""),"已发生未关联问题",IF(AND(AC21="已关闭",AO21=""),"关闭缺证据",IF(AND(AM21&lt;&gt;"",AM21&lt;项目驾驶舱!$B$3),"评审逾期",""))))))</f>
        <v/>
      </c>
      <c r="AR21" s="8" t="str">
        <f>IF(AP21="是",COUNTIFS($AP$9:AP21,"是"),"")</f>
        <v/>
      </c>
    </row>
    <row r="22" spans="1:44">
      <c r="A22" s="8" t="str">
        <f t="shared" si="0"/>
        <v/>
      </c>
      <c r="B22" s="10"/>
      <c r="C22" s="10"/>
      <c r="D22" s="10"/>
      <c r="E22" s="10"/>
      <c r="F22" s="10"/>
      <c r="G22" s="10"/>
      <c r="H22" s="10"/>
      <c r="I22" s="10"/>
      <c r="J22" s="11"/>
      <c r="K22" s="10"/>
      <c r="L22" s="10"/>
      <c r="M22" s="10"/>
      <c r="N22" s="10"/>
      <c r="O22" s="10"/>
      <c r="P22" s="10"/>
      <c r="Q22" s="10"/>
      <c r="R22" s="10"/>
      <c r="S22" s="10"/>
      <c r="T22" s="8" t="str">
        <f t="shared" si="1"/>
        <v/>
      </c>
      <c r="U22" s="8" t="str">
        <f t="shared" si="2"/>
        <v/>
      </c>
      <c r="V22" s="8" t="str">
        <f t="shared" si="3"/>
        <v/>
      </c>
      <c r="W22" s="10"/>
      <c r="X22" s="10"/>
      <c r="Y22" s="10"/>
      <c r="Z22" s="10"/>
      <c r="AA22" s="10"/>
      <c r="AB22" s="11"/>
      <c r="AC22" s="10"/>
      <c r="AD22" s="47"/>
      <c r="AE22" s="10"/>
      <c r="AF22" s="10"/>
      <c r="AG22" s="8" t="str">
        <f t="shared" si="4"/>
        <v/>
      </c>
      <c r="AH22" s="8" t="str">
        <f t="shared" si="5"/>
        <v/>
      </c>
      <c r="AI22" s="10"/>
      <c r="AJ22" s="10"/>
      <c r="AK22" s="10"/>
      <c r="AL22" s="11"/>
      <c r="AM22" s="11"/>
      <c r="AN22" s="11"/>
      <c r="AO22" s="10"/>
      <c r="AP22" s="8" t="str">
        <f>IF(B22="","",IF(OR(V22="重大",AH22="重大",AH22="高",AI22="上升",AJ22="是",AND(AB22&lt;&gt;"",AB22&lt;项目驾驶舱!$B$3,AC22&lt;&gt;"已关闭")),"是","否"))</f>
        <v/>
      </c>
      <c r="AQ22" s="8" t="str">
        <f>IF(B22="","",IF(W22="","缺风险责任人",IF(AND(OR(V22="重大",V22="高"),Y22=""),"高风险缺应对策略",IF(AND(AJ22="是",AK22=""),"已发生未关联问题",IF(AND(AC22="已关闭",AO22=""),"关闭缺证据",IF(AND(AM22&lt;&gt;"",AM22&lt;项目驾驶舱!$B$3),"评审逾期",""))))))</f>
        <v/>
      </c>
      <c r="AR22" s="8" t="str">
        <f>IF(AP22="是",COUNTIFS($AP$9:AP22,"是"),"")</f>
        <v/>
      </c>
    </row>
    <row r="23" spans="1:44">
      <c r="A23" s="8" t="str">
        <f t="shared" si="0"/>
        <v/>
      </c>
      <c r="B23" s="10"/>
      <c r="C23" s="10"/>
      <c r="D23" s="10"/>
      <c r="E23" s="10"/>
      <c r="F23" s="10"/>
      <c r="G23" s="10"/>
      <c r="H23" s="10"/>
      <c r="I23" s="10"/>
      <c r="J23" s="11"/>
      <c r="K23" s="10"/>
      <c r="L23" s="10"/>
      <c r="M23" s="10"/>
      <c r="N23" s="10"/>
      <c r="O23" s="10"/>
      <c r="P23" s="10"/>
      <c r="Q23" s="10"/>
      <c r="R23" s="10"/>
      <c r="S23" s="10"/>
      <c r="T23" s="8" t="str">
        <f t="shared" si="1"/>
        <v/>
      </c>
      <c r="U23" s="8" t="str">
        <f t="shared" si="2"/>
        <v/>
      </c>
      <c r="V23" s="8" t="str">
        <f t="shared" si="3"/>
        <v/>
      </c>
      <c r="W23" s="10"/>
      <c r="X23" s="10"/>
      <c r="Y23" s="10"/>
      <c r="Z23" s="10"/>
      <c r="AA23" s="10"/>
      <c r="AB23" s="11"/>
      <c r="AC23" s="10"/>
      <c r="AD23" s="47"/>
      <c r="AE23" s="10"/>
      <c r="AF23" s="10"/>
      <c r="AG23" s="8" t="str">
        <f t="shared" si="4"/>
        <v/>
      </c>
      <c r="AH23" s="8" t="str">
        <f t="shared" si="5"/>
        <v/>
      </c>
      <c r="AI23" s="10"/>
      <c r="AJ23" s="10"/>
      <c r="AK23" s="10"/>
      <c r="AL23" s="11"/>
      <c r="AM23" s="11"/>
      <c r="AN23" s="11"/>
      <c r="AO23" s="10"/>
      <c r="AP23" s="8" t="str">
        <f>IF(B23="","",IF(OR(V23="重大",AH23="重大",AH23="高",AI23="上升",AJ23="是",AND(AB23&lt;&gt;"",AB23&lt;项目驾驶舱!$B$3,AC23&lt;&gt;"已关闭")),"是","否"))</f>
        <v/>
      </c>
      <c r="AQ23" s="8" t="str">
        <f>IF(B23="","",IF(W23="","缺风险责任人",IF(AND(OR(V23="重大",V23="高"),Y23=""),"高风险缺应对策略",IF(AND(AJ23="是",AK23=""),"已发生未关联问题",IF(AND(AC23="已关闭",AO23=""),"关闭缺证据",IF(AND(AM23&lt;&gt;"",AM23&lt;项目驾驶舱!$B$3),"评审逾期",""))))))</f>
        <v/>
      </c>
      <c r="AR23" s="8" t="str">
        <f>IF(AP23="是",COUNTIFS($AP$9:AP23,"是"),"")</f>
        <v/>
      </c>
    </row>
    <row r="24" spans="1:44">
      <c r="A24" s="8" t="str">
        <f t="shared" si="0"/>
        <v/>
      </c>
      <c r="B24" s="10"/>
      <c r="C24" s="10"/>
      <c r="D24" s="10"/>
      <c r="E24" s="10"/>
      <c r="F24" s="10"/>
      <c r="G24" s="10"/>
      <c r="H24" s="10"/>
      <c r="I24" s="10"/>
      <c r="J24" s="11"/>
      <c r="K24" s="10"/>
      <c r="L24" s="10"/>
      <c r="M24" s="10"/>
      <c r="N24" s="10"/>
      <c r="O24" s="10"/>
      <c r="P24" s="10"/>
      <c r="Q24" s="10"/>
      <c r="R24" s="10"/>
      <c r="S24" s="10"/>
      <c r="T24" s="8" t="str">
        <f t="shared" si="1"/>
        <v/>
      </c>
      <c r="U24" s="8" t="str">
        <f t="shared" si="2"/>
        <v/>
      </c>
      <c r="V24" s="8" t="str">
        <f t="shared" si="3"/>
        <v/>
      </c>
      <c r="W24" s="10"/>
      <c r="X24" s="10"/>
      <c r="Y24" s="10"/>
      <c r="Z24" s="10"/>
      <c r="AA24" s="10"/>
      <c r="AB24" s="11"/>
      <c r="AC24" s="10"/>
      <c r="AD24" s="47"/>
      <c r="AE24" s="10"/>
      <c r="AF24" s="10"/>
      <c r="AG24" s="8" t="str">
        <f t="shared" si="4"/>
        <v/>
      </c>
      <c r="AH24" s="8" t="str">
        <f t="shared" si="5"/>
        <v/>
      </c>
      <c r="AI24" s="10"/>
      <c r="AJ24" s="10"/>
      <c r="AK24" s="10"/>
      <c r="AL24" s="11"/>
      <c r="AM24" s="11"/>
      <c r="AN24" s="11"/>
      <c r="AO24" s="10"/>
      <c r="AP24" s="8" t="str">
        <f>IF(B24="","",IF(OR(V24="重大",AH24="重大",AH24="高",AI24="上升",AJ24="是",AND(AB24&lt;&gt;"",AB24&lt;项目驾驶舱!$B$3,AC24&lt;&gt;"已关闭")),"是","否"))</f>
        <v/>
      </c>
      <c r="AQ24" s="8" t="str">
        <f>IF(B24="","",IF(W24="","缺风险责任人",IF(AND(OR(V24="重大",V24="高"),Y24=""),"高风险缺应对策略",IF(AND(AJ24="是",AK24=""),"已发生未关联问题",IF(AND(AC24="已关闭",AO24=""),"关闭缺证据",IF(AND(AM24&lt;&gt;"",AM24&lt;项目驾驶舱!$B$3),"评审逾期",""))))))</f>
        <v/>
      </c>
      <c r="AR24" s="8" t="str">
        <f>IF(AP24="是",COUNTIFS($AP$9:AP24,"是"),"")</f>
        <v/>
      </c>
    </row>
    <row r="25" spans="1:44">
      <c r="A25" s="8" t="str">
        <f t="shared" si="0"/>
        <v/>
      </c>
      <c r="B25" s="10"/>
      <c r="C25" s="10"/>
      <c r="D25" s="10"/>
      <c r="E25" s="10"/>
      <c r="F25" s="10"/>
      <c r="G25" s="10"/>
      <c r="H25" s="10"/>
      <c r="I25" s="10"/>
      <c r="J25" s="11"/>
      <c r="K25" s="10"/>
      <c r="L25" s="10"/>
      <c r="M25" s="10"/>
      <c r="N25" s="10"/>
      <c r="O25" s="10"/>
      <c r="P25" s="10"/>
      <c r="Q25" s="10"/>
      <c r="R25" s="10"/>
      <c r="S25" s="10"/>
      <c r="T25" s="8" t="str">
        <f t="shared" si="1"/>
        <v/>
      </c>
      <c r="U25" s="8" t="str">
        <f t="shared" si="2"/>
        <v/>
      </c>
      <c r="V25" s="8" t="str">
        <f t="shared" si="3"/>
        <v/>
      </c>
      <c r="W25" s="10"/>
      <c r="X25" s="10"/>
      <c r="Y25" s="10"/>
      <c r="Z25" s="10"/>
      <c r="AA25" s="10"/>
      <c r="AB25" s="11"/>
      <c r="AC25" s="10"/>
      <c r="AD25" s="47"/>
      <c r="AE25" s="10"/>
      <c r="AF25" s="10"/>
      <c r="AG25" s="8" t="str">
        <f t="shared" si="4"/>
        <v/>
      </c>
      <c r="AH25" s="8" t="str">
        <f t="shared" si="5"/>
        <v/>
      </c>
      <c r="AI25" s="10"/>
      <c r="AJ25" s="10"/>
      <c r="AK25" s="10"/>
      <c r="AL25" s="11"/>
      <c r="AM25" s="11"/>
      <c r="AN25" s="11"/>
      <c r="AO25" s="10"/>
      <c r="AP25" s="8" t="str">
        <f>IF(B25="","",IF(OR(V25="重大",AH25="重大",AH25="高",AI25="上升",AJ25="是",AND(AB25&lt;&gt;"",AB25&lt;项目驾驶舱!$B$3,AC25&lt;&gt;"已关闭")),"是","否"))</f>
        <v/>
      </c>
      <c r="AQ25" s="8" t="str">
        <f>IF(B25="","",IF(W25="","缺风险责任人",IF(AND(OR(V25="重大",V25="高"),Y25=""),"高风险缺应对策略",IF(AND(AJ25="是",AK25=""),"已发生未关联问题",IF(AND(AC25="已关闭",AO25=""),"关闭缺证据",IF(AND(AM25&lt;&gt;"",AM25&lt;项目驾驶舱!$B$3),"评审逾期",""))))))</f>
        <v/>
      </c>
      <c r="AR25" s="8" t="str">
        <f>IF(AP25="是",COUNTIFS($AP$9:AP25,"是"),"")</f>
        <v/>
      </c>
    </row>
    <row r="26" spans="1:44">
      <c r="A26" s="8" t="str">
        <f t="shared" si="0"/>
        <v/>
      </c>
      <c r="B26" s="10"/>
      <c r="C26" s="10"/>
      <c r="D26" s="10"/>
      <c r="E26" s="10"/>
      <c r="F26" s="10"/>
      <c r="G26" s="10"/>
      <c r="H26" s="10"/>
      <c r="I26" s="10"/>
      <c r="J26" s="11"/>
      <c r="K26" s="10"/>
      <c r="L26" s="10"/>
      <c r="M26" s="10"/>
      <c r="N26" s="10"/>
      <c r="O26" s="10"/>
      <c r="P26" s="10"/>
      <c r="Q26" s="10"/>
      <c r="R26" s="10"/>
      <c r="S26" s="10"/>
      <c r="T26" s="8" t="str">
        <f t="shared" si="1"/>
        <v/>
      </c>
      <c r="U26" s="8" t="str">
        <f t="shared" si="2"/>
        <v/>
      </c>
      <c r="V26" s="8" t="str">
        <f t="shared" si="3"/>
        <v/>
      </c>
      <c r="W26" s="10"/>
      <c r="X26" s="10"/>
      <c r="Y26" s="10"/>
      <c r="Z26" s="10"/>
      <c r="AA26" s="10"/>
      <c r="AB26" s="11"/>
      <c r="AC26" s="10"/>
      <c r="AD26" s="47"/>
      <c r="AE26" s="10"/>
      <c r="AF26" s="10"/>
      <c r="AG26" s="8" t="str">
        <f t="shared" si="4"/>
        <v/>
      </c>
      <c r="AH26" s="8" t="str">
        <f t="shared" si="5"/>
        <v/>
      </c>
      <c r="AI26" s="10"/>
      <c r="AJ26" s="10"/>
      <c r="AK26" s="10"/>
      <c r="AL26" s="11"/>
      <c r="AM26" s="11"/>
      <c r="AN26" s="11"/>
      <c r="AO26" s="10"/>
      <c r="AP26" s="8" t="str">
        <f>IF(B26="","",IF(OR(V26="重大",AH26="重大",AH26="高",AI26="上升",AJ26="是",AND(AB26&lt;&gt;"",AB26&lt;项目驾驶舱!$B$3,AC26&lt;&gt;"已关闭")),"是","否"))</f>
        <v/>
      </c>
      <c r="AQ26" s="8" t="str">
        <f>IF(B26="","",IF(W26="","缺风险责任人",IF(AND(OR(V26="重大",V26="高"),Y26=""),"高风险缺应对策略",IF(AND(AJ26="是",AK26=""),"已发生未关联问题",IF(AND(AC26="已关闭",AO26=""),"关闭缺证据",IF(AND(AM26&lt;&gt;"",AM26&lt;项目驾驶舱!$B$3),"评审逾期",""))))))</f>
        <v/>
      </c>
      <c r="AR26" s="8" t="str">
        <f>IF(AP26="是",COUNTIFS($AP$9:AP26,"是"),"")</f>
        <v/>
      </c>
    </row>
    <row r="27" spans="1:44">
      <c r="A27" s="8" t="str">
        <f t="shared" si="0"/>
        <v/>
      </c>
      <c r="B27" s="10"/>
      <c r="C27" s="10"/>
      <c r="D27" s="10"/>
      <c r="E27" s="10"/>
      <c r="F27" s="10"/>
      <c r="G27" s="10"/>
      <c r="H27" s="10"/>
      <c r="I27" s="10"/>
      <c r="J27" s="11"/>
      <c r="K27" s="10"/>
      <c r="L27" s="10"/>
      <c r="M27" s="10"/>
      <c r="N27" s="10"/>
      <c r="O27" s="10"/>
      <c r="P27" s="10"/>
      <c r="Q27" s="10"/>
      <c r="R27" s="10"/>
      <c r="S27" s="10"/>
      <c r="T27" s="8" t="str">
        <f t="shared" si="1"/>
        <v/>
      </c>
      <c r="U27" s="8" t="str">
        <f t="shared" si="2"/>
        <v/>
      </c>
      <c r="V27" s="8" t="str">
        <f t="shared" si="3"/>
        <v/>
      </c>
      <c r="W27" s="10"/>
      <c r="X27" s="10"/>
      <c r="Y27" s="10"/>
      <c r="Z27" s="10"/>
      <c r="AA27" s="10"/>
      <c r="AB27" s="11"/>
      <c r="AC27" s="10"/>
      <c r="AD27" s="47"/>
      <c r="AE27" s="10"/>
      <c r="AF27" s="10"/>
      <c r="AG27" s="8" t="str">
        <f t="shared" si="4"/>
        <v/>
      </c>
      <c r="AH27" s="8" t="str">
        <f t="shared" si="5"/>
        <v/>
      </c>
      <c r="AI27" s="10"/>
      <c r="AJ27" s="10"/>
      <c r="AK27" s="10"/>
      <c r="AL27" s="11"/>
      <c r="AM27" s="11"/>
      <c r="AN27" s="11"/>
      <c r="AO27" s="10"/>
      <c r="AP27" s="8" t="str">
        <f>IF(B27="","",IF(OR(V27="重大",AH27="重大",AH27="高",AI27="上升",AJ27="是",AND(AB27&lt;&gt;"",AB27&lt;项目驾驶舱!$B$3,AC27&lt;&gt;"已关闭")),"是","否"))</f>
        <v/>
      </c>
      <c r="AQ27" s="8" t="str">
        <f>IF(B27="","",IF(W27="","缺风险责任人",IF(AND(OR(V27="重大",V27="高"),Y27=""),"高风险缺应对策略",IF(AND(AJ27="是",AK27=""),"已发生未关联问题",IF(AND(AC27="已关闭",AO27=""),"关闭缺证据",IF(AND(AM27&lt;&gt;"",AM27&lt;项目驾驶舱!$B$3),"评审逾期",""))))))</f>
        <v/>
      </c>
      <c r="AR27" s="8" t="str">
        <f>IF(AP27="是",COUNTIFS($AP$9:AP27,"是"),"")</f>
        <v/>
      </c>
    </row>
    <row r="28" spans="1:44">
      <c r="A28" s="8" t="str">
        <f t="shared" si="0"/>
        <v/>
      </c>
      <c r="B28" s="10"/>
      <c r="C28" s="10"/>
      <c r="D28" s="10"/>
      <c r="E28" s="10"/>
      <c r="F28" s="10"/>
      <c r="G28" s="10"/>
      <c r="H28" s="10"/>
      <c r="I28" s="10"/>
      <c r="J28" s="11"/>
      <c r="K28" s="10"/>
      <c r="L28" s="10"/>
      <c r="M28" s="10"/>
      <c r="N28" s="10"/>
      <c r="O28" s="10"/>
      <c r="P28" s="10"/>
      <c r="Q28" s="10"/>
      <c r="R28" s="10"/>
      <c r="S28" s="10"/>
      <c r="T28" s="8" t="str">
        <f t="shared" si="1"/>
        <v/>
      </c>
      <c r="U28" s="8" t="str">
        <f t="shared" si="2"/>
        <v/>
      </c>
      <c r="V28" s="8" t="str">
        <f t="shared" si="3"/>
        <v/>
      </c>
      <c r="W28" s="10"/>
      <c r="X28" s="10"/>
      <c r="Y28" s="10"/>
      <c r="Z28" s="10"/>
      <c r="AA28" s="10"/>
      <c r="AB28" s="11"/>
      <c r="AC28" s="10"/>
      <c r="AD28" s="47"/>
      <c r="AE28" s="10"/>
      <c r="AF28" s="10"/>
      <c r="AG28" s="8" t="str">
        <f t="shared" si="4"/>
        <v/>
      </c>
      <c r="AH28" s="8" t="str">
        <f t="shared" si="5"/>
        <v/>
      </c>
      <c r="AI28" s="10"/>
      <c r="AJ28" s="10"/>
      <c r="AK28" s="10"/>
      <c r="AL28" s="11"/>
      <c r="AM28" s="11"/>
      <c r="AN28" s="11"/>
      <c r="AO28" s="10"/>
      <c r="AP28" s="8" t="str">
        <f>IF(B28="","",IF(OR(V28="重大",AH28="重大",AH28="高",AI28="上升",AJ28="是",AND(AB28&lt;&gt;"",AB28&lt;项目驾驶舱!$B$3,AC28&lt;&gt;"已关闭")),"是","否"))</f>
        <v/>
      </c>
      <c r="AQ28" s="8" t="str">
        <f>IF(B28="","",IF(W28="","缺风险责任人",IF(AND(OR(V28="重大",V28="高"),Y28=""),"高风险缺应对策略",IF(AND(AJ28="是",AK28=""),"已发生未关联问题",IF(AND(AC28="已关闭",AO28=""),"关闭缺证据",IF(AND(AM28&lt;&gt;"",AM28&lt;项目驾驶舱!$B$3),"评审逾期",""))))))</f>
        <v/>
      </c>
      <c r="AR28" s="8" t="str">
        <f>IF(AP28="是",COUNTIFS($AP$9:AP28,"是"),"")</f>
        <v/>
      </c>
    </row>
    <row r="29" spans="1:44">
      <c r="A29" s="8" t="str">
        <f t="shared" si="0"/>
        <v/>
      </c>
      <c r="B29" s="10"/>
      <c r="C29" s="10"/>
      <c r="D29" s="10"/>
      <c r="E29" s="10"/>
      <c r="F29" s="10"/>
      <c r="G29" s="10"/>
      <c r="H29" s="10"/>
      <c r="I29" s="10"/>
      <c r="J29" s="11"/>
      <c r="K29" s="10"/>
      <c r="L29" s="10"/>
      <c r="M29" s="10"/>
      <c r="N29" s="10"/>
      <c r="O29" s="10"/>
      <c r="P29" s="10"/>
      <c r="Q29" s="10"/>
      <c r="R29" s="10"/>
      <c r="S29" s="10"/>
      <c r="T29" s="8" t="str">
        <f t="shared" si="1"/>
        <v/>
      </c>
      <c r="U29" s="8" t="str">
        <f t="shared" si="2"/>
        <v/>
      </c>
      <c r="V29" s="8" t="str">
        <f t="shared" si="3"/>
        <v/>
      </c>
      <c r="W29" s="10"/>
      <c r="X29" s="10"/>
      <c r="Y29" s="10"/>
      <c r="Z29" s="10"/>
      <c r="AA29" s="10"/>
      <c r="AB29" s="11"/>
      <c r="AC29" s="10"/>
      <c r="AD29" s="47"/>
      <c r="AE29" s="10"/>
      <c r="AF29" s="10"/>
      <c r="AG29" s="8" t="str">
        <f t="shared" si="4"/>
        <v/>
      </c>
      <c r="AH29" s="8" t="str">
        <f t="shared" si="5"/>
        <v/>
      </c>
      <c r="AI29" s="10"/>
      <c r="AJ29" s="10"/>
      <c r="AK29" s="10"/>
      <c r="AL29" s="11"/>
      <c r="AM29" s="11"/>
      <c r="AN29" s="11"/>
      <c r="AO29" s="10"/>
      <c r="AP29" s="8" t="str">
        <f>IF(B29="","",IF(OR(V29="重大",AH29="重大",AH29="高",AI29="上升",AJ29="是",AND(AB29&lt;&gt;"",AB29&lt;项目驾驶舱!$B$3,AC29&lt;&gt;"已关闭")),"是","否"))</f>
        <v/>
      </c>
      <c r="AQ29" s="8" t="str">
        <f>IF(B29="","",IF(W29="","缺风险责任人",IF(AND(OR(V29="重大",V29="高"),Y29=""),"高风险缺应对策略",IF(AND(AJ29="是",AK29=""),"已发生未关联问题",IF(AND(AC29="已关闭",AO29=""),"关闭缺证据",IF(AND(AM29&lt;&gt;"",AM29&lt;项目驾驶舱!$B$3),"评审逾期",""))))))</f>
        <v/>
      </c>
      <c r="AR29" s="8" t="str">
        <f>IF(AP29="是",COUNTIFS($AP$9:AP29,"是"),"")</f>
        <v/>
      </c>
    </row>
    <row r="30" spans="1:44">
      <c r="A30" s="8" t="str">
        <f t="shared" si="0"/>
        <v/>
      </c>
      <c r="B30" s="10"/>
      <c r="C30" s="10"/>
      <c r="D30" s="10"/>
      <c r="E30" s="10"/>
      <c r="F30" s="10"/>
      <c r="G30" s="10"/>
      <c r="H30" s="10"/>
      <c r="I30" s="10"/>
      <c r="J30" s="11"/>
      <c r="K30" s="10"/>
      <c r="L30" s="10"/>
      <c r="M30" s="10"/>
      <c r="N30" s="10"/>
      <c r="O30" s="10"/>
      <c r="P30" s="10"/>
      <c r="Q30" s="10"/>
      <c r="R30" s="10"/>
      <c r="S30" s="10"/>
      <c r="T30" s="8" t="str">
        <f t="shared" si="1"/>
        <v/>
      </c>
      <c r="U30" s="8" t="str">
        <f t="shared" si="2"/>
        <v/>
      </c>
      <c r="V30" s="8" t="str">
        <f t="shared" si="3"/>
        <v/>
      </c>
      <c r="W30" s="10"/>
      <c r="X30" s="10"/>
      <c r="Y30" s="10"/>
      <c r="Z30" s="10"/>
      <c r="AA30" s="10"/>
      <c r="AB30" s="11"/>
      <c r="AC30" s="10"/>
      <c r="AD30" s="47"/>
      <c r="AE30" s="10"/>
      <c r="AF30" s="10"/>
      <c r="AG30" s="8" t="str">
        <f t="shared" si="4"/>
        <v/>
      </c>
      <c r="AH30" s="8" t="str">
        <f t="shared" si="5"/>
        <v/>
      </c>
      <c r="AI30" s="10"/>
      <c r="AJ30" s="10"/>
      <c r="AK30" s="10"/>
      <c r="AL30" s="11"/>
      <c r="AM30" s="11"/>
      <c r="AN30" s="11"/>
      <c r="AO30" s="10"/>
      <c r="AP30" s="8" t="str">
        <f>IF(B30="","",IF(OR(V30="重大",AH30="重大",AH30="高",AI30="上升",AJ30="是",AND(AB30&lt;&gt;"",AB30&lt;项目驾驶舱!$B$3,AC30&lt;&gt;"已关闭")),"是","否"))</f>
        <v/>
      </c>
      <c r="AQ30" s="8" t="str">
        <f>IF(B30="","",IF(W30="","缺风险责任人",IF(AND(OR(V30="重大",V30="高"),Y30=""),"高风险缺应对策略",IF(AND(AJ30="是",AK30=""),"已发生未关联问题",IF(AND(AC30="已关闭",AO30=""),"关闭缺证据",IF(AND(AM30&lt;&gt;"",AM30&lt;项目驾驶舱!$B$3),"评审逾期",""))))))</f>
        <v/>
      </c>
      <c r="AR30" s="8" t="str">
        <f>IF(AP30="是",COUNTIFS($AP$9:AP30,"是"),"")</f>
        <v/>
      </c>
    </row>
    <row r="31" spans="1:44">
      <c r="A31" s="8" t="str">
        <f t="shared" si="0"/>
        <v/>
      </c>
      <c r="B31" s="10"/>
      <c r="C31" s="10"/>
      <c r="D31" s="10"/>
      <c r="E31" s="10"/>
      <c r="F31" s="10"/>
      <c r="G31" s="10"/>
      <c r="H31" s="10"/>
      <c r="I31" s="10"/>
      <c r="J31" s="11"/>
      <c r="K31" s="10"/>
      <c r="L31" s="10"/>
      <c r="M31" s="10"/>
      <c r="N31" s="10"/>
      <c r="O31" s="10"/>
      <c r="P31" s="10"/>
      <c r="Q31" s="10"/>
      <c r="R31" s="10"/>
      <c r="S31" s="10"/>
      <c r="T31" s="8" t="str">
        <f t="shared" si="1"/>
        <v/>
      </c>
      <c r="U31" s="8" t="str">
        <f t="shared" si="2"/>
        <v/>
      </c>
      <c r="V31" s="8" t="str">
        <f t="shared" si="3"/>
        <v/>
      </c>
      <c r="W31" s="10"/>
      <c r="X31" s="10"/>
      <c r="Y31" s="10"/>
      <c r="Z31" s="10"/>
      <c r="AA31" s="10"/>
      <c r="AB31" s="11"/>
      <c r="AC31" s="10"/>
      <c r="AD31" s="47"/>
      <c r="AE31" s="10"/>
      <c r="AF31" s="10"/>
      <c r="AG31" s="8" t="str">
        <f t="shared" si="4"/>
        <v/>
      </c>
      <c r="AH31" s="8" t="str">
        <f t="shared" si="5"/>
        <v/>
      </c>
      <c r="AI31" s="10"/>
      <c r="AJ31" s="10"/>
      <c r="AK31" s="10"/>
      <c r="AL31" s="11"/>
      <c r="AM31" s="11"/>
      <c r="AN31" s="11"/>
      <c r="AO31" s="10"/>
      <c r="AP31" s="8" t="str">
        <f>IF(B31="","",IF(OR(V31="重大",AH31="重大",AH31="高",AI31="上升",AJ31="是",AND(AB31&lt;&gt;"",AB31&lt;项目驾驶舱!$B$3,AC31&lt;&gt;"已关闭")),"是","否"))</f>
        <v/>
      </c>
      <c r="AQ31" s="8" t="str">
        <f>IF(B31="","",IF(W31="","缺风险责任人",IF(AND(OR(V31="重大",V31="高"),Y31=""),"高风险缺应对策略",IF(AND(AJ31="是",AK31=""),"已发生未关联问题",IF(AND(AC31="已关闭",AO31=""),"关闭缺证据",IF(AND(AM31&lt;&gt;"",AM31&lt;项目驾驶舱!$B$3),"评审逾期",""))))))</f>
        <v/>
      </c>
      <c r="AR31" s="8" t="str">
        <f>IF(AP31="是",COUNTIFS($AP$9:AP31,"是"),"")</f>
        <v/>
      </c>
    </row>
    <row r="32" spans="1:44">
      <c r="A32" s="8" t="str">
        <f t="shared" si="0"/>
        <v/>
      </c>
      <c r="B32" s="10"/>
      <c r="C32" s="10"/>
      <c r="D32" s="10"/>
      <c r="E32" s="10"/>
      <c r="F32" s="10"/>
      <c r="G32" s="10"/>
      <c r="H32" s="10"/>
      <c r="I32" s="10"/>
      <c r="J32" s="11"/>
      <c r="K32" s="10"/>
      <c r="L32" s="10"/>
      <c r="M32" s="10"/>
      <c r="N32" s="10"/>
      <c r="O32" s="10"/>
      <c r="P32" s="10"/>
      <c r="Q32" s="10"/>
      <c r="R32" s="10"/>
      <c r="S32" s="10"/>
      <c r="T32" s="8" t="str">
        <f t="shared" si="1"/>
        <v/>
      </c>
      <c r="U32" s="8" t="str">
        <f t="shared" si="2"/>
        <v/>
      </c>
      <c r="V32" s="8" t="str">
        <f t="shared" si="3"/>
        <v/>
      </c>
      <c r="W32" s="10"/>
      <c r="X32" s="10"/>
      <c r="Y32" s="10"/>
      <c r="Z32" s="10"/>
      <c r="AA32" s="10"/>
      <c r="AB32" s="11"/>
      <c r="AC32" s="10"/>
      <c r="AD32" s="47"/>
      <c r="AE32" s="10"/>
      <c r="AF32" s="10"/>
      <c r="AG32" s="8" t="str">
        <f t="shared" si="4"/>
        <v/>
      </c>
      <c r="AH32" s="8" t="str">
        <f t="shared" si="5"/>
        <v/>
      </c>
      <c r="AI32" s="10"/>
      <c r="AJ32" s="10"/>
      <c r="AK32" s="10"/>
      <c r="AL32" s="11"/>
      <c r="AM32" s="11"/>
      <c r="AN32" s="11"/>
      <c r="AO32" s="10"/>
      <c r="AP32" s="8" t="str">
        <f>IF(B32="","",IF(OR(V32="重大",AH32="重大",AH32="高",AI32="上升",AJ32="是",AND(AB32&lt;&gt;"",AB32&lt;项目驾驶舱!$B$3,AC32&lt;&gt;"已关闭")),"是","否"))</f>
        <v/>
      </c>
      <c r="AQ32" s="8" t="str">
        <f>IF(B32="","",IF(W32="","缺风险责任人",IF(AND(OR(V32="重大",V32="高"),Y32=""),"高风险缺应对策略",IF(AND(AJ32="是",AK32=""),"已发生未关联问题",IF(AND(AC32="已关闭",AO32=""),"关闭缺证据",IF(AND(AM32&lt;&gt;"",AM32&lt;项目驾驶舱!$B$3),"评审逾期",""))))))</f>
        <v/>
      </c>
      <c r="AR32" s="8" t="str">
        <f>IF(AP32="是",COUNTIFS($AP$9:AP32,"是"),"")</f>
        <v/>
      </c>
    </row>
    <row r="33" spans="1:44">
      <c r="A33" s="8" t="str">
        <f t="shared" si="0"/>
        <v/>
      </c>
      <c r="B33" s="10"/>
      <c r="C33" s="10"/>
      <c r="D33" s="10"/>
      <c r="E33" s="10"/>
      <c r="F33" s="10"/>
      <c r="G33" s="10"/>
      <c r="H33" s="10"/>
      <c r="I33" s="10"/>
      <c r="J33" s="11"/>
      <c r="K33" s="10"/>
      <c r="L33" s="10"/>
      <c r="M33" s="10"/>
      <c r="N33" s="10"/>
      <c r="O33" s="10"/>
      <c r="P33" s="10"/>
      <c r="Q33" s="10"/>
      <c r="R33" s="10"/>
      <c r="S33" s="10"/>
      <c r="T33" s="8" t="str">
        <f t="shared" si="1"/>
        <v/>
      </c>
      <c r="U33" s="8" t="str">
        <f t="shared" si="2"/>
        <v/>
      </c>
      <c r="V33" s="8" t="str">
        <f t="shared" si="3"/>
        <v/>
      </c>
      <c r="W33" s="10"/>
      <c r="X33" s="10"/>
      <c r="Y33" s="10"/>
      <c r="Z33" s="10"/>
      <c r="AA33" s="10"/>
      <c r="AB33" s="11"/>
      <c r="AC33" s="10"/>
      <c r="AD33" s="47"/>
      <c r="AE33" s="10"/>
      <c r="AF33" s="10"/>
      <c r="AG33" s="8" t="str">
        <f t="shared" si="4"/>
        <v/>
      </c>
      <c r="AH33" s="8" t="str">
        <f t="shared" si="5"/>
        <v/>
      </c>
      <c r="AI33" s="10"/>
      <c r="AJ33" s="10"/>
      <c r="AK33" s="10"/>
      <c r="AL33" s="11"/>
      <c r="AM33" s="11"/>
      <c r="AN33" s="11"/>
      <c r="AO33" s="10"/>
      <c r="AP33" s="8" t="str">
        <f>IF(B33="","",IF(OR(V33="重大",AH33="重大",AH33="高",AI33="上升",AJ33="是",AND(AB33&lt;&gt;"",AB33&lt;项目驾驶舱!$B$3,AC33&lt;&gt;"已关闭")),"是","否"))</f>
        <v/>
      </c>
      <c r="AQ33" s="8" t="str">
        <f>IF(B33="","",IF(W33="","缺风险责任人",IF(AND(OR(V33="重大",V33="高"),Y33=""),"高风险缺应对策略",IF(AND(AJ33="是",AK33=""),"已发生未关联问题",IF(AND(AC33="已关闭",AO33=""),"关闭缺证据",IF(AND(AM33&lt;&gt;"",AM33&lt;项目驾驶舱!$B$3),"评审逾期",""))))))</f>
        <v/>
      </c>
      <c r="AR33" s="8" t="str">
        <f>IF(AP33="是",COUNTIFS($AP$9:AP33,"是"),"")</f>
        <v/>
      </c>
    </row>
    <row r="34" spans="1:44">
      <c r="A34" s="8" t="str">
        <f t="shared" si="0"/>
        <v/>
      </c>
      <c r="B34" s="10"/>
      <c r="C34" s="10"/>
      <c r="D34" s="10"/>
      <c r="E34" s="10"/>
      <c r="F34" s="10"/>
      <c r="G34" s="10"/>
      <c r="H34" s="10"/>
      <c r="I34" s="10"/>
      <c r="J34" s="11"/>
      <c r="K34" s="10"/>
      <c r="L34" s="10"/>
      <c r="M34" s="10"/>
      <c r="N34" s="10"/>
      <c r="O34" s="10"/>
      <c r="P34" s="10"/>
      <c r="Q34" s="10"/>
      <c r="R34" s="10"/>
      <c r="S34" s="10"/>
      <c r="T34" s="8" t="str">
        <f t="shared" si="1"/>
        <v/>
      </c>
      <c r="U34" s="8" t="str">
        <f t="shared" si="2"/>
        <v/>
      </c>
      <c r="V34" s="8" t="str">
        <f t="shared" si="3"/>
        <v/>
      </c>
      <c r="W34" s="10"/>
      <c r="X34" s="10"/>
      <c r="Y34" s="10"/>
      <c r="Z34" s="10"/>
      <c r="AA34" s="10"/>
      <c r="AB34" s="11"/>
      <c r="AC34" s="10"/>
      <c r="AD34" s="47"/>
      <c r="AE34" s="10"/>
      <c r="AF34" s="10"/>
      <c r="AG34" s="8" t="str">
        <f t="shared" si="4"/>
        <v/>
      </c>
      <c r="AH34" s="8" t="str">
        <f t="shared" si="5"/>
        <v/>
      </c>
      <c r="AI34" s="10"/>
      <c r="AJ34" s="10"/>
      <c r="AK34" s="10"/>
      <c r="AL34" s="11"/>
      <c r="AM34" s="11"/>
      <c r="AN34" s="11"/>
      <c r="AO34" s="10"/>
      <c r="AP34" s="8" t="str">
        <f>IF(B34="","",IF(OR(V34="重大",AH34="重大",AH34="高",AI34="上升",AJ34="是",AND(AB34&lt;&gt;"",AB34&lt;项目驾驶舱!$B$3,AC34&lt;&gt;"已关闭")),"是","否"))</f>
        <v/>
      </c>
      <c r="AQ34" s="8" t="str">
        <f>IF(B34="","",IF(W34="","缺风险责任人",IF(AND(OR(V34="重大",V34="高"),Y34=""),"高风险缺应对策略",IF(AND(AJ34="是",AK34=""),"已发生未关联问题",IF(AND(AC34="已关闭",AO34=""),"关闭缺证据",IF(AND(AM34&lt;&gt;"",AM34&lt;项目驾驶舱!$B$3),"评审逾期",""))))))</f>
        <v/>
      </c>
      <c r="AR34" s="8" t="str">
        <f>IF(AP34="是",COUNTIFS($AP$9:AP34,"是"),"")</f>
        <v/>
      </c>
    </row>
    <row r="35" spans="1:44">
      <c r="A35" s="8" t="str">
        <f t="shared" si="0"/>
        <v/>
      </c>
      <c r="B35" s="10"/>
      <c r="C35" s="10"/>
      <c r="D35" s="10"/>
      <c r="E35" s="10"/>
      <c r="F35" s="10"/>
      <c r="G35" s="10"/>
      <c r="H35" s="10"/>
      <c r="I35" s="10"/>
      <c r="J35" s="11"/>
      <c r="K35" s="10"/>
      <c r="L35" s="10"/>
      <c r="M35" s="10"/>
      <c r="N35" s="10"/>
      <c r="O35" s="10"/>
      <c r="P35" s="10"/>
      <c r="Q35" s="10"/>
      <c r="R35" s="10"/>
      <c r="S35" s="10"/>
      <c r="T35" s="8" t="str">
        <f t="shared" si="1"/>
        <v/>
      </c>
      <c r="U35" s="8" t="str">
        <f t="shared" si="2"/>
        <v/>
      </c>
      <c r="V35" s="8" t="str">
        <f t="shared" si="3"/>
        <v/>
      </c>
      <c r="W35" s="10"/>
      <c r="X35" s="10"/>
      <c r="Y35" s="10"/>
      <c r="Z35" s="10"/>
      <c r="AA35" s="10"/>
      <c r="AB35" s="11"/>
      <c r="AC35" s="10"/>
      <c r="AD35" s="47"/>
      <c r="AE35" s="10"/>
      <c r="AF35" s="10"/>
      <c r="AG35" s="8" t="str">
        <f t="shared" si="4"/>
        <v/>
      </c>
      <c r="AH35" s="8" t="str">
        <f t="shared" si="5"/>
        <v/>
      </c>
      <c r="AI35" s="10"/>
      <c r="AJ35" s="10"/>
      <c r="AK35" s="10"/>
      <c r="AL35" s="11"/>
      <c r="AM35" s="11"/>
      <c r="AN35" s="11"/>
      <c r="AO35" s="10"/>
      <c r="AP35" s="8" t="str">
        <f>IF(B35="","",IF(OR(V35="重大",AH35="重大",AH35="高",AI35="上升",AJ35="是",AND(AB35&lt;&gt;"",AB35&lt;项目驾驶舱!$B$3,AC35&lt;&gt;"已关闭")),"是","否"))</f>
        <v/>
      </c>
      <c r="AQ35" s="8" t="str">
        <f>IF(B35="","",IF(W35="","缺风险责任人",IF(AND(OR(V35="重大",V35="高"),Y35=""),"高风险缺应对策略",IF(AND(AJ35="是",AK35=""),"已发生未关联问题",IF(AND(AC35="已关闭",AO35=""),"关闭缺证据",IF(AND(AM35&lt;&gt;"",AM35&lt;项目驾驶舱!$B$3),"评审逾期",""))))))</f>
        <v/>
      </c>
      <c r="AR35" s="8" t="str">
        <f>IF(AP35="是",COUNTIFS($AP$9:AP35,"是"),"")</f>
        <v/>
      </c>
    </row>
    <row r="36" spans="1:44">
      <c r="A36" s="8" t="str">
        <f t="shared" si="0"/>
        <v/>
      </c>
      <c r="B36" s="10"/>
      <c r="C36" s="10"/>
      <c r="D36" s="10"/>
      <c r="E36" s="10"/>
      <c r="F36" s="10"/>
      <c r="G36" s="10"/>
      <c r="H36" s="10"/>
      <c r="I36" s="10"/>
      <c r="J36" s="11"/>
      <c r="K36" s="10"/>
      <c r="L36" s="10"/>
      <c r="M36" s="10"/>
      <c r="N36" s="10"/>
      <c r="O36" s="10"/>
      <c r="P36" s="10"/>
      <c r="Q36" s="10"/>
      <c r="R36" s="10"/>
      <c r="S36" s="10"/>
      <c r="T36" s="8" t="str">
        <f t="shared" si="1"/>
        <v/>
      </c>
      <c r="U36" s="8" t="str">
        <f t="shared" si="2"/>
        <v/>
      </c>
      <c r="V36" s="8" t="str">
        <f t="shared" si="3"/>
        <v/>
      </c>
      <c r="W36" s="10"/>
      <c r="X36" s="10"/>
      <c r="Y36" s="10"/>
      <c r="Z36" s="10"/>
      <c r="AA36" s="10"/>
      <c r="AB36" s="11"/>
      <c r="AC36" s="10"/>
      <c r="AD36" s="47"/>
      <c r="AE36" s="10"/>
      <c r="AF36" s="10"/>
      <c r="AG36" s="8" t="str">
        <f t="shared" si="4"/>
        <v/>
      </c>
      <c r="AH36" s="8" t="str">
        <f t="shared" si="5"/>
        <v/>
      </c>
      <c r="AI36" s="10"/>
      <c r="AJ36" s="10"/>
      <c r="AK36" s="10"/>
      <c r="AL36" s="11"/>
      <c r="AM36" s="11"/>
      <c r="AN36" s="11"/>
      <c r="AO36" s="10"/>
      <c r="AP36" s="8" t="str">
        <f>IF(B36="","",IF(OR(V36="重大",AH36="重大",AH36="高",AI36="上升",AJ36="是",AND(AB36&lt;&gt;"",AB36&lt;项目驾驶舱!$B$3,AC36&lt;&gt;"已关闭")),"是","否"))</f>
        <v/>
      </c>
      <c r="AQ36" s="8" t="str">
        <f>IF(B36="","",IF(W36="","缺风险责任人",IF(AND(OR(V36="重大",V36="高"),Y36=""),"高风险缺应对策略",IF(AND(AJ36="是",AK36=""),"已发生未关联问题",IF(AND(AC36="已关闭",AO36=""),"关闭缺证据",IF(AND(AM36&lt;&gt;"",AM36&lt;项目驾驶舱!$B$3),"评审逾期",""))))))</f>
        <v/>
      </c>
      <c r="AR36" s="8" t="str">
        <f>IF(AP36="是",COUNTIFS($AP$9:AP36,"是"),"")</f>
        <v/>
      </c>
    </row>
    <row r="37" spans="1:44">
      <c r="A37" s="8" t="str">
        <f t="shared" si="0"/>
        <v/>
      </c>
      <c r="B37" s="10"/>
      <c r="C37" s="10"/>
      <c r="D37" s="10"/>
      <c r="E37" s="10"/>
      <c r="F37" s="10"/>
      <c r="G37" s="10"/>
      <c r="H37" s="10"/>
      <c r="I37" s="10"/>
      <c r="J37" s="11"/>
      <c r="K37" s="10"/>
      <c r="L37" s="10"/>
      <c r="M37" s="10"/>
      <c r="N37" s="10"/>
      <c r="O37" s="10"/>
      <c r="P37" s="10"/>
      <c r="Q37" s="10"/>
      <c r="R37" s="10"/>
      <c r="S37" s="10"/>
      <c r="T37" s="8" t="str">
        <f t="shared" si="1"/>
        <v/>
      </c>
      <c r="U37" s="8" t="str">
        <f t="shared" si="2"/>
        <v/>
      </c>
      <c r="V37" s="8" t="str">
        <f t="shared" si="3"/>
        <v/>
      </c>
      <c r="W37" s="10"/>
      <c r="X37" s="10"/>
      <c r="Y37" s="10"/>
      <c r="Z37" s="10"/>
      <c r="AA37" s="10"/>
      <c r="AB37" s="11"/>
      <c r="AC37" s="10"/>
      <c r="AD37" s="47"/>
      <c r="AE37" s="10"/>
      <c r="AF37" s="10"/>
      <c r="AG37" s="8" t="str">
        <f t="shared" si="4"/>
        <v/>
      </c>
      <c r="AH37" s="8" t="str">
        <f t="shared" si="5"/>
        <v/>
      </c>
      <c r="AI37" s="10"/>
      <c r="AJ37" s="10"/>
      <c r="AK37" s="10"/>
      <c r="AL37" s="11"/>
      <c r="AM37" s="11"/>
      <c r="AN37" s="11"/>
      <c r="AO37" s="10"/>
      <c r="AP37" s="8" t="str">
        <f>IF(B37="","",IF(OR(V37="重大",AH37="重大",AH37="高",AI37="上升",AJ37="是",AND(AB37&lt;&gt;"",AB37&lt;项目驾驶舱!$B$3,AC37&lt;&gt;"已关闭")),"是","否"))</f>
        <v/>
      </c>
      <c r="AQ37" s="8" t="str">
        <f>IF(B37="","",IF(W37="","缺风险责任人",IF(AND(OR(V37="重大",V37="高"),Y37=""),"高风险缺应对策略",IF(AND(AJ37="是",AK37=""),"已发生未关联问题",IF(AND(AC37="已关闭",AO37=""),"关闭缺证据",IF(AND(AM37&lt;&gt;"",AM37&lt;项目驾驶舱!$B$3),"评审逾期",""))))))</f>
        <v/>
      </c>
      <c r="AR37" s="8" t="str">
        <f>IF(AP37="是",COUNTIFS($AP$9:AP37,"是"),"")</f>
        <v/>
      </c>
    </row>
    <row r="38" spans="1:44">
      <c r="A38" s="8" t="str">
        <f t="shared" si="0"/>
        <v/>
      </c>
      <c r="B38" s="10"/>
      <c r="C38" s="10"/>
      <c r="D38" s="10"/>
      <c r="E38" s="10"/>
      <c r="F38" s="10"/>
      <c r="G38" s="10"/>
      <c r="H38" s="10"/>
      <c r="I38" s="10"/>
      <c r="J38" s="11"/>
      <c r="K38" s="10"/>
      <c r="L38" s="10"/>
      <c r="M38" s="10"/>
      <c r="N38" s="10"/>
      <c r="O38" s="10"/>
      <c r="P38" s="10"/>
      <c r="Q38" s="10"/>
      <c r="R38" s="10"/>
      <c r="S38" s="10"/>
      <c r="T38" s="8" t="str">
        <f t="shared" si="1"/>
        <v/>
      </c>
      <c r="U38" s="8" t="str">
        <f t="shared" si="2"/>
        <v/>
      </c>
      <c r="V38" s="8" t="str">
        <f t="shared" si="3"/>
        <v/>
      </c>
      <c r="W38" s="10"/>
      <c r="X38" s="10"/>
      <c r="Y38" s="10"/>
      <c r="Z38" s="10"/>
      <c r="AA38" s="10"/>
      <c r="AB38" s="11"/>
      <c r="AC38" s="10"/>
      <c r="AD38" s="47"/>
      <c r="AE38" s="10"/>
      <c r="AF38" s="10"/>
      <c r="AG38" s="8" t="str">
        <f t="shared" si="4"/>
        <v/>
      </c>
      <c r="AH38" s="8" t="str">
        <f t="shared" si="5"/>
        <v/>
      </c>
      <c r="AI38" s="10"/>
      <c r="AJ38" s="10"/>
      <c r="AK38" s="10"/>
      <c r="AL38" s="11"/>
      <c r="AM38" s="11"/>
      <c r="AN38" s="11"/>
      <c r="AO38" s="10"/>
      <c r="AP38" s="8" t="str">
        <f>IF(B38="","",IF(OR(V38="重大",AH38="重大",AH38="高",AI38="上升",AJ38="是",AND(AB38&lt;&gt;"",AB38&lt;项目驾驶舱!$B$3,AC38&lt;&gt;"已关闭")),"是","否"))</f>
        <v/>
      </c>
      <c r="AQ38" s="8" t="str">
        <f>IF(B38="","",IF(W38="","缺风险责任人",IF(AND(OR(V38="重大",V38="高"),Y38=""),"高风险缺应对策略",IF(AND(AJ38="是",AK38=""),"已发生未关联问题",IF(AND(AC38="已关闭",AO38=""),"关闭缺证据",IF(AND(AM38&lt;&gt;"",AM38&lt;项目驾驶舱!$B$3),"评审逾期",""))))))</f>
        <v/>
      </c>
      <c r="AR38" s="8" t="str">
        <f>IF(AP38="是",COUNTIFS($AP$9:AP38,"是"),"")</f>
        <v/>
      </c>
    </row>
    <row r="39" spans="1:44">
      <c r="A39" s="8" t="str">
        <f t="shared" si="0"/>
        <v/>
      </c>
      <c r="B39" s="10"/>
      <c r="C39" s="10"/>
      <c r="D39" s="10"/>
      <c r="E39" s="10"/>
      <c r="F39" s="10"/>
      <c r="G39" s="10"/>
      <c r="H39" s="10"/>
      <c r="I39" s="10"/>
      <c r="J39" s="11"/>
      <c r="K39" s="10"/>
      <c r="L39" s="10"/>
      <c r="M39" s="10"/>
      <c r="N39" s="10"/>
      <c r="O39" s="10"/>
      <c r="P39" s="10"/>
      <c r="Q39" s="10"/>
      <c r="R39" s="10"/>
      <c r="S39" s="10"/>
      <c r="T39" s="8" t="str">
        <f t="shared" si="1"/>
        <v/>
      </c>
      <c r="U39" s="8" t="str">
        <f t="shared" si="2"/>
        <v/>
      </c>
      <c r="V39" s="8" t="str">
        <f t="shared" si="3"/>
        <v/>
      </c>
      <c r="W39" s="10"/>
      <c r="X39" s="10"/>
      <c r="Y39" s="10"/>
      <c r="Z39" s="10"/>
      <c r="AA39" s="10"/>
      <c r="AB39" s="11"/>
      <c r="AC39" s="10"/>
      <c r="AD39" s="47"/>
      <c r="AE39" s="10"/>
      <c r="AF39" s="10"/>
      <c r="AG39" s="8" t="str">
        <f t="shared" si="4"/>
        <v/>
      </c>
      <c r="AH39" s="8" t="str">
        <f t="shared" si="5"/>
        <v/>
      </c>
      <c r="AI39" s="10"/>
      <c r="AJ39" s="10"/>
      <c r="AK39" s="10"/>
      <c r="AL39" s="11"/>
      <c r="AM39" s="11"/>
      <c r="AN39" s="11"/>
      <c r="AO39" s="10"/>
      <c r="AP39" s="8" t="str">
        <f>IF(B39="","",IF(OR(V39="重大",AH39="重大",AH39="高",AI39="上升",AJ39="是",AND(AB39&lt;&gt;"",AB39&lt;项目驾驶舱!$B$3,AC39&lt;&gt;"已关闭")),"是","否"))</f>
        <v/>
      </c>
      <c r="AQ39" s="8" t="str">
        <f>IF(B39="","",IF(W39="","缺风险责任人",IF(AND(OR(V39="重大",V39="高"),Y39=""),"高风险缺应对策略",IF(AND(AJ39="是",AK39=""),"已发生未关联问题",IF(AND(AC39="已关闭",AO39=""),"关闭缺证据",IF(AND(AM39&lt;&gt;"",AM39&lt;项目驾驶舱!$B$3),"评审逾期",""))))))</f>
        <v/>
      </c>
      <c r="AR39" s="8" t="str">
        <f>IF(AP39="是",COUNTIFS($AP$9:AP39,"是"),"")</f>
        <v/>
      </c>
    </row>
    <row r="40" spans="1:44">
      <c r="A40" s="8" t="str">
        <f t="shared" si="0"/>
        <v/>
      </c>
      <c r="B40" s="10"/>
      <c r="C40" s="10"/>
      <c r="D40" s="10"/>
      <c r="E40" s="10"/>
      <c r="F40" s="10"/>
      <c r="G40" s="10"/>
      <c r="H40" s="10"/>
      <c r="I40" s="10"/>
      <c r="J40" s="11"/>
      <c r="K40" s="10"/>
      <c r="L40" s="10"/>
      <c r="M40" s="10"/>
      <c r="N40" s="10"/>
      <c r="O40" s="10"/>
      <c r="P40" s="10"/>
      <c r="Q40" s="10"/>
      <c r="R40" s="10"/>
      <c r="S40" s="10"/>
      <c r="T40" s="8" t="str">
        <f t="shared" si="1"/>
        <v/>
      </c>
      <c r="U40" s="8" t="str">
        <f t="shared" si="2"/>
        <v/>
      </c>
      <c r="V40" s="8" t="str">
        <f t="shared" si="3"/>
        <v/>
      </c>
      <c r="W40" s="10"/>
      <c r="X40" s="10"/>
      <c r="Y40" s="10"/>
      <c r="Z40" s="10"/>
      <c r="AA40" s="10"/>
      <c r="AB40" s="11"/>
      <c r="AC40" s="10"/>
      <c r="AD40" s="47"/>
      <c r="AE40" s="10"/>
      <c r="AF40" s="10"/>
      <c r="AG40" s="8" t="str">
        <f t="shared" si="4"/>
        <v/>
      </c>
      <c r="AH40" s="8" t="str">
        <f t="shared" si="5"/>
        <v/>
      </c>
      <c r="AI40" s="10"/>
      <c r="AJ40" s="10"/>
      <c r="AK40" s="10"/>
      <c r="AL40" s="11"/>
      <c r="AM40" s="11"/>
      <c r="AN40" s="11"/>
      <c r="AO40" s="10"/>
      <c r="AP40" s="8" t="str">
        <f>IF(B40="","",IF(OR(V40="重大",AH40="重大",AH40="高",AI40="上升",AJ40="是",AND(AB40&lt;&gt;"",AB40&lt;项目驾驶舱!$B$3,AC40&lt;&gt;"已关闭")),"是","否"))</f>
        <v/>
      </c>
      <c r="AQ40" s="8" t="str">
        <f>IF(B40="","",IF(W40="","缺风险责任人",IF(AND(OR(V40="重大",V40="高"),Y40=""),"高风险缺应对策略",IF(AND(AJ40="是",AK40=""),"已发生未关联问题",IF(AND(AC40="已关闭",AO40=""),"关闭缺证据",IF(AND(AM40&lt;&gt;"",AM40&lt;项目驾驶舱!$B$3),"评审逾期",""))))))</f>
        <v/>
      </c>
      <c r="AR40" s="8" t="str">
        <f>IF(AP40="是",COUNTIFS($AP$9:AP40,"是"),"")</f>
        <v/>
      </c>
    </row>
    <row r="41" spans="1:44">
      <c r="A41" s="8" t="str">
        <f t="shared" si="0"/>
        <v/>
      </c>
      <c r="B41" s="10"/>
      <c r="C41" s="10"/>
      <c r="D41" s="10"/>
      <c r="E41" s="10"/>
      <c r="F41" s="10"/>
      <c r="G41" s="10"/>
      <c r="H41" s="10"/>
      <c r="I41" s="10"/>
      <c r="J41" s="11"/>
      <c r="K41" s="10"/>
      <c r="L41" s="10"/>
      <c r="M41" s="10"/>
      <c r="N41" s="10"/>
      <c r="O41" s="10"/>
      <c r="P41" s="10"/>
      <c r="Q41" s="10"/>
      <c r="R41" s="10"/>
      <c r="S41" s="10"/>
      <c r="T41" s="8" t="str">
        <f t="shared" si="1"/>
        <v/>
      </c>
      <c r="U41" s="8" t="str">
        <f t="shared" si="2"/>
        <v/>
      </c>
      <c r="V41" s="8" t="str">
        <f t="shared" si="3"/>
        <v/>
      </c>
      <c r="W41" s="10"/>
      <c r="X41" s="10"/>
      <c r="Y41" s="10"/>
      <c r="Z41" s="10"/>
      <c r="AA41" s="10"/>
      <c r="AB41" s="11"/>
      <c r="AC41" s="10"/>
      <c r="AD41" s="47"/>
      <c r="AE41" s="10"/>
      <c r="AF41" s="10"/>
      <c r="AG41" s="8" t="str">
        <f t="shared" si="4"/>
        <v/>
      </c>
      <c r="AH41" s="8" t="str">
        <f t="shared" si="5"/>
        <v/>
      </c>
      <c r="AI41" s="10"/>
      <c r="AJ41" s="10"/>
      <c r="AK41" s="10"/>
      <c r="AL41" s="11"/>
      <c r="AM41" s="11"/>
      <c r="AN41" s="11"/>
      <c r="AO41" s="10"/>
      <c r="AP41" s="8" t="str">
        <f>IF(B41="","",IF(OR(V41="重大",AH41="重大",AH41="高",AI41="上升",AJ41="是",AND(AB41&lt;&gt;"",AB41&lt;项目驾驶舱!$B$3,AC41&lt;&gt;"已关闭")),"是","否"))</f>
        <v/>
      </c>
      <c r="AQ41" s="8" t="str">
        <f>IF(B41="","",IF(W41="","缺风险责任人",IF(AND(OR(V41="重大",V41="高"),Y41=""),"高风险缺应对策略",IF(AND(AJ41="是",AK41=""),"已发生未关联问题",IF(AND(AC41="已关闭",AO41=""),"关闭缺证据",IF(AND(AM41&lt;&gt;"",AM41&lt;项目驾驶舱!$B$3),"评审逾期",""))))))</f>
        <v/>
      </c>
      <c r="AR41" s="8" t="str">
        <f>IF(AP41="是",COUNTIFS($AP$9:AP41,"是"),"")</f>
        <v/>
      </c>
    </row>
    <row r="42" spans="1:44">
      <c r="A42" s="8" t="str">
        <f t="shared" si="0"/>
        <v/>
      </c>
      <c r="B42" s="10"/>
      <c r="C42" s="10"/>
      <c r="D42" s="10"/>
      <c r="E42" s="10"/>
      <c r="F42" s="10"/>
      <c r="G42" s="10"/>
      <c r="H42" s="10"/>
      <c r="I42" s="10"/>
      <c r="J42" s="11"/>
      <c r="K42" s="10"/>
      <c r="L42" s="10"/>
      <c r="M42" s="10"/>
      <c r="N42" s="10"/>
      <c r="O42" s="10"/>
      <c r="P42" s="10"/>
      <c r="Q42" s="10"/>
      <c r="R42" s="10"/>
      <c r="S42" s="10"/>
      <c r="T42" s="8" t="str">
        <f t="shared" si="1"/>
        <v/>
      </c>
      <c r="U42" s="8" t="str">
        <f t="shared" si="2"/>
        <v/>
      </c>
      <c r="V42" s="8" t="str">
        <f t="shared" si="3"/>
        <v/>
      </c>
      <c r="W42" s="10"/>
      <c r="X42" s="10"/>
      <c r="Y42" s="10"/>
      <c r="Z42" s="10"/>
      <c r="AA42" s="10"/>
      <c r="AB42" s="11"/>
      <c r="AC42" s="10"/>
      <c r="AD42" s="47"/>
      <c r="AE42" s="10"/>
      <c r="AF42" s="10"/>
      <c r="AG42" s="8" t="str">
        <f t="shared" si="4"/>
        <v/>
      </c>
      <c r="AH42" s="8" t="str">
        <f t="shared" si="5"/>
        <v/>
      </c>
      <c r="AI42" s="10"/>
      <c r="AJ42" s="10"/>
      <c r="AK42" s="10"/>
      <c r="AL42" s="11"/>
      <c r="AM42" s="11"/>
      <c r="AN42" s="11"/>
      <c r="AO42" s="10"/>
      <c r="AP42" s="8" t="str">
        <f>IF(B42="","",IF(OR(V42="重大",AH42="重大",AH42="高",AI42="上升",AJ42="是",AND(AB42&lt;&gt;"",AB42&lt;项目驾驶舱!$B$3,AC42&lt;&gt;"已关闭")),"是","否"))</f>
        <v/>
      </c>
      <c r="AQ42" s="8" t="str">
        <f>IF(B42="","",IF(W42="","缺风险责任人",IF(AND(OR(V42="重大",V42="高"),Y42=""),"高风险缺应对策略",IF(AND(AJ42="是",AK42=""),"已发生未关联问题",IF(AND(AC42="已关闭",AO42=""),"关闭缺证据",IF(AND(AM42&lt;&gt;"",AM42&lt;项目驾驶舱!$B$3),"评审逾期",""))))))</f>
        <v/>
      </c>
      <c r="AR42" s="8" t="str">
        <f>IF(AP42="是",COUNTIFS($AP$9:AP42,"是"),"")</f>
        <v/>
      </c>
    </row>
    <row r="43" spans="1:44">
      <c r="A43" s="8" t="str">
        <f t="shared" si="0"/>
        <v/>
      </c>
      <c r="B43" s="10"/>
      <c r="C43" s="10"/>
      <c r="D43" s="10"/>
      <c r="E43" s="10"/>
      <c r="F43" s="10"/>
      <c r="G43" s="10"/>
      <c r="H43" s="10"/>
      <c r="I43" s="10"/>
      <c r="J43" s="11"/>
      <c r="K43" s="10"/>
      <c r="L43" s="10"/>
      <c r="M43" s="10"/>
      <c r="N43" s="10"/>
      <c r="O43" s="10"/>
      <c r="P43" s="10"/>
      <c r="Q43" s="10"/>
      <c r="R43" s="10"/>
      <c r="S43" s="10"/>
      <c r="T43" s="8" t="str">
        <f t="shared" si="1"/>
        <v/>
      </c>
      <c r="U43" s="8" t="str">
        <f t="shared" si="2"/>
        <v/>
      </c>
      <c r="V43" s="8" t="str">
        <f t="shared" si="3"/>
        <v/>
      </c>
      <c r="W43" s="10"/>
      <c r="X43" s="10"/>
      <c r="Y43" s="10"/>
      <c r="Z43" s="10"/>
      <c r="AA43" s="10"/>
      <c r="AB43" s="11"/>
      <c r="AC43" s="10"/>
      <c r="AD43" s="47"/>
      <c r="AE43" s="10"/>
      <c r="AF43" s="10"/>
      <c r="AG43" s="8" t="str">
        <f t="shared" si="4"/>
        <v/>
      </c>
      <c r="AH43" s="8" t="str">
        <f t="shared" si="5"/>
        <v/>
      </c>
      <c r="AI43" s="10"/>
      <c r="AJ43" s="10"/>
      <c r="AK43" s="10"/>
      <c r="AL43" s="11"/>
      <c r="AM43" s="11"/>
      <c r="AN43" s="11"/>
      <c r="AO43" s="10"/>
      <c r="AP43" s="8" t="str">
        <f>IF(B43="","",IF(OR(V43="重大",AH43="重大",AH43="高",AI43="上升",AJ43="是",AND(AB43&lt;&gt;"",AB43&lt;项目驾驶舱!$B$3,AC43&lt;&gt;"已关闭")),"是","否"))</f>
        <v/>
      </c>
      <c r="AQ43" s="8" t="str">
        <f>IF(B43="","",IF(W43="","缺风险责任人",IF(AND(OR(V43="重大",V43="高"),Y43=""),"高风险缺应对策略",IF(AND(AJ43="是",AK43=""),"已发生未关联问题",IF(AND(AC43="已关闭",AO43=""),"关闭缺证据",IF(AND(AM43&lt;&gt;"",AM43&lt;项目驾驶舱!$B$3),"评审逾期",""))))))</f>
        <v/>
      </c>
      <c r="AR43" s="8" t="str">
        <f>IF(AP43="是",COUNTIFS($AP$9:AP43,"是"),"")</f>
        <v/>
      </c>
    </row>
    <row r="44" spans="1:44">
      <c r="A44" s="8" t="str">
        <f t="shared" si="0"/>
        <v/>
      </c>
      <c r="B44" s="10"/>
      <c r="C44" s="10"/>
      <c r="D44" s="10"/>
      <c r="E44" s="10"/>
      <c r="F44" s="10"/>
      <c r="G44" s="10"/>
      <c r="H44" s="10"/>
      <c r="I44" s="10"/>
      <c r="J44" s="11"/>
      <c r="K44" s="10"/>
      <c r="L44" s="10"/>
      <c r="M44" s="10"/>
      <c r="N44" s="10"/>
      <c r="O44" s="10"/>
      <c r="P44" s="10"/>
      <c r="Q44" s="10"/>
      <c r="R44" s="10"/>
      <c r="S44" s="10"/>
      <c r="T44" s="8" t="str">
        <f t="shared" si="1"/>
        <v/>
      </c>
      <c r="U44" s="8" t="str">
        <f t="shared" si="2"/>
        <v/>
      </c>
      <c r="V44" s="8" t="str">
        <f t="shared" si="3"/>
        <v/>
      </c>
      <c r="W44" s="10"/>
      <c r="X44" s="10"/>
      <c r="Y44" s="10"/>
      <c r="Z44" s="10"/>
      <c r="AA44" s="10"/>
      <c r="AB44" s="11"/>
      <c r="AC44" s="10"/>
      <c r="AD44" s="47"/>
      <c r="AE44" s="10"/>
      <c r="AF44" s="10"/>
      <c r="AG44" s="8" t="str">
        <f t="shared" si="4"/>
        <v/>
      </c>
      <c r="AH44" s="8" t="str">
        <f t="shared" si="5"/>
        <v/>
      </c>
      <c r="AI44" s="10"/>
      <c r="AJ44" s="10"/>
      <c r="AK44" s="10"/>
      <c r="AL44" s="11"/>
      <c r="AM44" s="11"/>
      <c r="AN44" s="11"/>
      <c r="AO44" s="10"/>
      <c r="AP44" s="8" t="str">
        <f>IF(B44="","",IF(OR(V44="重大",AH44="重大",AH44="高",AI44="上升",AJ44="是",AND(AB44&lt;&gt;"",AB44&lt;项目驾驶舱!$B$3,AC44&lt;&gt;"已关闭")),"是","否"))</f>
        <v/>
      </c>
      <c r="AQ44" s="8" t="str">
        <f>IF(B44="","",IF(W44="","缺风险责任人",IF(AND(OR(V44="重大",V44="高"),Y44=""),"高风险缺应对策略",IF(AND(AJ44="是",AK44=""),"已发生未关联问题",IF(AND(AC44="已关闭",AO44=""),"关闭缺证据",IF(AND(AM44&lt;&gt;"",AM44&lt;项目驾驶舱!$B$3),"评审逾期",""))))))</f>
        <v/>
      </c>
      <c r="AR44" s="8" t="str">
        <f>IF(AP44="是",COUNTIFS($AP$9:AP44,"是"),"")</f>
        <v/>
      </c>
    </row>
    <row r="45" spans="1:44">
      <c r="A45" s="8" t="str">
        <f t="shared" si="0"/>
        <v/>
      </c>
      <c r="B45" s="10"/>
      <c r="C45" s="10"/>
      <c r="D45" s="10"/>
      <c r="E45" s="10"/>
      <c r="F45" s="10"/>
      <c r="G45" s="10"/>
      <c r="H45" s="10"/>
      <c r="I45" s="10"/>
      <c r="J45" s="11"/>
      <c r="K45" s="10"/>
      <c r="L45" s="10"/>
      <c r="M45" s="10"/>
      <c r="N45" s="10"/>
      <c r="O45" s="10"/>
      <c r="P45" s="10"/>
      <c r="Q45" s="10"/>
      <c r="R45" s="10"/>
      <c r="S45" s="10"/>
      <c r="T45" s="8" t="str">
        <f t="shared" si="1"/>
        <v/>
      </c>
      <c r="U45" s="8" t="str">
        <f t="shared" si="2"/>
        <v/>
      </c>
      <c r="V45" s="8" t="str">
        <f t="shared" si="3"/>
        <v/>
      </c>
      <c r="W45" s="10"/>
      <c r="X45" s="10"/>
      <c r="Y45" s="10"/>
      <c r="Z45" s="10"/>
      <c r="AA45" s="10"/>
      <c r="AB45" s="11"/>
      <c r="AC45" s="10"/>
      <c r="AD45" s="47"/>
      <c r="AE45" s="10"/>
      <c r="AF45" s="10"/>
      <c r="AG45" s="8" t="str">
        <f t="shared" si="4"/>
        <v/>
      </c>
      <c r="AH45" s="8" t="str">
        <f t="shared" si="5"/>
        <v/>
      </c>
      <c r="AI45" s="10"/>
      <c r="AJ45" s="10"/>
      <c r="AK45" s="10"/>
      <c r="AL45" s="11"/>
      <c r="AM45" s="11"/>
      <c r="AN45" s="11"/>
      <c r="AO45" s="10"/>
      <c r="AP45" s="8" t="str">
        <f>IF(B45="","",IF(OR(V45="重大",AH45="重大",AH45="高",AI45="上升",AJ45="是",AND(AB45&lt;&gt;"",AB45&lt;项目驾驶舱!$B$3,AC45&lt;&gt;"已关闭")),"是","否"))</f>
        <v/>
      </c>
      <c r="AQ45" s="8" t="str">
        <f>IF(B45="","",IF(W45="","缺风险责任人",IF(AND(OR(V45="重大",V45="高"),Y45=""),"高风险缺应对策略",IF(AND(AJ45="是",AK45=""),"已发生未关联问题",IF(AND(AC45="已关闭",AO45=""),"关闭缺证据",IF(AND(AM45&lt;&gt;"",AM45&lt;项目驾驶舱!$B$3),"评审逾期",""))))))</f>
        <v/>
      </c>
      <c r="AR45" s="8" t="str">
        <f>IF(AP45="是",COUNTIFS($AP$9:AP45,"是"),"")</f>
        <v/>
      </c>
    </row>
    <row r="46" spans="1:44">
      <c r="A46" s="8" t="str">
        <f t="shared" si="0"/>
        <v/>
      </c>
      <c r="B46" s="10"/>
      <c r="C46" s="10"/>
      <c r="D46" s="10"/>
      <c r="E46" s="10"/>
      <c r="F46" s="10"/>
      <c r="G46" s="10"/>
      <c r="H46" s="10"/>
      <c r="I46" s="10"/>
      <c r="J46" s="11"/>
      <c r="K46" s="10"/>
      <c r="L46" s="10"/>
      <c r="M46" s="10"/>
      <c r="N46" s="10"/>
      <c r="O46" s="10"/>
      <c r="P46" s="10"/>
      <c r="Q46" s="10"/>
      <c r="R46" s="10"/>
      <c r="S46" s="10"/>
      <c r="T46" s="8" t="str">
        <f t="shared" si="1"/>
        <v/>
      </c>
      <c r="U46" s="8" t="str">
        <f t="shared" si="2"/>
        <v/>
      </c>
      <c r="V46" s="8" t="str">
        <f t="shared" si="3"/>
        <v/>
      </c>
      <c r="W46" s="10"/>
      <c r="X46" s="10"/>
      <c r="Y46" s="10"/>
      <c r="Z46" s="10"/>
      <c r="AA46" s="10"/>
      <c r="AB46" s="11"/>
      <c r="AC46" s="10"/>
      <c r="AD46" s="47"/>
      <c r="AE46" s="10"/>
      <c r="AF46" s="10"/>
      <c r="AG46" s="8" t="str">
        <f t="shared" si="4"/>
        <v/>
      </c>
      <c r="AH46" s="8" t="str">
        <f t="shared" si="5"/>
        <v/>
      </c>
      <c r="AI46" s="10"/>
      <c r="AJ46" s="10"/>
      <c r="AK46" s="10"/>
      <c r="AL46" s="11"/>
      <c r="AM46" s="11"/>
      <c r="AN46" s="11"/>
      <c r="AO46" s="10"/>
      <c r="AP46" s="8" t="str">
        <f>IF(B46="","",IF(OR(V46="重大",AH46="重大",AH46="高",AI46="上升",AJ46="是",AND(AB46&lt;&gt;"",AB46&lt;项目驾驶舱!$B$3,AC46&lt;&gt;"已关闭")),"是","否"))</f>
        <v/>
      </c>
      <c r="AQ46" s="8" t="str">
        <f>IF(B46="","",IF(W46="","缺风险责任人",IF(AND(OR(V46="重大",V46="高"),Y46=""),"高风险缺应对策略",IF(AND(AJ46="是",AK46=""),"已发生未关联问题",IF(AND(AC46="已关闭",AO46=""),"关闭缺证据",IF(AND(AM46&lt;&gt;"",AM46&lt;项目驾驶舱!$B$3),"评审逾期",""))))))</f>
        <v/>
      </c>
      <c r="AR46" s="8" t="str">
        <f>IF(AP46="是",COUNTIFS($AP$9:AP46,"是"),"")</f>
        <v/>
      </c>
    </row>
    <row r="47" spans="1:44">
      <c r="A47" s="8" t="str">
        <f t="shared" si="0"/>
        <v/>
      </c>
      <c r="B47" s="10"/>
      <c r="C47" s="10"/>
      <c r="D47" s="10"/>
      <c r="E47" s="10"/>
      <c r="F47" s="10"/>
      <c r="G47" s="10"/>
      <c r="H47" s="10"/>
      <c r="I47" s="10"/>
      <c r="J47" s="11"/>
      <c r="K47" s="10"/>
      <c r="L47" s="10"/>
      <c r="M47" s="10"/>
      <c r="N47" s="10"/>
      <c r="O47" s="10"/>
      <c r="P47" s="10"/>
      <c r="Q47" s="10"/>
      <c r="R47" s="10"/>
      <c r="S47" s="10"/>
      <c r="T47" s="8" t="str">
        <f t="shared" si="1"/>
        <v/>
      </c>
      <c r="U47" s="8" t="str">
        <f t="shared" si="2"/>
        <v/>
      </c>
      <c r="V47" s="8" t="str">
        <f t="shared" si="3"/>
        <v/>
      </c>
      <c r="W47" s="10"/>
      <c r="X47" s="10"/>
      <c r="Y47" s="10"/>
      <c r="Z47" s="10"/>
      <c r="AA47" s="10"/>
      <c r="AB47" s="11"/>
      <c r="AC47" s="10"/>
      <c r="AD47" s="47"/>
      <c r="AE47" s="10"/>
      <c r="AF47" s="10"/>
      <c r="AG47" s="8" t="str">
        <f t="shared" si="4"/>
        <v/>
      </c>
      <c r="AH47" s="8" t="str">
        <f t="shared" si="5"/>
        <v/>
      </c>
      <c r="AI47" s="10"/>
      <c r="AJ47" s="10"/>
      <c r="AK47" s="10"/>
      <c r="AL47" s="11"/>
      <c r="AM47" s="11"/>
      <c r="AN47" s="11"/>
      <c r="AO47" s="10"/>
      <c r="AP47" s="8" t="str">
        <f>IF(B47="","",IF(OR(V47="重大",AH47="重大",AH47="高",AI47="上升",AJ47="是",AND(AB47&lt;&gt;"",AB47&lt;项目驾驶舱!$B$3,AC47&lt;&gt;"已关闭")),"是","否"))</f>
        <v/>
      </c>
      <c r="AQ47" s="8" t="str">
        <f>IF(B47="","",IF(W47="","缺风险责任人",IF(AND(OR(V47="重大",V47="高"),Y47=""),"高风险缺应对策略",IF(AND(AJ47="是",AK47=""),"已发生未关联问题",IF(AND(AC47="已关闭",AO47=""),"关闭缺证据",IF(AND(AM47&lt;&gt;"",AM47&lt;项目驾驶舱!$B$3),"评审逾期",""))))))</f>
        <v/>
      </c>
      <c r="AR47" s="8" t="str">
        <f>IF(AP47="是",COUNTIFS($AP$9:AP47,"是"),"")</f>
        <v/>
      </c>
    </row>
    <row r="48" spans="1:44">
      <c r="A48" s="8" t="str">
        <f t="shared" si="0"/>
        <v/>
      </c>
      <c r="B48" s="10"/>
      <c r="C48" s="10"/>
      <c r="D48" s="10"/>
      <c r="E48" s="10"/>
      <c r="F48" s="10"/>
      <c r="G48" s="10"/>
      <c r="H48" s="10"/>
      <c r="I48" s="10"/>
      <c r="J48" s="11"/>
      <c r="K48" s="10"/>
      <c r="L48" s="10"/>
      <c r="M48" s="10"/>
      <c r="N48" s="10"/>
      <c r="O48" s="10"/>
      <c r="P48" s="10"/>
      <c r="Q48" s="10"/>
      <c r="R48" s="10"/>
      <c r="S48" s="10"/>
      <c r="T48" s="8" t="str">
        <f t="shared" si="1"/>
        <v/>
      </c>
      <c r="U48" s="8" t="str">
        <f t="shared" si="2"/>
        <v/>
      </c>
      <c r="V48" s="8" t="str">
        <f t="shared" si="3"/>
        <v/>
      </c>
      <c r="W48" s="10"/>
      <c r="X48" s="10"/>
      <c r="Y48" s="10"/>
      <c r="Z48" s="10"/>
      <c r="AA48" s="10"/>
      <c r="AB48" s="11"/>
      <c r="AC48" s="10"/>
      <c r="AD48" s="47"/>
      <c r="AE48" s="10"/>
      <c r="AF48" s="10"/>
      <c r="AG48" s="8" t="str">
        <f t="shared" si="4"/>
        <v/>
      </c>
      <c r="AH48" s="8" t="str">
        <f t="shared" si="5"/>
        <v/>
      </c>
      <c r="AI48" s="10"/>
      <c r="AJ48" s="10"/>
      <c r="AK48" s="10"/>
      <c r="AL48" s="11"/>
      <c r="AM48" s="11"/>
      <c r="AN48" s="11"/>
      <c r="AO48" s="10"/>
      <c r="AP48" s="8" t="str">
        <f>IF(B48="","",IF(OR(V48="重大",AH48="重大",AH48="高",AI48="上升",AJ48="是",AND(AB48&lt;&gt;"",AB48&lt;项目驾驶舱!$B$3,AC48&lt;&gt;"已关闭")),"是","否"))</f>
        <v/>
      </c>
      <c r="AQ48" s="8" t="str">
        <f>IF(B48="","",IF(W48="","缺风险责任人",IF(AND(OR(V48="重大",V48="高"),Y48=""),"高风险缺应对策略",IF(AND(AJ48="是",AK48=""),"已发生未关联问题",IF(AND(AC48="已关闭",AO48=""),"关闭缺证据",IF(AND(AM48&lt;&gt;"",AM48&lt;项目驾驶舱!$B$3),"评审逾期",""))))))</f>
        <v/>
      </c>
      <c r="AR48" s="8" t="str">
        <f>IF(AP48="是",COUNTIFS($AP$9:AP48,"是"),"")</f>
        <v/>
      </c>
    </row>
    <row r="49" spans="1:44">
      <c r="A49" s="8" t="str">
        <f t="shared" si="0"/>
        <v/>
      </c>
      <c r="B49" s="10"/>
      <c r="C49" s="10"/>
      <c r="D49" s="10"/>
      <c r="E49" s="10"/>
      <c r="F49" s="10"/>
      <c r="G49" s="10"/>
      <c r="H49" s="10"/>
      <c r="I49" s="10"/>
      <c r="J49" s="11"/>
      <c r="K49" s="10"/>
      <c r="L49" s="10"/>
      <c r="M49" s="10"/>
      <c r="N49" s="10"/>
      <c r="O49" s="10"/>
      <c r="P49" s="10"/>
      <c r="Q49" s="10"/>
      <c r="R49" s="10"/>
      <c r="S49" s="10"/>
      <c r="T49" s="8" t="str">
        <f t="shared" si="1"/>
        <v/>
      </c>
      <c r="U49" s="8" t="str">
        <f t="shared" si="2"/>
        <v/>
      </c>
      <c r="V49" s="8" t="str">
        <f t="shared" si="3"/>
        <v/>
      </c>
      <c r="W49" s="10"/>
      <c r="X49" s="10"/>
      <c r="Y49" s="10"/>
      <c r="Z49" s="10"/>
      <c r="AA49" s="10"/>
      <c r="AB49" s="11"/>
      <c r="AC49" s="10"/>
      <c r="AD49" s="47"/>
      <c r="AE49" s="10"/>
      <c r="AF49" s="10"/>
      <c r="AG49" s="8" t="str">
        <f t="shared" si="4"/>
        <v/>
      </c>
      <c r="AH49" s="8" t="str">
        <f t="shared" si="5"/>
        <v/>
      </c>
      <c r="AI49" s="10"/>
      <c r="AJ49" s="10"/>
      <c r="AK49" s="10"/>
      <c r="AL49" s="11"/>
      <c r="AM49" s="11"/>
      <c r="AN49" s="11"/>
      <c r="AO49" s="10"/>
      <c r="AP49" s="8" t="str">
        <f>IF(B49="","",IF(OR(V49="重大",AH49="重大",AH49="高",AI49="上升",AJ49="是",AND(AB49&lt;&gt;"",AB49&lt;项目驾驶舱!$B$3,AC49&lt;&gt;"已关闭")),"是","否"))</f>
        <v/>
      </c>
      <c r="AQ49" s="8" t="str">
        <f>IF(B49="","",IF(W49="","缺风险责任人",IF(AND(OR(V49="重大",V49="高"),Y49=""),"高风险缺应对策略",IF(AND(AJ49="是",AK49=""),"已发生未关联问题",IF(AND(AC49="已关闭",AO49=""),"关闭缺证据",IF(AND(AM49&lt;&gt;"",AM49&lt;项目驾驶舱!$B$3),"评审逾期",""))))))</f>
        <v/>
      </c>
      <c r="AR49" s="8" t="str">
        <f>IF(AP49="是",COUNTIFS($AP$9:AP49,"是"),"")</f>
        <v/>
      </c>
    </row>
    <row r="50" spans="1:44">
      <c r="A50" s="8" t="str">
        <f t="shared" si="0"/>
        <v/>
      </c>
      <c r="B50" s="10"/>
      <c r="C50" s="10"/>
      <c r="D50" s="10"/>
      <c r="E50" s="10"/>
      <c r="F50" s="10"/>
      <c r="G50" s="10"/>
      <c r="H50" s="10"/>
      <c r="I50" s="10"/>
      <c r="J50" s="11"/>
      <c r="K50" s="10"/>
      <c r="L50" s="10"/>
      <c r="M50" s="10"/>
      <c r="N50" s="10"/>
      <c r="O50" s="10"/>
      <c r="P50" s="10"/>
      <c r="Q50" s="10"/>
      <c r="R50" s="10"/>
      <c r="S50" s="10"/>
      <c r="T50" s="8" t="str">
        <f t="shared" si="1"/>
        <v/>
      </c>
      <c r="U50" s="8" t="str">
        <f t="shared" si="2"/>
        <v/>
      </c>
      <c r="V50" s="8" t="str">
        <f t="shared" si="3"/>
        <v/>
      </c>
      <c r="W50" s="10"/>
      <c r="X50" s="10"/>
      <c r="Y50" s="10"/>
      <c r="Z50" s="10"/>
      <c r="AA50" s="10"/>
      <c r="AB50" s="11"/>
      <c r="AC50" s="10"/>
      <c r="AD50" s="47"/>
      <c r="AE50" s="10"/>
      <c r="AF50" s="10"/>
      <c r="AG50" s="8" t="str">
        <f t="shared" si="4"/>
        <v/>
      </c>
      <c r="AH50" s="8" t="str">
        <f t="shared" si="5"/>
        <v/>
      </c>
      <c r="AI50" s="10"/>
      <c r="AJ50" s="10"/>
      <c r="AK50" s="10"/>
      <c r="AL50" s="11"/>
      <c r="AM50" s="11"/>
      <c r="AN50" s="11"/>
      <c r="AO50" s="10"/>
      <c r="AP50" s="8" t="str">
        <f>IF(B50="","",IF(OR(V50="重大",AH50="重大",AH50="高",AI50="上升",AJ50="是",AND(AB50&lt;&gt;"",AB50&lt;项目驾驶舱!$B$3,AC50&lt;&gt;"已关闭")),"是","否"))</f>
        <v/>
      </c>
      <c r="AQ50" s="8" t="str">
        <f>IF(B50="","",IF(W50="","缺风险责任人",IF(AND(OR(V50="重大",V50="高"),Y50=""),"高风险缺应对策略",IF(AND(AJ50="是",AK50=""),"已发生未关联问题",IF(AND(AC50="已关闭",AO50=""),"关闭缺证据",IF(AND(AM50&lt;&gt;"",AM50&lt;项目驾驶舱!$B$3),"评审逾期",""))))))</f>
        <v/>
      </c>
      <c r="AR50" s="8" t="str">
        <f>IF(AP50="是",COUNTIFS($AP$9:AP50,"是"),"")</f>
        <v/>
      </c>
    </row>
    <row r="51" spans="1:44">
      <c r="A51" s="8" t="str">
        <f t="shared" si="0"/>
        <v/>
      </c>
      <c r="B51" s="10"/>
      <c r="C51" s="10"/>
      <c r="D51" s="10"/>
      <c r="E51" s="10"/>
      <c r="F51" s="10"/>
      <c r="G51" s="10"/>
      <c r="H51" s="10"/>
      <c r="I51" s="10"/>
      <c r="J51" s="11"/>
      <c r="K51" s="10"/>
      <c r="L51" s="10"/>
      <c r="M51" s="10"/>
      <c r="N51" s="10"/>
      <c r="O51" s="10"/>
      <c r="P51" s="10"/>
      <c r="Q51" s="10"/>
      <c r="R51" s="10"/>
      <c r="S51" s="10"/>
      <c r="T51" s="8" t="str">
        <f t="shared" si="1"/>
        <v/>
      </c>
      <c r="U51" s="8" t="str">
        <f t="shared" si="2"/>
        <v/>
      </c>
      <c r="V51" s="8" t="str">
        <f t="shared" si="3"/>
        <v/>
      </c>
      <c r="W51" s="10"/>
      <c r="X51" s="10"/>
      <c r="Y51" s="10"/>
      <c r="Z51" s="10"/>
      <c r="AA51" s="10"/>
      <c r="AB51" s="11"/>
      <c r="AC51" s="10"/>
      <c r="AD51" s="47"/>
      <c r="AE51" s="10"/>
      <c r="AF51" s="10"/>
      <c r="AG51" s="8" t="str">
        <f t="shared" si="4"/>
        <v/>
      </c>
      <c r="AH51" s="8" t="str">
        <f t="shared" si="5"/>
        <v/>
      </c>
      <c r="AI51" s="10"/>
      <c r="AJ51" s="10"/>
      <c r="AK51" s="10"/>
      <c r="AL51" s="11"/>
      <c r="AM51" s="11"/>
      <c r="AN51" s="11"/>
      <c r="AO51" s="10"/>
      <c r="AP51" s="8" t="str">
        <f>IF(B51="","",IF(OR(V51="重大",AH51="重大",AH51="高",AI51="上升",AJ51="是",AND(AB51&lt;&gt;"",AB51&lt;项目驾驶舱!$B$3,AC51&lt;&gt;"已关闭")),"是","否"))</f>
        <v/>
      </c>
      <c r="AQ51" s="8" t="str">
        <f>IF(B51="","",IF(W51="","缺风险责任人",IF(AND(OR(V51="重大",V51="高"),Y51=""),"高风险缺应对策略",IF(AND(AJ51="是",AK51=""),"已发生未关联问题",IF(AND(AC51="已关闭",AO51=""),"关闭缺证据",IF(AND(AM51&lt;&gt;"",AM51&lt;项目驾驶舱!$B$3),"评审逾期",""))))))</f>
        <v/>
      </c>
      <c r="AR51" s="8" t="str">
        <f>IF(AP51="是",COUNTIFS($AP$9:AP51,"是"),"")</f>
        <v/>
      </c>
    </row>
    <row r="52" spans="1:44">
      <c r="A52" s="8" t="str">
        <f t="shared" si="0"/>
        <v/>
      </c>
      <c r="B52" s="10"/>
      <c r="C52" s="10"/>
      <c r="D52" s="10"/>
      <c r="E52" s="10"/>
      <c r="F52" s="10"/>
      <c r="G52" s="10"/>
      <c r="H52" s="10"/>
      <c r="I52" s="10"/>
      <c r="J52" s="11"/>
      <c r="K52" s="10"/>
      <c r="L52" s="10"/>
      <c r="M52" s="10"/>
      <c r="N52" s="10"/>
      <c r="O52" s="10"/>
      <c r="P52" s="10"/>
      <c r="Q52" s="10"/>
      <c r="R52" s="10"/>
      <c r="S52" s="10"/>
      <c r="T52" s="8" t="str">
        <f t="shared" si="1"/>
        <v/>
      </c>
      <c r="U52" s="8" t="str">
        <f t="shared" si="2"/>
        <v/>
      </c>
      <c r="V52" s="8" t="str">
        <f t="shared" si="3"/>
        <v/>
      </c>
      <c r="W52" s="10"/>
      <c r="X52" s="10"/>
      <c r="Y52" s="10"/>
      <c r="Z52" s="10"/>
      <c r="AA52" s="10"/>
      <c r="AB52" s="11"/>
      <c r="AC52" s="10"/>
      <c r="AD52" s="47"/>
      <c r="AE52" s="10"/>
      <c r="AF52" s="10"/>
      <c r="AG52" s="8" t="str">
        <f t="shared" si="4"/>
        <v/>
      </c>
      <c r="AH52" s="8" t="str">
        <f t="shared" si="5"/>
        <v/>
      </c>
      <c r="AI52" s="10"/>
      <c r="AJ52" s="10"/>
      <c r="AK52" s="10"/>
      <c r="AL52" s="11"/>
      <c r="AM52" s="11"/>
      <c r="AN52" s="11"/>
      <c r="AO52" s="10"/>
      <c r="AP52" s="8" t="str">
        <f>IF(B52="","",IF(OR(V52="重大",AH52="重大",AH52="高",AI52="上升",AJ52="是",AND(AB52&lt;&gt;"",AB52&lt;项目驾驶舱!$B$3,AC52&lt;&gt;"已关闭")),"是","否"))</f>
        <v/>
      </c>
      <c r="AQ52" s="8" t="str">
        <f>IF(B52="","",IF(W52="","缺风险责任人",IF(AND(OR(V52="重大",V52="高"),Y52=""),"高风险缺应对策略",IF(AND(AJ52="是",AK52=""),"已发生未关联问题",IF(AND(AC52="已关闭",AO52=""),"关闭缺证据",IF(AND(AM52&lt;&gt;"",AM52&lt;项目驾驶舱!$B$3),"评审逾期",""))))))</f>
        <v/>
      </c>
      <c r="AR52" s="8" t="str">
        <f>IF(AP52="是",COUNTIFS($AP$9:AP52,"是"),"")</f>
        <v/>
      </c>
    </row>
    <row r="53" spans="1:44">
      <c r="A53" s="8" t="str">
        <f t="shared" si="0"/>
        <v/>
      </c>
      <c r="B53" s="10"/>
      <c r="C53" s="10"/>
      <c r="D53" s="10"/>
      <c r="E53" s="10"/>
      <c r="F53" s="10"/>
      <c r="G53" s="10"/>
      <c r="H53" s="10"/>
      <c r="I53" s="10"/>
      <c r="J53" s="11"/>
      <c r="K53" s="10"/>
      <c r="L53" s="10"/>
      <c r="M53" s="10"/>
      <c r="N53" s="10"/>
      <c r="O53" s="10"/>
      <c r="P53" s="10"/>
      <c r="Q53" s="10"/>
      <c r="R53" s="10"/>
      <c r="S53" s="10"/>
      <c r="T53" s="8" t="str">
        <f t="shared" si="1"/>
        <v/>
      </c>
      <c r="U53" s="8" t="str">
        <f t="shared" si="2"/>
        <v/>
      </c>
      <c r="V53" s="8" t="str">
        <f t="shared" si="3"/>
        <v/>
      </c>
      <c r="W53" s="10"/>
      <c r="X53" s="10"/>
      <c r="Y53" s="10"/>
      <c r="Z53" s="10"/>
      <c r="AA53" s="10"/>
      <c r="AB53" s="11"/>
      <c r="AC53" s="10"/>
      <c r="AD53" s="47"/>
      <c r="AE53" s="10"/>
      <c r="AF53" s="10"/>
      <c r="AG53" s="8" t="str">
        <f t="shared" si="4"/>
        <v/>
      </c>
      <c r="AH53" s="8" t="str">
        <f t="shared" si="5"/>
        <v/>
      </c>
      <c r="AI53" s="10"/>
      <c r="AJ53" s="10"/>
      <c r="AK53" s="10"/>
      <c r="AL53" s="11"/>
      <c r="AM53" s="11"/>
      <c r="AN53" s="11"/>
      <c r="AO53" s="10"/>
      <c r="AP53" s="8" t="str">
        <f>IF(B53="","",IF(OR(V53="重大",AH53="重大",AH53="高",AI53="上升",AJ53="是",AND(AB53&lt;&gt;"",AB53&lt;项目驾驶舱!$B$3,AC53&lt;&gt;"已关闭")),"是","否"))</f>
        <v/>
      </c>
      <c r="AQ53" s="8" t="str">
        <f>IF(B53="","",IF(W53="","缺风险责任人",IF(AND(OR(V53="重大",V53="高"),Y53=""),"高风险缺应对策略",IF(AND(AJ53="是",AK53=""),"已发生未关联问题",IF(AND(AC53="已关闭",AO53=""),"关闭缺证据",IF(AND(AM53&lt;&gt;"",AM53&lt;项目驾驶舱!$B$3),"评审逾期",""))))))</f>
        <v/>
      </c>
      <c r="AR53" s="8" t="str">
        <f>IF(AP53="是",COUNTIFS($AP$9:AP53,"是"),"")</f>
        <v/>
      </c>
    </row>
    <row r="54" spans="1:44">
      <c r="A54" s="8" t="str">
        <f t="shared" si="0"/>
        <v/>
      </c>
      <c r="B54" s="10"/>
      <c r="C54" s="10"/>
      <c r="D54" s="10"/>
      <c r="E54" s="10"/>
      <c r="F54" s="10"/>
      <c r="G54" s="10"/>
      <c r="H54" s="10"/>
      <c r="I54" s="10"/>
      <c r="J54" s="11"/>
      <c r="K54" s="10"/>
      <c r="L54" s="10"/>
      <c r="M54" s="10"/>
      <c r="N54" s="10"/>
      <c r="O54" s="10"/>
      <c r="P54" s="10"/>
      <c r="Q54" s="10"/>
      <c r="R54" s="10"/>
      <c r="S54" s="10"/>
      <c r="T54" s="8" t="str">
        <f t="shared" si="1"/>
        <v/>
      </c>
      <c r="U54" s="8" t="str">
        <f t="shared" si="2"/>
        <v/>
      </c>
      <c r="V54" s="8" t="str">
        <f t="shared" si="3"/>
        <v/>
      </c>
      <c r="W54" s="10"/>
      <c r="X54" s="10"/>
      <c r="Y54" s="10"/>
      <c r="Z54" s="10"/>
      <c r="AA54" s="10"/>
      <c r="AB54" s="11"/>
      <c r="AC54" s="10"/>
      <c r="AD54" s="47"/>
      <c r="AE54" s="10"/>
      <c r="AF54" s="10"/>
      <c r="AG54" s="8" t="str">
        <f t="shared" si="4"/>
        <v/>
      </c>
      <c r="AH54" s="8" t="str">
        <f t="shared" si="5"/>
        <v/>
      </c>
      <c r="AI54" s="10"/>
      <c r="AJ54" s="10"/>
      <c r="AK54" s="10"/>
      <c r="AL54" s="11"/>
      <c r="AM54" s="11"/>
      <c r="AN54" s="11"/>
      <c r="AO54" s="10"/>
      <c r="AP54" s="8" t="str">
        <f>IF(B54="","",IF(OR(V54="重大",AH54="重大",AH54="高",AI54="上升",AJ54="是",AND(AB54&lt;&gt;"",AB54&lt;项目驾驶舱!$B$3,AC54&lt;&gt;"已关闭")),"是","否"))</f>
        <v/>
      </c>
      <c r="AQ54" s="8" t="str">
        <f>IF(B54="","",IF(W54="","缺风险责任人",IF(AND(OR(V54="重大",V54="高"),Y54=""),"高风险缺应对策略",IF(AND(AJ54="是",AK54=""),"已发生未关联问题",IF(AND(AC54="已关闭",AO54=""),"关闭缺证据",IF(AND(AM54&lt;&gt;"",AM54&lt;项目驾驶舱!$B$3),"评审逾期",""))))))</f>
        <v/>
      </c>
      <c r="AR54" s="8" t="str">
        <f>IF(AP54="是",COUNTIFS($AP$9:AP54,"是"),"")</f>
        <v/>
      </c>
    </row>
    <row r="55" spans="1:44">
      <c r="A55" s="8" t="str">
        <f t="shared" si="0"/>
        <v/>
      </c>
      <c r="B55" s="10"/>
      <c r="C55" s="10"/>
      <c r="D55" s="10"/>
      <c r="E55" s="10"/>
      <c r="F55" s="10"/>
      <c r="G55" s="10"/>
      <c r="H55" s="10"/>
      <c r="I55" s="10"/>
      <c r="J55" s="11"/>
      <c r="K55" s="10"/>
      <c r="L55" s="10"/>
      <c r="M55" s="10"/>
      <c r="N55" s="10"/>
      <c r="O55" s="10"/>
      <c r="P55" s="10"/>
      <c r="Q55" s="10"/>
      <c r="R55" s="10"/>
      <c r="S55" s="10"/>
      <c r="T55" s="8" t="str">
        <f t="shared" si="1"/>
        <v/>
      </c>
      <c r="U55" s="8" t="str">
        <f t="shared" si="2"/>
        <v/>
      </c>
      <c r="V55" s="8" t="str">
        <f t="shared" si="3"/>
        <v/>
      </c>
      <c r="W55" s="10"/>
      <c r="X55" s="10"/>
      <c r="Y55" s="10"/>
      <c r="Z55" s="10"/>
      <c r="AA55" s="10"/>
      <c r="AB55" s="11"/>
      <c r="AC55" s="10"/>
      <c r="AD55" s="47"/>
      <c r="AE55" s="10"/>
      <c r="AF55" s="10"/>
      <c r="AG55" s="8" t="str">
        <f t="shared" si="4"/>
        <v/>
      </c>
      <c r="AH55" s="8" t="str">
        <f t="shared" si="5"/>
        <v/>
      </c>
      <c r="AI55" s="10"/>
      <c r="AJ55" s="10"/>
      <c r="AK55" s="10"/>
      <c r="AL55" s="11"/>
      <c r="AM55" s="11"/>
      <c r="AN55" s="11"/>
      <c r="AO55" s="10"/>
      <c r="AP55" s="8" t="str">
        <f>IF(B55="","",IF(OR(V55="重大",AH55="重大",AH55="高",AI55="上升",AJ55="是",AND(AB55&lt;&gt;"",AB55&lt;项目驾驶舱!$B$3,AC55&lt;&gt;"已关闭")),"是","否"))</f>
        <v/>
      </c>
      <c r="AQ55" s="8" t="str">
        <f>IF(B55="","",IF(W55="","缺风险责任人",IF(AND(OR(V55="重大",V55="高"),Y55=""),"高风险缺应对策略",IF(AND(AJ55="是",AK55=""),"已发生未关联问题",IF(AND(AC55="已关闭",AO55=""),"关闭缺证据",IF(AND(AM55&lt;&gt;"",AM55&lt;项目驾驶舱!$B$3),"评审逾期",""))))))</f>
        <v/>
      </c>
      <c r="AR55" s="8" t="str">
        <f>IF(AP55="是",COUNTIFS($AP$9:AP55,"是"),"")</f>
        <v/>
      </c>
    </row>
    <row r="56" spans="1:44">
      <c r="A56" s="8" t="str">
        <f t="shared" si="0"/>
        <v/>
      </c>
      <c r="B56" s="10"/>
      <c r="C56" s="10"/>
      <c r="D56" s="10"/>
      <c r="E56" s="10"/>
      <c r="F56" s="10"/>
      <c r="G56" s="10"/>
      <c r="H56" s="10"/>
      <c r="I56" s="10"/>
      <c r="J56" s="11"/>
      <c r="K56" s="10"/>
      <c r="L56" s="10"/>
      <c r="M56" s="10"/>
      <c r="N56" s="10"/>
      <c r="O56" s="10"/>
      <c r="P56" s="10"/>
      <c r="Q56" s="10"/>
      <c r="R56" s="10"/>
      <c r="S56" s="10"/>
      <c r="T56" s="8" t="str">
        <f t="shared" si="1"/>
        <v/>
      </c>
      <c r="U56" s="8" t="str">
        <f t="shared" si="2"/>
        <v/>
      </c>
      <c r="V56" s="8" t="str">
        <f t="shared" si="3"/>
        <v/>
      </c>
      <c r="W56" s="10"/>
      <c r="X56" s="10"/>
      <c r="Y56" s="10"/>
      <c r="Z56" s="10"/>
      <c r="AA56" s="10"/>
      <c r="AB56" s="11"/>
      <c r="AC56" s="10"/>
      <c r="AD56" s="47"/>
      <c r="AE56" s="10"/>
      <c r="AF56" s="10"/>
      <c r="AG56" s="8" t="str">
        <f t="shared" si="4"/>
        <v/>
      </c>
      <c r="AH56" s="8" t="str">
        <f t="shared" si="5"/>
        <v/>
      </c>
      <c r="AI56" s="10"/>
      <c r="AJ56" s="10"/>
      <c r="AK56" s="10"/>
      <c r="AL56" s="11"/>
      <c r="AM56" s="11"/>
      <c r="AN56" s="11"/>
      <c r="AO56" s="10"/>
      <c r="AP56" s="8" t="str">
        <f>IF(B56="","",IF(OR(V56="重大",AH56="重大",AH56="高",AI56="上升",AJ56="是",AND(AB56&lt;&gt;"",AB56&lt;项目驾驶舱!$B$3,AC56&lt;&gt;"已关闭")),"是","否"))</f>
        <v/>
      </c>
      <c r="AQ56" s="8" t="str">
        <f>IF(B56="","",IF(W56="","缺风险责任人",IF(AND(OR(V56="重大",V56="高"),Y56=""),"高风险缺应对策略",IF(AND(AJ56="是",AK56=""),"已发生未关联问题",IF(AND(AC56="已关闭",AO56=""),"关闭缺证据",IF(AND(AM56&lt;&gt;"",AM56&lt;项目驾驶舱!$B$3),"评审逾期",""))))))</f>
        <v/>
      </c>
      <c r="AR56" s="8" t="str">
        <f>IF(AP56="是",COUNTIFS($AP$9:AP56,"是"),"")</f>
        <v/>
      </c>
    </row>
    <row r="57" spans="1:44">
      <c r="A57" s="8" t="str">
        <f t="shared" si="0"/>
        <v/>
      </c>
      <c r="B57" s="10"/>
      <c r="C57" s="10"/>
      <c r="D57" s="10"/>
      <c r="E57" s="10"/>
      <c r="F57" s="10"/>
      <c r="G57" s="10"/>
      <c r="H57" s="10"/>
      <c r="I57" s="10"/>
      <c r="J57" s="11"/>
      <c r="K57" s="10"/>
      <c r="L57" s="10"/>
      <c r="M57" s="10"/>
      <c r="N57" s="10"/>
      <c r="O57" s="10"/>
      <c r="P57" s="10"/>
      <c r="Q57" s="10"/>
      <c r="R57" s="10"/>
      <c r="S57" s="10"/>
      <c r="T57" s="8" t="str">
        <f t="shared" si="1"/>
        <v/>
      </c>
      <c r="U57" s="8" t="str">
        <f t="shared" si="2"/>
        <v/>
      </c>
      <c r="V57" s="8" t="str">
        <f t="shared" si="3"/>
        <v/>
      </c>
      <c r="W57" s="10"/>
      <c r="X57" s="10"/>
      <c r="Y57" s="10"/>
      <c r="Z57" s="10"/>
      <c r="AA57" s="10"/>
      <c r="AB57" s="11"/>
      <c r="AC57" s="10"/>
      <c r="AD57" s="47"/>
      <c r="AE57" s="10"/>
      <c r="AF57" s="10"/>
      <c r="AG57" s="8" t="str">
        <f t="shared" si="4"/>
        <v/>
      </c>
      <c r="AH57" s="8" t="str">
        <f t="shared" si="5"/>
        <v/>
      </c>
      <c r="AI57" s="10"/>
      <c r="AJ57" s="10"/>
      <c r="AK57" s="10"/>
      <c r="AL57" s="11"/>
      <c r="AM57" s="11"/>
      <c r="AN57" s="11"/>
      <c r="AO57" s="10"/>
      <c r="AP57" s="8" t="str">
        <f>IF(B57="","",IF(OR(V57="重大",AH57="重大",AH57="高",AI57="上升",AJ57="是",AND(AB57&lt;&gt;"",AB57&lt;项目驾驶舱!$B$3,AC57&lt;&gt;"已关闭")),"是","否"))</f>
        <v/>
      </c>
      <c r="AQ57" s="8" t="str">
        <f>IF(B57="","",IF(W57="","缺风险责任人",IF(AND(OR(V57="重大",V57="高"),Y57=""),"高风险缺应对策略",IF(AND(AJ57="是",AK57=""),"已发生未关联问题",IF(AND(AC57="已关闭",AO57=""),"关闭缺证据",IF(AND(AM57&lt;&gt;"",AM57&lt;项目驾驶舱!$B$3),"评审逾期",""))))))</f>
        <v/>
      </c>
      <c r="AR57" s="8" t="str">
        <f>IF(AP57="是",COUNTIFS($AP$9:AP57,"是"),"")</f>
        <v/>
      </c>
    </row>
    <row r="58" spans="1:44">
      <c r="A58" s="8" t="str">
        <f t="shared" si="0"/>
        <v/>
      </c>
      <c r="B58" s="10"/>
      <c r="C58" s="10"/>
      <c r="D58" s="10"/>
      <c r="E58" s="10"/>
      <c r="F58" s="10"/>
      <c r="G58" s="10"/>
      <c r="H58" s="10"/>
      <c r="I58" s="10"/>
      <c r="J58" s="11"/>
      <c r="K58" s="10"/>
      <c r="L58" s="10"/>
      <c r="M58" s="10"/>
      <c r="N58" s="10"/>
      <c r="O58" s="10"/>
      <c r="P58" s="10"/>
      <c r="Q58" s="10"/>
      <c r="R58" s="10"/>
      <c r="S58" s="10"/>
      <c r="T58" s="8" t="str">
        <f t="shared" si="1"/>
        <v/>
      </c>
      <c r="U58" s="8" t="str">
        <f t="shared" si="2"/>
        <v/>
      </c>
      <c r="V58" s="8" t="str">
        <f t="shared" si="3"/>
        <v/>
      </c>
      <c r="W58" s="10"/>
      <c r="X58" s="10"/>
      <c r="Y58" s="10"/>
      <c r="Z58" s="10"/>
      <c r="AA58" s="10"/>
      <c r="AB58" s="11"/>
      <c r="AC58" s="10"/>
      <c r="AD58" s="47"/>
      <c r="AE58" s="10"/>
      <c r="AF58" s="10"/>
      <c r="AG58" s="8" t="str">
        <f t="shared" si="4"/>
        <v/>
      </c>
      <c r="AH58" s="8" t="str">
        <f t="shared" si="5"/>
        <v/>
      </c>
      <c r="AI58" s="10"/>
      <c r="AJ58" s="10"/>
      <c r="AK58" s="10"/>
      <c r="AL58" s="11"/>
      <c r="AM58" s="11"/>
      <c r="AN58" s="11"/>
      <c r="AO58" s="10"/>
      <c r="AP58" s="8" t="str">
        <f>IF(B58="","",IF(OR(V58="重大",AH58="重大",AH58="高",AI58="上升",AJ58="是",AND(AB58&lt;&gt;"",AB58&lt;项目驾驶舱!$B$3,AC58&lt;&gt;"已关闭")),"是","否"))</f>
        <v/>
      </c>
      <c r="AQ58" s="8" t="str">
        <f>IF(B58="","",IF(W58="","缺风险责任人",IF(AND(OR(V58="重大",V58="高"),Y58=""),"高风险缺应对策略",IF(AND(AJ58="是",AK58=""),"已发生未关联问题",IF(AND(AC58="已关闭",AO58=""),"关闭缺证据",IF(AND(AM58&lt;&gt;"",AM58&lt;项目驾驶舱!$B$3),"评审逾期",""))))))</f>
        <v/>
      </c>
      <c r="AR58" s="8" t="str">
        <f>IF(AP58="是",COUNTIFS($AP$9:AP58,"是"),"")</f>
        <v/>
      </c>
    </row>
    <row r="59" spans="1:44">
      <c r="A59" s="8" t="str">
        <f t="shared" si="0"/>
        <v/>
      </c>
      <c r="B59" s="10"/>
      <c r="C59" s="10"/>
      <c r="D59" s="10"/>
      <c r="E59" s="10"/>
      <c r="F59" s="10"/>
      <c r="G59" s="10"/>
      <c r="H59" s="10"/>
      <c r="I59" s="10"/>
      <c r="J59" s="11"/>
      <c r="K59" s="10"/>
      <c r="L59" s="10"/>
      <c r="M59" s="10"/>
      <c r="N59" s="10"/>
      <c r="O59" s="10"/>
      <c r="P59" s="10"/>
      <c r="Q59" s="10"/>
      <c r="R59" s="10"/>
      <c r="S59" s="10"/>
      <c r="T59" s="8" t="str">
        <f t="shared" si="1"/>
        <v/>
      </c>
      <c r="U59" s="8" t="str">
        <f t="shared" si="2"/>
        <v/>
      </c>
      <c r="V59" s="8" t="str">
        <f t="shared" si="3"/>
        <v/>
      </c>
      <c r="W59" s="10"/>
      <c r="X59" s="10"/>
      <c r="Y59" s="10"/>
      <c r="Z59" s="10"/>
      <c r="AA59" s="10"/>
      <c r="AB59" s="11"/>
      <c r="AC59" s="10"/>
      <c r="AD59" s="47"/>
      <c r="AE59" s="10"/>
      <c r="AF59" s="10"/>
      <c r="AG59" s="8" t="str">
        <f t="shared" si="4"/>
        <v/>
      </c>
      <c r="AH59" s="8" t="str">
        <f t="shared" si="5"/>
        <v/>
      </c>
      <c r="AI59" s="10"/>
      <c r="AJ59" s="10"/>
      <c r="AK59" s="10"/>
      <c r="AL59" s="11"/>
      <c r="AM59" s="11"/>
      <c r="AN59" s="11"/>
      <c r="AO59" s="10"/>
      <c r="AP59" s="8" t="str">
        <f>IF(B59="","",IF(OR(V59="重大",AH59="重大",AH59="高",AI59="上升",AJ59="是",AND(AB59&lt;&gt;"",AB59&lt;项目驾驶舱!$B$3,AC59&lt;&gt;"已关闭")),"是","否"))</f>
        <v/>
      </c>
      <c r="AQ59" s="8" t="str">
        <f>IF(B59="","",IF(W59="","缺风险责任人",IF(AND(OR(V59="重大",V59="高"),Y59=""),"高风险缺应对策略",IF(AND(AJ59="是",AK59=""),"已发生未关联问题",IF(AND(AC59="已关闭",AO59=""),"关闭缺证据",IF(AND(AM59&lt;&gt;"",AM59&lt;项目驾驶舱!$B$3),"评审逾期",""))))))</f>
        <v/>
      </c>
      <c r="AR59" s="8" t="str">
        <f>IF(AP59="是",COUNTIFS($AP$9:AP59,"是"),"")</f>
        <v/>
      </c>
    </row>
    <row r="60" spans="1:44">
      <c r="A60" s="8" t="str">
        <f t="shared" si="0"/>
        <v/>
      </c>
      <c r="B60" s="10"/>
      <c r="C60" s="10"/>
      <c r="D60" s="10"/>
      <c r="E60" s="10"/>
      <c r="F60" s="10"/>
      <c r="G60" s="10"/>
      <c r="H60" s="10"/>
      <c r="I60" s="10"/>
      <c r="J60" s="11"/>
      <c r="K60" s="10"/>
      <c r="L60" s="10"/>
      <c r="M60" s="10"/>
      <c r="N60" s="10"/>
      <c r="O60" s="10"/>
      <c r="P60" s="10"/>
      <c r="Q60" s="10"/>
      <c r="R60" s="10"/>
      <c r="S60" s="10"/>
      <c r="T60" s="8" t="str">
        <f t="shared" si="1"/>
        <v/>
      </c>
      <c r="U60" s="8" t="str">
        <f t="shared" si="2"/>
        <v/>
      </c>
      <c r="V60" s="8" t="str">
        <f t="shared" si="3"/>
        <v/>
      </c>
      <c r="W60" s="10"/>
      <c r="X60" s="10"/>
      <c r="Y60" s="10"/>
      <c r="Z60" s="10"/>
      <c r="AA60" s="10"/>
      <c r="AB60" s="11"/>
      <c r="AC60" s="10"/>
      <c r="AD60" s="47"/>
      <c r="AE60" s="10"/>
      <c r="AF60" s="10"/>
      <c r="AG60" s="8" t="str">
        <f t="shared" si="4"/>
        <v/>
      </c>
      <c r="AH60" s="8" t="str">
        <f t="shared" si="5"/>
        <v/>
      </c>
      <c r="AI60" s="10"/>
      <c r="AJ60" s="10"/>
      <c r="AK60" s="10"/>
      <c r="AL60" s="11"/>
      <c r="AM60" s="11"/>
      <c r="AN60" s="11"/>
      <c r="AO60" s="10"/>
      <c r="AP60" s="8" t="str">
        <f>IF(B60="","",IF(OR(V60="重大",AH60="重大",AH60="高",AI60="上升",AJ60="是",AND(AB60&lt;&gt;"",AB60&lt;项目驾驶舱!$B$3,AC60&lt;&gt;"已关闭")),"是","否"))</f>
        <v/>
      </c>
      <c r="AQ60" s="8" t="str">
        <f>IF(B60="","",IF(W60="","缺风险责任人",IF(AND(OR(V60="重大",V60="高"),Y60=""),"高风险缺应对策略",IF(AND(AJ60="是",AK60=""),"已发生未关联问题",IF(AND(AC60="已关闭",AO60=""),"关闭缺证据",IF(AND(AM60&lt;&gt;"",AM60&lt;项目驾驶舱!$B$3),"评审逾期",""))))))</f>
        <v/>
      </c>
      <c r="AR60" s="8" t="str">
        <f>IF(AP60="是",COUNTIFS($AP$9:AP60,"是"),"")</f>
        <v/>
      </c>
    </row>
    <row r="61" spans="1:44">
      <c r="A61" s="8" t="str">
        <f t="shared" si="0"/>
        <v/>
      </c>
      <c r="B61" s="10"/>
      <c r="C61" s="10"/>
      <c r="D61" s="10"/>
      <c r="E61" s="10"/>
      <c r="F61" s="10"/>
      <c r="G61" s="10"/>
      <c r="H61" s="10"/>
      <c r="I61" s="10"/>
      <c r="J61" s="11"/>
      <c r="K61" s="10"/>
      <c r="L61" s="10"/>
      <c r="M61" s="10"/>
      <c r="N61" s="10"/>
      <c r="O61" s="10"/>
      <c r="P61" s="10"/>
      <c r="Q61" s="10"/>
      <c r="R61" s="10"/>
      <c r="S61" s="10"/>
      <c r="T61" s="8" t="str">
        <f t="shared" si="1"/>
        <v/>
      </c>
      <c r="U61" s="8" t="str">
        <f t="shared" si="2"/>
        <v/>
      </c>
      <c r="V61" s="8" t="str">
        <f t="shared" si="3"/>
        <v/>
      </c>
      <c r="W61" s="10"/>
      <c r="X61" s="10"/>
      <c r="Y61" s="10"/>
      <c r="Z61" s="10"/>
      <c r="AA61" s="10"/>
      <c r="AB61" s="11"/>
      <c r="AC61" s="10"/>
      <c r="AD61" s="47"/>
      <c r="AE61" s="10"/>
      <c r="AF61" s="10"/>
      <c r="AG61" s="8" t="str">
        <f t="shared" si="4"/>
        <v/>
      </c>
      <c r="AH61" s="8" t="str">
        <f t="shared" si="5"/>
        <v/>
      </c>
      <c r="AI61" s="10"/>
      <c r="AJ61" s="10"/>
      <c r="AK61" s="10"/>
      <c r="AL61" s="11"/>
      <c r="AM61" s="11"/>
      <c r="AN61" s="11"/>
      <c r="AO61" s="10"/>
      <c r="AP61" s="8" t="str">
        <f>IF(B61="","",IF(OR(V61="重大",AH61="重大",AH61="高",AI61="上升",AJ61="是",AND(AB61&lt;&gt;"",AB61&lt;项目驾驶舱!$B$3,AC61&lt;&gt;"已关闭")),"是","否"))</f>
        <v/>
      </c>
      <c r="AQ61" s="8" t="str">
        <f>IF(B61="","",IF(W61="","缺风险责任人",IF(AND(OR(V61="重大",V61="高"),Y61=""),"高风险缺应对策略",IF(AND(AJ61="是",AK61=""),"已发生未关联问题",IF(AND(AC61="已关闭",AO61=""),"关闭缺证据",IF(AND(AM61&lt;&gt;"",AM61&lt;项目驾驶舱!$B$3),"评审逾期",""))))))</f>
        <v/>
      </c>
      <c r="AR61" s="8" t="str">
        <f>IF(AP61="是",COUNTIFS($AP$9:AP61,"是"),"")</f>
        <v/>
      </c>
    </row>
    <row r="62" spans="1:44">
      <c r="A62" s="8" t="str">
        <f t="shared" si="0"/>
        <v/>
      </c>
      <c r="B62" s="10"/>
      <c r="C62" s="10"/>
      <c r="D62" s="10"/>
      <c r="E62" s="10"/>
      <c r="F62" s="10"/>
      <c r="G62" s="10"/>
      <c r="H62" s="10"/>
      <c r="I62" s="10"/>
      <c r="J62" s="11"/>
      <c r="K62" s="10"/>
      <c r="L62" s="10"/>
      <c r="M62" s="10"/>
      <c r="N62" s="10"/>
      <c r="O62" s="10"/>
      <c r="P62" s="10"/>
      <c r="Q62" s="10"/>
      <c r="R62" s="10"/>
      <c r="S62" s="10"/>
      <c r="T62" s="8" t="str">
        <f t="shared" si="1"/>
        <v/>
      </c>
      <c r="U62" s="8" t="str">
        <f t="shared" si="2"/>
        <v/>
      </c>
      <c r="V62" s="8" t="str">
        <f t="shared" si="3"/>
        <v/>
      </c>
      <c r="W62" s="10"/>
      <c r="X62" s="10"/>
      <c r="Y62" s="10"/>
      <c r="Z62" s="10"/>
      <c r="AA62" s="10"/>
      <c r="AB62" s="11"/>
      <c r="AC62" s="10"/>
      <c r="AD62" s="47"/>
      <c r="AE62" s="10"/>
      <c r="AF62" s="10"/>
      <c r="AG62" s="8" t="str">
        <f t="shared" si="4"/>
        <v/>
      </c>
      <c r="AH62" s="8" t="str">
        <f t="shared" si="5"/>
        <v/>
      </c>
      <c r="AI62" s="10"/>
      <c r="AJ62" s="10"/>
      <c r="AK62" s="10"/>
      <c r="AL62" s="11"/>
      <c r="AM62" s="11"/>
      <c r="AN62" s="11"/>
      <c r="AO62" s="10"/>
      <c r="AP62" s="8" t="str">
        <f>IF(B62="","",IF(OR(V62="重大",AH62="重大",AH62="高",AI62="上升",AJ62="是",AND(AB62&lt;&gt;"",AB62&lt;项目驾驶舱!$B$3,AC62&lt;&gt;"已关闭")),"是","否"))</f>
        <v/>
      </c>
      <c r="AQ62" s="8" t="str">
        <f>IF(B62="","",IF(W62="","缺风险责任人",IF(AND(OR(V62="重大",V62="高"),Y62=""),"高风险缺应对策略",IF(AND(AJ62="是",AK62=""),"已发生未关联问题",IF(AND(AC62="已关闭",AO62=""),"关闭缺证据",IF(AND(AM62&lt;&gt;"",AM62&lt;项目驾驶舱!$B$3),"评审逾期",""))))))</f>
        <v/>
      </c>
      <c r="AR62" s="8" t="str">
        <f>IF(AP62="是",COUNTIFS($AP$9:AP62,"是"),"")</f>
        <v/>
      </c>
    </row>
    <row r="63" spans="1:44">
      <c r="A63" s="8" t="str">
        <f t="shared" si="0"/>
        <v/>
      </c>
      <c r="B63" s="10"/>
      <c r="C63" s="10"/>
      <c r="D63" s="10"/>
      <c r="E63" s="10"/>
      <c r="F63" s="10"/>
      <c r="G63" s="10"/>
      <c r="H63" s="10"/>
      <c r="I63" s="10"/>
      <c r="J63" s="11"/>
      <c r="K63" s="10"/>
      <c r="L63" s="10"/>
      <c r="M63" s="10"/>
      <c r="N63" s="10"/>
      <c r="O63" s="10"/>
      <c r="P63" s="10"/>
      <c r="Q63" s="10"/>
      <c r="R63" s="10"/>
      <c r="S63" s="10"/>
      <c r="T63" s="8" t="str">
        <f t="shared" si="1"/>
        <v/>
      </c>
      <c r="U63" s="8" t="str">
        <f t="shared" si="2"/>
        <v/>
      </c>
      <c r="V63" s="8" t="str">
        <f t="shared" si="3"/>
        <v/>
      </c>
      <c r="W63" s="10"/>
      <c r="X63" s="10"/>
      <c r="Y63" s="10"/>
      <c r="Z63" s="10"/>
      <c r="AA63" s="10"/>
      <c r="AB63" s="11"/>
      <c r="AC63" s="10"/>
      <c r="AD63" s="47"/>
      <c r="AE63" s="10"/>
      <c r="AF63" s="10"/>
      <c r="AG63" s="8" t="str">
        <f t="shared" si="4"/>
        <v/>
      </c>
      <c r="AH63" s="8" t="str">
        <f t="shared" si="5"/>
        <v/>
      </c>
      <c r="AI63" s="10"/>
      <c r="AJ63" s="10"/>
      <c r="AK63" s="10"/>
      <c r="AL63" s="11"/>
      <c r="AM63" s="11"/>
      <c r="AN63" s="11"/>
      <c r="AO63" s="10"/>
      <c r="AP63" s="8" t="str">
        <f>IF(B63="","",IF(OR(V63="重大",AH63="重大",AH63="高",AI63="上升",AJ63="是",AND(AB63&lt;&gt;"",AB63&lt;项目驾驶舱!$B$3,AC63&lt;&gt;"已关闭")),"是","否"))</f>
        <v/>
      </c>
      <c r="AQ63" s="8" t="str">
        <f>IF(B63="","",IF(W63="","缺风险责任人",IF(AND(OR(V63="重大",V63="高"),Y63=""),"高风险缺应对策略",IF(AND(AJ63="是",AK63=""),"已发生未关联问题",IF(AND(AC63="已关闭",AO63=""),"关闭缺证据",IF(AND(AM63&lt;&gt;"",AM63&lt;项目驾驶舱!$B$3),"评审逾期",""))))))</f>
        <v/>
      </c>
      <c r="AR63" s="8" t="str">
        <f>IF(AP63="是",COUNTIFS($AP$9:AP63,"是"),"")</f>
        <v/>
      </c>
    </row>
    <row r="64" spans="1:44">
      <c r="A64" s="8" t="str">
        <f t="shared" si="0"/>
        <v/>
      </c>
      <c r="B64" s="10"/>
      <c r="C64" s="10"/>
      <c r="D64" s="10"/>
      <c r="E64" s="10"/>
      <c r="F64" s="10"/>
      <c r="G64" s="10"/>
      <c r="H64" s="10"/>
      <c r="I64" s="10"/>
      <c r="J64" s="11"/>
      <c r="K64" s="10"/>
      <c r="L64" s="10"/>
      <c r="M64" s="10"/>
      <c r="N64" s="10"/>
      <c r="O64" s="10"/>
      <c r="P64" s="10"/>
      <c r="Q64" s="10"/>
      <c r="R64" s="10"/>
      <c r="S64" s="10"/>
      <c r="T64" s="8" t="str">
        <f t="shared" si="1"/>
        <v/>
      </c>
      <c r="U64" s="8" t="str">
        <f t="shared" si="2"/>
        <v/>
      </c>
      <c r="V64" s="8" t="str">
        <f t="shared" si="3"/>
        <v/>
      </c>
      <c r="W64" s="10"/>
      <c r="X64" s="10"/>
      <c r="Y64" s="10"/>
      <c r="Z64" s="10"/>
      <c r="AA64" s="10"/>
      <c r="AB64" s="11"/>
      <c r="AC64" s="10"/>
      <c r="AD64" s="47"/>
      <c r="AE64" s="10"/>
      <c r="AF64" s="10"/>
      <c r="AG64" s="8" t="str">
        <f t="shared" si="4"/>
        <v/>
      </c>
      <c r="AH64" s="8" t="str">
        <f t="shared" si="5"/>
        <v/>
      </c>
      <c r="AI64" s="10"/>
      <c r="AJ64" s="10"/>
      <c r="AK64" s="10"/>
      <c r="AL64" s="11"/>
      <c r="AM64" s="11"/>
      <c r="AN64" s="11"/>
      <c r="AO64" s="10"/>
      <c r="AP64" s="8" t="str">
        <f>IF(B64="","",IF(OR(V64="重大",AH64="重大",AH64="高",AI64="上升",AJ64="是",AND(AB64&lt;&gt;"",AB64&lt;项目驾驶舱!$B$3,AC64&lt;&gt;"已关闭")),"是","否"))</f>
        <v/>
      </c>
      <c r="AQ64" s="8" t="str">
        <f>IF(B64="","",IF(W64="","缺风险责任人",IF(AND(OR(V64="重大",V64="高"),Y64=""),"高风险缺应对策略",IF(AND(AJ64="是",AK64=""),"已发生未关联问题",IF(AND(AC64="已关闭",AO64=""),"关闭缺证据",IF(AND(AM64&lt;&gt;"",AM64&lt;项目驾驶舱!$B$3),"评审逾期",""))))))</f>
        <v/>
      </c>
      <c r="AR64" s="8" t="str">
        <f>IF(AP64="是",COUNTIFS($AP$9:AP64,"是"),"")</f>
        <v/>
      </c>
    </row>
    <row r="65" spans="1:44">
      <c r="A65" s="8" t="str">
        <f t="shared" si="0"/>
        <v/>
      </c>
      <c r="B65" s="10"/>
      <c r="C65" s="10"/>
      <c r="D65" s="10"/>
      <c r="E65" s="10"/>
      <c r="F65" s="10"/>
      <c r="G65" s="10"/>
      <c r="H65" s="10"/>
      <c r="I65" s="10"/>
      <c r="J65" s="11"/>
      <c r="K65" s="10"/>
      <c r="L65" s="10"/>
      <c r="M65" s="10"/>
      <c r="N65" s="10"/>
      <c r="O65" s="10"/>
      <c r="P65" s="10"/>
      <c r="Q65" s="10"/>
      <c r="R65" s="10"/>
      <c r="S65" s="10"/>
      <c r="T65" s="8" t="str">
        <f t="shared" si="1"/>
        <v/>
      </c>
      <c r="U65" s="8" t="str">
        <f t="shared" si="2"/>
        <v/>
      </c>
      <c r="V65" s="8" t="str">
        <f t="shared" si="3"/>
        <v/>
      </c>
      <c r="W65" s="10"/>
      <c r="X65" s="10"/>
      <c r="Y65" s="10"/>
      <c r="Z65" s="10"/>
      <c r="AA65" s="10"/>
      <c r="AB65" s="11"/>
      <c r="AC65" s="10"/>
      <c r="AD65" s="47"/>
      <c r="AE65" s="10"/>
      <c r="AF65" s="10"/>
      <c r="AG65" s="8" t="str">
        <f t="shared" si="4"/>
        <v/>
      </c>
      <c r="AH65" s="8" t="str">
        <f t="shared" si="5"/>
        <v/>
      </c>
      <c r="AI65" s="10"/>
      <c r="AJ65" s="10"/>
      <c r="AK65" s="10"/>
      <c r="AL65" s="11"/>
      <c r="AM65" s="11"/>
      <c r="AN65" s="11"/>
      <c r="AO65" s="10"/>
      <c r="AP65" s="8" t="str">
        <f>IF(B65="","",IF(OR(V65="重大",AH65="重大",AH65="高",AI65="上升",AJ65="是",AND(AB65&lt;&gt;"",AB65&lt;项目驾驶舱!$B$3,AC65&lt;&gt;"已关闭")),"是","否"))</f>
        <v/>
      </c>
      <c r="AQ65" s="8" t="str">
        <f>IF(B65="","",IF(W65="","缺风险责任人",IF(AND(OR(V65="重大",V65="高"),Y65=""),"高风险缺应对策略",IF(AND(AJ65="是",AK65=""),"已发生未关联问题",IF(AND(AC65="已关闭",AO65=""),"关闭缺证据",IF(AND(AM65&lt;&gt;"",AM65&lt;项目驾驶舱!$B$3),"评审逾期",""))))))</f>
        <v/>
      </c>
      <c r="AR65" s="8" t="str">
        <f>IF(AP65="是",COUNTIFS($AP$9:AP65,"是"),"")</f>
        <v/>
      </c>
    </row>
    <row r="66" spans="1:44">
      <c r="A66" s="8" t="str">
        <f t="shared" si="0"/>
        <v/>
      </c>
      <c r="B66" s="10"/>
      <c r="C66" s="10"/>
      <c r="D66" s="10"/>
      <c r="E66" s="10"/>
      <c r="F66" s="10"/>
      <c r="G66" s="10"/>
      <c r="H66" s="10"/>
      <c r="I66" s="10"/>
      <c r="J66" s="11"/>
      <c r="K66" s="10"/>
      <c r="L66" s="10"/>
      <c r="M66" s="10"/>
      <c r="N66" s="10"/>
      <c r="O66" s="10"/>
      <c r="P66" s="10"/>
      <c r="Q66" s="10"/>
      <c r="R66" s="10"/>
      <c r="S66" s="10"/>
      <c r="T66" s="8" t="str">
        <f t="shared" si="1"/>
        <v/>
      </c>
      <c r="U66" s="8" t="str">
        <f t="shared" si="2"/>
        <v/>
      </c>
      <c r="V66" s="8" t="str">
        <f t="shared" si="3"/>
        <v/>
      </c>
      <c r="W66" s="10"/>
      <c r="X66" s="10"/>
      <c r="Y66" s="10"/>
      <c r="Z66" s="10"/>
      <c r="AA66" s="10"/>
      <c r="AB66" s="11"/>
      <c r="AC66" s="10"/>
      <c r="AD66" s="47"/>
      <c r="AE66" s="10"/>
      <c r="AF66" s="10"/>
      <c r="AG66" s="8" t="str">
        <f t="shared" si="4"/>
        <v/>
      </c>
      <c r="AH66" s="8" t="str">
        <f t="shared" si="5"/>
        <v/>
      </c>
      <c r="AI66" s="10"/>
      <c r="AJ66" s="10"/>
      <c r="AK66" s="10"/>
      <c r="AL66" s="11"/>
      <c r="AM66" s="11"/>
      <c r="AN66" s="11"/>
      <c r="AO66" s="10"/>
      <c r="AP66" s="8" t="str">
        <f>IF(B66="","",IF(OR(V66="重大",AH66="重大",AH66="高",AI66="上升",AJ66="是",AND(AB66&lt;&gt;"",AB66&lt;项目驾驶舱!$B$3,AC66&lt;&gt;"已关闭")),"是","否"))</f>
        <v/>
      </c>
      <c r="AQ66" s="8" t="str">
        <f>IF(B66="","",IF(W66="","缺风险责任人",IF(AND(OR(V66="重大",V66="高"),Y66=""),"高风险缺应对策略",IF(AND(AJ66="是",AK66=""),"已发生未关联问题",IF(AND(AC66="已关闭",AO66=""),"关闭缺证据",IF(AND(AM66&lt;&gt;"",AM66&lt;项目驾驶舱!$B$3),"评审逾期",""))))))</f>
        <v/>
      </c>
      <c r="AR66" s="8" t="str">
        <f>IF(AP66="是",COUNTIFS($AP$9:AP66,"是"),"")</f>
        <v/>
      </c>
    </row>
    <row r="67" spans="1:44">
      <c r="A67" s="8" t="str">
        <f t="shared" si="0"/>
        <v/>
      </c>
      <c r="B67" s="10"/>
      <c r="C67" s="10"/>
      <c r="D67" s="10"/>
      <c r="E67" s="10"/>
      <c r="F67" s="10"/>
      <c r="G67" s="10"/>
      <c r="H67" s="10"/>
      <c r="I67" s="10"/>
      <c r="J67" s="11"/>
      <c r="K67" s="10"/>
      <c r="L67" s="10"/>
      <c r="M67" s="10"/>
      <c r="N67" s="10"/>
      <c r="O67" s="10"/>
      <c r="P67" s="10"/>
      <c r="Q67" s="10"/>
      <c r="R67" s="10"/>
      <c r="S67" s="10"/>
      <c r="T67" s="8" t="str">
        <f t="shared" si="1"/>
        <v/>
      </c>
      <c r="U67" s="8" t="str">
        <f t="shared" si="2"/>
        <v/>
      </c>
      <c r="V67" s="8" t="str">
        <f t="shared" si="3"/>
        <v/>
      </c>
      <c r="W67" s="10"/>
      <c r="X67" s="10"/>
      <c r="Y67" s="10"/>
      <c r="Z67" s="10"/>
      <c r="AA67" s="10"/>
      <c r="AB67" s="11"/>
      <c r="AC67" s="10"/>
      <c r="AD67" s="47"/>
      <c r="AE67" s="10"/>
      <c r="AF67" s="10"/>
      <c r="AG67" s="8" t="str">
        <f t="shared" si="4"/>
        <v/>
      </c>
      <c r="AH67" s="8" t="str">
        <f t="shared" si="5"/>
        <v/>
      </c>
      <c r="AI67" s="10"/>
      <c r="AJ67" s="10"/>
      <c r="AK67" s="10"/>
      <c r="AL67" s="11"/>
      <c r="AM67" s="11"/>
      <c r="AN67" s="11"/>
      <c r="AO67" s="10"/>
      <c r="AP67" s="8" t="str">
        <f>IF(B67="","",IF(OR(V67="重大",AH67="重大",AH67="高",AI67="上升",AJ67="是",AND(AB67&lt;&gt;"",AB67&lt;项目驾驶舱!$B$3,AC67&lt;&gt;"已关闭")),"是","否"))</f>
        <v/>
      </c>
      <c r="AQ67" s="8" t="str">
        <f>IF(B67="","",IF(W67="","缺风险责任人",IF(AND(OR(V67="重大",V67="高"),Y67=""),"高风险缺应对策略",IF(AND(AJ67="是",AK67=""),"已发生未关联问题",IF(AND(AC67="已关闭",AO67=""),"关闭缺证据",IF(AND(AM67&lt;&gt;"",AM67&lt;项目驾驶舱!$B$3),"评审逾期",""))))))</f>
        <v/>
      </c>
      <c r="AR67" s="8" t="str">
        <f>IF(AP67="是",COUNTIFS($AP$9:AP67,"是"),"")</f>
        <v/>
      </c>
    </row>
    <row r="68" spans="1:44">
      <c r="A68" s="8" t="str">
        <f t="shared" si="0"/>
        <v/>
      </c>
      <c r="B68" s="10"/>
      <c r="C68" s="10"/>
      <c r="D68" s="10"/>
      <c r="E68" s="10"/>
      <c r="F68" s="10"/>
      <c r="G68" s="10"/>
      <c r="H68" s="10"/>
      <c r="I68" s="10"/>
      <c r="J68" s="11"/>
      <c r="K68" s="10"/>
      <c r="L68" s="10"/>
      <c r="M68" s="10"/>
      <c r="N68" s="10"/>
      <c r="O68" s="10"/>
      <c r="P68" s="10"/>
      <c r="Q68" s="10"/>
      <c r="R68" s="10"/>
      <c r="S68" s="10"/>
      <c r="T68" s="8" t="str">
        <f t="shared" si="1"/>
        <v/>
      </c>
      <c r="U68" s="8" t="str">
        <f t="shared" si="2"/>
        <v/>
      </c>
      <c r="V68" s="8" t="str">
        <f t="shared" si="3"/>
        <v/>
      </c>
      <c r="W68" s="10"/>
      <c r="X68" s="10"/>
      <c r="Y68" s="10"/>
      <c r="Z68" s="10"/>
      <c r="AA68" s="10"/>
      <c r="AB68" s="11"/>
      <c r="AC68" s="10"/>
      <c r="AD68" s="47"/>
      <c r="AE68" s="10"/>
      <c r="AF68" s="10"/>
      <c r="AG68" s="8" t="str">
        <f t="shared" si="4"/>
        <v/>
      </c>
      <c r="AH68" s="8" t="str">
        <f t="shared" si="5"/>
        <v/>
      </c>
      <c r="AI68" s="10"/>
      <c r="AJ68" s="10"/>
      <c r="AK68" s="10"/>
      <c r="AL68" s="11"/>
      <c r="AM68" s="11"/>
      <c r="AN68" s="11"/>
      <c r="AO68" s="10"/>
      <c r="AP68" s="8" t="str">
        <f>IF(B68="","",IF(OR(V68="重大",AH68="重大",AH68="高",AI68="上升",AJ68="是",AND(AB68&lt;&gt;"",AB68&lt;项目驾驶舱!$B$3,AC68&lt;&gt;"已关闭")),"是","否"))</f>
        <v/>
      </c>
      <c r="AQ68" s="8" t="str">
        <f>IF(B68="","",IF(W68="","缺风险责任人",IF(AND(OR(V68="重大",V68="高"),Y68=""),"高风险缺应对策略",IF(AND(AJ68="是",AK68=""),"已发生未关联问题",IF(AND(AC68="已关闭",AO68=""),"关闭缺证据",IF(AND(AM68&lt;&gt;"",AM68&lt;项目驾驶舱!$B$3),"评审逾期",""))))))</f>
        <v/>
      </c>
      <c r="AR68" s="8" t="str">
        <f>IF(AP68="是",COUNTIFS($AP$9:AP68,"是"),"")</f>
        <v/>
      </c>
    </row>
    <row r="69" spans="1:44">
      <c r="A69" s="8" t="str">
        <f t="shared" si="0"/>
        <v/>
      </c>
      <c r="B69" s="10"/>
      <c r="C69" s="10"/>
      <c r="D69" s="10"/>
      <c r="E69" s="10"/>
      <c r="F69" s="10"/>
      <c r="G69" s="10"/>
      <c r="H69" s="10"/>
      <c r="I69" s="10"/>
      <c r="J69" s="11"/>
      <c r="K69" s="10"/>
      <c r="L69" s="10"/>
      <c r="M69" s="10"/>
      <c r="N69" s="10"/>
      <c r="O69" s="10"/>
      <c r="P69" s="10"/>
      <c r="Q69" s="10"/>
      <c r="R69" s="10"/>
      <c r="S69" s="10"/>
      <c r="T69" s="8" t="str">
        <f t="shared" si="1"/>
        <v/>
      </c>
      <c r="U69" s="8" t="str">
        <f t="shared" si="2"/>
        <v/>
      </c>
      <c r="V69" s="8" t="str">
        <f t="shared" si="3"/>
        <v/>
      </c>
      <c r="W69" s="10"/>
      <c r="X69" s="10"/>
      <c r="Y69" s="10"/>
      <c r="Z69" s="10"/>
      <c r="AA69" s="10"/>
      <c r="AB69" s="11"/>
      <c r="AC69" s="10"/>
      <c r="AD69" s="47"/>
      <c r="AE69" s="10"/>
      <c r="AF69" s="10"/>
      <c r="AG69" s="8" t="str">
        <f t="shared" si="4"/>
        <v/>
      </c>
      <c r="AH69" s="8" t="str">
        <f t="shared" si="5"/>
        <v/>
      </c>
      <c r="AI69" s="10"/>
      <c r="AJ69" s="10"/>
      <c r="AK69" s="10"/>
      <c r="AL69" s="11"/>
      <c r="AM69" s="11"/>
      <c r="AN69" s="11"/>
      <c r="AO69" s="10"/>
      <c r="AP69" s="8" t="str">
        <f>IF(B69="","",IF(OR(V69="重大",AH69="重大",AH69="高",AI69="上升",AJ69="是",AND(AB69&lt;&gt;"",AB69&lt;项目驾驶舱!$B$3,AC69&lt;&gt;"已关闭")),"是","否"))</f>
        <v/>
      </c>
      <c r="AQ69" s="8" t="str">
        <f>IF(B69="","",IF(W69="","缺风险责任人",IF(AND(OR(V69="重大",V69="高"),Y69=""),"高风险缺应对策略",IF(AND(AJ69="是",AK69=""),"已发生未关联问题",IF(AND(AC69="已关闭",AO69=""),"关闭缺证据",IF(AND(AM69&lt;&gt;"",AM69&lt;项目驾驶舱!$B$3),"评审逾期",""))))))</f>
        <v/>
      </c>
      <c r="AR69" s="8" t="str">
        <f>IF(AP69="是",COUNTIFS($AP$9:AP69,"是"),"")</f>
        <v/>
      </c>
    </row>
    <row r="70" spans="1:44">
      <c r="A70" s="8" t="str">
        <f t="shared" si="0"/>
        <v/>
      </c>
      <c r="B70" s="10"/>
      <c r="C70" s="10"/>
      <c r="D70" s="10"/>
      <c r="E70" s="10"/>
      <c r="F70" s="10"/>
      <c r="G70" s="10"/>
      <c r="H70" s="10"/>
      <c r="I70" s="10"/>
      <c r="J70" s="11"/>
      <c r="K70" s="10"/>
      <c r="L70" s="10"/>
      <c r="M70" s="10"/>
      <c r="N70" s="10"/>
      <c r="O70" s="10"/>
      <c r="P70" s="10"/>
      <c r="Q70" s="10"/>
      <c r="R70" s="10"/>
      <c r="S70" s="10"/>
      <c r="T70" s="8" t="str">
        <f t="shared" si="1"/>
        <v/>
      </c>
      <c r="U70" s="8" t="str">
        <f t="shared" si="2"/>
        <v/>
      </c>
      <c r="V70" s="8" t="str">
        <f t="shared" si="3"/>
        <v/>
      </c>
      <c r="W70" s="10"/>
      <c r="X70" s="10"/>
      <c r="Y70" s="10"/>
      <c r="Z70" s="10"/>
      <c r="AA70" s="10"/>
      <c r="AB70" s="11"/>
      <c r="AC70" s="10"/>
      <c r="AD70" s="47"/>
      <c r="AE70" s="10"/>
      <c r="AF70" s="10"/>
      <c r="AG70" s="8" t="str">
        <f t="shared" si="4"/>
        <v/>
      </c>
      <c r="AH70" s="8" t="str">
        <f t="shared" si="5"/>
        <v/>
      </c>
      <c r="AI70" s="10"/>
      <c r="AJ70" s="10"/>
      <c r="AK70" s="10"/>
      <c r="AL70" s="11"/>
      <c r="AM70" s="11"/>
      <c r="AN70" s="11"/>
      <c r="AO70" s="10"/>
      <c r="AP70" s="8" t="str">
        <f>IF(B70="","",IF(OR(V70="重大",AH70="重大",AH70="高",AI70="上升",AJ70="是",AND(AB70&lt;&gt;"",AB70&lt;项目驾驶舱!$B$3,AC70&lt;&gt;"已关闭")),"是","否"))</f>
        <v/>
      </c>
      <c r="AQ70" s="8" t="str">
        <f>IF(B70="","",IF(W70="","缺风险责任人",IF(AND(OR(V70="重大",V70="高"),Y70=""),"高风险缺应对策略",IF(AND(AJ70="是",AK70=""),"已发生未关联问题",IF(AND(AC70="已关闭",AO70=""),"关闭缺证据",IF(AND(AM70&lt;&gt;"",AM70&lt;项目驾驶舱!$B$3),"评审逾期",""))))))</f>
        <v/>
      </c>
      <c r="AR70" s="8" t="str">
        <f>IF(AP70="是",COUNTIFS($AP$9:AP70,"是"),"")</f>
        <v/>
      </c>
    </row>
    <row r="71" spans="1:44">
      <c r="A71" s="8" t="str">
        <f t="shared" si="0"/>
        <v/>
      </c>
      <c r="B71" s="10"/>
      <c r="C71" s="10"/>
      <c r="D71" s="10"/>
      <c r="E71" s="10"/>
      <c r="F71" s="10"/>
      <c r="G71" s="10"/>
      <c r="H71" s="10"/>
      <c r="I71" s="10"/>
      <c r="J71" s="11"/>
      <c r="K71" s="10"/>
      <c r="L71" s="10"/>
      <c r="M71" s="10"/>
      <c r="N71" s="10"/>
      <c r="O71" s="10"/>
      <c r="P71" s="10"/>
      <c r="Q71" s="10"/>
      <c r="R71" s="10"/>
      <c r="S71" s="10"/>
      <c r="T71" s="8" t="str">
        <f t="shared" si="1"/>
        <v/>
      </c>
      <c r="U71" s="8" t="str">
        <f t="shared" si="2"/>
        <v/>
      </c>
      <c r="V71" s="8" t="str">
        <f t="shared" si="3"/>
        <v/>
      </c>
      <c r="W71" s="10"/>
      <c r="X71" s="10"/>
      <c r="Y71" s="10"/>
      <c r="Z71" s="10"/>
      <c r="AA71" s="10"/>
      <c r="AB71" s="11"/>
      <c r="AC71" s="10"/>
      <c r="AD71" s="47"/>
      <c r="AE71" s="10"/>
      <c r="AF71" s="10"/>
      <c r="AG71" s="8" t="str">
        <f t="shared" si="4"/>
        <v/>
      </c>
      <c r="AH71" s="8" t="str">
        <f t="shared" si="5"/>
        <v/>
      </c>
      <c r="AI71" s="10"/>
      <c r="AJ71" s="10"/>
      <c r="AK71" s="10"/>
      <c r="AL71" s="11"/>
      <c r="AM71" s="11"/>
      <c r="AN71" s="11"/>
      <c r="AO71" s="10"/>
      <c r="AP71" s="8" t="str">
        <f>IF(B71="","",IF(OR(V71="重大",AH71="重大",AH71="高",AI71="上升",AJ71="是",AND(AB71&lt;&gt;"",AB71&lt;项目驾驶舱!$B$3,AC71&lt;&gt;"已关闭")),"是","否"))</f>
        <v/>
      </c>
      <c r="AQ71" s="8" t="str">
        <f>IF(B71="","",IF(W71="","缺风险责任人",IF(AND(OR(V71="重大",V71="高"),Y71=""),"高风险缺应对策略",IF(AND(AJ71="是",AK71=""),"已发生未关联问题",IF(AND(AC71="已关闭",AO71=""),"关闭缺证据",IF(AND(AM71&lt;&gt;"",AM71&lt;项目驾驶舱!$B$3),"评审逾期",""))))))</f>
        <v/>
      </c>
      <c r="AR71" s="8" t="str">
        <f>IF(AP71="是",COUNTIFS($AP$9:AP71,"是"),"")</f>
        <v/>
      </c>
    </row>
    <row r="72" spans="1:44">
      <c r="A72" s="8" t="str">
        <f t="shared" si="0"/>
        <v/>
      </c>
      <c r="B72" s="10"/>
      <c r="C72" s="10"/>
      <c r="D72" s="10"/>
      <c r="E72" s="10"/>
      <c r="F72" s="10"/>
      <c r="G72" s="10"/>
      <c r="H72" s="10"/>
      <c r="I72" s="10"/>
      <c r="J72" s="11"/>
      <c r="K72" s="10"/>
      <c r="L72" s="10"/>
      <c r="M72" s="10"/>
      <c r="N72" s="10"/>
      <c r="O72" s="10"/>
      <c r="P72" s="10"/>
      <c r="Q72" s="10"/>
      <c r="R72" s="10"/>
      <c r="S72" s="10"/>
      <c r="T72" s="8" t="str">
        <f t="shared" si="1"/>
        <v/>
      </c>
      <c r="U72" s="8" t="str">
        <f t="shared" si="2"/>
        <v/>
      </c>
      <c r="V72" s="8" t="str">
        <f t="shared" si="3"/>
        <v/>
      </c>
      <c r="W72" s="10"/>
      <c r="X72" s="10"/>
      <c r="Y72" s="10"/>
      <c r="Z72" s="10"/>
      <c r="AA72" s="10"/>
      <c r="AB72" s="11"/>
      <c r="AC72" s="10"/>
      <c r="AD72" s="47"/>
      <c r="AE72" s="10"/>
      <c r="AF72" s="10"/>
      <c r="AG72" s="8" t="str">
        <f t="shared" si="4"/>
        <v/>
      </c>
      <c r="AH72" s="8" t="str">
        <f t="shared" si="5"/>
        <v/>
      </c>
      <c r="AI72" s="10"/>
      <c r="AJ72" s="10"/>
      <c r="AK72" s="10"/>
      <c r="AL72" s="11"/>
      <c r="AM72" s="11"/>
      <c r="AN72" s="11"/>
      <c r="AO72" s="10"/>
      <c r="AP72" s="8" t="str">
        <f>IF(B72="","",IF(OR(V72="重大",AH72="重大",AH72="高",AI72="上升",AJ72="是",AND(AB72&lt;&gt;"",AB72&lt;项目驾驶舱!$B$3,AC72&lt;&gt;"已关闭")),"是","否"))</f>
        <v/>
      </c>
      <c r="AQ72" s="8" t="str">
        <f>IF(B72="","",IF(W72="","缺风险责任人",IF(AND(OR(V72="重大",V72="高"),Y72=""),"高风险缺应对策略",IF(AND(AJ72="是",AK72=""),"已发生未关联问题",IF(AND(AC72="已关闭",AO72=""),"关闭缺证据",IF(AND(AM72&lt;&gt;"",AM72&lt;项目驾驶舱!$B$3),"评审逾期",""))))))</f>
        <v/>
      </c>
      <c r="AR72" s="8" t="str">
        <f>IF(AP72="是",COUNTIFS($AP$9:AP72,"是"),"")</f>
        <v/>
      </c>
    </row>
    <row r="73" spans="1:44">
      <c r="A73" s="8" t="str">
        <f t="shared" ref="A73:A108" si="6">IF(B73="","","RSK-"&amp;TEXT(ROW()-8,"000"))</f>
        <v/>
      </c>
      <c r="B73" s="10"/>
      <c r="C73" s="10"/>
      <c r="D73" s="10"/>
      <c r="E73" s="10"/>
      <c r="F73" s="10"/>
      <c r="G73" s="10"/>
      <c r="H73" s="10"/>
      <c r="I73" s="10"/>
      <c r="J73" s="11"/>
      <c r="K73" s="10"/>
      <c r="L73" s="10"/>
      <c r="M73" s="10"/>
      <c r="N73" s="10"/>
      <c r="O73" s="10"/>
      <c r="P73" s="10"/>
      <c r="Q73" s="10"/>
      <c r="R73" s="10"/>
      <c r="S73" s="10"/>
      <c r="T73" s="8" t="str">
        <f t="shared" ref="T73:T108" si="7">IF(B73="","",MAX(M73:S73))</f>
        <v/>
      </c>
      <c r="U73" s="8" t="str">
        <f t="shared" ref="U73:U108" si="8">IF(OR(L73="",T73=""),"",L73*T73)</f>
        <v/>
      </c>
      <c r="V73" s="8" t="str">
        <f t="shared" ref="V73:V108" si="9">IF(U73="","",IF(OR(U73&gt;=17,T73=5),"重大",IF(U73&gt;=10,"高",IF(U73&gt;=5,"中","低"))))</f>
        <v/>
      </c>
      <c r="W73" s="10"/>
      <c r="X73" s="10"/>
      <c r="Y73" s="10"/>
      <c r="Z73" s="10"/>
      <c r="AA73" s="10"/>
      <c r="AB73" s="11"/>
      <c r="AC73" s="10"/>
      <c r="AD73" s="47"/>
      <c r="AE73" s="10"/>
      <c r="AF73" s="10"/>
      <c r="AG73" s="8" t="str">
        <f t="shared" ref="AG73:AG108" si="10">IF(OR(AE73="",AF73=""),"",AE73*AF73)</f>
        <v/>
      </c>
      <c r="AH73" s="8" t="str">
        <f t="shared" ref="AH73:AH108" si="11">IF(AG73="","",IF(OR(AG73&gt;=17,AF73=5),"重大",IF(AG73&gt;=10,"高",IF(AG73&gt;=5,"中","低"))))</f>
        <v/>
      </c>
      <c r="AI73" s="10"/>
      <c r="AJ73" s="10"/>
      <c r="AK73" s="10"/>
      <c r="AL73" s="11"/>
      <c r="AM73" s="11"/>
      <c r="AN73" s="11"/>
      <c r="AO73" s="10"/>
      <c r="AP73" s="8" t="str">
        <f>IF(B73="","",IF(OR(V73="重大",AH73="重大",AH73="高",AI73="上升",AJ73="是",AND(AB73&lt;&gt;"",AB73&lt;项目驾驶舱!$B$3,AC73&lt;&gt;"已关闭")),"是","否"))</f>
        <v/>
      </c>
      <c r="AQ73" s="8" t="str">
        <f>IF(B73="","",IF(W73="","缺风险责任人",IF(AND(OR(V73="重大",V73="高"),Y73=""),"高风险缺应对策略",IF(AND(AJ73="是",AK73=""),"已发生未关联问题",IF(AND(AC73="已关闭",AO73=""),"关闭缺证据",IF(AND(AM73&lt;&gt;"",AM73&lt;项目驾驶舱!$B$3),"评审逾期",""))))))</f>
        <v/>
      </c>
      <c r="AR73" s="8" t="str">
        <f>IF(AP73="是",COUNTIFS($AP$9:AP73,"是"),"")</f>
        <v/>
      </c>
    </row>
    <row r="74" spans="1:44">
      <c r="A74" s="8" t="str">
        <f t="shared" si="6"/>
        <v/>
      </c>
      <c r="B74" s="10"/>
      <c r="C74" s="10"/>
      <c r="D74" s="10"/>
      <c r="E74" s="10"/>
      <c r="F74" s="10"/>
      <c r="G74" s="10"/>
      <c r="H74" s="10"/>
      <c r="I74" s="10"/>
      <c r="J74" s="11"/>
      <c r="K74" s="10"/>
      <c r="L74" s="10"/>
      <c r="M74" s="10"/>
      <c r="N74" s="10"/>
      <c r="O74" s="10"/>
      <c r="P74" s="10"/>
      <c r="Q74" s="10"/>
      <c r="R74" s="10"/>
      <c r="S74" s="10"/>
      <c r="T74" s="8" t="str">
        <f t="shared" si="7"/>
        <v/>
      </c>
      <c r="U74" s="8" t="str">
        <f t="shared" si="8"/>
        <v/>
      </c>
      <c r="V74" s="8" t="str">
        <f t="shared" si="9"/>
        <v/>
      </c>
      <c r="W74" s="10"/>
      <c r="X74" s="10"/>
      <c r="Y74" s="10"/>
      <c r="Z74" s="10"/>
      <c r="AA74" s="10"/>
      <c r="AB74" s="11"/>
      <c r="AC74" s="10"/>
      <c r="AD74" s="47"/>
      <c r="AE74" s="10"/>
      <c r="AF74" s="10"/>
      <c r="AG74" s="8" t="str">
        <f t="shared" si="10"/>
        <v/>
      </c>
      <c r="AH74" s="8" t="str">
        <f t="shared" si="11"/>
        <v/>
      </c>
      <c r="AI74" s="10"/>
      <c r="AJ74" s="10"/>
      <c r="AK74" s="10"/>
      <c r="AL74" s="11"/>
      <c r="AM74" s="11"/>
      <c r="AN74" s="11"/>
      <c r="AO74" s="10"/>
      <c r="AP74" s="8" t="str">
        <f>IF(B74="","",IF(OR(V74="重大",AH74="重大",AH74="高",AI74="上升",AJ74="是",AND(AB74&lt;&gt;"",AB74&lt;项目驾驶舱!$B$3,AC74&lt;&gt;"已关闭")),"是","否"))</f>
        <v/>
      </c>
      <c r="AQ74" s="8" t="str">
        <f>IF(B74="","",IF(W74="","缺风险责任人",IF(AND(OR(V74="重大",V74="高"),Y74=""),"高风险缺应对策略",IF(AND(AJ74="是",AK74=""),"已发生未关联问题",IF(AND(AC74="已关闭",AO74=""),"关闭缺证据",IF(AND(AM74&lt;&gt;"",AM74&lt;项目驾驶舱!$B$3),"评审逾期",""))))))</f>
        <v/>
      </c>
      <c r="AR74" s="8" t="str">
        <f>IF(AP74="是",COUNTIFS($AP$9:AP74,"是"),"")</f>
        <v/>
      </c>
    </row>
    <row r="75" spans="1:44">
      <c r="A75" s="8" t="str">
        <f t="shared" si="6"/>
        <v/>
      </c>
      <c r="B75" s="10"/>
      <c r="C75" s="10"/>
      <c r="D75" s="10"/>
      <c r="E75" s="10"/>
      <c r="F75" s="10"/>
      <c r="G75" s="10"/>
      <c r="H75" s="10"/>
      <c r="I75" s="10"/>
      <c r="J75" s="11"/>
      <c r="K75" s="10"/>
      <c r="L75" s="10"/>
      <c r="M75" s="10"/>
      <c r="N75" s="10"/>
      <c r="O75" s="10"/>
      <c r="P75" s="10"/>
      <c r="Q75" s="10"/>
      <c r="R75" s="10"/>
      <c r="S75" s="10"/>
      <c r="T75" s="8" t="str">
        <f t="shared" si="7"/>
        <v/>
      </c>
      <c r="U75" s="8" t="str">
        <f t="shared" si="8"/>
        <v/>
      </c>
      <c r="V75" s="8" t="str">
        <f t="shared" si="9"/>
        <v/>
      </c>
      <c r="W75" s="10"/>
      <c r="X75" s="10"/>
      <c r="Y75" s="10"/>
      <c r="Z75" s="10"/>
      <c r="AA75" s="10"/>
      <c r="AB75" s="11"/>
      <c r="AC75" s="10"/>
      <c r="AD75" s="47"/>
      <c r="AE75" s="10"/>
      <c r="AF75" s="10"/>
      <c r="AG75" s="8" t="str">
        <f t="shared" si="10"/>
        <v/>
      </c>
      <c r="AH75" s="8" t="str">
        <f t="shared" si="11"/>
        <v/>
      </c>
      <c r="AI75" s="10"/>
      <c r="AJ75" s="10"/>
      <c r="AK75" s="10"/>
      <c r="AL75" s="11"/>
      <c r="AM75" s="11"/>
      <c r="AN75" s="11"/>
      <c r="AO75" s="10"/>
      <c r="AP75" s="8" t="str">
        <f>IF(B75="","",IF(OR(V75="重大",AH75="重大",AH75="高",AI75="上升",AJ75="是",AND(AB75&lt;&gt;"",AB75&lt;项目驾驶舱!$B$3,AC75&lt;&gt;"已关闭")),"是","否"))</f>
        <v/>
      </c>
      <c r="AQ75" s="8" t="str">
        <f>IF(B75="","",IF(W75="","缺风险责任人",IF(AND(OR(V75="重大",V75="高"),Y75=""),"高风险缺应对策略",IF(AND(AJ75="是",AK75=""),"已发生未关联问题",IF(AND(AC75="已关闭",AO75=""),"关闭缺证据",IF(AND(AM75&lt;&gt;"",AM75&lt;项目驾驶舱!$B$3),"评审逾期",""))))))</f>
        <v/>
      </c>
      <c r="AR75" s="8" t="str">
        <f>IF(AP75="是",COUNTIFS($AP$9:AP75,"是"),"")</f>
        <v/>
      </c>
    </row>
    <row r="76" spans="1:44">
      <c r="A76" s="8" t="str">
        <f t="shared" si="6"/>
        <v/>
      </c>
      <c r="B76" s="10"/>
      <c r="C76" s="10"/>
      <c r="D76" s="10"/>
      <c r="E76" s="10"/>
      <c r="F76" s="10"/>
      <c r="G76" s="10"/>
      <c r="H76" s="10"/>
      <c r="I76" s="10"/>
      <c r="J76" s="11"/>
      <c r="K76" s="10"/>
      <c r="L76" s="10"/>
      <c r="M76" s="10"/>
      <c r="N76" s="10"/>
      <c r="O76" s="10"/>
      <c r="P76" s="10"/>
      <c r="Q76" s="10"/>
      <c r="R76" s="10"/>
      <c r="S76" s="10"/>
      <c r="T76" s="8" t="str">
        <f t="shared" si="7"/>
        <v/>
      </c>
      <c r="U76" s="8" t="str">
        <f t="shared" si="8"/>
        <v/>
      </c>
      <c r="V76" s="8" t="str">
        <f t="shared" si="9"/>
        <v/>
      </c>
      <c r="W76" s="10"/>
      <c r="X76" s="10"/>
      <c r="Y76" s="10"/>
      <c r="Z76" s="10"/>
      <c r="AA76" s="10"/>
      <c r="AB76" s="11"/>
      <c r="AC76" s="10"/>
      <c r="AD76" s="47"/>
      <c r="AE76" s="10"/>
      <c r="AF76" s="10"/>
      <c r="AG76" s="8" t="str">
        <f t="shared" si="10"/>
        <v/>
      </c>
      <c r="AH76" s="8" t="str">
        <f t="shared" si="11"/>
        <v/>
      </c>
      <c r="AI76" s="10"/>
      <c r="AJ76" s="10"/>
      <c r="AK76" s="10"/>
      <c r="AL76" s="11"/>
      <c r="AM76" s="11"/>
      <c r="AN76" s="11"/>
      <c r="AO76" s="10"/>
      <c r="AP76" s="8" t="str">
        <f>IF(B76="","",IF(OR(V76="重大",AH76="重大",AH76="高",AI76="上升",AJ76="是",AND(AB76&lt;&gt;"",AB76&lt;项目驾驶舱!$B$3,AC76&lt;&gt;"已关闭")),"是","否"))</f>
        <v/>
      </c>
      <c r="AQ76" s="8" t="str">
        <f>IF(B76="","",IF(W76="","缺风险责任人",IF(AND(OR(V76="重大",V76="高"),Y76=""),"高风险缺应对策略",IF(AND(AJ76="是",AK76=""),"已发生未关联问题",IF(AND(AC76="已关闭",AO76=""),"关闭缺证据",IF(AND(AM76&lt;&gt;"",AM76&lt;项目驾驶舱!$B$3),"评审逾期",""))))))</f>
        <v/>
      </c>
      <c r="AR76" s="8" t="str">
        <f>IF(AP76="是",COUNTIFS($AP$9:AP76,"是"),"")</f>
        <v/>
      </c>
    </row>
    <row r="77" spans="1:44">
      <c r="A77" s="8" t="str">
        <f t="shared" si="6"/>
        <v/>
      </c>
      <c r="B77" s="10"/>
      <c r="C77" s="10"/>
      <c r="D77" s="10"/>
      <c r="E77" s="10"/>
      <c r="F77" s="10"/>
      <c r="G77" s="10"/>
      <c r="H77" s="10"/>
      <c r="I77" s="10"/>
      <c r="J77" s="11"/>
      <c r="K77" s="10"/>
      <c r="L77" s="10"/>
      <c r="M77" s="10"/>
      <c r="N77" s="10"/>
      <c r="O77" s="10"/>
      <c r="P77" s="10"/>
      <c r="Q77" s="10"/>
      <c r="R77" s="10"/>
      <c r="S77" s="10"/>
      <c r="T77" s="8" t="str">
        <f t="shared" si="7"/>
        <v/>
      </c>
      <c r="U77" s="8" t="str">
        <f t="shared" si="8"/>
        <v/>
      </c>
      <c r="V77" s="8" t="str">
        <f t="shared" si="9"/>
        <v/>
      </c>
      <c r="W77" s="10"/>
      <c r="X77" s="10"/>
      <c r="Y77" s="10"/>
      <c r="Z77" s="10"/>
      <c r="AA77" s="10"/>
      <c r="AB77" s="11"/>
      <c r="AC77" s="10"/>
      <c r="AD77" s="47"/>
      <c r="AE77" s="10"/>
      <c r="AF77" s="10"/>
      <c r="AG77" s="8" t="str">
        <f t="shared" si="10"/>
        <v/>
      </c>
      <c r="AH77" s="8" t="str">
        <f t="shared" si="11"/>
        <v/>
      </c>
      <c r="AI77" s="10"/>
      <c r="AJ77" s="10"/>
      <c r="AK77" s="10"/>
      <c r="AL77" s="11"/>
      <c r="AM77" s="11"/>
      <c r="AN77" s="11"/>
      <c r="AO77" s="10"/>
      <c r="AP77" s="8" t="str">
        <f>IF(B77="","",IF(OR(V77="重大",AH77="重大",AH77="高",AI77="上升",AJ77="是",AND(AB77&lt;&gt;"",AB77&lt;项目驾驶舱!$B$3,AC77&lt;&gt;"已关闭")),"是","否"))</f>
        <v/>
      </c>
      <c r="AQ77" s="8" t="str">
        <f>IF(B77="","",IF(W77="","缺风险责任人",IF(AND(OR(V77="重大",V77="高"),Y77=""),"高风险缺应对策略",IF(AND(AJ77="是",AK77=""),"已发生未关联问题",IF(AND(AC77="已关闭",AO77=""),"关闭缺证据",IF(AND(AM77&lt;&gt;"",AM77&lt;项目驾驶舱!$B$3),"评审逾期",""))))))</f>
        <v/>
      </c>
      <c r="AR77" s="8" t="str">
        <f>IF(AP77="是",COUNTIFS($AP$9:AP77,"是"),"")</f>
        <v/>
      </c>
    </row>
    <row r="78" spans="1:44">
      <c r="A78" s="8" t="str">
        <f t="shared" si="6"/>
        <v/>
      </c>
      <c r="B78" s="10"/>
      <c r="C78" s="10"/>
      <c r="D78" s="10"/>
      <c r="E78" s="10"/>
      <c r="F78" s="10"/>
      <c r="G78" s="10"/>
      <c r="H78" s="10"/>
      <c r="I78" s="10"/>
      <c r="J78" s="11"/>
      <c r="K78" s="10"/>
      <c r="L78" s="10"/>
      <c r="M78" s="10"/>
      <c r="N78" s="10"/>
      <c r="O78" s="10"/>
      <c r="P78" s="10"/>
      <c r="Q78" s="10"/>
      <c r="R78" s="10"/>
      <c r="S78" s="10"/>
      <c r="T78" s="8" t="str">
        <f t="shared" si="7"/>
        <v/>
      </c>
      <c r="U78" s="8" t="str">
        <f t="shared" si="8"/>
        <v/>
      </c>
      <c r="V78" s="8" t="str">
        <f t="shared" si="9"/>
        <v/>
      </c>
      <c r="W78" s="10"/>
      <c r="X78" s="10"/>
      <c r="Y78" s="10"/>
      <c r="Z78" s="10"/>
      <c r="AA78" s="10"/>
      <c r="AB78" s="11"/>
      <c r="AC78" s="10"/>
      <c r="AD78" s="47"/>
      <c r="AE78" s="10"/>
      <c r="AF78" s="10"/>
      <c r="AG78" s="8" t="str">
        <f t="shared" si="10"/>
        <v/>
      </c>
      <c r="AH78" s="8" t="str">
        <f t="shared" si="11"/>
        <v/>
      </c>
      <c r="AI78" s="10"/>
      <c r="AJ78" s="10"/>
      <c r="AK78" s="10"/>
      <c r="AL78" s="11"/>
      <c r="AM78" s="11"/>
      <c r="AN78" s="11"/>
      <c r="AO78" s="10"/>
      <c r="AP78" s="8" t="str">
        <f>IF(B78="","",IF(OR(V78="重大",AH78="重大",AH78="高",AI78="上升",AJ78="是",AND(AB78&lt;&gt;"",AB78&lt;项目驾驶舱!$B$3,AC78&lt;&gt;"已关闭")),"是","否"))</f>
        <v/>
      </c>
      <c r="AQ78" s="8" t="str">
        <f>IF(B78="","",IF(W78="","缺风险责任人",IF(AND(OR(V78="重大",V78="高"),Y78=""),"高风险缺应对策略",IF(AND(AJ78="是",AK78=""),"已发生未关联问题",IF(AND(AC78="已关闭",AO78=""),"关闭缺证据",IF(AND(AM78&lt;&gt;"",AM78&lt;项目驾驶舱!$B$3),"评审逾期",""))))))</f>
        <v/>
      </c>
      <c r="AR78" s="8" t="str">
        <f>IF(AP78="是",COUNTIFS($AP$9:AP78,"是"),"")</f>
        <v/>
      </c>
    </row>
    <row r="79" spans="1:44">
      <c r="A79" s="8" t="str">
        <f t="shared" si="6"/>
        <v/>
      </c>
      <c r="B79" s="10"/>
      <c r="C79" s="10"/>
      <c r="D79" s="10"/>
      <c r="E79" s="10"/>
      <c r="F79" s="10"/>
      <c r="G79" s="10"/>
      <c r="H79" s="10"/>
      <c r="I79" s="10"/>
      <c r="J79" s="11"/>
      <c r="K79" s="10"/>
      <c r="L79" s="10"/>
      <c r="M79" s="10"/>
      <c r="N79" s="10"/>
      <c r="O79" s="10"/>
      <c r="P79" s="10"/>
      <c r="Q79" s="10"/>
      <c r="R79" s="10"/>
      <c r="S79" s="10"/>
      <c r="T79" s="8" t="str">
        <f t="shared" si="7"/>
        <v/>
      </c>
      <c r="U79" s="8" t="str">
        <f t="shared" si="8"/>
        <v/>
      </c>
      <c r="V79" s="8" t="str">
        <f t="shared" si="9"/>
        <v/>
      </c>
      <c r="W79" s="10"/>
      <c r="X79" s="10"/>
      <c r="Y79" s="10"/>
      <c r="Z79" s="10"/>
      <c r="AA79" s="10"/>
      <c r="AB79" s="11"/>
      <c r="AC79" s="10"/>
      <c r="AD79" s="47"/>
      <c r="AE79" s="10"/>
      <c r="AF79" s="10"/>
      <c r="AG79" s="8" t="str">
        <f t="shared" si="10"/>
        <v/>
      </c>
      <c r="AH79" s="8" t="str">
        <f t="shared" si="11"/>
        <v/>
      </c>
      <c r="AI79" s="10"/>
      <c r="AJ79" s="10"/>
      <c r="AK79" s="10"/>
      <c r="AL79" s="11"/>
      <c r="AM79" s="11"/>
      <c r="AN79" s="11"/>
      <c r="AO79" s="10"/>
      <c r="AP79" s="8" t="str">
        <f>IF(B79="","",IF(OR(V79="重大",AH79="重大",AH79="高",AI79="上升",AJ79="是",AND(AB79&lt;&gt;"",AB79&lt;项目驾驶舱!$B$3,AC79&lt;&gt;"已关闭")),"是","否"))</f>
        <v/>
      </c>
      <c r="AQ79" s="8" t="str">
        <f>IF(B79="","",IF(W79="","缺风险责任人",IF(AND(OR(V79="重大",V79="高"),Y79=""),"高风险缺应对策略",IF(AND(AJ79="是",AK79=""),"已发生未关联问题",IF(AND(AC79="已关闭",AO79=""),"关闭缺证据",IF(AND(AM79&lt;&gt;"",AM79&lt;项目驾驶舱!$B$3),"评审逾期",""))))))</f>
        <v/>
      </c>
      <c r="AR79" s="8" t="str">
        <f>IF(AP79="是",COUNTIFS($AP$9:AP79,"是"),"")</f>
        <v/>
      </c>
    </row>
    <row r="80" spans="1:44">
      <c r="A80" s="8" t="str">
        <f t="shared" si="6"/>
        <v/>
      </c>
      <c r="B80" s="10"/>
      <c r="C80" s="10"/>
      <c r="D80" s="10"/>
      <c r="E80" s="10"/>
      <c r="F80" s="10"/>
      <c r="G80" s="10"/>
      <c r="H80" s="10"/>
      <c r="I80" s="10"/>
      <c r="J80" s="11"/>
      <c r="K80" s="10"/>
      <c r="L80" s="10"/>
      <c r="M80" s="10"/>
      <c r="N80" s="10"/>
      <c r="O80" s="10"/>
      <c r="P80" s="10"/>
      <c r="Q80" s="10"/>
      <c r="R80" s="10"/>
      <c r="S80" s="10"/>
      <c r="T80" s="8" t="str">
        <f t="shared" si="7"/>
        <v/>
      </c>
      <c r="U80" s="8" t="str">
        <f t="shared" si="8"/>
        <v/>
      </c>
      <c r="V80" s="8" t="str">
        <f t="shared" si="9"/>
        <v/>
      </c>
      <c r="W80" s="10"/>
      <c r="X80" s="10"/>
      <c r="Y80" s="10"/>
      <c r="Z80" s="10"/>
      <c r="AA80" s="10"/>
      <c r="AB80" s="11"/>
      <c r="AC80" s="10"/>
      <c r="AD80" s="47"/>
      <c r="AE80" s="10"/>
      <c r="AF80" s="10"/>
      <c r="AG80" s="8" t="str">
        <f t="shared" si="10"/>
        <v/>
      </c>
      <c r="AH80" s="8" t="str">
        <f t="shared" si="11"/>
        <v/>
      </c>
      <c r="AI80" s="10"/>
      <c r="AJ80" s="10"/>
      <c r="AK80" s="10"/>
      <c r="AL80" s="11"/>
      <c r="AM80" s="11"/>
      <c r="AN80" s="11"/>
      <c r="AO80" s="10"/>
      <c r="AP80" s="8" t="str">
        <f>IF(B80="","",IF(OR(V80="重大",AH80="重大",AH80="高",AI80="上升",AJ80="是",AND(AB80&lt;&gt;"",AB80&lt;项目驾驶舱!$B$3,AC80&lt;&gt;"已关闭")),"是","否"))</f>
        <v/>
      </c>
      <c r="AQ80" s="8" t="str">
        <f>IF(B80="","",IF(W80="","缺风险责任人",IF(AND(OR(V80="重大",V80="高"),Y80=""),"高风险缺应对策略",IF(AND(AJ80="是",AK80=""),"已发生未关联问题",IF(AND(AC80="已关闭",AO80=""),"关闭缺证据",IF(AND(AM80&lt;&gt;"",AM80&lt;项目驾驶舱!$B$3),"评审逾期",""))))))</f>
        <v/>
      </c>
      <c r="AR80" s="8" t="str">
        <f>IF(AP80="是",COUNTIFS($AP$9:AP80,"是"),"")</f>
        <v/>
      </c>
    </row>
    <row r="81" spans="1:44">
      <c r="A81" s="8" t="str">
        <f t="shared" si="6"/>
        <v/>
      </c>
      <c r="B81" s="10"/>
      <c r="C81" s="10"/>
      <c r="D81" s="10"/>
      <c r="E81" s="10"/>
      <c r="F81" s="10"/>
      <c r="G81" s="10"/>
      <c r="H81" s="10"/>
      <c r="I81" s="10"/>
      <c r="J81" s="11"/>
      <c r="K81" s="10"/>
      <c r="L81" s="10"/>
      <c r="M81" s="10"/>
      <c r="N81" s="10"/>
      <c r="O81" s="10"/>
      <c r="P81" s="10"/>
      <c r="Q81" s="10"/>
      <c r="R81" s="10"/>
      <c r="S81" s="10"/>
      <c r="T81" s="8" t="str">
        <f t="shared" si="7"/>
        <v/>
      </c>
      <c r="U81" s="8" t="str">
        <f t="shared" si="8"/>
        <v/>
      </c>
      <c r="V81" s="8" t="str">
        <f t="shared" si="9"/>
        <v/>
      </c>
      <c r="W81" s="10"/>
      <c r="X81" s="10"/>
      <c r="Y81" s="10"/>
      <c r="Z81" s="10"/>
      <c r="AA81" s="10"/>
      <c r="AB81" s="11"/>
      <c r="AC81" s="10"/>
      <c r="AD81" s="47"/>
      <c r="AE81" s="10"/>
      <c r="AF81" s="10"/>
      <c r="AG81" s="8" t="str">
        <f t="shared" si="10"/>
        <v/>
      </c>
      <c r="AH81" s="8" t="str">
        <f t="shared" si="11"/>
        <v/>
      </c>
      <c r="AI81" s="10"/>
      <c r="AJ81" s="10"/>
      <c r="AK81" s="10"/>
      <c r="AL81" s="11"/>
      <c r="AM81" s="11"/>
      <c r="AN81" s="11"/>
      <c r="AO81" s="10"/>
      <c r="AP81" s="8" t="str">
        <f>IF(B81="","",IF(OR(V81="重大",AH81="重大",AH81="高",AI81="上升",AJ81="是",AND(AB81&lt;&gt;"",AB81&lt;项目驾驶舱!$B$3,AC81&lt;&gt;"已关闭")),"是","否"))</f>
        <v/>
      </c>
      <c r="AQ81" s="8" t="str">
        <f>IF(B81="","",IF(W81="","缺风险责任人",IF(AND(OR(V81="重大",V81="高"),Y81=""),"高风险缺应对策略",IF(AND(AJ81="是",AK81=""),"已发生未关联问题",IF(AND(AC81="已关闭",AO81=""),"关闭缺证据",IF(AND(AM81&lt;&gt;"",AM81&lt;项目驾驶舱!$B$3),"评审逾期",""))))))</f>
        <v/>
      </c>
      <c r="AR81" s="8" t="str">
        <f>IF(AP81="是",COUNTIFS($AP$9:AP81,"是"),"")</f>
        <v/>
      </c>
    </row>
    <row r="82" spans="1:44">
      <c r="A82" s="8" t="str">
        <f t="shared" si="6"/>
        <v/>
      </c>
      <c r="B82" s="10"/>
      <c r="C82" s="10"/>
      <c r="D82" s="10"/>
      <c r="E82" s="10"/>
      <c r="F82" s="10"/>
      <c r="G82" s="10"/>
      <c r="H82" s="10"/>
      <c r="I82" s="10"/>
      <c r="J82" s="11"/>
      <c r="K82" s="10"/>
      <c r="L82" s="10"/>
      <c r="M82" s="10"/>
      <c r="N82" s="10"/>
      <c r="O82" s="10"/>
      <c r="P82" s="10"/>
      <c r="Q82" s="10"/>
      <c r="R82" s="10"/>
      <c r="S82" s="10"/>
      <c r="T82" s="8" t="str">
        <f t="shared" si="7"/>
        <v/>
      </c>
      <c r="U82" s="8" t="str">
        <f t="shared" si="8"/>
        <v/>
      </c>
      <c r="V82" s="8" t="str">
        <f t="shared" si="9"/>
        <v/>
      </c>
      <c r="W82" s="10"/>
      <c r="X82" s="10"/>
      <c r="Y82" s="10"/>
      <c r="Z82" s="10"/>
      <c r="AA82" s="10"/>
      <c r="AB82" s="11"/>
      <c r="AC82" s="10"/>
      <c r="AD82" s="47"/>
      <c r="AE82" s="10"/>
      <c r="AF82" s="10"/>
      <c r="AG82" s="8" t="str">
        <f t="shared" si="10"/>
        <v/>
      </c>
      <c r="AH82" s="8" t="str">
        <f t="shared" si="11"/>
        <v/>
      </c>
      <c r="AI82" s="10"/>
      <c r="AJ82" s="10"/>
      <c r="AK82" s="10"/>
      <c r="AL82" s="11"/>
      <c r="AM82" s="11"/>
      <c r="AN82" s="11"/>
      <c r="AO82" s="10"/>
      <c r="AP82" s="8" t="str">
        <f>IF(B82="","",IF(OR(V82="重大",AH82="重大",AH82="高",AI82="上升",AJ82="是",AND(AB82&lt;&gt;"",AB82&lt;项目驾驶舱!$B$3,AC82&lt;&gt;"已关闭")),"是","否"))</f>
        <v/>
      </c>
      <c r="AQ82" s="8" t="str">
        <f>IF(B82="","",IF(W82="","缺风险责任人",IF(AND(OR(V82="重大",V82="高"),Y82=""),"高风险缺应对策略",IF(AND(AJ82="是",AK82=""),"已发生未关联问题",IF(AND(AC82="已关闭",AO82=""),"关闭缺证据",IF(AND(AM82&lt;&gt;"",AM82&lt;项目驾驶舱!$B$3),"评审逾期",""))))))</f>
        <v/>
      </c>
      <c r="AR82" s="8" t="str">
        <f>IF(AP82="是",COUNTIFS($AP$9:AP82,"是"),"")</f>
        <v/>
      </c>
    </row>
    <row r="83" spans="1:44">
      <c r="A83" s="8" t="str">
        <f t="shared" si="6"/>
        <v/>
      </c>
      <c r="B83" s="10"/>
      <c r="C83" s="10"/>
      <c r="D83" s="10"/>
      <c r="E83" s="10"/>
      <c r="F83" s="10"/>
      <c r="G83" s="10"/>
      <c r="H83" s="10"/>
      <c r="I83" s="10"/>
      <c r="J83" s="11"/>
      <c r="K83" s="10"/>
      <c r="L83" s="10"/>
      <c r="M83" s="10"/>
      <c r="N83" s="10"/>
      <c r="O83" s="10"/>
      <c r="P83" s="10"/>
      <c r="Q83" s="10"/>
      <c r="R83" s="10"/>
      <c r="S83" s="10"/>
      <c r="T83" s="8" t="str">
        <f t="shared" si="7"/>
        <v/>
      </c>
      <c r="U83" s="8" t="str">
        <f t="shared" si="8"/>
        <v/>
      </c>
      <c r="V83" s="8" t="str">
        <f t="shared" si="9"/>
        <v/>
      </c>
      <c r="W83" s="10"/>
      <c r="X83" s="10"/>
      <c r="Y83" s="10"/>
      <c r="Z83" s="10"/>
      <c r="AA83" s="10"/>
      <c r="AB83" s="11"/>
      <c r="AC83" s="10"/>
      <c r="AD83" s="47"/>
      <c r="AE83" s="10"/>
      <c r="AF83" s="10"/>
      <c r="AG83" s="8" t="str">
        <f t="shared" si="10"/>
        <v/>
      </c>
      <c r="AH83" s="8" t="str">
        <f t="shared" si="11"/>
        <v/>
      </c>
      <c r="AI83" s="10"/>
      <c r="AJ83" s="10"/>
      <c r="AK83" s="10"/>
      <c r="AL83" s="11"/>
      <c r="AM83" s="11"/>
      <c r="AN83" s="11"/>
      <c r="AO83" s="10"/>
      <c r="AP83" s="8" t="str">
        <f>IF(B83="","",IF(OR(V83="重大",AH83="重大",AH83="高",AI83="上升",AJ83="是",AND(AB83&lt;&gt;"",AB83&lt;项目驾驶舱!$B$3,AC83&lt;&gt;"已关闭")),"是","否"))</f>
        <v/>
      </c>
      <c r="AQ83" s="8" t="str">
        <f>IF(B83="","",IF(W83="","缺风险责任人",IF(AND(OR(V83="重大",V83="高"),Y83=""),"高风险缺应对策略",IF(AND(AJ83="是",AK83=""),"已发生未关联问题",IF(AND(AC83="已关闭",AO83=""),"关闭缺证据",IF(AND(AM83&lt;&gt;"",AM83&lt;项目驾驶舱!$B$3),"评审逾期",""))))))</f>
        <v/>
      </c>
      <c r="AR83" s="8" t="str">
        <f>IF(AP83="是",COUNTIFS($AP$9:AP83,"是"),"")</f>
        <v/>
      </c>
    </row>
    <row r="84" spans="1:44">
      <c r="A84" s="8" t="str">
        <f t="shared" si="6"/>
        <v/>
      </c>
      <c r="B84" s="10"/>
      <c r="C84" s="10"/>
      <c r="D84" s="10"/>
      <c r="E84" s="10"/>
      <c r="F84" s="10"/>
      <c r="G84" s="10"/>
      <c r="H84" s="10"/>
      <c r="I84" s="10"/>
      <c r="J84" s="11"/>
      <c r="K84" s="10"/>
      <c r="L84" s="10"/>
      <c r="M84" s="10"/>
      <c r="N84" s="10"/>
      <c r="O84" s="10"/>
      <c r="P84" s="10"/>
      <c r="Q84" s="10"/>
      <c r="R84" s="10"/>
      <c r="S84" s="10"/>
      <c r="T84" s="8" t="str">
        <f t="shared" si="7"/>
        <v/>
      </c>
      <c r="U84" s="8" t="str">
        <f t="shared" si="8"/>
        <v/>
      </c>
      <c r="V84" s="8" t="str">
        <f t="shared" si="9"/>
        <v/>
      </c>
      <c r="W84" s="10"/>
      <c r="X84" s="10"/>
      <c r="Y84" s="10"/>
      <c r="Z84" s="10"/>
      <c r="AA84" s="10"/>
      <c r="AB84" s="11"/>
      <c r="AC84" s="10"/>
      <c r="AD84" s="47"/>
      <c r="AE84" s="10"/>
      <c r="AF84" s="10"/>
      <c r="AG84" s="8" t="str">
        <f t="shared" si="10"/>
        <v/>
      </c>
      <c r="AH84" s="8" t="str">
        <f t="shared" si="11"/>
        <v/>
      </c>
      <c r="AI84" s="10"/>
      <c r="AJ84" s="10"/>
      <c r="AK84" s="10"/>
      <c r="AL84" s="11"/>
      <c r="AM84" s="11"/>
      <c r="AN84" s="11"/>
      <c r="AO84" s="10"/>
      <c r="AP84" s="8" t="str">
        <f>IF(B84="","",IF(OR(V84="重大",AH84="重大",AH84="高",AI84="上升",AJ84="是",AND(AB84&lt;&gt;"",AB84&lt;项目驾驶舱!$B$3,AC84&lt;&gt;"已关闭")),"是","否"))</f>
        <v/>
      </c>
      <c r="AQ84" s="8" t="str">
        <f>IF(B84="","",IF(W84="","缺风险责任人",IF(AND(OR(V84="重大",V84="高"),Y84=""),"高风险缺应对策略",IF(AND(AJ84="是",AK84=""),"已发生未关联问题",IF(AND(AC84="已关闭",AO84=""),"关闭缺证据",IF(AND(AM84&lt;&gt;"",AM84&lt;项目驾驶舱!$B$3),"评审逾期",""))))))</f>
        <v/>
      </c>
      <c r="AR84" s="8" t="str">
        <f>IF(AP84="是",COUNTIFS($AP$9:AP84,"是"),"")</f>
        <v/>
      </c>
    </row>
    <row r="85" spans="1:44">
      <c r="A85" s="8" t="str">
        <f t="shared" si="6"/>
        <v/>
      </c>
      <c r="B85" s="10"/>
      <c r="C85" s="10"/>
      <c r="D85" s="10"/>
      <c r="E85" s="10"/>
      <c r="F85" s="10"/>
      <c r="G85" s="10"/>
      <c r="H85" s="10"/>
      <c r="I85" s="10"/>
      <c r="J85" s="11"/>
      <c r="K85" s="10"/>
      <c r="L85" s="10"/>
      <c r="M85" s="10"/>
      <c r="N85" s="10"/>
      <c r="O85" s="10"/>
      <c r="P85" s="10"/>
      <c r="Q85" s="10"/>
      <c r="R85" s="10"/>
      <c r="S85" s="10"/>
      <c r="T85" s="8" t="str">
        <f t="shared" si="7"/>
        <v/>
      </c>
      <c r="U85" s="8" t="str">
        <f t="shared" si="8"/>
        <v/>
      </c>
      <c r="V85" s="8" t="str">
        <f t="shared" si="9"/>
        <v/>
      </c>
      <c r="W85" s="10"/>
      <c r="X85" s="10"/>
      <c r="Y85" s="10"/>
      <c r="Z85" s="10"/>
      <c r="AA85" s="10"/>
      <c r="AB85" s="11"/>
      <c r="AC85" s="10"/>
      <c r="AD85" s="47"/>
      <c r="AE85" s="10"/>
      <c r="AF85" s="10"/>
      <c r="AG85" s="8" t="str">
        <f t="shared" si="10"/>
        <v/>
      </c>
      <c r="AH85" s="8" t="str">
        <f t="shared" si="11"/>
        <v/>
      </c>
      <c r="AI85" s="10"/>
      <c r="AJ85" s="10"/>
      <c r="AK85" s="10"/>
      <c r="AL85" s="11"/>
      <c r="AM85" s="11"/>
      <c r="AN85" s="11"/>
      <c r="AO85" s="10"/>
      <c r="AP85" s="8" t="str">
        <f>IF(B85="","",IF(OR(V85="重大",AH85="重大",AH85="高",AI85="上升",AJ85="是",AND(AB85&lt;&gt;"",AB85&lt;项目驾驶舱!$B$3,AC85&lt;&gt;"已关闭")),"是","否"))</f>
        <v/>
      </c>
      <c r="AQ85" s="8" t="str">
        <f>IF(B85="","",IF(W85="","缺风险责任人",IF(AND(OR(V85="重大",V85="高"),Y85=""),"高风险缺应对策略",IF(AND(AJ85="是",AK85=""),"已发生未关联问题",IF(AND(AC85="已关闭",AO85=""),"关闭缺证据",IF(AND(AM85&lt;&gt;"",AM85&lt;项目驾驶舱!$B$3),"评审逾期",""))))))</f>
        <v/>
      </c>
      <c r="AR85" s="8" t="str">
        <f>IF(AP85="是",COUNTIFS($AP$9:AP85,"是"),"")</f>
        <v/>
      </c>
    </row>
    <row r="86" spans="1:44">
      <c r="A86" s="8" t="str">
        <f t="shared" si="6"/>
        <v/>
      </c>
      <c r="B86" s="10"/>
      <c r="C86" s="10"/>
      <c r="D86" s="10"/>
      <c r="E86" s="10"/>
      <c r="F86" s="10"/>
      <c r="G86" s="10"/>
      <c r="H86" s="10"/>
      <c r="I86" s="10"/>
      <c r="J86" s="11"/>
      <c r="K86" s="10"/>
      <c r="L86" s="10"/>
      <c r="M86" s="10"/>
      <c r="N86" s="10"/>
      <c r="O86" s="10"/>
      <c r="P86" s="10"/>
      <c r="Q86" s="10"/>
      <c r="R86" s="10"/>
      <c r="S86" s="10"/>
      <c r="T86" s="8" t="str">
        <f t="shared" si="7"/>
        <v/>
      </c>
      <c r="U86" s="8" t="str">
        <f t="shared" si="8"/>
        <v/>
      </c>
      <c r="V86" s="8" t="str">
        <f t="shared" si="9"/>
        <v/>
      </c>
      <c r="W86" s="10"/>
      <c r="X86" s="10"/>
      <c r="Y86" s="10"/>
      <c r="Z86" s="10"/>
      <c r="AA86" s="10"/>
      <c r="AB86" s="11"/>
      <c r="AC86" s="10"/>
      <c r="AD86" s="47"/>
      <c r="AE86" s="10"/>
      <c r="AF86" s="10"/>
      <c r="AG86" s="8" t="str">
        <f t="shared" si="10"/>
        <v/>
      </c>
      <c r="AH86" s="8" t="str">
        <f t="shared" si="11"/>
        <v/>
      </c>
      <c r="AI86" s="10"/>
      <c r="AJ86" s="10"/>
      <c r="AK86" s="10"/>
      <c r="AL86" s="11"/>
      <c r="AM86" s="11"/>
      <c r="AN86" s="11"/>
      <c r="AO86" s="10"/>
      <c r="AP86" s="8" t="str">
        <f>IF(B86="","",IF(OR(V86="重大",AH86="重大",AH86="高",AI86="上升",AJ86="是",AND(AB86&lt;&gt;"",AB86&lt;项目驾驶舱!$B$3,AC86&lt;&gt;"已关闭")),"是","否"))</f>
        <v/>
      </c>
      <c r="AQ86" s="8" t="str">
        <f>IF(B86="","",IF(W86="","缺风险责任人",IF(AND(OR(V86="重大",V86="高"),Y86=""),"高风险缺应对策略",IF(AND(AJ86="是",AK86=""),"已发生未关联问题",IF(AND(AC86="已关闭",AO86=""),"关闭缺证据",IF(AND(AM86&lt;&gt;"",AM86&lt;项目驾驶舱!$B$3),"评审逾期",""))))))</f>
        <v/>
      </c>
      <c r="AR86" s="8" t="str">
        <f>IF(AP86="是",COUNTIFS($AP$9:AP86,"是"),"")</f>
        <v/>
      </c>
    </row>
    <row r="87" spans="1:44">
      <c r="A87" s="8" t="str">
        <f t="shared" si="6"/>
        <v/>
      </c>
      <c r="B87" s="10"/>
      <c r="C87" s="10"/>
      <c r="D87" s="10"/>
      <c r="E87" s="10"/>
      <c r="F87" s="10"/>
      <c r="G87" s="10"/>
      <c r="H87" s="10"/>
      <c r="I87" s="10"/>
      <c r="J87" s="11"/>
      <c r="K87" s="10"/>
      <c r="L87" s="10"/>
      <c r="M87" s="10"/>
      <c r="N87" s="10"/>
      <c r="O87" s="10"/>
      <c r="P87" s="10"/>
      <c r="Q87" s="10"/>
      <c r="R87" s="10"/>
      <c r="S87" s="10"/>
      <c r="T87" s="8" t="str">
        <f t="shared" si="7"/>
        <v/>
      </c>
      <c r="U87" s="8" t="str">
        <f t="shared" si="8"/>
        <v/>
      </c>
      <c r="V87" s="8" t="str">
        <f t="shared" si="9"/>
        <v/>
      </c>
      <c r="W87" s="10"/>
      <c r="X87" s="10"/>
      <c r="Y87" s="10"/>
      <c r="Z87" s="10"/>
      <c r="AA87" s="10"/>
      <c r="AB87" s="11"/>
      <c r="AC87" s="10"/>
      <c r="AD87" s="47"/>
      <c r="AE87" s="10"/>
      <c r="AF87" s="10"/>
      <c r="AG87" s="8" t="str">
        <f t="shared" si="10"/>
        <v/>
      </c>
      <c r="AH87" s="8" t="str">
        <f t="shared" si="11"/>
        <v/>
      </c>
      <c r="AI87" s="10"/>
      <c r="AJ87" s="10"/>
      <c r="AK87" s="10"/>
      <c r="AL87" s="11"/>
      <c r="AM87" s="11"/>
      <c r="AN87" s="11"/>
      <c r="AO87" s="10"/>
      <c r="AP87" s="8" t="str">
        <f>IF(B87="","",IF(OR(V87="重大",AH87="重大",AH87="高",AI87="上升",AJ87="是",AND(AB87&lt;&gt;"",AB87&lt;项目驾驶舱!$B$3,AC87&lt;&gt;"已关闭")),"是","否"))</f>
        <v/>
      </c>
      <c r="AQ87" s="8" t="str">
        <f>IF(B87="","",IF(W87="","缺风险责任人",IF(AND(OR(V87="重大",V87="高"),Y87=""),"高风险缺应对策略",IF(AND(AJ87="是",AK87=""),"已发生未关联问题",IF(AND(AC87="已关闭",AO87=""),"关闭缺证据",IF(AND(AM87&lt;&gt;"",AM87&lt;项目驾驶舱!$B$3),"评审逾期",""))))))</f>
        <v/>
      </c>
      <c r="AR87" s="8" t="str">
        <f>IF(AP87="是",COUNTIFS($AP$9:AP87,"是"),"")</f>
        <v/>
      </c>
    </row>
    <row r="88" spans="1:44">
      <c r="A88" s="8" t="str">
        <f t="shared" si="6"/>
        <v/>
      </c>
      <c r="B88" s="10"/>
      <c r="C88" s="10"/>
      <c r="D88" s="10"/>
      <c r="E88" s="10"/>
      <c r="F88" s="10"/>
      <c r="G88" s="10"/>
      <c r="H88" s="10"/>
      <c r="I88" s="10"/>
      <c r="J88" s="11"/>
      <c r="K88" s="10"/>
      <c r="L88" s="10"/>
      <c r="M88" s="10"/>
      <c r="N88" s="10"/>
      <c r="O88" s="10"/>
      <c r="P88" s="10"/>
      <c r="Q88" s="10"/>
      <c r="R88" s="10"/>
      <c r="S88" s="10"/>
      <c r="T88" s="8" t="str">
        <f t="shared" si="7"/>
        <v/>
      </c>
      <c r="U88" s="8" t="str">
        <f t="shared" si="8"/>
        <v/>
      </c>
      <c r="V88" s="8" t="str">
        <f t="shared" si="9"/>
        <v/>
      </c>
      <c r="W88" s="10"/>
      <c r="X88" s="10"/>
      <c r="Y88" s="10"/>
      <c r="Z88" s="10"/>
      <c r="AA88" s="10"/>
      <c r="AB88" s="11"/>
      <c r="AC88" s="10"/>
      <c r="AD88" s="47"/>
      <c r="AE88" s="10"/>
      <c r="AF88" s="10"/>
      <c r="AG88" s="8" t="str">
        <f t="shared" si="10"/>
        <v/>
      </c>
      <c r="AH88" s="8" t="str">
        <f t="shared" si="11"/>
        <v/>
      </c>
      <c r="AI88" s="10"/>
      <c r="AJ88" s="10"/>
      <c r="AK88" s="10"/>
      <c r="AL88" s="11"/>
      <c r="AM88" s="11"/>
      <c r="AN88" s="11"/>
      <c r="AO88" s="10"/>
      <c r="AP88" s="8" t="str">
        <f>IF(B88="","",IF(OR(V88="重大",AH88="重大",AH88="高",AI88="上升",AJ88="是",AND(AB88&lt;&gt;"",AB88&lt;项目驾驶舱!$B$3,AC88&lt;&gt;"已关闭")),"是","否"))</f>
        <v/>
      </c>
      <c r="AQ88" s="8" t="str">
        <f>IF(B88="","",IF(W88="","缺风险责任人",IF(AND(OR(V88="重大",V88="高"),Y88=""),"高风险缺应对策略",IF(AND(AJ88="是",AK88=""),"已发生未关联问题",IF(AND(AC88="已关闭",AO88=""),"关闭缺证据",IF(AND(AM88&lt;&gt;"",AM88&lt;项目驾驶舱!$B$3),"评审逾期",""))))))</f>
        <v/>
      </c>
      <c r="AR88" s="8" t="str">
        <f>IF(AP88="是",COUNTIFS($AP$9:AP88,"是"),"")</f>
        <v/>
      </c>
    </row>
    <row r="89" spans="1:44">
      <c r="A89" s="8" t="str">
        <f t="shared" si="6"/>
        <v/>
      </c>
      <c r="B89" s="10"/>
      <c r="C89" s="10"/>
      <c r="D89" s="10"/>
      <c r="E89" s="10"/>
      <c r="F89" s="10"/>
      <c r="G89" s="10"/>
      <c r="H89" s="10"/>
      <c r="I89" s="10"/>
      <c r="J89" s="11"/>
      <c r="K89" s="10"/>
      <c r="L89" s="10"/>
      <c r="M89" s="10"/>
      <c r="N89" s="10"/>
      <c r="O89" s="10"/>
      <c r="P89" s="10"/>
      <c r="Q89" s="10"/>
      <c r="R89" s="10"/>
      <c r="S89" s="10"/>
      <c r="T89" s="8" t="str">
        <f t="shared" si="7"/>
        <v/>
      </c>
      <c r="U89" s="8" t="str">
        <f t="shared" si="8"/>
        <v/>
      </c>
      <c r="V89" s="8" t="str">
        <f t="shared" si="9"/>
        <v/>
      </c>
      <c r="W89" s="10"/>
      <c r="X89" s="10"/>
      <c r="Y89" s="10"/>
      <c r="Z89" s="10"/>
      <c r="AA89" s="10"/>
      <c r="AB89" s="11"/>
      <c r="AC89" s="10"/>
      <c r="AD89" s="47"/>
      <c r="AE89" s="10"/>
      <c r="AF89" s="10"/>
      <c r="AG89" s="8" t="str">
        <f t="shared" si="10"/>
        <v/>
      </c>
      <c r="AH89" s="8" t="str">
        <f t="shared" si="11"/>
        <v/>
      </c>
      <c r="AI89" s="10"/>
      <c r="AJ89" s="10"/>
      <c r="AK89" s="10"/>
      <c r="AL89" s="11"/>
      <c r="AM89" s="11"/>
      <c r="AN89" s="11"/>
      <c r="AO89" s="10"/>
      <c r="AP89" s="8" t="str">
        <f>IF(B89="","",IF(OR(V89="重大",AH89="重大",AH89="高",AI89="上升",AJ89="是",AND(AB89&lt;&gt;"",AB89&lt;项目驾驶舱!$B$3,AC89&lt;&gt;"已关闭")),"是","否"))</f>
        <v/>
      </c>
      <c r="AQ89" s="8" t="str">
        <f>IF(B89="","",IF(W89="","缺风险责任人",IF(AND(OR(V89="重大",V89="高"),Y89=""),"高风险缺应对策略",IF(AND(AJ89="是",AK89=""),"已发生未关联问题",IF(AND(AC89="已关闭",AO89=""),"关闭缺证据",IF(AND(AM89&lt;&gt;"",AM89&lt;项目驾驶舱!$B$3),"评审逾期",""))))))</f>
        <v/>
      </c>
      <c r="AR89" s="8" t="str">
        <f>IF(AP89="是",COUNTIFS($AP$9:AP89,"是"),"")</f>
        <v/>
      </c>
    </row>
    <row r="90" spans="1:44">
      <c r="A90" s="8" t="str">
        <f t="shared" si="6"/>
        <v/>
      </c>
      <c r="B90" s="10"/>
      <c r="C90" s="10"/>
      <c r="D90" s="10"/>
      <c r="E90" s="10"/>
      <c r="F90" s="10"/>
      <c r="G90" s="10"/>
      <c r="H90" s="10"/>
      <c r="I90" s="10"/>
      <c r="J90" s="11"/>
      <c r="K90" s="10"/>
      <c r="L90" s="10"/>
      <c r="M90" s="10"/>
      <c r="N90" s="10"/>
      <c r="O90" s="10"/>
      <c r="P90" s="10"/>
      <c r="Q90" s="10"/>
      <c r="R90" s="10"/>
      <c r="S90" s="10"/>
      <c r="T90" s="8" t="str">
        <f t="shared" si="7"/>
        <v/>
      </c>
      <c r="U90" s="8" t="str">
        <f t="shared" si="8"/>
        <v/>
      </c>
      <c r="V90" s="8" t="str">
        <f t="shared" si="9"/>
        <v/>
      </c>
      <c r="W90" s="10"/>
      <c r="X90" s="10"/>
      <c r="Y90" s="10"/>
      <c r="Z90" s="10"/>
      <c r="AA90" s="10"/>
      <c r="AB90" s="11"/>
      <c r="AC90" s="10"/>
      <c r="AD90" s="47"/>
      <c r="AE90" s="10"/>
      <c r="AF90" s="10"/>
      <c r="AG90" s="8" t="str">
        <f t="shared" si="10"/>
        <v/>
      </c>
      <c r="AH90" s="8" t="str">
        <f t="shared" si="11"/>
        <v/>
      </c>
      <c r="AI90" s="10"/>
      <c r="AJ90" s="10"/>
      <c r="AK90" s="10"/>
      <c r="AL90" s="11"/>
      <c r="AM90" s="11"/>
      <c r="AN90" s="11"/>
      <c r="AO90" s="10"/>
      <c r="AP90" s="8" t="str">
        <f>IF(B90="","",IF(OR(V90="重大",AH90="重大",AH90="高",AI90="上升",AJ90="是",AND(AB90&lt;&gt;"",AB90&lt;项目驾驶舱!$B$3,AC90&lt;&gt;"已关闭")),"是","否"))</f>
        <v/>
      </c>
      <c r="AQ90" s="8" t="str">
        <f>IF(B90="","",IF(W90="","缺风险责任人",IF(AND(OR(V90="重大",V90="高"),Y90=""),"高风险缺应对策略",IF(AND(AJ90="是",AK90=""),"已发生未关联问题",IF(AND(AC90="已关闭",AO90=""),"关闭缺证据",IF(AND(AM90&lt;&gt;"",AM90&lt;项目驾驶舱!$B$3),"评审逾期",""))))))</f>
        <v/>
      </c>
      <c r="AR90" s="8" t="str">
        <f>IF(AP90="是",COUNTIFS($AP$9:AP90,"是"),"")</f>
        <v/>
      </c>
    </row>
    <row r="91" spans="1:44">
      <c r="A91" s="8" t="str">
        <f t="shared" si="6"/>
        <v/>
      </c>
      <c r="B91" s="10"/>
      <c r="C91" s="10"/>
      <c r="D91" s="10"/>
      <c r="E91" s="10"/>
      <c r="F91" s="10"/>
      <c r="G91" s="10"/>
      <c r="H91" s="10"/>
      <c r="I91" s="10"/>
      <c r="J91" s="11"/>
      <c r="K91" s="10"/>
      <c r="L91" s="10"/>
      <c r="M91" s="10"/>
      <c r="N91" s="10"/>
      <c r="O91" s="10"/>
      <c r="P91" s="10"/>
      <c r="Q91" s="10"/>
      <c r="R91" s="10"/>
      <c r="S91" s="10"/>
      <c r="T91" s="8" t="str">
        <f t="shared" si="7"/>
        <v/>
      </c>
      <c r="U91" s="8" t="str">
        <f t="shared" si="8"/>
        <v/>
      </c>
      <c r="V91" s="8" t="str">
        <f t="shared" si="9"/>
        <v/>
      </c>
      <c r="W91" s="10"/>
      <c r="X91" s="10"/>
      <c r="Y91" s="10"/>
      <c r="Z91" s="10"/>
      <c r="AA91" s="10"/>
      <c r="AB91" s="11"/>
      <c r="AC91" s="10"/>
      <c r="AD91" s="47"/>
      <c r="AE91" s="10"/>
      <c r="AF91" s="10"/>
      <c r="AG91" s="8" t="str">
        <f t="shared" si="10"/>
        <v/>
      </c>
      <c r="AH91" s="8" t="str">
        <f t="shared" si="11"/>
        <v/>
      </c>
      <c r="AI91" s="10"/>
      <c r="AJ91" s="10"/>
      <c r="AK91" s="10"/>
      <c r="AL91" s="11"/>
      <c r="AM91" s="11"/>
      <c r="AN91" s="11"/>
      <c r="AO91" s="10"/>
      <c r="AP91" s="8" t="str">
        <f>IF(B91="","",IF(OR(V91="重大",AH91="重大",AH91="高",AI91="上升",AJ91="是",AND(AB91&lt;&gt;"",AB91&lt;项目驾驶舱!$B$3,AC91&lt;&gt;"已关闭")),"是","否"))</f>
        <v/>
      </c>
      <c r="AQ91" s="8" t="str">
        <f>IF(B91="","",IF(W91="","缺风险责任人",IF(AND(OR(V91="重大",V91="高"),Y91=""),"高风险缺应对策略",IF(AND(AJ91="是",AK91=""),"已发生未关联问题",IF(AND(AC91="已关闭",AO91=""),"关闭缺证据",IF(AND(AM91&lt;&gt;"",AM91&lt;项目驾驶舱!$B$3),"评审逾期",""))))))</f>
        <v/>
      </c>
      <c r="AR91" s="8" t="str">
        <f>IF(AP91="是",COUNTIFS($AP$9:AP91,"是"),"")</f>
        <v/>
      </c>
    </row>
    <row r="92" spans="1:44">
      <c r="A92" s="8" t="str">
        <f t="shared" si="6"/>
        <v/>
      </c>
      <c r="B92" s="10"/>
      <c r="C92" s="10"/>
      <c r="D92" s="10"/>
      <c r="E92" s="10"/>
      <c r="F92" s="10"/>
      <c r="G92" s="10"/>
      <c r="H92" s="10"/>
      <c r="I92" s="10"/>
      <c r="J92" s="11"/>
      <c r="K92" s="10"/>
      <c r="L92" s="10"/>
      <c r="M92" s="10"/>
      <c r="N92" s="10"/>
      <c r="O92" s="10"/>
      <c r="P92" s="10"/>
      <c r="Q92" s="10"/>
      <c r="R92" s="10"/>
      <c r="S92" s="10"/>
      <c r="T92" s="8" t="str">
        <f t="shared" si="7"/>
        <v/>
      </c>
      <c r="U92" s="8" t="str">
        <f t="shared" si="8"/>
        <v/>
      </c>
      <c r="V92" s="8" t="str">
        <f t="shared" si="9"/>
        <v/>
      </c>
      <c r="W92" s="10"/>
      <c r="X92" s="10"/>
      <c r="Y92" s="10"/>
      <c r="Z92" s="10"/>
      <c r="AA92" s="10"/>
      <c r="AB92" s="11"/>
      <c r="AC92" s="10"/>
      <c r="AD92" s="47"/>
      <c r="AE92" s="10"/>
      <c r="AF92" s="10"/>
      <c r="AG92" s="8" t="str">
        <f t="shared" si="10"/>
        <v/>
      </c>
      <c r="AH92" s="8" t="str">
        <f t="shared" si="11"/>
        <v/>
      </c>
      <c r="AI92" s="10"/>
      <c r="AJ92" s="10"/>
      <c r="AK92" s="10"/>
      <c r="AL92" s="11"/>
      <c r="AM92" s="11"/>
      <c r="AN92" s="11"/>
      <c r="AO92" s="10"/>
      <c r="AP92" s="8" t="str">
        <f>IF(B92="","",IF(OR(V92="重大",AH92="重大",AH92="高",AI92="上升",AJ92="是",AND(AB92&lt;&gt;"",AB92&lt;项目驾驶舱!$B$3,AC92&lt;&gt;"已关闭")),"是","否"))</f>
        <v/>
      </c>
      <c r="AQ92" s="8" t="str">
        <f>IF(B92="","",IF(W92="","缺风险责任人",IF(AND(OR(V92="重大",V92="高"),Y92=""),"高风险缺应对策略",IF(AND(AJ92="是",AK92=""),"已发生未关联问题",IF(AND(AC92="已关闭",AO92=""),"关闭缺证据",IF(AND(AM92&lt;&gt;"",AM92&lt;项目驾驶舱!$B$3),"评审逾期",""))))))</f>
        <v/>
      </c>
      <c r="AR92" s="8" t="str">
        <f>IF(AP92="是",COUNTIFS($AP$9:AP92,"是"),"")</f>
        <v/>
      </c>
    </row>
    <row r="93" spans="1:44">
      <c r="A93" s="8" t="str">
        <f t="shared" si="6"/>
        <v/>
      </c>
      <c r="B93" s="10"/>
      <c r="C93" s="10"/>
      <c r="D93" s="10"/>
      <c r="E93" s="10"/>
      <c r="F93" s="10"/>
      <c r="G93" s="10"/>
      <c r="H93" s="10"/>
      <c r="I93" s="10"/>
      <c r="J93" s="11"/>
      <c r="K93" s="10"/>
      <c r="L93" s="10"/>
      <c r="M93" s="10"/>
      <c r="N93" s="10"/>
      <c r="O93" s="10"/>
      <c r="P93" s="10"/>
      <c r="Q93" s="10"/>
      <c r="R93" s="10"/>
      <c r="S93" s="10"/>
      <c r="T93" s="8" t="str">
        <f t="shared" si="7"/>
        <v/>
      </c>
      <c r="U93" s="8" t="str">
        <f t="shared" si="8"/>
        <v/>
      </c>
      <c r="V93" s="8" t="str">
        <f t="shared" si="9"/>
        <v/>
      </c>
      <c r="W93" s="10"/>
      <c r="X93" s="10"/>
      <c r="Y93" s="10"/>
      <c r="Z93" s="10"/>
      <c r="AA93" s="10"/>
      <c r="AB93" s="11"/>
      <c r="AC93" s="10"/>
      <c r="AD93" s="47"/>
      <c r="AE93" s="10"/>
      <c r="AF93" s="10"/>
      <c r="AG93" s="8" t="str">
        <f t="shared" si="10"/>
        <v/>
      </c>
      <c r="AH93" s="8" t="str">
        <f t="shared" si="11"/>
        <v/>
      </c>
      <c r="AI93" s="10"/>
      <c r="AJ93" s="10"/>
      <c r="AK93" s="10"/>
      <c r="AL93" s="11"/>
      <c r="AM93" s="11"/>
      <c r="AN93" s="11"/>
      <c r="AO93" s="10"/>
      <c r="AP93" s="8" t="str">
        <f>IF(B93="","",IF(OR(V93="重大",AH93="重大",AH93="高",AI93="上升",AJ93="是",AND(AB93&lt;&gt;"",AB93&lt;项目驾驶舱!$B$3,AC93&lt;&gt;"已关闭")),"是","否"))</f>
        <v/>
      </c>
      <c r="AQ93" s="8" t="str">
        <f>IF(B93="","",IF(W93="","缺风险责任人",IF(AND(OR(V93="重大",V93="高"),Y93=""),"高风险缺应对策略",IF(AND(AJ93="是",AK93=""),"已发生未关联问题",IF(AND(AC93="已关闭",AO93=""),"关闭缺证据",IF(AND(AM93&lt;&gt;"",AM93&lt;项目驾驶舱!$B$3),"评审逾期",""))))))</f>
        <v/>
      </c>
      <c r="AR93" s="8" t="str">
        <f>IF(AP93="是",COUNTIFS($AP$9:AP93,"是"),"")</f>
        <v/>
      </c>
    </row>
    <row r="94" spans="1:44">
      <c r="A94" s="8" t="str">
        <f t="shared" si="6"/>
        <v/>
      </c>
      <c r="B94" s="10"/>
      <c r="C94" s="10"/>
      <c r="D94" s="10"/>
      <c r="E94" s="10"/>
      <c r="F94" s="10"/>
      <c r="G94" s="10"/>
      <c r="H94" s="10"/>
      <c r="I94" s="10"/>
      <c r="J94" s="11"/>
      <c r="K94" s="10"/>
      <c r="L94" s="10"/>
      <c r="M94" s="10"/>
      <c r="N94" s="10"/>
      <c r="O94" s="10"/>
      <c r="P94" s="10"/>
      <c r="Q94" s="10"/>
      <c r="R94" s="10"/>
      <c r="S94" s="10"/>
      <c r="T94" s="8" t="str">
        <f t="shared" si="7"/>
        <v/>
      </c>
      <c r="U94" s="8" t="str">
        <f t="shared" si="8"/>
        <v/>
      </c>
      <c r="V94" s="8" t="str">
        <f t="shared" si="9"/>
        <v/>
      </c>
      <c r="W94" s="10"/>
      <c r="X94" s="10"/>
      <c r="Y94" s="10"/>
      <c r="Z94" s="10"/>
      <c r="AA94" s="10"/>
      <c r="AB94" s="11"/>
      <c r="AC94" s="10"/>
      <c r="AD94" s="47"/>
      <c r="AE94" s="10"/>
      <c r="AF94" s="10"/>
      <c r="AG94" s="8" t="str">
        <f t="shared" si="10"/>
        <v/>
      </c>
      <c r="AH94" s="8" t="str">
        <f t="shared" si="11"/>
        <v/>
      </c>
      <c r="AI94" s="10"/>
      <c r="AJ94" s="10"/>
      <c r="AK94" s="10"/>
      <c r="AL94" s="11"/>
      <c r="AM94" s="11"/>
      <c r="AN94" s="11"/>
      <c r="AO94" s="10"/>
      <c r="AP94" s="8" t="str">
        <f>IF(B94="","",IF(OR(V94="重大",AH94="重大",AH94="高",AI94="上升",AJ94="是",AND(AB94&lt;&gt;"",AB94&lt;项目驾驶舱!$B$3,AC94&lt;&gt;"已关闭")),"是","否"))</f>
        <v/>
      </c>
      <c r="AQ94" s="8" t="str">
        <f>IF(B94="","",IF(W94="","缺风险责任人",IF(AND(OR(V94="重大",V94="高"),Y94=""),"高风险缺应对策略",IF(AND(AJ94="是",AK94=""),"已发生未关联问题",IF(AND(AC94="已关闭",AO94=""),"关闭缺证据",IF(AND(AM94&lt;&gt;"",AM94&lt;项目驾驶舱!$B$3),"评审逾期",""))))))</f>
        <v/>
      </c>
      <c r="AR94" s="8" t="str">
        <f>IF(AP94="是",COUNTIFS($AP$9:AP94,"是"),"")</f>
        <v/>
      </c>
    </row>
    <row r="95" spans="1:44">
      <c r="A95" s="8" t="str">
        <f t="shared" si="6"/>
        <v/>
      </c>
      <c r="B95" s="10"/>
      <c r="C95" s="10"/>
      <c r="D95" s="10"/>
      <c r="E95" s="10"/>
      <c r="F95" s="10"/>
      <c r="G95" s="10"/>
      <c r="H95" s="10"/>
      <c r="I95" s="10"/>
      <c r="J95" s="11"/>
      <c r="K95" s="10"/>
      <c r="L95" s="10"/>
      <c r="M95" s="10"/>
      <c r="N95" s="10"/>
      <c r="O95" s="10"/>
      <c r="P95" s="10"/>
      <c r="Q95" s="10"/>
      <c r="R95" s="10"/>
      <c r="S95" s="10"/>
      <c r="T95" s="8" t="str">
        <f t="shared" si="7"/>
        <v/>
      </c>
      <c r="U95" s="8" t="str">
        <f t="shared" si="8"/>
        <v/>
      </c>
      <c r="V95" s="8" t="str">
        <f t="shared" si="9"/>
        <v/>
      </c>
      <c r="W95" s="10"/>
      <c r="X95" s="10"/>
      <c r="Y95" s="10"/>
      <c r="Z95" s="10"/>
      <c r="AA95" s="10"/>
      <c r="AB95" s="11"/>
      <c r="AC95" s="10"/>
      <c r="AD95" s="47"/>
      <c r="AE95" s="10"/>
      <c r="AF95" s="10"/>
      <c r="AG95" s="8" t="str">
        <f t="shared" si="10"/>
        <v/>
      </c>
      <c r="AH95" s="8" t="str">
        <f t="shared" si="11"/>
        <v/>
      </c>
      <c r="AI95" s="10"/>
      <c r="AJ95" s="10"/>
      <c r="AK95" s="10"/>
      <c r="AL95" s="11"/>
      <c r="AM95" s="11"/>
      <c r="AN95" s="11"/>
      <c r="AO95" s="10"/>
      <c r="AP95" s="8" t="str">
        <f>IF(B95="","",IF(OR(V95="重大",AH95="重大",AH95="高",AI95="上升",AJ95="是",AND(AB95&lt;&gt;"",AB95&lt;项目驾驶舱!$B$3,AC95&lt;&gt;"已关闭")),"是","否"))</f>
        <v/>
      </c>
      <c r="AQ95" s="8" t="str">
        <f>IF(B95="","",IF(W95="","缺风险责任人",IF(AND(OR(V95="重大",V95="高"),Y95=""),"高风险缺应对策略",IF(AND(AJ95="是",AK95=""),"已发生未关联问题",IF(AND(AC95="已关闭",AO95=""),"关闭缺证据",IF(AND(AM95&lt;&gt;"",AM95&lt;项目驾驶舱!$B$3),"评审逾期",""))))))</f>
        <v/>
      </c>
      <c r="AR95" s="8" t="str">
        <f>IF(AP95="是",COUNTIFS($AP$9:AP95,"是"),"")</f>
        <v/>
      </c>
    </row>
    <row r="96" spans="1:44">
      <c r="A96" s="8" t="str">
        <f t="shared" si="6"/>
        <v/>
      </c>
      <c r="B96" s="10"/>
      <c r="C96" s="10"/>
      <c r="D96" s="10"/>
      <c r="E96" s="10"/>
      <c r="F96" s="10"/>
      <c r="G96" s="10"/>
      <c r="H96" s="10"/>
      <c r="I96" s="10"/>
      <c r="J96" s="11"/>
      <c r="K96" s="10"/>
      <c r="L96" s="10"/>
      <c r="M96" s="10"/>
      <c r="N96" s="10"/>
      <c r="O96" s="10"/>
      <c r="P96" s="10"/>
      <c r="Q96" s="10"/>
      <c r="R96" s="10"/>
      <c r="S96" s="10"/>
      <c r="T96" s="8" t="str">
        <f t="shared" si="7"/>
        <v/>
      </c>
      <c r="U96" s="8" t="str">
        <f t="shared" si="8"/>
        <v/>
      </c>
      <c r="V96" s="8" t="str">
        <f t="shared" si="9"/>
        <v/>
      </c>
      <c r="W96" s="10"/>
      <c r="X96" s="10"/>
      <c r="Y96" s="10"/>
      <c r="Z96" s="10"/>
      <c r="AA96" s="10"/>
      <c r="AB96" s="11"/>
      <c r="AC96" s="10"/>
      <c r="AD96" s="47"/>
      <c r="AE96" s="10"/>
      <c r="AF96" s="10"/>
      <c r="AG96" s="8" t="str">
        <f t="shared" si="10"/>
        <v/>
      </c>
      <c r="AH96" s="8" t="str">
        <f t="shared" si="11"/>
        <v/>
      </c>
      <c r="AI96" s="10"/>
      <c r="AJ96" s="10"/>
      <c r="AK96" s="10"/>
      <c r="AL96" s="11"/>
      <c r="AM96" s="11"/>
      <c r="AN96" s="11"/>
      <c r="AO96" s="10"/>
      <c r="AP96" s="8" t="str">
        <f>IF(B96="","",IF(OR(V96="重大",AH96="重大",AH96="高",AI96="上升",AJ96="是",AND(AB96&lt;&gt;"",AB96&lt;项目驾驶舱!$B$3,AC96&lt;&gt;"已关闭")),"是","否"))</f>
        <v/>
      </c>
      <c r="AQ96" s="8" t="str">
        <f>IF(B96="","",IF(W96="","缺风险责任人",IF(AND(OR(V96="重大",V96="高"),Y96=""),"高风险缺应对策略",IF(AND(AJ96="是",AK96=""),"已发生未关联问题",IF(AND(AC96="已关闭",AO96=""),"关闭缺证据",IF(AND(AM96&lt;&gt;"",AM96&lt;项目驾驶舱!$B$3),"评审逾期",""))))))</f>
        <v/>
      </c>
      <c r="AR96" s="8" t="str">
        <f>IF(AP96="是",COUNTIFS($AP$9:AP96,"是"),"")</f>
        <v/>
      </c>
    </row>
    <row r="97" spans="1:44">
      <c r="A97" s="8" t="str">
        <f t="shared" si="6"/>
        <v/>
      </c>
      <c r="B97" s="10"/>
      <c r="C97" s="10"/>
      <c r="D97" s="10"/>
      <c r="E97" s="10"/>
      <c r="F97" s="10"/>
      <c r="G97" s="10"/>
      <c r="H97" s="10"/>
      <c r="I97" s="10"/>
      <c r="J97" s="11"/>
      <c r="K97" s="10"/>
      <c r="L97" s="10"/>
      <c r="M97" s="10"/>
      <c r="N97" s="10"/>
      <c r="O97" s="10"/>
      <c r="P97" s="10"/>
      <c r="Q97" s="10"/>
      <c r="R97" s="10"/>
      <c r="S97" s="10"/>
      <c r="T97" s="8" t="str">
        <f t="shared" si="7"/>
        <v/>
      </c>
      <c r="U97" s="8" t="str">
        <f t="shared" si="8"/>
        <v/>
      </c>
      <c r="V97" s="8" t="str">
        <f t="shared" si="9"/>
        <v/>
      </c>
      <c r="W97" s="10"/>
      <c r="X97" s="10"/>
      <c r="Y97" s="10"/>
      <c r="Z97" s="10"/>
      <c r="AA97" s="10"/>
      <c r="AB97" s="11"/>
      <c r="AC97" s="10"/>
      <c r="AD97" s="47"/>
      <c r="AE97" s="10"/>
      <c r="AF97" s="10"/>
      <c r="AG97" s="8" t="str">
        <f t="shared" si="10"/>
        <v/>
      </c>
      <c r="AH97" s="8" t="str">
        <f t="shared" si="11"/>
        <v/>
      </c>
      <c r="AI97" s="10"/>
      <c r="AJ97" s="10"/>
      <c r="AK97" s="10"/>
      <c r="AL97" s="11"/>
      <c r="AM97" s="11"/>
      <c r="AN97" s="11"/>
      <c r="AO97" s="10"/>
      <c r="AP97" s="8" t="str">
        <f>IF(B97="","",IF(OR(V97="重大",AH97="重大",AH97="高",AI97="上升",AJ97="是",AND(AB97&lt;&gt;"",AB97&lt;项目驾驶舱!$B$3,AC97&lt;&gt;"已关闭")),"是","否"))</f>
        <v/>
      </c>
      <c r="AQ97" s="8" t="str">
        <f>IF(B97="","",IF(W97="","缺风险责任人",IF(AND(OR(V97="重大",V97="高"),Y97=""),"高风险缺应对策略",IF(AND(AJ97="是",AK97=""),"已发生未关联问题",IF(AND(AC97="已关闭",AO97=""),"关闭缺证据",IF(AND(AM97&lt;&gt;"",AM97&lt;项目驾驶舱!$B$3),"评审逾期",""))))))</f>
        <v/>
      </c>
      <c r="AR97" s="8" t="str">
        <f>IF(AP97="是",COUNTIFS($AP$9:AP97,"是"),"")</f>
        <v/>
      </c>
    </row>
    <row r="98" spans="1:44">
      <c r="A98" s="8" t="str">
        <f t="shared" si="6"/>
        <v/>
      </c>
      <c r="B98" s="10"/>
      <c r="C98" s="10"/>
      <c r="D98" s="10"/>
      <c r="E98" s="10"/>
      <c r="F98" s="10"/>
      <c r="G98" s="10"/>
      <c r="H98" s="10"/>
      <c r="I98" s="10"/>
      <c r="J98" s="11"/>
      <c r="K98" s="10"/>
      <c r="L98" s="10"/>
      <c r="M98" s="10"/>
      <c r="N98" s="10"/>
      <c r="O98" s="10"/>
      <c r="P98" s="10"/>
      <c r="Q98" s="10"/>
      <c r="R98" s="10"/>
      <c r="S98" s="10"/>
      <c r="T98" s="8" t="str">
        <f t="shared" si="7"/>
        <v/>
      </c>
      <c r="U98" s="8" t="str">
        <f t="shared" si="8"/>
        <v/>
      </c>
      <c r="V98" s="8" t="str">
        <f t="shared" si="9"/>
        <v/>
      </c>
      <c r="W98" s="10"/>
      <c r="X98" s="10"/>
      <c r="Y98" s="10"/>
      <c r="Z98" s="10"/>
      <c r="AA98" s="10"/>
      <c r="AB98" s="11"/>
      <c r="AC98" s="10"/>
      <c r="AD98" s="47"/>
      <c r="AE98" s="10"/>
      <c r="AF98" s="10"/>
      <c r="AG98" s="8" t="str">
        <f t="shared" si="10"/>
        <v/>
      </c>
      <c r="AH98" s="8" t="str">
        <f t="shared" si="11"/>
        <v/>
      </c>
      <c r="AI98" s="10"/>
      <c r="AJ98" s="10"/>
      <c r="AK98" s="10"/>
      <c r="AL98" s="11"/>
      <c r="AM98" s="11"/>
      <c r="AN98" s="11"/>
      <c r="AO98" s="10"/>
      <c r="AP98" s="8" t="str">
        <f>IF(B98="","",IF(OR(V98="重大",AH98="重大",AH98="高",AI98="上升",AJ98="是",AND(AB98&lt;&gt;"",AB98&lt;项目驾驶舱!$B$3,AC98&lt;&gt;"已关闭")),"是","否"))</f>
        <v/>
      </c>
      <c r="AQ98" s="8" t="str">
        <f>IF(B98="","",IF(W98="","缺风险责任人",IF(AND(OR(V98="重大",V98="高"),Y98=""),"高风险缺应对策略",IF(AND(AJ98="是",AK98=""),"已发生未关联问题",IF(AND(AC98="已关闭",AO98=""),"关闭缺证据",IF(AND(AM98&lt;&gt;"",AM98&lt;项目驾驶舱!$B$3),"评审逾期",""))))))</f>
        <v/>
      </c>
      <c r="AR98" s="8" t="str">
        <f>IF(AP98="是",COUNTIFS($AP$9:AP98,"是"),"")</f>
        <v/>
      </c>
    </row>
    <row r="99" spans="1:44">
      <c r="A99" s="8" t="str">
        <f t="shared" si="6"/>
        <v/>
      </c>
      <c r="B99" s="10"/>
      <c r="C99" s="10"/>
      <c r="D99" s="10"/>
      <c r="E99" s="10"/>
      <c r="F99" s="10"/>
      <c r="G99" s="10"/>
      <c r="H99" s="10"/>
      <c r="I99" s="10"/>
      <c r="J99" s="11"/>
      <c r="K99" s="10"/>
      <c r="L99" s="10"/>
      <c r="M99" s="10"/>
      <c r="N99" s="10"/>
      <c r="O99" s="10"/>
      <c r="P99" s="10"/>
      <c r="Q99" s="10"/>
      <c r="R99" s="10"/>
      <c r="S99" s="10"/>
      <c r="T99" s="8" t="str">
        <f t="shared" si="7"/>
        <v/>
      </c>
      <c r="U99" s="8" t="str">
        <f t="shared" si="8"/>
        <v/>
      </c>
      <c r="V99" s="8" t="str">
        <f t="shared" si="9"/>
        <v/>
      </c>
      <c r="W99" s="10"/>
      <c r="X99" s="10"/>
      <c r="Y99" s="10"/>
      <c r="Z99" s="10"/>
      <c r="AA99" s="10"/>
      <c r="AB99" s="11"/>
      <c r="AC99" s="10"/>
      <c r="AD99" s="47"/>
      <c r="AE99" s="10"/>
      <c r="AF99" s="10"/>
      <c r="AG99" s="8" t="str">
        <f t="shared" si="10"/>
        <v/>
      </c>
      <c r="AH99" s="8" t="str">
        <f t="shared" si="11"/>
        <v/>
      </c>
      <c r="AI99" s="10"/>
      <c r="AJ99" s="10"/>
      <c r="AK99" s="10"/>
      <c r="AL99" s="11"/>
      <c r="AM99" s="11"/>
      <c r="AN99" s="11"/>
      <c r="AO99" s="10"/>
      <c r="AP99" s="8" t="str">
        <f>IF(B99="","",IF(OR(V99="重大",AH99="重大",AH99="高",AI99="上升",AJ99="是",AND(AB99&lt;&gt;"",AB99&lt;项目驾驶舱!$B$3,AC99&lt;&gt;"已关闭")),"是","否"))</f>
        <v/>
      </c>
      <c r="AQ99" s="8" t="str">
        <f>IF(B99="","",IF(W99="","缺风险责任人",IF(AND(OR(V99="重大",V99="高"),Y99=""),"高风险缺应对策略",IF(AND(AJ99="是",AK99=""),"已发生未关联问题",IF(AND(AC99="已关闭",AO99=""),"关闭缺证据",IF(AND(AM99&lt;&gt;"",AM99&lt;项目驾驶舱!$B$3),"评审逾期",""))))))</f>
        <v/>
      </c>
      <c r="AR99" s="8" t="str">
        <f>IF(AP99="是",COUNTIFS($AP$9:AP99,"是"),"")</f>
        <v/>
      </c>
    </row>
    <row r="100" spans="1:44">
      <c r="A100" s="8" t="str">
        <f t="shared" si="6"/>
        <v/>
      </c>
      <c r="B100" s="10"/>
      <c r="C100" s="10"/>
      <c r="D100" s="10"/>
      <c r="E100" s="10"/>
      <c r="F100" s="10"/>
      <c r="G100" s="10"/>
      <c r="H100" s="10"/>
      <c r="I100" s="10"/>
      <c r="J100" s="11"/>
      <c r="K100" s="10"/>
      <c r="L100" s="10"/>
      <c r="M100" s="10"/>
      <c r="N100" s="10"/>
      <c r="O100" s="10"/>
      <c r="P100" s="10"/>
      <c r="Q100" s="10"/>
      <c r="R100" s="10"/>
      <c r="S100" s="10"/>
      <c r="T100" s="8" t="str">
        <f t="shared" si="7"/>
        <v/>
      </c>
      <c r="U100" s="8" t="str">
        <f t="shared" si="8"/>
        <v/>
      </c>
      <c r="V100" s="8" t="str">
        <f t="shared" si="9"/>
        <v/>
      </c>
      <c r="W100" s="10"/>
      <c r="X100" s="10"/>
      <c r="Y100" s="10"/>
      <c r="Z100" s="10"/>
      <c r="AA100" s="10"/>
      <c r="AB100" s="11"/>
      <c r="AC100" s="10"/>
      <c r="AD100" s="47"/>
      <c r="AE100" s="10"/>
      <c r="AF100" s="10"/>
      <c r="AG100" s="8" t="str">
        <f t="shared" si="10"/>
        <v/>
      </c>
      <c r="AH100" s="8" t="str">
        <f t="shared" si="11"/>
        <v/>
      </c>
      <c r="AI100" s="10"/>
      <c r="AJ100" s="10"/>
      <c r="AK100" s="10"/>
      <c r="AL100" s="11"/>
      <c r="AM100" s="11"/>
      <c r="AN100" s="11"/>
      <c r="AO100" s="10"/>
      <c r="AP100" s="8" t="str">
        <f>IF(B100="","",IF(OR(V100="重大",AH100="重大",AH100="高",AI100="上升",AJ100="是",AND(AB100&lt;&gt;"",AB100&lt;项目驾驶舱!$B$3,AC100&lt;&gt;"已关闭")),"是","否"))</f>
        <v/>
      </c>
      <c r="AQ100" s="8" t="str">
        <f>IF(B100="","",IF(W100="","缺风险责任人",IF(AND(OR(V100="重大",V100="高"),Y100=""),"高风险缺应对策略",IF(AND(AJ100="是",AK100=""),"已发生未关联问题",IF(AND(AC100="已关闭",AO100=""),"关闭缺证据",IF(AND(AM100&lt;&gt;"",AM100&lt;项目驾驶舱!$B$3),"评审逾期",""))))))</f>
        <v/>
      </c>
      <c r="AR100" s="8" t="str">
        <f>IF(AP100="是",COUNTIFS($AP$9:AP100,"是"),"")</f>
        <v/>
      </c>
    </row>
    <row r="101" spans="1:44">
      <c r="A101" s="8" t="str">
        <f t="shared" si="6"/>
        <v/>
      </c>
      <c r="B101" s="10"/>
      <c r="C101" s="10"/>
      <c r="D101" s="10"/>
      <c r="E101" s="10"/>
      <c r="F101" s="10"/>
      <c r="G101" s="10"/>
      <c r="H101" s="10"/>
      <c r="I101" s="10"/>
      <c r="J101" s="11"/>
      <c r="K101" s="10"/>
      <c r="L101" s="10"/>
      <c r="M101" s="10"/>
      <c r="N101" s="10"/>
      <c r="O101" s="10"/>
      <c r="P101" s="10"/>
      <c r="Q101" s="10"/>
      <c r="R101" s="10"/>
      <c r="S101" s="10"/>
      <c r="T101" s="8" t="str">
        <f t="shared" si="7"/>
        <v/>
      </c>
      <c r="U101" s="8" t="str">
        <f t="shared" si="8"/>
        <v/>
      </c>
      <c r="V101" s="8" t="str">
        <f t="shared" si="9"/>
        <v/>
      </c>
      <c r="W101" s="10"/>
      <c r="X101" s="10"/>
      <c r="Y101" s="10"/>
      <c r="Z101" s="10"/>
      <c r="AA101" s="10"/>
      <c r="AB101" s="11"/>
      <c r="AC101" s="10"/>
      <c r="AD101" s="47"/>
      <c r="AE101" s="10"/>
      <c r="AF101" s="10"/>
      <c r="AG101" s="8" t="str">
        <f t="shared" si="10"/>
        <v/>
      </c>
      <c r="AH101" s="8" t="str">
        <f t="shared" si="11"/>
        <v/>
      </c>
      <c r="AI101" s="10"/>
      <c r="AJ101" s="10"/>
      <c r="AK101" s="10"/>
      <c r="AL101" s="11"/>
      <c r="AM101" s="11"/>
      <c r="AN101" s="11"/>
      <c r="AO101" s="10"/>
      <c r="AP101" s="8" t="str">
        <f>IF(B101="","",IF(OR(V101="重大",AH101="重大",AH101="高",AI101="上升",AJ101="是",AND(AB101&lt;&gt;"",AB101&lt;项目驾驶舱!$B$3,AC101&lt;&gt;"已关闭")),"是","否"))</f>
        <v/>
      </c>
      <c r="AQ101" s="8" t="str">
        <f>IF(B101="","",IF(W101="","缺风险责任人",IF(AND(OR(V101="重大",V101="高"),Y101=""),"高风险缺应对策略",IF(AND(AJ101="是",AK101=""),"已发生未关联问题",IF(AND(AC101="已关闭",AO101=""),"关闭缺证据",IF(AND(AM101&lt;&gt;"",AM101&lt;项目驾驶舱!$B$3),"评审逾期",""))))))</f>
        <v/>
      </c>
      <c r="AR101" s="8" t="str">
        <f>IF(AP101="是",COUNTIFS($AP$9:AP101,"是"),"")</f>
        <v/>
      </c>
    </row>
    <row r="102" spans="1:44">
      <c r="A102" s="8" t="str">
        <f t="shared" si="6"/>
        <v/>
      </c>
      <c r="B102" s="10"/>
      <c r="C102" s="10"/>
      <c r="D102" s="10"/>
      <c r="E102" s="10"/>
      <c r="F102" s="10"/>
      <c r="G102" s="10"/>
      <c r="H102" s="10"/>
      <c r="I102" s="10"/>
      <c r="J102" s="11"/>
      <c r="K102" s="10"/>
      <c r="L102" s="10"/>
      <c r="M102" s="10"/>
      <c r="N102" s="10"/>
      <c r="O102" s="10"/>
      <c r="P102" s="10"/>
      <c r="Q102" s="10"/>
      <c r="R102" s="10"/>
      <c r="S102" s="10"/>
      <c r="T102" s="8" t="str">
        <f t="shared" si="7"/>
        <v/>
      </c>
      <c r="U102" s="8" t="str">
        <f t="shared" si="8"/>
        <v/>
      </c>
      <c r="V102" s="8" t="str">
        <f t="shared" si="9"/>
        <v/>
      </c>
      <c r="W102" s="10"/>
      <c r="X102" s="10"/>
      <c r="Y102" s="10"/>
      <c r="Z102" s="10"/>
      <c r="AA102" s="10"/>
      <c r="AB102" s="11"/>
      <c r="AC102" s="10"/>
      <c r="AD102" s="47"/>
      <c r="AE102" s="10"/>
      <c r="AF102" s="10"/>
      <c r="AG102" s="8" t="str">
        <f t="shared" si="10"/>
        <v/>
      </c>
      <c r="AH102" s="8" t="str">
        <f t="shared" si="11"/>
        <v/>
      </c>
      <c r="AI102" s="10"/>
      <c r="AJ102" s="10"/>
      <c r="AK102" s="10"/>
      <c r="AL102" s="11"/>
      <c r="AM102" s="11"/>
      <c r="AN102" s="11"/>
      <c r="AO102" s="10"/>
      <c r="AP102" s="8" t="str">
        <f>IF(B102="","",IF(OR(V102="重大",AH102="重大",AH102="高",AI102="上升",AJ102="是",AND(AB102&lt;&gt;"",AB102&lt;项目驾驶舱!$B$3,AC102&lt;&gt;"已关闭")),"是","否"))</f>
        <v/>
      </c>
      <c r="AQ102" s="8" t="str">
        <f>IF(B102="","",IF(W102="","缺风险责任人",IF(AND(OR(V102="重大",V102="高"),Y102=""),"高风险缺应对策略",IF(AND(AJ102="是",AK102=""),"已发生未关联问题",IF(AND(AC102="已关闭",AO102=""),"关闭缺证据",IF(AND(AM102&lt;&gt;"",AM102&lt;项目驾驶舱!$B$3),"评审逾期",""))))))</f>
        <v/>
      </c>
      <c r="AR102" s="8" t="str">
        <f>IF(AP102="是",COUNTIFS($AP$9:AP102,"是"),"")</f>
        <v/>
      </c>
    </row>
    <row r="103" spans="1:44">
      <c r="A103" s="8" t="str">
        <f t="shared" si="6"/>
        <v/>
      </c>
      <c r="B103" s="10"/>
      <c r="C103" s="10"/>
      <c r="D103" s="10"/>
      <c r="E103" s="10"/>
      <c r="F103" s="10"/>
      <c r="G103" s="10"/>
      <c r="H103" s="10"/>
      <c r="I103" s="10"/>
      <c r="J103" s="11"/>
      <c r="K103" s="10"/>
      <c r="L103" s="10"/>
      <c r="M103" s="10"/>
      <c r="N103" s="10"/>
      <c r="O103" s="10"/>
      <c r="P103" s="10"/>
      <c r="Q103" s="10"/>
      <c r="R103" s="10"/>
      <c r="S103" s="10"/>
      <c r="T103" s="8" t="str">
        <f t="shared" si="7"/>
        <v/>
      </c>
      <c r="U103" s="8" t="str">
        <f t="shared" si="8"/>
        <v/>
      </c>
      <c r="V103" s="8" t="str">
        <f t="shared" si="9"/>
        <v/>
      </c>
      <c r="W103" s="10"/>
      <c r="X103" s="10"/>
      <c r="Y103" s="10"/>
      <c r="Z103" s="10"/>
      <c r="AA103" s="10"/>
      <c r="AB103" s="11"/>
      <c r="AC103" s="10"/>
      <c r="AD103" s="47"/>
      <c r="AE103" s="10"/>
      <c r="AF103" s="10"/>
      <c r="AG103" s="8" t="str">
        <f t="shared" si="10"/>
        <v/>
      </c>
      <c r="AH103" s="8" t="str">
        <f t="shared" si="11"/>
        <v/>
      </c>
      <c r="AI103" s="10"/>
      <c r="AJ103" s="10"/>
      <c r="AK103" s="10"/>
      <c r="AL103" s="11"/>
      <c r="AM103" s="11"/>
      <c r="AN103" s="11"/>
      <c r="AO103" s="10"/>
      <c r="AP103" s="8" t="str">
        <f>IF(B103="","",IF(OR(V103="重大",AH103="重大",AH103="高",AI103="上升",AJ103="是",AND(AB103&lt;&gt;"",AB103&lt;项目驾驶舱!$B$3,AC103&lt;&gt;"已关闭")),"是","否"))</f>
        <v/>
      </c>
      <c r="AQ103" s="8" t="str">
        <f>IF(B103="","",IF(W103="","缺风险责任人",IF(AND(OR(V103="重大",V103="高"),Y103=""),"高风险缺应对策略",IF(AND(AJ103="是",AK103=""),"已发生未关联问题",IF(AND(AC103="已关闭",AO103=""),"关闭缺证据",IF(AND(AM103&lt;&gt;"",AM103&lt;项目驾驶舱!$B$3),"评审逾期",""))))))</f>
        <v/>
      </c>
      <c r="AR103" s="8" t="str">
        <f>IF(AP103="是",COUNTIFS($AP$9:AP103,"是"),"")</f>
        <v/>
      </c>
    </row>
    <row r="104" spans="1:44">
      <c r="A104" s="8" t="str">
        <f t="shared" si="6"/>
        <v/>
      </c>
      <c r="B104" s="10"/>
      <c r="C104" s="10"/>
      <c r="D104" s="10"/>
      <c r="E104" s="10"/>
      <c r="F104" s="10"/>
      <c r="G104" s="10"/>
      <c r="H104" s="10"/>
      <c r="I104" s="10"/>
      <c r="J104" s="11"/>
      <c r="K104" s="10"/>
      <c r="L104" s="10"/>
      <c r="M104" s="10"/>
      <c r="N104" s="10"/>
      <c r="O104" s="10"/>
      <c r="P104" s="10"/>
      <c r="Q104" s="10"/>
      <c r="R104" s="10"/>
      <c r="S104" s="10"/>
      <c r="T104" s="8" t="str">
        <f t="shared" si="7"/>
        <v/>
      </c>
      <c r="U104" s="8" t="str">
        <f t="shared" si="8"/>
        <v/>
      </c>
      <c r="V104" s="8" t="str">
        <f t="shared" si="9"/>
        <v/>
      </c>
      <c r="W104" s="10"/>
      <c r="X104" s="10"/>
      <c r="Y104" s="10"/>
      <c r="Z104" s="10"/>
      <c r="AA104" s="10"/>
      <c r="AB104" s="11"/>
      <c r="AC104" s="10"/>
      <c r="AD104" s="47"/>
      <c r="AE104" s="10"/>
      <c r="AF104" s="10"/>
      <c r="AG104" s="8" t="str">
        <f t="shared" si="10"/>
        <v/>
      </c>
      <c r="AH104" s="8" t="str">
        <f t="shared" si="11"/>
        <v/>
      </c>
      <c r="AI104" s="10"/>
      <c r="AJ104" s="10"/>
      <c r="AK104" s="10"/>
      <c r="AL104" s="11"/>
      <c r="AM104" s="11"/>
      <c r="AN104" s="11"/>
      <c r="AO104" s="10"/>
      <c r="AP104" s="8" t="str">
        <f>IF(B104="","",IF(OR(V104="重大",AH104="重大",AH104="高",AI104="上升",AJ104="是",AND(AB104&lt;&gt;"",AB104&lt;项目驾驶舱!$B$3,AC104&lt;&gt;"已关闭")),"是","否"))</f>
        <v/>
      </c>
      <c r="AQ104" s="8" t="str">
        <f>IF(B104="","",IF(W104="","缺风险责任人",IF(AND(OR(V104="重大",V104="高"),Y104=""),"高风险缺应对策略",IF(AND(AJ104="是",AK104=""),"已发生未关联问题",IF(AND(AC104="已关闭",AO104=""),"关闭缺证据",IF(AND(AM104&lt;&gt;"",AM104&lt;项目驾驶舱!$B$3),"评审逾期",""))))))</f>
        <v/>
      </c>
      <c r="AR104" s="8" t="str">
        <f>IF(AP104="是",COUNTIFS($AP$9:AP104,"是"),"")</f>
        <v/>
      </c>
    </row>
    <row r="105" spans="1:44">
      <c r="A105" s="8" t="str">
        <f t="shared" si="6"/>
        <v/>
      </c>
      <c r="B105" s="10"/>
      <c r="C105" s="10"/>
      <c r="D105" s="10"/>
      <c r="E105" s="10"/>
      <c r="F105" s="10"/>
      <c r="G105" s="10"/>
      <c r="H105" s="10"/>
      <c r="I105" s="10"/>
      <c r="J105" s="11"/>
      <c r="K105" s="10"/>
      <c r="L105" s="10"/>
      <c r="M105" s="10"/>
      <c r="N105" s="10"/>
      <c r="O105" s="10"/>
      <c r="P105" s="10"/>
      <c r="Q105" s="10"/>
      <c r="R105" s="10"/>
      <c r="S105" s="10"/>
      <c r="T105" s="8" t="str">
        <f t="shared" si="7"/>
        <v/>
      </c>
      <c r="U105" s="8" t="str">
        <f t="shared" si="8"/>
        <v/>
      </c>
      <c r="V105" s="8" t="str">
        <f t="shared" si="9"/>
        <v/>
      </c>
      <c r="W105" s="10"/>
      <c r="X105" s="10"/>
      <c r="Y105" s="10"/>
      <c r="Z105" s="10"/>
      <c r="AA105" s="10"/>
      <c r="AB105" s="11"/>
      <c r="AC105" s="10"/>
      <c r="AD105" s="47"/>
      <c r="AE105" s="10"/>
      <c r="AF105" s="10"/>
      <c r="AG105" s="8" t="str">
        <f t="shared" si="10"/>
        <v/>
      </c>
      <c r="AH105" s="8" t="str">
        <f t="shared" si="11"/>
        <v/>
      </c>
      <c r="AI105" s="10"/>
      <c r="AJ105" s="10"/>
      <c r="AK105" s="10"/>
      <c r="AL105" s="11"/>
      <c r="AM105" s="11"/>
      <c r="AN105" s="11"/>
      <c r="AO105" s="10"/>
      <c r="AP105" s="8" t="str">
        <f>IF(B105="","",IF(OR(V105="重大",AH105="重大",AH105="高",AI105="上升",AJ105="是",AND(AB105&lt;&gt;"",AB105&lt;项目驾驶舱!$B$3,AC105&lt;&gt;"已关闭")),"是","否"))</f>
        <v/>
      </c>
      <c r="AQ105" s="8" t="str">
        <f>IF(B105="","",IF(W105="","缺风险责任人",IF(AND(OR(V105="重大",V105="高"),Y105=""),"高风险缺应对策略",IF(AND(AJ105="是",AK105=""),"已发生未关联问题",IF(AND(AC105="已关闭",AO105=""),"关闭缺证据",IF(AND(AM105&lt;&gt;"",AM105&lt;项目驾驶舱!$B$3),"评审逾期",""))))))</f>
        <v/>
      </c>
      <c r="AR105" s="8" t="str">
        <f>IF(AP105="是",COUNTIFS($AP$9:AP105,"是"),"")</f>
        <v/>
      </c>
    </row>
    <row r="106" spans="1:44">
      <c r="A106" s="8" t="str">
        <f t="shared" si="6"/>
        <v/>
      </c>
      <c r="B106" s="10"/>
      <c r="C106" s="10"/>
      <c r="D106" s="10"/>
      <c r="E106" s="10"/>
      <c r="F106" s="10"/>
      <c r="G106" s="10"/>
      <c r="H106" s="10"/>
      <c r="I106" s="10"/>
      <c r="J106" s="11"/>
      <c r="K106" s="10"/>
      <c r="L106" s="10"/>
      <c r="M106" s="10"/>
      <c r="N106" s="10"/>
      <c r="O106" s="10"/>
      <c r="P106" s="10"/>
      <c r="Q106" s="10"/>
      <c r="R106" s="10"/>
      <c r="S106" s="10"/>
      <c r="T106" s="8" t="str">
        <f t="shared" si="7"/>
        <v/>
      </c>
      <c r="U106" s="8" t="str">
        <f t="shared" si="8"/>
        <v/>
      </c>
      <c r="V106" s="8" t="str">
        <f t="shared" si="9"/>
        <v/>
      </c>
      <c r="W106" s="10"/>
      <c r="X106" s="10"/>
      <c r="Y106" s="10"/>
      <c r="Z106" s="10"/>
      <c r="AA106" s="10"/>
      <c r="AB106" s="11"/>
      <c r="AC106" s="10"/>
      <c r="AD106" s="47"/>
      <c r="AE106" s="10"/>
      <c r="AF106" s="10"/>
      <c r="AG106" s="8" t="str">
        <f t="shared" si="10"/>
        <v/>
      </c>
      <c r="AH106" s="8" t="str">
        <f t="shared" si="11"/>
        <v/>
      </c>
      <c r="AI106" s="10"/>
      <c r="AJ106" s="10"/>
      <c r="AK106" s="10"/>
      <c r="AL106" s="11"/>
      <c r="AM106" s="11"/>
      <c r="AN106" s="11"/>
      <c r="AO106" s="10"/>
      <c r="AP106" s="8" t="str">
        <f>IF(B106="","",IF(OR(V106="重大",AH106="重大",AH106="高",AI106="上升",AJ106="是",AND(AB106&lt;&gt;"",AB106&lt;项目驾驶舱!$B$3,AC106&lt;&gt;"已关闭")),"是","否"))</f>
        <v/>
      </c>
      <c r="AQ106" s="8" t="str">
        <f>IF(B106="","",IF(W106="","缺风险责任人",IF(AND(OR(V106="重大",V106="高"),Y106=""),"高风险缺应对策略",IF(AND(AJ106="是",AK106=""),"已发生未关联问题",IF(AND(AC106="已关闭",AO106=""),"关闭缺证据",IF(AND(AM106&lt;&gt;"",AM106&lt;项目驾驶舱!$B$3),"评审逾期",""))))))</f>
        <v/>
      </c>
      <c r="AR106" s="8" t="str">
        <f>IF(AP106="是",COUNTIFS($AP$9:AP106,"是"),"")</f>
        <v/>
      </c>
    </row>
    <row r="107" spans="1:44">
      <c r="A107" s="8" t="str">
        <f t="shared" si="6"/>
        <v/>
      </c>
      <c r="B107" s="10"/>
      <c r="C107" s="10"/>
      <c r="D107" s="10"/>
      <c r="E107" s="10"/>
      <c r="F107" s="10"/>
      <c r="G107" s="10"/>
      <c r="H107" s="10"/>
      <c r="I107" s="10"/>
      <c r="J107" s="11"/>
      <c r="K107" s="10"/>
      <c r="L107" s="10"/>
      <c r="M107" s="10"/>
      <c r="N107" s="10"/>
      <c r="O107" s="10"/>
      <c r="P107" s="10"/>
      <c r="Q107" s="10"/>
      <c r="R107" s="10"/>
      <c r="S107" s="10"/>
      <c r="T107" s="8" t="str">
        <f t="shared" si="7"/>
        <v/>
      </c>
      <c r="U107" s="8" t="str">
        <f t="shared" si="8"/>
        <v/>
      </c>
      <c r="V107" s="8" t="str">
        <f t="shared" si="9"/>
        <v/>
      </c>
      <c r="W107" s="10"/>
      <c r="X107" s="10"/>
      <c r="Y107" s="10"/>
      <c r="Z107" s="10"/>
      <c r="AA107" s="10"/>
      <c r="AB107" s="11"/>
      <c r="AC107" s="10"/>
      <c r="AD107" s="47"/>
      <c r="AE107" s="10"/>
      <c r="AF107" s="10"/>
      <c r="AG107" s="8" t="str">
        <f t="shared" si="10"/>
        <v/>
      </c>
      <c r="AH107" s="8" t="str">
        <f t="shared" si="11"/>
        <v/>
      </c>
      <c r="AI107" s="10"/>
      <c r="AJ107" s="10"/>
      <c r="AK107" s="10"/>
      <c r="AL107" s="11"/>
      <c r="AM107" s="11"/>
      <c r="AN107" s="11"/>
      <c r="AO107" s="10"/>
      <c r="AP107" s="8" t="str">
        <f>IF(B107="","",IF(OR(V107="重大",AH107="重大",AH107="高",AI107="上升",AJ107="是",AND(AB107&lt;&gt;"",AB107&lt;项目驾驶舱!$B$3,AC107&lt;&gt;"已关闭")),"是","否"))</f>
        <v/>
      </c>
      <c r="AQ107" s="8" t="str">
        <f>IF(B107="","",IF(W107="","缺风险责任人",IF(AND(OR(V107="重大",V107="高"),Y107=""),"高风险缺应对策略",IF(AND(AJ107="是",AK107=""),"已发生未关联问题",IF(AND(AC107="已关闭",AO107=""),"关闭缺证据",IF(AND(AM107&lt;&gt;"",AM107&lt;项目驾驶舱!$B$3),"评审逾期",""))))))</f>
        <v/>
      </c>
      <c r="AR107" s="8" t="str">
        <f>IF(AP107="是",COUNTIFS($AP$9:AP107,"是"),"")</f>
        <v/>
      </c>
    </row>
    <row r="108" spans="1:44">
      <c r="A108" s="8" t="str">
        <f t="shared" si="6"/>
        <v/>
      </c>
      <c r="B108" s="10"/>
      <c r="C108" s="10"/>
      <c r="D108" s="10"/>
      <c r="E108" s="10"/>
      <c r="F108" s="10"/>
      <c r="G108" s="10"/>
      <c r="H108" s="10"/>
      <c r="I108" s="10"/>
      <c r="J108" s="11"/>
      <c r="K108" s="10"/>
      <c r="L108" s="10"/>
      <c r="M108" s="10"/>
      <c r="N108" s="10"/>
      <c r="O108" s="10"/>
      <c r="P108" s="10"/>
      <c r="Q108" s="10"/>
      <c r="R108" s="10"/>
      <c r="S108" s="10"/>
      <c r="T108" s="8" t="str">
        <f t="shared" si="7"/>
        <v/>
      </c>
      <c r="U108" s="8" t="str">
        <f t="shared" si="8"/>
        <v/>
      </c>
      <c r="V108" s="8" t="str">
        <f t="shared" si="9"/>
        <v/>
      </c>
      <c r="W108" s="10"/>
      <c r="X108" s="10"/>
      <c r="Y108" s="10"/>
      <c r="Z108" s="10"/>
      <c r="AA108" s="10"/>
      <c r="AB108" s="11"/>
      <c r="AC108" s="10"/>
      <c r="AD108" s="47"/>
      <c r="AE108" s="10"/>
      <c r="AF108" s="10"/>
      <c r="AG108" s="8" t="str">
        <f t="shared" si="10"/>
        <v/>
      </c>
      <c r="AH108" s="8" t="str">
        <f t="shared" si="11"/>
        <v/>
      </c>
      <c r="AI108" s="10"/>
      <c r="AJ108" s="10"/>
      <c r="AK108" s="10"/>
      <c r="AL108" s="11"/>
      <c r="AM108" s="11"/>
      <c r="AN108" s="11"/>
      <c r="AO108" s="10"/>
      <c r="AP108" s="8" t="str">
        <f>IF(B108="","",IF(OR(V108="重大",AH108="重大",AH108="高",AI108="上升",AJ108="是",AND(AB108&lt;&gt;"",AB108&lt;项目驾驶舱!$B$3,AC108&lt;&gt;"已关闭")),"是","否"))</f>
        <v/>
      </c>
      <c r="AQ108" s="8" t="str">
        <f>IF(B108="","",IF(W108="","缺风险责任人",IF(AND(OR(V108="重大",V108="高"),Y108=""),"高风险缺应对策略",IF(AND(AJ108="是",AK108=""),"已发生未关联问题",IF(AND(AC108="已关闭",AO108=""),"关闭缺证据",IF(AND(AM108&lt;&gt;"",AM108&lt;项目驾驶舱!$B$3),"评审逾期",""))))))</f>
        <v/>
      </c>
      <c r="AR108" s="8" t="str">
        <f>IF(AP108="是",COUNTIFS($AP$9:AP108,"是"),"")</f>
        <v/>
      </c>
    </row>
  </sheetData>
  <autoFilter xmlns:etc="http://www.wps.cn/officeDocument/2017/etCustomData" ref="A8:AQ108" etc:filterBottomFollowUsedRange="0">
    <extLst/>
  </autoFilter>
  <mergeCells count="16">
    <mergeCell ref="A1:AR1"/>
    <mergeCell ref="A2:AR2"/>
    <mergeCell ref="A4:C4"/>
    <mergeCell ref="D4:F4"/>
    <mergeCell ref="G4:I4"/>
    <mergeCell ref="J4:L4"/>
    <mergeCell ref="M4:O4"/>
    <mergeCell ref="P4:R4"/>
    <mergeCell ref="S4:U4"/>
    <mergeCell ref="A5:C5"/>
    <mergeCell ref="D5:F5"/>
    <mergeCell ref="G5:I5"/>
    <mergeCell ref="J5:L5"/>
    <mergeCell ref="M5:O5"/>
    <mergeCell ref="P5:R5"/>
    <mergeCell ref="S5:U5"/>
  </mergeCells>
  <conditionalFormatting sqref="A9:AQ108">
    <cfRule type="expression" dxfId="11" priority="1">
      <formula>OR($AH9="重大",$V9="重大")</formula>
    </cfRule>
    <cfRule type="expression" dxfId="12" priority="2">
      <formula>AND($B9&lt;&gt;"",$AQ9&lt;&gt;"")</formula>
    </cfRule>
  </conditionalFormatting>
  <dataValidations count="7">
    <dataValidation type="list" allowBlank="1" sqref="C9:C108">
      <formula1>"威胁,机会"</formula1>
    </dataValidation>
    <dataValidation type="list" allowBlank="1" sqref="D9:D108">
      <formula1>"业务与需求,范围与变更,计划与进度,资源与关键人员,技术与架构,数据与迁移,接口与外部依赖,测试与质量,安全与合规,部署与上线,运维与服务,采购与供应商,合同与成本,相关方与决策,外部环境,机会类风险"</formula1>
    </dataValidation>
    <dataValidation type="list" allowBlank="1" sqref="Y9:Y108">
      <formula1>"规避,减轻,转移,接受,上报,开拓,提高,分享"</formula1>
    </dataValidation>
    <dataValidation type="list" allowBlank="1" sqref="AC9:AC108">
      <formula1>"已识别,分析中,应对中,监控中,已发生,已关闭"</formula1>
    </dataValidation>
    <dataValidation type="list" allowBlank="1" sqref="AI9:AI108">
      <formula1>"上升,稳定,下降"</formula1>
    </dataValidation>
    <dataValidation type="list" allowBlank="1" sqref="AJ9:AJ108">
      <formula1>"是,否"</formula1>
    </dataValidation>
    <dataValidation type="list" allowBlank="1" sqref="L9:S108 AE9:AF108">
      <formula1>"1,2,3,4,5"</formula1>
    </dataValidation>
  </dataValidations>
  <pageMargins left="0.75" right="0.75" top="1" bottom="1" header="0.5" footer="0.5"/>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1"/>
  <sheetViews>
    <sheetView showGridLines="0" workbookViewId="0">
      <pane ySplit="7" topLeftCell="A8" activePane="bottomLeft" state="frozen"/>
      <selection/>
      <selection pane="bottomLeft" activeCell="A1" sqref="A1:O1"/>
    </sheetView>
  </sheetViews>
  <sheetFormatPr defaultColWidth="9" defaultRowHeight="16.8"/>
  <cols>
    <col min="1" max="15" width="15" style="1" customWidth="1"/>
  </cols>
  <sheetData>
    <row r="1" ht="28" customHeight="1" spans="1:14">
      <c r="A1" s="44" t="s">
        <v>645</v>
      </c>
    </row>
    <row r="2" ht="24" customHeight="1" spans="1:14">
      <c r="A2" s="45" t="s">
        <v>646</v>
      </c>
    </row>
    <row r="4" spans="1:14">
      <c r="A4" s="48" t="s">
        <v>598</v>
      </c>
      <c r="D4" s="48" t="s">
        <v>599</v>
      </c>
      <c r="G4" s="48" t="s">
        <v>10</v>
      </c>
      <c r="J4" s="48" t="s">
        <v>37</v>
      </c>
    </row>
    <row r="5" ht="22" spans="1:14">
      <c r="A5" s="49">
        <f>COUNTIFS(风险登记册!$B$9:$B$108,"&lt;&gt;")</f>
        <v>0</v>
      </c>
      <c r="D5" s="49">
        <f>COUNTIFS(风险登记册!$AH$9:$AH$108,"重大")</f>
        <v>0</v>
      </c>
      <c r="G5" s="49">
        <f>COUNTIFS(风险登记册!$AH$9:$AH$108,"高")</f>
        <v>0</v>
      </c>
      <c r="J5" s="49">
        <f>COUNTIFS(风险登记册!$AB$9:$AB$108,"&lt;"&amp;项目驾驶舱!$B$3,风险登记册!$AB$9:$AB$108,"&lt;&gt;",风险登记册!$AC$9:$AC$108,"&lt;&gt;已关闭")</f>
        <v>0</v>
      </c>
    </row>
    <row r="8" ht="17.6" spans="1:14">
      <c r="A8" s="50" t="s">
        <v>647</v>
      </c>
      <c r="I8" s="50" t="s">
        <v>648</v>
      </c>
    </row>
    <row r="9" spans="1:14">
      <c r="A9" s="6" t="s">
        <v>649</v>
      </c>
      <c r="B9" s="6">
        <v>1</v>
      </c>
      <c r="C9" s="6">
        <v>2</v>
      </c>
      <c r="D9" s="6">
        <v>3</v>
      </c>
      <c r="E9" s="6">
        <v>4</v>
      </c>
      <c r="F9" s="6">
        <v>5</v>
      </c>
      <c r="I9" s="6" t="s">
        <v>649</v>
      </c>
      <c r="J9" s="6">
        <v>1</v>
      </c>
      <c r="K9" s="6">
        <v>2</v>
      </c>
      <c r="L9" s="6">
        <v>3</v>
      </c>
      <c r="M9" s="6">
        <v>4</v>
      </c>
      <c r="N9" s="6">
        <v>5</v>
      </c>
    </row>
    <row r="10" spans="1:14">
      <c r="A10" s="6">
        <v>5</v>
      </c>
      <c r="B10" s="51">
        <f>COUNTIFS(风险登记册!$L$9:$L$108,1,风险登记册!$T$9:$T$108,5,风险登记册!$B$9:$B$108,"&lt;&gt;")</f>
        <v>0</v>
      </c>
      <c r="C10" s="52">
        <f>COUNTIFS(风险登记册!$L$9:$L$108,2,风险登记册!$T$9:$T$108,5,风险登记册!$B$9:$B$108,"&lt;&gt;")</f>
        <v>0</v>
      </c>
      <c r="D10" s="52">
        <f>COUNTIFS(风险登记册!$L$9:$L$108,3,风险登记册!$T$9:$T$108,5,风险登记册!$B$9:$B$108,"&lt;&gt;")</f>
        <v>0</v>
      </c>
      <c r="E10" s="53">
        <f>COUNTIFS(风险登记册!$L$9:$L$108,4,风险登记册!$T$9:$T$108,5,风险登记册!$B$9:$B$108,"&lt;&gt;")</f>
        <v>0</v>
      </c>
      <c r="F10" s="53">
        <f>COUNTIFS(风险登记册!$L$9:$L$108,5,风险登记册!$T$9:$T$108,5,风险登记册!$B$9:$B$108,"&lt;&gt;")</f>
        <v>0</v>
      </c>
      <c r="I10" s="6">
        <v>5</v>
      </c>
      <c r="J10" s="51">
        <f>COUNTIFS(风险登记册!$AE$9:$AE$108,1,风险登记册!$AF$9:$AF$108,5,风险登记册!$B$9:$B$108,"&lt;&gt;")</f>
        <v>0</v>
      </c>
      <c r="K10" s="52">
        <f>COUNTIFS(风险登记册!$AE$9:$AE$108,2,风险登记册!$AF$9:$AF$108,5,风险登记册!$B$9:$B$108,"&lt;&gt;")</f>
        <v>0</v>
      </c>
      <c r="L10" s="52">
        <f>COUNTIFS(风险登记册!$AE$9:$AE$108,3,风险登记册!$AF$9:$AF$108,5,风险登记册!$B$9:$B$108,"&lt;&gt;")</f>
        <v>0</v>
      </c>
      <c r="M10" s="53">
        <f>COUNTIFS(风险登记册!$AE$9:$AE$108,4,风险登记册!$AF$9:$AF$108,5,风险登记册!$B$9:$B$108,"&lt;&gt;")</f>
        <v>0</v>
      </c>
      <c r="N10" s="53">
        <f>COUNTIFS(风险登记册!$AE$9:$AE$108,5,风险登记册!$AF$9:$AF$108,5,风险登记册!$B$9:$B$108,"&lt;&gt;")</f>
        <v>0</v>
      </c>
    </row>
    <row r="11" spans="1:14">
      <c r="A11" s="6">
        <v>4</v>
      </c>
      <c r="B11" s="54">
        <f>COUNTIFS(风险登记册!$L$9:$L$108,1,风险登记册!$T$9:$T$108,4,风险登记册!$B$9:$B$108,"&lt;&gt;")</f>
        <v>0</v>
      </c>
      <c r="C11" s="51">
        <f>COUNTIFS(风险登记册!$L$9:$L$108,2,风险登记册!$T$9:$T$108,4,风险登记册!$B$9:$B$108,"&lt;&gt;")</f>
        <v>0</v>
      </c>
      <c r="D11" s="52">
        <f>COUNTIFS(风险登记册!$L$9:$L$108,3,风险登记册!$T$9:$T$108,4,风险登记册!$B$9:$B$108,"&lt;&gt;")</f>
        <v>0</v>
      </c>
      <c r="E11" s="52">
        <f>COUNTIFS(风险登记册!$L$9:$L$108,4,风险登记册!$T$9:$T$108,4,风险登记册!$B$9:$B$108,"&lt;&gt;")</f>
        <v>0</v>
      </c>
      <c r="F11" s="53">
        <f>COUNTIFS(风险登记册!$L$9:$L$108,5,风险登记册!$T$9:$T$108,4,风险登记册!$B$9:$B$108,"&lt;&gt;")</f>
        <v>0</v>
      </c>
      <c r="I11" s="6">
        <v>4</v>
      </c>
      <c r="J11" s="54">
        <f>COUNTIFS(风险登记册!$AE$9:$AE$108,1,风险登记册!$AF$9:$AF$108,4,风险登记册!$B$9:$B$108,"&lt;&gt;")</f>
        <v>0</v>
      </c>
      <c r="K11" s="51">
        <f>COUNTIFS(风险登记册!$AE$9:$AE$108,2,风险登记册!$AF$9:$AF$108,4,风险登记册!$B$9:$B$108,"&lt;&gt;")</f>
        <v>0</v>
      </c>
      <c r="L11" s="52">
        <f>COUNTIFS(风险登记册!$AE$9:$AE$108,3,风险登记册!$AF$9:$AF$108,4,风险登记册!$B$9:$B$108,"&lt;&gt;")</f>
        <v>0</v>
      </c>
      <c r="M11" s="52">
        <f>COUNTIFS(风险登记册!$AE$9:$AE$108,4,风险登记册!$AF$9:$AF$108,4,风险登记册!$B$9:$B$108,"&lt;&gt;")</f>
        <v>0</v>
      </c>
      <c r="N11" s="53">
        <f>COUNTIFS(风险登记册!$AE$9:$AE$108,5,风险登记册!$AF$9:$AF$108,4,风险登记册!$B$9:$B$108,"&lt;&gt;")</f>
        <v>0</v>
      </c>
    </row>
    <row r="12" spans="1:14">
      <c r="A12" s="6">
        <v>3</v>
      </c>
      <c r="B12" s="54">
        <f>COUNTIFS(风险登记册!$L$9:$L$108,1,风险登记册!$T$9:$T$108,3,风险登记册!$B$9:$B$108,"&lt;&gt;")</f>
        <v>0</v>
      </c>
      <c r="C12" s="51">
        <f>COUNTIFS(风险登记册!$L$9:$L$108,2,风险登记册!$T$9:$T$108,3,风险登记册!$B$9:$B$108,"&lt;&gt;")</f>
        <v>0</v>
      </c>
      <c r="D12" s="51">
        <f>COUNTIFS(风险登记册!$L$9:$L$108,3,风险登记册!$T$9:$T$108,3,风险登记册!$B$9:$B$108,"&lt;&gt;")</f>
        <v>0</v>
      </c>
      <c r="E12" s="52">
        <f>COUNTIFS(风险登记册!$L$9:$L$108,4,风险登记册!$T$9:$T$108,3,风险登记册!$B$9:$B$108,"&lt;&gt;")</f>
        <v>0</v>
      </c>
      <c r="F12" s="52">
        <f>COUNTIFS(风险登记册!$L$9:$L$108,5,风险登记册!$T$9:$T$108,3,风险登记册!$B$9:$B$108,"&lt;&gt;")</f>
        <v>0</v>
      </c>
      <c r="I12" s="6">
        <v>3</v>
      </c>
      <c r="J12" s="54">
        <f>COUNTIFS(风险登记册!$AE$9:$AE$108,1,风险登记册!$AF$9:$AF$108,3,风险登记册!$B$9:$B$108,"&lt;&gt;")</f>
        <v>0</v>
      </c>
      <c r="K12" s="51">
        <f>COUNTIFS(风险登记册!$AE$9:$AE$108,2,风险登记册!$AF$9:$AF$108,3,风险登记册!$B$9:$B$108,"&lt;&gt;")</f>
        <v>0</v>
      </c>
      <c r="L12" s="51">
        <f>COUNTIFS(风险登记册!$AE$9:$AE$108,3,风险登记册!$AF$9:$AF$108,3,风险登记册!$B$9:$B$108,"&lt;&gt;")</f>
        <v>0</v>
      </c>
      <c r="M12" s="52">
        <f>COUNTIFS(风险登记册!$AE$9:$AE$108,4,风险登记册!$AF$9:$AF$108,3,风险登记册!$B$9:$B$108,"&lt;&gt;")</f>
        <v>0</v>
      </c>
      <c r="N12" s="52">
        <f>COUNTIFS(风险登记册!$AE$9:$AE$108,5,风险登记册!$AF$9:$AF$108,3,风险登记册!$B$9:$B$108,"&lt;&gt;")</f>
        <v>0</v>
      </c>
    </row>
    <row r="13" spans="1:14">
      <c r="A13" s="6">
        <v>2</v>
      </c>
      <c r="B13" s="54">
        <f>COUNTIFS(风险登记册!$L$9:$L$108,1,风险登记册!$T$9:$T$108,2,风险登记册!$B$9:$B$108,"&lt;&gt;")</f>
        <v>0</v>
      </c>
      <c r="C13" s="54">
        <f>COUNTIFS(风险登记册!$L$9:$L$108,2,风险登记册!$T$9:$T$108,2,风险登记册!$B$9:$B$108,"&lt;&gt;")</f>
        <v>0</v>
      </c>
      <c r="D13" s="51">
        <f>COUNTIFS(风险登记册!$L$9:$L$108,3,风险登记册!$T$9:$T$108,2,风险登记册!$B$9:$B$108,"&lt;&gt;")</f>
        <v>0</v>
      </c>
      <c r="E13" s="51">
        <f>COUNTIFS(风险登记册!$L$9:$L$108,4,风险登记册!$T$9:$T$108,2,风险登记册!$B$9:$B$108,"&lt;&gt;")</f>
        <v>0</v>
      </c>
      <c r="F13" s="52">
        <f>COUNTIFS(风险登记册!$L$9:$L$108,5,风险登记册!$T$9:$T$108,2,风险登记册!$B$9:$B$108,"&lt;&gt;")</f>
        <v>0</v>
      </c>
      <c r="I13" s="6">
        <v>2</v>
      </c>
      <c r="J13" s="54">
        <f>COUNTIFS(风险登记册!$AE$9:$AE$108,1,风险登记册!$AF$9:$AF$108,2,风险登记册!$B$9:$B$108,"&lt;&gt;")</f>
        <v>0</v>
      </c>
      <c r="K13" s="54">
        <f>COUNTIFS(风险登记册!$AE$9:$AE$108,2,风险登记册!$AF$9:$AF$108,2,风险登记册!$B$9:$B$108,"&lt;&gt;")</f>
        <v>0</v>
      </c>
      <c r="L13" s="51">
        <f>COUNTIFS(风险登记册!$AE$9:$AE$108,3,风险登记册!$AF$9:$AF$108,2,风险登记册!$B$9:$B$108,"&lt;&gt;")</f>
        <v>0</v>
      </c>
      <c r="M13" s="51">
        <f>COUNTIFS(风险登记册!$AE$9:$AE$108,4,风险登记册!$AF$9:$AF$108,2,风险登记册!$B$9:$B$108,"&lt;&gt;")</f>
        <v>0</v>
      </c>
      <c r="N13" s="52">
        <f>COUNTIFS(风险登记册!$AE$9:$AE$108,5,风险登记册!$AF$9:$AF$108,2,风险登记册!$B$9:$B$108,"&lt;&gt;")</f>
        <v>0</v>
      </c>
    </row>
    <row r="14" spans="1:14">
      <c r="A14" s="6">
        <v>1</v>
      </c>
      <c r="B14" s="54">
        <f>COUNTIFS(风险登记册!$L$9:$L$108,1,风险登记册!$T$9:$T$108,1,风险登记册!$B$9:$B$108,"&lt;&gt;")</f>
        <v>0</v>
      </c>
      <c r="C14" s="54">
        <f>COUNTIFS(风险登记册!$L$9:$L$108,2,风险登记册!$T$9:$T$108,1,风险登记册!$B$9:$B$108,"&lt;&gt;")</f>
        <v>0</v>
      </c>
      <c r="D14" s="54">
        <f>COUNTIFS(风险登记册!$L$9:$L$108,3,风险登记册!$T$9:$T$108,1,风险登记册!$B$9:$B$108,"&lt;&gt;")</f>
        <v>0</v>
      </c>
      <c r="E14" s="54">
        <f>COUNTIFS(风险登记册!$L$9:$L$108,4,风险登记册!$T$9:$T$108,1,风险登记册!$B$9:$B$108,"&lt;&gt;")</f>
        <v>0</v>
      </c>
      <c r="F14" s="51">
        <f>COUNTIFS(风险登记册!$L$9:$L$108,5,风险登记册!$T$9:$T$108,1,风险登记册!$B$9:$B$108,"&lt;&gt;")</f>
        <v>0</v>
      </c>
      <c r="I14" s="6">
        <v>1</v>
      </c>
      <c r="J14" s="54">
        <f>COUNTIFS(风险登记册!$AE$9:$AE$108,1,风险登记册!$AF$9:$AF$108,1,风险登记册!$B$9:$B$108,"&lt;&gt;")</f>
        <v>0</v>
      </c>
      <c r="K14" s="54">
        <f>COUNTIFS(风险登记册!$AE$9:$AE$108,2,风险登记册!$AF$9:$AF$108,1,风险登记册!$B$9:$B$108,"&lt;&gt;")</f>
        <v>0</v>
      </c>
      <c r="L14" s="54">
        <f>COUNTIFS(风险登记册!$AE$9:$AE$108,3,风险登记册!$AF$9:$AF$108,1,风险登记册!$B$9:$B$108,"&lt;&gt;")</f>
        <v>0</v>
      </c>
      <c r="M14" s="54">
        <f>COUNTIFS(风险登记册!$AE$9:$AE$108,4,风险登记册!$AF$9:$AF$108,1,风险登记册!$B$9:$B$108,"&lt;&gt;")</f>
        <v>0</v>
      </c>
      <c r="N14" s="51">
        <f>COUNTIFS(风险登记册!$AE$9:$AE$108,5,风险登记册!$AF$9:$AF$108,1,风险登记册!$B$9:$B$108,"&lt;&gt;")</f>
        <v>0</v>
      </c>
    </row>
    <row r="17" ht="17.6" spans="1:1">
      <c r="A17" s="50" t="s">
        <v>650</v>
      </c>
    </row>
    <row r="18" spans="1:1">
      <c r="A18" s="55" t="s">
        <v>651</v>
      </c>
    </row>
    <row r="19" spans="1:1">
      <c r="A19" s="27" t="s">
        <v>652</v>
      </c>
    </row>
    <row r="20" spans="1:1">
      <c r="A20" s="56" t="s">
        <v>653</v>
      </c>
    </row>
    <row r="21" spans="1:1">
      <c r="A21" s="57" t="s">
        <v>654</v>
      </c>
    </row>
  </sheetData>
  <mergeCells count="12">
    <mergeCell ref="A1:O1"/>
    <mergeCell ref="A2:O2"/>
    <mergeCell ref="A4:C4"/>
    <mergeCell ref="D4:F4"/>
    <mergeCell ref="G4:I4"/>
    <mergeCell ref="J4:L4"/>
    <mergeCell ref="A5:C5"/>
    <mergeCell ref="D5:F5"/>
    <mergeCell ref="G5:I5"/>
    <mergeCell ref="J5:L5"/>
    <mergeCell ref="A8:F8"/>
    <mergeCell ref="I8:N8"/>
  </mergeCells>
  <pageMargins left="0.75" right="0.75" top="1" bottom="1" header="0.5" footer="0.5"/>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4"/>
  <sheetViews>
    <sheetView showGridLines="0" workbookViewId="0">
      <pane ySplit="4" topLeftCell="A5" activePane="bottomLeft" state="frozen"/>
      <selection/>
      <selection pane="bottomLeft" activeCell="A1" sqref="A1:O1"/>
    </sheetView>
  </sheetViews>
  <sheetFormatPr defaultColWidth="9" defaultRowHeight="16.8"/>
  <cols>
    <col min="1" max="1" width="8" style="1" customWidth="1"/>
    <col min="2" max="2" width="13" style="1" customWidth="1"/>
    <col min="3" max="3" width="28" style="1" customWidth="1"/>
    <col min="4" max="4" width="20" style="1" customWidth="1"/>
    <col min="5" max="5" width="10" style="1" customWidth="1"/>
    <col min="6" max="6" width="14" style="1" customWidth="1"/>
    <col min="7" max="7" width="10" style="1" customWidth="1"/>
    <col min="8" max="8" width="28" style="1" customWidth="1"/>
    <col min="9" max="9" width="14" style="1" customWidth="1"/>
    <col min="10" max="10" width="15" style="1" customWidth="1"/>
    <col min="11" max="11" width="14" style="1" customWidth="1"/>
    <col min="12" max="12" width="32" style="1" customWidth="1"/>
    <col min="13" max="14" width="28" style="1" customWidth="1"/>
    <col min="15" max="15" width="13" style="1" hidden="1" customWidth="1"/>
  </cols>
  <sheetData>
    <row r="1" ht="28" customHeight="1" spans="1:15">
      <c r="A1" s="44" t="s">
        <v>546</v>
      </c>
    </row>
    <row r="2" ht="24" customHeight="1" spans="1:15">
      <c r="A2" s="45" t="s">
        <v>655</v>
      </c>
    </row>
    <row r="4" ht="34" customHeight="1" spans="1:15">
      <c r="A4" s="7" t="s">
        <v>656</v>
      </c>
      <c r="B4" s="7" t="s">
        <v>604</v>
      </c>
      <c r="C4" s="7" t="s">
        <v>605</v>
      </c>
      <c r="D4" s="7" t="s">
        <v>657</v>
      </c>
      <c r="E4" s="7" t="s">
        <v>606</v>
      </c>
      <c r="F4" s="7" t="s">
        <v>658</v>
      </c>
      <c r="G4" s="7" t="s">
        <v>635</v>
      </c>
      <c r="H4" s="7" t="s">
        <v>627</v>
      </c>
      <c r="I4" s="7" t="s">
        <v>659</v>
      </c>
      <c r="J4" s="7" t="s">
        <v>533</v>
      </c>
      <c r="K4" s="7" t="s">
        <v>629</v>
      </c>
      <c r="L4" s="7" t="s">
        <v>660</v>
      </c>
      <c r="M4" s="7" t="s">
        <v>661</v>
      </c>
      <c r="N4" s="7" t="s">
        <v>662</v>
      </c>
      <c r="O4" s="7" t="s">
        <v>663</v>
      </c>
    </row>
    <row r="5" spans="1:15">
      <c r="A5" s="8" t="str">
        <f>IF(O5="","",ROWS($A$5:A5))</f>
        <v/>
      </c>
      <c r="B5" s="8" t="str">
        <f>IF($O5="","",INDEX(风险登记册!$A$9:$A$108,$O5))</f>
        <v/>
      </c>
      <c r="C5" s="8" t="str">
        <f>IF($O5="","",INDEX(风险登记册!$B$9:$B$108,$O5))</f>
        <v/>
      </c>
      <c r="D5" s="8" t="str">
        <f>IF($O5="","",INDEX(风险登记册!$D$9:$D$108,$O5))</f>
        <v/>
      </c>
      <c r="E5" s="8" t="str">
        <f>IF($O5="","",INDEX(风险登记册!$C$9:$C$108,$O5))</f>
        <v/>
      </c>
      <c r="F5" s="8" t="str">
        <f>IF($O5="","",INDEX(风险登记册!$AH$9:$AH$108,$O5))</f>
        <v/>
      </c>
      <c r="G5" s="8" t="str">
        <f>IF($O5="","",INDEX(风险登记册!$AI$9:$AI$108,$O5))</f>
        <v/>
      </c>
      <c r="H5" s="8" t="str">
        <f>IF($O5="","",INDEX(风险登记册!$Z$9:$Z$108,$O5))</f>
        <v/>
      </c>
      <c r="I5" s="8" t="str">
        <f>IF($O5="","",INDEX(风险登记册!$AC$9:$AC$108,$O5))</f>
        <v/>
      </c>
      <c r="J5" s="8" t="str">
        <f>IF($O5="","",INDEX(风险登记册!$W$9:$W$108,$O5))</f>
        <v/>
      </c>
      <c r="K5" s="25" t="str">
        <f>IF($O5="","",INDEX(风险登记册!$AB$9:$AB$108,$O5))</f>
        <v/>
      </c>
      <c r="L5" s="8" t="str">
        <f>IF($B5="","",IFERROR(INDEX(风险应对计划!$E$9:$E$108,MATCH($B5,风险应对计划!$B$9:$B$108,0)),""))</f>
        <v/>
      </c>
      <c r="M5" s="10"/>
      <c r="N5" s="10"/>
      <c r="O5" s="8" t="str">
        <f>IFERROR(MATCH(ROWS($A$5:A5),风险登记册!$AR$9:$AR$108,0),"")</f>
        <v/>
      </c>
    </row>
    <row r="6" spans="1:15">
      <c r="A6" s="8" t="str">
        <f>IF(O6="","",ROWS($A$5:A6))</f>
        <v/>
      </c>
      <c r="B6" s="8" t="str">
        <f>IF($O6="","",INDEX(风险登记册!$A$9:$A$108,$O6))</f>
        <v/>
      </c>
      <c r="C6" s="8" t="str">
        <f>IF($O6="","",INDEX(风险登记册!$B$9:$B$108,$O6))</f>
        <v/>
      </c>
      <c r="D6" s="8" t="str">
        <f>IF($O6="","",INDEX(风险登记册!$D$9:$D$108,$O6))</f>
        <v/>
      </c>
      <c r="E6" s="8" t="str">
        <f>IF($O6="","",INDEX(风险登记册!$C$9:$C$108,$O6))</f>
        <v/>
      </c>
      <c r="F6" s="8" t="str">
        <f>IF($O6="","",INDEX(风险登记册!$AH$9:$AH$108,$O6))</f>
        <v/>
      </c>
      <c r="G6" s="8" t="str">
        <f>IF($O6="","",INDEX(风险登记册!$AI$9:$AI$108,$O6))</f>
        <v/>
      </c>
      <c r="H6" s="8" t="str">
        <f>IF($O6="","",INDEX(风险登记册!$Z$9:$Z$108,$O6))</f>
        <v/>
      </c>
      <c r="I6" s="8" t="str">
        <f>IF($O6="","",INDEX(风险登记册!$AC$9:$AC$108,$O6))</f>
        <v/>
      </c>
      <c r="J6" s="8" t="str">
        <f>IF($O6="","",INDEX(风险登记册!$W$9:$W$108,$O6))</f>
        <v/>
      </c>
      <c r="K6" s="25" t="str">
        <f>IF($O6="","",INDEX(风险登记册!$AB$9:$AB$108,$O6))</f>
        <v/>
      </c>
      <c r="L6" s="8" t="str">
        <f>IF($B6="","",IFERROR(INDEX(风险应对计划!$E$9:$E$108,MATCH($B6,风险应对计划!$B$9:$B$108,0)),""))</f>
        <v/>
      </c>
      <c r="M6" s="10"/>
      <c r="N6" s="10"/>
      <c r="O6" s="8" t="str">
        <f>IFERROR(MATCH(ROWS($A$5:A6),风险登记册!$AR$9:$AR$108,0),"")</f>
        <v/>
      </c>
    </row>
    <row r="7" spans="1:15">
      <c r="A7" s="8" t="str">
        <f>IF(O7="","",ROWS($A$5:A7))</f>
        <v/>
      </c>
      <c r="B7" s="8" t="str">
        <f>IF($O7="","",INDEX(风险登记册!$A$9:$A$108,$O7))</f>
        <v/>
      </c>
      <c r="C7" s="8" t="str">
        <f>IF($O7="","",INDEX(风险登记册!$B$9:$B$108,$O7))</f>
        <v/>
      </c>
      <c r="D7" s="8" t="str">
        <f>IF($O7="","",INDEX(风险登记册!$D$9:$D$108,$O7))</f>
        <v/>
      </c>
      <c r="E7" s="8" t="str">
        <f>IF($O7="","",INDEX(风险登记册!$C$9:$C$108,$O7))</f>
        <v/>
      </c>
      <c r="F7" s="8" t="str">
        <f>IF($O7="","",INDEX(风险登记册!$AH$9:$AH$108,$O7))</f>
        <v/>
      </c>
      <c r="G7" s="8" t="str">
        <f>IF($O7="","",INDEX(风险登记册!$AI$9:$AI$108,$O7))</f>
        <v/>
      </c>
      <c r="H7" s="8" t="str">
        <f>IF($O7="","",INDEX(风险登记册!$Z$9:$Z$108,$O7))</f>
        <v/>
      </c>
      <c r="I7" s="8" t="str">
        <f>IF($O7="","",INDEX(风险登记册!$AC$9:$AC$108,$O7))</f>
        <v/>
      </c>
      <c r="J7" s="8" t="str">
        <f>IF($O7="","",INDEX(风险登记册!$W$9:$W$108,$O7))</f>
        <v/>
      </c>
      <c r="K7" s="25" t="str">
        <f>IF($O7="","",INDEX(风险登记册!$AB$9:$AB$108,$O7))</f>
        <v/>
      </c>
      <c r="L7" s="8" t="str">
        <f>IF($B7="","",IFERROR(INDEX(风险应对计划!$E$9:$E$108,MATCH($B7,风险应对计划!$B$9:$B$108,0)),""))</f>
        <v/>
      </c>
      <c r="M7" s="10"/>
      <c r="N7" s="10"/>
      <c r="O7" s="8" t="str">
        <f>IFERROR(MATCH(ROWS($A$5:A7),风险登记册!$AR$9:$AR$108,0),"")</f>
        <v/>
      </c>
    </row>
    <row r="8" spans="1:15">
      <c r="A8" s="8" t="str">
        <f>IF(O8="","",ROWS($A$5:A8))</f>
        <v/>
      </c>
      <c r="B8" s="8" t="str">
        <f>IF($O8="","",INDEX(风险登记册!$A$9:$A$108,$O8))</f>
        <v/>
      </c>
      <c r="C8" s="8" t="str">
        <f>IF($O8="","",INDEX(风险登记册!$B$9:$B$108,$O8))</f>
        <v/>
      </c>
      <c r="D8" s="8" t="str">
        <f>IF($O8="","",INDEX(风险登记册!$D$9:$D$108,$O8))</f>
        <v/>
      </c>
      <c r="E8" s="8" t="str">
        <f>IF($O8="","",INDEX(风险登记册!$C$9:$C$108,$O8))</f>
        <v/>
      </c>
      <c r="F8" s="8" t="str">
        <f>IF($O8="","",INDEX(风险登记册!$AH$9:$AH$108,$O8))</f>
        <v/>
      </c>
      <c r="G8" s="8" t="str">
        <f>IF($O8="","",INDEX(风险登记册!$AI$9:$AI$108,$O8))</f>
        <v/>
      </c>
      <c r="H8" s="8" t="str">
        <f>IF($O8="","",INDEX(风险登记册!$Z$9:$Z$108,$O8))</f>
        <v/>
      </c>
      <c r="I8" s="8" t="str">
        <f>IF($O8="","",INDEX(风险登记册!$AC$9:$AC$108,$O8))</f>
        <v/>
      </c>
      <c r="J8" s="8" t="str">
        <f>IF($O8="","",INDEX(风险登记册!$W$9:$W$108,$O8))</f>
        <v/>
      </c>
      <c r="K8" s="25" t="str">
        <f>IF($O8="","",INDEX(风险登记册!$AB$9:$AB$108,$O8))</f>
        <v/>
      </c>
      <c r="L8" s="8" t="str">
        <f>IF($B8="","",IFERROR(INDEX(风险应对计划!$E$9:$E$108,MATCH($B8,风险应对计划!$B$9:$B$108,0)),""))</f>
        <v/>
      </c>
      <c r="M8" s="10"/>
      <c r="N8" s="10"/>
      <c r="O8" s="8" t="str">
        <f>IFERROR(MATCH(ROWS($A$5:A8),风险登记册!$AR$9:$AR$108,0),"")</f>
        <v/>
      </c>
    </row>
    <row r="9" spans="1:15">
      <c r="A9" s="8" t="str">
        <f>IF(O9="","",ROWS($A$5:A9))</f>
        <v/>
      </c>
      <c r="B9" s="8" t="str">
        <f>IF($O9="","",INDEX(风险登记册!$A$9:$A$108,$O9))</f>
        <v/>
      </c>
      <c r="C9" s="8" t="str">
        <f>IF($O9="","",INDEX(风险登记册!$B$9:$B$108,$O9))</f>
        <v/>
      </c>
      <c r="D9" s="8" t="str">
        <f>IF($O9="","",INDEX(风险登记册!$D$9:$D$108,$O9))</f>
        <v/>
      </c>
      <c r="E9" s="8" t="str">
        <f>IF($O9="","",INDEX(风险登记册!$C$9:$C$108,$O9))</f>
        <v/>
      </c>
      <c r="F9" s="8" t="str">
        <f>IF($O9="","",INDEX(风险登记册!$AH$9:$AH$108,$O9))</f>
        <v/>
      </c>
      <c r="G9" s="8" t="str">
        <f>IF($O9="","",INDEX(风险登记册!$AI$9:$AI$108,$O9))</f>
        <v/>
      </c>
      <c r="H9" s="8" t="str">
        <f>IF($O9="","",INDEX(风险登记册!$Z$9:$Z$108,$O9))</f>
        <v/>
      </c>
      <c r="I9" s="8" t="str">
        <f>IF($O9="","",INDEX(风险登记册!$AC$9:$AC$108,$O9))</f>
        <v/>
      </c>
      <c r="J9" s="8" t="str">
        <f>IF($O9="","",INDEX(风险登记册!$W$9:$W$108,$O9))</f>
        <v/>
      </c>
      <c r="K9" s="25" t="str">
        <f>IF($O9="","",INDEX(风险登记册!$AB$9:$AB$108,$O9))</f>
        <v/>
      </c>
      <c r="L9" s="8" t="str">
        <f>IF($B9="","",IFERROR(INDEX(风险应对计划!$E$9:$E$108,MATCH($B9,风险应对计划!$B$9:$B$108,0)),""))</f>
        <v/>
      </c>
      <c r="M9" s="10"/>
      <c r="N9" s="10"/>
      <c r="O9" s="8" t="str">
        <f>IFERROR(MATCH(ROWS($A$5:A9),风险登记册!$AR$9:$AR$108,0),"")</f>
        <v/>
      </c>
    </row>
    <row r="10" spans="1:15">
      <c r="A10" s="8" t="str">
        <f>IF(O10="","",ROWS($A$5:A10))</f>
        <v/>
      </c>
      <c r="B10" s="8" t="str">
        <f>IF($O10="","",INDEX(风险登记册!$A$9:$A$108,$O10))</f>
        <v/>
      </c>
      <c r="C10" s="8" t="str">
        <f>IF($O10="","",INDEX(风险登记册!$B$9:$B$108,$O10))</f>
        <v/>
      </c>
      <c r="D10" s="8" t="str">
        <f>IF($O10="","",INDEX(风险登记册!$D$9:$D$108,$O10))</f>
        <v/>
      </c>
      <c r="E10" s="8" t="str">
        <f>IF($O10="","",INDEX(风险登记册!$C$9:$C$108,$O10))</f>
        <v/>
      </c>
      <c r="F10" s="8" t="str">
        <f>IF($O10="","",INDEX(风险登记册!$AH$9:$AH$108,$O10))</f>
        <v/>
      </c>
      <c r="G10" s="8" t="str">
        <f>IF($O10="","",INDEX(风险登记册!$AI$9:$AI$108,$O10))</f>
        <v/>
      </c>
      <c r="H10" s="8" t="str">
        <f>IF($O10="","",INDEX(风险登记册!$Z$9:$Z$108,$O10))</f>
        <v/>
      </c>
      <c r="I10" s="8" t="str">
        <f>IF($O10="","",INDEX(风险登记册!$AC$9:$AC$108,$O10))</f>
        <v/>
      </c>
      <c r="J10" s="8" t="str">
        <f>IF($O10="","",INDEX(风险登记册!$W$9:$W$108,$O10))</f>
        <v/>
      </c>
      <c r="K10" s="25" t="str">
        <f>IF($O10="","",INDEX(风险登记册!$AB$9:$AB$108,$O10))</f>
        <v/>
      </c>
      <c r="L10" s="8" t="str">
        <f>IF($B10="","",IFERROR(INDEX(风险应对计划!$E$9:$E$108,MATCH($B10,风险应对计划!$B$9:$B$108,0)),""))</f>
        <v/>
      </c>
      <c r="M10" s="10"/>
      <c r="N10" s="10"/>
      <c r="O10" s="8" t="str">
        <f>IFERROR(MATCH(ROWS($A$5:A10),风险登记册!$AR$9:$AR$108,0),"")</f>
        <v/>
      </c>
    </row>
    <row r="11" spans="1:15">
      <c r="A11" s="8" t="str">
        <f>IF(O11="","",ROWS($A$5:A11))</f>
        <v/>
      </c>
      <c r="B11" s="8" t="str">
        <f>IF($O11="","",INDEX(风险登记册!$A$9:$A$108,$O11))</f>
        <v/>
      </c>
      <c r="C11" s="8" t="str">
        <f>IF($O11="","",INDEX(风险登记册!$B$9:$B$108,$O11))</f>
        <v/>
      </c>
      <c r="D11" s="8" t="str">
        <f>IF($O11="","",INDEX(风险登记册!$D$9:$D$108,$O11))</f>
        <v/>
      </c>
      <c r="E11" s="8" t="str">
        <f>IF($O11="","",INDEX(风险登记册!$C$9:$C$108,$O11))</f>
        <v/>
      </c>
      <c r="F11" s="8" t="str">
        <f>IF($O11="","",INDEX(风险登记册!$AH$9:$AH$108,$O11))</f>
        <v/>
      </c>
      <c r="G11" s="8" t="str">
        <f>IF($O11="","",INDEX(风险登记册!$AI$9:$AI$108,$O11))</f>
        <v/>
      </c>
      <c r="H11" s="8" t="str">
        <f>IF($O11="","",INDEX(风险登记册!$Z$9:$Z$108,$O11))</f>
        <v/>
      </c>
      <c r="I11" s="8" t="str">
        <f>IF($O11="","",INDEX(风险登记册!$AC$9:$AC$108,$O11))</f>
        <v/>
      </c>
      <c r="J11" s="8" t="str">
        <f>IF($O11="","",INDEX(风险登记册!$W$9:$W$108,$O11))</f>
        <v/>
      </c>
      <c r="K11" s="25" t="str">
        <f>IF($O11="","",INDEX(风险登记册!$AB$9:$AB$108,$O11))</f>
        <v/>
      </c>
      <c r="L11" s="8" t="str">
        <f>IF($B11="","",IFERROR(INDEX(风险应对计划!$E$9:$E$108,MATCH($B11,风险应对计划!$B$9:$B$108,0)),""))</f>
        <v/>
      </c>
      <c r="M11" s="10"/>
      <c r="N11" s="10"/>
      <c r="O11" s="8" t="str">
        <f>IFERROR(MATCH(ROWS($A$5:A11),风险登记册!$AR$9:$AR$108,0),"")</f>
        <v/>
      </c>
    </row>
    <row r="12" spans="1:15">
      <c r="A12" s="8" t="str">
        <f>IF(O12="","",ROWS($A$5:A12))</f>
        <v/>
      </c>
      <c r="B12" s="8" t="str">
        <f>IF($O12="","",INDEX(风险登记册!$A$9:$A$108,$O12))</f>
        <v/>
      </c>
      <c r="C12" s="8" t="str">
        <f>IF($O12="","",INDEX(风险登记册!$B$9:$B$108,$O12))</f>
        <v/>
      </c>
      <c r="D12" s="8" t="str">
        <f>IF($O12="","",INDEX(风险登记册!$D$9:$D$108,$O12))</f>
        <v/>
      </c>
      <c r="E12" s="8" t="str">
        <f>IF($O12="","",INDEX(风险登记册!$C$9:$C$108,$O12))</f>
        <v/>
      </c>
      <c r="F12" s="8" t="str">
        <f>IF($O12="","",INDEX(风险登记册!$AH$9:$AH$108,$O12))</f>
        <v/>
      </c>
      <c r="G12" s="8" t="str">
        <f>IF($O12="","",INDEX(风险登记册!$AI$9:$AI$108,$O12))</f>
        <v/>
      </c>
      <c r="H12" s="8" t="str">
        <f>IF($O12="","",INDEX(风险登记册!$Z$9:$Z$108,$O12))</f>
        <v/>
      </c>
      <c r="I12" s="8" t="str">
        <f>IF($O12="","",INDEX(风险登记册!$AC$9:$AC$108,$O12))</f>
        <v/>
      </c>
      <c r="J12" s="8" t="str">
        <f>IF($O12="","",INDEX(风险登记册!$W$9:$W$108,$O12))</f>
        <v/>
      </c>
      <c r="K12" s="25" t="str">
        <f>IF($O12="","",INDEX(风险登记册!$AB$9:$AB$108,$O12))</f>
        <v/>
      </c>
      <c r="L12" s="8" t="str">
        <f>IF($B12="","",IFERROR(INDEX(风险应对计划!$E$9:$E$108,MATCH($B12,风险应对计划!$B$9:$B$108,0)),""))</f>
        <v/>
      </c>
      <c r="M12" s="10"/>
      <c r="N12" s="10"/>
      <c r="O12" s="8" t="str">
        <f>IFERROR(MATCH(ROWS($A$5:A12),风险登记册!$AR$9:$AR$108,0),"")</f>
        <v/>
      </c>
    </row>
    <row r="13" spans="1:15">
      <c r="A13" s="8" t="str">
        <f>IF(O13="","",ROWS($A$5:A13))</f>
        <v/>
      </c>
      <c r="B13" s="8" t="str">
        <f>IF($O13="","",INDEX(风险登记册!$A$9:$A$108,$O13))</f>
        <v/>
      </c>
      <c r="C13" s="8" t="str">
        <f>IF($O13="","",INDEX(风险登记册!$B$9:$B$108,$O13))</f>
        <v/>
      </c>
      <c r="D13" s="8" t="str">
        <f>IF($O13="","",INDEX(风险登记册!$D$9:$D$108,$O13))</f>
        <v/>
      </c>
      <c r="E13" s="8" t="str">
        <f>IF($O13="","",INDEX(风险登记册!$C$9:$C$108,$O13))</f>
        <v/>
      </c>
      <c r="F13" s="8" t="str">
        <f>IF($O13="","",INDEX(风险登记册!$AH$9:$AH$108,$O13))</f>
        <v/>
      </c>
      <c r="G13" s="8" t="str">
        <f>IF($O13="","",INDEX(风险登记册!$AI$9:$AI$108,$O13))</f>
        <v/>
      </c>
      <c r="H13" s="8" t="str">
        <f>IF($O13="","",INDEX(风险登记册!$Z$9:$Z$108,$O13))</f>
        <v/>
      </c>
      <c r="I13" s="8" t="str">
        <f>IF($O13="","",INDEX(风险登记册!$AC$9:$AC$108,$O13))</f>
        <v/>
      </c>
      <c r="J13" s="8" t="str">
        <f>IF($O13="","",INDEX(风险登记册!$W$9:$W$108,$O13))</f>
        <v/>
      </c>
      <c r="K13" s="25" t="str">
        <f>IF($O13="","",INDEX(风险登记册!$AB$9:$AB$108,$O13))</f>
        <v/>
      </c>
      <c r="L13" s="8" t="str">
        <f>IF($B13="","",IFERROR(INDEX(风险应对计划!$E$9:$E$108,MATCH($B13,风险应对计划!$B$9:$B$108,0)),""))</f>
        <v/>
      </c>
      <c r="M13" s="10"/>
      <c r="N13" s="10"/>
      <c r="O13" s="8" t="str">
        <f>IFERROR(MATCH(ROWS($A$5:A13),风险登记册!$AR$9:$AR$108,0),"")</f>
        <v/>
      </c>
    </row>
    <row r="14" spans="1:15">
      <c r="A14" s="8" t="str">
        <f>IF(O14="","",ROWS($A$5:A14))</f>
        <v/>
      </c>
      <c r="B14" s="8" t="str">
        <f>IF($O14="","",INDEX(风险登记册!$A$9:$A$108,$O14))</f>
        <v/>
      </c>
      <c r="C14" s="8" t="str">
        <f>IF($O14="","",INDEX(风险登记册!$B$9:$B$108,$O14))</f>
        <v/>
      </c>
      <c r="D14" s="8" t="str">
        <f>IF($O14="","",INDEX(风险登记册!$D$9:$D$108,$O14))</f>
        <v/>
      </c>
      <c r="E14" s="8" t="str">
        <f>IF($O14="","",INDEX(风险登记册!$C$9:$C$108,$O14))</f>
        <v/>
      </c>
      <c r="F14" s="8" t="str">
        <f>IF($O14="","",INDEX(风险登记册!$AH$9:$AH$108,$O14))</f>
        <v/>
      </c>
      <c r="G14" s="8" t="str">
        <f>IF($O14="","",INDEX(风险登记册!$AI$9:$AI$108,$O14))</f>
        <v/>
      </c>
      <c r="H14" s="8" t="str">
        <f>IF($O14="","",INDEX(风险登记册!$Z$9:$Z$108,$O14))</f>
        <v/>
      </c>
      <c r="I14" s="8" t="str">
        <f>IF($O14="","",INDEX(风险登记册!$AC$9:$AC$108,$O14))</f>
        <v/>
      </c>
      <c r="J14" s="8" t="str">
        <f>IF($O14="","",INDEX(风险登记册!$W$9:$W$108,$O14))</f>
        <v/>
      </c>
      <c r="K14" s="25" t="str">
        <f>IF($O14="","",INDEX(风险登记册!$AB$9:$AB$108,$O14))</f>
        <v/>
      </c>
      <c r="L14" s="8" t="str">
        <f>IF($B14="","",IFERROR(INDEX(风险应对计划!$E$9:$E$108,MATCH($B14,风险应对计划!$B$9:$B$108,0)),""))</f>
        <v/>
      </c>
      <c r="M14" s="10"/>
      <c r="N14" s="10"/>
      <c r="O14" s="8" t="str">
        <f>IFERROR(MATCH(ROWS($A$5:A14),风险登记册!$AR$9:$AR$108,0),"")</f>
        <v/>
      </c>
    </row>
    <row r="15" spans="1:15">
      <c r="A15" s="8" t="str">
        <f>IF(O15="","",ROWS($A$5:A15))</f>
        <v/>
      </c>
      <c r="B15" s="8" t="str">
        <f>IF($O15="","",INDEX(风险登记册!$A$9:$A$108,$O15))</f>
        <v/>
      </c>
      <c r="C15" s="8" t="str">
        <f>IF($O15="","",INDEX(风险登记册!$B$9:$B$108,$O15))</f>
        <v/>
      </c>
      <c r="D15" s="8" t="str">
        <f>IF($O15="","",INDEX(风险登记册!$D$9:$D$108,$O15))</f>
        <v/>
      </c>
      <c r="E15" s="8" t="str">
        <f>IF($O15="","",INDEX(风险登记册!$C$9:$C$108,$O15))</f>
        <v/>
      </c>
      <c r="F15" s="8" t="str">
        <f>IF($O15="","",INDEX(风险登记册!$AH$9:$AH$108,$O15))</f>
        <v/>
      </c>
      <c r="G15" s="8" t="str">
        <f>IF($O15="","",INDEX(风险登记册!$AI$9:$AI$108,$O15))</f>
        <v/>
      </c>
      <c r="H15" s="8" t="str">
        <f>IF($O15="","",INDEX(风险登记册!$Z$9:$Z$108,$O15))</f>
        <v/>
      </c>
      <c r="I15" s="8" t="str">
        <f>IF($O15="","",INDEX(风险登记册!$AC$9:$AC$108,$O15))</f>
        <v/>
      </c>
      <c r="J15" s="8" t="str">
        <f>IF($O15="","",INDEX(风险登记册!$W$9:$W$108,$O15))</f>
        <v/>
      </c>
      <c r="K15" s="25" t="str">
        <f>IF($O15="","",INDEX(风险登记册!$AB$9:$AB$108,$O15))</f>
        <v/>
      </c>
      <c r="L15" s="8" t="str">
        <f>IF($B15="","",IFERROR(INDEX(风险应对计划!$E$9:$E$108,MATCH($B15,风险应对计划!$B$9:$B$108,0)),""))</f>
        <v/>
      </c>
      <c r="M15" s="10"/>
      <c r="N15" s="10"/>
      <c r="O15" s="8" t="str">
        <f>IFERROR(MATCH(ROWS($A$5:A15),风险登记册!$AR$9:$AR$108,0),"")</f>
        <v/>
      </c>
    </row>
    <row r="16" spans="1:15">
      <c r="A16" s="8" t="str">
        <f>IF(O16="","",ROWS($A$5:A16))</f>
        <v/>
      </c>
      <c r="B16" s="8" t="str">
        <f>IF($O16="","",INDEX(风险登记册!$A$9:$A$108,$O16))</f>
        <v/>
      </c>
      <c r="C16" s="8" t="str">
        <f>IF($O16="","",INDEX(风险登记册!$B$9:$B$108,$O16))</f>
        <v/>
      </c>
      <c r="D16" s="8" t="str">
        <f>IF($O16="","",INDEX(风险登记册!$D$9:$D$108,$O16))</f>
        <v/>
      </c>
      <c r="E16" s="8" t="str">
        <f>IF($O16="","",INDEX(风险登记册!$C$9:$C$108,$O16))</f>
        <v/>
      </c>
      <c r="F16" s="8" t="str">
        <f>IF($O16="","",INDEX(风险登记册!$AH$9:$AH$108,$O16))</f>
        <v/>
      </c>
      <c r="G16" s="8" t="str">
        <f>IF($O16="","",INDEX(风险登记册!$AI$9:$AI$108,$O16))</f>
        <v/>
      </c>
      <c r="H16" s="8" t="str">
        <f>IF($O16="","",INDEX(风险登记册!$Z$9:$Z$108,$O16))</f>
        <v/>
      </c>
      <c r="I16" s="8" t="str">
        <f>IF($O16="","",INDEX(风险登记册!$AC$9:$AC$108,$O16))</f>
        <v/>
      </c>
      <c r="J16" s="8" t="str">
        <f>IF($O16="","",INDEX(风险登记册!$W$9:$W$108,$O16))</f>
        <v/>
      </c>
      <c r="K16" s="25" t="str">
        <f>IF($O16="","",INDEX(风险登记册!$AB$9:$AB$108,$O16))</f>
        <v/>
      </c>
      <c r="L16" s="8" t="str">
        <f>IF($B16="","",IFERROR(INDEX(风险应对计划!$E$9:$E$108,MATCH($B16,风险应对计划!$B$9:$B$108,0)),""))</f>
        <v/>
      </c>
      <c r="M16" s="10"/>
      <c r="N16" s="10"/>
      <c r="O16" s="8" t="str">
        <f>IFERROR(MATCH(ROWS($A$5:A16),风险登记册!$AR$9:$AR$108,0),"")</f>
        <v/>
      </c>
    </row>
    <row r="17" spans="1:15">
      <c r="A17" s="8" t="str">
        <f>IF(O17="","",ROWS($A$5:A17))</f>
        <v/>
      </c>
      <c r="B17" s="8" t="str">
        <f>IF($O17="","",INDEX(风险登记册!$A$9:$A$108,$O17))</f>
        <v/>
      </c>
      <c r="C17" s="8" t="str">
        <f>IF($O17="","",INDEX(风险登记册!$B$9:$B$108,$O17))</f>
        <v/>
      </c>
      <c r="D17" s="8" t="str">
        <f>IF($O17="","",INDEX(风险登记册!$D$9:$D$108,$O17))</f>
        <v/>
      </c>
      <c r="E17" s="8" t="str">
        <f>IF($O17="","",INDEX(风险登记册!$C$9:$C$108,$O17))</f>
        <v/>
      </c>
      <c r="F17" s="8" t="str">
        <f>IF($O17="","",INDEX(风险登记册!$AH$9:$AH$108,$O17))</f>
        <v/>
      </c>
      <c r="G17" s="8" t="str">
        <f>IF($O17="","",INDEX(风险登记册!$AI$9:$AI$108,$O17))</f>
        <v/>
      </c>
      <c r="H17" s="8" t="str">
        <f>IF($O17="","",INDEX(风险登记册!$Z$9:$Z$108,$O17))</f>
        <v/>
      </c>
      <c r="I17" s="8" t="str">
        <f>IF($O17="","",INDEX(风险登记册!$AC$9:$AC$108,$O17))</f>
        <v/>
      </c>
      <c r="J17" s="8" t="str">
        <f>IF($O17="","",INDEX(风险登记册!$W$9:$W$108,$O17))</f>
        <v/>
      </c>
      <c r="K17" s="25" t="str">
        <f>IF($O17="","",INDEX(风险登记册!$AB$9:$AB$108,$O17))</f>
        <v/>
      </c>
      <c r="L17" s="8" t="str">
        <f>IF($B17="","",IFERROR(INDEX(风险应对计划!$E$9:$E$108,MATCH($B17,风险应对计划!$B$9:$B$108,0)),""))</f>
        <v/>
      </c>
      <c r="M17" s="10"/>
      <c r="N17" s="10"/>
      <c r="O17" s="8" t="str">
        <f>IFERROR(MATCH(ROWS($A$5:A17),风险登记册!$AR$9:$AR$108,0),"")</f>
        <v/>
      </c>
    </row>
    <row r="18" spans="1:15">
      <c r="A18" s="8" t="str">
        <f>IF(O18="","",ROWS($A$5:A18))</f>
        <v/>
      </c>
      <c r="B18" s="8" t="str">
        <f>IF($O18="","",INDEX(风险登记册!$A$9:$A$108,$O18))</f>
        <v/>
      </c>
      <c r="C18" s="8" t="str">
        <f>IF($O18="","",INDEX(风险登记册!$B$9:$B$108,$O18))</f>
        <v/>
      </c>
      <c r="D18" s="8" t="str">
        <f>IF($O18="","",INDEX(风险登记册!$D$9:$D$108,$O18))</f>
        <v/>
      </c>
      <c r="E18" s="8" t="str">
        <f>IF($O18="","",INDEX(风险登记册!$C$9:$C$108,$O18))</f>
        <v/>
      </c>
      <c r="F18" s="8" t="str">
        <f>IF($O18="","",INDEX(风险登记册!$AH$9:$AH$108,$O18))</f>
        <v/>
      </c>
      <c r="G18" s="8" t="str">
        <f>IF($O18="","",INDEX(风险登记册!$AI$9:$AI$108,$O18))</f>
        <v/>
      </c>
      <c r="H18" s="8" t="str">
        <f>IF($O18="","",INDEX(风险登记册!$Z$9:$Z$108,$O18))</f>
        <v/>
      </c>
      <c r="I18" s="8" t="str">
        <f>IF($O18="","",INDEX(风险登记册!$AC$9:$AC$108,$O18))</f>
        <v/>
      </c>
      <c r="J18" s="8" t="str">
        <f>IF($O18="","",INDEX(风险登记册!$W$9:$W$108,$O18))</f>
        <v/>
      </c>
      <c r="K18" s="25" t="str">
        <f>IF($O18="","",INDEX(风险登记册!$AB$9:$AB$108,$O18))</f>
        <v/>
      </c>
      <c r="L18" s="8" t="str">
        <f>IF($B18="","",IFERROR(INDEX(风险应对计划!$E$9:$E$108,MATCH($B18,风险应对计划!$B$9:$B$108,0)),""))</f>
        <v/>
      </c>
      <c r="M18" s="10"/>
      <c r="N18" s="10"/>
      <c r="O18" s="8" t="str">
        <f>IFERROR(MATCH(ROWS($A$5:A18),风险登记册!$AR$9:$AR$108,0),"")</f>
        <v/>
      </c>
    </row>
    <row r="19" spans="1:15">
      <c r="A19" s="8" t="str">
        <f>IF(O19="","",ROWS($A$5:A19))</f>
        <v/>
      </c>
      <c r="B19" s="8" t="str">
        <f>IF($O19="","",INDEX(风险登记册!$A$9:$A$108,$O19))</f>
        <v/>
      </c>
      <c r="C19" s="8" t="str">
        <f>IF($O19="","",INDEX(风险登记册!$B$9:$B$108,$O19))</f>
        <v/>
      </c>
      <c r="D19" s="8" t="str">
        <f>IF($O19="","",INDEX(风险登记册!$D$9:$D$108,$O19))</f>
        <v/>
      </c>
      <c r="E19" s="8" t="str">
        <f>IF($O19="","",INDEX(风险登记册!$C$9:$C$108,$O19))</f>
        <v/>
      </c>
      <c r="F19" s="8" t="str">
        <f>IF($O19="","",INDEX(风险登记册!$AH$9:$AH$108,$O19))</f>
        <v/>
      </c>
      <c r="G19" s="8" t="str">
        <f>IF($O19="","",INDEX(风险登记册!$AI$9:$AI$108,$O19))</f>
        <v/>
      </c>
      <c r="H19" s="8" t="str">
        <f>IF($O19="","",INDEX(风险登记册!$Z$9:$Z$108,$O19))</f>
        <v/>
      </c>
      <c r="I19" s="8" t="str">
        <f>IF($O19="","",INDEX(风险登记册!$AC$9:$AC$108,$O19))</f>
        <v/>
      </c>
      <c r="J19" s="8" t="str">
        <f>IF($O19="","",INDEX(风险登记册!$W$9:$W$108,$O19))</f>
        <v/>
      </c>
      <c r="K19" s="25" t="str">
        <f>IF($O19="","",INDEX(风险登记册!$AB$9:$AB$108,$O19))</f>
        <v/>
      </c>
      <c r="L19" s="8" t="str">
        <f>IF($B19="","",IFERROR(INDEX(风险应对计划!$E$9:$E$108,MATCH($B19,风险应对计划!$B$9:$B$108,0)),""))</f>
        <v/>
      </c>
      <c r="M19" s="10"/>
      <c r="N19" s="10"/>
      <c r="O19" s="8" t="str">
        <f>IFERROR(MATCH(ROWS($A$5:A19),风险登记册!$AR$9:$AR$108,0),"")</f>
        <v/>
      </c>
    </row>
    <row r="20" spans="1:15">
      <c r="A20" s="8" t="str">
        <f>IF(O20="","",ROWS($A$5:A20))</f>
        <v/>
      </c>
      <c r="B20" s="8" t="str">
        <f>IF($O20="","",INDEX(风险登记册!$A$9:$A$108,$O20))</f>
        <v/>
      </c>
      <c r="C20" s="8" t="str">
        <f>IF($O20="","",INDEX(风险登记册!$B$9:$B$108,$O20))</f>
        <v/>
      </c>
      <c r="D20" s="8" t="str">
        <f>IF($O20="","",INDEX(风险登记册!$D$9:$D$108,$O20))</f>
        <v/>
      </c>
      <c r="E20" s="8" t="str">
        <f>IF($O20="","",INDEX(风险登记册!$C$9:$C$108,$O20))</f>
        <v/>
      </c>
      <c r="F20" s="8" t="str">
        <f>IF($O20="","",INDEX(风险登记册!$AH$9:$AH$108,$O20))</f>
        <v/>
      </c>
      <c r="G20" s="8" t="str">
        <f>IF($O20="","",INDEX(风险登记册!$AI$9:$AI$108,$O20))</f>
        <v/>
      </c>
      <c r="H20" s="8" t="str">
        <f>IF($O20="","",INDEX(风险登记册!$Z$9:$Z$108,$O20))</f>
        <v/>
      </c>
      <c r="I20" s="8" t="str">
        <f>IF($O20="","",INDEX(风险登记册!$AC$9:$AC$108,$O20))</f>
        <v/>
      </c>
      <c r="J20" s="8" t="str">
        <f>IF($O20="","",INDEX(风险登记册!$W$9:$W$108,$O20))</f>
        <v/>
      </c>
      <c r="K20" s="25" t="str">
        <f>IF($O20="","",INDEX(风险登记册!$AB$9:$AB$108,$O20))</f>
        <v/>
      </c>
      <c r="L20" s="8" t="str">
        <f>IF($B20="","",IFERROR(INDEX(风险应对计划!$E$9:$E$108,MATCH($B20,风险应对计划!$B$9:$B$108,0)),""))</f>
        <v/>
      </c>
      <c r="M20" s="10"/>
      <c r="N20" s="10"/>
      <c r="O20" s="8" t="str">
        <f>IFERROR(MATCH(ROWS($A$5:A20),风险登记册!$AR$9:$AR$108,0),"")</f>
        <v/>
      </c>
    </row>
    <row r="21" spans="1:15">
      <c r="A21" s="8" t="str">
        <f>IF(O21="","",ROWS($A$5:A21))</f>
        <v/>
      </c>
      <c r="B21" s="8" t="str">
        <f>IF($O21="","",INDEX(风险登记册!$A$9:$A$108,$O21))</f>
        <v/>
      </c>
      <c r="C21" s="8" t="str">
        <f>IF($O21="","",INDEX(风险登记册!$B$9:$B$108,$O21))</f>
        <v/>
      </c>
      <c r="D21" s="8" t="str">
        <f>IF($O21="","",INDEX(风险登记册!$D$9:$D$108,$O21))</f>
        <v/>
      </c>
      <c r="E21" s="8" t="str">
        <f>IF($O21="","",INDEX(风险登记册!$C$9:$C$108,$O21))</f>
        <v/>
      </c>
      <c r="F21" s="8" t="str">
        <f>IF($O21="","",INDEX(风险登记册!$AH$9:$AH$108,$O21))</f>
        <v/>
      </c>
      <c r="G21" s="8" t="str">
        <f>IF($O21="","",INDEX(风险登记册!$AI$9:$AI$108,$O21))</f>
        <v/>
      </c>
      <c r="H21" s="8" t="str">
        <f>IF($O21="","",INDEX(风险登记册!$Z$9:$Z$108,$O21))</f>
        <v/>
      </c>
      <c r="I21" s="8" t="str">
        <f>IF($O21="","",INDEX(风险登记册!$AC$9:$AC$108,$O21))</f>
        <v/>
      </c>
      <c r="J21" s="8" t="str">
        <f>IF($O21="","",INDEX(风险登记册!$W$9:$W$108,$O21))</f>
        <v/>
      </c>
      <c r="K21" s="25" t="str">
        <f>IF($O21="","",INDEX(风险登记册!$AB$9:$AB$108,$O21))</f>
        <v/>
      </c>
      <c r="L21" s="8" t="str">
        <f>IF($B21="","",IFERROR(INDEX(风险应对计划!$E$9:$E$108,MATCH($B21,风险应对计划!$B$9:$B$108,0)),""))</f>
        <v/>
      </c>
      <c r="M21" s="10"/>
      <c r="N21" s="10"/>
      <c r="O21" s="8" t="str">
        <f>IFERROR(MATCH(ROWS($A$5:A21),风险登记册!$AR$9:$AR$108,0),"")</f>
        <v/>
      </c>
    </row>
    <row r="22" spans="1:15">
      <c r="A22" s="8" t="str">
        <f>IF(O22="","",ROWS($A$5:A22))</f>
        <v/>
      </c>
      <c r="B22" s="8" t="str">
        <f>IF($O22="","",INDEX(风险登记册!$A$9:$A$108,$O22))</f>
        <v/>
      </c>
      <c r="C22" s="8" t="str">
        <f>IF($O22="","",INDEX(风险登记册!$B$9:$B$108,$O22))</f>
        <v/>
      </c>
      <c r="D22" s="8" t="str">
        <f>IF($O22="","",INDEX(风险登记册!$D$9:$D$108,$O22))</f>
        <v/>
      </c>
      <c r="E22" s="8" t="str">
        <f>IF($O22="","",INDEX(风险登记册!$C$9:$C$108,$O22))</f>
        <v/>
      </c>
      <c r="F22" s="8" t="str">
        <f>IF($O22="","",INDEX(风险登记册!$AH$9:$AH$108,$O22))</f>
        <v/>
      </c>
      <c r="G22" s="8" t="str">
        <f>IF($O22="","",INDEX(风险登记册!$AI$9:$AI$108,$O22))</f>
        <v/>
      </c>
      <c r="H22" s="8" t="str">
        <f>IF($O22="","",INDEX(风险登记册!$Z$9:$Z$108,$O22))</f>
        <v/>
      </c>
      <c r="I22" s="8" t="str">
        <f>IF($O22="","",INDEX(风险登记册!$AC$9:$AC$108,$O22))</f>
        <v/>
      </c>
      <c r="J22" s="8" t="str">
        <f>IF($O22="","",INDEX(风险登记册!$W$9:$W$108,$O22))</f>
        <v/>
      </c>
      <c r="K22" s="25" t="str">
        <f>IF($O22="","",INDEX(风险登记册!$AB$9:$AB$108,$O22))</f>
        <v/>
      </c>
      <c r="L22" s="8" t="str">
        <f>IF($B22="","",IFERROR(INDEX(风险应对计划!$E$9:$E$108,MATCH($B22,风险应对计划!$B$9:$B$108,0)),""))</f>
        <v/>
      </c>
      <c r="M22" s="10"/>
      <c r="N22" s="10"/>
      <c r="O22" s="8" t="str">
        <f>IFERROR(MATCH(ROWS($A$5:A22),风险登记册!$AR$9:$AR$108,0),"")</f>
        <v/>
      </c>
    </row>
    <row r="23" spans="1:15">
      <c r="A23" s="8" t="str">
        <f>IF(O23="","",ROWS($A$5:A23))</f>
        <v/>
      </c>
      <c r="B23" s="8" t="str">
        <f>IF($O23="","",INDEX(风险登记册!$A$9:$A$108,$O23))</f>
        <v/>
      </c>
      <c r="C23" s="8" t="str">
        <f>IF($O23="","",INDEX(风险登记册!$B$9:$B$108,$O23))</f>
        <v/>
      </c>
      <c r="D23" s="8" t="str">
        <f>IF($O23="","",INDEX(风险登记册!$D$9:$D$108,$O23))</f>
        <v/>
      </c>
      <c r="E23" s="8" t="str">
        <f>IF($O23="","",INDEX(风险登记册!$C$9:$C$108,$O23))</f>
        <v/>
      </c>
      <c r="F23" s="8" t="str">
        <f>IF($O23="","",INDEX(风险登记册!$AH$9:$AH$108,$O23))</f>
        <v/>
      </c>
      <c r="G23" s="8" t="str">
        <f>IF($O23="","",INDEX(风险登记册!$AI$9:$AI$108,$O23))</f>
        <v/>
      </c>
      <c r="H23" s="8" t="str">
        <f>IF($O23="","",INDEX(风险登记册!$Z$9:$Z$108,$O23))</f>
        <v/>
      </c>
      <c r="I23" s="8" t="str">
        <f>IF($O23="","",INDEX(风险登记册!$AC$9:$AC$108,$O23))</f>
        <v/>
      </c>
      <c r="J23" s="8" t="str">
        <f>IF($O23="","",INDEX(风险登记册!$W$9:$W$108,$O23))</f>
        <v/>
      </c>
      <c r="K23" s="25" t="str">
        <f>IF($O23="","",INDEX(风险登记册!$AB$9:$AB$108,$O23))</f>
        <v/>
      </c>
      <c r="L23" s="8" t="str">
        <f>IF($B23="","",IFERROR(INDEX(风险应对计划!$E$9:$E$108,MATCH($B23,风险应对计划!$B$9:$B$108,0)),""))</f>
        <v/>
      </c>
      <c r="M23" s="10"/>
      <c r="N23" s="10"/>
      <c r="O23" s="8" t="str">
        <f>IFERROR(MATCH(ROWS($A$5:A23),风险登记册!$AR$9:$AR$108,0),"")</f>
        <v/>
      </c>
    </row>
    <row r="24" spans="1:15">
      <c r="A24" s="8" t="str">
        <f>IF(O24="","",ROWS($A$5:A24))</f>
        <v/>
      </c>
      <c r="B24" s="8" t="str">
        <f>IF($O24="","",INDEX(风险登记册!$A$9:$A$108,$O24))</f>
        <v/>
      </c>
      <c r="C24" s="8" t="str">
        <f>IF($O24="","",INDEX(风险登记册!$B$9:$B$108,$O24))</f>
        <v/>
      </c>
      <c r="D24" s="8" t="str">
        <f>IF($O24="","",INDEX(风险登记册!$D$9:$D$108,$O24))</f>
        <v/>
      </c>
      <c r="E24" s="8" t="str">
        <f>IF($O24="","",INDEX(风险登记册!$C$9:$C$108,$O24))</f>
        <v/>
      </c>
      <c r="F24" s="8" t="str">
        <f>IF($O24="","",INDEX(风险登记册!$AH$9:$AH$108,$O24))</f>
        <v/>
      </c>
      <c r="G24" s="8" t="str">
        <f>IF($O24="","",INDEX(风险登记册!$AI$9:$AI$108,$O24))</f>
        <v/>
      </c>
      <c r="H24" s="8" t="str">
        <f>IF($O24="","",INDEX(风险登记册!$Z$9:$Z$108,$O24))</f>
        <v/>
      </c>
      <c r="I24" s="8" t="str">
        <f>IF($O24="","",INDEX(风险登记册!$AC$9:$AC$108,$O24))</f>
        <v/>
      </c>
      <c r="J24" s="8" t="str">
        <f>IF($O24="","",INDEX(风险登记册!$W$9:$W$108,$O24))</f>
        <v/>
      </c>
      <c r="K24" s="25" t="str">
        <f>IF($O24="","",INDEX(风险登记册!$AB$9:$AB$108,$O24))</f>
        <v/>
      </c>
      <c r="L24" s="8" t="str">
        <f>IF($B24="","",IFERROR(INDEX(风险应对计划!$E$9:$E$108,MATCH($B24,风险应对计划!$B$9:$B$108,0)),""))</f>
        <v/>
      </c>
      <c r="M24" s="10"/>
      <c r="N24" s="10"/>
      <c r="O24" s="8" t="str">
        <f>IFERROR(MATCH(ROWS($A$5:A24),风险登记册!$AR$9:$AR$108,0),"")</f>
        <v/>
      </c>
    </row>
    <row r="25" spans="1:15">
      <c r="A25" s="8" t="str">
        <f>IF(O25="","",ROWS($A$5:A25))</f>
        <v/>
      </c>
      <c r="B25" s="8" t="str">
        <f>IF($O25="","",INDEX(风险登记册!$A$9:$A$108,$O25))</f>
        <v/>
      </c>
      <c r="C25" s="8" t="str">
        <f>IF($O25="","",INDEX(风险登记册!$B$9:$B$108,$O25))</f>
        <v/>
      </c>
      <c r="D25" s="8" t="str">
        <f>IF($O25="","",INDEX(风险登记册!$D$9:$D$108,$O25))</f>
        <v/>
      </c>
      <c r="E25" s="8" t="str">
        <f>IF($O25="","",INDEX(风险登记册!$C$9:$C$108,$O25))</f>
        <v/>
      </c>
      <c r="F25" s="8" t="str">
        <f>IF($O25="","",INDEX(风险登记册!$AH$9:$AH$108,$O25))</f>
        <v/>
      </c>
      <c r="G25" s="8" t="str">
        <f>IF($O25="","",INDEX(风险登记册!$AI$9:$AI$108,$O25))</f>
        <v/>
      </c>
      <c r="H25" s="8" t="str">
        <f>IF($O25="","",INDEX(风险登记册!$Z$9:$Z$108,$O25))</f>
        <v/>
      </c>
      <c r="I25" s="8" t="str">
        <f>IF($O25="","",INDEX(风险登记册!$AC$9:$AC$108,$O25))</f>
        <v/>
      </c>
      <c r="J25" s="8" t="str">
        <f>IF($O25="","",INDEX(风险登记册!$W$9:$W$108,$O25))</f>
        <v/>
      </c>
      <c r="K25" s="25" t="str">
        <f>IF($O25="","",INDEX(风险登记册!$AB$9:$AB$108,$O25))</f>
        <v/>
      </c>
      <c r="L25" s="8" t="str">
        <f>IF($B25="","",IFERROR(INDEX(风险应对计划!$E$9:$E$108,MATCH($B25,风险应对计划!$B$9:$B$108,0)),""))</f>
        <v/>
      </c>
      <c r="M25" s="10"/>
      <c r="N25" s="10"/>
      <c r="O25" s="8" t="str">
        <f>IFERROR(MATCH(ROWS($A$5:A25),风险登记册!$AR$9:$AR$108,0),"")</f>
        <v/>
      </c>
    </row>
    <row r="26" spans="1:15">
      <c r="A26" s="8" t="str">
        <f>IF(O26="","",ROWS($A$5:A26))</f>
        <v/>
      </c>
      <c r="B26" s="8" t="str">
        <f>IF($O26="","",INDEX(风险登记册!$A$9:$A$108,$O26))</f>
        <v/>
      </c>
      <c r="C26" s="8" t="str">
        <f>IF($O26="","",INDEX(风险登记册!$B$9:$B$108,$O26))</f>
        <v/>
      </c>
      <c r="D26" s="8" t="str">
        <f>IF($O26="","",INDEX(风险登记册!$D$9:$D$108,$O26))</f>
        <v/>
      </c>
      <c r="E26" s="8" t="str">
        <f>IF($O26="","",INDEX(风险登记册!$C$9:$C$108,$O26))</f>
        <v/>
      </c>
      <c r="F26" s="8" t="str">
        <f>IF($O26="","",INDEX(风险登记册!$AH$9:$AH$108,$O26))</f>
        <v/>
      </c>
      <c r="G26" s="8" t="str">
        <f>IF($O26="","",INDEX(风险登记册!$AI$9:$AI$108,$O26))</f>
        <v/>
      </c>
      <c r="H26" s="8" t="str">
        <f>IF($O26="","",INDEX(风险登记册!$Z$9:$Z$108,$O26))</f>
        <v/>
      </c>
      <c r="I26" s="8" t="str">
        <f>IF($O26="","",INDEX(风险登记册!$AC$9:$AC$108,$O26))</f>
        <v/>
      </c>
      <c r="J26" s="8" t="str">
        <f>IF($O26="","",INDEX(风险登记册!$W$9:$W$108,$O26))</f>
        <v/>
      </c>
      <c r="K26" s="25" t="str">
        <f>IF($O26="","",INDEX(风险登记册!$AB$9:$AB$108,$O26))</f>
        <v/>
      </c>
      <c r="L26" s="8" t="str">
        <f>IF($B26="","",IFERROR(INDEX(风险应对计划!$E$9:$E$108,MATCH($B26,风险应对计划!$B$9:$B$108,0)),""))</f>
        <v/>
      </c>
      <c r="M26" s="10"/>
      <c r="N26" s="10"/>
      <c r="O26" s="8" t="str">
        <f>IFERROR(MATCH(ROWS($A$5:A26),风险登记册!$AR$9:$AR$108,0),"")</f>
        <v/>
      </c>
    </row>
    <row r="27" spans="1:15">
      <c r="A27" s="8" t="str">
        <f>IF(O27="","",ROWS($A$5:A27))</f>
        <v/>
      </c>
      <c r="B27" s="8" t="str">
        <f>IF($O27="","",INDEX(风险登记册!$A$9:$A$108,$O27))</f>
        <v/>
      </c>
      <c r="C27" s="8" t="str">
        <f>IF($O27="","",INDEX(风险登记册!$B$9:$B$108,$O27))</f>
        <v/>
      </c>
      <c r="D27" s="8" t="str">
        <f>IF($O27="","",INDEX(风险登记册!$D$9:$D$108,$O27))</f>
        <v/>
      </c>
      <c r="E27" s="8" t="str">
        <f>IF($O27="","",INDEX(风险登记册!$C$9:$C$108,$O27))</f>
        <v/>
      </c>
      <c r="F27" s="8" t="str">
        <f>IF($O27="","",INDEX(风险登记册!$AH$9:$AH$108,$O27))</f>
        <v/>
      </c>
      <c r="G27" s="8" t="str">
        <f>IF($O27="","",INDEX(风险登记册!$AI$9:$AI$108,$O27))</f>
        <v/>
      </c>
      <c r="H27" s="8" t="str">
        <f>IF($O27="","",INDEX(风险登记册!$Z$9:$Z$108,$O27))</f>
        <v/>
      </c>
      <c r="I27" s="8" t="str">
        <f>IF($O27="","",INDEX(风险登记册!$AC$9:$AC$108,$O27))</f>
        <v/>
      </c>
      <c r="J27" s="8" t="str">
        <f>IF($O27="","",INDEX(风险登记册!$W$9:$W$108,$O27))</f>
        <v/>
      </c>
      <c r="K27" s="25" t="str">
        <f>IF($O27="","",INDEX(风险登记册!$AB$9:$AB$108,$O27))</f>
        <v/>
      </c>
      <c r="L27" s="8" t="str">
        <f>IF($B27="","",IFERROR(INDEX(风险应对计划!$E$9:$E$108,MATCH($B27,风险应对计划!$B$9:$B$108,0)),""))</f>
        <v/>
      </c>
      <c r="M27" s="10"/>
      <c r="N27" s="10"/>
      <c r="O27" s="8" t="str">
        <f>IFERROR(MATCH(ROWS($A$5:A27),风险登记册!$AR$9:$AR$108,0),"")</f>
        <v/>
      </c>
    </row>
    <row r="28" spans="1:15">
      <c r="A28" s="8" t="str">
        <f>IF(O28="","",ROWS($A$5:A28))</f>
        <v/>
      </c>
      <c r="B28" s="8" t="str">
        <f>IF($O28="","",INDEX(风险登记册!$A$9:$A$108,$O28))</f>
        <v/>
      </c>
      <c r="C28" s="8" t="str">
        <f>IF($O28="","",INDEX(风险登记册!$B$9:$B$108,$O28))</f>
        <v/>
      </c>
      <c r="D28" s="8" t="str">
        <f>IF($O28="","",INDEX(风险登记册!$D$9:$D$108,$O28))</f>
        <v/>
      </c>
      <c r="E28" s="8" t="str">
        <f>IF($O28="","",INDEX(风险登记册!$C$9:$C$108,$O28))</f>
        <v/>
      </c>
      <c r="F28" s="8" t="str">
        <f>IF($O28="","",INDEX(风险登记册!$AH$9:$AH$108,$O28))</f>
        <v/>
      </c>
      <c r="G28" s="8" t="str">
        <f>IF($O28="","",INDEX(风险登记册!$AI$9:$AI$108,$O28))</f>
        <v/>
      </c>
      <c r="H28" s="8" t="str">
        <f>IF($O28="","",INDEX(风险登记册!$Z$9:$Z$108,$O28))</f>
        <v/>
      </c>
      <c r="I28" s="8" t="str">
        <f>IF($O28="","",INDEX(风险登记册!$AC$9:$AC$108,$O28))</f>
        <v/>
      </c>
      <c r="J28" s="8" t="str">
        <f>IF($O28="","",INDEX(风险登记册!$W$9:$W$108,$O28))</f>
        <v/>
      </c>
      <c r="K28" s="25" t="str">
        <f>IF($O28="","",INDEX(风险登记册!$AB$9:$AB$108,$O28))</f>
        <v/>
      </c>
      <c r="L28" s="8" t="str">
        <f>IF($B28="","",IFERROR(INDEX(风险应对计划!$E$9:$E$108,MATCH($B28,风险应对计划!$B$9:$B$108,0)),""))</f>
        <v/>
      </c>
      <c r="M28" s="10"/>
      <c r="N28" s="10"/>
      <c r="O28" s="8" t="str">
        <f>IFERROR(MATCH(ROWS($A$5:A28),风险登记册!$AR$9:$AR$108,0),"")</f>
        <v/>
      </c>
    </row>
    <row r="29" spans="1:15">
      <c r="A29" s="8" t="str">
        <f>IF(O29="","",ROWS($A$5:A29))</f>
        <v/>
      </c>
      <c r="B29" s="8" t="str">
        <f>IF($O29="","",INDEX(风险登记册!$A$9:$A$108,$O29))</f>
        <v/>
      </c>
      <c r="C29" s="8" t="str">
        <f>IF($O29="","",INDEX(风险登记册!$B$9:$B$108,$O29))</f>
        <v/>
      </c>
      <c r="D29" s="8" t="str">
        <f>IF($O29="","",INDEX(风险登记册!$D$9:$D$108,$O29))</f>
        <v/>
      </c>
      <c r="E29" s="8" t="str">
        <f>IF($O29="","",INDEX(风险登记册!$C$9:$C$108,$O29))</f>
        <v/>
      </c>
      <c r="F29" s="8" t="str">
        <f>IF($O29="","",INDEX(风险登记册!$AH$9:$AH$108,$O29))</f>
        <v/>
      </c>
      <c r="G29" s="8" t="str">
        <f>IF($O29="","",INDEX(风险登记册!$AI$9:$AI$108,$O29))</f>
        <v/>
      </c>
      <c r="H29" s="8" t="str">
        <f>IF($O29="","",INDEX(风险登记册!$Z$9:$Z$108,$O29))</f>
        <v/>
      </c>
      <c r="I29" s="8" t="str">
        <f>IF($O29="","",INDEX(风险登记册!$AC$9:$AC$108,$O29))</f>
        <v/>
      </c>
      <c r="J29" s="8" t="str">
        <f>IF($O29="","",INDEX(风险登记册!$W$9:$W$108,$O29))</f>
        <v/>
      </c>
      <c r="K29" s="25" t="str">
        <f>IF($O29="","",INDEX(风险登记册!$AB$9:$AB$108,$O29))</f>
        <v/>
      </c>
      <c r="L29" s="8" t="str">
        <f>IF($B29="","",IFERROR(INDEX(风险应对计划!$E$9:$E$108,MATCH($B29,风险应对计划!$B$9:$B$108,0)),""))</f>
        <v/>
      </c>
      <c r="M29" s="10"/>
      <c r="N29" s="10"/>
      <c r="O29" s="8" t="str">
        <f>IFERROR(MATCH(ROWS($A$5:A29),风险登记册!$AR$9:$AR$108,0),"")</f>
        <v/>
      </c>
    </row>
    <row r="30" spans="1:15">
      <c r="A30" s="8" t="str">
        <f>IF(O30="","",ROWS($A$5:A30))</f>
        <v/>
      </c>
      <c r="B30" s="8" t="str">
        <f>IF($O30="","",INDEX(风险登记册!$A$9:$A$108,$O30))</f>
        <v/>
      </c>
      <c r="C30" s="8" t="str">
        <f>IF($O30="","",INDEX(风险登记册!$B$9:$B$108,$O30))</f>
        <v/>
      </c>
      <c r="D30" s="8" t="str">
        <f>IF($O30="","",INDEX(风险登记册!$D$9:$D$108,$O30))</f>
        <v/>
      </c>
      <c r="E30" s="8" t="str">
        <f>IF($O30="","",INDEX(风险登记册!$C$9:$C$108,$O30))</f>
        <v/>
      </c>
      <c r="F30" s="8" t="str">
        <f>IF($O30="","",INDEX(风险登记册!$AH$9:$AH$108,$O30))</f>
        <v/>
      </c>
      <c r="G30" s="8" t="str">
        <f>IF($O30="","",INDEX(风险登记册!$AI$9:$AI$108,$O30))</f>
        <v/>
      </c>
      <c r="H30" s="8" t="str">
        <f>IF($O30="","",INDEX(风险登记册!$Z$9:$Z$108,$O30))</f>
        <v/>
      </c>
      <c r="I30" s="8" t="str">
        <f>IF($O30="","",INDEX(风险登记册!$AC$9:$AC$108,$O30))</f>
        <v/>
      </c>
      <c r="J30" s="8" t="str">
        <f>IF($O30="","",INDEX(风险登记册!$W$9:$W$108,$O30))</f>
        <v/>
      </c>
      <c r="K30" s="25" t="str">
        <f>IF($O30="","",INDEX(风险登记册!$AB$9:$AB$108,$O30))</f>
        <v/>
      </c>
      <c r="L30" s="8" t="str">
        <f>IF($B30="","",IFERROR(INDEX(风险应对计划!$E$9:$E$108,MATCH($B30,风险应对计划!$B$9:$B$108,0)),""))</f>
        <v/>
      </c>
      <c r="M30" s="10"/>
      <c r="N30" s="10"/>
      <c r="O30" s="8" t="str">
        <f>IFERROR(MATCH(ROWS($A$5:A30),风险登记册!$AR$9:$AR$108,0),"")</f>
        <v/>
      </c>
    </row>
    <row r="31" spans="1:15">
      <c r="A31" s="8" t="str">
        <f>IF(O31="","",ROWS($A$5:A31))</f>
        <v/>
      </c>
      <c r="B31" s="8" t="str">
        <f>IF($O31="","",INDEX(风险登记册!$A$9:$A$108,$O31))</f>
        <v/>
      </c>
      <c r="C31" s="8" t="str">
        <f>IF($O31="","",INDEX(风险登记册!$B$9:$B$108,$O31))</f>
        <v/>
      </c>
      <c r="D31" s="8" t="str">
        <f>IF($O31="","",INDEX(风险登记册!$D$9:$D$108,$O31))</f>
        <v/>
      </c>
      <c r="E31" s="8" t="str">
        <f>IF($O31="","",INDEX(风险登记册!$C$9:$C$108,$O31))</f>
        <v/>
      </c>
      <c r="F31" s="8" t="str">
        <f>IF($O31="","",INDEX(风险登记册!$AH$9:$AH$108,$O31))</f>
        <v/>
      </c>
      <c r="G31" s="8" t="str">
        <f>IF($O31="","",INDEX(风险登记册!$AI$9:$AI$108,$O31))</f>
        <v/>
      </c>
      <c r="H31" s="8" t="str">
        <f>IF($O31="","",INDEX(风险登记册!$Z$9:$Z$108,$O31))</f>
        <v/>
      </c>
      <c r="I31" s="8" t="str">
        <f>IF($O31="","",INDEX(风险登记册!$AC$9:$AC$108,$O31))</f>
        <v/>
      </c>
      <c r="J31" s="8" t="str">
        <f>IF($O31="","",INDEX(风险登记册!$W$9:$W$108,$O31))</f>
        <v/>
      </c>
      <c r="K31" s="25" t="str">
        <f>IF($O31="","",INDEX(风险登记册!$AB$9:$AB$108,$O31))</f>
        <v/>
      </c>
      <c r="L31" s="8" t="str">
        <f>IF($B31="","",IFERROR(INDEX(风险应对计划!$E$9:$E$108,MATCH($B31,风险应对计划!$B$9:$B$108,0)),""))</f>
        <v/>
      </c>
      <c r="M31" s="10"/>
      <c r="N31" s="10"/>
      <c r="O31" s="8" t="str">
        <f>IFERROR(MATCH(ROWS($A$5:A31),风险登记册!$AR$9:$AR$108,0),"")</f>
        <v/>
      </c>
    </row>
    <row r="32" spans="1:15">
      <c r="A32" s="8" t="str">
        <f>IF(O32="","",ROWS($A$5:A32))</f>
        <v/>
      </c>
      <c r="B32" s="8" t="str">
        <f>IF($O32="","",INDEX(风险登记册!$A$9:$A$108,$O32))</f>
        <v/>
      </c>
      <c r="C32" s="8" t="str">
        <f>IF($O32="","",INDEX(风险登记册!$B$9:$B$108,$O32))</f>
        <v/>
      </c>
      <c r="D32" s="8" t="str">
        <f>IF($O32="","",INDEX(风险登记册!$D$9:$D$108,$O32))</f>
        <v/>
      </c>
      <c r="E32" s="8" t="str">
        <f>IF($O32="","",INDEX(风险登记册!$C$9:$C$108,$O32))</f>
        <v/>
      </c>
      <c r="F32" s="8" t="str">
        <f>IF($O32="","",INDEX(风险登记册!$AH$9:$AH$108,$O32))</f>
        <v/>
      </c>
      <c r="G32" s="8" t="str">
        <f>IF($O32="","",INDEX(风险登记册!$AI$9:$AI$108,$O32))</f>
        <v/>
      </c>
      <c r="H32" s="8" t="str">
        <f>IF($O32="","",INDEX(风险登记册!$Z$9:$Z$108,$O32))</f>
        <v/>
      </c>
      <c r="I32" s="8" t="str">
        <f>IF($O32="","",INDEX(风险登记册!$AC$9:$AC$108,$O32))</f>
        <v/>
      </c>
      <c r="J32" s="8" t="str">
        <f>IF($O32="","",INDEX(风险登记册!$W$9:$W$108,$O32))</f>
        <v/>
      </c>
      <c r="K32" s="25" t="str">
        <f>IF($O32="","",INDEX(风险登记册!$AB$9:$AB$108,$O32))</f>
        <v/>
      </c>
      <c r="L32" s="8" t="str">
        <f>IF($B32="","",IFERROR(INDEX(风险应对计划!$E$9:$E$108,MATCH($B32,风险应对计划!$B$9:$B$108,0)),""))</f>
        <v/>
      </c>
      <c r="M32" s="10"/>
      <c r="N32" s="10"/>
      <c r="O32" s="8" t="str">
        <f>IFERROR(MATCH(ROWS($A$5:A32),风险登记册!$AR$9:$AR$108,0),"")</f>
        <v/>
      </c>
    </row>
    <row r="33" spans="1:15">
      <c r="A33" s="8" t="str">
        <f>IF(O33="","",ROWS($A$5:A33))</f>
        <v/>
      </c>
      <c r="B33" s="8" t="str">
        <f>IF($O33="","",INDEX(风险登记册!$A$9:$A$108,$O33))</f>
        <v/>
      </c>
      <c r="C33" s="8" t="str">
        <f>IF($O33="","",INDEX(风险登记册!$B$9:$B$108,$O33))</f>
        <v/>
      </c>
      <c r="D33" s="8" t="str">
        <f>IF($O33="","",INDEX(风险登记册!$D$9:$D$108,$O33))</f>
        <v/>
      </c>
      <c r="E33" s="8" t="str">
        <f>IF($O33="","",INDEX(风险登记册!$C$9:$C$108,$O33))</f>
        <v/>
      </c>
      <c r="F33" s="8" t="str">
        <f>IF($O33="","",INDEX(风险登记册!$AH$9:$AH$108,$O33))</f>
        <v/>
      </c>
      <c r="G33" s="8" t="str">
        <f>IF($O33="","",INDEX(风险登记册!$AI$9:$AI$108,$O33))</f>
        <v/>
      </c>
      <c r="H33" s="8" t="str">
        <f>IF($O33="","",INDEX(风险登记册!$Z$9:$Z$108,$O33))</f>
        <v/>
      </c>
      <c r="I33" s="8" t="str">
        <f>IF($O33="","",INDEX(风险登记册!$AC$9:$AC$108,$O33))</f>
        <v/>
      </c>
      <c r="J33" s="8" t="str">
        <f>IF($O33="","",INDEX(风险登记册!$W$9:$W$108,$O33))</f>
        <v/>
      </c>
      <c r="K33" s="25" t="str">
        <f>IF($O33="","",INDEX(风险登记册!$AB$9:$AB$108,$O33))</f>
        <v/>
      </c>
      <c r="L33" s="8" t="str">
        <f>IF($B33="","",IFERROR(INDEX(风险应对计划!$E$9:$E$108,MATCH($B33,风险应对计划!$B$9:$B$108,0)),""))</f>
        <v/>
      </c>
      <c r="M33" s="10"/>
      <c r="N33" s="10"/>
      <c r="O33" s="8" t="str">
        <f>IFERROR(MATCH(ROWS($A$5:A33),风险登记册!$AR$9:$AR$108,0),"")</f>
        <v/>
      </c>
    </row>
    <row r="34" spans="1:15">
      <c r="A34" s="8" t="str">
        <f>IF(O34="","",ROWS($A$5:A34))</f>
        <v/>
      </c>
      <c r="B34" s="8" t="str">
        <f>IF($O34="","",INDEX(风险登记册!$A$9:$A$108,$O34))</f>
        <v/>
      </c>
      <c r="C34" s="8" t="str">
        <f>IF($O34="","",INDEX(风险登记册!$B$9:$B$108,$O34))</f>
        <v/>
      </c>
      <c r="D34" s="8" t="str">
        <f>IF($O34="","",INDEX(风险登记册!$D$9:$D$108,$O34))</f>
        <v/>
      </c>
      <c r="E34" s="8" t="str">
        <f>IF($O34="","",INDEX(风险登记册!$C$9:$C$108,$O34))</f>
        <v/>
      </c>
      <c r="F34" s="8" t="str">
        <f>IF($O34="","",INDEX(风险登记册!$AH$9:$AH$108,$O34))</f>
        <v/>
      </c>
      <c r="G34" s="8" t="str">
        <f>IF($O34="","",INDEX(风险登记册!$AI$9:$AI$108,$O34))</f>
        <v/>
      </c>
      <c r="H34" s="8" t="str">
        <f>IF($O34="","",INDEX(风险登记册!$Z$9:$Z$108,$O34))</f>
        <v/>
      </c>
      <c r="I34" s="8" t="str">
        <f>IF($O34="","",INDEX(风险登记册!$AC$9:$AC$108,$O34))</f>
        <v/>
      </c>
      <c r="J34" s="8" t="str">
        <f>IF($O34="","",INDEX(风险登记册!$W$9:$W$108,$O34))</f>
        <v/>
      </c>
      <c r="K34" s="25" t="str">
        <f>IF($O34="","",INDEX(风险登记册!$AB$9:$AB$108,$O34))</f>
        <v/>
      </c>
      <c r="L34" s="8" t="str">
        <f>IF($B34="","",IFERROR(INDEX(风险应对计划!$E$9:$E$108,MATCH($B34,风险应对计划!$B$9:$B$108,0)),""))</f>
        <v/>
      </c>
      <c r="M34" s="10"/>
      <c r="N34" s="10"/>
      <c r="O34" s="8" t="str">
        <f>IFERROR(MATCH(ROWS($A$5:A34),风险登记册!$AR$9:$AR$108,0),"")</f>
        <v/>
      </c>
    </row>
  </sheetData>
  <autoFilter xmlns:etc="http://www.wps.cn/officeDocument/2017/etCustomData" ref="A4:N34" etc:filterBottomFollowUsedRange="0">
    <extLst/>
  </autoFilter>
  <mergeCells count="2">
    <mergeCell ref="A1:O1"/>
    <mergeCell ref="A2:O2"/>
  </mergeCells>
  <pageMargins left="0.75" right="0.75" top="1" bottom="1" header="0.5" footer="0.5"/>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24"/>
  <sheetViews>
    <sheetView showGridLines="0" zoomScale="80" zoomScaleNormal="80" workbookViewId="0">
      <pane ySplit="4" topLeftCell="A5" activePane="bottomLeft" state="frozen"/>
      <selection/>
      <selection pane="bottomLeft" activeCell="A1" sqref="A1:Y1"/>
    </sheetView>
  </sheetViews>
  <sheetFormatPr defaultColWidth="9" defaultRowHeight="16.8"/>
  <cols>
    <col min="1" max="5" width="16" style="1" customWidth="1"/>
    <col min="6" max="8" width="28" style="1" customWidth="1"/>
    <col min="9" max="12" width="16" style="1" customWidth="1"/>
    <col min="13" max="13" width="28" style="1" customWidth="1"/>
    <col min="14" max="14" width="16" style="1" customWidth="1"/>
    <col min="15" max="16" width="28" style="1" customWidth="1"/>
    <col min="17" max="18" width="16" style="1" customWidth="1"/>
    <col min="19" max="20" width="28" style="1" customWidth="1"/>
    <col min="21" max="23" width="16" style="1" customWidth="1"/>
    <col min="24" max="24" width="28" style="1" customWidth="1"/>
    <col min="25" max="25" width="16" style="1" customWidth="1"/>
  </cols>
  <sheetData>
    <row r="1" ht="28" customHeight="1" spans="1:25">
      <c r="A1" s="44" t="s">
        <v>664</v>
      </c>
    </row>
    <row r="2" ht="24" customHeight="1" spans="1:25">
      <c r="A2" s="45" t="s">
        <v>665</v>
      </c>
    </row>
    <row r="4" ht="34" customHeight="1" spans="1:25">
      <c r="A4" s="7" t="s">
        <v>666</v>
      </c>
      <c r="B4" s="7" t="s">
        <v>604</v>
      </c>
      <c r="C4" s="7" t="s">
        <v>605</v>
      </c>
      <c r="D4" s="7" t="s">
        <v>667</v>
      </c>
      <c r="E4" s="7" t="s">
        <v>668</v>
      </c>
      <c r="F4" s="7" t="s">
        <v>669</v>
      </c>
      <c r="G4" s="7" t="s">
        <v>670</v>
      </c>
      <c r="H4" s="7" t="s">
        <v>671</v>
      </c>
      <c r="I4" s="7" t="s">
        <v>672</v>
      </c>
      <c r="J4" s="7" t="s">
        <v>673</v>
      </c>
      <c r="K4" s="7" t="s">
        <v>674</v>
      </c>
      <c r="L4" s="7" t="s">
        <v>626</v>
      </c>
      <c r="M4" s="7" t="s">
        <v>675</v>
      </c>
      <c r="N4" s="7" t="s">
        <v>627</v>
      </c>
      <c r="O4" s="7" t="s">
        <v>676</v>
      </c>
      <c r="P4" s="7" t="s">
        <v>677</v>
      </c>
      <c r="Q4" s="7" t="s">
        <v>678</v>
      </c>
      <c r="R4" s="7" t="s">
        <v>679</v>
      </c>
      <c r="S4" s="7" t="s">
        <v>680</v>
      </c>
      <c r="T4" s="7" t="s">
        <v>681</v>
      </c>
      <c r="U4" s="7" t="s">
        <v>682</v>
      </c>
      <c r="V4" s="7" t="s">
        <v>683</v>
      </c>
      <c r="W4" s="7" t="s">
        <v>684</v>
      </c>
      <c r="X4" s="7" t="s">
        <v>685</v>
      </c>
      <c r="Y4" s="7" t="s">
        <v>686</v>
      </c>
    </row>
    <row r="5" spans="1:25">
      <c r="A5" s="8" t="str">
        <f t="shared" ref="A5:A24" si="0">IF(B5="","","MR-"&amp;TEXT(ROW()-4,"000"))</f>
        <v/>
      </c>
      <c r="B5" s="10"/>
      <c r="C5" s="8" t="str">
        <f>IF(B5="","",IFERROR(INDEX(风险登记册!$B$9:$B$108,MATCH(B5,风险登记册!$A$9:$A$108,0)),""))</f>
        <v/>
      </c>
      <c r="D5" s="10"/>
      <c r="E5" s="10"/>
      <c r="F5" s="10"/>
      <c r="G5" s="10"/>
      <c r="H5" s="10"/>
      <c r="I5" s="10"/>
      <c r="J5" s="10"/>
      <c r="K5" s="10"/>
      <c r="L5" s="10"/>
      <c r="M5" s="10"/>
      <c r="N5" s="10"/>
      <c r="O5" s="10"/>
      <c r="P5" s="10"/>
      <c r="Q5" s="10"/>
      <c r="R5" s="10"/>
      <c r="S5" s="10"/>
      <c r="T5" s="10"/>
      <c r="U5" s="10"/>
      <c r="V5" s="11"/>
      <c r="W5" s="10"/>
      <c r="X5" s="10"/>
      <c r="Y5" s="11"/>
    </row>
    <row r="6" spans="1:25">
      <c r="A6" s="8" t="str">
        <f t="shared" si="0"/>
        <v/>
      </c>
      <c r="B6" s="10"/>
      <c r="C6" s="8" t="str">
        <f>IF(B6="","",IFERROR(INDEX(风险登记册!$B$9:$B$108,MATCH(B6,风险登记册!$A$9:$A$108,0)),""))</f>
        <v/>
      </c>
      <c r="D6" s="10"/>
      <c r="E6" s="10"/>
      <c r="F6" s="10"/>
      <c r="G6" s="10"/>
      <c r="H6" s="10"/>
      <c r="I6" s="10"/>
      <c r="J6" s="10"/>
      <c r="K6" s="10"/>
      <c r="L6" s="10"/>
      <c r="M6" s="10"/>
      <c r="N6" s="10"/>
      <c r="O6" s="10"/>
      <c r="P6" s="10"/>
      <c r="Q6" s="10"/>
      <c r="R6" s="10"/>
      <c r="S6" s="10"/>
      <c r="T6" s="10"/>
      <c r="U6" s="10"/>
      <c r="V6" s="11"/>
      <c r="W6" s="10"/>
      <c r="X6" s="10"/>
      <c r="Y6" s="11"/>
    </row>
    <row r="7" spans="1:25">
      <c r="A7" s="8" t="str">
        <f t="shared" si="0"/>
        <v/>
      </c>
      <c r="B7" s="10"/>
      <c r="C7" s="8" t="str">
        <f>IF(B7="","",IFERROR(INDEX(风险登记册!$B$9:$B$108,MATCH(B7,风险登记册!$A$9:$A$108,0)),""))</f>
        <v/>
      </c>
      <c r="D7" s="10"/>
      <c r="E7" s="10"/>
      <c r="F7" s="10"/>
      <c r="G7" s="10"/>
      <c r="H7" s="10"/>
      <c r="I7" s="10"/>
      <c r="J7" s="10"/>
      <c r="K7" s="10"/>
      <c r="L7" s="10"/>
      <c r="M7" s="10"/>
      <c r="N7" s="10"/>
      <c r="O7" s="10"/>
      <c r="P7" s="10"/>
      <c r="Q7" s="10"/>
      <c r="R7" s="10"/>
      <c r="S7" s="10"/>
      <c r="T7" s="10"/>
      <c r="U7" s="10"/>
      <c r="V7" s="11"/>
      <c r="W7" s="10"/>
      <c r="X7" s="10"/>
      <c r="Y7" s="11"/>
    </row>
    <row r="8" spans="1:25">
      <c r="A8" s="8" t="str">
        <f t="shared" si="0"/>
        <v/>
      </c>
      <c r="B8" s="10"/>
      <c r="C8" s="8" t="str">
        <f>IF(B8="","",IFERROR(INDEX(风险登记册!$B$9:$B$108,MATCH(B8,风险登记册!$A$9:$A$108,0)),""))</f>
        <v/>
      </c>
      <c r="D8" s="10"/>
      <c r="E8" s="10"/>
      <c r="F8" s="10"/>
      <c r="G8" s="10"/>
      <c r="H8" s="10"/>
      <c r="I8" s="10"/>
      <c r="J8" s="10"/>
      <c r="K8" s="10"/>
      <c r="L8" s="10"/>
      <c r="M8" s="10"/>
      <c r="N8" s="10"/>
      <c r="O8" s="10"/>
      <c r="P8" s="10"/>
      <c r="Q8" s="10"/>
      <c r="R8" s="10"/>
      <c r="S8" s="10"/>
      <c r="T8" s="10"/>
      <c r="U8" s="10"/>
      <c r="V8" s="11"/>
      <c r="W8" s="10"/>
      <c r="X8" s="10"/>
      <c r="Y8" s="11"/>
    </row>
    <row r="9" spans="1:25">
      <c r="A9" s="8" t="str">
        <f t="shared" si="0"/>
        <v/>
      </c>
      <c r="B9" s="10"/>
      <c r="C9" s="8" t="str">
        <f>IF(B9="","",IFERROR(INDEX(风险登记册!$B$9:$B$108,MATCH(B9,风险登记册!$A$9:$A$108,0)),""))</f>
        <v/>
      </c>
      <c r="D9" s="10"/>
      <c r="E9" s="10"/>
      <c r="F9" s="10"/>
      <c r="G9" s="10"/>
      <c r="H9" s="10"/>
      <c r="I9" s="10"/>
      <c r="J9" s="10"/>
      <c r="K9" s="10"/>
      <c r="L9" s="10"/>
      <c r="M9" s="10"/>
      <c r="N9" s="10"/>
      <c r="O9" s="10"/>
      <c r="P9" s="10"/>
      <c r="Q9" s="10"/>
      <c r="R9" s="10"/>
      <c r="S9" s="10"/>
      <c r="T9" s="10"/>
      <c r="U9" s="10"/>
      <c r="V9" s="11"/>
      <c r="W9" s="10"/>
      <c r="X9" s="10"/>
      <c r="Y9" s="11"/>
    </row>
    <row r="10" spans="1:25">
      <c r="A10" s="8" t="str">
        <f t="shared" si="0"/>
        <v/>
      </c>
      <c r="B10" s="10"/>
      <c r="C10" s="8" t="str">
        <f>IF(B10="","",IFERROR(INDEX(风险登记册!$B$9:$B$108,MATCH(B10,风险登记册!$A$9:$A$108,0)),""))</f>
        <v/>
      </c>
      <c r="D10" s="10"/>
      <c r="E10" s="10"/>
      <c r="F10" s="10"/>
      <c r="G10" s="10"/>
      <c r="H10" s="10"/>
      <c r="I10" s="10"/>
      <c r="J10" s="10"/>
      <c r="K10" s="10"/>
      <c r="L10" s="10"/>
      <c r="M10" s="10"/>
      <c r="N10" s="10"/>
      <c r="O10" s="10"/>
      <c r="P10" s="10"/>
      <c r="Q10" s="10"/>
      <c r="R10" s="10"/>
      <c r="S10" s="10"/>
      <c r="T10" s="10"/>
      <c r="U10" s="10"/>
      <c r="V10" s="11"/>
      <c r="W10" s="10"/>
      <c r="X10" s="10"/>
      <c r="Y10" s="11"/>
    </row>
    <row r="11" spans="1:25">
      <c r="A11" s="8" t="str">
        <f t="shared" si="0"/>
        <v/>
      </c>
      <c r="B11" s="10"/>
      <c r="C11" s="8" t="str">
        <f>IF(B11="","",IFERROR(INDEX(风险登记册!$B$9:$B$108,MATCH(B11,风险登记册!$A$9:$A$108,0)),""))</f>
        <v/>
      </c>
      <c r="D11" s="10"/>
      <c r="E11" s="10"/>
      <c r="F11" s="10"/>
      <c r="G11" s="10"/>
      <c r="H11" s="10"/>
      <c r="I11" s="10"/>
      <c r="J11" s="10"/>
      <c r="K11" s="10"/>
      <c r="L11" s="10"/>
      <c r="M11" s="10"/>
      <c r="N11" s="10"/>
      <c r="O11" s="10"/>
      <c r="P11" s="10"/>
      <c r="Q11" s="10"/>
      <c r="R11" s="10"/>
      <c r="S11" s="10"/>
      <c r="T11" s="10"/>
      <c r="U11" s="10"/>
      <c r="V11" s="11"/>
      <c r="W11" s="10"/>
      <c r="X11" s="10"/>
      <c r="Y11" s="11"/>
    </row>
    <row r="12" spans="1:25">
      <c r="A12" s="8" t="str">
        <f t="shared" si="0"/>
        <v/>
      </c>
      <c r="B12" s="10"/>
      <c r="C12" s="8" t="str">
        <f>IF(B12="","",IFERROR(INDEX(风险登记册!$B$9:$B$108,MATCH(B12,风险登记册!$A$9:$A$108,0)),""))</f>
        <v/>
      </c>
      <c r="D12" s="10"/>
      <c r="E12" s="10"/>
      <c r="F12" s="10"/>
      <c r="G12" s="10"/>
      <c r="H12" s="10"/>
      <c r="I12" s="10"/>
      <c r="J12" s="10"/>
      <c r="K12" s="10"/>
      <c r="L12" s="10"/>
      <c r="M12" s="10"/>
      <c r="N12" s="10"/>
      <c r="O12" s="10"/>
      <c r="P12" s="10"/>
      <c r="Q12" s="10"/>
      <c r="R12" s="10"/>
      <c r="S12" s="10"/>
      <c r="T12" s="10"/>
      <c r="U12" s="10"/>
      <c r="V12" s="11"/>
      <c r="W12" s="10"/>
      <c r="X12" s="10"/>
      <c r="Y12" s="11"/>
    </row>
    <row r="13" spans="1:25">
      <c r="A13" s="8" t="str">
        <f t="shared" si="0"/>
        <v/>
      </c>
      <c r="B13" s="10"/>
      <c r="C13" s="8" t="str">
        <f>IF(B13="","",IFERROR(INDEX(风险登记册!$B$9:$B$108,MATCH(B13,风险登记册!$A$9:$A$108,0)),""))</f>
        <v/>
      </c>
      <c r="D13" s="10"/>
      <c r="E13" s="10"/>
      <c r="F13" s="10"/>
      <c r="G13" s="10"/>
      <c r="H13" s="10"/>
      <c r="I13" s="10"/>
      <c r="J13" s="10"/>
      <c r="K13" s="10"/>
      <c r="L13" s="10"/>
      <c r="M13" s="10"/>
      <c r="N13" s="10"/>
      <c r="O13" s="10"/>
      <c r="P13" s="10"/>
      <c r="Q13" s="10"/>
      <c r="R13" s="10"/>
      <c r="S13" s="10"/>
      <c r="T13" s="10"/>
      <c r="U13" s="10"/>
      <c r="V13" s="11"/>
      <c r="W13" s="10"/>
      <c r="X13" s="10"/>
      <c r="Y13" s="11"/>
    </row>
    <row r="14" spans="1:25">
      <c r="A14" s="8" t="str">
        <f t="shared" si="0"/>
        <v/>
      </c>
      <c r="B14" s="10"/>
      <c r="C14" s="8" t="str">
        <f>IF(B14="","",IFERROR(INDEX(风险登记册!$B$9:$B$108,MATCH(B14,风险登记册!$A$9:$A$108,0)),""))</f>
        <v/>
      </c>
      <c r="D14" s="10"/>
      <c r="E14" s="10"/>
      <c r="F14" s="10"/>
      <c r="G14" s="10"/>
      <c r="H14" s="10"/>
      <c r="I14" s="10"/>
      <c r="J14" s="10"/>
      <c r="K14" s="10"/>
      <c r="L14" s="10"/>
      <c r="M14" s="10"/>
      <c r="N14" s="10"/>
      <c r="O14" s="10"/>
      <c r="P14" s="10"/>
      <c r="Q14" s="10"/>
      <c r="R14" s="10"/>
      <c r="S14" s="10"/>
      <c r="T14" s="10"/>
      <c r="U14" s="10"/>
      <c r="V14" s="11"/>
      <c r="W14" s="10"/>
      <c r="X14" s="10"/>
      <c r="Y14" s="11"/>
    </row>
    <row r="15" spans="1:25">
      <c r="A15" s="8" t="str">
        <f t="shared" si="0"/>
        <v/>
      </c>
      <c r="B15" s="10"/>
      <c r="C15" s="8" t="str">
        <f>IF(B15="","",IFERROR(INDEX(风险登记册!$B$9:$B$108,MATCH(B15,风险登记册!$A$9:$A$108,0)),""))</f>
        <v/>
      </c>
      <c r="D15" s="10"/>
      <c r="E15" s="10"/>
      <c r="F15" s="10"/>
      <c r="G15" s="10"/>
      <c r="H15" s="10"/>
      <c r="I15" s="10"/>
      <c r="J15" s="10"/>
      <c r="K15" s="10"/>
      <c r="L15" s="10"/>
      <c r="M15" s="10"/>
      <c r="N15" s="10"/>
      <c r="O15" s="10"/>
      <c r="P15" s="10"/>
      <c r="Q15" s="10"/>
      <c r="R15" s="10"/>
      <c r="S15" s="10"/>
      <c r="T15" s="10"/>
      <c r="U15" s="10"/>
      <c r="V15" s="11"/>
      <c r="W15" s="10"/>
      <c r="X15" s="10"/>
      <c r="Y15" s="11"/>
    </row>
    <row r="16" spans="1:25">
      <c r="A16" s="8" t="str">
        <f t="shared" si="0"/>
        <v/>
      </c>
      <c r="B16" s="10"/>
      <c r="C16" s="8" t="str">
        <f>IF(B16="","",IFERROR(INDEX(风险登记册!$B$9:$B$108,MATCH(B16,风险登记册!$A$9:$A$108,0)),""))</f>
        <v/>
      </c>
      <c r="D16" s="10"/>
      <c r="E16" s="10"/>
      <c r="F16" s="10"/>
      <c r="G16" s="10"/>
      <c r="H16" s="10"/>
      <c r="I16" s="10"/>
      <c r="J16" s="10"/>
      <c r="K16" s="10"/>
      <c r="L16" s="10"/>
      <c r="M16" s="10"/>
      <c r="N16" s="10"/>
      <c r="O16" s="10"/>
      <c r="P16" s="10"/>
      <c r="Q16" s="10"/>
      <c r="R16" s="10"/>
      <c r="S16" s="10"/>
      <c r="T16" s="10"/>
      <c r="U16" s="10"/>
      <c r="V16" s="11"/>
      <c r="W16" s="10"/>
      <c r="X16" s="10"/>
      <c r="Y16" s="11"/>
    </row>
    <row r="17" spans="1:25">
      <c r="A17" s="8" t="str">
        <f t="shared" si="0"/>
        <v/>
      </c>
      <c r="B17" s="10"/>
      <c r="C17" s="8" t="str">
        <f>IF(B17="","",IFERROR(INDEX(风险登记册!$B$9:$B$108,MATCH(B17,风险登记册!$A$9:$A$108,0)),""))</f>
        <v/>
      </c>
      <c r="D17" s="10"/>
      <c r="E17" s="10"/>
      <c r="F17" s="10"/>
      <c r="G17" s="10"/>
      <c r="H17" s="10"/>
      <c r="I17" s="10"/>
      <c r="J17" s="10"/>
      <c r="K17" s="10"/>
      <c r="L17" s="10"/>
      <c r="M17" s="10"/>
      <c r="N17" s="10"/>
      <c r="O17" s="10"/>
      <c r="P17" s="10"/>
      <c r="Q17" s="10"/>
      <c r="R17" s="10"/>
      <c r="S17" s="10"/>
      <c r="T17" s="10"/>
      <c r="U17" s="10"/>
      <c r="V17" s="11"/>
      <c r="W17" s="10"/>
      <c r="X17" s="10"/>
      <c r="Y17" s="11"/>
    </row>
    <row r="18" spans="1:25">
      <c r="A18" s="8" t="str">
        <f t="shared" si="0"/>
        <v/>
      </c>
      <c r="B18" s="10"/>
      <c r="C18" s="8" t="str">
        <f>IF(B18="","",IFERROR(INDEX(风险登记册!$B$9:$B$108,MATCH(B18,风险登记册!$A$9:$A$108,0)),""))</f>
        <v/>
      </c>
      <c r="D18" s="10"/>
      <c r="E18" s="10"/>
      <c r="F18" s="10"/>
      <c r="G18" s="10"/>
      <c r="H18" s="10"/>
      <c r="I18" s="10"/>
      <c r="J18" s="10"/>
      <c r="K18" s="10"/>
      <c r="L18" s="10"/>
      <c r="M18" s="10"/>
      <c r="N18" s="10"/>
      <c r="O18" s="10"/>
      <c r="P18" s="10"/>
      <c r="Q18" s="10"/>
      <c r="R18" s="10"/>
      <c r="S18" s="10"/>
      <c r="T18" s="10"/>
      <c r="U18" s="10"/>
      <c r="V18" s="11"/>
      <c r="W18" s="10"/>
      <c r="X18" s="10"/>
      <c r="Y18" s="11"/>
    </row>
    <row r="19" spans="1:25">
      <c r="A19" s="8" t="str">
        <f t="shared" si="0"/>
        <v/>
      </c>
      <c r="B19" s="10"/>
      <c r="C19" s="8" t="str">
        <f>IF(B19="","",IFERROR(INDEX(风险登记册!$B$9:$B$108,MATCH(B19,风险登记册!$A$9:$A$108,0)),""))</f>
        <v/>
      </c>
      <c r="D19" s="10"/>
      <c r="E19" s="10"/>
      <c r="F19" s="10"/>
      <c r="G19" s="10"/>
      <c r="H19" s="10"/>
      <c r="I19" s="10"/>
      <c r="J19" s="10"/>
      <c r="K19" s="10"/>
      <c r="L19" s="10"/>
      <c r="M19" s="10"/>
      <c r="N19" s="10"/>
      <c r="O19" s="10"/>
      <c r="P19" s="10"/>
      <c r="Q19" s="10"/>
      <c r="R19" s="10"/>
      <c r="S19" s="10"/>
      <c r="T19" s="10"/>
      <c r="U19" s="10"/>
      <c r="V19" s="11"/>
      <c r="W19" s="10"/>
      <c r="X19" s="10"/>
      <c r="Y19" s="11"/>
    </row>
    <row r="20" spans="1:25">
      <c r="A20" s="8" t="str">
        <f t="shared" si="0"/>
        <v/>
      </c>
      <c r="B20" s="10"/>
      <c r="C20" s="8" t="str">
        <f>IF(B20="","",IFERROR(INDEX(风险登记册!$B$9:$B$108,MATCH(B20,风险登记册!$A$9:$A$108,0)),""))</f>
        <v/>
      </c>
      <c r="D20" s="10"/>
      <c r="E20" s="10"/>
      <c r="F20" s="10"/>
      <c r="G20" s="10"/>
      <c r="H20" s="10"/>
      <c r="I20" s="10"/>
      <c r="J20" s="10"/>
      <c r="K20" s="10"/>
      <c r="L20" s="10"/>
      <c r="M20" s="10"/>
      <c r="N20" s="10"/>
      <c r="O20" s="10"/>
      <c r="P20" s="10"/>
      <c r="Q20" s="10"/>
      <c r="R20" s="10"/>
      <c r="S20" s="10"/>
      <c r="T20" s="10"/>
      <c r="U20" s="10"/>
      <c r="V20" s="11"/>
      <c r="W20" s="10"/>
      <c r="X20" s="10"/>
      <c r="Y20" s="11"/>
    </row>
    <row r="21" spans="1:25">
      <c r="A21" s="8" t="str">
        <f t="shared" si="0"/>
        <v/>
      </c>
      <c r="B21" s="10"/>
      <c r="C21" s="8" t="str">
        <f>IF(B21="","",IFERROR(INDEX(风险登记册!$B$9:$B$108,MATCH(B21,风险登记册!$A$9:$A$108,0)),""))</f>
        <v/>
      </c>
      <c r="D21" s="10"/>
      <c r="E21" s="10"/>
      <c r="F21" s="10"/>
      <c r="G21" s="10"/>
      <c r="H21" s="10"/>
      <c r="I21" s="10"/>
      <c r="J21" s="10"/>
      <c r="K21" s="10"/>
      <c r="L21" s="10"/>
      <c r="M21" s="10"/>
      <c r="N21" s="10"/>
      <c r="O21" s="10"/>
      <c r="P21" s="10"/>
      <c r="Q21" s="10"/>
      <c r="R21" s="10"/>
      <c r="S21" s="10"/>
      <c r="T21" s="10"/>
      <c r="U21" s="10"/>
      <c r="V21" s="11"/>
      <c r="W21" s="10"/>
      <c r="X21" s="10"/>
      <c r="Y21" s="11"/>
    </row>
    <row r="22" spans="1:25">
      <c r="A22" s="8" t="str">
        <f t="shared" si="0"/>
        <v/>
      </c>
      <c r="B22" s="10"/>
      <c r="C22" s="8" t="str">
        <f>IF(B22="","",IFERROR(INDEX(风险登记册!$B$9:$B$108,MATCH(B22,风险登记册!$A$9:$A$108,0)),""))</f>
        <v/>
      </c>
      <c r="D22" s="10"/>
      <c r="E22" s="10"/>
      <c r="F22" s="10"/>
      <c r="G22" s="10"/>
      <c r="H22" s="10"/>
      <c r="I22" s="10"/>
      <c r="J22" s="10"/>
      <c r="K22" s="10"/>
      <c r="L22" s="10"/>
      <c r="M22" s="10"/>
      <c r="N22" s="10"/>
      <c r="O22" s="10"/>
      <c r="P22" s="10"/>
      <c r="Q22" s="10"/>
      <c r="R22" s="10"/>
      <c r="S22" s="10"/>
      <c r="T22" s="10"/>
      <c r="U22" s="10"/>
      <c r="V22" s="11"/>
      <c r="W22" s="10"/>
      <c r="X22" s="10"/>
      <c r="Y22" s="11"/>
    </row>
    <row r="23" spans="1:25">
      <c r="A23" s="8" t="str">
        <f t="shared" si="0"/>
        <v/>
      </c>
      <c r="B23" s="10"/>
      <c r="C23" s="8" t="str">
        <f>IF(B23="","",IFERROR(INDEX(风险登记册!$B$9:$B$108,MATCH(B23,风险登记册!$A$9:$A$108,0)),""))</f>
        <v/>
      </c>
      <c r="D23" s="10"/>
      <c r="E23" s="10"/>
      <c r="F23" s="10"/>
      <c r="G23" s="10"/>
      <c r="H23" s="10"/>
      <c r="I23" s="10"/>
      <c r="J23" s="10"/>
      <c r="K23" s="10"/>
      <c r="L23" s="10"/>
      <c r="M23" s="10"/>
      <c r="N23" s="10"/>
      <c r="O23" s="10"/>
      <c r="P23" s="10"/>
      <c r="Q23" s="10"/>
      <c r="R23" s="10"/>
      <c r="S23" s="10"/>
      <c r="T23" s="10"/>
      <c r="U23" s="10"/>
      <c r="V23" s="11"/>
      <c r="W23" s="10"/>
      <c r="X23" s="10"/>
      <c r="Y23" s="11"/>
    </row>
    <row r="24" spans="1:25">
      <c r="A24" s="8" t="str">
        <f t="shared" si="0"/>
        <v/>
      </c>
      <c r="B24" s="10"/>
      <c r="C24" s="8" t="str">
        <f>IF(B24="","",IFERROR(INDEX(风险登记册!$B$9:$B$108,MATCH(B24,风险登记册!$A$9:$A$108,0)),""))</f>
        <v/>
      </c>
      <c r="D24" s="10"/>
      <c r="E24" s="10"/>
      <c r="F24" s="10"/>
      <c r="G24" s="10"/>
      <c r="H24" s="10"/>
      <c r="I24" s="10"/>
      <c r="J24" s="10"/>
      <c r="K24" s="10"/>
      <c r="L24" s="10"/>
      <c r="M24" s="10"/>
      <c r="N24" s="10"/>
      <c r="O24" s="10"/>
      <c r="P24" s="10"/>
      <c r="Q24" s="10"/>
      <c r="R24" s="10"/>
      <c r="S24" s="10"/>
      <c r="T24" s="10"/>
      <c r="U24" s="10"/>
      <c r="V24" s="11"/>
      <c r="W24" s="10"/>
      <c r="X24" s="10"/>
      <c r="Y24" s="11"/>
    </row>
  </sheetData>
  <autoFilter xmlns:etc="http://www.wps.cn/officeDocument/2017/etCustomData" ref="A4:Y24" etc:filterBottomFollowUsedRange="0">
    <extLst/>
  </autoFilter>
  <mergeCells count="2">
    <mergeCell ref="A1:Y1"/>
    <mergeCell ref="A2:Y2"/>
  </mergeCells>
  <dataValidations count="2">
    <dataValidation type="list" allowBlank="1" sqref="L5:L24">
      <formula1>"规避,减轻,转移,接受,上报,开拓,提高,分享"</formula1>
    </dataValidation>
    <dataValidation type="list" allowBlank="1" sqref="W5:W24">
      <formula1>"批准,调整,暂缓,接受"</formula1>
    </dataValidation>
  </dataValidations>
  <pageMargins left="0.75" right="0.75" top="1" bottom="1" header="0.5" footer="0.5"/>
  <pageSetup paperSize="1"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104"/>
  <sheetViews>
    <sheetView showGridLines="0" zoomScale="80" zoomScaleNormal="80" workbookViewId="0">
      <pane ySplit="4" topLeftCell="A5" activePane="bottomLeft" state="frozen"/>
      <selection/>
      <selection pane="bottomLeft" activeCell="A1" sqref="A1:T1"/>
    </sheetView>
  </sheetViews>
  <sheetFormatPr defaultColWidth="9" defaultRowHeight="16.8"/>
  <cols>
    <col min="1" max="2" width="13" style="1" customWidth="1"/>
    <col min="3" max="3" width="25" style="1" customWidth="1"/>
    <col min="4" max="4" width="13" style="1" customWidth="1"/>
    <col min="5" max="5" width="32" style="1" customWidth="1"/>
    <col min="6" max="6" width="12" style="1" customWidth="1"/>
    <col min="7" max="7" width="15" style="1" customWidth="1"/>
    <col min="8" max="8" width="18" style="1" customWidth="1"/>
    <col min="9" max="11" width="14" style="1" customWidth="1"/>
    <col min="12" max="12" width="12" style="1" customWidth="1"/>
    <col min="13" max="13" width="14" style="1" customWidth="1"/>
    <col min="14" max="14" width="26" style="1" customWidth="1"/>
    <col min="15" max="16" width="13" style="1" customWidth="1"/>
    <col min="17" max="17" width="11" style="1" customWidth="1"/>
    <col min="18" max="18" width="14" style="1" customWidth="1"/>
    <col min="19" max="20" width="24" style="1" customWidth="1"/>
  </cols>
  <sheetData>
    <row r="1" ht="28" customHeight="1" spans="1:20">
      <c r="A1" s="44" t="s">
        <v>687</v>
      </c>
    </row>
    <row r="2" ht="24" customHeight="1" spans="1:20">
      <c r="A2" s="45" t="s">
        <v>688</v>
      </c>
    </row>
    <row r="4" ht="34" customHeight="1" spans="1:20">
      <c r="A4" s="7" t="s">
        <v>689</v>
      </c>
      <c r="B4" s="7" t="s">
        <v>604</v>
      </c>
      <c r="C4" s="7" t="s">
        <v>605</v>
      </c>
      <c r="D4" s="7" t="s">
        <v>626</v>
      </c>
      <c r="E4" s="7" t="s">
        <v>690</v>
      </c>
      <c r="F4" s="7" t="s">
        <v>691</v>
      </c>
      <c r="G4" s="7" t="s">
        <v>497</v>
      </c>
      <c r="H4" s="7" t="s">
        <v>692</v>
      </c>
      <c r="I4" s="7" t="s">
        <v>693</v>
      </c>
      <c r="J4" s="7" t="s">
        <v>694</v>
      </c>
      <c r="K4" s="7" t="s">
        <v>695</v>
      </c>
      <c r="L4" s="7" t="s">
        <v>696</v>
      </c>
      <c r="M4" s="7" t="s">
        <v>697</v>
      </c>
      <c r="N4" s="7" t="s">
        <v>698</v>
      </c>
      <c r="O4" s="7" t="s">
        <v>699</v>
      </c>
      <c r="P4" s="7" t="s">
        <v>499</v>
      </c>
      <c r="Q4" s="7" t="s">
        <v>700</v>
      </c>
      <c r="R4" s="7" t="s">
        <v>701</v>
      </c>
      <c r="S4" s="7" t="s">
        <v>702</v>
      </c>
      <c r="T4" s="7" t="s">
        <v>69</v>
      </c>
    </row>
    <row r="5" spans="1:20">
      <c r="A5" s="8" t="str">
        <f t="shared" ref="A5:A68" si="0">IF(B5="","","RA-"&amp;TEXT(ROW()-4,"000"))</f>
        <v/>
      </c>
      <c r="B5" s="10"/>
      <c r="C5" s="8" t="str">
        <f>IF(B5="","",IFERROR(INDEX(风险登记册!$B$9:$B$108,MATCH(B5,风险登记册!$A$9:$A$108,0)),""))</f>
        <v/>
      </c>
      <c r="D5" s="10"/>
      <c r="E5" s="10"/>
      <c r="F5" s="10"/>
      <c r="G5" s="10"/>
      <c r="H5" s="10"/>
      <c r="I5" s="11"/>
      <c r="J5" s="11"/>
      <c r="K5" s="11"/>
      <c r="L5" s="10"/>
      <c r="M5" s="46"/>
      <c r="N5" s="10"/>
      <c r="O5" s="47"/>
      <c r="P5" s="10"/>
      <c r="Q5" s="8" t="str">
        <f>IF(B5="","",IF(AND(J5&lt;项目驾驶舱!$B$3,P5&lt;&gt;"已完成"),"是","否"))</f>
        <v/>
      </c>
      <c r="R5" s="10"/>
      <c r="S5" s="10"/>
      <c r="T5" s="10"/>
    </row>
    <row r="6" spans="1:20">
      <c r="A6" s="8" t="str">
        <f t="shared" si="0"/>
        <v/>
      </c>
      <c r="B6" s="10"/>
      <c r="C6" s="8" t="str">
        <f>IF(B6="","",IFERROR(INDEX(风险登记册!$B$9:$B$108,MATCH(B6,风险登记册!$A$9:$A$108,0)),""))</f>
        <v/>
      </c>
      <c r="D6" s="10"/>
      <c r="E6" s="10"/>
      <c r="F6" s="10"/>
      <c r="G6" s="10"/>
      <c r="H6" s="10"/>
      <c r="I6" s="11"/>
      <c r="J6" s="11"/>
      <c r="K6" s="11"/>
      <c r="L6" s="10"/>
      <c r="M6" s="46"/>
      <c r="N6" s="10"/>
      <c r="O6" s="47"/>
      <c r="P6" s="10"/>
      <c r="Q6" s="8" t="str">
        <f>IF(B6="","",IF(AND(J6&lt;项目驾驶舱!$B$3,P6&lt;&gt;"已完成"),"是","否"))</f>
        <v/>
      </c>
      <c r="R6" s="10"/>
      <c r="S6" s="10"/>
      <c r="T6" s="10"/>
    </row>
    <row r="7" spans="1:20">
      <c r="A7" s="8" t="str">
        <f t="shared" si="0"/>
        <v/>
      </c>
      <c r="B7" s="10"/>
      <c r="C7" s="8" t="str">
        <f>IF(B7="","",IFERROR(INDEX(风险登记册!$B$9:$B$108,MATCH(B7,风险登记册!$A$9:$A$108,0)),""))</f>
        <v/>
      </c>
      <c r="D7" s="10"/>
      <c r="E7" s="10"/>
      <c r="F7" s="10"/>
      <c r="G7" s="10"/>
      <c r="H7" s="10"/>
      <c r="I7" s="11"/>
      <c r="J7" s="11"/>
      <c r="K7" s="11"/>
      <c r="L7" s="10"/>
      <c r="M7" s="46"/>
      <c r="N7" s="10"/>
      <c r="O7" s="47"/>
      <c r="P7" s="10"/>
      <c r="Q7" s="8" t="str">
        <f>IF(B7="","",IF(AND(J7&lt;项目驾驶舱!$B$3,P7&lt;&gt;"已完成"),"是","否"))</f>
        <v/>
      </c>
      <c r="R7" s="10"/>
      <c r="S7" s="10"/>
      <c r="T7" s="10"/>
    </row>
    <row r="8" spans="1:20">
      <c r="A8" s="8" t="str">
        <f t="shared" si="0"/>
        <v/>
      </c>
      <c r="B8" s="10"/>
      <c r="C8" s="8" t="str">
        <f>IF(B8="","",IFERROR(INDEX(风险登记册!$B$9:$B$108,MATCH(B8,风险登记册!$A$9:$A$108,0)),""))</f>
        <v/>
      </c>
      <c r="D8" s="10"/>
      <c r="E8" s="10"/>
      <c r="F8" s="10"/>
      <c r="G8" s="10"/>
      <c r="H8" s="10"/>
      <c r="I8" s="11"/>
      <c r="J8" s="11"/>
      <c r="K8" s="11"/>
      <c r="L8" s="10"/>
      <c r="M8" s="46"/>
      <c r="N8" s="10"/>
      <c r="O8" s="47"/>
      <c r="P8" s="10"/>
      <c r="Q8" s="8" t="str">
        <f>IF(B8="","",IF(AND(J8&lt;项目驾驶舱!$B$3,P8&lt;&gt;"已完成"),"是","否"))</f>
        <v/>
      </c>
      <c r="R8" s="10"/>
      <c r="S8" s="10"/>
      <c r="T8" s="10"/>
    </row>
    <row r="9" spans="1:20">
      <c r="A9" s="8" t="str">
        <f t="shared" si="0"/>
        <v/>
      </c>
      <c r="B9" s="10"/>
      <c r="C9" s="8" t="str">
        <f>IF(B9="","",IFERROR(INDEX(风险登记册!$B$9:$B$108,MATCH(B9,风险登记册!$A$9:$A$108,0)),""))</f>
        <v/>
      </c>
      <c r="D9" s="10"/>
      <c r="E9" s="10"/>
      <c r="F9" s="10"/>
      <c r="G9" s="10"/>
      <c r="H9" s="10"/>
      <c r="I9" s="11"/>
      <c r="J9" s="11"/>
      <c r="K9" s="11"/>
      <c r="L9" s="10"/>
      <c r="M9" s="46"/>
      <c r="N9" s="10"/>
      <c r="O9" s="47"/>
      <c r="P9" s="10"/>
      <c r="Q9" s="8" t="str">
        <f>IF(B9="","",IF(AND(J9&lt;项目驾驶舱!$B$3,P9&lt;&gt;"已完成"),"是","否"))</f>
        <v/>
      </c>
      <c r="R9" s="10"/>
      <c r="S9" s="10"/>
      <c r="T9" s="10"/>
    </row>
    <row r="10" spans="1:20">
      <c r="A10" s="8" t="str">
        <f t="shared" si="0"/>
        <v/>
      </c>
      <c r="B10" s="10"/>
      <c r="C10" s="8" t="str">
        <f>IF(B10="","",IFERROR(INDEX(风险登记册!$B$9:$B$108,MATCH(B10,风险登记册!$A$9:$A$108,0)),""))</f>
        <v/>
      </c>
      <c r="D10" s="10"/>
      <c r="E10" s="10"/>
      <c r="F10" s="10"/>
      <c r="G10" s="10"/>
      <c r="H10" s="10"/>
      <c r="I10" s="11"/>
      <c r="J10" s="11"/>
      <c r="K10" s="11"/>
      <c r="L10" s="10"/>
      <c r="M10" s="46"/>
      <c r="N10" s="10"/>
      <c r="O10" s="47"/>
      <c r="P10" s="10"/>
      <c r="Q10" s="8" t="str">
        <f>IF(B10="","",IF(AND(J10&lt;项目驾驶舱!$B$3,P10&lt;&gt;"已完成"),"是","否"))</f>
        <v/>
      </c>
      <c r="R10" s="10"/>
      <c r="S10" s="10"/>
      <c r="T10" s="10"/>
    </row>
    <row r="11" spans="1:20">
      <c r="A11" s="8" t="str">
        <f t="shared" si="0"/>
        <v/>
      </c>
      <c r="B11" s="10"/>
      <c r="C11" s="8" t="str">
        <f>IF(B11="","",IFERROR(INDEX(风险登记册!$B$9:$B$108,MATCH(B11,风险登记册!$A$9:$A$108,0)),""))</f>
        <v/>
      </c>
      <c r="D11" s="10"/>
      <c r="E11" s="10"/>
      <c r="F11" s="10"/>
      <c r="G11" s="10"/>
      <c r="H11" s="10"/>
      <c r="I11" s="11"/>
      <c r="J11" s="11"/>
      <c r="K11" s="11"/>
      <c r="L11" s="10"/>
      <c r="M11" s="46"/>
      <c r="N11" s="10"/>
      <c r="O11" s="47"/>
      <c r="P11" s="10"/>
      <c r="Q11" s="8" t="str">
        <f>IF(B11="","",IF(AND(J11&lt;项目驾驶舱!$B$3,P11&lt;&gt;"已完成"),"是","否"))</f>
        <v/>
      </c>
      <c r="R11" s="10"/>
      <c r="S11" s="10"/>
      <c r="T11" s="10"/>
    </row>
    <row r="12" spans="1:20">
      <c r="A12" s="8" t="str">
        <f t="shared" si="0"/>
        <v/>
      </c>
      <c r="B12" s="10"/>
      <c r="C12" s="8" t="str">
        <f>IF(B12="","",IFERROR(INDEX(风险登记册!$B$9:$B$108,MATCH(B12,风险登记册!$A$9:$A$108,0)),""))</f>
        <v/>
      </c>
      <c r="D12" s="10"/>
      <c r="E12" s="10"/>
      <c r="F12" s="10"/>
      <c r="G12" s="10"/>
      <c r="H12" s="10"/>
      <c r="I12" s="11"/>
      <c r="J12" s="11"/>
      <c r="K12" s="11"/>
      <c r="L12" s="10"/>
      <c r="M12" s="46"/>
      <c r="N12" s="10"/>
      <c r="O12" s="47"/>
      <c r="P12" s="10"/>
      <c r="Q12" s="8" t="str">
        <f>IF(B12="","",IF(AND(J12&lt;项目驾驶舱!$B$3,P12&lt;&gt;"已完成"),"是","否"))</f>
        <v/>
      </c>
      <c r="R12" s="10"/>
      <c r="S12" s="10"/>
      <c r="T12" s="10"/>
    </row>
    <row r="13" spans="1:20">
      <c r="A13" s="8" t="str">
        <f t="shared" si="0"/>
        <v/>
      </c>
      <c r="B13" s="10"/>
      <c r="C13" s="8" t="str">
        <f>IF(B13="","",IFERROR(INDEX(风险登记册!$B$9:$B$108,MATCH(B13,风险登记册!$A$9:$A$108,0)),""))</f>
        <v/>
      </c>
      <c r="D13" s="10"/>
      <c r="E13" s="10"/>
      <c r="F13" s="10"/>
      <c r="G13" s="10"/>
      <c r="H13" s="10"/>
      <c r="I13" s="11"/>
      <c r="J13" s="11"/>
      <c r="K13" s="11"/>
      <c r="L13" s="10"/>
      <c r="M13" s="46"/>
      <c r="N13" s="10"/>
      <c r="O13" s="47"/>
      <c r="P13" s="10"/>
      <c r="Q13" s="8" t="str">
        <f>IF(B13="","",IF(AND(J13&lt;项目驾驶舱!$B$3,P13&lt;&gt;"已完成"),"是","否"))</f>
        <v/>
      </c>
      <c r="R13" s="10"/>
      <c r="S13" s="10"/>
      <c r="T13" s="10"/>
    </row>
    <row r="14" spans="1:20">
      <c r="A14" s="8" t="str">
        <f t="shared" si="0"/>
        <v/>
      </c>
      <c r="B14" s="10"/>
      <c r="C14" s="8" t="str">
        <f>IF(B14="","",IFERROR(INDEX(风险登记册!$B$9:$B$108,MATCH(B14,风险登记册!$A$9:$A$108,0)),""))</f>
        <v/>
      </c>
      <c r="D14" s="10"/>
      <c r="E14" s="10"/>
      <c r="F14" s="10"/>
      <c r="G14" s="10"/>
      <c r="H14" s="10"/>
      <c r="I14" s="11"/>
      <c r="J14" s="11"/>
      <c r="K14" s="11"/>
      <c r="L14" s="10"/>
      <c r="M14" s="46"/>
      <c r="N14" s="10"/>
      <c r="O14" s="47"/>
      <c r="P14" s="10"/>
      <c r="Q14" s="8" t="str">
        <f>IF(B14="","",IF(AND(J14&lt;项目驾驶舱!$B$3,P14&lt;&gt;"已完成"),"是","否"))</f>
        <v/>
      </c>
      <c r="R14" s="10"/>
      <c r="S14" s="10"/>
      <c r="T14" s="10"/>
    </row>
    <row r="15" spans="1:20">
      <c r="A15" s="8" t="str">
        <f t="shared" si="0"/>
        <v/>
      </c>
      <c r="B15" s="10"/>
      <c r="C15" s="8" t="str">
        <f>IF(B15="","",IFERROR(INDEX(风险登记册!$B$9:$B$108,MATCH(B15,风险登记册!$A$9:$A$108,0)),""))</f>
        <v/>
      </c>
      <c r="D15" s="10"/>
      <c r="E15" s="10"/>
      <c r="F15" s="10"/>
      <c r="G15" s="10"/>
      <c r="H15" s="10"/>
      <c r="I15" s="11"/>
      <c r="J15" s="11"/>
      <c r="K15" s="11"/>
      <c r="L15" s="10"/>
      <c r="M15" s="46"/>
      <c r="N15" s="10"/>
      <c r="O15" s="47"/>
      <c r="P15" s="10"/>
      <c r="Q15" s="8" t="str">
        <f>IF(B15="","",IF(AND(J15&lt;项目驾驶舱!$B$3,P15&lt;&gt;"已完成"),"是","否"))</f>
        <v/>
      </c>
      <c r="R15" s="10"/>
      <c r="S15" s="10"/>
      <c r="T15" s="10"/>
    </row>
    <row r="16" spans="1:20">
      <c r="A16" s="8" t="str">
        <f t="shared" si="0"/>
        <v/>
      </c>
      <c r="B16" s="10"/>
      <c r="C16" s="8" t="str">
        <f>IF(B16="","",IFERROR(INDEX(风险登记册!$B$9:$B$108,MATCH(B16,风险登记册!$A$9:$A$108,0)),""))</f>
        <v/>
      </c>
      <c r="D16" s="10"/>
      <c r="E16" s="10"/>
      <c r="F16" s="10"/>
      <c r="G16" s="10"/>
      <c r="H16" s="10"/>
      <c r="I16" s="11"/>
      <c r="J16" s="11"/>
      <c r="K16" s="11"/>
      <c r="L16" s="10"/>
      <c r="M16" s="46"/>
      <c r="N16" s="10"/>
      <c r="O16" s="47"/>
      <c r="P16" s="10"/>
      <c r="Q16" s="8" t="str">
        <f>IF(B16="","",IF(AND(J16&lt;项目驾驶舱!$B$3,P16&lt;&gt;"已完成"),"是","否"))</f>
        <v/>
      </c>
      <c r="R16" s="10"/>
      <c r="S16" s="10"/>
      <c r="T16" s="10"/>
    </row>
    <row r="17" spans="1:20">
      <c r="A17" s="8" t="str">
        <f t="shared" si="0"/>
        <v/>
      </c>
      <c r="B17" s="10"/>
      <c r="C17" s="8" t="str">
        <f>IF(B17="","",IFERROR(INDEX(风险登记册!$B$9:$B$108,MATCH(B17,风险登记册!$A$9:$A$108,0)),""))</f>
        <v/>
      </c>
      <c r="D17" s="10"/>
      <c r="E17" s="10"/>
      <c r="F17" s="10"/>
      <c r="G17" s="10"/>
      <c r="H17" s="10"/>
      <c r="I17" s="11"/>
      <c r="J17" s="11"/>
      <c r="K17" s="11"/>
      <c r="L17" s="10"/>
      <c r="M17" s="46"/>
      <c r="N17" s="10"/>
      <c r="O17" s="47"/>
      <c r="P17" s="10"/>
      <c r="Q17" s="8" t="str">
        <f>IF(B17="","",IF(AND(J17&lt;项目驾驶舱!$B$3,P17&lt;&gt;"已完成"),"是","否"))</f>
        <v/>
      </c>
      <c r="R17" s="10"/>
      <c r="S17" s="10"/>
      <c r="T17" s="10"/>
    </row>
    <row r="18" spans="1:20">
      <c r="A18" s="8" t="str">
        <f t="shared" si="0"/>
        <v/>
      </c>
      <c r="B18" s="10"/>
      <c r="C18" s="8" t="str">
        <f>IF(B18="","",IFERROR(INDEX(风险登记册!$B$9:$B$108,MATCH(B18,风险登记册!$A$9:$A$108,0)),""))</f>
        <v/>
      </c>
      <c r="D18" s="10"/>
      <c r="E18" s="10"/>
      <c r="F18" s="10"/>
      <c r="G18" s="10"/>
      <c r="H18" s="10"/>
      <c r="I18" s="11"/>
      <c r="J18" s="11"/>
      <c r="K18" s="11"/>
      <c r="L18" s="10"/>
      <c r="M18" s="46"/>
      <c r="N18" s="10"/>
      <c r="O18" s="47"/>
      <c r="P18" s="10"/>
      <c r="Q18" s="8" t="str">
        <f>IF(B18="","",IF(AND(J18&lt;项目驾驶舱!$B$3,P18&lt;&gt;"已完成"),"是","否"))</f>
        <v/>
      </c>
      <c r="R18" s="10"/>
      <c r="S18" s="10"/>
      <c r="T18" s="10"/>
    </row>
    <row r="19" spans="1:20">
      <c r="A19" s="8" t="str">
        <f t="shared" si="0"/>
        <v/>
      </c>
      <c r="B19" s="10"/>
      <c r="C19" s="8" t="str">
        <f>IF(B19="","",IFERROR(INDEX(风险登记册!$B$9:$B$108,MATCH(B19,风险登记册!$A$9:$A$108,0)),""))</f>
        <v/>
      </c>
      <c r="D19" s="10"/>
      <c r="E19" s="10"/>
      <c r="F19" s="10"/>
      <c r="G19" s="10"/>
      <c r="H19" s="10"/>
      <c r="I19" s="11"/>
      <c r="J19" s="11"/>
      <c r="K19" s="11"/>
      <c r="L19" s="10"/>
      <c r="M19" s="46"/>
      <c r="N19" s="10"/>
      <c r="O19" s="47"/>
      <c r="P19" s="10"/>
      <c r="Q19" s="8" t="str">
        <f>IF(B19="","",IF(AND(J19&lt;项目驾驶舱!$B$3,P19&lt;&gt;"已完成"),"是","否"))</f>
        <v/>
      </c>
      <c r="R19" s="10"/>
      <c r="S19" s="10"/>
      <c r="T19" s="10"/>
    </row>
    <row r="20" spans="1:20">
      <c r="A20" s="8" t="str">
        <f t="shared" si="0"/>
        <v/>
      </c>
      <c r="B20" s="10"/>
      <c r="C20" s="8" t="str">
        <f>IF(B20="","",IFERROR(INDEX(风险登记册!$B$9:$B$108,MATCH(B20,风险登记册!$A$9:$A$108,0)),""))</f>
        <v/>
      </c>
      <c r="D20" s="10"/>
      <c r="E20" s="10"/>
      <c r="F20" s="10"/>
      <c r="G20" s="10"/>
      <c r="H20" s="10"/>
      <c r="I20" s="11"/>
      <c r="J20" s="11"/>
      <c r="K20" s="11"/>
      <c r="L20" s="10"/>
      <c r="M20" s="46"/>
      <c r="N20" s="10"/>
      <c r="O20" s="47"/>
      <c r="P20" s="10"/>
      <c r="Q20" s="8" t="str">
        <f>IF(B20="","",IF(AND(J20&lt;项目驾驶舱!$B$3,P20&lt;&gt;"已完成"),"是","否"))</f>
        <v/>
      </c>
      <c r="R20" s="10"/>
      <c r="S20" s="10"/>
      <c r="T20" s="10"/>
    </row>
    <row r="21" spans="1:20">
      <c r="A21" s="8" t="str">
        <f t="shared" si="0"/>
        <v/>
      </c>
      <c r="B21" s="10"/>
      <c r="C21" s="8" t="str">
        <f>IF(B21="","",IFERROR(INDEX(风险登记册!$B$9:$B$108,MATCH(B21,风险登记册!$A$9:$A$108,0)),""))</f>
        <v/>
      </c>
      <c r="D21" s="10"/>
      <c r="E21" s="10"/>
      <c r="F21" s="10"/>
      <c r="G21" s="10"/>
      <c r="H21" s="10"/>
      <c r="I21" s="11"/>
      <c r="J21" s="11"/>
      <c r="K21" s="11"/>
      <c r="L21" s="10"/>
      <c r="M21" s="46"/>
      <c r="N21" s="10"/>
      <c r="O21" s="47"/>
      <c r="P21" s="10"/>
      <c r="Q21" s="8" t="str">
        <f>IF(B21="","",IF(AND(J21&lt;项目驾驶舱!$B$3,P21&lt;&gt;"已完成"),"是","否"))</f>
        <v/>
      </c>
      <c r="R21" s="10"/>
      <c r="S21" s="10"/>
      <c r="T21" s="10"/>
    </row>
    <row r="22" spans="1:20">
      <c r="A22" s="8" t="str">
        <f t="shared" si="0"/>
        <v/>
      </c>
      <c r="B22" s="10"/>
      <c r="C22" s="8" t="str">
        <f>IF(B22="","",IFERROR(INDEX(风险登记册!$B$9:$B$108,MATCH(B22,风险登记册!$A$9:$A$108,0)),""))</f>
        <v/>
      </c>
      <c r="D22" s="10"/>
      <c r="E22" s="10"/>
      <c r="F22" s="10"/>
      <c r="G22" s="10"/>
      <c r="H22" s="10"/>
      <c r="I22" s="11"/>
      <c r="J22" s="11"/>
      <c r="K22" s="11"/>
      <c r="L22" s="10"/>
      <c r="M22" s="46"/>
      <c r="N22" s="10"/>
      <c r="O22" s="47"/>
      <c r="P22" s="10"/>
      <c r="Q22" s="8" t="str">
        <f>IF(B22="","",IF(AND(J22&lt;项目驾驶舱!$B$3,P22&lt;&gt;"已完成"),"是","否"))</f>
        <v/>
      </c>
      <c r="R22" s="10"/>
      <c r="S22" s="10"/>
      <c r="T22" s="10"/>
    </row>
    <row r="23" spans="1:20">
      <c r="A23" s="8" t="str">
        <f t="shared" si="0"/>
        <v/>
      </c>
      <c r="B23" s="10"/>
      <c r="C23" s="8" t="str">
        <f>IF(B23="","",IFERROR(INDEX(风险登记册!$B$9:$B$108,MATCH(B23,风险登记册!$A$9:$A$108,0)),""))</f>
        <v/>
      </c>
      <c r="D23" s="10"/>
      <c r="E23" s="10"/>
      <c r="F23" s="10"/>
      <c r="G23" s="10"/>
      <c r="H23" s="10"/>
      <c r="I23" s="11"/>
      <c r="J23" s="11"/>
      <c r="K23" s="11"/>
      <c r="L23" s="10"/>
      <c r="M23" s="46"/>
      <c r="N23" s="10"/>
      <c r="O23" s="47"/>
      <c r="P23" s="10"/>
      <c r="Q23" s="8" t="str">
        <f>IF(B23="","",IF(AND(J23&lt;项目驾驶舱!$B$3,P23&lt;&gt;"已完成"),"是","否"))</f>
        <v/>
      </c>
      <c r="R23" s="10"/>
      <c r="S23" s="10"/>
      <c r="T23" s="10"/>
    </row>
    <row r="24" spans="1:20">
      <c r="A24" s="8" t="str">
        <f t="shared" si="0"/>
        <v/>
      </c>
      <c r="B24" s="10"/>
      <c r="C24" s="8" t="str">
        <f>IF(B24="","",IFERROR(INDEX(风险登记册!$B$9:$B$108,MATCH(B24,风险登记册!$A$9:$A$108,0)),""))</f>
        <v/>
      </c>
      <c r="D24" s="10"/>
      <c r="E24" s="10"/>
      <c r="F24" s="10"/>
      <c r="G24" s="10"/>
      <c r="H24" s="10"/>
      <c r="I24" s="11"/>
      <c r="J24" s="11"/>
      <c r="K24" s="11"/>
      <c r="L24" s="10"/>
      <c r="M24" s="46"/>
      <c r="N24" s="10"/>
      <c r="O24" s="47"/>
      <c r="P24" s="10"/>
      <c r="Q24" s="8" t="str">
        <f>IF(B24="","",IF(AND(J24&lt;项目驾驶舱!$B$3,P24&lt;&gt;"已完成"),"是","否"))</f>
        <v/>
      </c>
      <c r="R24" s="10"/>
      <c r="S24" s="10"/>
      <c r="T24" s="10"/>
    </row>
    <row r="25" spans="1:20">
      <c r="A25" s="8" t="str">
        <f t="shared" si="0"/>
        <v/>
      </c>
      <c r="B25" s="10"/>
      <c r="C25" s="8" t="str">
        <f>IF(B25="","",IFERROR(INDEX(风险登记册!$B$9:$B$108,MATCH(B25,风险登记册!$A$9:$A$108,0)),""))</f>
        <v/>
      </c>
      <c r="D25" s="10"/>
      <c r="E25" s="10"/>
      <c r="F25" s="10"/>
      <c r="G25" s="10"/>
      <c r="H25" s="10"/>
      <c r="I25" s="11"/>
      <c r="J25" s="11"/>
      <c r="K25" s="11"/>
      <c r="L25" s="10"/>
      <c r="M25" s="46"/>
      <c r="N25" s="10"/>
      <c r="O25" s="47"/>
      <c r="P25" s="10"/>
      <c r="Q25" s="8" t="str">
        <f>IF(B25="","",IF(AND(J25&lt;项目驾驶舱!$B$3,P25&lt;&gt;"已完成"),"是","否"))</f>
        <v/>
      </c>
      <c r="R25" s="10"/>
      <c r="S25" s="10"/>
      <c r="T25" s="10"/>
    </row>
    <row r="26" spans="1:20">
      <c r="A26" s="8" t="str">
        <f t="shared" si="0"/>
        <v/>
      </c>
      <c r="B26" s="10"/>
      <c r="C26" s="8" t="str">
        <f>IF(B26="","",IFERROR(INDEX(风险登记册!$B$9:$B$108,MATCH(B26,风险登记册!$A$9:$A$108,0)),""))</f>
        <v/>
      </c>
      <c r="D26" s="10"/>
      <c r="E26" s="10"/>
      <c r="F26" s="10"/>
      <c r="G26" s="10"/>
      <c r="H26" s="10"/>
      <c r="I26" s="11"/>
      <c r="J26" s="11"/>
      <c r="K26" s="11"/>
      <c r="L26" s="10"/>
      <c r="M26" s="46"/>
      <c r="N26" s="10"/>
      <c r="O26" s="47"/>
      <c r="P26" s="10"/>
      <c r="Q26" s="8" t="str">
        <f>IF(B26="","",IF(AND(J26&lt;项目驾驶舱!$B$3,P26&lt;&gt;"已完成"),"是","否"))</f>
        <v/>
      </c>
      <c r="R26" s="10"/>
      <c r="S26" s="10"/>
      <c r="T26" s="10"/>
    </row>
    <row r="27" spans="1:20">
      <c r="A27" s="8" t="str">
        <f t="shared" si="0"/>
        <v/>
      </c>
      <c r="B27" s="10"/>
      <c r="C27" s="8" t="str">
        <f>IF(B27="","",IFERROR(INDEX(风险登记册!$B$9:$B$108,MATCH(B27,风险登记册!$A$9:$A$108,0)),""))</f>
        <v/>
      </c>
      <c r="D27" s="10"/>
      <c r="E27" s="10"/>
      <c r="F27" s="10"/>
      <c r="G27" s="10"/>
      <c r="H27" s="10"/>
      <c r="I27" s="11"/>
      <c r="J27" s="11"/>
      <c r="K27" s="11"/>
      <c r="L27" s="10"/>
      <c r="M27" s="46"/>
      <c r="N27" s="10"/>
      <c r="O27" s="47"/>
      <c r="P27" s="10"/>
      <c r="Q27" s="8" t="str">
        <f>IF(B27="","",IF(AND(J27&lt;项目驾驶舱!$B$3,P27&lt;&gt;"已完成"),"是","否"))</f>
        <v/>
      </c>
      <c r="R27" s="10"/>
      <c r="S27" s="10"/>
      <c r="T27" s="10"/>
    </row>
    <row r="28" spans="1:20">
      <c r="A28" s="8" t="str">
        <f t="shared" si="0"/>
        <v/>
      </c>
      <c r="B28" s="10"/>
      <c r="C28" s="8" t="str">
        <f>IF(B28="","",IFERROR(INDEX(风险登记册!$B$9:$B$108,MATCH(B28,风险登记册!$A$9:$A$108,0)),""))</f>
        <v/>
      </c>
      <c r="D28" s="10"/>
      <c r="E28" s="10"/>
      <c r="F28" s="10"/>
      <c r="G28" s="10"/>
      <c r="H28" s="10"/>
      <c r="I28" s="11"/>
      <c r="J28" s="11"/>
      <c r="K28" s="11"/>
      <c r="L28" s="10"/>
      <c r="M28" s="46"/>
      <c r="N28" s="10"/>
      <c r="O28" s="47"/>
      <c r="P28" s="10"/>
      <c r="Q28" s="8" t="str">
        <f>IF(B28="","",IF(AND(J28&lt;项目驾驶舱!$B$3,P28&lt;&gt;"已完成"),"是","否"))</f>
        <v/>
      </c>
      <c r="R28" s="10"/>
      <c r="S28" s="10"/>
      <c r="T28" s="10"/>
    </row>
    <row r="29" spans="1:20">
      <c r="A29" s="8" t="str">
        <f t="shared" si="0"/>
        <v/>
      </c>
      <c r="B29" s="10"/>
      <c r="C29" s="8" t="str">
        <f>IF(B29="","",IFERROR(INDEX(风险登记册!$B$9:$B$108,MATCH(B29,风险登记册!$A$9:$A$108,0)),""))</f>
        <v/>
      </c>
      <c r="D29" s="10"/>
      <c r="E29" s="10"/>
      <c r="F29" s="10"/>
      <c r="G29" s="10"/>
      <c r="H29" s="10"/>
      <c r="I29" s="11"/>
      <c r="J29" s="11"/>
      <c r="K29" s="11"/>
      <c r="L29" s="10"/>
      <c r="M29" s="46"/>
      <c r="N29" s="10"/>
      <c r="O29" s="47"/>
      <c r="P29" s="10"/>
      <c r="Q29" s="8" t="str">
        <f>IF(B29="","",IF(AND(J29&lt;项目驾驶舱!$B$3,P29&lt;&gt;"已完成"),"是","否"))</f>
        <v/>
      </c>
      <c r="R29" s="10"/>
      <c r="S29" s="10"/>
      <c r="T29" s="10"/>
    </row>
    <row r="30" spans="1:20">
      <c r="A30" s="8" t="str">
        <f t="shared" si="0"/>
        <v/>
      </c>
      <c r="B30" s="10"/>
      <c r="C30" s="8" t="str">
        <f>IF(B30="","",IFERROR(INDEX(风险登记册!$B$9:$B$108,MATCH(B30,风险登记册!$A$9:$A$108,0)),""))</f>
        <v/>
      </c>
      <c r="D30" s="10"/>
      <c r="E30" s="10"/>
      <c r="F30" s="10"/>
      <c r="G30" s="10"/>
      <c r="H30" s="10"/>
      <c r="I30" s="11"/>
      <c r="J30" s="11"/>
      <c r="K30" s="11"/>
      <c r="L30" s="10"/>
      <c r="M30" s="46"/>
      <c r="N30" s="10"/>
      <c r="O30" s="47"/>
      <c r="P30" s="10"/>
      <c r="Q30" s="8" t="str">
        <f>IF(B30="","",IF(AND(J30&lt;项目驾驶舱!$B$3,P30&lt;&gt;"已完成"),"是","否"))</f>
        <v/>
      </c>
      <c r="R30" s="10"/>
      <c r="S30" s="10"/>
      <c r="T30" s="10"/>
    </row>
    <row r="31" spans="1:20">
      <c r="A31" s="8" t="str">
        <f t="shared" si="0"/>
        <v/>
      </c>
      <c r="B31" s="10"/>
      <c r="C31" s="8" t="str">
        <f>IF(B31="","",IFERROR(INDEX(风险登记册!$B$9:$B$108,MATCH(B31,风险登记册!$A$9:$A$108,0)),""))</f>
        <v/>
      </c>
      <c r="D31" s="10"/>
      <c r="E31" s="10"/>
      <c r="F31" s="10"/>
      <c r="G31" s="10"/>
      <c r="H31" s="10"/>
      <c r="I31" s="11"/>
      <c r="J31" s="11"/>
      <c r="K31" s="11"/>
      <c r="L31" s="10"/>
      <c r="M31" s="46"/>
      <c r="N31" s="10"/>
      <c r="O31" s="47"/>
      <c r="P31" s="10"/>
      <c r="Q31" s="8" t="str">
        <f>IF(B31="","",IF(AND(J31&lt;项目驾驶舱!$B$3,P31&lt;&gt;"已完成"),"是","否"))</f>
        <v/>
      </c>
      <c r="R31" s="10"/>
      <c r="S31" s="10"/>
      <c r="T31" s="10"/>
    </row>
    <row r="32" spans="1:20">
      <c r="A32" s="8" t="str">
        <f t="shared" si="0"/>
        <v/>
      </c>
      <c r="B32" s="10"/>
      <c r="C32" s="8" t="str">
        <f>IF(B32="","",IFERROR(INDEX(风险登记册!$B$9:$B$108,MATCH(B32,风险登记册!$A$9:$A$108,0)),""))</f>
        <v/>
      </c>
      <c r="D32" s="10"/>
      <c r="E32" s="10"/>
      <c r="F32" s="10"/>
      <c r="G32" s="10"/>
      <c r="H32" s="10"/>
      <c r="I32" s="11"/>
      <c r="J32" s="11"/>
      <c r="K32" s="11"/>
      <c r="L32" s="10"/>
      <c r="M32" s="46"/>
      <c r="N32" s="10"/>
      <c r="O32" s="47"/>
      <c r="P32" s="10"/>
      <c r="Q32" s="8" t="str">
        <f>IF(B32="","",IF(AND(J32&lt;项目驾驶舱!$B$3,P32&lt;&gt;"已完成"),"是","否"))</f>
        <v/>
      </c>
      <c r="R32" s="10"/>
      <c r="S32" s="10"/>
      <c r="T32" s="10"/>
    </row>
    <row r="33" spans="1:20">
      <c r="A33" s="8" t="str">
        <f t="shared" si="0"/>
        <v/>
      </c>
      <c r="B33" s="10"/>
      <c r="C33" s="8" t="str">
        <f>IF(B33="","",IFERROR(INDEX(风险登记册!$B$9:$B$108,MATCH(B33,风险登记册!$A$9:$A$108,0)),""))</f>
        <v/>
      </c>
      <c r="D33" s="10"/>
      <c r="E33" s="10"/>
      <c r="F33" s="10"/>
      <c r="G33" s="10"/>
      <c r="H33" s="10"/>
      <c r="I33" s="11"/>
      <c r="J33" s="11"/>
      <c r="K33" s="11"/>
      <c r="L33" s="10"/>
      <c r="M33" s="46"/>
      <c r="N33" s="10"/>
      <c r="O33" s="47"/>
      <c r="P33" s="10"/>
      <c r="Q33" s="8" t="str">
        <f>IF(B33="","",IF(AND(J33&lt;项目驾驶舱!$B$3,P33&lt;&gt;"已完成"),"是","否"))</f>
        <v/>
      </c>
      <c r="R33" s="10"/>
      <c r="S33" s="10"/>
      <c r="T33" s="10"/>
    </row>
    <row r="34" spans="1:20">
      <c r="A34" s="8" t="str">
        <f t="shared" si="0"/>
        <v/>
      </c>
      <c r="B34" s="10"/>
      <c r="C34" s="8" t="str">
        <f>IF(B34="","",IFERROR(INDEX(风险登记册!$B$9:$B$108,MATCH(B34,风险登记册!$A$9:$A$108,0)),""))</f>
        <v/>
      </c>
      <c r="D34" s="10"/>
      <c r="E34" s="10"/>
      <c r="F34" s="10"/>
      <c r="G34" s="10"/>
      <c r="H34" s="10"/>
      <c r="I34" s="11"/>
      <c r="J34" s="11"/>
      <c r="K34" s="11"/>
      <c r="L34" s="10"/>
      <c r="M34" s="46"/>
      <c r="N34" s="10"/>
      <c r="O34" s="47"/>
      <c r="P34" s="10"/>
      <c r="Q34" s="8" t="str">
        <f>IF(B34="","",IF(AND(J34&lt;项目驾驶舱!$B$3,P34&lt;&gt;"已完成"),"是","否"))</f>
        <v/>
      </c>
      <c r="R34" s="10"/>
      <c r="S34" s="10"/>
      <c r="T34" s="10"/>
    </row>
    <row r="35" spans="1:20">
      <c r="A35" s="8" t="str">
        <f t="shared" si="0"/>
        <v/>
      </c>
      <c r="B35" s="10"/>
      <c r="C35" s="8" t="str">
        <f>IF(B35="","",IFERROR(INDEX(风险登记册!$B$9:$B$108,MATCH(B35,风险登记册!$A$9:$A$108,0)),""))</f>
        <v/>
      </c>
      <c r="D35" s="10"/>
      <c r="E35" s="10"/>
      <c r="F35" s="10"/>
      <c r="G35" s="10"/>
      <c r="H35" s="10"/>
      <c r="I35" s="11"/>
      <c r="J35" s="11"/>
      <c r="K35" s="11"/>
      <c r="L35" s="10"/>
      <c r="M35" s="46"/>
      <c r="N35" s="10"/>
      <c r="O35" s="47"/>
      <c r="P35" s="10"/>
      <c r="Q35" s="8" t="str">
        <f>IF(B35="","",IF(AND(J35&lt;项目驾驶舱!$B$3,P35&lt;&gt;"已完成"),"是","否"))</f>
        <v/>
      </c>
      <c r="R35" s="10"/>
      <c r="S35" s="10"/>
      <c r="T35" s="10"/>
    </row>
    <row r="36" spans="1:20">
      <c r="A36" s="8" t="str">
        <f t="shared" si="0"/>
        <v/>
      </c>
      <c r="B36" s="10"/>
      <c r="C36" s="8" t="str">
        <f>IF(B36="","",IFERROR(INDEX(风险登记册!$B$9:$B$108,MATCH(B36,风险登记册!$A$9:$A$108,0)),""))</f>
        <v/>
      </c>
      <c r="D36" s="10"/>
      <c r="E36" s="10"/>
      <c r="F36" s="10"/>
      <c r="G36" s="10"/>
      <c r="H36" s="10"/>
      <c r="I36" s="11"/>
      <c r="J36" s="11"/>
      <c r="K36" s="11"/>
      <c r="L36" s="10"/>
      <c r="M36" s="46"/>
      <c r="N36" s="10"/>
      <c r="O36" s="47"/>
      <c r="P36" s="10"/>
      <c r="Q36" s="8" t="str">
        <f>IF(B36="","",IF(AND(J36&lt;项目驾驶舱!$B$3,P36&lt;&gt;"已完成"),"是","否"))</f>
        <v/>
      </c>
      <c r="R36" s="10"/>
      <c r="S36" s="10"/>
      <c r="T36" s="10"/>
    </row>
    <row r="37" spans="1:20">
      <c r="A37" s="8" t="str">
        <f t="shared" si="0"/>
        <v/>
      </c>
      <c r="B37" s="10"/>
      <c r="C37" s="8" t="str">
        <f>IF(B37="","",IFERROR(INDEX(风险登记册!$B$9:$B$108,MATCH(B37,风险登记册!$A$9:$A$108,0)),""))</f>
        <v/>
      </c>
      <c r="D37" s="10"/>
      <c r="E37" s="10"/>
      <c r="F37" s="10"/>
      <c r="G37" s="10"/>
      <c r="H37" s="10"/>
      <c r="I37" s="11"/>
      <c r="J37" s="11"/>
      <c r="K37" s="11"/>
      <c r="L37" s="10"/>
      <c r="M37" s="46"/>
      <c r="N37" s="10"/>
      <c r="O37" s="47"/>
      <c r="P37" s="10"/>
      <c r="Q37" s="8" t="str">
        <f>IF(B37="","",IF(AND(J37&lt;项目驾驶舱!$B$3,P37&lt;&gt;"已完成"),"是","否"))</f>
        <v/>
      </c>
      <c r="R37" s="10"/>
      <c r="S37" s="10"/>
      <c r="T37" s="10"/>
    </row>
    <row r="38" spans="1:20">
      <c r="A38" s="8" t="str">
        <f t="shared" si="0"/>
        <v/>
      </c>
      <c r="B38" s="10"/>
      <c r="C38" s="8" t="str">
        <f>IF(B38="","",IFERROR(INDEX(风险登记册!$B$9:$B$108,MATCH(B38,风险登记册!$A$9:$A$108,0)),""))</f>
        <v/>
      </c>
      <c r="D38" s="10"/>
      <c r="E38" s="10"/>
      <c r="F38" s="10"/>
      <c r="G38" s="10"/>
      <c r="H38" s="10"/>
      <c r="I38" s="11"/>
      <c r="J38" s="11"/>
      <c r="K38" s="11"/>
      <c r="L38" s="10"/>
      <c r="M38" s="46"/>
      <c r="N38" s="10"/>
      <c r="O38" s="47"/>
      <c r="P38" s="10"/>
      <c r="Q38" s="8" t="str">
        <f>IF(B38="","",IF(AND(J38&lt;项目驾驶舱!$B$3,P38&lt;&gt;"已完成"),"是","否"))</f>
        <v/>
      </c>
      <c r="R38" s="10"/>
      <c r="S38" s="10"/>
      <c r="T38" s="10"/>
    </row>
    <row r="39" spans="1:20">
      <c r="A39" s="8" t="str">
        <f t="shared" si="0"/>
        <v/>
      </c>
      <c r="B39" s="10"/>
      <c r="C39" s="8" t="str">
        <f>IF(B39="","",IFERROR(INDEX(风险登记册!$B$9:$B$108,MATCH(B39,风险登记册!$A$9:$A$108,0)),""))</f>
        <v/>
      </c>
      <c r="D39" s="10"/>
      <c r="E39" s="10"/>
      <c r="F39" s="10"/>
      <c r="G39" s="10"/>
      <c r="H39" s="10"/>
      <c r="I39" s="11"/>
      <c r="J39" s="11"/>
      <c r="K39" s="11"/>
      <c r="L39" s="10"/>
      <c r="M39" s="46"/>
      <c r="N39" s="10"/>
      <c r="O39" s="47"/>
      <c r="P39" s="10"/>
      <c r="Q39" s="8" t="str">
        <f>IF(B39="","",IF(AND(J39&lt;项目驾驶舱!$B$3,P39&lt;&gt;"已完成"),"是","否"))</f>
        <v/>
      </c>
      <c r="R39" s="10"/>
      <c r="S39" s="10"/>
      <c r="T39" s="10"/>
    </row>
    <row r="40" spans="1:20">
      <c r="A40" s="8" t="str">
        <f t="shared" si="0"/>
        <v/>
      </c>
      <c r="B40" s="10"/>
      <c r="C40" s="8" t="str">
        <f>IF(B40="","",IFERROR(INDEX(风险登记册!$B$9:$B$108,MATCH(B40,风险登记册!$A$9:$A$108,0)),""))</f>
        <v/>
      </c>
      <c r="D40" s="10"/>
      <c r="E40" s="10"/>
      <c r="F40" s="10"/>
      <c r="G40" s="10"/>
      <c r="H40" s="10"/>
      <c r="I40" s="11"/>
      <c r="J40" s="11"/>
      <c r="K40" s="11"/>
      <c r="L40" s="10"/>
      <c r="M40" s="46"/>
      <c r="N40" s="10"/>
      <c r="O40" s="47"/>
      <c r="P40" s="10"/>
      <c r="Q40" s="8" t="str">
        <f>IF(B40="","",IF(AND(J40&lt;项目驾驶舱!$B$3,P40&lt;&gt;"已完成"),"是","否"))</f>
        <v/>
      </c>
      <c r="R40" s="10"/>
      <c r="S40" s="10"/>
      <c r="T40" s="10"/>
    </row>
    <row r="41" spans="1:20">
      <c r="A41" s="8" t="str">
        <f t="shared" si="0"/>
        <v/>
      </c>
      <c r="B41" s="10"/>
      <c r="C41" s="8" t="str">
        <f>IF(B41="","",IFERROR(INDEX(风险登记册!$B$9:$B$108,MATCH(B41,风险登记册!$A$9:$A$108,0)),""))</f>
        <v/>
      </c>
      <c r="D41" s="10"/>
      <c r="E41" s="10"/>
      <c r="F41" s="10"/>
      <c r="G41" s="10"/>
      <c r="H41" s="10"/>
      <c r="I41" s="11"/>
      <c r="J41" s="11"/>
      <c r="K41" s="11"/>
      <c r="L41" s="10"/>
      <c r="M41" s="46"/>
      <c r="N41" s="10"/>
      <c r="O41" s="47"/>
      <c r="P41" s="10"/>
      <c r="Q41" s="8" t="str">
        <f>IF(B41="","",IF(AND(J41&lt;项目驾驶舱!$B$3,P41&lt;&gt;"已完成"),"是","否"))</f>
        <v/>
      </c>
      <c r="R41" s="10"/>
      <c r="S41" s="10"/>
      <c r="T41" s="10"/>
    </row>
    <row r="42" spans="1:20">
      <c r="A42" s="8" t="str">
        <f t="shared" si="0"/>
        <v/>
      </c>
      <c r="B42" s="10"/>
      <c r="C42" s="8" t="str">
        <f>IF(B42="","",IFERROR(INDEX(风险登记册!$B$9:$B$108,MATCH(B42,风险登记册!$A$9:$A$108,0)),""))</f>
        <v/>
      </c>
      <c r="D42" s="10"/>
      <c r="E42" s="10"/>
      <c r="F42" s="10"/>
      <c r="G42" s="10"/>
      <c r="H42" s="10"/>
      <c r="I42" s="11"/>
      <c r="J42" s="11"/>
      <c r="K42" s="11"/>
      <c r="L42" s="10"/>
      <c r="M42" s="46"/>
      <c r="N42" s="10"/>
      <c r="O42" s="47"/>
      <c r="P42" s="10"/>
      <c r="Q42" s="8" t="str">
        <f>IF(B42="","",IF(AND(J42&lt;项目驾驶舱!$B$3,P42&lt;&gt;"已完成"),"是","否"))</f>
        <v/>
      </c>
      <c r="R42" s="10"/>
      <c r="S42" s="10"/>
      <c r="T42" s="10"/>
    </row>
    <row r="43" spans="1:20">
      <c r="A43" s="8" t="str">
        <f t="shared" si="0"/>
        <v/>
      </c>
      <c r="B43" s="10"/>
      <c r="C43" s="8" t="str">
        <f>IF(B43="","",IFERROR(INDEX(风险登记册!$B$9:$B$108,MATCH(B43,风险登记册!$A$9:$A$108,0)),""))</f>
        <v/>
      </c>
      <c r="D43" s="10"/>
      <c r="E43" s="10"/>
      <c r="F43" s="10"/>
      <c r="G43" s="10"/>
      <c r="H43" s="10"/>
      <c r="I43" s="11"/>
      <c r="J43" s="11"/>
      <c r="K43" s="11"/>
      <c r="L43" s="10"/>
      <c r="M43" s="46"/>
      <c r="N43" s="10"/>
      <c r="O43" s="47"/>
      <c r="P43" s="10"/>
      <c r="Q43" s="8" t="str">
        <f>IF(B43="","",IF(AND(J43&lt;项目驾驶舱!$B$3,P43&lt;&gt;"已完成"),"是","否"))</f>
        <v/>
      </c>
      <c r="R43" s="10"/>
      <c r="S43" s="10"/>
      <c r="T43" s="10"/>
    </row>
    <row r="44" spans="1:20">
      <c r="A44" s="8" t="str">
        <f t="shared" si="0"/>
        <v/>
      </c>
      <c r="B44" s="10"/>
      <c r="C44" s="8" t="str">
        <f>IF(B44="","",IFERROR(INDEX(风险登记册!$B$9:$B$108,MATCH(B44,风险登记册!$A$9:$A$108,0)),""))</f>
        <v/>
      </c>
      <c r="D44" s="10"/>
      <c r="E44" s="10"/>
      <c r="F44" s="10"/>
      <c r="G44" s="10"/>
      <c r="H44" s="10"/>
      <c r="I44" s="11"/>
      <c r="J44" s="11"/>
      <c r="K44" s="11"/>
      <c r="L44" s="10"/>
      <c r="M44" s="46"/>
      <c r="N44" s="10"/>
      <c r="O44" s="47"/>
      <c r="P44" s="10"/>
      <c r="Q44" s="8" t="str">
        <f>IF(B44="","",IF(AND(J44&lt;项目驾驶舱!$B$3,P44&lt;&gt;"已完成"),"是","否"))</f>
        <v/>
      </c>
      <c r="R44" s="10"/>
      <c r="S44" s="10"/>
      <c r="T44" s="10"/>
    </row>
    <row r="45" spans="1:20">
      <c r="A45" s="8" t="str">
        <f t="shared" si="0"/>
        <v/>
      </c>
      <c r="B45" s="10"/>
      <c r="C45" s="8" t="str">
        <f>IF(B45="","",IFERROR(INDEX(风险登记册!$B$9:$B$108,MATCH(B45,风险登记册!$A$9:$A$108,0)),""))</f>
        <v/>
      </c>
      <c r="D45" s="10"/>
      <c r="E45" s="10"/>
      <c r="F45" s="10"/>
      <c r="G45" s="10"/>
      <c r="H45" s="10"/>
      <c r="I45" s="11"/>
      <c r="J45" s="11"/>
      <c r="K45" s="11"/>
      <c r="L45" s="10"/>
      <c r="M45" s="46"/>
      <c r="N45" s="10"/>
      <c r="O45" s="47"/>
      <c r="P45" s="10"/>
      <c r="Q45" s="8" t="str">
        <f>IF(B45="","",IF(AND(J45&lt;项目驾驶舱!$B$3,P45&lt;&gt;"已完成"),"是","否"))</f>
        <v/>
      </c>
      <c r="R45" s="10"/>
      <c r="S45" s="10"/>
      <c r="T45" s="10"/>
    </row>
    <row r="46" spans="1:20">
      <c r="A46" s="8" t="str">
        <f t="shared" si="0"/>
        <v/>
      </c>
      <c r="B46" s="10"/>
      <c r="C46" s="8" t="str">
        <f>IF(B46="","",IFERROR(INDEX(风险登记册!$B$9:$B$108,MATCH(B46,风险登记册!$A$9:$A$108,0)),""))</f>
        <v/>
      </c>
      <c r="D46" s="10"/>
      <c r="E46" s="10"/>
      <c r="F46" s="10"/>
      <c r="G46" s="10"/>
      <c r="H46" s="10"/>
      <c r="I46" s="11"/>
      <c r="J46" s="11"/>
      <c r="K46" s="11"/>
      <c r="L46" s="10"/>
      <c r="M46" s="46"/>
      <c r="N46" s="10"/>
      <c r="O46" s="47"/>
      <c r="P46" s="10"/>
      <c r="Q46" s="8" t="str">
        <f>IF(B46="","",IF(AND(J46&lt;项目驾驶舱!$B$3,P46&lt;&gt;"已完成"),"是","否"))</f>
        <v/>
      </c>
      <c r="R46" s="10"/>
      <c r="S46" s="10"/>
      <c r="T46" s="10"/>
    </row>
    <row r="47" spans="1:20">
      <c r="A47" s="8" t="str">
        <f t="shared" si="0"/>
        <v/>
      </c>
      <c r="B47" s="10"/>
      <c r="C47" s="8" t="str">
        <f>IF(B47="","",IFERROR(INDEX(风险登记册!$B$9:$B$108,MATCH(B47,风险登记册!$A$9:$A$108,0)),""))</f>
        <v/>
      </c>
      <c r="D47" s="10"/>
      <c r="E47" s="10"/>
      <c r="F47" s="10"/>
      <c r="G47" s="10"/>
      <c r="H47" s="10"/>
      <c r="I47" s="11"/>
      <c r="J47" s="11"/>
      <c r="K47" s="11"/>
      <c r="L47" s="10"/>
      <c r="M47" s="46"/>
      <c r="N47" s="10"/>
      <c r="O47" s="47"/>
      <c r="P47" s="10"/>
      <c r="Q47" s="8" t="str">
        <f>IF(B47="","",IF(AND(J47&lt;项目驾驶舱!$B$3,P47&lt;&gt;"已完成"),"是","否"))</f>
        <v/>
      </c>
      <c r="R47" s="10"/>
      <c r="S47" s="10"/>
      <c r="T47" s="10"/>
    </row>
    <row r="48" spans="1:20">
      <c r="A48" s="8" t="str">
        <f t="shared" si="0"/>
        <v/>
      </c>
      <c r="B48" s="10"/>
      <c r="C48" s="8" t="str">
        <f>IF(B48="","",IFERROR(INDEX(风险登记册!$B$9:$B$108,MATCH(B48,风险登记册!$A$9:$A$108,0)),""))</f>
        <v/>
      </c>
      <c r="D48" s="10"/>
      <c r="E48" s="10"/>
      <c r="F48" s="10"/>
      <c r="G48" s="10"/>
      <c r="H48" s="10"/>
      <c r="I48" s="11"/>
      <c r="J48" s="11"/>
      <c r="K48" s="11"/>
      <c r="L48" s="10"/>
      <c r="M48" s="46"/>
      <c r="N48" s="10"/>
      <c r="O48" s="47"/>
      <c r="P48" s="10"/>
      <c r="Q48" s="8" t="str">
        <f>IF(B48="","",IF(AND(J48&lt;项目驾驶舱!$B$3,P48&lt;&gt;"已完成"),"是","否"))</f>
        <v/>
      </c>
      <c r="R48" s="10"/>
      <c r="S48" s="10"/>
      <c r="T48" s="10"/>
    </row>
    <row r="49" spans="1:20">
      <c r="A49" s="8" t="str">
        <f t="shared" si="0"/>
        <v/>
      </c>
      <c r="B49" s="10"/>
      <c r="C49" s="8" t="str">
        <f>IF(B49="","",IFERROR(INDEX(风险登记册!$B$9:$B$108,MATCH(B49,风险登记册!$A$9:$A$108,0)),""))</f>
        <v/>
      </c>
      <c r="D49" s="10"/>
      <c r="E49" s="10"/>
      <c r="F49" s="10"/>
      <c r="G49" s="10"/>
      <c r="H49" s="10"/>
      <c r="I49" s="11"/>
      <c r="J49" s="11"/>
      <c r="K49" s="11"/>
      <c r="L49" s="10"/>
      <c r="M49" s="46"/>
      <c r="N49" s="10"/>
      <c r="O49" s="47"/>
      <c r="P49" s="10"/>
      <c r="Q49" s="8" t="str">
        <f>IF(B49="","",IF(AND(J49&lt;项目驾驶舱!$B$3,P49&lt;&gt;"已完成"),"是","否"))</f>
        <v/>
      </c>
      <c r="R49" s="10"/>
      <c r="S49" s="10"/>
      <c r="T49" s="10"/>
    </row>
    <row r="50" spans="1:20">
      <c r="A50" s="8" t="str">
        <f t="shared" si="0"/>
        <v/>
      </c>
      <c r="B50" s="10"/>
      <c r="C50" s="8" t="str">
        <f>IF(B50="","",IFERROR(INDEX(风险登记册!$B$9:$B$108,MATCH(B50,风险登记册!$A$9:$A$108,0)),""))</f>
        <v/>
      </c>
      <c r="D50" s="10"/>
      <c r="E50" s="10"/>
      <c r="F50" s="10"/>
      <c r="G50" s="10"/>
      <c r="H50" s="10"/>
      <c r="I50" s="11"/>
      <c r="J50" s="11"/>
      <c r="K50" s="11"/>
      <c r="L50" s="10"/>
      <c r="M50" s="46"/>
      <c r="N50" s="10"/>
      <c r="O50" s="47"/>
      <c r="P50" s="10"/>
      <c r="Q50" s="8" t="str">
        <f>IF(B50="","",IF(AND(J50&lt;项目驾驶舱!$B$3,P50&lt;&gt;"已完成"),"是","否"))</f>
        <v/>
      </c>
      <c r="R50" s="10"/>
      <c r="S50" s="10"/>
      <c r="T50" s="10"/>
    </row>
    <row r="51" spans="1:20">
      <c r="A51" s="8" t="str">
        <f t="shared" si="0"/>
        <v/>
      </c>
      <c r="B51" s="10"/>
      <c r="C51" s="8" t="str">
        <f>IF(B51="","",IFERROR(INDEX(风险登记册!$B$9:$B$108,MATCH(B51,风险登记册!$A$9:$A$108,0)),""))</f>
        <v/>
      </c>
      <c r="D51" s="10"/>
      <c r="E51" s="10"/>
      <c r="F51" s="10"/>
      <c r="G51" s="10"/>
      <c r="H51" s="10"/>
      <c r="I51" s="11"/>
      <c r="J51" s="11"/>
      <c r="K51" s="11"/>
      <c r="L51" s="10"/>
      <c r="M51" s="46"/>
      <c r="N51" s="10"/>
      <c r="O51" s="47"/>
      <c r="P51" s="10"/>
      <c r="Q51" s="8" t="str">
        <f>IF(B51="","",IF(AND(J51&lt;项目驾驶舱!$B$3,P51&lt;&gt;"已完成"),"是","否"))</f>
        <v/>
      </c>
      <c r="R51" s="10"/>
      <c r="S51" s="10"/>
      <c r="T51" s="10"/>
    </row>
    <row r="52" spans="1:20">
      <c r="A52" s="8" t="str">
        <f t="shared" si="0"/>
        <v/>
      </c>
      <c r="B52" s="10"/>
      <c r="C52" s="8" t="str">
        <f>IF(B52="","",IFERROR(INDEX(风险登记册!$B$9:$B$108,MATCH(B52,风险登记册!$A$9:$A$108,0)),""))</f>
        <v/>
      </c>
      <c r="D52" s="10"/>
      <c r="E52" s="10"/>
      <c r="F52" s="10"/>
      <c r="G52" s="10"/>
      <c r="H52" s="10"/>
      <c r="I52" s="11"/>
      <c r="J52" s="11"/>
      <c r="K52" s="11"/>
      <c r="L52" s="10"/>
      <c r="M52" s="46"/>
      <c r="N52" s="10"/>
      <c r="O52" s="47"/>
      <c r="P52" s="10"/>
      <c r="Q52" s="8" t="str">
        <f>IF(B52="","",IF(AND(J52&lt;项目驾驶舱!$B$3,P52&lt;&gt;"已完成"),"是","否"))</f>
        <v/>
      </c>
      <c r="R52" s="10"/>
      <c r="S52" s="10"/>
      <c r="T52" s="10"/>
    </row>
    <row r="53" spans="1:20">
      <c r="A53" s="8" t="str">
        <f t="shared" si="0"/>
        <v/>
      </c>
      <c r="B53" s="10"/>
      <c r="C53" s="8" t="str">
        <f>IF(B53="","",IFERROR(INDEX(风险登记册!$B$9:$B$108,MATCH(B53,风险登记册!$A$9:$A$108,0)),""))</f>
        <v/>
      </c>
      <c r="D53" s="10"/>
      <c r="E53" s="10"/>
      <c r="F53" s="10"/>
      <c r="G53" s="10"/>
      <c r="H53" s="10"/>
      <c r="I53" s="11"/>
      <c r="J53" s="11"/>
      <c r="K53" s="11"/>
      <c r="L53" s="10"/>
      <c r="M53" s="46"/>
      <c r="N53" s="10"/>
      <c r="O53" s="47"/>
      <c r="P53" s="10"/>
      <c r="Q53" s="8" t="str">
        <f>IF(B53="","",IF(AND(J53&lt;项目驾驶舱!$B$3,P53&lt;&gt;"已完成"),"是","否"))</f>
        <v/>
      </c>
      <c r="R53" s="10"/>
      <c r="S53" s="10"/>
      <c r="T53" s="10"/>
    </row>
    <row r="54" spans="1:20">
      <c r="A54" s="8" t="str">
        <f t="shared" si="0"/>
        <v/>
      </c>
      <c r="B54" s="10"/>
      <c r="C54" s="8" t="str">
        <f>IF(B54="","",IFERROR(INDEX(风险登记册!$B$9:$B$108,MATCH(B54,风险登记册!$A$9:$A$108,0)),""))</f>
        <v/>
      </c>
      <c r="D54" s="10"/>
      <c r="E54" s="10"/>
      <c r="F54" s="10"/>
      <c r="G54" s="10"/>
      <c r="H54" s="10"/>
      <c r="I54" s="11"/>
      <c r="J54" s="11"/>
      <c r="K54" s="11"/>
      <c r="L54" s="10"/>
      <c r="M54" s="46"/>
      <c r="N54" s="10"/>
      <c r="O54" s="47"/>
      <c r="P54" s="10"/>
      <c r="Q54" s="8" t="str">
        <f>IF(B54="","",IF(AND(J54&lt;项目驾驶舱!$B$3,P54&lt;&gt;"已完成"),"是","否"))</f>
        <v/>
      </c>
      <c r="R54" s="10"/>
      <c r="S54" s="10"/>
      <c r="T54" s="10"/>
    </row>
    <row r="55" spans="1:20">
      <c r="A55" s="8" t="str">
        <f t="shared" si="0"/>
        <v/>
      </c>
      <c r="B55" s="10"/>
      <c r="C55" s="8" t="str">
        <f>IF(B55="","",IFERROR(INDEX(风险登记册!$B$9:$B$108,MATCH(B55,风险登记册!$A$9:$A$108,0)),""))</f>
        <v/>
      </c>
      <c r="D55" s="10"/>
      <c r="E55" s="10"/>
      <c r="F55" s="10"/>
      <c r="G55" s="10"/>
      <c r="H55" s="10"/>
      <c r="I55" s="11"/>
      <c r="J55" s="11"/>
      <c r="K55" s="11"/>
      <c r="L55" s="10"/>
      <c r="M55" s="46"/>
      <c r="N55" s="10"/>
      <c r="O55" s="47"/>
      <c r="P55" s="10"/>
      <c r="Q55" s="8" t="str">
        <f>IF(B55="","",IF(AND(J55&lt;项目驾驶舱!$B$3,P55&lt;&gt;"已完成"),"是","否"))</f>
        <v/>
      </c>
      <c r="R55" s="10"/>
      <c r="S55" s="10"/>
      <c r="T55" s="10"/>
    </row>
    <row r="56" spans="1:20">
      <c r="A56" s="8" t="str">
        <f t="shared" si="0"/>
        <v/>
      </c>
      <c r="B56" s="10"/>
      <c r="C56" s="8" t="str">
        <f>IF(B56="","",IFERROR(INDEX(风险登记册!$B$9:$B$108,MATCH(B56,风险登记册!$A$9:$A$108,0)),""))</f>
        <v/>
      </c>
      <c r="D56" s="10"/>
      <c r="E56" s="10"/>
      <c r="F56" s="10"/>
      <c r="G56" s="10"/>
      <c r="H56" s="10"/>
      <c r="I56" s="11"/>
      <c r="J56" s="11"/>
      <c r="K56" s="11"/>
      <c r="L56" s="10"/>
      <c r="M56" s="46"/>
      <c r="N56" s="10"/>
      <c r="O56" s="47"/>
      <c r="P56" s="10"/>
      <c r="Q56" s="8" t="str">
        <f>IF(B56="","",IF(AND(J56&lt;项目驾驶舱!$B$3,P56&lt;&gt;"已完成"),"是","否"))</f>
        <v/>
      </c>
      <c r="R56" s="10"/>
      <c r="S56" s="10"/>
      <c r="T56" s="10"/>
    </row>
    <row r="57" spans="1:20">
      <c r="A57" s="8" t="str">
        <f t="shared" si="0"/>
        <v/>
      </c>
      <c r="B57" s="10"/>
      <c r="C57" s="8" t="str">
        <f>IF(B57="","",IFERROR(INDEX(风险登记册!$B$9:$B$108,MATCH(B57,风险登记册!$A$9:$A$108,0)),""))</f>
        <v/>
      </c>
      <c r="D57" s="10"/>
      <c r="E57" s="10"/>
      <c r="F57" s="10"/>
      <c r="G57" s="10"/>
      <c r="H57" s="10"/>
      <c r="I57" s="11"/>
      <c r="J57" s="11"/>
      <c r="K57" s="11"/>
      <c r="L57" s="10"/>
      <c r="M57" s="46"/>
      <c r="N57" s="10"/>
      <c r="O57" s="47"/>
      <c r="P57" s="10"/>
      <c r="Q57" s="8" t="str">
        <f>IF(B57="","",IF(AND(J57&lt;项目驾驶舱!$B$3,P57&lt;&gt;"已完成"),"是","否"))</f>
        <v/>
      </c>
      <c r="R57" s="10"/>
      <c r="S57" s="10"/>
      <c r="T57" s="10"/>
    </row>
    <row r="58" spans="1:20">
      <c r="A58" s="8" t="str">
        <f t="shared" si="0"/>
        <v/>
      </c>
      <c r="B58" s="10"/>
      <c r="C58" s="8" t="str">
        <f>IF(B58="","",IFERROR(INDEX(风险登记册!$B$9:$B$108,MATCH(B58,风险登记册!$A$9:$A$108,0)),""))</f>
        <v/>
      </c>
      <c r="D58" s="10"/>
      <c r="E58" s="10"/>
      <c r="F58" s="10"/>
      <c r="G58" s="10"/>
      <c r="H58" s="10"/>
      <c r="I58" s="11"/>
      <c r="J58" s="11"/>
      <c r="K58" s="11"/>
      <c r="L58" s="10"/>
      <c r="M58" s="46"/>
      <c r="N58" s="10"/>
      <c r="O58" s="47"/>
      <c r="P58" s="10"/>
      <c r="Q58" s="8" t="str">
        <f>IF(B58="","",IF(AND(J58&lt;项目驾驶舱!$B$3,P58&lt;&gt;"已完成"),"是","否"))</f>
        <v/>
      </c>
      <c r="R58" s="10"/>
      <c r="S58" s="10"/>
      <c r="T58" s="10"/>
    </row>
    <row r="59" spans="1:20">
      <c r="A59" s="8" t="str">
        <f t="shared" si="0"/>
        <v/>
      </c>
      <c r="B59" s="10"/>
      <c r="C59" s="8" t="str">
        <f>IF(B59="","",IFERROR(INDEX(风险登记册!$B$9:$B$108,MATCH(B59,风险登记册!$A$9:$A$108,0)),""))</f>
        <v/>
      </c>
      <c r="D59" s="10"/>
      <c r="E59" s="10"/>
      <c r="F59" s="10"/>
      <c r="G59" s="10"/>
      <c r="H59" s="10"/>
      <c r="I59" s="11"/>
      <c r="J59" s="11"/>
      <c r="K59" s="11"/>
      <c r="L59" s="10"/>
      <c r="M59" s="46"/>
      <c r="N59" s="10"/>
      <c r="O59" s="47"/>
      <c r="P59" s="10"/>
      <c r="Q59" s="8" t="str">
        <f>IF(B59="","",IF(AND(J59&lt;项目驾驶舱!$B$3,P59&lt;&gt;"已完成"),"是","否"))</f>
        <v/>
      </c>
      <c r="R59" s="10"/>
      <c r="S59" s="10"/>
      <c r="T59" s="10"/>
    </row>
    <row r="60" spans="1:20">
      <c r="A60" s="8" t="str">
        <f t="shared" si="0"/>
        <v/>
      </c>
      <c r="B60" s="10"/>
      <c r="C60" s="8" t="str">
        <f>IF(B60="","",IFERROR(INDEX(风险登记册!$B$9:$B$108,MATCH(B60,风险登记册!$A$9:$A$108,0)),""))</f>
        <v/>
      </c>
      <c r="D60" s="10"/>
      <c r="E60" s="10"/>
      <c r="F60" s="10"/>
      <c r="G60" s="10"/>
      <c r="H60" s="10"/>
      <c r="I60" s="11"/>
      <c r="J60" s="11"/>
      <c r="K60" s="11"/>
      <c r="L60" s="10"/>
      <c r="M60" s="46"/>
      <c r="N60" s="10"/>
      <c r="O60" s="47"/>
      <c r="P60" s="10"/>
      <c r="Q60" s="8" t="str">
        <f>IF(B60="","",IF(AND(J60&lt;项目驾驶舱!$B$3,P60&lt;&gt;"已完成"),"是","否"))</f>
        <v/>
      </c>
      <c r="R60" s="10"/>
      <c r="S60" s="10"/>
      <c r="T60" s="10"/>
    </row>
    <row r="61" spans="1:20">
      <c r="A61" s="8" t="str">
        <f t="shared" si="0"/>
        <v/>
      </c>
      <c r="B61" s="10"/>
      <c r="C61" s="8" t="str">
        <f>IF(B61="","",IFERROR(INDEX(风险登记册!$B$9:$B$108,MATCH(B61,风险登记册!$A$9:$A$108,0)),""))</f>
        <v/>
      </c>
      <c r="D61" s="10"/>
      <c r="E61" s="10"/>
      <c r="F61" s="10"/>
      <c r="G61" s="10"/>
      <c r="H61" s="10"/>
      <c r="I61" s="11"/>
      <c r="J61" s="11"/>
      <c r="K61" s="11"/>
      <c r="L61" s="10"/>
      <c r="M61" s="46"/>
      <c r="N61" s="10"/>
      <c r="O61" s="47"/>
      <c r="P61" s="10"/>
      <c r="Q61" s="8" t="str">
        <f>IF(B61="","",IF(AND(J61&lt;项目驾驶舱!$B$3,P61&lt;&gt;"已完成"),"是","否"))</f>
        <v/>
      </c>
      <c r="R61" s="10"/>
      <c r="S61" s="10"/>
      <c r="T61" s="10"/>
    </row>
    <row r="62" spans="1:20">
      <c r="A62" s="8" t="str">
        <f t="shared" si="0"/>
        <v/>
      </c>
      <c r="B62" s="10"/>
      <c r="C62" s="8" t="str">
        <f>IF(B62="","",IFERROR(INDEX(风险登记册!$B$9:$B$108,MATCH(B62,风险登记册!$A$9:$A$108,0)),""))</f>
        <v/>
      </c>
      <c r="D62" s="10"/>
      <c r="E62" s="10"/>
      <c r="F62" s="10"/>
      <c r="G62" s="10"/>
      <c r="H62" s="10"/>
      <c r="I62" s="11"/>
      <c r="J62" s="11"/>
      <c r="K62" s="11"/>
      <c r="L62" s="10"/>
      <c r="M62" s="46"/>
      <c r="N62" s="10"/>
      <c r="O62" s="47"/>
      <c r="P62" s="10"/>
      <c r="Q62" s="8" t="str">
        <f>IF(B62="","",IF(AND(J62&lt;项目驾驶舱!$B$3,P62&lt;&gt;"已完成"),"是","否"))</f>
        <v/>
      </c>
      <c r="R62" s="10"/>
      <c r="S62" s="10"/>
      <c r="T62" s="10"/>
    </row>
    <row r="63" spans="1:20">
      <c r="A63" s="8" t="str">
        <f t="shared" si="0"/>
        <v/>
      </c>
      <c r="B63" s="10"/>
      <c r="C63" s="8" t="str">
        <f>IF(B63="","",IFERROR(INDEX(风险登记册!$B$9:$B$108,MATCH(B63,风险登记册!$A$9:$A$108,0)),""))</f>
        <v/>
      </c>
      <c r="D63" s="10"/>
      <c r="E63" s="10"/>
      <c r="F63" s="10"/>
      <c r="G63" s="10"/>
      <c r="H63" s="10"/>
      <c r="I63" s="11"/>
      <c r="J63" s="11"/>
      <c r="K63" s="11"/>
      <c r="L63" s="10"/>
      <c r="M63" s="46"/>
      <c r="N63" s="10"/>
      <c r="O63" s="47"/>
      <c r="P63" s="10"/>
      <c r="Q63" s="8" t="str">
        <f>IF(B63="","",IF(AND(J63&lt;项目驾驶舱!$B$3,P63&lt;&gt;"已完成"),"是","否"))</f>
        <v/>
      </c>
      <c r="R63" s="10"/>
      <c r="S63" s="10"/>
      <c r="T63" s="10"/>
    </row>
    <row r="64" spans="1:20">
      <c r="A64" s="8" t="str">
        <f t="shared" si="0"/>
        <v/>
      </c>
      <c r="B64" s="10"/>
      <c r="C64" s="8" t="str">
        <f>IF(B64="","",IFERROR(INDEX(风险登记册!$B$9:$B$108,MATCH(B64,风险登记册!$A$9:$A$108,0)),""))</f>
        <v/>
      </c>
      <c r="D64" s="10"/>
      <c r="E64" s="10"/>
      <c r="F64" s="10"/>
      <c r="G64" s="10"/>
      <c r="H64" s="10"/>
      <c r="I64" s="11"/>
      <c r="J64" s="11"/>
      <c r="K64" s="11"/>
      <c r="L64" s="10"/>
      <c r="M64" s="46"/>
      <c r="N64" s="10"/>
      <c r="O64" s="47"/>
      <c r="P64" s="10"/>
      <c r="Q64" s="8" t="str">
        <f>IF(B64="","",IF(AND(J64&lt;项目驾驶舱!$B$3,P64&lt;&gt;"已完成"),"是","否"))</f>
        <v/>
      </c>
      <c r="R64" s="10"/>
      <c r="S64" s="10"/>
      <c r="T64" s="10"/>
    </row>
    <row r="65" spans="1:20">
      <c r="A65" s="8" t="str">
        <f t="shared" si="0"/>
        <v/>
      </c>
      <c r="B65" s="10"/>
      <c r="C65" s="8" t="str">
        <f>IF(B65="","",IFERROR(INDEX(风险登记册!$B$9:$B$108,MATCH(B65,风险登记册!$A$9:$A$108,0)),""))</f>
        <v/>
      </c>
      <c r="D65" s="10"/>
      <c r="E65" s="10"/>
      <c r="F65" s="10"/>
      <c r="G65" s="10"/>
      <c r="H65" s="10"/>
      <c r="I65" s="11"/>
      <c r="J65" s="11"/>
      <c r="K65" s="11"/>
      <c r="L65" s="10"/>
      <c r="M65" s="46"/>
      <c r="N65" s="10"/>
      <c r="O65" s="47"/>
      <c r="P65" s="10"/>
      <c r="Q65" s="8" t="str">
        <f>IF(B65="","",IF(AND(J65&lt;项目驾驶舱!$B$3,P65&lt;&gt;"已完成"),"是","否"))</f>
        <v/>
      </c>
      <c r="R65" s="10"/>
      <c r="S65" s="10"/>
      <c r="T65" s="10"/>
    </row>
    <row r="66" spans="1:20">
      <c r="A66" s="8" t="str">
        <f t="shared" si="0"/>
        <v/>
      </c>
      <c r="B66" s="10"/>
      <c r="C66" s="8" t="str">
        <f>IF(B66="","",IFERROR(INDEX(风险登记册!$B$9:$B$108,MATCH(B66,风险登记册!$A$9:$A$108,0)),""))</f>
        <v/>
      </c>
      <c r="D66" s="10"/>
      <c r="E66" s="10"/>
      <c r="F66" s="10"/>
      <c r="G66" s="10"/>
      <c r="H66" s="10"/>
      <c r="I66" s="11"/>
      <c r="J66" s="11"/>
      <c r="K66" s="11"/>
      <c r="L66" s="10"/>
      <c r="M66" s="46"/>
      <c r="N66" s="10"/>
      <c r="O66" s="47"/>
      <c r="P66" s="10"/>
      <c r="Q66" s="8" t="str">
        <f>IF(B66="","",IF(AND(J66&lt;项目驾驶舱!$B$3,P66&lt;&gt;"已完成"),"是","否"))</f>
        <v/>
      </c>
      <c r="R66" s="10"/>
      <c r="S66" s="10"/>
      <c r="T66" s="10"/>
    </row>
    <row r="67" spans="1:20">
      <c r="A67" s="8" t="str">
        <f t="shared" si="0"/>
        <v/>
      </c>
      <c r="B67" s="10"/>
      <c r="C67" s="8" t="str">
        <f>IF(B67="","",IFERROR(INDEX(风险登记册!$B$9:$B$108,MATCH(B67,风险登记册!$A$9:$A$108,0)),""))</f>
        <v/>
      </c>
      <c r="D67" s="10"/>
      <c r="E67" s="10"/>
      <c r="F67" s="10"/>
      <c r="G67" s="10"/>
      <c r="H67" s="10"/>
      <c r="I67" s="11"/>
      <c r="J67" s="11"/>
      <c r="K67" s="11"/>
      <c r="L67" s="10"/>
      <c r="M67" s="46"/>
      <c r="N67" s="10"/>
      <c r="O67" s="47"/>
      <c r="P67" s="10"/>
      <c r="Q67" s="8" t="str">
        <f>IF(B67="","",IF(AND(J67&lt;项目驾驶舱!$B$3,P67&lt;&gt;"已完成"),"是","否"))</f>
        <v/>
      </c>
      <c r="R67" s="10"/>
      <c r="S67" s="10"/>
      <c r="T67" s="10"/>
    </row>
    <row r="68" spans="1:20">
      <c r="A68" s="8" t="str">
        <f t="shared" si="0"/>
        <v/>
      </c>
      <c r="B68" s="10"/>
      <c r="C68" s="8" t="str">
        <f>IF(B68="","",IFERROR(INDEX(风险登记册!$B$9:$B$108,MATCH(B68,风险登记册!$A$9:$A$108,0)),""))</f>
        <v/>
      </c>
      <c r="D68" s="10"/>
      <c r="E68" s="10"/>
      <c r="F68" s="10"/>
      <c r="G68" s="10"/>
      <c r="H68" s="10"/>
      <c r="I68" s="11"/>
      <c r="J68" s="11"/>
      <c r="K68" s="11"/>
      <c r="L68" s="10"/>
      <c r="M68" s="46"/>
      <c r="N68" s="10"/>
      <c r="O68" s="47"/>
      <c r="P68" s="10"/>
      <c r="Q68" s="8" t="str">
        <f>IF(B68="","",IF(AND(J68&lt;项目驾驶舱!$B$3,P68&lt;&gt;"已完成"),"是","否"))</f>
        <v/>
      </c>
      <c r="R68" s="10"/>
      <c r="S68" s="10"/>
      <c r="T68" s="10"/>
    </row>
    <row r="69" spans="1:20">
      <c r="A69" s="8" t="str">
        <f t="shared" ref="A69:A104" si="1">IF(B69="","","RA-"&amp;TEXT(ROW()-4,"000"))</f>
        <v/>
      </c>
      <c r="B69" s="10"/>
      <c r="C69" s="8" t="str">
        <f>IF(B69="","",IFERROR(INDEX(风险登记册!$B$9:$B$108,MATCH(B69,风险登记册!$A$9:$A$108,0)),""))</f>
        <v/>
      </c>
      <c r="D69" s="10"/>
      <c r="E69" s="10"/>
      <c r="F69" s="10"/>
      <c r="G69" s="10"/>
      <c r="H69" s="10"/>
      <c r="I69" s="11"/>
      <c r="J69" s="11"/>
      <c r="K69" s="11"/>
      <c r="L69" s="10"/>
      <c r="M69" s="46"/>
      <c r="N69" s="10"/>
      <c r="O69" s="47"/>
      <c r="P69" s="10"/>
      <c r="Q69" s="8" t="str">
        <f>IF(B69="","",IF(AND(J69&lt;项目驾驶舱!$B$3,P69&lt;&gt;"已完成"),"是","否"))</f>
        <v/>
      </c>
      <c r="R69" s="10"/>
      <c r="S69" s="10"/>
      <c r="T69" s="10"/>
    </row>
    <row r="70" spans="1:20">
      <c r="A70" s="8" t="str">
        <f t="shared" si="1"/>
        <v/>
      </c>
      <c r="B70" s="10"/>
      <c r="C70" s="8" t="str">
        <f>IF(B70="","",IFERROR(INDEX(风险登记册!$B$9:$B$108,MATCH(B70,风险登记册!$A$9:$A$108,0)),""))</f>
        <v/>
      </c>
      <c r="D70" s="10"/>
      <c r="E70" s="10"/>
      <c r="F70" s="10"/>
      <c r="G70" s="10"/>
      <c r="H70" s="10"/>
      <c r="I70" s="11"/>
      <c r="J70" s="11"/>
      <c r="K70" s="11"/>
      <c r="L70" s="10"/>
      <c r="M70" s="46"/>
      <c r="N70" s="10"/>
      <c r="O70" s="47"/>
      <c r="P70" s="10"/>
      <c r="Q70" s="8" t="str">
        <f>IF(B70="","",IF(AND(J70&lt;项目驾驶舱!$B$3,P70&lt;&gt;"已完成"),"是","否"))</f>
        <v/>
      </c>
      <c r="R70" s="10"/>
      <c r="S70" s="10"/>
      <c r="T70" s="10"/>
    </row>
    <row r="71" spans="1:20">
      <c r="A71" s="8" t="str">
        <f t="shared" si="1"/>
        <v/>
      </c>
      <c r="B71" s="10"/>
      <c r="C71" s="8" t="str">
        <f>IF(B71="","",IFERROR(INDEX(风险登记册!$B$9:$B$108,MATCH(B71,风险登记册!$A$9:$A$108,0)),""))</f>
        <v/>
      </c>
      <c r="D71" s="10"/>
      <c r="E71" s="10"/>
      <c r="F71" s="10"/>
      <c r="G71" s="10"/>
      <c r="H71" s="10"/>
      <c r="I71" s="11"/>
      <c r="J71" s="11"/>
      <c r="K71" s="11"/>
      <c r="L71" s="10"/>
      <c r="M71" s="46"/>
      <c r="N71" s="10"/>
      <c r="O71" s="47"/>
      <c r="P71" s="10"/>
      <c r="Q71" s="8" t="str">
        <f>IF(B71="","",IF(AND(J71&lt;项目驾驶舱!$B$3,P71&lt;&gt;"已完成"),"是","否"))</f>
        <v/>
      </c>
      <c r="R71" s="10"/>
      <c r="S71" s="10"/>
      <c r="T71" s="10"/>
    </row>
    <row r="72" spans="1:20">
      <c r="A72" s="8" t="str">
        <f t="shared" si="1"/>
        <v/>
      </c>
      <c r="B72" s="10"/>
      <c r="C72" s="8" t="str">
        <f>IF(B72="","",IFERROR(INDEX(风险登记册!$B$9:$B$108,MATCH(B72,风险登记册!$A$9:$A$108,0)),""))</f>
        <v/>
      </c>
      <c r="D72" s="10"/>
      <c r="E72" s="10"/>
      <c r="F72" s="10"/>
      <c r="G72" s="10"/>
      <c r="H72" s="10"/>
      <c r="I72" s="11"/>
      <c r="J72" s="11"/>
      <c r="K72" s="11"/>
      <c r="L72" s="10"/>
      <c r="M72" s="46"/>
      <c r="N72" s="10"/>
      <c r="O72" s="47"/>
      <c r="P72" s="10"/>
      <c r="Q72" s="8" t="str">
        <f>IF(B72="","",IF(AND(J72&lt;项目驾驶舱!$B$3,P72&lt;&gt;"已完成"),"是","否"))</f>
        <v/>
      </c>
      <c r="R72" s="10"/>
      <c r="S72" s="10"/>
      <c r="T72" s="10"/>
    </row>
    <row r="73" spans="1:20">
      <c r="A73" s="8" t="str">
        <f t="shared" si="1"/>
        <v/>
      </c>
      <c r="B73" s="10"/>
      <c r="C73" s="8" t="str">
        <f>IF(B73="","",IFERROR(INDEX(风险登记册!$B$9:$B$108,MATCH(B73,风险登记册!$A$9:$A$108,0)),""))</f>
        <v/>
      </c>
      <c r="D73" s="10"/>
      <c r="E73" s="10"/>
      <c r="F73" s="10"/>
      <c r="G73" s="10"/>
      <c r="H73" s="10"/>
      <c r="I73" s="11"/>
      <c r="J73" s="11"/>
      <c r="K73" s="11"/>
      <c r="L73" s="10"/>
      <c r="M73" s="46"/>
      <c r="N73" s="10"/>
      <c r="O73" s="47"/>
      <c r="P73" s="10"/>
      <c r="Q73" s="8" t="str">
        <f>IF(B73="","",IF(AND(J73&lt;项目驾驶舱!$B$3,P73&lt;&gt;"已完成"),"是","否"))</f>
        <v/>
      </c>
      <c r="R73" s="10"/>
      <c r="S73" s="10"/>
      <c r="T73" s="10"/>
    </row>
    <row r="74" spans="1:20">
      <c r="A74" s="8" t="str">
        <f t="shared" si="1"/>
        <v/>
      </c>
      <c r="B74" s="10"/>
      <c r="C74" s="8" t="str">
        <f>IF(B74="","",IFERROR(INDEX(风险登记册!$B$9:$B$108,MATCH(B74,风险登记册!$A$9:$A$108,0)),""))</f>
        <v/>
      </c>
      <c r="D74" s="10"/>
      <c r="E74" s="10"/>
      <c r="F74" s="10"/>
      <c r="G74" s="10"/>
      <c r="H74" s="10"/>
      <c r="I74" s="11"/>
      <c r="J74" s="11"/>
      <c r="K74" s="11"/>
      <c r="L74" s="10"/>
      <c r="M74" s="46"/>
      <c r="N74" s="10"/>
      <c r="O74" s="47"/>
      <c r="P74" s="10"/>
      <c r="Q74" s="8" t="str">
        <f>IF(B74="","",IF(AND(J74&lt;项目驾驶舱!$B$3,P74&lt;&gt;"已完成"),"是","否"))</f>
        <v/>
      </c>
      <c r="R74" s="10"/>
      <c r="S74" s="10"/>
      <c r="T74" s="10"/>
    </row>
    <row r="75" spans="1:20">
      <c r="A75" s="8" t="str">
        <f t="shared" si="1"/>
        <v/>
      </c>
      <c r="B75" s="10"/>
      <c r="C75" s="8" t="str">
        <f>IF(B75="","",IFERROR(INDEX(风险登记册!$B$9:$B$108,MATCH(B75,风险登记册!$A$9:$A$108,0)),""))</f>
        <v/>
      </c>
      <c r="D75" s="10"/>
      <c r="E75" s="10"/>
      <c r="F75" s="10"/>
      <c r="G75" s="10"/>
      <c r="H75" s="10"/>
      <c r="I75" s="11"/>
      <c r="J75" s="11"/>
      <c r="K75" s="11"/>
      <c r="L75" s="10"/>
      <c r="M75" s="46"/>
      <c r="N75" s="10"/>
      <c r="O75" s="47"/>
      <c r="P75" s="10"/>
      <c r="Q75" s="8" t="str">
        <f>IF(B75="","",IF(AND(J75&lt;项目驾驶舱!$B$3,P75&lt;&gt;"已完成"),"是","否"))</f>
        <v/>
      </c>
      <c r="R75" s="10"/>
      <c r="S75" s="10"/>
      <c r="T75" s="10"/>
    </row>
    <row r="76" spans="1:20">
      <c r="A76" s="8" t="str">
        <f t="shared" si="1"/>
        <v/>
      </c>
      <c r="B76" s="10"/>
      <c r="C76" s="8" t="str">
        <f>IF(B76="","",IFERROR(INDEX(风险登记册!$B$9:$B$108,MATCH(B76,风险登记册!$A$9:$A$108,0)),""))</f>
        <v/>
      </c>
      <c r="D76" s="10"/>
      <c r="E76" s="10"/>
      <c r="F76" s="10"/>
      <c r="G76" s="10"/>
      <c r="H76" s="10"/>
      <c r="I76" s="11"/>
      <c r="J76" s="11"/>
      <c r="K76" s="11"/>
      <c r="L76" s="10"/>
      <c r="M76" s="46"/>
      <c r="N76" s="10"/>
      <c r="O76" s="47"/>
      <c r="P76" s="10"/>
      <c r="Q76" s="8" t="str">
        <f>IF(B76="","",IF(AND(J76&lt;项目驾驶舱!$B$3,P76&lt;&gt;"已完成"),"是","否"))</f>
        <v/>
      </c>
      <c r="R76" s="10"/>
      <c r="S76" s="10"/>
      <c r="T76" s="10"/>
    </row>
    <row r="77" spans="1:20">
      <c r="A77" s="8" t="str">
        <f t="shared" si="1"/>
        <v/>
      </c>
      <c r="B77" s="10"/>
      <c r="C77" s="8" t="str">
        <f>IF(B77="","",IFERROR(INDEX(风险登记册!$B$9:$B$108,MATCH(B77,风险登记册!$A$9:$A$108,0)),""))</f>
        <v/>
      </c>
      <c r="D77" s="10"/>
      <c r="E77" s="10"/>
      <c r="F77" s="10"/>
      <c r="G77" s="10"/>
      <c r="H77" s="10"/>
      <c r="I77" s="11"/>
      <c r="J77" s="11"/>
      <c r="K77" s="11"/>
      <c r="L77" s="10"/>
      <c r="M77" s="46"/>
      <c r="N77" s="10"/>
      <c r="O77" s="47"/>
      <c r="P77" s="10"/>
      <c r="Q77" s="8" t="str">
        <f>IF(B77="","",IF(AND(J77&lt;项目驾驶舱!$B$3,P77&lt;&gt;"已完成"),"是","否"))</f>
        <v/>
      </c>
      <c r="R77" s="10"/>
      <c r="S77" s="10"/>
      <c r="T77" s="10"/>
    </row>
    <row r="78" spans="1:20">
      <c r="A78" s="8" t="str">
        <f t="shared" si="1"/>
        <v/>
      </c>
      <c r="B78" s="10"/>
      <c r="C78" s="8" t="str">
        <f>IF(B78="","",IFERROR(INDEX(风险登记册!$B$9:$B$108,MATCH(B78,风险登记册!$A$9:$A$108,0)),""))</f>
        <v/>
      </c>
      <c r="D78" s="10"/>
      <c r="E78" s="10"/>
      <c r="F78" s="10"/>
      <c r="G78" s="10"/>
      <c r="H78" s="10"/>
      <c r="I78" s="11"/>
      <c r="J78" s="11"/>
      <c r="K78" s="11"/>
      <c r="L78" s="10"/>
      <c r="M78" s="46"/>
      <c r="N78" s="10"/>
      <c r="O78" s="47"/>
      <c r="P78" s="10"/>
      <c r="Q78" s="8" t="str">
        <f>IF(B78="","",IF(AND(J78&lt;项目驾驶舱!$B$3,P78&lt;&gt;"已完成"),"是","否"))</f>
        <v/>
      </c>
      <c r="R78" s="10"/>
      <c r="S78" s="10"/>
      <c r="T78" s="10"/>
    </row>
    <row r="79" spans="1:20">
      <c r="A79" s="8" t="str">
        <f t="shared" si="1"/>
        <v/>
      </c>
      <c r="B79" s="10"/>
      <c r="C79" s="8" t="str">
        <f>IF(B79="","",IFERROR(INDEX(风险登记册!$B$9:$B$108,MATCH(B79,风险登记册!$A$9:$A$108,0)),""))</f>
        <v/>
      </c>
      <c r="D79" s="10"/>
      <c r="E79" s="10"/>
      <c r="F79" s="10"/>
      <c r="G79" s="10"/>
      <c r="H79" s="10"/>
      <c r="I79" s="11"/>
      <c r="J79" s="11"/>
      <c r="K79" s="11"/>
      <c r="L79" s="10"/>
      <c r="M79" s="46"/>
      <c r="N79" s="10"/>
      <c r="O79" s="47"/>
      <c r="P79" s="10"/>
      <c r="Q79" s="8" t="str">
        <f>IF(B79="","",IF(AND(J79&lt;项目驾驶舱!$B$3,P79&lt;&gt;"已完成"),"是","否"))</f>
        <v/>
      </c>
      <c r="R79" s="10"/>
      <c r="S79" s="10"/>
      <c r="T79" s="10"/>
    </row>
    <row r="80" spans="1:20">
      <c r="A80" s="8" t="str">
        <f t="shared" si="1"/>
        <v/>
      </c>
      <c r="B80" s="10"/>
      <c r="C80" s="8" t="str">
        <f>IF(B80="","",IFERROR(INDEX(风险登记册!$B$9:$B$108,MATCH(B80,风险登记册!$A$9:$A$108,0)),""))</f>
        <v/>
      </c>
      <c r="D80" s="10"/>
      <c r="E80" s="10"/>
      <c r="F80" s="10"/>
      <c r="G80" s="10"/>
      <c r="H80" s="10"/>
      <c r="I80" s="11"/>
      <c r="J80" s="11"/>
      <c r="K80" s="11"/>
      <c r="L80" s="10"/>
      <c r="M80" s="46"/>
      <c r="N80" s="10"/>
      <c r="O80" s="47"/>
      <c r="P80" s="10"/>
      <c r="Q80" s="8" t="str">
        <f>IF(B80="","",IF(AND(J80&lt;项目驾驶舱!$B$3,P80&lt;&gt;"已完成"),"是","否"))</f>
        <v/>
      </c>
      <c r="R80" s="10"/>
      <c r="S80" s="10"/>
      <c r="T80" s="10"/>
    </row>
    <row r="81" spans="1:20">
      <c r="A81" s="8" t="str">
        <f t="shared" si="1"/>
        <v/>
      </c>
      <c r="B81" s="10"/>
      <c r="C81" s="8" t="str">
        <f>IF(B81="","",IFERROR(INDEX(风险登记册!$B$9:$B$108,MATCH(B81,风险登记册!$A$9:$A$108,0)),""))</f>
        <v/>
      </c>
      <c r="D81" s="10"/>
      <c r="E81" s="10"/>
      <c r="F81" s="10"/>
      <c r="G81" s="10"/>
      <c r="H81" s="10"/>
      <c r="I81" s="11"/>
      <c r="J81" s="11"/>
      <c r="K81" s="11"/>
      <c r="L81" s="10"/>
      <c r="M81" s="46"/>
      <c r="N81" s="10"/>
      <c r="O81" s="47"/>
      <c r="P81" s="10"/>
      <c r="Q81" s="8" t="str">
        <f>IF(B81="","",IF(AND(J81&lt;项目驾驶舱!$B$3,P81&lt;&gt;"已完成"),"是","否"))</f>
        <v/>
      </c>
      <c r="R81" s="10"/>
      <c r="S81" s="10"/>
      <c r="T81" s="10"/>
    </row>
    <row r="82" spans="1:20">
      <c r="A82" s="8" t="str">
        <f t="shared" si="1"/>
        <v/>
      </c>
      <c r="B82" s="10"/>
      <c r="C82" s="8" t="str">
        <f>IF(B82="","",IFERROR(INDEX(风险登记册!$B$9:$B$108,MATCH(B82,风险登记册!$A$9:$A$108,0)),""))</f>
        <v/>
      </c>
      <c r="D82" s="10"/>
      <c r="E82" s="10"/>
      <c r="F82" s="10"/>
      <c r="G82" s="10"/>
      <c r="H82" s="10"/>
      <c r="I82" s="11"/>
      <c r="J82" s="11"/>
      <c r="K82" s="11"/>
      <c r="L82" s="10"/>
      <c r="M82" s="46"/>
      <c r="N82" s="10"/>
      <c r="O82" s="47"/>
      <c r="P82" s="10"/>
      <c r="Q82" s="8" t="str">
        <f>IF(B82="","",IF(AND(J82&lt;项目驾驶舱!$B$3,P82&lt;&gt;"已完成"),"是","否"))</f>
        <v/>
      </c>
      <c r="R82" s="10"/>
      <c r="S82" s="10"/>
      <c r="T82" s="10"/>
    </row>
    <row r="83" spans="1:20">
      <c r="A83" s="8" t="str">
        <f t="shared" si="1"/>
        <v/>
      </c>
      <c r="B83" s="10"/>
      <c r="C83" s="8" t="str">
        <f>IF(B83="","",IFERROR(INDEX(风险登记册!$B$9:$B$108,MATCH(B83,风险登记册!$A$9:$A$108,0)),""))</f>
        <v/>
      </c>
      <c r="D83" s="10"/>
      <c r="E83" s="10"/>
      <c r="F83" s="10"/>
      <c r="G83" s="10"/>
      <c r="H83" s="10"/>
      <c r="I83" s="11"/>
      <c r="J83" s="11"/>
      <c r="K83" s="11"/>
      <c r="L83" s="10"/>
      <c r="M83" s="46"/>
      <c r="N83" s="10"/>
      <c r="O83" s="47"/>
      <c r="P83" s="10"/>
      <c r="Q83" s="8" t="str">
        <f>IF(B83="","",IF(AND(J83&lt;项目驾驶舱!$B$3,P83&lt;&gt;"已完成"),"是","否"))</f>
        <v/>
      </c>
      <c r="R83" s="10"/>
      <c r="S83" s="10"/>
      <c r="T83" s="10"/>
    </row>
    <row r="84" spans="1:20">
      <c r="A84" s="8" t="str">
        <f t="shared" si="1"/>
        <v/>
      </c>
      <c r="B84" s="10"/>
      <c r="C84" s="8" t="str">
        <f>IF(B84="","",IFERROR(INDEX(风险登记册!$B$9:$B$108,MATCH(B84,风险登记册!$A$9:$A$108,0)),""))</f>
        <v/>
      </c>
      <c r="D84" s="10"/>
      <c r="E84" s="10"/>
      <c r="F84" s="10"/>
      <c r="G84" s="10"/>
      <c r="H84" s="10"/>
      <c r="I84" s="11"/>
      <c r="J84" s="11"/>
      <c r="K84" s="11"/>
      <c r="L84" s="10"/>
      <c r="M84" s="46"/>
      <c r="N84" s="10"/>
      <c r="O84" s="47"/>
      <c r="P84" s="10"/>
      <c r="Q84" s="8" t="str">
        <f>IF(B84="","",IF(AND(J84&lt;项目驾驶舱!$B$3,P84&lt;&gt;"已完成"),"是","否"))</f>
        <v/>
      </c>
      <c r="R84" s="10"/>
      <c r="S84" s="10"/>
      <c r="T84" s="10"/>
    </row>
    <row r="85" spans="1:20">
      <c r="A85" s="8" t="str">
        <f t="shared" si="1"/>
        <v/>
      </c>
      <c r="B85" s="10"/>
      <c r="C85" s="8" t="str">
        <f>IF(B85="","",IFERROR(INDEX(风险登记册!$B$9:$B$108,MATCH(B85,风险登记册!$A$9:$A$108,0)),""))</f>
        <v/>
      </c>
      <c r="D85" s="10"/>
      <c r="E85" s="10"/>
      <c r="F85" s="10"/>
      <c r="G85" s="10"/>
      <c r="H85" s="10"/>
      <c r="I85" s="11"/>
      <c r="J85" s="11"/>
      <c r="K85" s="11"/>
      <c r="L85" s="10"/>
      <c r="M85" s="46"/>
      <c r="N85" s="10"/>
      <c r="O85" s="47"/>
      <c r="P85" s="10"/>
      <c r="Q85" s="8" t="str">
        <f>IF(B85="","",IF(AND(J85&lt;项目驾驶舱!$B$3,P85&lt;&gt;"已完成"),"是","否"))</f>
        <v/>
      </c>
      <c r="R85" s="10"/>
      <c r="S85" s="10"/>
      <c r="T85" s="10"/>
    </row>
    <row r="86" spans="1:20">
      <c r="A86" s="8" t="str">
        <f t="shared" si="1"/>
        <v/>
      </c>
      <c r="B86" s="10"/>
      <c r="C86" s="8" t="str">
        <f>IF(B86="","",IFERROR(INDEX(风险登记册!$B$9:$B$108,MATCH(B86,风险登记册!$A$9:$A$108,0)),""))</f>
        <v/>
      </c>
      <c r="D86" s="10"/>
      <c r="E86" s="10"/>
      <c r="F86" s="10"/>
      <c r="G86" s="10"/>
      <c r="H86" s="10"/>
      <c r="I86" s="11"/>
      <c r="J86" s="11"/>
      <c r="K86" s="11"/>
      <c r="L86" s="10"/>
      <c r="M86" s="46"/>
      <c r="N86" s="10"/>
      <c r="O86" s="47"/>
      <c r="P86" s="10"/>
      <c r="Q86" s="8" t="str">
        <f>IF(B86="","",IF(AND(J86&lt;项目驾驶舱!$B$3,P86&lt;&gt;"已完成"),"是","否"))</f>
        <v/>
      </c>
      <c r="R86" s="10"/>
      <c r="S86" s="10"/>
      <c r="T86" s="10"/>
    </row>
    <row r="87" spans="1:20">
      <c r="A87" s="8" t="str">
        <f t="shared" si="1"/>
        <v/>
      </c>
      <c r="B87" s="10"/>
      <c r="C87" s="8" t="str">
        <f>IF(B87="","",IFERROR(INDEX(风险登记册!$B$9:$B$108,MATCH(B87,风险登记册!$A$9:$A$108,0)),""))</f>
        <v/>
      </c>
      <c r="D87" s="10"/>
      <c r="E87" s="10"/>
      <c r="F87" s="10"/>
      <c r="G87" s="10"/>
      <c r="H87" s="10"/>
      <c r="I87" s="11"/>
      <c r="J87" s="11"/>
      <c r="K87" s="11"/>
      <c r="L87" s="10"/>
      <c r="M87" s="46"/>
      <c r="N87" s="10"/>
      <c r="O87" s="47"/>
      <c r="P87" s="10"/>
      <c r="Q87" s="8" t="str">
        <f>IF(B87="","",IF(AND(J87&lt;项目驾驶舱!$B$3,P87&lt;&gt;"已完成"),"是","否"))</f>
        <v/>
      </c>
      <c r="R87" s="10"/>
      <c r="S87" s="10"/>
      <c r="T87" s="10"/>
    </row>
    <row r="88" spans="1:20">
      <c r="A88" s="8" t="str">
        <f t="shared" si="1"/>
        <v/>
      </c>
      <c r="B88" s="10"/>
      <c r="C88" s="8" t="str">
        <f>IF(B88="","",IFERROR(INDEX(风险登记册!$B$9:$B$108,MATCH(B88,风险登记册!$A$9:$A$108,0)),""))</f>
        <v/>
      </c>
      <c r="D88" s="10"/>
      <c r="E88" s="10"/>
      <c r="F88" s="10"/>
      <c r="G88" s="10"/>
      <c r="H88" s="10"/>
      <c r="I88" s="11"/>
      <c r="J88" s="11"/>
      <c r="K88" s="11"/>
      <c r="L88" s="10"/>
      <c r="M88" s="46"/>
      <c r="N88" s="10"/>
      <c r="O88" s="47"/>
      <c r="P88" s="10"/>
      <c r="Q88" s="8" t="str">
        <f>IF(B88="","",IF(AND(J88&lt;项目驾驶舱!$B$3,P88&lt;&gt;"已完成"),"是","否"))</f>
        <v/>
      </c>
      <c r="R88" s="10"/>
      <c r="S88" s="10"/>
      <c r="T88" s="10"/>
    </row>
    <row r="89" spans="1:20">
      <c r="A89" s="8" t="str">
        <f t="shared" si="1"/>
        <v/>
      </c>
      <c r="B89" s="10"/>
      <c r="C89" s="8" t="str">
        <f>IF(B89="","",IFERROR(INDEX(风险登记册!$B$9:$B$108,MATCH(B89,风险登记册!$A$9:$A$108,0)),""))</f>
        <v/>
      </c>
      <c r="D89" s="10"/>
      <c r="E89" s="10"/>
      <c r="F89" s="10"/>
      <c r="G89" s="10"/>
      <c r="H89" s="10"/>
      <c r="I89" s="11"/>
      <c r="J89" s="11"/>
      <c r="K89" s="11"/>
      <c r="L89" s="10"/>
      <c r="M89" s="46"/>
      <c r="N89" s="10"/>
      <c r="O89" s="47"/>
      <c r="P89" s="10"/>
      <c r="Q89" s="8" t="str">
        <f>IF(B89="","",IF(AND(J89&lt;项目驾驶舱!$B$3,P89&lt;&gt;"已完成"),"是","否"))</f>
        <v/>
      </c>
      <c r="R89" s="10"/>
      <c r="S89" s="10"/>
      <c r="T89" s="10"/>
    </row>
    <row r="90" spans="1:20">
      <c r="A90" s="8" t="str">
        <f t="shared" si="1"/>
        <v/>
      </c>
      <c r="B90" s="10"/>
      <c r="C90" s="8" t="str">
        <f>IF(B90="","",IFERROR(INDEX(风险登记册!$B$9:$B$108,MATCH(B90,风险登记册!$A$9:$A$108,0)),""))</f>
        <v/>
      </c>
      <c r="D90" s="10"/>
      <c r="E90" s="10"/>
      <c r="F90" s="10"/>
      <c r="G90" s="10"/>
      <c r="H90" s="10"/>
      <c r="I90" s="11"/>
      <c r="J90" s="11"/>
      <c r="K90" s="11"/>
      <c r="L90" s="10"/>
      <c r="M90" s="46"/>
      <c r="N90" s="10"/>
      <c r="O90" s="47"/>
      <c r="P90" s="10"/>
      <c r="Q90" s="8" t="str">
        <f>IF(B90="","",IF(AND(J90&lt;项目驾驶舱!$B$3,P90&lt;&gt;"已完成"),"是","否"))</f>
        <v/>
      </c>
      <c r="R90" s="10"/>
      <c r="S90" s="10"/>
      <c r="T90" s="10"/>
    </row>
    <row r="91" spans="1:20">
      <c r="A91" s="8" t="str">
        <f t="shared" si="1"/>
        <v/>
      </c>
      <c r="B91" s="10"/>
      <c r="C91" s="8" t="str">
        <f>IF(B91="","",IFERROR(INDEX(风险登记册!$B$9:$B$108,MATCH(B91,风险登记册!$A$9:$A$108,0)),""))</f>
        <v/>
      </c>
      <c r="D91" s="10"/>
      <c r="E91" s="10"/>
      <c r="F91" s="10"/>
      <c r="G91" s="10"/>
      <c r="H91" s="10"/>
      <c r="I91" s="11"/>
      <c r="J91" s="11"/>
      <c r="K91" s="11"/>
      <c r="L91" s="10"/>
      <c r="M91" s="46"/>
      <c r="N91" s="10"/>
      <c r="O91" s="47"/>
      <c r="P91" s="10"/>
      <c r="Q91" s="8" t="str">
        <f>IF(B91="","",IF(AND(J91&lt;项目驾驶舱!$B$3,P91&lt;&gt;"已完成"),"是","否"))</f>
        <v/>
      </c>
      <c r="R91" s="10"/>
      <c r="S91" s="10"/>
      <c r="T91" s="10"/>
    </row>
    <row r="92" spans="1:20">
      <c r="A92" s="8" t="str">
        <f t="shared" si="1"/>
        <v/>
      </c>
      <c r="B92" s="10"/>
      <c r="C92" s="8" t="str">
        <f>IF(B92="","",IFERROR(INDEX(风险登记册!$B$9:$B$108,MATCH(B92,风险登记册!$A$9:$A$108,0)),""))</f>
        <v/>
      </c>
      <c r="D92" s="10"/>
      <c r="E92" s="10"/>
      <c r="F92" s="10"/>
      <c r="G92" s="10"/>
      <c r="H92" s="10"/>
      <c r="I92" s="11"/>
      <c r="J92" s="11"/>
      <c r="K92" s="11"/>
      <c r="L92" s="10"/>
      <c r="M92" s="46"/>
      <c r="N92" s="10"/>
      <c r="O92" s="47"/>
      <c r="P92" s="10"/>
      <c r="Q92" s="8" t="str">
        <f>IF(B92="","",IF(AND(J92&lt;项目驾驶舱!$B$3,P92&lt;&gt;"已完成"),"是","否"))</f>
        <v/>
      </c>
      <c r="R92" s="10"/>
      <c r="S92" s="10"/>
      <c r="T92" s="10"/>
    </row>
    <row r="93" spans="1:20">
      <c r="A93" s="8" t="str">
        <f t="shared" si="1"/>
        <v/>
      </c>
      <c r="B93" s="10"/>
      <c r="C93" s="8" t="str">
        <f>IF(B93="","",IFERROR(INDEX(风险登记册!$B$9:$B$108,MATCH(B93,风险登记册!$A$9:$A$108,0)),""))</f>
        <v/>
      </c>
      <c r="D93" s="10"/>
      <c r="E93" s="10"/>
      <c r="F93" s="10"/>
      <c r="G93" s="10"/>
      <c r="H93" s="10"/>
      <c r="I93" s="11"/>
      <c r="J93" s="11"/>
      <c r="K93" s="11"/>
      <c r="L93" s="10"/>
      <c r="M93" s="46"/>
      <c r="N93" s="10"/>
      <c r="O93" s="47"/>
      <c r="P93" s="10"/>
      <c r="Q93" s="8" t="str">
        <f>IF(B93="","",IF(AND(J93&lt;项目驾驶舱!$B$3,P93&lt;&gt;"已完成"),"是","否"))</f>
        <v/>
      </c>
      <c r="R93" s="10"/>
      <c r="S93" s="10"/>
      <c r="T93" s="10"/>
    </row>
    <row r="94" spans="1:20">
      <c r="A94" s="8" t="str">
        <f t="shared" si="1"/>
        <v/>
      </c>
      <c r="B94" s="10"/>
      <c r="C94" s="8" t="str">
        <f>IF(B94="","",IFERROR(INDEX(风险登记册!$B$9:$B$108,MATCH(B94,风险登记册!$A$9:$A$108,0)),""))</f>
        <v/>
      </c>
      <c r="D94" s="10"/>
      <c r="E94" s="10"/>
      <c r="F94" s="10"/>
      <c r="G94" s="10"/>
      <c r="H94" s="10"/>
      <c r="I94" s="11"/>
      <c r="J94" s="11"/>
      <c r="K94" s="11"/>
      <c r="L94" s="10"/>
      <c r="M94" s="46"/>
      <c r="N94" s="10"/>
      <c r="O94" s="47"/>
      <c r="P94" s="10"/>
      <c r="Q94" s="8" t="str">
        <f>IF(B94="","",IF(AND(J94&lt;项目驾驶舱!$B$3,P94&lt;&gt;"已完成"),"是","否"))</f>
        <v/>
      </c>
      <c r="R94" s="10"/>
      <c r="S94" s="10"/>
      <c r="T94" s="10"/>
    </row>
    <row r="95" spans="1:20">
      <c r="A95" s="8" t="str">
        <f t="shared" si="1"/>
        <v/>
      </c>
      <c r="B95" s="10"/>
      <c r="C95" s="8" t="str">
        <f>IF(B95="","",IFERROR(INDEX(风险登记册!$B$9:$B$108,MATCH(B95,风险登记册!$A$9:$A$108,0)),""))</f>
        <v/>
      </c>
      <c r="D95" s="10"/>
      <c r="E95" s="10"/>
      <c r="F95" s="10"/>
      <c r="G95" s="10"/>
      <c r="H95" s="10"/>
      <c r="I95" s="11"/>
      <c r="J95" s="11"/>
      <c r="K95" s="11"/>
      <c r="L95" s="10"/>
      <c r="M95" s="46"/>
      <c r="N95" s="10"/>
      <c r="O95" s="47"/>
      <c r="P95" s="10"/>
      <c r="Q95" s="8" t="str">
        <f>IF(B95="","",IF(AND(J95&lt;项目驾驶舱!$B$3,P95&lt;&gt;"已完成"),"是","否"))</f>
        <v/>
      </c>
      <c r="R95" s="10"/>
      <c r="S95" s="10"/>
      <c r="T95" s="10"/>
    </row>
    <row r="96" spans="1:20">
      <c r="A96" s="8" t="str">
        <f t="shared" si="1"/>
        <v/>
      </c>
      <c r="B96" s="10"/>
      <c r="C96" s="8" t="str">
        <f>IF(B96="","",IFERROR(INDEX(风险登记册!$B$9:$B$108,MATCH(B96,风险登记册!$A$9:$A$108,0)),""))</f>
        <v/>
      </c>
      <c r="D96" s="10"/>
      <c r="E96" s="10"/>
      <c r="F96" s="10"/>
      <c r="G96" s="10"/>
      <c r="H96" s="10"/>
      <c r="I96" s="11"/>
      <c r="J96" s="11"/>
      <c r="K96" s="11"/>
      <c r="L96" s="10"/>
      <c r="M96" s="46"/>
      <c r="N96" s="10"/>
      <c r="O96" s="47"/>
      <c r="P96" s="10"/>
      <c r="Q96" s="8" t="str">
        <f>IF(B96="","",IF(AND(J96&lt;项目驾驶舱!$B$3,P96&lt;&gt;"已完成"),"是","否"))</f>
        <v/>
      </c>
      <c r="R96" s="10"/>
      <c r="S96" s="10"/>
      <c r="T96" s="10"/>
    </row>
    <row r="97" spans="1:20">
      <c r="A97" s="8" t="str">
        <f t="shared" si="1"/>
        <v/>
      </c>
      <c r="B97" s="10"/>
      <c r="C97" s="8" t="str">
        <f>IF(B97="","",IFERROR(INDEX(风险登记册!$B$9:$B$108,MATCH(B97,风险登记册!$A$9:$A$108,0)),""))</f>
        <v/>
      </c>
      <c r="D97" s="10"/>
      <c r="E97" s="10"/>
      <c r="F97" s="10"/>
      <c r="G97" s="10"/>
      <c r="H97" s="10"/>
      <c r="I97" s="11"/>
      <c r="J97" s="11"/>
      <c r="K97" s="11"/>
      <c r="L97" s="10"/>
      <c r="M97" s="46"/>
      <c r="N97" s="10"/>
      <c r="O97" s="47"/>
      <c r="P97" s="10"/>
      <c r="Q97" s="8" t="str">
        <f>IF(B97="","",IF(AND(J97&lt;项目驾驶舱!$B$3,P97&lt;&gt;"已完成"),"是","否"))</f>
        <v/>
      </c>
      <c r="R97" s="10"/>
      <c r="S97" s="10"/>
      <c r="T97" s="10"/>
    </row>
    <row r="98" spans="1:20">
      <c r="A98" s="8" t="str">
        <f t="shared" si="1"/>
        <v/>
      </c>
      <c r="B98" s="10"/>
      <c r="C98" s="8" t="str">
        <f>IF(B98="","",IFERROR(INDEX(风险登记册!$B$9:$B$108,MATCH(B98,风险登记册!$A$9:$A$108,0)),""))</f>
        <v/>
      </c>
      <c r="D98" s="10"/>
      <c r="E98" s="10"/>
      <c r="F98" s="10"/>
      <c r="G98" s="10"/>
      <c r="H98" s="10"/>
      <c r="I98" s="11"/>
      <c r="J98" s="11"/>
      <c r="K98" s="11"/>
      <c r="L98" s="10"/>
      <c r="M98" s="46"/>
      <c r="N98" s="10"/>
      <c r="O98" s="47"/>
      <c r="P98" s="10"/>
      <c r="Q98" s="8" t="str">
        <f>IF(B98="","",IF(AND(J98&lt;项目驾驶舱!$B$3,P98&lt;&gt;"已完成"),"是","否"))</f>
        <v/>
      </c>
      <c r="R98" s="10"/>
      <c r="S98" s="10"/>
      <c r="T98" s="10"/>
    </row>
    <row r="99" spans="1:20">
      <c r="A99" s="8" t="str">
        <f t="shared" si="1"/>
        <v/>
      </c>
      <c r="B99" s="10"/>
      <c r="C99" s="8" t="str">
        <f>IF(B99="","",IFERROR(INDEX(风险登记册!$B$9:$B$108,MATCH(B99,风险登记册!$A$9:$A$108,0)),""))</f>
        <v/>
      </c>
      <c r="D99" s="10"/>
      <c r="E99" s="10"/>
      <c r="F99" s="10"/>
      <c r="G99" s="10"/>
      <c r="H99" s="10"/>
      <c r="I99" s="11"/>
      <c r="J99" s="11"/>
      <c r="K99" s="11"/>
      <c r="L99" s="10"/>
      <c r="M99" s="46"/>
      <c r="N99" s="10"/>
      <c r="O99" s="47"/>
      <c r="P99" s="10"/>
      <c r="Q99" s="8" t="str">
        <f>IF(B99="","",IF(AND(J99&lt;项目驾驶舱!$B$3,P99&lt;&gt;"已完成"),"是","否"))</f>
        <v/>
      </c>
      <c r="R99" s="10"/>
      <c r="S99" s="10"/>
      <c r="T99" s="10"/>
    </row>
    <row r="100" spans="1:20">
      <c r="A100" s="8" t="str">
        <f t="shared" si="1"/>
        <v/>
      </c>
      <c r="B100" s="10"/>
      <c r="C100" s="8" t="str">
        <f>IF(B100="","",IFERROR(INDEX(风险登记册!$B$9:$B$108,MATCH(B100,风险登记册!$A$9:$A$108,0)),""))</f>
        <v/>
      </c>
      <c r="D100" s="10"/>
      <c r="E100" s="10"/>
      <c r="F100" s="10"/>
      <c r="G100" s="10"/>
      <c r="H100" s="10"/>
      <c r="I100" s="11"/>
      <c r="J100" s="11"/>
      <c r="K100" s="11"/>
      <c r="L100" s="10"/>
      <c r="M100" s="46"/>
      <c r="N100" s="10"/>
      <c r="O100" s="47"/>
      <c r="P100" s="10"/>
      <c r="Q100" s="8" t="str">
        <f>IF(B100="","",IF(AND(J100&lt;项目驾驶舱!$B$3,P100&lt;&gt;"已完成"),"是","否"))</f>
        <v/>
      </c>
      <c r="R100" s="10"/>
      <c r="S100" s="10"/>
      <c r="T100" s="10"/>
    </row>
    <row r="101" spans="1:20">
      <c r="A101" s="8" t="str">
        <f t="shared" si="1"/>
        <v/>
      </c>
      <c r="B101" s="10"/>
      <c r="C101" s="8" t="str">
        <f>IF(B101="","",IFERROR(INDEX(风险登记册!$B$9:$B$108,MATCH(B101,风险登记册!$A$9:$A$108,0)),""))</f>
        <v/>
      </c>
      <c r="D101" s="10"/>
      <c r="E101" s="10"/>
      <c r="F101" s="10"/>
      <c r="G101" s="10"/>
      <c r="H101" s="10"/>
      <c r="I101" s="11"/>
      <c r="J101" s="11"/>
      <c r="K101" s="11"/>
      <c r="L101" s="10"/>
      <c r="M101" s="46"/>
      <c r="N101" s="10"/>
      <c r="O101" s="47"/>
      <c r="P101" s="10"/>
      <c r="Q101" s="8" t="str">
        <f>IF(B101="","",IF(AND(J101&lt;项目驾驶舱!$B$3,P101&lt;&gt;"已完成"),"是","否"))</f>
        <v/>
      </c>
      <c r="R101" s="10"/>
      <c r="S101" s="10"/>
      <c r="T101" s="10"/>
    </row>
    <row r="102" spans="1:20">
      <c r="A102" s="8" t="str">
        <f t="shared" si="1"/>
        <v/>
      </c>
      <c r="B102" s="10"/>
      <c r="C102" s="8" t="str">
        <f>IF(B102="","",IFERROR(INDEX(风险登记册!$B$9:$B$108,MATCH(B102,风险登记册!$A$9:$A$108,0)),""))</f>
        <v/>
      </c>
      <c r="D102" s="10"/>
      <c r="E102" s="10"/>
      <c r="F102" s="10"/>
      <c r="G102" s="10"/>
      <c r="H102" s="10"/>
      <c r="I102" s="11"/>
      <c r="J102" s="11"/>
      <c r="K102" s="11"/>
      <c r="L102" s="10"/>
      <c r="M102" s="46"/>
      <c r="N102" s="10"/>
      <c r="O102" s="47"/>
      <c r="P102" s="10"/>
      <c r="Q102" s="8" t="str">
        <f>IF(B102="","",IF(AND(J102&lt;项目驾驶舱!$B$3,P102&lt;&gt;"已完成"),"是","否"))</f>
        <v/>
      </c>
      <c r="R102" s="10"/>
      <c r="S102" s="10"/>
      <c r="T102" s="10"/>
    </row>
    <row r="103" spans="1:20">
      <c r="A103" s="8" t="str">
        <f t="shared" si="1"/>
        <v/>
      </c>
      <c r="B103" s="10"/>
      <c r="C103" s="8" t="str">
        <f>IF(B103="","",IFERROR(INDEX(风险登记册!$B$9:$B$108,MATCH(B103,风险登记册!$A$9:$A$108,0)),""))</f>
        <v/>
      </c>
      <c r="D103" s="10"/>
      <c r="E103" s="10"/>
      <c r="F103" s="10"/>
      <c r="G103" s="10"/>
      <c r="H103" s="10"/>
      <c r="I103" s="11"/>
      <c r="J103" s="11"/>
      <c r="K103" s="11"/>
      <c r="L103" s="10"/>
      <c r="M103" s="46"/>
      <c r="N103" s="10"/>
      <c r="O103" s="47"/>
      <c r="P103" s="10"/>
      <c r="Q103" s="8" t="str">
        <f>IF(B103="","",IF(AND(J103&lt;项目驾驶舱!$B$3,P103&lt;&gt;"已完成"),"是","否"))</f>
        <v/>
      </c>
      <c r="R103" s="10"/>
      <c r="S103" s="10"/>
      <c r="T103" s="10"/>
    </row>
    <row r="104" spans="1:20">
      <c r="A104" s="8" t="str">
        <f t="shared" si="1"/>
        <v/>
      </c>
      <c r="B104" s="10"/>
      <c r="C104" s="8" t="str">
        <f>IF(B104="","",IFERROR(INDEX(风险登记册!$B$9:$B$108,MATCH(B104,风险登记册!$A$9:$A$108,0)),""))</f>
        <v/>
      </c>
      <c r="D104" s="10"/>
      <c r="E104" s="10"/>
      <c r="F104" s="10"/>
      <c r="G104" s="10"/>
      <c r="H104" s="10"/>
      <c r="I104" s="11"/>
      <c r="J104" s="11"/>
      <c r="K104" s="11"/>
      <c r="L104" s="10"/>
      <c r="M104" s="46"/>
      <c r="N104" s="10"/>
      <c r="O104" s="47"/>
      <c r="P104" s="10"/>
      <c r="Q104" s="8" t="str">
        <f>IF(B104="","",IF(AND(J104&lt;项目驾驶舱!$B$3,P104&lt;&gt;"已完成"),"是","否"))</f>
        <v/>
      </c>
      <c r="R104" s="10"/>
      <c r="S104" s="10"/>
      <c r="T104" s="10"/>
    </row>
  </sheetData>
  <autoFilter xmlns:etc="http://www.wps.cn/officeDocument/2017/etCustomData" ref="A4:T104" etc:filterBottomFollowUsedRange="0">
    <extLst/>
  </autoFilter>
  <mergeCells count="2">
    <mergeCell ref="A1:T1"/>
    <mergeCell ref="A2:T2"/>
  </mergeCells>
  <conditionalFormatting sqref="A5:T104">
    <cfRule type="expression" dxfId="11" priority="1">
      <formula>$Q5="是"</formula>
    </cfRule>
  </conditionalFormatting>
  <dataValidations count="4">
    <dataValidation type="list" allowBlank="1" sqref="D5:D104">
      <formula1>"规避,减轻,转移,接受,上报,开拓,提高,分享"</formula1>
    </dataValidation>
    <dataValidation type="list" allowBlank="1" sqref="F5:F104">
      <formula1>"预防,监测,应急,备用"</formula1>
    </dataValidation>
    <dataValidation type="list" allowBlank="1" sqref="P5:P104">
      <formula1>"未开始,进行中,已完成,暂停"</formula1>
    </dataValidation>
    <dataValidation type="list" allowBlank="1" sqref="R5:R104">
      <formula1>"有效,部分有效,无效,待验证"</formula1>
    </dataValidation>
  </dataValidations>
  <pageMargins left="0.75" right="0.75" top="1" bottom="1" header="0.5" footer="0.5"/>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showGridLines="0" workbookViewId="0">
      <selection activeCell="A1" sqref="A1:K1"/>
    </sheetView>
  </sheetViews>
  <sheetFormatPr defaultColWidth="9" defaultRowHeight="16.8"/>
  <cols>
    <col min="1" max="1" width="11" style="1" customWidth="1"/>
    <col min="2" max="2" width="25" style="1" customWidth="1"/>
    <col min="3" max="3" width="12" style="1" customWidth="1"/>
    <col min="4" max="4" width="36" style="1" customWidth="1"/>
    <col min="5" max="5" width="15" style="1" customWidth="1"/>
    <col min="6" max="6" width="13" style="1" customWidth="1"/>
    <col min="7" max="7" width="11" style="1" customWidth="1"/>
    <col min="8" max="8" width="13" style="1" customWidth="1"/>
    <col min="9" max="9" width="11" style="1" customWidth="1"/>
    <col min="10" max="10" width="10" style="1" customWidth="1"/>
    <col min="11" max="11" width="26" style="1" customWidth="1"/>
  </cols>
  <sheetData>
    <row r="1" ht="34" customHeight="1" spans="1:11">
      <c r="A1" s="32" t="s">
        <v>703</v>
      </c>
      <c r="B1" s="3"/>
      <c r="C1" s="3"/>
      <c r="D1" s="3"/>
      <c r="E1" s="3"/>
      <c r="F1" s="3"/>
      <c r="G1" s="3"/>
      <c r="H1" s="3"/>
      <c r="I1" s="3"/>
      <c r="J1" s="3"/>
      <c r="K1" s="4"/>
    </row>
    <row r="3" ht="30" customHeight="1" spans="1:11">
      <c r="A3" s="37" t="s">
        <v>704</v>
      </c>
      <c r="B3" s="37" t="s">
        <v>705</v>
      </c>
      <c r="C3" s="37" t="s">
        <v>23</v>
      </c>
      <c r="D3" s="37" t="s">
        <v>706</v>
      </c>
      <c r="E3" s="37" t="s">
        <v>707</v>
      </c>
      <c r="F3" s="37" t="s">
        <v>708</v>
      </c>
      <c r="G3" s="37" t="s">
        <v>21</v>
      </c>
      <c r="H3" s="37" t="s">
        <v>709</v>
      </c>
      <c r="I3" s="37" t="s">
        <v>710</v>
      </c>
      <c r="J3" s="37" t="s">
        <v>711</v>
      </c>
      <c r="K3" s="37" t="s">
        <v>712</v>
      </c>
    </row>
    <row r="4" ht="17" customHeight="1" spans="1:11">
      <c r="A4" s="34" t="s">
        <v>713</v>
      </c>
      <c r="B4" s="34" t="s">
        <v>714</v>
      </c>
      <c r="C4" s="34" t="s">
        <v>25</v>
      </c>
      <c r="D4" s="34" t="s">
        <v>715</v>
      </c>
      <c r="E4" s="34" t="s">
        <v>75</v>
      </c>
      <c r="F4" s="38">
        <v>46241</v>
      </c>
      <c r="G4" s="34" t="s">
        <v>5</v>
      </c>
      <c r="H4" s="38"/>
      <c r="I4" s="34">
        <f>IF(H4&lt;&gt;"",H4-F4,MAX(0,项目驾驶舱!$B$3-F4))</f>
        <v>35</v>
      </c>
      <c r="J4" s="34" t="str">
        <f>IF(G4="已完成","绿",IF(F4&lt;项目驾驶舱!$B$3,"红",IF(F4&lt;=项目驾驶舱!$B$3+7,"黄","绿")))</f>
        <v>红</v>
      </c>
      <c r="K4" s="34" t="s">
        <v>79</v>
      </c>
    </row>
    <row r="5" ht="17" customHeight="1" spans="1:11">
      <c r="A5" s="34" t="s">
        <v>716</v>
      </c>
      <c r="B5" s="34" t="s">
        <v>717</v>
      </c>
      <c r="C5" s="34" t="s">
        <v>25</v>
      </c>
      <c r="D5" s="34" t="s">
        <v>718</v>
      </c>
      <c r="E5" s="34" t="s">
        <v>719</v>
      </c>
      <c r="F5" s="38">
        <v>46262</v>
      </c>
      <c r="G5" s="34" t="s">
        <v>5</v>
      </c>
      <c r="H5" s="38"/>
      <c r="I5" s="34">
        <f>IF(H5&lt;&gt;"",H5-F5,MAX(0,项目驾驶舱!$B$3-F5))</f>
        <v>14</v>
      </c>
      <c r="J5" s="34" t="str">
        <f>IF(G5="已完成","绿",IF(F5&lt;项目驾驶舱!$B$3,"红",IF(F5&lt;=项目驾驶舱!$B$3+7,"黄","绿")))</f>
        <v>红</v>
      </c>
      <c r="K5" s="34" t="s">
        <v>79</v>
      </c>
    </row>
    <row r="6" ht="17" customHeight="1" spans="1:11">
      <c r="A6" s="34" t="s">
        <v>720</v>
      </c>
      <c r="B6" s="34" t="s">
        <v>721</v>
      </c>
      <c r="C6" s="34" t="s">
        <v>25</v>
      </c>
      <c r="D6" s="34" t="s">
        <v>722</v>
      </c>
      <c r="E6" s="34" t="s">
        <v>78</v>
      </c>
      <c r="F6" s="38">
        <v>46318</v>
      </c>
      <c r="G6" s="34" t="s">
        <v>5</v>
      </c>
      <c r="H6" s="38"/>
      <c r="I6" s="34">
        <f>IF(H6&lt;&gt;"",H6-F6,MAX(0,项目驾驶舱!$B$3-F6))</f>
        <v>0</v>
      </c>
      <c r="J6" s="34" t="str">
        <f>IF(G6="已完成","绿",IF(F6&lt;项目驾驶舱!$B$3,"红",IF(F6&lt;=项目驾驶舱!$B$3+7,"黄","绿")))</f>
        <v>绿</v>
      </c>
      <c r="K6" s="34" t="s">
        <v>79</v>
      </c>
    </row>
    <row r="7" ht="17" customHeight="1" spans="1:11">
      <c r="A7" s="34" t="s">
        <v>723</v>
      </c>
      <c r="B7" s="34" t="s">
        <v>724</v>
      </c>
      <c r="C7" s="34" t="s">
        <v>25</v>
      </c>
      <c r="D7" s="34" t="s">
        <v>725</v>
      </c>
      <c r="E7" s="34" t="s">
        <v>508</v>
      </c>
      <c r="F7" s="38">
        <v>46261</v>
      </c>
      <c r="G7" s="34" t="s">
        <v>5</v>
      </c>
      <c r="H7" s="38"/>
      <c r="I7" s="34">
        <f>IF(H7&lt;&gt;"",H7-F7,MAX(0,项目驾驶舱!$B$3-F7))</f>
        <v>15</v>
      </c>
      <c r="J7" s="34" t="str">
        <f>IF(G7="已完成","绿",IF(F7&lt;项目驾驶舱!$B$3,"红",IF(F7&lt;=项目驾驶舱!$B$3+7,"黄","绿")))</f>
        <v>红</v>
      </c>
      <c r="K7" s="34" t="s">
        <v>79</v>
      </c>
    </row>
    <row r="8" ht="17" customHeight="1" spans="1:11">
      <c r="A8" s="34" t="s">
        <v>726</v>
      </c>
      <c r="B8" s="34" t="s">
        <v>727</v>
      </c>
      <c r="C8" s="34" t="s">
        <v>26</v>
      </c>
      <c r="D8" s="34" t="s">
        <v>728</v>
      </c>
      <c r="E8" s="34" t="s">
        <v>75</v>
      </c>
      <c r="F8" s="38">
        <v>46241</v>
      </c>
      <c r="G8" s="34" t="s">
        <v>5</v>
      </c>
      <c r="H8" s="38"/>
      <c r="I8" s="34">
        <f>IF(H8&lt;&gt;"",H8-F8,MAX(0,项目驾驶舱!$B$3-F8))</f>
        <v>35</v>
      </c>
      <c r="J8" s="34" t="str">
        <f>IF(G8="已完成","绿",IF(F8&lt;项目驾驶舱!$B$3,"红",IF(F8&lt;=项目驾驶舱!$B$3+7,"黄","绿")))</f>
        <v>红</v>
      </c>
      <c r="K8" s="34" t="s">
        <v>79</v>
      </c>
    </row>
    <row r="9" ht="17" customHeight="1" spans="1:11">
      <c r="A9" s="34" t="s">
        <v>729</v>
      </c>
      <c r="B9" s="34" t="s">
        <v>730</v>
      </c>
      <c r="C9" s="34" t="s">
        <v>26</v>
      </c>
      <c r="D9" s="34" t="s">
        <v>731</v>
      </c>
      <c r="E9" s="34" t="s">
        <v>719</v>
      </c>
      <c r="F9" s="38">
        <v>46339</v>
      </c>
      <c r="G9" s="34" t="s">
        <v>5</v>
      </c>
      <c r="H9" s="38"/>
      <c r="I9" s="34">
        <f>IF(H9&lt;&gt;"",H9-F9,MAX(0,项目驾驶舱!$B$3-F9))</f>
        <v>0</v>
      </c>
      <c r="J9" s="34" t="str">
        <f>IF(G9="已完成","绿",IF(F9&lt;项目驾驶舱!$B$3,"红",IF(F9&lt;=项目驾驶舱!$B$3+7,"黄","绿")))</f>
        <v>绿</v>
      </c>
      <c r="K9" s="34" t="s">
        <v>79</v>
      </c>
    </row>
    <row r="10" ht="17" customHeight="1" spans="1:11">
      <c r="A10" s="34" t="s">
        <v>732</v>
      </c>
      <c r="B10" s="34" t="s">
        <v>733</v>
      </c>
      <c r="C10" s="34" t="s">
        <v>26</v>
      </c>
      <c r="D10" s="34" t="s">
        <v>734</v>
      </c>
      <c r="E10" s="34" t="s">
        <v>78</v>
      </c>
      <c r="F10" s="38">
        <v>46353</v>
      </c>
      <c r="G10" s="34" t="s">
        <v>5</v>
      </c>
      <c r="H10" s="38"/>
      <c r="I10" s="34">
        <f>IF(H10&lt;&gt;"",H10-F10,MAX(0,项目驾驶舱!$B$3-F10))</f>
        <v>0</v>
      </c>
      <c r="J10" s="34" t="str">
        <f>IF(G10="已完成","绿",IF(F10&lt;项目驾驶舱!$B$3,"红",IF(F10&lt;=项目驾驶舱!$B$3+7,"黄","绿")))</f>
        <v>绿</v>
      </c>
      <c r="K10" s="34" t="s">
        <v>79</v>
      </c>
    </row>
    <row r="11" ht="17" customHeight="1" spans="1:11">
      <c r="A11" s="34" t="s">
        <v>735</v>
      </c>
      <c r="B11" s="34" t="s">
        <v>736</v>
      </c>
      <c r="C11" s="34" t="s">
        <v>26</v>
      </c>
      <c r="D11" s="34" t="s">
        <v>725</v>
      </c>
      <c r="E11" s="34" t="s">
        <v>508</v>
      </c>
      <c r="F11" s="38">
        <v>46261</v>
      </c>
      <c r="G11" s="34" t="s">
        <v>5</v>
      </c>
      <c r="H11" s="38"/>
      <c r="I11" s="34">
        <f>IF(H11&lt;&gt;"",H11-F11,MAX(0,项目驾驶舱!$B$3-F11))</f>
        <v>15</v>
      </c>
      <c r="J11" s="34" t="str">
        <f>IF(G11="已完成","绿",IF(F11&lt;项目驾驶舱!$B$3,"红",IF(F11&lt;=项目驾驶舱!$B$3+7,"黄","绿")))</f>
        <v>红</v>
      </c>
      <c r="K11" s="34" t="s">
        <v>79</v>
      </c>
    </row>
    <row r="12" ht="17" customHeight="1" spans="1:11">
      <c r="A12" s="34" t="s">
        <v>737</v>
      </c>
      <c r="B12" s="34" t="s">
        <v>738</v>
      </c>
      <c r="C12" s="34" t="s">
        <v>739</v>
      </c>
      <c r="D12" s="34" t="s">
        <v>740</v>
      </c>
      <c r="E12" s="34" t="s">
        <v>741</v>
      </c>
      <c r="F12" s="38">
        <v>46346</v>
      </c>
      <c r="G12" s="34" t="s">
        <v>5</v>
      </c>
      <c r="H12" s="38"/>
      <c r="I12" s="34">
        <f>IF(H12&lt;&gt;"",H12-F12,MAX(0,项目驾驶舱!$B$3-F12))</f>
        <v>0</v>
      </c>
      <c r="J12" s="34" t="str">
        <f>IF(G12="已完成","绿",IF(F12&lt;项目驾驶舱!$B$3,"红",IF(F12&lt;=项目驾驶舱!$B$3+7,"黄","绿")))</f>
        <v>绿</v>
      </c>
      <c r="K12" s="34" t="s">
        <v>79</v>
      </c>
    </row>
    <row r="13" ht="17" customHeight="1" spans="1:11">
      <c r="A13" s="34" t="s">
        <v>742</v>
      </c>
      <c r="B13" s="34" t="s">
        <v>743</v>
      </c>
      <c r="C13" s="34" t="s">
        <v>739</v>
      </c>
      <c r="D13" s="34" t="s">
        <v>744</v>
      </c>
      <c r="E13" s="34" t="s">
        <v>508</v>
      </c>
      <c r="F13" s="38">
        <v>46356</v>
      </c>
      <c r="G13" s="34" t="s">
        <v>5</v>
      </c>
      <c r="H13" s="38"/>
      <c r="I13" s="34">
        <f>IF(H13&lt;&gt;"",H13-F13,MAX(0,项目驾驶舱!$B$3-F13))</f>
        <v>0</v>
      </c>
      <c r="J13" s="34" t="str">
        <f>IF(G13="已完成","绿",IF(F13&lt;项目驾驶舱!$B$3,"红",IF(F13&lt;=项目驾驶舱!$B$3+7,"黄","绿")))</f>
        <v>绿</v>
      </c>
      <c r="K13" s="34" t="s">
        <v>79</v>
      </c>
    </row>
    <row r="14" spans="1:11">
      <c r="A14" s="39"/>
      <c r="B14" s="39"/>
      <c r="C14" s="39"/>
      <c r="D14" s="39"/>
      <c r="E14" s="39"/>
      <c r="F14" s="39"/>
      <c r="G14" s="39"/>
      <c r="H14" s="39"/>
      <c r="I14" s="39"/>
      <c r="J14" s="39"/>
      <c r="K14" s="39"/>
    </row>
    <row r="15" spans="1:11">
      <c r="A15" s="39"/>
      <c r="B15" s="39"/>
      <c r="C15" s="39"/>
      <c r="D15" s="39"/>
      <c r="E15" s="39"/>
      <c r="F15" s="39"/>
      <c r="G15" s="39"/>
      <c r="H15" s="39"/>
      <c r="I15" s="39"/>
      <c r="J15" s="39"/>
      <c r="K15" s="39"/>
    </row>
    <row r="16" spans="1:11">
      <c r="A16" s="39"/>
      <c r="B16" s="39"/>
      <c r="C16" s="39"/>
      <c r="D16" s="39"/>
      <c r="E16" s="39"/>
      <c r="F16" s="39"/>
      <c r="G16" s="39"/>
      <c r="H16" s="39"/>
      <c r="I16" s="39"/>
      <c r="J16" s="39"/>
      <c r="K16" s="39"/>
    </row>
    <row r="17" spans="1:11">
      <c r="A17" s="39"/>
      <c r="B17" s="39"/>
      <c r="C17" s="39"/>
      <c r="D17" s="39"/>
      <c r="E17" s="39"/>
      <c r="F17" s="39"/>
      <c r="G17" s="39"/>
      <c r="H17" s="39"/>
      <c r="I17" s="39"/>
      <c r="J17" s="39"/>
      <c r="K17" s="39"/>
    </row>
    <row r="18" spans="1:11">
      <c r="A18" s="39"/>
      <c r="B18" s="39"/>
      <c r="C18" s="39"/>
      <c r="D18" s="39"/>
      <c r="E18" s="39"/>
      <c r="F18" s="39"/>
      <c r="G18" s="39"/>
      <c r="H18" s="39"/>
      <c r="I18" s="39"/>
      <c r="J18" s="39"/>
      <c r="K18" s="39"/>
    </row>
    <row r="19" spans="1:11">
      <c r="A19" s="39"/>
      <c r="B19" s="39"/>
      <c r="C19" s="39"/>
      <c r="D19" s="39"/>
      <c r="E19" s="39"/>
      <c r="F19" s="39"/>
      <c r="G19" s="39"/>
      <c r="H19" s="39"/>
      <c r="I19" s="39"/>
      <c r="J19" s="39"/>
      <c r="K19" s="39"/>
    </row>
    <row r="20" spans="1:11">
      <c r="A20" s="39"/>
      <c r="B20" s="39"/>
      <c r="C20" s="39"/>
      <c r="D20" s="39"/>
      <c r="E20" s="39"/>
      <c r="F20" s="39"/>
      <c r="G20" s="39"/>
      <c r="H20" s="39"/>
      <c r="I20" s="39"/>
      <c r="J20" s="39"/>
      <c r="K20" s="39"/>
    </row>
    <row r="21" spans="1:11">
      <c r="A21" s="39"/>
      <c r="B21" s="39"/>
      <c r="C21" s="39"/>
      <c r="D21" s="39"/>
      <c r="E21" s="39"/>
      <c r="F21" s="39"/>
      <c r="G21" s="39"/>
      <c r="H21" s="39"/>
      <c r="I21" s="39"/>
      <c r="J21" s="39"/>
      <c r="K21" s="39"/>
    </row>
    <row r="22" spans="1:11">
      <c r="A22" s="39"/>
      <c r="B22" s="39"/>
      <c r="C22" s="39"/>
      <c r="D22" s="39"/>
      <c r="E22" s="39"/>
      <c r="F22" s="39"/>
      <c r="G22" s="39"/>
      <c r="H22" s="39"/>
      <c r="I22" s="39"/>
      <c r="J22" s="39"/>
      <c r="K22" s="39"/>
    </row>
    <row r="23" spans="1:11">
      <c r="A23" s="39"/>
      <c r="B23" s="39"/>
      <c r="C23" s="39"/>
      <c r="D23" s="39"/>
      <c r="E23" s="39"/>
      <c r="F23" s="39"/>
      <c r="G23" s="39"/>
      <c r="H23" s="39"/>
      <c r="I23" s="39"/>
      <c r="J23" s="39"/>
      <c r="K23" s="39"/>
    </row>
  </sheetData>
  <mergeCells count="1">
    <mergeCell ref="A1:K1"/>
  </mergeCells>
  <conditionalFormatting sqref="G4:G2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conditionalFormatting sqref="J4:J23">
    <cfRule type="containsText" dxfId="4" priority="5" operator="between" text="红">
      <formula>NOT(ISERROR(SEARCH("红",J4)))</formula>
    </cfRule>
    <cfRule type="containsText" dxfId="1" priority="6" operator="between" text="黄">
      <formula>NOT(ISERROR(SEARCH("黄",J4)))</formula>
    </cfRule>
    <cfRule type="containsText" dxfId="0" priority="7" operator="between" text="绿">
      <formula>NOT(ISERROR(SEARCH("绿",J4)))</formula>
    </cfRule>
  </conditionalFormatting>
  <dataValidations count="1">
    <dataValidation type="list" sqref="G4:G23">
      <formula1>"未开始,进行中,已完成,暂停"</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610"/>
  <sheetViews>
    <sheetView showGridLines="0" workbookViewId="0">
      <pane ySplit="4" topLeftCell="A5" activePane="bottomLeft" state="frozen"/>
      <selection/>
      <selection pane="bottomLeft" activeCell="D7" sqref="D7"/>
    </sheetView>
  </sheetViews>
  <sheetFormatPr defaultColWidth="9" defaultRowHeight="16.8"/>
  <cols>
    <col min="1" max="1" width="10" style="1" customWidth="1"/>
    <col min="2" max="2" width="11" style="1" customWidth="1"/>
    <col min="3" max="3" width="28" style="1" customWidth="1"/>
    <col min="4" max="4" width="13" style="1" customWidth="1"/>
    <col min="5" max="5" width="62.5" style="1" customWidth="1"/>
    <col min="6" max="6" width="14" style="1" customWidth="1"/>
    <col min="7" max="11" width="13" style="1" customWidth="1"/>
    <col min="12" max="12" width="11" style="1" customWidth="1"/>
    <col min="13" max="13" width="28" style="1" customWidth="1"/>
    <col min="14" max="14" width="32" style="1" customWidth="1"/>
    <col min="15" max="15" width="13" style="1" hidden="1" customWidth="1"/>
  </cols>
  <sheetData>
    <row r="1" ht="28" customHeight="1" spans="1:15">
      <c r="A1" s="2" t="s">
        <v>745</v>
      </c>
      <c r="B1" s="3"/>
      <c r="C1" s="3"/>
      <c r="D1" s="3"/>
      <c r="E1" s="3"/>
      <c r="F1" s="3"/>
      <c r="G1" s="3"/>
      <c r="H1" s="3"/>
      <c r="I1" s="3"/>
      <c r="J1" s="3"/>
      <c r="K1" s="3"/>
      <c r="L1" s="4"/>
    </row>
    <row r="2" ht="22" customHeight="1" spans="1:15">
      <c r="A2" s="5" t="s">
        <v>746</v>
      </c>
      <c r="B2" s="3"/>
      <c r="C2" s="3"/>
      <c r="D2" s="3"/>
      <c r="E2" s="3"/>
      <c r="F2" s="3"/>
      <c r="G2" s="3"/>
      <c r="H2" s="3"/>
      <c r="I2" s="3"/>
      <c r="J2" s="3"/>
      <c r="K2" s="3"/>
      <c r="L2" s="4"/>
    </row>
    <row r="3" spans="1:15">
      <c r="A3" s="6"/>
      <c r="B3" s="6"/>
      <c r="C3" s="6"/>
      <c r="D3" s="6"/>
      <c r="E3" s="6"/>
      <c r="F3" s="6"/>
      <c r="G3" s="6"/>
      <c r="H3" s="6"/>
      <c r="I3" s="6"/>
      <c r="J3" s="6"/>
      <c r="K3" s="6"/>
      <c r="L3" s="6"/>
    </row>
    <row r="4" ht="28" customHeight="1" spans="1:15">
      <c r="A4" s="7" t="s">
        <v>747</v>
      </c>
      <c r="B4" s="7" t="s">
        <v>748</v>
      </c>
      <c r="C4" s="7" t="s">
        <v>749</v>
      </c>
      <c r="D4" s="7" t="s">
        <v>750</v>
      </c>
      <c r="E4" s="7" t="s">
        <v>751</v>
      </c>
      <c r="F4" s="7" t="s">
        <v>752</v>
      </c>
      <c r="G4" s="7" t="s">
        <v>753</v>
      </c>
      <c r="H4" s="7" t="s">
        <v>754</v>
      </c>
      <c r="I4" s="7" t="s">
        <v>755</v>
      </c>
      <c r="J4" s="7" t="s">
        <v>756</v>
      </c>
      <c r="K4" s="7" t="s">
        <v>757</v>
      </c>
      <c r="L4" s="7" t="s">
        <v>758</v>
      </c>
      <c r="O4" s="6" t="s">
        <v>759</v>
      </c>
    </row>
    <row r="5" ht="90" customHeight="1" spans="1:15">
      <c r="A5" s="8">
        <v>1</v>
      </c>
      <c r="B5" s="25">
        <v>46195</v>
      </c>
      <c r="C5" s="25">
        <v>46199</v>
      </c>
      <c r="D5" s="10"/>
      <c r="E5" s="8" t="s">
        <v>760</v>
      </c>
      <c r="F5" s="8">
        <v>0</v>
      </c>
      <c r="G5" s="8">
        <v>0</v>
      </c>
      <c r="H5" s="24" t="s">
        <v>761</v>
      </c>
      <c r="I5" s="8">
        <v>0</v>
      </c>
      <c r="J5" s="8">
        <v>0</v>
      </c>
      <c r="K5" s="8" t="s">
        <v>762</v>
      </c>
      <c r="L5" s="10"/>
      <c r="O5" s="6" t="s">
        <v>763</v>
      </c>
    </row>
    <row r="6" ht="105" customHeight="1" spans="1:15">
      <c r="A6" s="8">
        <v>2</v>
      </c>
      <c r="B6" s="25">
        <v>46202</v>
      </c>
      <c r="C6" s="25">
        <v>46206</v>
      </c>
      <c r="D6" s="10" t="s">
        <v>764</v>
      </c>
      <c r="E6" s="8" t="s">
        <v>765</v>
      </c>
      <c r="F6" s="8">
        <v>42</v>
      </c>
      <c r="G6" s="8">
        <v>42</v>
      </c>
      <c r="H6" s="24">
        <v>1</v>
      </c>
      <c r="I6" s="8">
        <v>0</v>
      </c>
      <c r="J6" s="8">
        <v>0</v>
      </c>
      <c r="K6" s="8" t="s">
        <v>762</v>
      </c>
      <c r="L6" s="10" t="s">
        <v>766</v>
      </c>
      <c r="O6" s="6" t="s">
        <v>767</v>
      </c>
    </row>
    <row r="7" ht="120" customHeight="1" spans="1:15">
      <c r="A7" s="8">
        <v>3</v>
      </c>
      <c r="B7" s="25">
        <v>46209</v>
      </c>
      <c r="C7" s="25">
        <v>46213</v>
      </c>
      <c r="D7" s="10"/>
      <c r="E7" s="8" t="s">
        <v>768</v>
      </c>
      <c r="F7" s="8">
        <v>29</v>
      </c>
      <c r="G7" s="8">
        <v>29</v>
      </c>
      <c r="H7" s="24">
        <v>1</v>
      </c>
      <c r="I7" s="8">
        <v>0</v>
      </c>
      <c r="J7" s="8">
        <v>0</v>
      </c>
      <c r="K7" s="8" t="s">
        <v>762</v>
      </c>
      <c r="L7" s="10"/>
      <c r="O7" s="6" t="s">
        <v>769</v>
      </c>
    </row>
    <row r="8" ht="120" customHeight="1" spans="1:15">
      <c r="A8" s="8">
        <v>4</v>
      </c>
      <c r="B8" s="25">
        <v>46216</v>
      </c>
      <c r="C8" s="25">
        <v>46220</v>
      </c>
      <c r="D8" s="10"/>
      <c r="E8" s="8" t="s">
        <v>770</v>
      </c>
      <c r="F8" s="8">
        <v>5</v>
      </c>
      <c r="G8" s="8">
        <v>5</v>
      </c>
      <c r="H8" s="24">
        <v>1</v>
      </c>
      <c r="I8" s="8">
        <v>0</v>
      </c>
      <c r="J8" s="8">
        <v>0</v>
      </c>
      <c r="K8" s="8" t="s">
        <v>762</v>
      </c>
      <c r="L8" s="10"/>
      <c r="O8" s="6" t="s">
        <v>771</v>
      </c>
    </row>
    <row r="9" ht="42" customHeight="1" spans="1:15">
      <c r="A9" s="8">
        <v>5</v>
      </c>
      <c r="B9" s="25">
        <v>46223</v>
      </c>
      <c r="C9" s="25">
        <v>46227</v>
      </c>
      <c r="D9" s="10"/>
      <c r="E9" s="8" t="s">
        <v>772</v>
      </c>
      <c r="F9" s="8">
        <v>75</v>
      </c>
      <c r="G9" s="8">
        <v>68</v>
      </c>
      <c r="H9" s="24">
        <v>0.906666666666667</v>
      </c>
      <c r="I9" s="8">
        <v>7</v>
      </c>
      <c r="J9" s="8">
        <v>0</v>
      </c>
      <c r="K9" s="8" t="s">
        <v>762</v>
      </c>
      <c r="L9" s="10"/>
      <c r="O9" s="6" t="s">
        <v>773</v>
      </c>
    </row>
    <row r="10" ht="120" customHeight="1" spans="1:15">
      <c r="A10" s="8">
        <v>6</v>
      </c>
      <c r="B10" s="25">
        <v>46230</v>
      </c>
      <c r="C10" s="25">
        <v>46234</v>
      </c>
      <c r="D10" s="10"/>
      <c r="E10" s="8" t="s">
        <v>774</v>
      </c>
      <c r="F10" s="8">
        <v>35</v>
      </c>
      <c r="G10" s="8">
        <v>31</v>
      </c>
      <c r="H10" s="24">
        <v>0.885714285714286</v>
      </c>
      <c r="I10" s="8">
        <v>4</v>
      </c>
      <c r="J10" s="8">
        <v>0</v>
      </c>
      <c r="K10" s="8" t="s">
        <v>762</v>
      </c>
      <c r="L10" s="10"/>
      <c r="O10" s="6" t="s">
        <v>775</v>
      </c>
    </row>
    <row r="11" ht="42" customHeight="1" spans="1:15">
      <c r="A11" s="8">
        <v>7</v>
      </c>
      <c r="B11" s="25">
        <v>46237</v>
      </c>
      <c r="C11" s="25">
        <v>46241</v>
      </c>
      <c r="D11" s="10"/>
      <c r="E11" s="8"/>
      <c r="F11" s="8">
        <v>53</v>
      </c>
      <c r="G11" s="8">
        <v>15</v>
      </c>
      <c r="H11" s="24">
        <v>0.283018867924528</v>
      </c>
      <c r="I11" s="8">
        <v>38</v>
      </c>
      <c r="J11" s="8">
        <v>0</v>
      </c>
      <c r="K11" s="8" t="s">
        <v>762</v>
      </c>
      <c r="L11" s="10"/>
      <c r="O11" s="6" t="s">
        <v>776</v>
      </c>
    </row>
    <row r="12" ht="42" customHeight="1" spans="1:15">
      <c r="A12" s="8">
        <v>8</v>
      </c>
      <c r="B12" s="25">
        <v>46244</v>
      </c>
      <c r="C12" s="25">
        <v>46248</v>
      </c>
      <c r="D12" s="10"/>
      <c r="E12" s="8"/>
      <c r="F12" s="8">
        <v>0</v>
      </c>
      <c r="G12" s="8">
        <v>0</v>
      </c>
      <c r="H12" s="24" t="s">
        <v>761</v>
      </c>
      <c r="I12" s="8">
        <v>0</v>
      </c>
      <c r="J12" s="8">
        <v>0</v>
      </c>
      <c r="K12" s="8" t="s">
        <v>762</v>
      </c>
      <c r="L12" s="10"/>
      <c r="O12" s="6" t="s">
        <v>777</v>
      </c>
    </row>
    <row r="13" ht="42" customHeight="1" spans="1:15">
      <c r="A13" s="8">
        <v>9</v>
      </c>
      <c r="B13" s="25">
        <v>46251</v>
      </c>
      <c r="C13" s="25">
        <v>46255</v>
      </c>
      <c r="D13" s="10"/>
      <c r="E13" s="8" t="s">
        <v>778</v>
      </c>
      <c r="F13" s="8">
        <v>6</v>
      </c>
      <c r="G13" s="8">
        <v>6</v>
      </c>
      <c r="H13" s="24">
        <v>1</v>
      </c>
      <c r="I13" s="8">
        <v>0</v>
      </c>
      <c r="J13" s="8">
        <v>0</v>
      </c>
      <c r="K13" s="8" t="s">
        <v>762</v>
      </c>
      <c r="L13" s="10"/>
      <c r="O13" s="6" t="s">
        <v>779</v>
      </c>
    </row>
    <row r="14" ht="42" customHeight="1" spans="1:15">
      <c r="A14" s="8">
        <v>10</v>
      </c>
      <c r="B14" s="25">
        <v>46258</v>
      </c>
      <c r="C14" s="25">
        <v>46262</v>
      </c>
      <c r="D14" s="10"/>
      <c r="E14" s="8"/>
      <c r="F14" s="8">
        <v>54</v>
      </c>
      <c r="G14" s="8">
        <v>54</v>
      </c>
      <c r="H14" s="24">
        <v>1</v>
      </c>
      <c r="I14" s="8">
        <v>0</v>
      </c>
      <c r="J14" s="8">
        <v>0</v>
      </c>
      <c r="K14" s="8" t="s">
        <v>762</v>
      </c>
      <c r="L14" s="10"/>
      <c r="O14" s="6" t="s">
        <v>780</v>
      </c>
    </row>
    <row r="15" ht="90" customHeight="1" spans="1:15">
      <c r="A15" s="40">
        <v>11</v>
      </c>
      <c r="B15" s="41">
        <v>46265</v>
      </c>
      <c r="C15" s="41">
        <v>46269</v>
      </c>
      <c r="D15" s="10"/>
      <c r="E15" s="40" t="s">
        <v>781</v>
      </c>
      <c r="F15" s="40">
        <v>43</v>
      </c>
      <c r="G15" s="40">
        <v>43</v>
      </c>
      <c r="H15" s="42">
        <v>1</v>
      </c>
      <c r="I15" s="40">
        <v>0</v>
      </c>
      <c r="J15" s="40">
        <v>0</v>
      </c>
      <c r="K15" s="40" t="s">
        <v>4</v>
      </c>
      <c r="L15" s="10"/>
      <c r="O15" s="6" t="s">
        <v>782</v>
      </c>
    </row>
    <row r="16" ht="75" customHeight="1" spans="1:15">
      <c r="A16" s="8">
        <v>12</v>
      </c>
      <c r="B16" s="25">
        <v>46272</v>
      </c>
      <c r="C16" s="25">
        <v>46276</v>
      </c>
      <c r="D16" s="10"/>
      <c r="E16" s="8" t="s">
        <v>783</v>
      </c>
      <c r="F16" s="8">
        <v>23</v>
      </c>
      <c r="G16" s="8">
        <v>23</v>
      </c>
      <c r="H16" s="24"/>
      <c r="I16" s="8">
        <v>0</v>
      </c>
      <c r="J16" s="8">
        <v>0</v>
      </c>
      <c r="K16" s="8" t="s">
        <v>5</v>
      </c>
      <c r="L16" s="10"/>
      <c r="O16" s="6" t="s">
        <v>784</v>
      </c>
    </row>
    <row r="17" ht="42" customHeight="1" spans="1:15">
      <c r="A17" s="8">
        <v>13</v>
      </c>
      <c r="B17" s="25">
        <v>46279</v>
      </c>
      <c r="C17" s="25">
        <v>46283</v>
      </c>
      <c r="D17" s="10"/>
      <c r="E17" s="8"/>
      <c r="F17" s="8">
        <v>16</v>
      </c>
      <c r="G17" s="8">
        <v>0</v>
      </c>
      <c r="H17" s="24"/>
      <c r="I17" s="8">
        <v>0</v>
      </c>
      <c r="J17" s="8">
        <v>0</v>
      </c>
      <c r="K17" s="8" t="s">
        <v>5</v>
      </c>
      <c r="L17" s="10"/>
      <c r="O17" s="6" t="s">
        <v>785</v>
      </c>
    </row>
    <row r="18" ht="42" customHeight="1" spans="1:15">
      <c r="A18" s="8">
        <v>14</v>
      </c>
      <c r="B18" s="25">
        <v>46286</v>
      </c>
      <c r="C18" s="25">
        <v>46290</v>
      </c>
      <c r="D18" s="10"/>
      <c r="E18" s="8"/>
      <c r="F18" s="8">
        <v>6</v>
      </c>
      <c r="G18" s="8">
        <v>0</v>
      </c>
      <c r="H18" s="24"/>
      <c r="I18" s="8">
        <v>0</v>
      </c>
      <c r="J18" s="8">
        <v>0</v>
      </c>
      <c r="K18" s="8" t="s">
        <v>5</v>
      </c>
      <c r="L18" s="10"/>
      <c r="O18" s="6" t="s">
        <v>786</v>
      </c>
    </row>
    <row r="19" ht="42" customHeight="1" spans="1:15">
      <c r="A19" s="8">
        <v>15</v>
      </c>
      <c r="B19" s="25">
        <v>46293</v>
      </c>
      <c r="C19" s="25">
        <v>46297</v>
      </c>
      <c r="D19" s="10"/>
      <c r="E19" s="8"/>
      <c r="F19" s="8">
        <v>0</v>
      </c>
      <c r="G19" s="8">
        <v>0</v>
      </c>
      <c r="H19" s="24"/>
      <c r="I19" s="8">
        <v>0</v>
      </c>
      <c r="J19" s="8">
        <v>0</v>
      </c>
      <c r="K19" s="8" t="s">
        <v>5</v>
      </c>
      <c r="L19" s="10"/>
      <c r="O19" s="6" t="s">
        <v>787</v>
      </c>
    </row>
    <row r="20" ht="42" customHeight="1" spans="1:15">
      <c r="A20" s="8">
        <v>16</v>
      </c>
      <c r="B20" s="25">
        <v>46300</v>
      </c>
      <c r="C20" s="25">
        <v>46304</v>
      </c>
      <c r="D20" s="10"/>
      <c r="E20" s="8"/>
      <c r="F20" s="8">
        <v>14</v>
      </c>
      <c r="G20" s="8">
        <v>0</v>
      </c>
      <c r="H20" s="24"/>
      <c r="I20" s="8">
        <v>0</v>
      </c>
      <c r="J20" s="8">
        <v>0</v>
      </c>
      <c r="K20" s="8" t="s">
        <v>5</v>
      </c>
      <c r="L20" s="10"/>
      <c r="O20" s="6" t="s">
        <v>788</v>
      </c>
    </row>
    <row r="21" ht="120" customHeight="1" spans="1:15">
      <c r="A21" s="8">
        <v>17</v>
      </c>
      <c r="B21" s="25">
        <v>46307</v>
      </c>
      <c r="C21" s="25">
        <v>46311</v>
      </c>
      <c r="D21" s="10"/>
      <c r="E21" s="8" t="s">
        <v>789</v>
      </c>
      <c r="F21" s="8">
        <v>8</v>
      </c>
      <c r="G21" s="8">
        <v>0</v>
      </c>
      <c r="H21" s="24"/>
      <c r="I21" s="8">
        <v>0</v>
      </c>
      <c r="J21" s="8">
        <v>0</v>
      </c>
      <c r="K21" s="8" t="s">
        <v>5</v>
      </c>
      <c r="L21" s="10"/>
      <c r="O21" s="6" t="s">
        <v>790</v>
      </c>
    </row>
    <row r="22" ht="42" customHeight="1" spans="1:15">
      <c r="A22" s="8">
        <v>18</v>
      </c>
      <c r="B22" s="25">
        <v>46314</v>
      </c>
      <c r="C22" s="25">
        <v>46318</v>
      </c>
      <c r="D22" s="10"/>
      <c r="E22" s="8"/>
      <c r="F22" s="8">
        <v>16</v>
      </c>
      <c r="G22" s="8">
        <v>1</v>
      </c>
      <c r="H22" s="24"/>
      <c r="I22" s="8">
        <v>0</v>
      </c>
      <c r="J22" s="8">
        <v>0</v>
      </c>
      <c r="K22" s="8" t="s">
        <v>5</v>
      </c>
      <c r="L22" s="10"/>
      <c r="O22" s="6" t="s">
        <v>791</v>
      </c>
    </row>
    <row r="23" ht="42" customHeight="1" spans="1:15">
      <c r="A23" s="8">
        <v>19</v>
      </c>
      <c r="B23" s="25">
        <v>46321</v>
      </c>
      <c r="C23" s="25">
        <v>46325</v>
      </c>
      <c r="D23" s="10"/>
      <c r="E23" s="8"/>
      <c r="F23" s="8">
        <v>0</v>
      </c>
      <c r="G23" s="8">
        <v>0</v>
      </c>
      <c r="H23" s="24"/>
      <c r="I23" s="8">
        <v>0</v>
      </c>
      <c r="J23" s="8">
        <v>0</v>
      </c>
      <c r="K23" s="8" t="s">
        <v>5</v>
      </c>
      <c r="L23" s="10"/>
      <c r="O23" s="6" t="s">
        <v>792</v>
      </c>
    </row>
    <row r="24" ht="42" customHeight="1" spans="1:15">
      <c r="A24" s="8">
        <v>20</v>
      </c>
      <c r="B24" s="25">
        <v>46328</v>
      </c>
      <c r="C24" s="25">
        <v>46332</v>
      </c>
      <c r="D24" s="10"/>
      <c r="E24" s="8"/>
      <c r="F24" s="8">
        <v>0</v>
      </c>
      <c r="G24" s="8">
        <v>0</v>
      </c>
      <c r="H24" s="24"/>
      <c r="I24" s="8">
        <v>0</v>
      </c>
      <c r="J24" s="8">
        <v>0</v>
      </c>
      <c r="K24" s="8" t="s">
        <v>5</v>
      </c>
      <c r="L24" s="10"/>
      <c r="O24" s="6" t="s">
        <v>793</v>
      </c>
    </row>
    <row r="25" ht="42" customHeight="1" spans="1:15">
      <c r="A25" s="8">
        <v>21</v>
      </c>
      <c r="B25" s="25">
        <v>46335</v>
      </c>
      <c r="C25" s="25">
        <v>46339</v>
      </c>
      <c r="D25" s="10"/>
      <c r="E25" s="8"/>
      <c r="F25" s="8">
        <v>70</v>
      </c>
      <c r="G25" s="8">
        <v>6</v>
      </c>
      <c r="H25" s="24"/>
      <c r="I25" s="8">
        <v>0</v>
      </c>
      <c r="J25" s="8">
        <v>0</v>
      </c>
      <c r="K25" s="8" t="s">
        <v>5</v>
      </c>
      <c r="L25" s="10"/>
      <c r="O25" s="6" t="s">
        <v>794</v>
      </c>
    </row>
    <row r="26" ht="75" customHeight="1" spans="1:15">
      <c r="A26" s="8">
        <v>22</v>
      </c>
      <c r="B26" s="25">
        <v>46342</v>
      </c>
      <c r="C26" s="25">
        <v>46346</v>
      </c>
      <c r="D26" s="10"/>
      <c r="E26" s="8" t="s">
        <v>795</v>
      </c>
      <c r="F26" s="8">
        <v>0</v>
      </c>
      <c r="G26" s="8">
        <v>0</v>
      </c>
      <c r="H26" s="24"/>
      <c r="I26" s="8">
        <v>0</v>
      </c>
      <c r="J26" s="8">
        <v>0</v>
      </c>
      <c r="K26" s="8" t="s">
        <v>5</v>
      </c>
      <c r="L26" s="10"/>
      <c r="O26" s="6" t="s">
        <v>796</v>
      </c>
    </row>
    <row r="27" ht="42" customHeight="1" spans="1:15">
      <c r="A27" s="8">
        <v>23</v>
      </c>
      <c r="B27" s="25">
        <v>46349</v>
      </c>
      <c r="C27" s="25">
        <v>46353</v>
      </c>
      <c r="D27" s="10"/>
      <c r="E27" s="8"/>
      <c r="F27" s="8">
        <v>53</v>
      </c>
      <c r="G27" s="8">
        <v>6</v>
      </c>
      <c r="H27" s="24"/>
      <c r="I27" s="8">
        <v>0</v>
      </c>
      <c r="J27" s="8">
        <v>0</v>
      </c>
      <c r="K27" s="8" t="s">
        <v>5</v>
      </c>
      <c r="L27" s="10"/>
      <c r="O27" s="6" t="s">
        <v>797</v>
      </c>
    </row>
    <row r="29" ht="24" customHeight="1" spans="1:15">
      <c r="A29" s="43" t="s">
        <v>798</v>
      </c>
      <c r="B29" s="3"/>
      <c r="C29" s="3"/>
      <c r="D29" s="3"/>
      <c r="E29" s="3"/>
      <c r="F29" s="3"/>
      <c r="G29" s="3"/>
      <c r="H29" s="3"/>
      <c r="I29" s="3"/>
      <c r="J29" s="3"/>
      <c r="K29" s="3"/>
      <c r="L29" s="3"/>
      <c r="M29" s="3"/>
      <c r="N29" s="4"/>
    </row>
    <row r="30" ht="28" customHeight="1" spans="1:15">
      <c r="A30" s="7" t="s">
        <v>747</v>
      </c>
      <c r="B30" s="7" t="s">
        <v>41</v>
      </c>
      <c r="C30" s="7" t="s">
        <v>799</v>
      </c>
      <c r="D30" s="7" t="s">
        <v>23</v>
      </c>
      <c r="E30" s="7" t="s">
        <v>800</v>
      </c>
      <c r="F30" s="7" t="s">
        <v>801</v>
      </c>
      <c r="G30" s="7" t="s">
        <v>48</v>
      </c>
      <c r="H30" s="7" t="s">
        <v>49</v>
      </c>
      <c r="I30" s="7" t="s">
        <v>802</v>
      </c>
      <c r="J30" s="7" t="s">
        <v>46</v>
      </c>
      <c r="K30" s="7" t="s">
        <v>695</v>
      </c>
      <c r="L30" s="7" t="s">
        <v>803</v>
      </c>
      <c r="M30" s="7" t="s">
        <v>804</v>
      </c>
      <c r="N30" s="7" t="s">
        <v>805</v>
      </c>
      <c r="O30" s="7" t="s">
        <v>806</v>
      </c>
    </row>
    <row r="31" ht="32" customHeight="1" spans="1:15">
      <c r="A31" s="8">
        <v>2</v>
      </c>
      <c r="B31" s="8" t="s">
        <v>70</v>
      </c>
      <c r="C31" s="8" t="s">
        <v>73</v>
      </c>
      <c r="D31" s="8" t="s">
        <v>25</v>
      </c>
      <c r="E31" s="8" t="s">
        <v>415</v>
      </c>
      <c r="F31" s="8" t="s">
        <v>75</v>
      </c>
      <c r="G31" s="25">
        <v>46202</v>
      </c>
      <c r="H31" s="25">
        <v>46206</v>
      </c>
      <c r="I31" s="8" t="s">
        <v>3</v>
      </c>
      <c r="J31" s="8" t="s">
        <v>3</v>
      </c>
      <c r="K31" s="25"/>
      <c r="L31" s="8" t="s">
        <v>807</v>
      </c>
      <c r="M31" s="8" t="s">
        <v>808</v>
      </c>
      <c r="N31" s="10"/>
      <c r="O31" s="8" t="s">
        <v>809</v>
      </c>
    </row>
    <row r="32" ht="32" customHeight="1" spans="1:15">
      <c r="A32" s="8">
        <v>2</v>
      </c>
      <c r="B32" s="8" t="s">
        <v>80</v>
      </c>
      <c r="C32" s="8" t="s">
        <v>81</v>
      </c>
      <c r="D32" s="8" t="s">
        <v>25</v>
      </c>
      <c r="E32" s="8" t="s">
        <v>415</v>
      </c>
      <c r="F32" s="8" t="s">
        <v>75</v>
      </c>
      <c r="G32" s="25">
        <v>46202</v>
      </c>
      <c r="H32" s="25">
        <v>46206</v>
      </c>
      <c r="I32" s="8" t="s">
        <v>3</v>
      </c>
      <c r="J32" s="8" t="s">
        <v>3</v>
      </c>
      <c r="K32" s="25"/>
      <c r="L32" s="8" t="s">
        <v>807</v>
      </c>
      <c r="M32" s="8" t="s">
        <v>808</v>
      </c>
      <c r="N32" s="10"/>
      <c r="O32" s="8" t="s">
        <v>810</v>
      </c>
    </row>
    <row r="33" ht="32" customHeight="1" spans="1:15">
      <c r="A33" s="8">
        <v>2</v>
      </c>
      <c r="B33" s="8" t="s">
        <v>82</v>
      </c>
      <c r="C33" s="8" t="s">
        <v>83</v>
      </c>
      <c r="D33" s="8" t="s">
        <v>25</v>
      </c>
      <c r="E33" s="8" t="s">
        <v>415</v>
      </c>
      <c r="F33" s="8" t="s">
        <v>75</v>
      </c>
      <c r="G33" s="25">
        <v>46202</v>
      </c>
      <c r="H33" s="25">
        <v>46206</v>
      </c>
      <c r="I33" s="8" t="s">
        <v>3</v>
      </c>
      <c r="J33" s="8" t="s">
        <v>3</v>
      </c>
      <c r="K33" s="25"/>
      <c r="L33" s="8" t="s">
        <v>807</v>
      </c>
      <c r="M33" s="8" t="s">
        <v>808</v>
      </c>
      <c r="N33" s="10"/>
      <c r="O33" s="8" t="s">
        <v>811</v>
      </c>
    </row>
    <row r="34" ht="32" customHeight="1" spans="1:15">
      <c r="A34" s="8">
        <v>2</v>
      </c>
      <c r="B34" s="8" t="s">
        <v>84</v>
      </c>
      <c r="C34" s="8" t="s">
        <v>85</v>
      </c>
      <c r="D34" s="8" t="s">
        <v>25</v>
      </c>
      <c r="E34" s="8" t="s">
        <v>415</v>
      </c>
      <c r="F34" s="8" t="s">
        <v>75</v>
      </c>
      <c r="G34" s="25">
        <v>46202</v>
      </c>
      <c r="H34" s="25">
        <v>46206</v>
      </c>
      <c r="I34" s="8" t="s">
        <v>3</v>
      </c>
      <c r="J34" s="8" t="s">
        <v>3</v>
      </c>
      <c r="K34" s="25"/>
      <c r="L34" s="8" t="s">
        <v>807</v>
      </c>
      <c r="M34" s="8" t="s">
        <v>808</v>
      </c>
      <c r="N34" s="10"/>
      <c r="O34" s="8" t="s">
        <v>812</v>
      </c>
    </row>
    <row r="35" ht="32" customHeight="1" spans="1:15">
      <c r="A35" s="8">
        <v>2</v>
      </c>
      <c r="B35" s="8" t="s">
        <v>89</v>
      </c>
      <c r="C35" s="8" t="s">
        <v>91</v>
      </c>
      <c r="D35" s="8" t="s">
        <v>25</v>
      </c>
      <c r="E35" s="8" t="s">
        <v>415</v>
      </c>
      <c r="F35" s="8" t="s">
        <v>75</v>
      </c>
      <c r="G35" s="25">
        <v>46202</v>
      </c>
      <c r="H35" s="25">
        <v>46206</v>
      </c>
      <c r="I35" s="8" t="s">
        <v>3</v>
      </c>
      <c r="J35" s="8" t="s">
        <v>3</v>
      </c>
      <c r="K35" s="25">
        <v>46224</v>
      </c>
      <c r="L35" s="8" t="s">
        <v>807</v>
      </c>
      <c r="M35" s="8"/>
      <c r="N35" s="10"/>
      <c r="O35" s="8" t="s">
        <v>813</v>
      </c>
    </row>
    <row r="36" ht="32" customHeight="1" spans="1:15">
      <c r="A36" s="8">
        <v>2</v>
      </c>
      <c r="B36" s="8" t="s">
        <v>92</v>
      </c>
      <c r="C36" s="8" t="s">
        <v>93</v>
      </c>
      <c r="D36" s="8" t="s">
        <v>25</v>
      </c>
      <c r="E36" s="8" t="s">
        <v>415</v>
      </c>
      <c r="F36" s="8" t="s">
        <v>75</v>
      </c>
      <c r="G36" s="25">
        <v>46202</v>
      </c>
      <c r="H36" s="25">
        <v>46206</v>
      </c>
      <c r="I36" s="8" t="s">
        <v>3</v>
      </c>
      <c r="J36" s="8" t="s">
        <v>3</v>
      </c>
      <c r="K36" s="25">
        <v>46224</v>
      </c>
      <c r="L36" s="8" t="s">
        <v>807</v>
      </c>
      <c r="M36" s="8"/>
      <c r="N36" s="10"/>
      <c r="O36" s="8" t="s">
        <v>814</v>
      </c>
    </row>
    <row r="37" ht="32" customHeight="1" spans="1:15">
      <c r="A37" s="8">
        <v>2</v>
      </c>
      <c r="B37" s="8" t="s">
        <v>94</v>
      </c>
      <c r="C37" s="8" t="s">
        <v>95</v>
      </c>
      <c r="D37" s="8" t="s">
        <v>25</v>
      </c>
      <c r="E37" s="8" t="s">
        <v>415</v>
      </c>
      <c r="F37" s="8" t="s">
        <v>75</v>
      </c>
      <c r="G37" s="25">
        <v>46202</v>
      </c>
      <c r="H37" s="25">
        <v>46206</v>
      </c>
      <c r="I37" s="8" t="s">
        <v>3</v>
      </c>
      <c r="J37" s="8" t="s">
        <v>3</v>
      </c>
      <c r="K37" s="25">
        <v>46224</v>
      </c>
      <c r="L37" s="8" t="s">
        <v>807</v>
      </c>
      <c r="M37" s="8"/>
      <c r="N37" s="10"/>
      <c r="O37" s="8" t="s">
        <v>815</v>
      </c>
    </row>
    <row r="38" ht="32" customHeight="1" spans="1:15">
      <c r="A38" s="8">
        <v>2</v>
      </c>
      <c r="B38" s="8" t="s">
        <v>96</v>
      </c>
      <c r="C38" s="8" t="s">
        <v>98</v>
      </c>
      <c r="D38" s="8" t="s">
        <v>25</v>
      </c>
      <c r="E38" s="8" t="s">
        <v>415</v>
      </c>
      <c r="F38" s="8" t="s">
        <v>75</v>
      </c>
      <c r="G38" s="25">
        <v>46202</v>
      </c>
      <c r="H38" s="25">
        <v>46206</v>
      </c>
      <c r="I38" s="8" t="s">
        <v>3</v>
      </c>
      <c r="J38" s="8" t="s">
        <v>3</v>
      </c>
      <c r="K38" s="25">
        <v>46224</v>
      </c>
      <c r="L38" s="8" t="s">
        <v>807</v>
      </c>
      <c r="M38" s="8"/>
      <c r="N38" s="10"/>
      <c r="O38" s="8" t="s">
        <v>816</v>
      </c>
    </row>
    <row r="39" ht="32" customHeight="1" spans="1:15">
      <c r="A39" s="8">
        <v>2</v>
      </c>
      <c r="B39" s="8" t="s">
        <v>99</v>
      </c>
      <c r="C39" s="8" t="s">
        <v>100</v>
      </c>
      <c r="D39" s="8" t="s">
        <v>25</v>
      </c>
      <c r="E39" s="8" t="s">
        <v>415</v>
      </c>
      <c r="F39" s="8" t="s">
        <v>75</v>
      </c>
      <c r="G39" s="25">
        <v>46202</v>
      </c>
      <c r="H39" s="25">
        <v>46206</v>
      </c>
      <c r="I39" s="8" t="s">
        <v>3</v>
      </c>
      <c r="J39" s="8" t="s">
        <v>3</v>
      </c>
      <c r="K39" s="25">
        <v>46224</v>
      </c>
      <c r="L39" s="8" t="s">
        <v>807</v>
      </c>
      <c r="M39" s="8"/>
      <c r="N39" s="10"/>
      <c r="O39" s="8" t="s">
        <v>817</v>
      </c>
    </row>
    <row r="40" ht="32" customHeight="1" spans="1:15">
      <c r="A40" s="8">
        <v>2</v>
      </c>
      <c r="B40" s="8" t="s">
        <v>101</v>
      </c>
      <c r="C40" s="8" t="s">
        <v>104</v>
      </c>
      <c r="D40" s="8" t="s">
        <v>25</v>
      </c>
      <c r="E40" s="8" t="s">
        <v>415</v>
      </c>
      <c r="F40" s="8" t="s">
        <v>75</v>
      </c>
      <c r="G40" s="25">
        <v>46202</v>
      </c>
      <c r="H40" s="25">
        <v>46206</v>
      </c>
      <c r="I40" s="8" t="s">
        <v>3</v>
      </c>
      <c r="J40" s="8" t="s">
        <v>3</v>
      </c>
      <c r="K40" s="25">
        <v>46224</v>
      </c>
      <c r="L40" s="8" t="s">
        <v>807</v>
      </c>
      <c r="M40" s="8"/>
      <c r="N40" s="10"/>
      <c r="O40" s="8" t="s">
        <v>818</v>
      </c>
    </row>
    <row r="41" ht="32" customHeight="1" spans="1:15">
      <c r="A41" s="8">
        <v>2</v>
      </c>
      <c r="B41" s="8" t="s">
        <v>105</v>
      </c>
      <c r="C41" s="8" t="s">
        <v>106</v>
      </c>
      <c r="D41" s="8" t="s">
        <v>25</v>
      </c>
      <c r="E41" s="8" t="s">
        <v>415</v>
      </c>
      <c r="F41" s="8" t="s">
        <v>75</v>
      </c>
      <c r="G41" s="25">
        <v>46202</v>
      </c>
      <c r="H41" s="25">
        <v>46206</v>
      </c>
      <c r="I41" s="8" t="s">
        <v>3</v>
      </c>
      <c r="J41" s="8" t="s">
        <v>3</v>
      </c>
      <c r="K41" s="25">
        <v>46224</v>
      </c>
      <c r="L41" s="8" t="s">
        <v>807</v>
      </c>
      <c r="M41" s="8"/>
      <c r="N41" s="10"/>
      <c r="O41" s="8" t="s">
        <v>819</v>
      </c>
    </row>
    <row r="42" ht="32" customHeight="1" spans="1:15">
      <c r="A42" s="8">
        <v>2</v>
      </c>
      <c r="B42" s="8" t="s">
        <v>195</v>
      </c>
      <c r="C42" s="8" t="s">
        <v>197</v>
      </c>
      <c r="D42" s="8" t="s">
        <v>25</v>
      </c>
      <c r="E42" s="8" t="s">
        <v>415</v>
      </c>
      <c r="F42" s="8" t="s">
        <v>75</v>
      </c>
      <c r="G42" s="25">
        <v>46202</v>
      </c>
      <c r="H42" s="25">
        <v>46206</v>
      </c>
      <c r="I42" s="8" t="s">
        <v>3</v>
      </c>
      <c r="J42" s="8" t="s">
        <v>4</v>
      </c>
      <c r="K42" s="25"/>
      <c r="L42" s="8" t="s">
        <v>807</v>
      </c>
      <c r="M42" s="8" t="s">
        <v>808</v>
      </c>
      <c r="N42" s="10"/>
      <c r="O42" s="8" t="s">
        <v>820</v>
      </c>
    </row>
    <row r="43" ht="32" customHeight="1" spans="1:15">
      <c r="A43" s="8">
        <v>2</v>
      </c>
      <c r="B43" s="8" t="s">
        <v>198</v>
      </c>
      <c r="C43" s="8" t="s">
        <v>199</v>
      </c>
      <c r="D43" s="8" t="s">
        <v>25</v>
      </c>
      <c r="E43" s="8" t="s">
        <v>415</v>
      </c>
      <c r="F43" s="8" t="s">
        <v>75</v>
      </c>
      <c r="G43" s="25">
        <v>46202</v>
      </c>
      <c r="H43" s="25">
        <v>46206</v>
      </c>
      <c r="I43" s="8" t="s">
        <v>3</v>
      </c>
      <c r="J43" s="8" t="s">
        <v>4</v>
      </c>
      <c r="K43" s="25">
        <v>46261</v>
      </c>
      <c r="L43" s="8" t="s">
        <v>807</v>
      </c>
      <c r="M43" s="8"/>
      <c r="N43" s="10"/>
      <c r="O43" s="8" t="s">
        <v>821</v>
      </c>
    </row>
    <row r="44" ht="32" customHeight="1" spans="1:15">
      <c r="A44" s="8">
        <v>2</v>
      </c>
      <c r="B44" s="8" t="s">
        <v>200</v>
      </c>
      <c r="C44" s="8" t="s">
        <v>196</v>
      </c>
      <c r="D44" s="8" t="s">
        <v>25</v>
      </c>
      <c r="E44" s="8" t="s">
        <v>415</v>
      </c>
      <c r="F44" s="8" t="s">
        <v>75</v>
      </c>
      <c r="G44" s="25">
        <v>46202</v>
      </c>
      <c r="H44" s="25">
        <v>46206</v>
      </c>
      <c r="I44" s="8" t="s">
        <v>3</v>
      </c>
      <c r="J44" s="8" t="s">
        <v>4</v>
      </c>
      <c r="K44" s="25">
        <v>46261</v>
      </c>
      <c r="L44" s="8" t="s">
        <v>807</v>
      </c>
      <c r="M44" s="8"/>
      <c r="N44" s="10"/>
      <c r="O44" s="8" t="s">
        <v>822</v>
      </c>
    </row>
    <row r="45" ht="32" customHeight="1" spans="1:15">
      <c r="A45" s="8">
        <v>2</v>
      </c>
      <c r="B45" s="8" t="s">
        <v>218</v>
      </c>
      <c r="C45" s="8" t="s">
        <v>220</v>
      </c>
      <c r="D45" s="8" t="s">
        <v>25</v>
      </c>
      <c r="E45" s="8" t="s">
        <v>415</v>
      </c>
      <c r="F45" s="8" t="s">
        <v>75</v>
      </c>
      <c r="G45" s="25">
        <v>46202</v>
      </c>
      <c r="H45" s="25">
        <v>46206</v>
      </c>
      <c r="I45" s="8" t="s">
        <v>3</v>
      </c>
      <c r="J45" s="8" t="s">
        <v>3</v>
      </c>
      <c r="K45" s="25">
        <v>46261</v>
      </c>
      <c r="L45" s="8" t="s">
        <v>807</v>
      </c>
      <c r="M45" s="8"/>
      <c r="N45" s="10"/>
      <c r="O45" s="8" t="s">
        <v>823</v>
      </c>
    </row>
    <row r="46" ht="32" customHeight="1" spans="1:15">
      <c r="A46" s="8">
        <v>2</v>
      </c>
      <c r="B46" s="8" t="s">
        <v>221</v>
      </c>
      <c r="C46" s="8" t="s">
        <v>222</v>
      </c>
      <c r="D46" s="8" t="s">
        <v>25</v>
      </c>
      <c r="E46" s="8" t="s">
        <v>415</v>
      </c>
      <c r="F46" s="8" t="s">
        <v>75</v>
      </c>
      <c r="G46" s="25">
        <v>46202</v>
      </c>
      <c r="H46" s="25">
        <v>46206</v>
      </c>
      <c r="I46" s="8" t="s">
        <v>3</v>
      </c>
      <c r="J46" s="8" t="s">
        <v>3</v>
      </c>
      <c r="K46" s="25">
        <v>46261</v>
      </c>
      <c r="L46" s="8" t="s">
        <v>807</v>
      </c>
      <c r="M46" s="8"/>
      <c r="N46" s="10"/>
      <c r="O46" s="8" t="s">
        <v>824</v>
      </c>
    </row>
    <row r="47" ht="32" customHeight="1" spans="1:15">
      <c r="A47" s="8">
        <v>2</v>
      </c>
      <c r="B47" s="8" t="s">
        <v>223</v>
      </c>
      <c r="C47" s="8" t="s">
        <v>224</v>
      </c>
      <c r="D47" s="8" t="s">
        <v>25</v>
      </c>
      <c r="E47" s="8" t="s">
        <v>415</v>
      </c>
      <c r="F47" s="8" t="s">
        <v>75</v>
      </c>
      <c r="G47" s="25">
        <v>46202</v>
      </c>
      <c r="H47" s="25">
        <v>46206</v>
      </c>
      <c r="I47" s="8" t="s">
        <v>3</v>
      </c>
      <c r="J47" s="8" t="s">
        <v>3</v>
      </c>
      <c r="K47" s="25">
        <v>46261</v>
      </c>
      <c r="L47" s="8" t="s">
        <v>807</v>
      </c>
      <c r="M47" s="8"/>
      <c r="N47" s="10"/>
      <c r="O47" s="8" t="s">
        <v>825</v>
      </c>
    </row>
    <row r="48" ht="32" customHeight="1" spans="1:15">
      <c r="A48" s="8">
        <v>2</v>
      </c>
      <c r="B48" s="8" t="s">
        <v>225</v>
      </c>
      <c r="C48" s="8" t="s">
        <v>227</v>
      </c>
      <c r="D48" s="8" t="s">
        <v>25</v>
      </c>
      <c r="E48" s="8" t="s">
        <v>415</v>
      </c>
      <c r="F48" s="8" t="s">
        <v>75</v>
      </c>
      <c r="G48" s="25">
        <v>46202</v>
      </c>
      <c r="H48" s="25">
        <v>46206</v>
      </c>
      <c r="I48" s="8" t="s">
        <v>3</v>
      </c>
      <c r="J48" s="8" t="s">
        <v>3</v>
      </c>
      <c r="K48" s="25">
        <v>46261</v>
      </c>
      <c r="L48" s="8" t="s">
        <v>807</v>
      </c>
      <c r="M48" s="8"/>
      <c r="N48" s="10"/>
      <c r="O48" s="8" t="s">
        <v>826</v>
      </c>
    </row>
    <row r="49" ht="32" customHeight="1" spans="1:15">
      <c r="A49" s="8">
        <v>2</v>
      </c>
      <c r="B49" s="8" t="s">
        <v>228</v>
      </c>
      <c r="C49" s="8" t="s">
        <v>227</v>
      </c>
      <c r="D49" s="8" t="s">
        <v>25</v>
      </c>
      <c r="E49" s="8" t="s">
        <v>415</v>
      </c>
      <c r="F49" s="8" t="s">
        <v>75</v>
      </c>
      <c r="G49" s="25">
        <v>46202</v>
      </c>
      <c r="H49" s="25">
        <v>46206</v>
      </c>
      <c r="I49" s="8" t="s">
        <v>3</v>
      </c>
      <c r="J49" s="8" t="s">
        <v>3</v>
      </c>
      <c r="K49" s="25">
        <v>46261</v>
      </c>
      <c r="L49" s="8" t="s">
        <v>807</v>
      </c>
      <c r="M49" s="8"/>
      <c r="N49" s="10"/>
      <c r="O49" s="8" t="s">
        <v>827</v>
      </c>
    </row>
    <row r="50" ht="32" customHeight="1" spans="1:15">
      <c r="A50" s="8">
        <v>2</v>
      </c>
      <c r="B50" s="8" t="s">
        <v>229</v>
      </c>
      <c r="C50" s="8" t="s">
        <v>230</v>
      </c>
      <c r="D50" s="8" t="s">
        <v>25</v>
      </c>
      <c r="E50" s="8" t="s">
        <v>415</v>
      </c>
      <c r="F50" s="8" t="s">
        <v>75</v>
      </c>
      <c r="G50" s="25">
        <v>46202</v>
      </c>
      <c r="H50" s="25">
        <v>46206</v>
      </c>
      <c r="I50" s="8" t="s">
        <v>3</v>
      </c>
      <c r="J50" s="8" t="s">
        <v>3</v>
      </c>
      <c r="K50" s="25">
        <v>46261</v>
      </c>
      <c r="L50" s="8" t="s">
        <v>807</v>
      </c>
      <c r="M50" s="8"/>
      <c r="N50" s="10"/>
      <c r="O50" s="8" t="s">
        <v>828</v>
      </c>
    </row>
    <row r="51" ht="32" customHeight="1" spans="1:15">
      <c r="A51" s="8">
        <v>2</v>
      </c>
      <c r="B51" s="8" t="s">
        <v>231</v>
      </c>
      <c r="C51" s="8" t="s">
        <v>230</v>
      </c>
      <c r="D51" s="8" t="s">
        <v>25</v>
      </c>
      <c r="E51" s="8" t="s">
        <v>415</v>
      </c>
      <c r="F51" s="8" t="s">
        <v>75</v>
      </c>
      <c r="G51" s="25">
        <v>46202</v>
      </c>
      <c r="H51" s="25">
        <v>46206</v>
      </c>
      <c r="I51" s="8" t="s">
        <v>3</v>
      </c>
      <c r="J51" s="8" t="s">
        <v>3</v>
      </c>
      <c r="K51" s="25">
        <v>46261</v>
      </c>
      <c r="L51" s="8" t="s">
        <v>807</v>
      </c>
      <c r="M51" s="8"/>
      <c r="N51" s="10"/>
      <c r="O51" s="8" t="s">
        <v>829</v>
      </c>
    </row>
    <row r="52" ht="32" customHeight="1" spans="1:15">
      <c r="A52" s="8">
        <v>2</v>
      </c>
      <c r="B52" s="8" t="s">
        <v>232</v>
      </c>
      <c r="C52" s="8" t="s">
        <v>230</v>
      </c>
      <c r="D52" s="8" t="s">
        <v>25</v>
      </c>
      <c r="E52" s="8" t="s">
        <v>415</v>
      </c>
      <c r="F52" s="8" t="s">
        <v>75</v>
      </c>
      <c r="G52" s="25">
        <v>46202</v>
      </c>
      <c r="H52" s="25">
        <v>46206</v>
      </c>
      <c r="I52" s="8" t="s">
        <v>3</v>
      </c>
      <c r="J52" s="8" t="s">
        <v>3</v>
      </c>
      <c r="K52" s="25">
        <v>46261</v>
      </c>
      <c r="L52" s="8" t="s">
        <v>807</v>
      </c>
      <c r="M52" s="8"/>
      <c r="N52" s="10"/>
      <c r="O52" s="8" t="s">
        <v>830</v>
      </c>
    </row>
    <row r="53" ht="32" customHeight="1" spans="1:15">
      <c r="A53" s="8">
        <v>2</v>
      </c>
      <c r="B53" s="8" t="s">
        <v>233</v>
      </c>
      <c r="C53" s="8" t="s">
        <v>230</v>
      </c>
      <c r="D53" s="8" t="s">
        <v>25</v>
      </c>
      <c r="E53" s="8" t="s">
        <v>415</v>
      </c>
      <c r="F53" s="8" t="s">
        <v>75</v>
      </c>
      <c r="G53" s="25">
        <v>46202</v>
      </c>
      <c r="H53" s="25">
        <v>46206</v>
      </c>
      <c r="I53" s="8" t="s">
        <v>3</v>
      </c>
      <c r="J53" s="8" t="s">
        <v>3</v>
      </c>
      <c r="K53" s="25">
        <v>46261</v>
      </c>
      <c r="L53" s="8" t="s">
        <v>807</v>
      </c>
      <c r="M53" s="8"/>
      <c r="N53" s="10"/>
      <c r="O53" s="8" t="s">
        <v>831</v>
      </c>
    </row>
    <row r="54" ht="32" customHeight="1" spans="1:15">
      <c r="A54" s="8">
        <v>2</v>
      </c>
      <c r="B54" s="8" t="s">
        <v>241</v>
      </c>
      <c r="C54" s="8" t="s">
        <v>243</v>
      </c>
      <c r="D54" s="8" t="s">
        <v>25</v>
      </c>
      <c r="E54" s="8" t="s">
        <v>415</v>
      </c>
      <c r="F54" s="8" t="s">
        <v>75</v>
      </c>
      <c r="G54" s="25">
        <v>46202</v>
      </c>
      <c r="H54" s="25">
        <v>46206</v>
      </c>
      <c r="I54" s="8" t="s">
        <v>3</v>
      </c>
      <c r="J54" s="8" t="s">
        <v>3</v>
      </c>
      <c r="K54" s="25"/>
      <c r="L54" s="8" t="s">
        <v>807</v>
      </c>
      <c r="M54" s="8" t="s">
        <v>808</v>
      </c>
      <c r="N54" s="10"/>
      <c r="O54" s="8" t="s">
        <v>832</v>
      </c>
    </row>
    <row r="55" ht="32" customHeight="1" spans="1:15">
      <c r="A55" s="8">
        <v>2</v>
      </c>
      <c r="B55" s="8" t="s">
        <v>244</v>
      </c>
      <c r="C55" s="8" t="s">
        <v>246</v>
      </c>
      <c r="D55" s="8" t="s">
        <v>25</v>
      </c>
      <c r="E55" s="8" t="s">
        <v>415</v>
      </c>
      <c r="F55" s="8" t="s">
        <v>75</v>
      </c>
      <c r="G55" s="25">
        <v>46202</v>
      </c>
      <c r="H55" s="25">
        <v>46206</v>
      </c>
      <c r="I55" s="8" t="s">
        <v>3</v>
      </c>
      <c r="J55" s="8" t="s">
        <v>3</v>
      </c>
      <c r="K55" s="25">
        <v>46224</v>
      </c>
      <c r="L55" s="8" t="s">
        <v>807</v>
      </c>
      <c r="M55" s="8"/>
      <c r="N55" s="10"/>
      <c r="O55" s="8" t="s">
        <v>833</v>
      </c>
    </row>
    <row r="56" ht="32" customHeight="1" spans="1:15">
      <c r="A56" s="8">
        <v>2</v>
      </c>
      <c r="B56" s="8" t="s">
        <v>247</v>
      </c>
      <c r="C56" s="8" t="s">
        <v>248</v>
      </c>
      <c r="D56" s="8" t="s">
        <v>25</v>
      </c>
      <c r="E56" s="8" t="s">
        <v>415</v>
      </c>
      <c r="F56" s="8" t="s">
        <v>75</v>
      </c>
      <c r="G56" s="25">
        <v>46202</v>
      </c>
      <c r="H56" s="25">
        <v>46206</v>
      </c>
      <c r="I56" s="8" t="s">
        <v>3</v>
      </c>
      <c r="J56" s="8" t="s">
        <v>3</v>
      </c>
      <c r="K56" s="25">
        <v>46224</v>
      </c>
      <c r="L56" s="8" t="s">
        <v>807</v>
      </c>
      <c r="M56" s="8"/>
      <c r="N56" s="10"/>
      <c r="O56" s="8" t="s">
        <v>834</v>
      </c>
    </row>
    <row r="57" ht="32" customHeight="1" spans="1:15">
      <c r="A57" s="8">
        <v>2</v>
      </c>
      <c r="B57" s="8" t="s">
        <v>249</v>
      </c>
      <c r="C57" s="8" t="s">
        <v>250</v>
      </c>
      <c r="D57" s="8" t="s">
        <v>25</v>
      </c>
      <c r="E57" s="8" t="s">
        <v>415</v>
      </c>
      <c r="F57" s="8" t="s">
        <v>75</v>
      </c>
      <c r="G57" s="25">
        <v>46202</v>
      </c>
      <c r="H57" s="25">
        <v>46206</v>
      </c>
      <c r="I57" s="8" t="s">
        <v>3</v>
      </c>
      <c r="J57" s="8" t="s">
        <v>3</v>
      </c>
      <c r="K57" s="25">
        <v>46224</v>
      </c>
      <c r="L57" s="8" t="s">
        <v>807</v>
      </c>
      <c r="M57" s="8"/>
      <c r="N57" s="10"/>
      <c r="O57" s="8" t="s">
        <v>835</v>
      </c>
    </row>
    <row r="58" ht="32" customHeight="1" spans="1:15">
      <c r="A58" s="8">
        <v>2</v>
      </c>
      <c r="B58" s="8" t="s">
        <v>251</v>
      </c>
      <c r="C58" s="8" t="s">
        <v>252</v>
      </c>
      <c r="D58" s="8" t="s">
        <v>25</v>
      </c>
      <c r="E58" s="8" t="s">
        <v>415</v>
      </c>
      <c r="F58" s="8" t="s">
        <v>75</v>
      </c>
      <c r="G58" s="25">
        <v>46202</v>
      </c>
      <c r="H58" s="25">
        <v>46206</v>
      </c>
      <c r="I58" s="8" t="s">
        <v>3</v>
      </c>
      <c r="J58" s="8" t="s">
        <v>3</v>
      </c>
      <c r="K58" s="25">
        <v>46224</v>
      </c>
      <c r="L58" s="8" t="s">
        <v>807</v>
      </c>
      <c r="M58" s="8"/>
      <c r="N58" s="10"/>
      <c r="O58" s="8" t="s">
        <v>836</v>
      </c>
    </row>
    <row r="59" ht="32" customHeight="1" spans="1:15">
      <c r="A59" s="8">
        <v>2</v>
      </c>
      <c r="B59" s="8" t="s">
        <v>253</v>
      </c>
      <c r="C59" s="8" t="s">
        <v>254</v>
      </c>
      <c r="D59" s="8" t="s">
        <v>25</v>
      </c>
      <c r="E59" s="8" t="s">
        <v>415</v>
      </c>
      <c r="F59" s="8" t="s">
        <v>75</v>
      </c>
      <c r="G59" s="25">
        <v>46202</v>
      </c>
      <c r="H59" s="25">
        <v>46206</v>
      </c>
      <c r="I59" s="8" t="s">
        <v>3</v>
      </c>
      <c r="J59" s="8" t="s">
        <v>3</v>
      </c>
      <c r="K59" s="25">
        <v>46224</v>
      </c>
      <c r="L59" s="8" t="s">
        <v>807</v>
      </c>
      <c r="M59" s="8"/>
      <c r="N59" s="10"/>
      <c r="O59" s="8" t="s">
        <v>837</v>
      </c>
    </row>
    <row r="60" ht="32" customHeight="1" spans="1:15">
      <c r="A60" s="8">
        <v>2</v>
      </c>
      <c r="B60" s="8" t="s">
        <v>290</v>
      </c>
      <c r="C60" s="8" t="s">
        <v>292</v>
      </c>
      <c r="D60" s="8" t="s">
        <v>25</v>
      </c>
      <c r="E60" s="8" t="s">
        <v>415</v>
      </c>
      <c r="F60" s="8" t="s">
        <v>75</v>
      </c>
      <c r="G60" s="25">
        <v>46202</v>
      </c>
      <c r="H60" s="25">
        <v>46206</v>
      </c>
      <c r="I60" s="8" t="s">
        <v>3</v>
      </c>
      <c r="J60" s="8" t="s">
        <v>4</v>
      </c>
      <c r="K60" s="25"/>
      <c r="L60" s="8" t="s">
        <v>807</v>
      </c>
      <c r="M60" s="8" t="s">
        <v>808</v>
      </c>
      <c r="N60" s="10"/>
      <c r="O60" s="8" t="s">
        <v>838</v>
      </c>
    </row>
    <row r="61" ht="32" customHeight="1" spans="1:15">
      <c r="A61" s="8">
        <v>2</v>
      </c>
      <c r="B61" s="8" t="s">
        <v>293</v>
      </c>
      <c r="C61" s="8" t="s">
        <v>295</v>
      </c>
      <c r="D61" s="8" t="s">
        <v>25</v>
      </c>
      <c r="E61" s="8" t="s">
        <v>415</v>
      </c>
      <c r="F61" s="8" t="s">
        <v>75</v>
      </c>
      <c r="G61" s="25">
        <v>46202</v>
      </c>
      <c r="H61" s="25">
        <v>46206</v>
      </c>
      <c r="I61" s="8" t="s">
        <v>3</v>
      </c>
      <c r="J61" s="8" t="s">
        <v>3</v>
      </c>
      <c r="K61" s="25">
        <v>46261</v>
      </c>
      <c r="L61" s="8" t="s">
        <v>807</v>
      </c>
      <c r="M61" s="8"/>
      <c r="N61" s="10"/>
      <c r="O61" s="8" t="s">
        <v>839</v>
      </c>
    </row>
    <row r="62" ht="32" customHeight="1" spans="1:15">
      <c r="A62" s="8">
        <v>2</v>
      </c>
      <c r="B62" s="8" t="s">
        <v>296</v>
      </c>
      <c r="C62" s="8" t="s">
        <v>298</v>
      </c>
      <c r="D62" s="8" t="s">
        <v>25</v>
      </c>
      <c r="E62" s="8" t="s">
        <v>415</v>
      </c>
      <c r="F62" s="8" t="s">
        <v>75</v>
      </c>
      <c r="G62" s="25">
        <v>46202</v>
      </c>
      <c r="H62" s="25">
        <v>46206</v>
      </c>
      <c r="I62" s="8" t="s">
        <v>3</v>
      </c>
      <c r="J62" s="8" t="s">
        <v>3</v>
      </c>
      <c r="K62" s="25"/>
      <c r="L62" s="8" t="s">
        <v>807</v>
      </c>
      <c r="M62" s="8" t="s">
        <v>808</v>
      </c>
      <c r="N62" s="10"/>
      <c r="O62" s="8" t="s">
        <v>840</v>
      </c>
    </row>
    <row r="63" ht="32" customHeight="1" spans="1:15">
      <c r="A63" s="8">
        <v>2</v>
      </c>
      <c r="B63" s="8" t="s">
        <v>299</v>
      </c>
      <c r="C63" s="8" t="s">
        <v>301</v>
      </c>
      <c r="D63" s="8" t="s">
        <v>25</v>
      </c>
      <c r="E63" s="8" t="s">
        <v>415</v>
      </c>
      <c r="F63" s="8" t="s">
        <v>75</v>
      </c>
      <c r="G63" s="25">
        <v>46202</v>
      </c>
      <c r="H63" s="25">
        <v>46206</v>
      </c>
      <c r="I63" s="8" t="s">
        <v>3</v>
      </c>
      <c r="J63" s="8" t="s">
        <v>3</v>
      </c>
      <c r="K63" s="25">
        <v>46224</v>
      </c>
      <c r="L63" s="8" t="s">
        <v>807</v>
      </c>
      <c r="M63" s="8"/>
      <c r="N63" s="10"/>
      <c r="O63" s="8" t="s">
        <v>841</v>
      </c>
    </row>
    <row r="64" ht="32" customHeight="1" spans="1:15">
      <c r="A64" s="8">
        <v>2</v>
      </c>
      <c r="B64" s="8" t="s">
        <v>302</v>
      </c>
      <c r="C64" s="8" t="s">
        <v>303</v>
      </c>
      <c r="D64" s="8" t="s">
        <v>25</v>
      </c>
      <c r="E64" s="8" t="s">
        <v>415</v>
      </c>
      <c r="F64" s="8" t="s">
        <v>75</v>
      </c>
      <c r="G64" s="25">
        <v>46202</v>
      </c>
      <c r="H64" s="25">
        <v>46206</v>
      </c>
      <c r="I64" s="8" t="s">
        <v>3</v>
      </c>
      <c r="J64" s="8" t="s">
        <v>3</v>
      </c>
      <c r="K64" s="25">
        <v>46224</v>
      </c>
      <c r="L64" s="8" t="s">
        <v>807</v>
      </c>
      <c r="M64" s="8"/>
      <c r="N64" s="10"/>
      <c r="O64" s="8" t="s">
        <v>842</v>
      </c>
    </row>
    <row r="65" ht="32" customHeight="1" spans="1:15">
      <c r="A65" s="8">
        <v>2</v>
      </c>
      <c r="B65" s="8" t="s">
        <v>212</v>
      </c>
      <c r="C65" s="8" t="s">
        <v>214</v>
      </c>
      <c r="D65" s="8" t="s">
        <v>25</v>
      </c>
      <c r="E65" s="8" t="s">
        <v>414</v>
      </c>
      <c r="F65" s="8" t="s">
        <v>77</v>
      </c>
      <c r="G65" s="25">
        <v>46195</v>
      </c>
      <c r="H65" s="25">
        <v>46206</v>
      </c>
      <c r="I65" s="8" t="s">
        <v>3</v>
      </c>
      <c r="J65" s="8" t="s">
        <v>3</v>
      </c>
      <c r="K65" s="25">
        <v>46224</v>
      </c>
      <c r="L65" s="8" t="s">
        <v>807</v>
      </c>
      <c r="M65" s="8"/>
      <c r="N65" s="10"/>
      <c r="O65" s="8" t="s">
        <v>843</v>
      </c>
    </row>
    <row r="66" ht="32" customHeight="1" spans="1:15">
      <c r="A66" s="8">
        <v>2</v>
      </c>
      <c r="B66" s="8" t="s">
        <v>234</v>
      </c>
      <c r="C66" s="8" t="s">
        <v>236</v>
      </c>
      <c r="D66" s="8" t="s">
        <v>25</v>
      </c>
      <c r="E66" s="8" t="s">
        <v>414</v>
      </c>
      <c r="F66" s="8" t="s">
        <v>77</v>
      </c>
      <c r="G66" s="25">
        <v>46195</v>
      </c>
      <c r="H66" s="25">
        <v>46206</v>
      </c>
      <c r="I66" s="8" t="s">
        <v>3</v>
      </c>
      <c r="J66" s="8" t="s">
        <v>3</v>
      </c>
      <c r="K66" s="25">
        <v>46224</v>
      </c>
      <c r="L66" s="8" t="s">
        <v>807</v>
      </c>
      <c r="M66" s="8"/>
      <c r="N66" s="10"/>
      <c r="O66" s="8" t="s">
        <v>844</v>
      </c>
    </row>
    <row r="67" ht="32" customHeight="1" spans="1:15">
      <c r="A67" s="8">
        <v>2</v>
      </c>
      <c r="B67" s="8" t="s">
        <v>237</v>
      </c>
      <c r="C67" s="8" t="s">
        <v>238</v>
      </c>
      <c r="D67" s="8" t="s">
        <v>25</v>
      </c>
      <c r="E67" s="8" t="s">
        <v>414</v>
      </c>
      <c r="F67" s="8" t="s">
        <v>77</v>
      </c>
      <c r="G67" s="25">
        <v>46195</v>
      </c>
      <c r="H67" s="25">
        <v>46206</v>
      </c>
      <c r="I67" s="8" t="s">
        <v>3</v>
      </c>
      <c r="J67" s="8" t="s">
        <v>3</v>
      </c>
      <c r="K67" s="25">
        <v>46224</v>
      </c>
      <c r="L67" s="8" t="s">
        <v>807</v>
      </c>
      <c r="M67" s="8"/>
      <c r="N67" s="10"/>
      <c r="O67" s="8" t="s">
        <v>845</v>
      </c>
    </row>
    <row r="68" ht="32" customHeight="1" spans="1:15">
      <c r="A68" s="8">
        <v>2</v>
      </c>
      <c r="B68" s="8" t="s">
        <v>239</v>
      </c>
      <c r="C68" s="8" t="s">
        <v>240</v>
      </c>
      <c r="D68" s="8" t="s">
        <v>25</v>
      </c>
      <c r="E68" s="8" t="s">
        <v>414</v>
      </c>
      <c r="F68" s="8" t="s">
        <v>77</v>
      </c>
      <c r="G68" s="25">
        <v>46195</v>
      </c>
      <c r="H68" s="25">
        <v>46206</v>
      </c>
      <c r="I68" s="8" t="s">
        <v>3</v>
      </c>
      <c r="J68" s="8" t="s">
        <v>3</v>
      </c>
      <c r="K68" s="25">
        <v>46224</v>
      </c>
      <c r="L68" s="8" t="s">
        <v>807</v>
      </c>
      <c r="M68" s="8"/>
      <c r="N68" s="10"/>
      <c r="O68" s="8" t="s">
        <v>846</v>
      </c>
    </row>
    <row r="69" ht="32" customHeight="1" spans="1:15">
      <c r="A69" s="8">
        <v>2</v>
      </c>
      <c r="B69" s="8" t="s">
        <v>212</v>
      </c>
      <c r="C69" s="8" t="s">
        <v>214</v>
      </c>
      <c r="D69" s="8" t="s">
        <v>25</v>
      </c>
      <c r="E69" s="8" t="s">
        <v>406</v>
      </c>
      <c r="F69" s="8" t="s">
        <v>76</v>
      </c>
      <c r="G69" s="25">
        <v>46195</v>
      </c>
      <c r="H69" s="25">
        <v>46206</v>
      </c>
      <c r="I69" s="8" t="s">
        <v>3</v>
      </c>
      <c r="J69" s="8" t="s">
        <v>3</v>
      </c>
      <c r="K69" s="25">
        <v>46224</v>
      </c>
      <c r="L69" s="8" t="s">
        <v>807</v>
      </c>
      <c r="M69" s="8"/>
      <c r="N69" s="10"/>
      <c r="O69" s="8" t="s">
        <v>847</v>
      </c>
    </row>
    <row r="70" ht="32" customHeight="1" spans="1:15">
      <c r="A70" s="8">
        <v>2</v>
      </c>
      <c r="B70" s="8" t="s">
        <v>234</v>
      </c>
      <c r="C70" s="8" t="s">
        <v>236</v>
      </c>
      <c r="D70" s="8" t="s">
        <v>25</v>
      </c>
      <c r="E70" s="8" t="s">
        <v>406</v>
      </c>
      <c r="F70" s="8" t="s">
        <v>76</v>
      </c>
      <c r="G70" s="25">
        <v>46195</v>
      </c>
      <c r="H70" s="25">
        <v>46206</v>
      </c>
      <c r="I70" s="8" t="s">
        <v>3</v>
      </c>
      <c r="J70" s="8" t="s">
        <v>3</v>
      </c>
      <c r="K70" s="25">
        <v>46224</v>
      </c>
      <c r="L70" s="8" t="s">
        <v>807</v>
      </c>
      <c r="M70" s="8"/>
      <c r="N70" s="10"/>
      <c r="O70" s="8" t="s">
        <v>848</v>
      </c>
    </row>
    <row r="71" ht="32" customHeight="1" spans="1:15">
      <c r="A71" s="8">
        <v>2</v>
      </c>
      <c r="B71" s="8" t="s">
        <v>237</v>
      </c>
      <c r="C71" s="8" t="s">
        <v>238</v>
      </c>
      <c r="D71" s="8" t="s">
        <v>25</v>
      </c>
      <c r="E71" s="8" t="s">
        <v>406</v>
      </c>
      <c r="F71" s="8" t="s">
        <v>76</v>
      </c>
      <c r="G71" s="25">
        <v>46195</v>
      </c>
      <c r="H71" s="25">
        <v>46206</v>
      </c>
      <c r="I71" s="8" t="s">
        <v>3</v>
      </c>
      <c r="J71" s="8" t="s">
        <v>3</v>
      </c>
      <c r="K71" s="25">
        <v>46224</v>
      </c>
      <c r="L71" s="8" t="s">
        <v>807</v>
      </c>
      <c r="M71" s="8"/>
      <c r="N71" s="10"/>
      <c r="O71" s="8" t="s">
        <v>849</v>
      </c>
    </row>
    <row r="72" ht="32" customHeight="1" spans="1:15">
      <c r="A72" s="8">
        <v>2</v>
      </c>
      <c r="B72" s="8" t="s">
        <v>239</v>
      </c>
      <c r="C72" s="8" t="s">
        <v>240</v>
      </c>
      <c r="D72" s="8" t="s">
        <v>25</v>
      </c>
      <c r="E72" s="8" t="s">
        <v>406</v>
      </c>
      <c r="F72" s="8" t="s">
        <v>76</v>
      </c>
      <c r="G72" s="25">
        <v>46195</v>
      </c>
      <c r="H72" s="25">
        <v>46206</v>
      </c>
      <c r="I72" s="8" t="s">
        <v>3</v>
      </c>
      <c r="J72" s="8" t="s">
        <v>3</v>
      </c>
      <c r="K72" s="25">
        <v>46224</v>
      </c>
      <c r="L72" s="8" t="s">
        <v>807</v>
      </c>
      <c r="M72" s="8"/>
      <c r="N72" s="10"/>
      <c r="O72" s="8" t="s">
        <v>850</v>
      </c>
    </row>
    <row r="73" ht="32" customHeight="1" spans="1:15">
      <c r="A73" s="8">
        <v>3</v>
      </c>
      <c r="B73" s="8" t="s">
        <v>164</v>
      </c>
      <c r="C73" s="8" t="s">
        <v>166</v>
      </c>
      <c r="D73" s="8" t="s">
        <v>25</v>
      </c>
      <c r="E73" s="8" t="s">
        <v>415</v>
      </c>
      <c r="F73" s="8" t="s">
        <v>75</v>
      </c>
      <c r="G73" s="25">
        <v>46209</v>
      </c>
      <c r="H73" s="25">
        <v>46213</v>
      </c>
      <c r="I73" s="8" t="s">
        <v>3</v>
      </c>
      <c r="J73" s="8" t="s">
        <v>3</v>
      </c>
      <c r="K73" s="25">
        <v>46261</v>
      </c>
      <c r="L73" s="8" t="s">
        <v>807</v>
      </c>
      <c r="M73" s="8"/>
      <c r="N73" s="10"/>
      <c r="O73" s="8" t="s">
        <v>851</v>
      </c>
    </row>
    <row r="74" ht="32" customHeight="1" spans="1:15">
      <c r="A74" s="8">
        <v>3</v>
      </c>
      <c r="B74" s="8" t="s">
        <v>167</v>
      </c>
      <c r="C74" s="8" t="s">
        <v>168</v>
      </c>
      <c r="D74" s="8" t="s">
        <v>25</v>
      </c>
      <c r="E74" s="8" t="s">
        <v>415</v>
      </c>
      <c r="F74" s="8" t="s">
        <v>75</v>
      </c>
      <c r="G74" s="25">
        <v>46209</v>
      </c>
      <c r="H74" s="25">
        <v>46213</v>
      </c>
      <c r="I74" s="8" t="s">
        <v>3</v>
      </c>
      <c r="J74" s="8" t="s">
        <v>3</v>
      </c>
      <c r="K74" s="25">
        <v>46261</v>
      </c>
      <c r="L74" s="8" t="s">
        <v>807</v>
      </c>
      <c r="M74" s="8"/>
      <c r="N74" s="10"/>
      <c r="O74" s="8" t="s">
        <v>852</v>
      </c>
    </row>
    <row r="75" ht="32" customHeight="1" spans="1:15">
      <c r="A75" s="8">
        <v>3</v>
      </c>
      <c r="B75" s="8" t="s">
        <v>169</v>
      </c>
      <c r="C75" s="8" t="s">
        <v>170</v>
      </c>
      <c r="D75" s="8" t="s">
        <v>25</v>
      </c>
      <c r="E75" s="8" t="s">
        <v>415</v>
      </c>
      <c r="F75" s="8" t="s">
        <v>75</v>
      </c>
      <c r="G75" s="25">
        <v>46209</v>
      </c>
      <c r="H75" s="25">
        <v>46213</v>
      </c>
      <c r="I75" s="8" t="s">
        <v>3</v>
      </c>
      <c r="J75" s="8" t="s">
        <v>3</v>
      </c>
      <c r="K75" s="25">
        <v>46261</v>
      </c>
      <c r="L75" s="8" t="s">
        <v>807</v>
      </c>
      <c r="M75" s="8"/>
      <c r="N75" s="10"/>
      <c r="O75" s="8" t="s">
        <v>853</v>
      </c>
    </row>
    <row r="76" ht="32" customHeight="1" spans="1:15">
      <c r="A76" s="8">
        <v>3</v>
      </c>
      <c r="B76" s="8" t="s">
        <v>171</v>
      </c>
      <c r="C76" s="8" t="s">
        <v>173</v>
      </c>
      <c r="D76" s="8" t="s">
        <v>25</v>
      </c>
      <c r="E76" s="8" t="s">
        <v>415</v>
      </c>
      <c r="F76" s="8" t="s">
        <v>75</v>
      </c>
      <c r="G76" s="25">
        <v>46209</v>
      </c>
      <c r="H76" s="25">
        <v>46213</v>
      </c>
      <c r="I76" s="8" t="s">
        <v>3</v>
      </c>
      <c r="J76" s="8" t="s">
        <v>3</v>
      </c>
      <c r="K76" s="25">
        <v>46261</v>
      </c>
      <c r="L76" s="8" t="s">
        <v>807</v>
      </c>
      <c r="M76" s="8"/>
      <c r="N76" s="10"/>
      <c r="O76" s="8" t="s">
        <v>854</v>
      </c>
    </row>
    <row r="77" ht="32" customHeight="1" spans="1:15">
      <c r="A77" s="8">
        <v>3</v>
      </c>
      <c r="B77" s="8" t="s">
        <v>174</v>
      </c>
      <c r="C77" s="8" t="s">
        <v>175</v>
      </c>
      <c r="D77" s="8" t="s">
        <v>25</v>
      </c>
      <c r="E77" s="8" t="s">
        <v>415</v>
      </c>
      <c r="F77" s="8" t="s">
        <v>75</v>
      </c>
      <c r="G77" s="25">
        <v>46209</v>
      </c>
      <c r="H77" s="25">
        <v>46213</v>
      </c>
      <c r="I77" s="8" t="s">
        <v>3</v>
      </c>
      <c r="J77" s="8" t="s">
        <v>3</v>
      </c>
      <c r="K77" s="25">
        <v>46261</v>
      </c>
      <c r="L77" s="8" t="s">
        <v>807</v>
      </c>
      <c r="M77" s="8"/>
      <c r="N77" s="10"/>
      <c r="O77" s="8" t="s">
        <v>855</v>
      </c>
    </row>
    <row r="78" ht="32" customHeight="1" spans="1:15">
      <c r="A78" s="8">
        <v>3</v>
      </c>
      <c r="B78" s="8" t="s">
        <v>176</v>
      </c>
      <c r="C78" s="8" t="s">
        <v>177</v>
      </c>
      <c r="D78" s="8" t="s">
        <v>25</v>
      </c>
      <c r="E78" s="8" t="s">
        <v>415</v>
      </c>
      <c r="F78" s="8" t="s">
        <v>75</v>
      </c>
      <c r="G78" s="25">
        <v>46209</v>
      </c>
      <c r="H78" s="25">
        <v>46213</v>
      </c>
      <c r="I78" s="8" t="s">
        <v>3</v>
      </c>
      <c r="J78" s="8" t="s">
        <v>3</v>
      </c>
      <c r="K78" s="25">
        <v>46261</v>
      </c>
      <c r="L78" s="8" t="s">
        <v>807</v>
      </c>
      <c r="M78" s="8"/>
      <c r="N78" s="10"/>
      <c r="O78" s="8" t="s">
        <v>856</v>
      </c>
    </row>
    <row r="79" ht="32" customHeight="1" spans="1:15">
      <c r="A79" s="8">
        <v>3</v>
      </c>
      <c r="B79" s="8" t="s">
        <v>178</v>
      </c>
      <c r="C79" s="8" t="s">
        <v>180</v>
      </c>
      <c r="D79" s="8" t="s">
        <v>26</v>
      </c>
      <c r="E79" s="8" t="s">
        <v>415</v>
      </c>
      <c r="F79" s="8" t="s">
        <v>75</v>
      </c>
      <c r="G79" s="25">
        <v>46209</v>
      </c>
      <c r="H79" s="25">
        <v>46213</v>
      </c>
      <c r="I79" s="8" t="s">
        <v>3</v>
      </c>
      <c r="J79" s="8" t="s">
        <v>3</v>
      </c>
      <c r="K79" s="25"/>
      <c r="L79" s="8" t="s">
        <v>807</v>
      </c>
      <c r="M79" s="8" t="s">
        <v>808</v>
      </c>
      <c r="N79" s="10"/>
      <c r="O79" s="8" t="s">
        <v>857</v>
      </c>
    </row>
    <row r="80" ht="32" customHeight="1" spans="1:15">
      <c r="A80" s="8">
        <v>3</v>
      </c>
      <c r="B80" s="8" t="s">
        <v>181</v>
      </c>
      <c r="C80" s="8" t="s">
        <v>182</v>
      </c>
      <c r="D80" s="8" t="s">
        <v>26</v>
      </c>
      <c r="E80" s="8" t="s">
        <v>415</v>
      </c>
      <c r="F80" s="8" t="s">
        <v>75</v>
      </c>
      <c r="G80" s="25">
        <v>46209</v>
      </c>
      <c r="H80" s="25">
        <v>46213</v>
      </c>
      <c r="I80" s="8" t="s">
        <v>3</v>
      </c>
      <c r="J80" s="8" t="s">
        <v>3</v>
      </c>
      <c r="K80" s="25"/>
      <c r="L80" s="8" t="s">
        <v>807</v>
      </c>
      <c r="M80" s="8" t="s">
        <v>808</v>
      </c>
      <c r="N80" s="10"/>
      <c r="O80" s="8" t="s">
        <v>858</v>
      </c>
    </row>
    <row r="81" ht="32" customHeight="1" spans="1:15">
      <c r="A81" s="8">
        <v>3</v>
      </c>
      <c r="B81" s="8" t="s">
        <v>183</v>
      </c>
      <c r="C81" s="8" t="s">
        <v>184</v>
      </c>
      <c r="D81" s="8" t="s">
        <v>26</v>
      </c>
      <c r="E81" s="8" t="s">
        <v>415</v>
      </c>
      <c r="F81" s="8" t="s">
        <v>75</v>
      </c>
      <c r="G81" s="25">
        <v>46209</v>
      </c>
      <c r="H81" s="25">
        <v>46213</v>
      </c>
      <c r="I81" s="8" t="s">
        <v>3</v>
      </c>
      <c r="J81" s="8" t="s">
        <v>3</v>
      </c>
      <c r="K81" s="25"/>
      <c r="L81" s="8" t="s">
        <v>807</v>
      </c>
      <c r="M81" s="8" t="s">
        <v>808</v>
      </c>
      <c r="N81" s="10"/>
      <c r="O81" s="8" t="s">
        <v>859</v>
      </c>
    </row>
    <row r="82" ht="32" customHeight="1" spans="1:15">
      <c r="A82" s="8">
        <v>3</v>
      </c>
      <c r="B82" s="8" t="s">
        <v>304</v>
      </c>
      <c r="C82" s="8" t="s">
        <v>307</v>
      </c>
      <c r="D82" s="8" t="s">
        <v>25</v>
      </c>
      <c r="E82" s="8" t="s">
        <v>415</v>
      </c>
      <c r="F82" s="8" t="s">
        <v>75</v>
      </c>
      <c r="G82" s="25">
        <v>46209</v>
      </c>
      <c r="H82" s="25">
        <v>46213</v>
      </c>
      <c r="I82" s="8" t="s">
        <v>3</v>
      </c>
      <c r="J82" s="8" t="s">
        <v>3</v>
      </c>
      <c r="K82" s="25">
        <v>46224</v>
      </c>
      <c r="L82" s="8" t="s">
        <v>807</v>
      </c>
      <c r="M82" s="8"/>
      <c r="N82" s="10"/>
      <c r="O82" s="8" t="s">
        <v>860</v>
      </c>
    </row>
    <row r="83" ht="32" customHeight="1" spans="1:15">
      <c r="A83" s="8">
        <v>3</v>
      </c>
      <c r="B83" s="8" t="s">
        <v>308</v>
      </c>
      <c r="C83" s="8" t="s">
        <v>309</v>
      </c>
      <c r="D83" s="8" t="s">
        <v>25</v>
      </c>
      <c r="E83" s="8" t="s">
        <v>415</v>
      </c>
      <c r="F83" s="8" t="s">
        <v>75</v>
      </c>
      <c r="G83" s="25">
        <v>46209</v>
      </c>
      <c r="H83" s="25">
        <v>46213</v>
      </c>
      <c r="I83" s="8" t="s">
        <v>3</v>
      </c>
      <c r="J83" s="8" t="s">
        <v>3</v>
      </c>
      <c r="K83" s="25">
        <v>46224</v>
      </c>
      <c r="L83" s="8" t="s">
        <v>807</v>
      </c>
      <c r="M83" s="8"/>
      <c r="N83" s="10"/>
      <c r="O83" s="8" t="s">
        <v>861</v>
      </c>
    </row>
    <row r="84" ht="32" customHeight="1" spans="1:15">
      <c r="A84" s="8">
        <v>3</v>
      </c>
      <c r="B84" s="8" t="s">
        <v>310</v>
      </c>
      <c r="C84" s="8" t="s">
        <v>311</v>
      </c>
      <c r="D84" s="8" t="s">
        <v>25</v>
      </c>
      <c r="E84" s="8" t="s">
        <v>415</v>
      </c>
      <c r="F84" s="8" t="s">
        <v>75</v>
      </c>
      <c r="G84" s="25">
        <v>46209</v>
      </c>
      <c r="H84" s="25">
        <v>46213</v>
      </c>
      <c r="I84" s="8" t="s">
        <v>3</v>
      </c>
      <c r="J84" s="8" t="s">
        <v>3</v>
      </c>
      <c r="K84" s="25">
        <v>46224</v>
      </c>
      <c r="L84" s="8" t="s">
        <v>807</v>
      </c>
      <c r="M84" s="8"/>
      <c r="N84" s="10"/>
      <c r="O84" s="8" t="s">
        <v>862</v>
      </c>
    </row>
    <row r="85" ht="32" customHeight="1" spans="1:15">
      <c r="A85" s="8">
        <v>3</v>
      </c>
      <c r="B85" s="8" t="s">
        <v>312</v>
      </c>
      <c r="C85" s="8" t="s">
        <v>313</v>
      </c>
      <c r="D85" s="8" t="s">
        <v>25</v>
      </c>
      <c r="E85" s="8" t="s">
        <v>415</v>
      </c>
      <c r="F85" s="8" t="s">
        <v>75</v>
      </c>
      <c r="G85" s="25">
        <v>46209</v>
      </c>
      <c r="H85" s="25">
        <v>46213</v>
      </c>
      <c r="I85" s="8" t="s">
        <v>3</v>
      </c>
      <c r="J85" s="8" t="s">
        <v>3</v>
      </c>
      <c r="K85" s="25">
        <v>46224</v>
      </c>
      <c r="L85" s="8" t="s">
        <v>807</v>
      </c>
      <c r="M85" s="8"/>
      <c r="N85" s="10"/>
      <c r="O85" s="8" t="s">
        <v>863</v>
      </c>
    </row>
    <row r="86" ht="32" customHeight="1" spans="1:15">
      <c r="A86" s="8">
        <v>3</v>
      </c>
      <c r="B86" s="8" t="s">
        <v>314</v>
      </c>
      <c r="C86" s="8" t="s">
        <v>316</v>
      </c>
      <c r="D86" s="8" t="s">
        <v>25</v>
      </c>
      <c r="E86" s="8" t="s">
        <v>415</v>
      </c>
      <c r="F86" s="8" t="s">
        <v>75</v>
      </c>
      <c r="G86" s="25">
        <v>46209</v>
      </c>
      <c r="H86" s="25">
        <v>46213</v>
      </c>
      <c r="I86" s="8" t="s">
        <v>3</v>
      </c>
      <c r="J86" s="8" t="s">
        <v>3</v>
      </c>
      <c r="K86" s="25"/>
      <c r="L86" s="8" t="s">
        <v>807</v>
      </c>
      <c r="M86" s="8" t="s">
        <v>808</v>
      </c>
      <c r="N86" s="10"/>
      <c r="O86" s="8" t="s">
        <v>864</v>
      </c>
    </row>
    <row r="87" ht="32" customHeight="1" spans="1:15">
      <c r="A87" s="8">
        <v>3</v>
      </c>
      <c r="B87" s="8" t="s">
        <v>317</v>
      </c>
      <c r="C87" s="8" t="s">
        <v>318</v>
      </c>
      <c r="D87" s="8" t="s">
        <v>25</v>
      </c>
      <c r="E87" s="8" t="s">
        <v>415</v>
      </c>
      <c r="F87" s="8" t="s">
        <v>75</v>
      </c>
      <c r="G87" s="25">
        <v>46209</v>
      </c>
      <c r="H87" s="25">
        <v>46213</v>
      </c>
      <c r="I87" s="8" t="s">
        <v>3</v>
      </c>
      <c r="J87" s="8" t="s">
        <v>3</v>
      </c>
      <c r="K87" s="25"/>
      <c r="L87" s="8" t="s">
        <v>807</v>
      </c>
      <c r="M87" s="8" t="s">
        <v>808</v>
      </c>
      <c r="N87" s="10"/>
      <c r="O87" s="8" t="s">
        <v>865</v>
      </c>
    </row>
    <row r="88" ht="32" customHeight="1" spans="1:15">
      <c r="A88" s="8">
        <v>3</v>
      </c>
      <c r="B88" s="8" t="s">
        <v>319</v>
      </c>
      <c r="C88" s="8" t="s">
        <v>320</v>
      </c>
      <c r="D88" s="8" t="s">
        <v>25</v>
      </c>
      <c r="E88" s="8" t="s">
        <v>415</v>
      </c>
      <c r="F88" s="8" t="s">
        <v>75</v>
      </c>
      <c r="G88" s="25">
        <v>46209</v>
      </c>
      <c r="H88" s="25">
        <v>46213</v>
      </c>
      <c r="I88" s="8" t="s">
        <v>3</v>
      </c>
      <c r="J88" s="8" t="s">
        <v>3</v>
      </c>
      <c r="K88" s="25"/>
      <c r="L88" s="8" t="s">
        <v>807</v>
      </c>
      <c r="M88" s="8" t="s">
        <v>808</v>
      </c>
      <c r="N88" s="10"/>
      <c r="O88" s="8" t="s">
        <v>866</v>
      </c>
    </row>
    <row r="89" ht="32" customHeight="1" spans="1:15">
      <c r="A89" s="8">
        <v>3</v>
      </c>
      <c r="B89" s="8" t="s">
        <v>321</v>
      </c>
      <c r="C89" s="8" t="s">
        <v>322</v>
      </c>
      <c r="D89" s="8" t="s">
        <v>25</v>
      </c>
      <c r="E89" s="8" t="s">
        <v>415</v>
      </c>
      <c r="F89" s="8" t="s">
        <v>75</v>
      </c>
      <c r="G89" s="25">
        <v>46209</v>
      </c>
      <c r="H89" s="25">
        <v>46213</v>
      </c>
      <c r="I89" s="8" t="s">
        <v>3</v>
      </c>
      <c r="J89" s="8" t="s">
        <v>3</v>
      </c>
      <c r="K89" s="25"/>
      <c r="L89" s="8" t="s">
        <v>807</v>
      </c>
      <c r="M89" s="8" t="s">
        <v>808</v>
      </c>
      <c r="N89" s="10"/>
      <c r="O89" s="8" t="s">
        <v>867</v>
      </c>
    </row>
    <row r="90" ht="32" customHeight="1" spans="1:15">
      <c r="A90" s="8">
        <v>3</v>
      </c>
      <c r="B90" s="8" t="s">
        <v>323</v>
      </c>
      <c r="C90" s="8" t="s">
        <v>324</v>
      </c>
      <c r="D90" s="8" t="s">
        <v>25</v>
      </c>
      <c r="E90" s="8" t="s">
        <v>415</v>
      </c>
      <c r="F90" s="8" t="s">
        <v>75</v>
      </c>
      <c r="G90" s="25">
        <v>46209</v>
      </c>
      <c r="H90" s="25">
        <v>46213</v>
      </c>
      <c r="I90" s="8" t="s">
        <v>3</v>
      </c>
      <c r="J90" s="8" t="s">
        <v>3</v>
      </c>
      <c r="K90" s="25"/>
      <c r="L90" s="8" t="s">
        <v>807</v>
      </c>
      <c r="M90" s="8" t="s">
        <v>808</v>
      </c>
      <c r="N90" s="10"/>
      <c r="O90" s="8" t="s">
        <v>868</v>
      </c>
    </row>
    <row r="91" ht="32" customHeight="1" spans="1:15">
      <c r="A91" s="8">
        <v>3</v>
      </c>
      <c r="B91" s="8" t="s">
        <v>325</v>
      </c>
      <c r="C91" s="8" t="s">
        <v>326</v>
      </c>
      <c r="D91" s="8" t="s">
        <v>25</v>
      </c>
      <c r="E91" s="8" t="s">
        <v>415</v>
      </c>
      <c r="F91" s="8" t="s">
        <v>75</v>
      </c>
      <c r="G91" s="25">
        <v>46209</v>
      </c>
      <c r="H91" s="25">
        <v>46213</v>
      </c>
      <c r="I91" s="8" t="s">
        <v>3</v>
      </c>
      <c r="J91" s="8" t="s">
        <v>3</v>
      </c>
      <c r="K91" s="25"/>
      <c r="L91" s="8" t="s">
        <v>807</v>
      </c>
      <c r="M91" s="8" t="s">
        <v>808</v>
      </c>
      <c r="N91" s="10"/>
      <c r="O91" s="8" t="s">
        <v>869</v>
      </c>
    </row>
    <row r="92" ht="32" customHeight="1" spans="1:15">
      <c r="A92" s="8">
        <v>3</v>
      </c>
      <c r="B92" s="8" t="s">
        <v>327</v>
      </c>
      <c r="C92" s="8" t="s">
        <v>328</v>
      </c>
      <c r="D92" s="8" t="s">
        <v>26</v>
      </c>
      <c r="E92" s="8" t="s">
        <v>415</v>
      </c>
      <c r="F92" s="8" t="s">
        <v>75</v>
      </c>
      <c r="G92" s="25">
        <v>46209</v>
      </c>
      <c r="H92" s="25">
        <v>46213</v>
      </c>
      <c r="I92" s="8" t="s">
        <v>3</v>
      </c>
      <c r="J92" s="8" t="s">
        <v>3</v>
      </c>
      <c r="K92" s="25"/>
      <c r="L92" s="8" t="s">
        <v>807</v>
      </c>
      <c r="M92" s="8" t="s">
        <v>808</v>
      </c>
      <c r="N92" s="10"/>
      <c r="O92" s="8" t="s">
        <v>870</v>
      </c>
    </row>
    <row r="93" ht="32" customHeight="1" spans="1:15">
      <c r="A93" s="8">
        <v>3</v>
      </c>
      <c r="B93" s="8" t="s">
        <v>382</v>
      </c>
      <c r="C93" s="8" t="s">
        <v>168</v>
      </c>
      <c r="D93" s="8" t="s">
        <v>26</v>
      </c>
      <c r="E93" s="8" t="s">
        <v>415</v>
      </c>
      <c r="F93" s="8" t="s">
        <v>75</v>
      </c>
      <c r="G93" s="25">
        <v>46209</v>
      </c>
      <c r="H93" s="25">
        <v>46213</v>
      </c>
      <c r="I93" s="8" t="s">
        <v>3</v>
      </c>
      <c r="J93" s="8" t="s">
        <v>3</v>
      </c>
      <c r="K93" s="25">
        <v>46261</v>
      </c>
      <c r="L93" s="8" t="s">
        <v>807</v>
      </c>
      <c r="M93" s="8"/>
      <c r="N93" s="10"/>
      <c r="O93" s="8" t="s">
        <v>871</v>
      </c>
    </row>
    <row r="94" ht="32" customHeight="1" spans="1:15">
      <c r="A94" s="8">
        <v>3</v>
      </c>
      <c r="B94" s="8" t="s">
        <v>383</v>
      </c>
      <c r="C94" s="8" t="s">
        <v>175</v>
      </c>
      <c r="D94" s="8" t="s">
        <v>26</v>
      </c>
      <c r="E94" s="8" t="s">
        <v>415</v>
      </c>
      <c r="F94" s="8" t="s">
        <v>75</v>
      </c>
      <c r="G94" s="25">
        <v>46209</v>
      </c>
      <c r="H94" s="25">
        <v>46213</v>
      </c>
      <c r="I94" s="8" t="s">
        <v>3</v>
      </c>
      <c r="J94" s="8" t="s">
        <v>3</v>
      </c>
      <c r="K94" s="25">
        <v>46261</v>
      </c>
      <c r="L94" s="8" t="s">
        <v>807</v>
      </c>
      <c r="M94" s="8"/>
      <c r="N94" s="10"/>
      <c r="O94" s="8" t="s">
        <v>872</v>
      </c>
    </row>
    <row r="95" ht="32" customHeight="1" spans="1:15">
      <c r="A95" s="8">
        <v>3</v>
      </c>
      <c r="B95" s="8" t="s">
        <v>384</v>
      </c>
      <c r="C95" s="8" t="s">
        <v>182</v>
      </c>
      <c r="D95" s="8" t="s">
        <v>26</v>
      </c>
      <c r="E95" s="8" t="s">
        <v>415</v>
      </c>
      <c r="F95" s="8" t="s">
        <v>75</v>
      </c>
      <c r="G95" s="25">
        <v>46209</v>
      </c>
      <c r="H95" s="25">
        <v>46213</v>
      </c>
      <c r="I95" s="8" t="s">
        <v>3</v>
      </c>
      <c r="J95" s="8" t="s">
        <v>3</v>
      </c>
      <c r="K95" s="25"/>
      <c r="L95" s="8" t="s">
        <v>807</v>
      </c>
      <c r="M95" s="8" t="s">
        <v>808</v>
      </c>
      <c r="N95" s="10"/>
      <c r="O95" s="8" t="s">
        <v>873</v>
      </c>
    </row>
    <row r="96" ht="32" customHeight="1" spans="1:15">
      <c r="A96" s="8">
        <v>3</v>
      </c>
      <c r="B96" s="8" t="s">
        <v>389</v>
      </c>
      <c r="C96" s="8" t="s">
        <v>390</v>
      </c>
      <c r="D96" s="8" t="s">
        <v>25</v>
      </c>
      <c r="E96" s="8" t="s">
        <v>415</v>
      </c>
      <c r="F96" s="8" t="s">
        <v>75</v>
      </c>
      <c r="G96" s="25">
        <v>46209</v>
      </c>
      <c r="H96" s="25">
        <v>46213</v>
      </c>
      <c r="I96" s="8" t="s">
        <v>3</v>
      </c>
      <c r="J96" s="8" t="s">
        <v>3</v>
      </c>
      <c r="K96" s="25">
        <v>46261</v>
      </c>
      <c r="L96" s="8" t="s">
        <v>807</v>
      </c>
      <c r="M96" s="8"/>
      <c r="N96" s="10"/>
      <c r="O96" s="8" t="s">
        <v>874</v>
      </c>
    </row>
    <row r="97" ht="32" customHeight="1" spans="1:15">
      <c r="A97" s="8">
        <v>3</v>
      </c>
      <c r="B97" s="8" t="s">
        <v>391</v>
      </c>
      <c r="C97" s="8" t="s">
        <v>390</v>
      </c>
      <c r="D97" s="8" t="s">
        <v>25</v>
      </c>
      <c r="E97" s="8" t="s">
        <v>415</v>
      </c>
      <c r="F97" s="8" t="s">
        <v>75</v>
      </c>
      <c r="G97" s="25">
        <v>46209</v>
      </c>
      <c r="H97" s="25">
        <v>46213</v>
      </c>
      <c r="I97" s="8" t="s">
        <v>3</v>
      </c>
      <c r="J97" s="8" t="s">
        <v>3</v>
      </c>
      <c r="K97" s="25">
        <v>46261</v>
      </c>
      <c r="L97" s="8" t="s">
        <v>807</v>
      </c>
      <c r="M97" s="8"/>
      <c r="N97" s="10"/>
      <c r="O97" s="8" t="s">
        <v>875</v>
      </c>
    </row>
    <row r="98" ht="32" customHeight="1" spans="1:15">
      <c r="A98" s="8">
        <v>3</v>
      </c>
      <c r="B98" s="8" t="s">
        <v>392</v>
      </c>
      <c r="C98" s="8" t="s">
        <v>390</v>
      </c>
      <c r="D98" s="8" t="s">
        <v>26</v>
      </c>
      <c r="E98" s="8" t="s">
        <v>415</v>
      </c>
      <c r="F98" s="8" t="s">
        <v>75</v>
      </c>
      <c r="G98" s="25">
        <v>46209</v>
      </c>
      <c r="H98" s="25">
        <v>46213</v>
      </c>
      <c r="I98" s="8" t="s">
        <v>3</v>
      </c>
      <c r="J98" s="8" t="s">
        <v>3</v>
      </c>
      <c r="K98" s="25"/>
      <c r="L98" s="8" t="s">
        <v>807</v>
      </c>
      <c r="M98" s="8" t="s">
        <v>808</v>
      </c>
      <c r="N98" s="10"/>
      <c r="O98" s="8" t="s">
        <v>876</v>
      </c>
    </row>
    <row r="99" ht="32" customHeight="1" spans="1:15">
      <c r="A99" s="8">
        <v>3</v>
      </c>
      <c r="B99" s="8" t="s">
        <v>212</v>
      </c>
      <c r="C99" s="8" t="s">
        <v>214</v>
      </c>
      <c r="D99" s="8" t="s">
        <v>25</v>
      </c>
      <c r="E99" s="8" t="s">
        <v>411</v>
      </c>
      <c r="F99" s="8" t="s">
        <v>78</v>
      </c>
      <c r="G99" s="25">
        <v>46202</v>
      </c>
      <c r="H99" s="25">
        <v>46213</v>
      </c>
      <c r="I99" s="8" t="s">
        <v>3</v>
      </c>
      <c r="J99" s="8" t="s">
        <v>3</v>
      </c>
      <c r="K99" s="25">
        <v>46224</v>
      </c>
      <c r="L99" s="8" t="s">
        <v>807</v>
      </c>
      <c r="M99" s="8"/>
      <c r="N99" s="10"/>
      <c r="O99" s="8" t="s">
        <v>877</v>
      </c>
    </row>
    <row r="100" ht="32" customHeight="1" spans="1:15">
      <c r="A100" s="8">
        <v>3</v>
      </c>
      <c r="B100" s="8" t="s">
        <v>237</v>
      </c>
      <c r="C100" s="8" t="s">
        <v>238</v>
      </c>
      <c r="D100" s="8" t="s">
        <v>25</v>
      </c>
      <c r="E100" s="8" t="s">
        <v>411</v>
      </c>
      <c r="F100" s="8" t="s">
        <v>78</v>
      </c>
      <c r="G100" s="25">
        <v>46202</v>
      </c>
      <c r="H100" s="25">
        <v>46213</v>
      </c>
      <c r="I100" s="8" t="s">
        <v>3</v>
      </c>
      <c r="J100" s="8" t="s">
        <v>3</v>
      </c>
      <c r="K100" s="25">
        <v>46224</v>
      </c>
      <c r="L100" s="8" t="s">
        <v>807</v>
      </c>
      <c r="M100" s="8"/>
      <c r="N100" s="10"/>
      <c r="O100" s="8" t="s">
        <v>878</v>
      </c>
    </row>
    <row r="101" ht="32" customHeight="1" spans="1:15">
      <c r="A101" s="8">
        <v>3</v>
      </c>
      <c r="B101" s="8" t="s">
        <v>239</v>
      </c>
      <c r="C101" s="8" t="s">
        <v>240</v>
      </c>
      <c r="D101" s="8" t="s">
        <v>25</v>
      </c>
      <c r="E101" s="8" t="s">
        <v>411</v>
      </c>
      <c r="F101" s="8" t="s">
        <v>78</v>
      </c>
      <c r="G101" s="25">
        <v>46202</v>
      </c>
      <c r="H101" s="25">
        <v>46213</v>
      </c>
      <c r="I101" s="8" t="s">
        <v>3</v>
      </c>
      <c r="J101" s="8" t="s">
        <v>3</v>
      </c>
      <c r="K101" s="25">
        <v>46224</v>
      </c>
      <c r="L101" s="8" t="s">
        <v>807</v>
      </c>
      <c r="M101" s="8"/>
      <c r="N101" s="10"/>
      <c r="O101" s="8" t="s">
        <v>879</v>
      </c>
    </row>
    <row r="102" ht="32" customHeight="1" spans="1:15">
      <c r="A102" s="8">
        <v>4</v>
      </c>
      <c r="B102" s="8" t="s">
        <v>350</v>
      </c>
      <c r="C102" s="8" t="s">
        <v>353</v>
      </c>
      <c r="D102" s="8" t="s">
        <v>26</v>
      </c>
      <c r="E102" s="8" t="s">
        <v>415</v>
      </c>
      <c r="F102" s="8" t="s">
        <v>75</v>
      </c>
      <c r="G102" s="25">
        <v>46216</v>
      </c>
      <c r="H102" s="25">
        <v>46220</v>
      </c>
      <c r="I102" s="8" t="s">
        <v>3</v>
      </c>
      <c r="J102" s="8" t="s">
        <v>3</v>
      </c>
      <c r="K102" s="25">
        <v>46261</v>
      </c>
      <c r="L102" s="8" t="s">
        <v>807</v>
      </c>
      <c r="M102" s="8"/>
      <c r="N102" s="10"/>
      <c r="O102" s="8" t="s">
        <v>880</v>
      </c>
    </row>
    <row r="103" ht="32" customHeight="1" spans="1:15">
      <c r="A103" s="8">
        <v>4</v>
      </c>
      <c r="B103" s="8" t="s">
        <v>354</v>
      </c>
      <c r="C103" s="8" t="s">
        <v>355</v>
      </c>
      <c r="D103" s="8" t="s">
        <v>26</v>
      </c>
      <c r="E103" s="8" t="s">
        <v>415</v>
      </c>
      <c r="F103" s="8" t="s">
        <v>75</v>
      </c>
      <c r="G103" s="25">
        <v>46216</v>
      </c>
      <c r="H103" s="25">
        <v>46220</v>
      </c>
      <c r="I103" s="8" t="s">
        <v>3</v>
      </c>
      <c r="J103" s="8" t="s">
        <v>3</v>
      </c>
      <c r="K103" s="25">
        <v>46261</v>
      </c>
      <c r="L103" s="8" t="s">
        <v>807</v>
      </c>
      <c r="M103" s="8"/>
      <c r="N103" s="10"/>
      <c r="O103" s="8" t="s">
        <v>881</v>
      </c>
    </row>
    <row r="104" ht="32" customHeight="1" spans="1:15">
      <c r="A104" s="8">
        <v>4</v>
      </c>
      <c r="B104" s="8" t="s">
        <v>356</v>
      </c>
      <c r="C104" s="8" t="s">
        <v>357</v>
      </c>
      <c r="D104" s="8" t="s">
        <v>26</v>
      </c>
      <c r="E104" s="8" t="s">
        <v>415</v>
      </c>
      <c r="F104" s="8" t="s">
        <v>75</v>
      </c>
      <c r="G104" s="25">
        <v>46216</v>
      </c>
      <c r="H104" s="25">
        <v>46220</v>
      </c>
      <c r="I104" s="8" t="s">
        <v>3</v>
      </c>
      <c r="J104" s="8" t="s">
        <v>3</v>
      </c>
      <c r="K104" s="25">
        <v>46261</v>
      </c>
      <c r="L104" s="8" t="s">
        <v>807</v>
      </c>
      <c r="M104" s="8"/>
      <c r="N104" s="10"/>
      <c r="O104" s="8" t="s">
        <v>882</v>
      </c>
    </row>
    <row r="105" ht="32" customHeight="1" spans="1:15">
      <c r="A105" s="8">
        <v>4</v>
      </c>
      <c r="B105" s="8" t="s">
        <v>358</v>
      </c>
      <c r="C105" s="8" t="s">
        <v>359</v>
      </c>
      <c r="D105" s="8" t="s">
        <v>26</v>
      </c>
      <c r="E105" s="8" t="s">
        <v>415</v>
      </c>
      <c r="F105" s="8" t="s">
        <v>75</v>
      </c>
      <c r="G105" s="25">
        <v>46216</v>
      </c>
      <c r="H105" s="25">
        <v>46220</v>
      </c>
      <c r="I105" s="8" t="s">
        <v>3</v>
      </c>
      <c r="J105" s="8" t="s">
        <v>3</v>
      </c>
      <c r="K105" s="25">
        <v>46261</v>
      </c>
      <c r="L105" s="8" t="s">
        <v>807</v>
      </c>
      <c r="M105" s="8"/>
      <c r="N105" s="10"/>
      <c r="O105" s="8" t="s">
        <v>883</v>
      </c>
    </row>
    <row r="106" ht="32" customHeight="1" spans="1:15">
      <c r="A106" s="8">
        <v>4</v>
      </c>
      <c r="B106" s="8" t="s">
        <v>360</v>
      </c>
      <c r="C106" s="8" t="s">
        <v>361</v>
      </c>
      <c r="D106" s="8" t="s">
        <v>26</v>
      </c>
      <c r="E106" s="8" t="s">
        <v>415</v>
      </c>
      <c r="F106" s="8" t="s">
        <v>75</v>
      </c>
      <c r="G106" s="25">
        <v>46216</v>
      </c>
      <c r="H106" s="25">
        <v>46220</v>
      </c>
      <c r="I106" s="8" t="s">
        <v>3</v>
      </c>
      <c r="J106" s="8" t="s">
        <v>3</v>
      </c>
      <c r="K106" s="25">
        <v>46261</v>
      </c>
      <c r="L106" s="8" t="s">
        <v>807</v>
      </c>
      <c r="M106" s="8"/>
      <c r="N106" s="10"/>
      <c r="O106" s="8" t="s">
        <v>884</v>
      </c>
    </row>
    <row r="107" ht="32" customHeight="1" spans="1:15">
      <c r="A107" s="8">
        <v>5</v>
      </c>
      <c r="B107" s="8" t="s">
        <v>107</v>
      </c>
      <c r="C107" s="8" t="s">
        <v>109</v>
      </c>
      <c r="D107" s="8" t="s">
        <v>26</v>
      </c>
      <c r="E107" s="8" t="s">
        <v>415</v>
      </c>
      <c r="F107" s="8" t="s">
        <v>75</v>
      </c>
      <c r="G107" s="25">
        <v>46223</v>
      </c>
      <c r="H107" s="25">
        <v>46227</v>
      </c>
      <c r="I107" s="8" t="s">
        <v>3</v>
      </c>
      <c r="J107" s="8" t="s">
        <v>4</v>
      </c>
      <c r="K107" s="25"/>
      <c r="L107" s="8" t="s">
        <v>807</v>
      </c>
      <c r="M107" s="8" t="s">
        <v>808</v>
      </c>
      <c r="N107" s="10"/>
      <c r="O107" s="8" t="s">
        <v>885</v>
      </c>
    </row>
    <row r="108" ht="32" customHeight="1" spans="1:15">
      <c r="A108" s="8">
        <v>5</v>
      </c>
      <c r="B108" s="8" t="s">
        <v>110</v>
      </c>
      <c r="C108" s="8" t="s">
        <v>111</v>
      </c>
      <c r="D108" s="8" t="s">
        <v>26</v>
      </c>
      <c r="E108" s="8" t="s">
        <v>415</v>
      </c>
      <c r="F108" s="8" t="s">
        <v>75</v>
      </c>
      <c r="G108" s="25">
        <v>46223</v>
      </c>
      <c r="H108" s="25">
        <v>46227</v>
      </c>
      <c r="I108" s="8" t="s">
        <v>3</v>
      </c>
      <c r="J108" s="8" t="s">
        <v>4</v>
      </c>
      <c r="K108" s="25"/>
      <c r="L108" s="8" t="s">
        <v>807</v>
      </c>
      <c r="M108" s="8" t="s">
        <v>808</v>
      </c>
      <c r="N108" s="10"/>
      <c r="O108" s="8" t="s">
        <v>886</v>
      </c>
    </row>
    <row r="109" ht="32" customHeight="1" spans="1:15">
      <c r="A109" s="8">
        <v>5</v>
      </c>
      <c r="B109" s="8" t="s">
        <v>112</v>
      </c>
      <c r="C109" s="8" t="s">
        <v>113</v>
      </c>
      <c r="D109" s="8" t="s">
        <v>26</v>
      </c>
      <c r="E109" s="8" t="s">
        <v>415</v>
      </c>
      <c r="F109" s="8" t="s">
        <v>75</v>
      </c>
      <c r="G109" s="25">
        <v>46223</v>
      </c>
      <c r="H109" s="25">
        <v>46227</v>
      </c>
      <c r="I109" s="8" t="s">
        <v>3</v>
      </c>
      <c r="J109" s="8" t="s">
        <v>4</v>
      </c>
      <c r="K109" s="25"/>
      <c r="L109" s="8" t="s">
        <v>807</v>
      </c>
      <c r="M109" s="8" t="s">
        <v>808</v>
      </c>
      <c r="N109" s="10"/>
      <c r="O109" s="8" t="s">
        <v>887</v>
      </c>
    </row>
    <row r="110" ht="32" customHeight="1" spans="1:15">
      <c r="A110" s="8">
        <v>5</v>
      </c>
      <c r="B110" s="8" t="s">
        <v>114</v>
      </c>
      <c r="C110" s="8" t="s">
        <v>115</v>
      </c>
      <c r="D110" s="8" t="s">
        <v>26</v>
      </c>
      <c r="E110" s="8" t="s">
        <v>415</v>
      </c>
      <c r="F110" s="8" t="s">
        <v>75</v>
      </c>
      <c r="G110" s="25">
        <v>46223</v>
      </c>
      <c r="H110" s="25">
        <v>46227</v>
      </c>
      <c r="I110" s="8" t="s">
        <v>3</v>
      </c>
      <c r="J110" s="8" t="s">
        <v>4</v>
      </c>
      <c r="K110" s="25"/>
      <c r="L110" s="8" t="s">
        <v>807</v>
      </c>
      <c r="M110" s="8" t="s">
        <v>808</v>
      </c>
      <c r="N110" s="10"/>
      <c r="O110" s="8" t="s">
        <v>888</v>
      </c>
    </row>
    <row r="111" ht="32" customHeight="1" spans="1:15">
      <c r="A111" s="8">
        <v>5</v>
      </c>
      <c r="B111" s="8" t="s">
        <v>116</v>
      </c>
      <c r="C111" s="8" t="s">
        <v>117</v>
      </c>
      <c r="D111" s="8" t="s">
        <v>26</v>
      </c>
      <c r="E111" s="8" t="s">
        <v>415</v>
      </c>
      <c r="F111" s="8" t="s">
        <v>75</v>
      </c>
      <c r="G111" s="25">
        <v>46223</v>
      </c>
      <c r="H111" s="25">
        <v>46227</v>
      </c>
      <c r="I111" s="8" t="s">
        <v>3</v>
      </c>
      <c r="J111" s="8" t="s">
        <v>4</v>
      </c>
      <c r="K111" s="25"/>
      <c r="L111" s="8" t="s">
        <v>807</v>
      </c>
      <c r="M111" s="8" t="s">
        <v>808</v>
      </c>
      <c r="N111" s="10"/>
      <c r="O111" s="8" t="s">
        <v>889</v>
      </c>
    </row>
    <row r="112" ht="32" customHeight="1" spans="1:15">
      <c r="A112" s="8">
        <v>5</v>
      </c>
      <c r="B112" s="8" t="s">
        <v>118</v>
      </c>
      <c r="C112" s="8" t="s">
        <v>119</v>
      </c>
      <c r="D112" s="8" t="s">
        <v>26</v>
      </c>
      <c r="E112" s="8" t="s">
        <v>415</v>
      </c>
      <c r="F112" s="8" t="s">
        <v>75</v>
      </c>
      <c r="G112" s="25">
        <v>46223</v>
      </c>
      <c r="H112" s="25">
        <v>46227</v>
      </c>
      <c r="I112" s="8" t="s">
        <v>5</v>
      </c>
      <c r="J112" s="8" t="s">
        <v>5</v>
      </c>
      <c r="K112" s="25"/>
      <c r="L112" s="8" t="s">
        <v>890</v>
      </c>
      <c r="M112" s="8"/>
      <c r="N112" s="10"/>
      <c r="O112" s="8" t="s">
        <v>891</v>
      </c>
    </row>
    <row r="113" ht="32" customHeight="1" spans="1:15">
      <c r="A113" s="8">
        <v>5</v>
      </c>
      <c r="B113" s="8" t="s">
        <v>201</v>
      </c>
      <c r="C113" s="8" t="s">
        <v>203</v>
      </c>
      <c r="D113" s="8" t="s">
        <v>26</v>
      </c>
      <c r="E113" s="8" t="s">
        <v>415</v>
      </c>
      <c r="F113" s="8" t="s">
        <v>75</v>
      </c>
      <c r="G113" s="25">
        <v>46223</v>
      </c>
      <c r="H113" s="25">
        <v>46227</v>
      </c>
      <c r="I113" s="8" t="s">
        <v>5</v>
      </c>
      <c r="J113" s="8" t="s">
        <v>5</v>
      </c>
      <c r="K113" s="25">
        <v>46224</v>
      </c>
      <c r="L113" s="8" t="s">
        <v>890</v>
      </c>
      <c r="M113" s="8"/>
      <c r="N113" s="10"/>
      <c r="O113" s="8" t="s">
        <v>892</v>
      </c>
    </row>
    <row r="114" ht="32" customHeight="1" spans="1:15">
      <c r="A114" s="8">
        <v>5</v>
      </c>
      <c r="B114" s="8" t="s">
        <v>204</v>
      </c>
      <c r="C114" s="8" t="s">
        <v>205</v>
      </c>
      <c r="D114" s="8" t="s">
        <v>26</v>
      </c>
      <c r="E114" s="8" t="s">
        <v>415</v>
      </c>
      <c r="F114" s="8" t="s">
        <v>75</v>
      </c>
      <c r="G114" s="25">
        <v>46223</v>
      </c>
      <c r="H114" s="25">
        <v>46227</v>
      </c>
      <c r="I114" s="8" t="s">
        <v>5</v>
      </c>
      <c r="J114" s="8" t="s">
        <v>5</v>
      </c>
      <c r="K114" s="25">
        <v>46224</v>
      </c>
      <c r="L114" s="8" t="s">
        <v>890</v>
      </c>
      <c r="M114" s="8"/>
      <c r="N114" s="10"/>
      <c r="O114" s="8" t="s">
        <v>893</v>
      </c>
    </row>
    <row r="115" ht="32" customHeight="1" spans="1:15">
      <c r="A115" s="8">
        <v>5</v>
      </c>
      <c r="B115" s="8" t="s">
        <v>206</v>
      </c>
      <c r="C115" s="8" t="s">
        <v>207</v>
      </c>
      <c r="D115" s="8" t="s">
        <v>26</v>
      </c>
      <c r="E115" s="8" t="s">
        <v>415</v>
      </c>
      <c r="F115" s="8" t="s">
        <v>75</v>
      </c>
      <c r="G115" s="25">
        <v>46223</v>
      </c>
      <c r="H115" s="25">
        <v>46227</v>
      </c>
      <c r="I115" s="8" t="s">
        <v>5</v>
      </c>
      <c r="J115" s="8" t="s">
        <v>5</v>
      </c>
      <c r="K115" s="25">
        <v>46224</v>
      </c>
      <c r="L115" s="8" t="s">
        <v>890</v>
      </c>
      <c r="M115" s="8"/>
      <c r="N115" s="10"/>
      <c r="O115" s="8" t="s">
        <v>894</v>
      </c>
    </row>
    <row r="116" ht="32" customHeight="1" spans="1:15">
      <c r="A116" s="8">
        <v>5</v>
      </c>
      <c r="B116" s="8" t="s">
        <v>208</v>
      </c>
      <c r="C116" s="8" t="s">
        <v>209</v>
      </c>
      <c r="D116" s="8" t="s">
        <v>26</v>
      </c>
      <c r="E116" s="8" t="s">
        <v>415</v>
      </c>
      <c r="F116" s="8" t="s">
        <v>75</v>
      </c>
      <c r="G116" s="25">
        <v>46223</v>
      </c>
      <c r="H116" s="25">
        <v>46227</v>
      </c>
      <c r="I116" s="8" t="s">
        <v>5</v>
      </c>
      <c r="J116" s="8" t="s">
        <v>5</v>
      </c>
      <c r="K116" s="25"/>
      <c r="L116" s="8" t="s">
        <v>890</v>
      </c>
      <c r="M116" s="8"/>
      <c r="N116" s="10"/>
      <c r="O116" s="8" t="s">
        <v>895</v>
      </c>
    </row>
    <row r="117" ht="32" customHeight="1" spans="1:15">
      <c r="A117" s="8">
        <v>5</v>
      </c>
      <c r="B117" s="8" t="s">
        <v>210</v>
      </c>
      <c r="C117" s="8" t="s">
        <v>211</v>
      </c>
      <c r="D117" s="8" t="s">
        <v>26</v>
      </c>
      <c r="E117" s="8" t="s">
        <v>415</v>
      </c>
      <c r="F117" s="8" t="s">
        <v>75</v>
      </c>
      <c r="G117" s="25">
        <v>46223</v>
      </c>
      <c r="H117" s="25">
        <v>46227</v>
      </c>
      <c r="I117" s="8" t="s">
        <v>5</v>
      </c>
      <c r="J117" s="8" t="s">
        <v>5</v>
      </c>
      <c r="K117" s="25">
        <v>46224</v>
      </c>
      <c r="L117" s="8" t="s">
        <v>890</v>
      </c>
      <c r="M117" s="8"/>
      <c r="N117" s="10"/>
      <c r="O117" s="8" t="s">
        <v>896</v>
      </c>
    </row>
    <row r="118" ht="32" customHeight="1" spans="1:15">
      <c r="A118" s="8">
        <v>5</v>
      </c>
      <c r="B118" s="8" t="s">
        <v>255</v>
      </c>
      <c r="C118" s="8" t="s">
        <v>258</v>
      </c>
      <c r="D118" s="8" t="s">
        <v>26</v>
      </c>
      <c r="E118" s="8" t="s">
        <v>415</v>
      </c>
      <c r="F118" s="8" t="s">
        <v>75</v>
      </c>
      <c r="G118" s="25">
        <v>46223</v>
      </c>
      <c r="H118" s="25">
        <v>46227</v>
      </c>
      <c r="I118" s="8" t="s">
        <v>3</v>
      </c>
      <c r="J118" s="8" t="s">
        <v>4</v>
      </c>
      <c r="K118" s="25"/>
      <c r="L118" s="8" t="s">
        <v>807</v>
      </c>
      <c r="M118" s="8" t="s">
        <v>808</v>
      </c>
      <c r="N118" s="10"/>
      <c r="O118" s="8" t="s">
        <v>897</v>
      </c>
    </row>
    <row r="119" ht="32" customHeight="1" spans="1:15">
      <c r="A119" s="8">
        <v>5</v>
      </c>
      <c r="B119" s="8" t="s">
        <v>259</v>
      </c>
      <c r="C119" s="8" t="s">
        <v>260</v>
      </c>
      <c r="D119" s="8" t="s">
        <v>26</v>
      </c>
      <c r="E119" s="8" t="s">
        <v>415</v>
      </c>
      <c r="F119" s="8" t="s">
        <v>75</v>
      </c>
      <c r="G119" s="25">
        <v>46223</v>
      </c>
      <c r="H119" s="25">
        <v>46227</v>
      </c>
      <c r="I119" s="8" t="s">
        <v>3</v>
      </c>
      <c r="J119" s="8" t="s">
        <v>4</v>
      </c>
      <c r="K119" s="25"/>
      <c r="L119" s="8" t="s">
        <v>807</v>
      </c>
      <c r="M119" s="8" t="s">
        <v>808</v>
      </c>
      <c r="N119" s="10"/>
      <c r="O119" s="8" t="s">
        <v>898</v>
      </c>
    </row>
    <row r="120" ht="32" customHeight="1" spans="1:15">
      <c r="A120" s="8">
        <v>5</v>
      </c>
      <c r="B120" s="8" t="s">
        <v>261</v>
      </c>
      <c r="C120" s="8" t="s">
        <v>262</v>
      </c>
      <c r="D120" s="8" t="s">
        <v>26</v>
      </c>
      <c r="E120" s="8" t="s">
        <v>415</v>
      </c>
      <c r="F120" s="8" t="s">
        <v>75</v>
      </c>
      <c r="G120" s="25">
        <v>46223</v>
      </c>
      <c r="H120" s="25">
        <v>46227</v>
      </c>
      <c r="I120" s="8" t="s">
        <v>3</v>
      </c>
      <c r="J120" s="8" t="s">
        <v>4</v>
      </c>
      <c r="K120" s="25">
        <v>46261</v>
      </c>
      <c r="L120" s="8" t="s">
        <v>807</v>
      </c>
      <c r="M120" s="8"/>
      <c r="N120" s="10"/>
      <c r="O120" s="8" t="s">
        <v>899</v>
      </c>
    </row>
    <row r="121" ht="32" customHeight="1" spans="1:15">
      <c r="A121" s="8">
        <v>5</v>
      </c>
      <c r="B121" s="8" t="s">
        <v>385</v>
      </c>
      <c r="C121" s="8" t="s">
        <v>386</v>
      </c>
      <c r="D121" s="8" t="s">
        <v>26</v>
      </c>
      <c r="E121" s="8" t="s">
        <v>415</v>
      </c>
      <c r="F121" s="8" t="s">
        <v>75</v>
      </c>
      <c r="G121" s="25">
        <v>46223</v>
      </c>
      <c r="H121" s="25">
        <v>46227</v>
      </c>
      <c r="I121" s="8" t="s">
        <v>5</v>
      </c>
      <c r="J121" s="8" t="s">
        <v>5</v>
      </c>
      <c r="K121" s="25"/>
      <c r="L121" s="8" t="s">
        <v>890</v>
      </c>
      <c r="M121" s="8"/>
      <c r="N121" s="10"/>
      <c r="O121" s="8" t="s">
        <v>900</v>
      </c>
    </row>
    <row r="122" ht="32" customHeight="1" spans="1:15">
      <c r="A122" s="8">
        <v>5</v>
      </c>
      <c r="B122" s="8" t="s">
        <v>70</v>
      </c>
      <c r="C122" s="8" t="s">
        <v>73</v>
      </c>
      <c r="D122" s="8" t="s">
        <v>25</v>
      </c>
      <c r="E122" s="8" t="s">
        <v>414</v>
      </c>
      <c r="F122" s="8" t="s">
        <v>77</v>
      </c>
      <c r="G122" s="25">
        <v>46209</v>
      </c>
      <c r="H122" s="25">
        <v>46225</v>
      </c>
      <c r="I122" s="8" t="s">
        <v>3</v>
      </c>
      <c r="J122" s="8" t="s">
        <v>3</v>
      </c>
      <c r="K122" s="25"/>
      <c r="L122" s="8" t="s">
        <v>807</v>
      </c>
      <c r="M122" s="8" t="s">
        <v>808</v>
      </c>
      <c r="N122" s="10"/>
      <c r="O122" s="8" t="s">
        <v>901</v>
      </c>
    </row>
    <row r="123" ht="32" customHeight="1" spans="1:15">
      <c r="A123" s="8">
        <v>5</v>
      </c>
      <c r="B123" s="8" t="s">
        <v>80</v>
      </c>
      <c r="C123" s="8" t="s">
        <v>81</v>
      </c>
      <c r="D123" s="8" t="s">
        <v>25</v>
      </c>
      <c r="E123" s="8" t="s">
        <v>414</v>
      </c>
      <c r="F123" s="8" t="s">
        <v>77</v>
      </c>
      <c r="G123" s="25">
        <v>46209</v>
      </c>
      <c r="H123" s="25">
        <v>46225</v>
      </c>
      <c r="I123" s="8" t="s">
        <v>3</v>
      </c>
      <c r="J123" s="8" t="s">
        <v>3</v>
      </c>
      <c r="K123" s="25"/>
      <c r="L123" s="8" t="s">
        <v>807</v>
      </c>
      <c r="M123" s="8" t="s">
        <v>808</v>
      </c>
      <c r="N123" s="10"/>
      <c r="O123" s="8" t="s">
        <v>902</v>
      </c>
    </row>
    <row r="124" ht="32" customHeight="1" spans="1:15">
      <c r="A124" s="8">
        <v>5</v>
      </c>
      <c r="B124" s="8" t="s">
        <v>82</v>
      </c>
      <c r="C124" s="8" t="s">
        <v>83</v>
      </c>
      <c r="D124" s="8" t="s">
        <v>25</v>
      </c>
      <c r="E124" s="8" t="s">
        <v>414</v>
      </c>
      <c r="F124" s="8" t="s">
        <v>77</v>
      </c>
      <c r="G124" s="25">
        <v>46209</v>
      </c>
      <c r="H124" s="25">
        <v>46225</v>
      </c>
      <c r="I124" s="8" t="s">
        <v>3</v>
      </c>
      <c r="J124" s="8" t="s">
        <v>3</v>
      </c>
      <c r="K124" s="25"/>
      <c r="L124" s="8" t="s">
        <v>807</v>
      </c>
      <c r="M124" s="8" t="s">
        <v>808</v>
      </c>
      <c r="N124" s="10"/>
      <c r="O124" s="8" t="s">
        <v>903</v>
      </c>
    </row>
    <row r="125" ht="32" customHeight="1" spans="1:15">
      <c r="A125" s="8">
        <v>5</v>
      </c>
      <c r="B125" s="8" t="s">
        <v>84</v>
      </c>
      <c r="C125" s="8" t="s">
        <v>85</v>
      </c>
      <c r="D125" s="8" t="s">
        <v>25</v>
      </c>
      <c r="E125" s="8" t="s">
        <v>414</v>
      </c>
      <c r="F125" s="8" t="s">
        <v>77</v>
      </c>
      <c r="G125" s="25">
        <v>46209</v>
      </c>
      <c r="H125" s="25">
        <v>46225</v>
      </c>
      <c r="I125" s="8" t="s">
        <v>3</v>
      </c>
      <c r="J125" s="8" t="s">
        <v>3</v>
      </c>
      <c r="K125" s="25"/>
      <c r="L125" s="8" t="s">
        <v>807</v>
      </c>
      <c r="M125" s="8" t="s">
        <v>808</v>
      </c>
      <c r="N125" s="10"/>
      <c r="O125" s="8" t="s">
        <v>904</v>
      </c>
    </row>
    <row r="126" ht="32" customHeight="1" spans="1:15">
      <c r="A126" s="8">
        <v>5</v>
      </c>
      <c r="B126" s="8" t="s">
        <v>89</v>
      </c>
      <c r="C126" s="8" t="s">
        <v>91</v>
      </c>
      <c r="D126" s="8" t="s">
        <v>25</v>
      </c>
      <c r="E126" s="8" t="s">
        <v>414</v>
      </c>
      <c r="F126" s="8" t="s">
        <v>77</v>
      </c>
      <c r="G126" s="25">
        <v>46209</v>
      </c>
      <c r="H126" s="25">
        <v>46227</v>
      </c>
      <c r="I126" s="8" t="s">
        <v>3</v>
      </c>
      <c r="J126" s="8" t="s">
        <v>3</v>
      </c>
      <c r="K126" s="25">
        <v>46224</v>
      </c>
      <c r="L126" s="8" t="s">
        <v>807</v>
      </c>
      <c r="M126" s="8"/>
      <c r="N126" s="10"/>
      <c r="O126" s="8" t="s">
        <v>905</v>
      </c>
    </row>
    <row r="127" ht="32" customHeight="1" spans="1:15">
      <c r="A127" s="8">
        <v>5</v>
      </c>
      <c r="B127" s="8" t="s">
        <v>92</v>
      </c>
      <c r="C127" s="8" t="s">
        <v>93</v>
      </c>
      <c r="D127" s="8" t="s">
        <v>25</v>
      </c>
      <c r="E127" s="8" t="s">
        <v>414</v>
      </c>
      <c r="F127" s="8" t="s">
        <v>77</v>
      </c>
      <c r="G127" s="25">
        <v>46209</v>
      </c>
      <c r="H127" s="25">
        <v>46227</v>
      </c>
      <c r="I127" s="8" t="s">
        <v>3</v>
      </c>
      <c r="J127" s="8" t="s">
        <v>3</v>
      </c>
      <c r="K127" s="25">
        <v>46224</v>
      </c>
      <c r="L127" s="8" t="s">
        <v>807</v>
      </c>
      <c r="M127" s="8"/>
      <c r="N127" s="10"/>
      <c r="O127" s="8" t="s">
        <v>906</v>
      </c>
    </row>
    <row r="128" ht="32" customHeight="1" spans="1:15">
      <c r="A128" s="8">
        <v>5</v>
      </c>
      <c r="B128" s="8" t="s">
        <v>94</v>
      </c>
      <c r="C128" s="8" t="s">
        <v>95</v>
      </c>
      <c r="D128" s="8" t="s">
        <v>25</v>
      </c>
      <c r="E128" s="8" t="s">
        <v>414</v>
      </c>
      <c r="F128" s="8" t="s">
        <v>77</v>
      </c>
      <c r="G128" s="25">
        <v>46209</v>
      </c>
      <c r="H128" s="25">
        <v>46227</v>
      </c>
      <c r="I128" s="8" t="s">
        <v>3</v>
      </c>
      <c r="J128" s="8" t="s">
        <v>3</v>
      </c>
      <c r="K128" s="25">
        <v>46224</v>
      </c>
      <c r="L128" s="8" t="s">
        <v>807</v>
      </c>
      <c r="M128" s="8"/>
      <c r="N128" s="10"/>
      <c r="O128" s="8" t="s">
        <v>907</v>
      </c>
    </row>
    <row r="129" ht="32" customHeight="1" spans="1:15">
      <c r="A129" s="8">
        <v>5</v>
      </c>
      <c r="B129" s="8" t="s">
        <v>96</v>
      </c>
      <c r="C129" s="8" t="s">
        <v>98</v>
      </c>
      <c r="D129" s="8" t="s">
        <v>25</v>
      </c>
      <c r="E129" s="8" t="s">
        <v>414</v>
      </c>
      <c r="F129" s="8" t="s">
        <v>77</v>
      </c>
      <c r="G129" s="25">
        <v>46209</v>
      </c>
      <c r="H129" s="25">
        <v>46227</v>
      </c>
      <c r="I129" s="8" t="s">
        <v>3</v>
      </c>
      <c r="J129" s="8" t="s">
        <v>3</v>
      </c>
      <c r="K129" s="25">
        <v>46224</v>
      </c>
      <c r="L129" s="8" t="s">
        <v>807</v>
      </c>
      <c r="M129" s="8"/>
      <c r="N129" s="10"/>
      <c r="O129" s="8" t="s">
        <v>908</v>
      </c>
    </row>
    <row r="130" ht="32" customHeight="1" spans="1:15">
      <c r="A130" s="8">
        <v>5</v>
      </c>
      <c r="B130" s="8" t="s">
        <v>99</v>
      </c>
      <c r="C130" s="8" t="s">
        <v>100</v>
      </c>
      <c r="D130" s="8" t="s">
        <v>25</v>
      </c>
      <c r="E130" s="8" t="s">
        <v>414</v>
      </c>
      <c r="F130" s="8" t="s">
        <v>77</v>
      </c>
      <c r="G130" s="25">
        <v>46209</v>
      </c>
      <c r="H130" s="25">
        <v>46227</v>
      </c>
      <c r="I130" s="8" t="s">
        <v>3</v>
      </c>
      <c r="J130" s="8" t="s">
        <v>3</v>
      </c>
      <c r="K130" s="25">
        <v>46224</v>
      </c>
      <c r="L130" s="8" t="s">
        <v>807</v>
      </c>
      <c r="M130" s="8"/>
      <c r="N130" s="10"/>
      <c r="O130" s="8" t="s">
        <v>909</v>
      </c>
    </row>
    <row r="131" ht="32" customHeight="1" spans="1:15">
      <c r="A131" s="8">
        <v>5</v>
      </c>
      <c r="B131" s="8" t="s">
        <v>101</v>
      </c>
      <c r="C131" s="8" t="s">
        <v>104</v>
      </c>
      <c r="D131" s="8" t="s">
        <v>25</v>
      </c>
      <c r="E131" s="8" t="s">
        <v>414</v>
      </c>
      <c r="F131" s="8" t="s">
        <v>77</v>
      </c>
      <c r="G131" s="25">
        <v>46209</v>
      </c>
      <c r="H131" s="25">
        <v>46225</v>
      </c>
      <c r="I131" s="8" t="s">
        <v>3</v>
      </c>
      <c r="J131" s="8" t="s">
        <v>3</v>
      </c>
      <c r="K131" s="25">
        <v>46224</v>
      </c>
      <c r="L131" s="8" t="s">
        <v>807</v>
      </c>
      <c r="M131" s="8"/>
      <c r="N131" s="10"/>
      <c r="O131" s="8" t="s">
        <v>910</v>
      </c>
    </row>
    <row r="132" ht="32" customHeight="1" spans="1:15">
      <c r="A132" s="8">
        <v>5</v>
      </c>
      <c r="B132" s="8" t="s">
        <v>105</v>
      </c>
      <c r="C132" s="8" t="s">
        <v>106</v>
      </c>
      <c r="D132" s="8" t="s">
        <v>25</v>
      </c>
      <c r="E132" s="8" t="s">
        <v>414</v>
      </c>
      <c r="F132" s="8" t="s">
        <v>77</v>
      </c>
      <c r="G132" s="25">
        <v>46209</v>
      </c>
      <c r="H132" s="25">
        <v>46225</v>
      </c>
      <c r="I132" s="8" t="s">
        <v>3</v>
      </c>
      <c r="J132" s="8" t="s">
        <v>3</v>
      </c>
      <c r="K132" s="25">
        <v>46224</v>
      </c>
      <c r="L132" s="8" t="s">
        <v>807</v>
      </c>
      <c r="M132" s="8"/>
      <c r="N132" s="10"/>
      <c r="O132" s="8" t="s">
        <v>911</v>
      </c>
    </row>
    <row r="133" ht="32" customHeight="1" spans="1:15">
      <c r="A133" s="8">
        <v>5</v>
      </c>
      <c r="B133" s="8" t="s">
        <v>218</v>
      </c>
      <c r="C133" s="8" t="s">
        <v>220</v>
      </c>
      <c r="D133" s="8" t="s">
        <v>25</v>
      </c>
      <c r="E133" s="8" t="s">
        <v>414</v>
      </c>
      <c r="F133" s="8" t="s">
        <v>77</v>
      </c>
      <c r="G133" s="25">
        <v>46209</v>
      </c>
      <c r="H133" s="25">
        <v>46227</v>
      </c>
      <c r="I133" s="8" t="s">
        <v>3</v>
      </c>
      <c r="J133" s="8" t="s">
        <v>3</v>
      </c>
      <c r="K133" s="25">
        <v>46261</v>
      </c>
      <c r="L133" s="8" t="s">
        <v>807</v>
      </c>
      <c r="M133" s="8"/>
      <c r="N133" s="10"/>
      <c r="O133" s="8" t="s">
        <v>912</v>
      </c>
    </row>
    <row r="134" ht="32" customHeight="1" spans="1:15">
      <c r="A134" s="8">
        <v>5</v>
      </c>
      <c r="B134" s="8" t="s">
        <v>221</v>
      </c>
      <c r="C134" s="8" t="s">
        <v>222</v>
      </c>
      <c r="D134" s="8" t="s">
        <v>25</v>
      </c>
      <c r="E134" s="8" t="s">
        <v>414</v>
      </c>
      <c r="F134" s="8" t="s">
        <v>77</v>
      </c>
      <c r="G134" s="25">
        <v>46209</v>
      </c>
      <c r="H134" s="25">
        <v>46227</v>
      </c>
      <c r="I134" s="8" t="s">
        <v>3</v>
      </c>
      <c r="J134" s="8" t="s">
        <v>3</v>
      </c>
      <c r="K134" s="25">
        <v>46261</v>
      </c>
      <c r="L134" s="8" t="s">
        <v>807</v>
      </c>
      <c r="M134" s="8"/>
      <c r="N134" s="10"/>
      <c r="O134" s="8" t="s">
        <v>913</v>
      </c>
    </row>
    <row r="135" ht="32" customHeight="1" spans="1:15">
      <c r="A135" s="8">
        <v>5</v>
      </c>
      <c r="B135" s="8" t="s">
        <v>223</v>
      </c>
      <c r="C135" s="8" t="s">
        <v>224</v>
      </c>
      <c r="D135" s="8" t="s">
        <v>25</v>
      </c>
      <c r="E135" s="8" t="s">
        <v>414</v>
      </c>
      <c r="F135" s="8" t="s">
        <v>77</v>
      </c>
      <c r="G135" s="25">
        <v>46209</v>
      </c>
      <c r="H135" s="25">
        <v>46227</v>
      </c>
      <c r="I135" s="8" t="s">
        <v>3</v>
      </c>
      <c r="J135" s="8" t="s">
        <v>3</v>
      </c>
      <c r="K135" s="25">
        <v>46261</v>
      </c>
      <c r="L135" s="8" t="s">
        <v>807</v>
      </c>
      <c r="M135" s="8"/>
      <c r="N135" s="10"/>
      <c r="O135" s="8" t="s">
        <v>914</v>
      </c>
    </row>
    <row r="136" ht="32" customHeight="1" spans="1:15">
      <c r="A136" s="8">
        <v>5</v>
      </c>
      <c r="B136" s="8" t="s">
        <v>225</v>
      </c>
      <c r="C136" s="8" t="s">
        <v>227</v>
      </c>
      <c r="D136" s="8" t="s">
        <v>25</v>
      </c>
      <c r="E136" s="8" t="s">
        <v>414</v>
      </c>
      <c r="F136" s="8" t="s">
        <v>77</v>
      </c>
      <c r="G136" s="25">
        <v>46209</v>
      </c>
      <c r="H136" s="25">
        <v>46227</v>
      </c>
      <c r="I136" s="8" t="s">
        <v>3</v>
      </c>
      <c r="J136" s="8" t="s">
        <v>3</v>
      </c>
      <c r="K136" s="25">
        <v>46261</v>
      </c>
      <c r="L136" s="8" t="s">
        <v>807</v>
      </c>
      <c r="M136" s="8"/>
      <c r="N136" s="10"/>
      <c r="O136" s="8" t="s">
        <v>915</v>
      </c>
    </row>
    <row r="137" ht="32" customHeight="1" spans="1:15">
      <c r="A137" s="8">
        <v>5</v>
      </c>
      <c r="B137" s="8" t="s">
        <v>228</v>
      </c>
      <c r="C137" s="8" t="s">
        <v>227</v>
      </c>
      <c r="D137" s="8" t="s">
        <v>25</v>
      </c>
      <c r="E137" s="8" t="s">
        <v>414</v>
      </c>
      <c r="F137" s="8" t="s">
        <v>77</v>
      </c>
      <c r="G137" s="25">
        <v>46209</v>
      </c>
      <c r="H137" s="25">
        <v>46227</v>
      </c>
      <c r="I137" s="8" t="s">
        <v>3</v>
      </c>
      <c r="J137" s="8" t="s">
        <v>3</v>
      </c>
      <c r="K137" s="25">
        <v>46261</v>
      </c>
      <c r="L137" s="8" t="s">
        <v>807</v>
      </c>
      <c r="M137" s="8"/>
      <c r="N137" s="10"/>
      <c r="O137" s="8" t="s">
        <v>916</v>
      </c>
    </row>
    <row r="138" ht="32" customHeight="1" spans="1:15">
      <c r="A138" s="8">
        <v>5</v>
      </c>
      <c r="B138" s="8" t="s">
        <v>229</v>
      </c>
      <c r="C138" s="8" t="s">
        <v>230</v>
      </c>
      <c r="D138" s="8" t="s">
        <v>25</v>
      </c>
      <c r="E138" s="8" t="s">
        <v>414</v>
      </c>
      <c r="F138" s="8" t="s">
        <v>77</v>
      </c>
      <c r="G138" s="25">
        <v>46209</v>
      </c>
      <c r="H138" s="25">
        <v>46227</v>
      </c>
      <c r="I138" s="8" t="s">
        <v>3</v>
      </c>
      <c r="J138" s="8" t="s">
        <v>3</v>
      </c>
      <c r="K138" s="25">
        <v>46261</v>
      </c>
      <c r="L138" s="8" t="s">
        <v>807</v>
      </c>
      <c r="M138" s="8"/>
      <c r="N138" s="10"/>
      <c r="O138" s="8" t="s">
        <v>917</v>
      </c>
    </row>
    <row r="139" ht="32" customHeight="1" spans="1:15">
      <c r="A139" s="8">
        <v>5</v>
      </c>
      <c r="B139" s="8" t="s">
        <v>231</v>
      </c>
      <c r="C139" s="8" t="s">
        <v>230</v>
      </c>
      <c r="D139" s="8" t="s">
        <v>25</v>
      </c>
      <c r="E139" s="8" t="s">
        <v>414</v>
      </c>
      <c r="F139" s="8" t="s">
        <v>77</v>
      </c>
      <c r="G139" s="25">
        <v>46209</v>
      </c>
      <c r="H139" s="25">
        <v>46227</v>
      </c>
      <c r="I139" s="8" t="s">
        <v>3</v>
      </c>
      <c r="J139" s="8" t="s">
        <v>3</v>
      </c>
      <c r="K139" s="25">
        <v>46261</v>
      </c>
      <c r="L139" s="8" t="s">
        <v>807</v>
      </c>
      <c r="M139" s="8"/>
      <c r="N139" s="10"/>
      <c r="O139" s="8" t="s">
        <v>918</v>
      </c>
    </row>
    <row r="140" ht="32" customHeight="1" spans="1:15">
      <c r="A140" s="8">
        <v>5</v>
      </c>
      <c r="B140" s="8" t="s">
        <v>232</v>
      </c>
      <c r="C140" s="8" t="s">
        <v>230</v>
      </c>
      <c r="D140" s="8" t="s">
        <v>25</v>
      </c>
      <c r="E140" s="8" t="s">
        <v>414</v>
      </c>
      <c r="F140" s="8" t="s">
        <v>77</v>
      </c>
      <c r="G140" s="25">
        <v>46209</v>
      </c>
      <c r="H140" s="25">
        <v>46227</v>
      </c>
      <c r="I140" s="8" t="s">
        <v>3</v>
      </c>
      <c r="J140" s="8" t="s">
        <v>3</v>
      </c>
      <c r="K140" s="25">
        <v>46261</v>
      </c>
      <c r="L140" s="8" t="s">
        <v>807</v>
      </c>
      <c r="M140" s="8"/>
      <c r="N140" s="10"/>
      <c r="O140" s="8" t="s">
        <v>919</v>
      </c>
    </row>
    <row r="141" ht="32" customHeight="1" spans="1:15">
      <c r="A141" s="8">
        <v>5</v>
      </c>
      <c r="B141" s="8" t="s">
        <v>233</v>
      </c>
      <c r="C141" s="8" t="s">
        <v>230</v>
      </c>
      <c r="D141" s="8" t="s">
        <v>25</v>
      </c>
      <c r="E141" s="8" t="s">
        <v>414</v>
      </c>
      <c r="F141" s="8" t="s">
        <v>77</v>
      </c>
      <c r="G141" s="25">
        <v>46209</v>
      </c>
      <c r="H141" s="25">
        <v>46227</v>
      </c>
      <c r="I141" s="8" t="s">
        <v>3</v>
      </c>
      <c r="J141" s="8" t="s">
        <v>3</v>
      </c>
      <c r="K141" s="25">
        <v>46261</v>
      </c>
      <c r="L141" s="8" t="s">
        <v>807</v>
      </c>
      <c r="M141" s="8"/>
      <c r="N141" s="10"/>
      <c r="O141" s="8" t="s">
        <v>920</v>
      </c>
    </row>
    <row r="142" ht="32" customHeight="1" spans="1:15">
      <c r="A142" s="8">
        <v>5</v>
      </c>
      <c r="B142" s="8" t="s">
        <v>241</v>
      </c>
      <c r="C142" s="8" t="s">
        <v>243</v>
      </c>
      <c r="D142" s="8" t="s">
        <v>25</v>
      </c>
      <c r="E142" s="8" t="s">
        <v>414</v>
      </c>
      <c r="F142" s="8" t="s">
        <v>77</v>
      </c>
      <c r="G142" s="25">
        <v>46209</v>
      </c>
      <c r="H142" s="25">
        <v>46225</v>
      </c>
      <c r="I142" s="8" t="s">
        <v>3</v>
      </c>
      <c r="J142" s="8" t="s">
        <v>3</v>
      </c>
      <c r="K142" s="25"/>
      <c r="L142" s="8" t="s">
        <v>807</v>
      </c>
      <c r="M142" s="8" t="s">
        <v>808</v>
      </c>
      <c r="N142" s="10"/>
      <c r="O142" s="8" t="s">
        <v>921</v>
      </c>
    </row>
    <row r="143" ht="32" customHeight="1" spans="1:15">
      <c r="A143" s="8">
        <v>5</v>
      </c>
      <c r="B143" s="8" t="s">
        <v>244</v>
      </c>
      <c r="C143" s="8" t="s">
        <v>246</v>
      </c>
      <c r="D143" s="8" t="s">
        <v>25</v>
      </c>
      <c r="E143" s="8" t="s">
        <v>414</v>
      </c>
      <c r="F143" s="8" t="s">
        <v>77</v>
      </c>
      <c r="G143" s="25">
        <v>46227</v>
      </c>
      <c r="H143" s="25">
        <v>46227</v>
      </c>
      <c r="I143" s="8" t="s">
        <v>3</v>
      </c>
      <c r="J143" s="8" t="s">
        <v>3</v>
      </c>
      <c r="K143" s="25">
        <v>46224</v>
      </c>
      <c r="L143" s="8" t="s">
        <v>807</v>
      </c>
      <c r="M143" s="8"/>
      <c r="N143" s="10"/>
      <c r="O143" s="8" t="s">
        <v>922</v>
      </c>
    </row>
    <row r="144" ht="32" customHeight="1" spans="1:15">
      <c r="A144" s="8">
        <v>5</v>
      </c>
      <c r="B144" s="8" t="s">
        <v>247</v>
      </c>
      <c r="C144" s="8" t="s">
        <v>248</v>
      </c>
      <c r="D144" s="8" t="s">
        <v>25</v>
      </c>
      <c r="E144" s="8" t="s">
        <v>414</v>
      </c>
      <c r="F144" s="8" t="s">
        <v>77</v>
      </c>
      <c r="G144" s="25">
        <v>46227</v>
      </c>
      <c r="H144" s="25">
        <v>46227</v>
      </c>
      <c r="I144" s="8" t="s">
        <v>3</v>
      </c>
      <c r="J144" s="8" t="s">
        <v>3</v>
      </c>
      <c r="K144" s="25">
        <v>46224</v>
      </c>
      <c r="L144" s="8" t="s">
        <v>807</v>
      </c>
      <c r="M144" s="8"/>
      <c r="N144" s="10"/>
      <c r="O144" s="8" t="s">
        <v>923</v>
      </c>
    </row>
    <row r="145" ht="32" customHeight="1" spans="1:15">
      <c r="A145" s="8">
        <v>5</v>
      </c>
      <c r="B145" s="8" t="s">
        <v>249</v>
      </c>
      <c r="C145" s="8" t="s">
        <v>250</v>
      </c>
      <c r="D145" s="8" t="s">
        <v>25</v>
      </c>
      <c r="E145" s="8" t="s">
        <v>414</v>
      </c>
      <c r="F145" s="8" t="s">
        <v>77</v>
      </c>
      <c r="G145" s="25">
        <v>46227</v>
      </c>
      <c r="H145" s="25">
        <v>46227</v>
      </c>
      <c r="I145" s="8" t="s">
        <v>3</v>
      </c>
      <c r="J145" s="8" t="s">
        <v>3</v>
      </c>
      <c r="K145" s="25">
        <v>46224</v>
      </c>
      <c r="L145" s="8" t="s">
        <v>807</v>
      </c>
      <c r="M145" s="8"/>
      <c r="N145" s="10"/>
      <c r="O145" s="8" t="s">
        <v>924</v>
      </c>
    </row>
    <row r="146" ht="32" customHeight="1" spans="1:15">
      <c r="A146" s="8">
        <v>5</v>
      </c>
      <c r="B146" s="8" t="s">
        <v>251</v>
      </c>
      <c r="C146" s="8" t="s">
        <v>252</v>
      </c>
      <c r="D146" s="8" t="s">
        <v>25</v>
      </c>
      <c r="E146" s="8" t="s">
        <v>414</v>
      </c>
      <c r="F146" s="8" t="s">
        <v>77</v>
      </c>
      <c r="G146" s="25">
        <v>46227</v>
      </c>
      <c r="H146" s="25">
        <v>46227</v>
      </c>
      <c r="I146" s="8" t="s">
        <v>3</v>
      </c>
      <c r="J146" s="8" t="s">
        <v>3</v>
      </c>
      <c r="K146" s="25">
        <v>46224</v>
      </c>
      <c r="L146" s="8" t="s">
        <v>807</v>
      </c>
      <c r="M146" s="8"/>
      <c r="N146" s="10"/>
      <c r="O146" s="8" t="s">
        <v>925</v>
      </c>
    </row>
    <row r="147" ht="32" customHeight="1" spans="1:15">
      <c r="A147" s="8">
        <v>5</v>
      </c>
      <c r="B147" s="8" t="s">
        <v>253</v>
      </c>
      <c r="C147" s="8" t="s">
        <v>254</v>
      </c>
      <c r="D147" s="8" t="s">
        <v>25</v>
      </c>
      <c r="E147" s="8" t="s">
        <v>414</v>
      </c>
      <c r="F147" s="8" t="s">
        <v>77</v>
      </c>
      <c r="G147" s="25">
        <v>46227</v>
      </c>
      <c r="H147" s="25">
        <v>46227</v>
      </c>
      <c r="I147" s="8" t="s">
        <v>3</v>
      </c>
      <c r="J147" s="8" t="s">
        <v>3</v>
      </c>
      <c r="K147" s="25">
        <v>46224</v>
      </c>
      <c r="L147" s="8" t="s">
        <v>807</v>
      </c>
      <c r="M147" s="8"/>
      <c r="N147" s="10"/>
      <c r="O147" s="8" t="s">
        <v>926</v>
      </c>
    </row>
    <row r="148" ht="32" customHeight="1" spans="1:15">
      <c r="A148" s="8">
        <v>5</v>
      </c>
      <c r="B148" s="8" t="s">
        <v>293</v>
      </c>
      <c r="C148" s="8" t="s">
        <v>295</v>
      </c>
      <c r="D148" s="8" t="s">
        <v>25</v>
      </c>
      <c r="E148" s="8" t="s">
        <v>414</v>
      </c>
      <c r="F148" s="8" t="s">
        <v>77</v>
      </c>
      <c r="G148" s="25">
        <v>46209</v>
      </c>
      <c r="H148" s="25">
        <v>46225</v>
      </c>
      <c r="I148" s="8" t="s">
        <v>3</v>
      </c>
      <c r="J148" s="8" t="s">
        <v>3</v>
      </c>
      <c r="K148" s="25">
        <v>46261</v>
      </c>
      <c r="L148" s="8" t="s">
        <v>807</v>
      </c>
      <c r="M148" s="8"/>
      <c r="N148" s="10"/>
      <c r="O148" s="8" t="s">
        <v>927</v>
      </c>
    </row>
    <row r="149" ht="32" customHeight="1" spans="1:15">
      <c r="A149" s="8">
        <v>5</v>
      </c>
      <c r="B149" s="8" t="s">
        <v>296</v>
      </c>
      <c r="C149" s="8" t="s">
        <v>298</v>
      </c>
      <c r="D149" s="8" t="s">
        <v>25</v>
      </c>
      <c r="E149" s="8" t="s">
        <v>414</v>
      </c>
      <c r="F149" s="8" t="s">
        <v>77</v>
      </c>
      <c r="G149" s="25">
        <v>46227</v>
      </c>
      <c r="H149" s="25">
        <v>46227</v>
      </c>
      <c r="I149" s="8" t="s">
        <v>3</v>
      </c>
      <c r="J149" s="8" t="s">
        <v>3</v>
      </c>
      <c r="K149" s="25"/>
      <c r="L149" s="8" t="s">
        <v>807</v>
      </c>
      <c r="M149" s="8" t="s">
        <v>808</v>
      </c>
      <c r="N149" s="10"/>
      <c r="O149" s="8" t="s">
        <v>928</v>
      </c>
    </row>
    <row r="150" ht="32" customHeight="1" spans="1:15">
      <c r="A150" s="8">
        <v>5</v>
      </c>
      <c r="B150" s="8" t="s">
        <v>299</v>
      </c>
      <c r="C150" s="8" t="s">
        <v>301</v>
      </c>
      <c r="D150" s="8" t="s">
        <v>25</v>
      </c>
      <c r="E150" s="8" t="s">
        <v>414</v>
      </c>
      <c r="F150" s="8" t="s">
        <v>77</v>
      </c>
      <c r="G150" s="25">
        <v>46227</v>
      </c>
      <c r="H150" s="25">
        <v>46227</v>
      </c>
      <c r="I150" s="8" t="s">
        <v>3</v>
      </c>
      <c r="J150" s="8" t="s">
        <v>3</v>
      </c>
      <c r="K150" s="25">
        <v>46224</v>
      </c>
      <c r="L150" s="8" t="s">
        <v>807</v>
      </c>
      <c r="M150" s="8"/>
      <c r="N150" s="10"/>
      <c r="O150" s="8" t="s">
        <v>929</v>
      </c>
    </row>
    <row r="151" ht="32" customHeight="1" spans="1:15">
      <c r="A151" s="8">
        <v>5</v>
      </c>
      <c r="B151" s="8" t="s">
        <v>302</v>
      </c>
      <c r="C151" s="8" t="s">
        <v>303</v>
      </c>
      <c r="D151" s="8" t="s">
        <v>25</v>
      </c>
      <c r="E151" s="8" t="s">
        <v>414</v>
      </c>
      <c r="F151" s="8" t="s">
        <v>77</v>
      </c>
      <c r="G151" s="25">
        <v>46227</v>
      </c>
      <c r="H151" s="25">
        <v>46227</v>
      </c>
      <c r="I151" s="8" t="s">
        <v>3</v>
      </c>
      <c r="J151" s="8" t="s">
        <v>3</v>
      </c>
      <c r="K151" s="25">
        <v>46224</v>
      </c>
      <c r="L151" s="8" t="s">
        <v>807</v>
      </c>
      <c r="M151" s="8"/>
      <c r="N151" s="10"/>
      <c r="O151" s="8" t="s">
        <v>930</v>
      </c>
    </row>
    <row r="152" ht="32" customHeight="1" spans="1:15">
      <c r="A152" s="8">
        <v>5</v>
      </c>
      <c r="B152" s="8" t="s">
        <v>70</v>
      </c>
      <c r="C152" s="8" t="s">
        <v>73</v>
      </c>
      <c r="D152" s="8" t="s">
        <v>25</v>
      </c>
      <c r="E152" s="8" t="s">
        <v>406</v>
      </c>
      <c r="F152" s="8" t="s">
        <v>76</v>
      </c>
      <c r="G152" s="25">
        <v>46209</v>
      </c>
      <c r="H152" s="25">
        <v>46225</v>
      </c>
      <c r="I152" s="8" t="s">
        <v>3</v>
      </c>
      <c r="J152" s="8" t="s">
        <v>3</v>
      </c>
      <c r="K152" s="25"/>
      <c r="L152" s="8" t="s">
        <v>807</v>
      </c>
      <c r="M152" s="8" t="s">
        <v>808</v>
      </c>
      <c r="N152" s="10"/>
      <c r="O152" s="8" t="s">
        <v>931</v>
      </c>
    </row>
    <row r="153" ht="32" customHeight="1" spans="1:15">
      <c r="A153" s="8">
        <v>5</v>
      </c>
      <c r="B153" s="8" t="s">
        <v>80</v>
      </c>
      <c r="C153" s="8" t="s">
        <v>81</v>
      </c>
      <c r="D153" s="8" t="s">
        <v>25</v>
      </c>
      <c r="E153" s="8" t="s">
        <v>406</v>
      </c>
      <c r="F153" s="8" t="s">
        <v>76</v>
      </c>
      <c r="G153" s="25">
        <v>46209</v>
      </c>
      <c r="H153" s="25">
        <v>46225</v>
      </c>
      <c r="I153" s="8" t="s">
        <v>3</v>
      </c>
      <c r="J153" s="8" t="s">
        <v>3</v>
      </c>
      <c r="K153" s="25"/>
      <c r="L153" s="8" t="s">
        <v>807</v>
      </c>
      <c r="M153" s="8" t="s">
        <v>808</v>
      </c>
      <c r="N153" s="10"/>
      <c r="O153" s="8" t="s">
        <v>932</v>
      </c>
    </row>
    <row r="154" ht="32" customHeight="1" spans="1:15">
      <c r="A154" s="8">
        <v>5</v>
      </c>
      <c r="B154" s="8" t="s">
        <v>82</v>
      </c>
      <c r="C154" s="8" t="s">
        <v>83</v>
      </c>
      <c r="D154" s="8" t="s">
        <v>25</v>
      </c>
      <c r="E154" s="8" t="s">
        <v>406</v>
      </c>
      <c r="F154" s="8" t="s">
        <v>76</v>
      </c>
      <c r="G154" s="25">
        <v>46209</v>
      </c>
      <c r="H154" s="25">
        <v>46225</v>
      </c>
      <c r="I154" s="8" t="s">
        <v>3</v>
      </c>
      <c r="J154" s="8" t="s">
        <v>3</v>
      </c>
      <c r="K154" s="25"/>
      <c r="L154" s="8" t="s">
        <v>807</v>
      </c>
      <c r="M154" s="8" t="s">
        <v>808</v>
      </c>
      <c r="N154" s="10"/>
      <c r="O154" s="8" t="s">
        <v>933</v>
      </c>
    </row>
    <row r="155" ht="32" customHeight="1" spans="1:15">
      <c r="A155" s="8">
        <v>5</v>
      </c>
      <c r="B155" s="8" t="s">
        <v>84</v>
      </c>
      <c r="C155" s="8" t="s">
        <v>85</v>
      </c>
      <c r="D155" s="8" t="s">
        <v>25</v>
      </c>
      <c r="E155" s="8" t="s">
        <v>406</v>
      </c>
      <c r="F155" s="8" t="s">
        <v>76</v>
      </c>
      <c r="G155" s="25">
        <v>46209</v>
      </c>
      <c r="H155" s="25">
        <v>46225</v>
      </c>
      <c r="I155" s="8" t="s">
        <v>3</v>
      </c>
      <c r="J155" s="8" t="s">
        <v>3</v>
      </c>
      <c r="K155" s="25"/>
      <c r="L155" s="8" t="s">
        <v>807</v>
      </c>
      <c r="M155" s="8" t="s">
        <v>808</v>
      </c>
      <c r="N155" s="10"/>
      <c r="O155" s="8" t="s">
        <v>934</v>
      </c>
    </row>
    <row r="156" ht="32" customHeight="1" spans="1:15">
      <c r="A156" s="8">
        <v>5</v>
      </c>
      <c r="B156" s="8" t="s">
        <v>89</v>
      </c>
      <c r="C156" s="8" t="s">
        <v>91</v>
      </c>
      <c r="D156" s="8" t="s">
        <v>25</v>
      </c>
      <c r="E156" s="8" t="s">
        <v>406</v>
      </c>
      <c r="F156" s="8" t="s">
        <v>76</v>
      </c>
      <c r="G156" s="25">
        <v>46209</v>
      </c>
      <c r="H156" s="25">
        <v>46227</v>
      </c>
      <c r="I156" s="8" t="s">
        <v>3</v>
      </c>
      <c r="J156" s="8" t="s">
        <v>3</v>
      </c>
      <c r="K156" s="25">
        <v>46224</v>
      </c>
      <c r="L156" s="8" t="s">
        <v>807</v>
      </c>
      <c r="M156" s="8"/>
      <c r="N156" s="10"/>
      <c r="O156" s="8" t="s">
        <v>935</v>
      </c>
    </row>
    <row r="157" ht="32" customHeight="1" spans="1:15">
      <c r="A157" s="8">
        <v>5</v>
      </c>
      <c r="B157" s="8" t="s">
        <v>92</v>
      </c>
      <c r="C157" s="8" t="s">
        <v>93</v>
      </c>
      <c r="D157" s="8" t="s">
        <v>25</v>
      </c>
      <c r="E157" s="8" t="s">
        <v>406</v>
      </c>
      <c r="F157" s="8" t="s">
        <v>76</v>
      </c>
      <c r="G157" s="25">
        <v>46209</v>
      </c>
      <c r="H157" s="25">
        <v>46227</v>
      </c>
      <c r="I157" s="8" t="s">
        <v>3</v>
      </c>
      <c r="J157" s="8" t="s">
        <v>3</v>
      </c>
      <c r="K157" s="25">
        <v>46224</v>
      </c>
      <c r="L157" s="8" t="s">
        <v>807</v>
      </c>
      <c r="M157" s="8"/>
      <c r="N157" s="10"/>
      <c r="O157" s="8" t="s">
        <v>936</v>
      </c>
    </row>
    <row r="158" ht="32" customHeight="1" spans="1:15">
      <c r="A158" s="8">
        <v>5</v>
      </c>
      <c r="B158" s="8" t="s">
        <v>94</v>
      </c>
      <c r="C158" s="8" t="s">
        <v>95</v>
      </c>
      <c r="D158" s="8" t="s">
        <v>25</v>
      </c>
      <c r="E158" s="8" t="s">
        <v>406</v>
      </c>
      <c r="F158" s="8" t="s">
        <v>76</v>
      </c>
      <c r="G158" s="25">
        <v>46209</v>
      </c>
      <c r="H158" s="25">
        <v>46227</v>
      </c>
      <c r="I158" s="8" t="s">
        <v>3</v>
      </c>
      <c r="J158" s="8" t="s">
        <v>3</v>
      </c>
      <c r="K158" s="25">
        <v>46224</v>
      </c>
      <c r="L158" s="8" t="s">
        <v>807</v>
      </c>
      <c r="M158" s="8"/>
      <c r="N158" s="10"/>
      <c r="O158" s="8" t="s">
        <v>937</v>
      </c>
    </row>
    <row r="159" ht="32" customHeight="1" spans="1:15">
      <c r="A159" s="8">
        <v>5</v>
      </c>
      <c r="B159" s="8" t="s">
        <v>96</v>
      </c>
      <c r="C159" s="8" t="s">
        <v>98</v>
      </c>
      <c r="D159" s="8" t="s">
        <v>25</v>
      </c>
      <c r="E159" s="8" t="s">
        <v>406</v>
      </c>
      <c r="F159" s="8" t="s">
        <v>76</v>
      </c>
      <c r="G159" s="25">
        <v>46209</v>
      </c>
      <c r="H159" s="25">
        <v>46227</v>
      </c>
      <c r="I159" s="8" t="s">
        <v>3</v>
      </c>
      <c r="J159" s="8" t="s">
        <v>3</v>
      </c>
      <c r="K159" s="25">
        <v>46224</v>
      </c>
      <c r="L159" s="8" t="s">
        <v>807</v>
      </c>
      <c r="M159" s="8"/>
      <c r="N159" s="10"/>
      <c r="O159" s="8" t="s">
        <v>938</v>
      </c>
    </row>
    <row r="160" ht="32" customHeight="1" spans="1:15">
      <c r="A160" s="8">
        <v>5</v>
      </c>
      <c r="B160" s="8" t="s">
        <v>99</v>
      </c>
      <c r="C160" s="8" t="s">
        <v>100</v>
      </c>
      <c r="D160" s="8" t="s">
        <v>25</v>
      </c>
      <c r="E160" s="8" t="s">
        <v>406</v>
      </c>
      <c r="F160" s="8" t="s">
        <v>76</v>
      </c>
      <c r="G160" s="25">
        <v>46209</v>
      </c>
      <c r="H160" s="25">
        <v>46227</v>
      </c>
      <c r="I160" s="8" t="s">
        <v>3</v>
      </c>
      <c r="J160" s="8" t="s">
        <v>3</v>
      </c>
      <c r="K160" s="25">
        <v>46224</v>
      </c>
      <c r="L160" s="8" t="s">
        <v>807</v>
      </c>
      <c r="M160" s="8"/>
      <c r="N160" s="10"/>
      <c r="O160" s="8" t="s">
        <v>939</v>
      </c>
    </row>
    <row r="161" ht="32" customHeight="1" spans="1:15">
      <c r="A161" s="8">
        <v>5</v>
      </c>
      <c r="B161" s="8" t="s">
        <v>101</v>
      </c>
      <c r="C161" s="8" t="s">
        <v>104</v>
      </c>
      <c r="D161" s="8" t="s">
        <v>25</v>
      </c>
      <c r="E161" s="8" t="s">
        <v>406</v>
      </c>
      <c r="F161" s="8" t="s">
        <v>76</v>
      </c>
      <c r="G161" s="25">
        <v>46209</v>
      </c>
      <c r="H161" s="25">
        <v>46227</v>
      </c>
      <c r="I161" s="8" t="s">
        <v>3</v>
      </c>
      <c r="J161" s="8" t="s">
        <v>3</v>
      </c>
      <c r="K161" s="25">
        <v>46224</v>
      </c>
      <c r="L161" s="8" t="s">
        <v>807</v>
      </c>
      <c r="M161" s="8"/>
      <c r="N161" s="10"/>
      <c r="O161" s="8" t="s">
        <v>940</v>
      </c>
    </row>
    <row r="162" ht="32" customHeight="1" spans="1:15">
      <c r="A162" s="8">
        <v>5</v>
      </c>
      <c r="B162" s="8" t="s">
        <v>105</v>
      </c>
      <c r="C162" s="8" t="s">
        <v>106</v>
      </c>
      <c r="D162" s="8" t="s">
        <v>25</v>
      </c>
      <c r="E162" s="8" t="s">
        <v>406</v>
      </c>
      <c r="F162" s="8" t="s">
        <v>76</v>
      </c>
      <c r="G162" s="25">
        <v>46209</v>
      </c>
      <c r="H162" s="25">
        <v>46227</v>
      </c>
      <c r="I162" s="8" t="s">
        <v>3</v>
      </c>
      <c r="J162" s="8" t="s">
        <v>3</v>
      </c>
      <c r="K162" s="25">
        <v>46224</v>
      </c>
      <c r="L162" s="8" t="s">
        <v>807</v>
      </c>
      <c r="M162" s="8"/>
      <c r="N162" s="10"/>
      <c r="O162" s="8" t="s">
        <v>941</v>
      </c>
    </row>
    <row r="163" ht="32" customHeight="1" spans="1:15">
      <c r="A163" s="8">
        <v>5</v>
      </c>
      <c r="B163" s="8" t="s">
        <v>218</v>
      </c>
      <c r="C163" s="8" t="s">
        <v>220</v>
      </c>
      <c r="D163" s="8" t="s">
        <v>25</v>
      </c>
      <c r="E163" s="8" t="s">
        <v>406</v>
      </c>
      <c r="F163" s="8" t="s">
        <v>76</v>
      </c>
      <c r="G163" s="25">
        <v>46209</v>
      </c>
      <c r="H163" s="25">
        <v>46227</v>
      </c>
      <c r="I163" s="8" t="s">
        <v>3</v>
      </c>
      <c r="J163" s="8" t="s">
        <v>3</v>
      </c>
      <c r="K163" s="25">
        <v>46261</v>
      </c>
      <c r="L163" s="8" t="s">
        <v>807</v>
      </c>
      <c r="M163" s="8"/>
      <c r="N163" s="10"/>
      <c r="O163" s="8" t="s">
        <v>942</v>
      </c>
    </row>
    <row r="164" ht="32" customHeight="1" spans="1:15">
      <c r="A164" s="8">
        <v>5</v>
      </c>
      <c r="B164" s="8" t="s">
        <v>221</v>
      </c>
      <c r="C164" s="8" t="s">
        <v>222</v>
      </c>
      <c r="D164" s="8" t="s">
        <v>25</v>
      </c>
      <c r="E164" s="8" t="s">
        <v>406</v>
      </c>
      <c r="F164" s="8" t="s">
        <v>76</v>
      </c>
      <c r="G164" s="25">
        <v>46209</v>
      </c>
      <c r="H164" s="25">
        <v>46227</v>
      </c>
      <c r="I164" s="8" t="s">
        <v>3</v>
      </c>
      <c r="J164" s="8" t="s">
        <v>3</v>
      </c>
      <c r="K164" s="25">
        <v>46261</v>
      </c>
      <c r="L164" s="8" t="s">
        <v>807</v>
      </c>
      <c r="M164" s="8"/>
      <c r="N164" s="10"/>
      <c r="O164" s="8" t="s">
        <v>943</v>
      </c>
    </row>
    <row r="165" ht="32" customHeight="1" spans="1:15">
      <c r="A165" s="8">
        <v>5</v>
      </c>
      <c r="B165" s="8" t="s">
        <v>223</v>
      </c>
      <c r="C165" s="8" t="s">
        <v>224</v>
      </c>
      <c r="D165" s="8" t="s">
        <v>25</v>
      </c>
      <c r="E165" s="8" t="s">
        <v>406</v>
      </c>
      <c r="F165" s="8" t="s">
        <v>76</v>
      </c>
      <c r="G165" s="25">
        <v>46209</v>
      </c>
      <c r="H165" s="25">
        <v>46227</v>
      </c>
      <c r="I165" s="8" t="s">
        <v>3</v>
      </c>
      <c r="J165" s="8" t="s">
        <v>3</v>
      </c>
      <c r="K165" s="25">
        <v>46261</v>
      </c>
      <c r="L165" s="8" t="s">
        <v>807</v>
      </c>
      <c r="M165" s="8"/>
      <c r="N165" s="10"/>
      <c r="O165" s="8" t="s">
        <v>944</v>
      </c>
    </row>
    <row r="166" ht="32" customHeight="1" spans="1:15">
      <c r="A166" s="8">
        <v>5</v>
      </c>
      <c r="B166" s="8" t="s">
        <v>225</v>
      </c>
      <c r="C166" s="8" t="s">
        <v>227</v>
      </c>
      <c r="D166" s="8" t="s">
        <v>25</v>
      </c>
      <c r="E166" s="8" t="s">
        <v>406</v>
      </c>
      <c r="F166" s="8" t="s">
        <v>76</v>
      </c>
      <c r="G166" s="25">
        <v>46209</v>
      </c>
      <c r="H166" s="25">
        <v>46227</v>
      </c>
      <c r="I166" s="8" t="s">
        <v>3</v>
      </c>
      <c r="J166" s="8" t="s">
        <v>3</v>
      </c>
      <c r="K166" s="25">
        <v>46261</v>
      </c>
      <c r="L166" s="8" t="s">
        <v>807</v>
      </c>
      <c r="M166" s="8"/>
      <c r="N166" s="10"/>
      <c r="O166" s="8" t="s">
        <v>945</v>
      </c>
    </row>
    <row r="167" ht="32" customHeight="1" spans="1:15">
      <c r="A167" s="8">
        <v>5</v>
      </c>
      <c r="B167" s="8" t="s">
        <v>228</v>
      </c>
      <c r="C167" s="8" t="s">
        <v>227</v>
      </c>
      <c r="D167" s="8" t="s">
        <v>25</v>
      </c>
      <c r="E167" s="8" t="s">
        <v>406</v>
      </c>
      <c r="F167" s="8" t="s">
        <v>76</v>
      </c>
      <c r="G167" s="25">
        <v>46209</v>
      </c>
      <c r="H167" s="25">
        <v>46227</v>
      </c>
      <c r="I167" s="8" t="s">
        <v>3</v>
      </c>
      <c r="J167" s="8" t="s">
        <v>3</v>
      </c>
      <c r="K167" s="25">
        <v>46261</v>
      </c>
      <c r="L167" s="8" t="s">
        <v>807</v>
      </c>
      <c r="M167" s="8"/>
      <c r="N167" s="10"/>
      <c r="O167" s="8" t="s">
        <v>946</v>
      </c>
    </row>
    <row r="168" ht="32" customHeight="1" spans="1:15">
      <c r="A168" s="8">
        <v>5</v>
      </c>
      <c r="B168" s="8" t="s">
        <v>229</v>
      </c>
      <c r="C168" s="8" t="s">
        <v>230</v>
      </c>
      <c r="D168" s="8" t="s">
        <v>25</v>
      </c>
      <c r="E168" s="8" t="s">
        <v>406</v>
      </c>
      <c r="F168" s="8" t="s">
        <v>76</v>
      </c>
      <c r="G168" s="25">
        <v>46209</v>
      </c>
      <c r="H168" s="25">
        <v>46227</v>
      </c>
      <c r="I168" s="8" t="s">
        <v>3</v>
      </c>
      <c r="J168" s="8" t="s">
        <v>3</v>
      </c>
      <c r="K168" s="25">
        <v>46261</v>
      </c>
      <c r="L168" s="8" t="s">
        <v>807</v>
      </c>
      <c r="M168" s="8"/>
      <c r="N168" s="10"/>
      <c r="O168" s="8" t="s">
        <v>947</v>
      </c>
    </row>
    <row r="169" ht="32" customHeight="1" spans="1:15">
      <c r="A169" s="8">
        <v>5</v>
      </c>
      <c r="B169" s="8" t="s">
        <v>231</v>
      </c>
      <c r="C169" s="8" t="s">
        <v>230</v>
      </c>
      <c r="D169" s="8" t="s">
        <v>25</v>
      </c>
      <c r="E169" s="8" t="s">
        <v>406</v>
      </c>
      <c r="F169" s="8" t="s">
        <v>76</v>
      </c>
      <c r="G169" s="25">
        <v>46209</v>
      </c>
      <c r="H169" s="25">
        <v>46227</v>
      </c>
      <c r="I169" s="8" t="s">
        <v>3</v>
      </c>
      <c r="J169" s="8" t="s">
        <v>3</v>
      </c>
      <c r="K169" s="25">
        <v>46261</v>
      </c>
      <c r="L169" s="8" t="s">
        <v>807</v>
      </c>
      <c r="M169" s="8"/>
      <c r="N169" s="10"/>
      <c r="O169" s="8" t="s">
        <v>948</v>
      </c>
    </row>
    <row r="170" ht="32" customHeight="1" spans="1:15">
      <c r="A170" s="8">
        <v>5</v>
      </c>
      <c r="B170" s="8" t="s">
        <v>232</v>
      </c>
      <c r="C170" s="8" t="s">
        <v>230</v>
      </c>
      <c r="D170" s="8" t="s">
        <v>25</v>
      </c>
      <c r="E170" s="8" t="s">
        <v>406</v>
      </c>
      <c r="F170" s="8" t="s">
        <v>76</v>
      </c>
      <c r="G170" s="25">
        <v>46209</v>
      </c>
      <c r="H170" s="25">
        <v>46227</v>
      </c>
      <c r="I170" s="8" t="s">
        <v>3</v>
      </c>
      <c r="J170" s="8" t="s">
        <v>3</v>
      </c>
      <c r="K170" s="25">
        <v>46261</v>
      </c>
      <c r="L170" s="8" t="s">
        <v>807</v>
      </c>
      <c r="M170" s="8"/>
      <c r="N170" s="10"/>
      <c r="O170" s="8" t="s">
        <v>949</v>
      </c>
    </row>
    <row r="171" ht="32" customHeight="1" spans="1:15">
      <c r="A171" s="8">
        <v>5</v>
      </c>
      <c r="B171" s="8" t="s">
        <v>233</v>
      </c>
      <c r="C171" s="8" t="s">
        <v>230</v>
      </c>
      <c r="D171" s="8" t="s">
        <v>25</v>
      </c>
      <c r="E171" s="8" t="s">
        <v>406</v>
      </c>
      <c r="F171" s="8" t="s">
        <v>76</v>
      </c>
      <c r="G171" s="25">
        <v>46209</v>
      </c>
      <c r="H171" s="25">
        <v>46227</v>
      </c>
      <c r="I171" s="8" t="s">
        <v>3</v>
      </c>
      <c r="J171" s="8" t="s">
        <v>3</v>
      </c>
      <c r="K171" s="25">
        <v>46261</v>
      </c>
      <c r="L171" s="8" t="s">
        <v>807</v>
      </c>
      <c r="M171" s="8"/>
      <c r="N171" s="10"/>
      <c r="O171" s="8" t="s">
        <v>950</v>
      </c>
    </row>
    <row r="172" ht="32" customHeight="1" spans="1:15">
      <c r="A172" s="8">
        <v>5</v>
      </c>
      <c r="B172" s="8" t="s">
        <v>241</v>
      </c>
      <c r="C172" s="8" t="s">
        <v>243</v>
      </c>
      <c r="D172" s="8" t="s">
        <v>25</v>
      </c>
      <c r="E172" s="8" t="s">
        <v>406</v>
      </c>
      <c r="F172" s="8" t="s">
        <v>76</v>
      </c>
      <c r="G172" s="25">
        <v>46209</v>
      </c>
      <c r="H172" s="25">
        <v>46225</v>
      </c>
      <c r="I172" s="8" t="s">
        <v>3</v>
      </c>
      <c r="J172" s="8" t="s">
        <v>3</v>
      </c>
      <c r="K172" s="25"/>
      <c r="L172" s="8" t="s">
        <v>807</v>
      </c>
      <c r="M172" s="8" t="s">
        <v>808</v>
      </c>
      <c r="N172" s="10"/>
      <c r="O172" s="8" t="s">
        <v>951</v>
      </c>
    </row>
    <row r="173" ht="32" customHeight="1" spans="1:15">
      <c r="A173" s="8">
        <v>5</v>
      </c>
      <c r="B173" s="8" t="s">
        <v>244</v>
      </c>
      <c r="C173" s="8" t="s">
        <v>246</v>
      </c>
      <c r="D173" s="8" t="s">
        <v>25</v>
      </c>
      <c r="E173" s="8" t="s">
        <v>406</v>
      </c>
      <c r="F173" s="8" t="s">
        <v>76</v>
      </c>
      <c r="G173" s="25">
        <v>46227</v>
      </c>
      <c r="H173" s="25">
        <v>46227</v>
      </c>
      <c r="I173" s="8" t="s">
        <v>3</v>
      </c>
      <c r="J173" s="8" t="s">
        <v>3</v>
      </c>
      <c r="K173" s="25">
        <v>46224</v>
      </c>
      <c r="L173" s="8" t="s">
        <v>807</v>
      </c>
      <c r="M173" s="8"/>
      <c r="N173" s="10"/>
      <c r="O173" s="8" t="s">
        <v>952</v>
      </c>
    </row>
    <row r="174" ht="32" customHeight="1" spans="1:15">
      <c r="A174" s="8">
        <v>5</v>
      </c>
      <c r="B174" s="8" t="s">
        <v>247</v>
      </c>
      <c r="C174" s="8" t="s">
        <v>248</v>
      </c>
      <c r="D174" s="8" t="s">
        <v>25</v>
      </c>
      <c r="E174" s="8" t="s">
        <v>406</v>
      </c>
      <c r="F174" s="8" t="s">
        <v>76</v>
      </c>
      <c r="G174" s="25">
        <v>46227</v>
      </c>
      <c r="H174" s="25">
        <v>46227</v>
      </c>
      <c r="I174" s="8" t="s">
        <v>3</v>
      </c>
      <c r="J174" s="8" t="s">
        <v>3</v>
      </c>
      <c r="K174" s="25">
        <v>46224</v>
      </c>
      <c r="L174" s="8" t="s">
        <v>807</v>
      </c>
      <c r="M174" s="8"/>
      <c r="N174" s="10"/>
      <c r="O174" s="8" t="s">
        <v>953</v>
      </c>
    </row>
    <row r="175" ht="32" customHeight="1" spans="1:15">
      <c r="A175" s="8">
        <v>5</v>
      </c>
      <c r="B175" s="8" t="s">
        <v>249</v>
      </c>
      <c r="C175" s="8" t="s">
        <v>250</v>
      </c>
      <c r="D175" s="8" t="s">
        <v>25</v>
      </c>
      <c r="E175" s="8" t="s">
        <v>406</v>
      </c>
      <c r="F175" s="8" t="s">
        <v>76</v>
      </c>
      <c r="G175" s="25">
        <v>46227</v>
      </c>
      <c r="H175" s="25">
        <v>46227</v>
      </c>
      <c r="I175" s="8" t="s">
        <v>3</v>
      </c>
      <c r="J175" s="8" t="s">
        <v>3</v>
      </c>
      <c r="K175" s="25">
        <v>46224</v>
      </c>
      <c r="L175" s="8" t="s">
        <v>807</v>
      </c>
      <c r="M175" s="8"/>
      <c r="N175" s="10"/>
      <c r="O175" s="8" t="s">
        <v>954</v>
      </c>
    </row>
    <row r="176" ht="32" customHeight="1" spans="1:15">
      <c r="A176" s="8">
        <v>5</v>
      </c>
      <c r="B176" s="8" t="s">
        <v>251</v>
      </c>
      <c r="C176" s="8" t="s">
        <v>252</v>
      </c>
      <c r="D176" s="8" t="s">
        <v>25</v>
      </c>
      <c r="E176" s="8" t="s">
        <v>406</v>
      </c>
      <c r="F176" s="8" t="s">
        <v>76</v>
      </c>
      <c r="G176" s="25">
        <v>46227</v>
      </c>
      <c r="H176" s="25">
        <v>46227</v>
      </c>
      <c r="I176" s="8" t="s">
        <v>3</v>
      </c>
      <c r="J176" s="8" t="s">
        <v>3</v>
      </c>
      <c r="K176" s="25">
        <v>46224</v>
      </c>
      <c r="L176" s="8" t="s">
        <v>807</v>
      </c>
      <c r="M176" s="8"/>
      <c r="N176" s="10"/>
      <c r="O176" s="8" t="s">
        <v>955</v>
      </c>
    </row>
    <row r="177" ht="32" customHeight="1" spans="1:15">
      <c r="A177" s="8">
        <v>5</v>
      </c>
      <c r="B177" s="8" t="s">
        <v>253</v>
      </c>
      <c r="C177" s="8" t="s">
        <v>254</v>
      </c>
      <c r="D177" s="8" t="s">
        <v>25</v>
      </c>
      <c r="E177" s="8" t="s">
        <v>406</v>
      </c>
      <c r="F177" s="8" t="s">
        <v>76</v>
      </c>
      <c r="G177" s="25">
        <v>46227</v>
      </c>
      <c r="H177" s="25">
        <v>46227</v>
      </c>
      <c r="I177" s="8" t="s">
        <v>3</v>
      </c>
      <c r="J177" s="8" t="s">
        <v>3</v>
      </c>
      <c r="K177" s="25">
        <v>46224</v>
      </c>
      <c r="L177" s="8" t="s">
        <v>807</v>
      </c>
      <c r="M177" s="8"/>
      <c r="N177" s="10"/>
      <c r="O177" s="8" t="s">
        <v>956</v>
      </c>
    </row>
    <row r="178" ht="32" customHeight="1" spans="1:15">
      <c r="A178" s="8">
        <v>5</v>
      </c>
      <c r="B178" s="8" t="s">
        <v>293</v>
      </c>
      <c r="C178" s="8" t="s">
        <v>295</v>
      </c>
      <c r="D178" s="8" t="s">
        <v>25</v>
      </c>
      <c r="E178" s="8" t="s">
        <v>406</v>
      </c>
      <c r="F178" s="8" t="s">
        <v>76</v>
      </c>
      <c r="G178" s="25">
        <v>46209</v>
      </c>
      <c r="H178" s="25">
        <v>46225</v>
      </c>
      <c r="I178" s="8" t="s">
        <v>3</v>
      </c>
      <c r="J178" s="8" t="s">
        <v>3</v>
      </c>
      <c r="K178" s="25">
        <v>46261</v>
      </c>
      <c r="L178" s="8" t="s">
        <v>807</v>
      </c>
      <c r="M178" s="8"/>
      <c r="N178" s="10"/>
      <c r="O178" s="8" t="s">
        <v>957</v>
      </c>
    </row>
    <row r="179" ht="32" customHeight="1" spans="1:15">
      <c r="A179" s="8">
        <v>5</v>
      </c>
      <c r="B179" s="8" t="s">
        <v>296</v>
      </c>
      <c r="C179" s="8" t="s">
        <v>298</v>
      </c>
      <c r="D179" s="8" t="s">
        <v>25</v>
      </c>
      <c r="E179" s="8" t="s">
        <v>406</v>
      </c>
      <c r="F179" s="8" t="s">
        <v>76</v>
      </c>
      <c r="G179" s="25">
        <v>46227</v>
      </c>
      <c r="H179" s="25">
        <v>46227</v>
      </c>
      <c r="I179" s="8" t="s">
        <v>3</v>
      </c>
      <c r="J179" s="8" t="s">
        <v>3</v>
      </c>
      <c r="K179" s="25"/>
      <c r="L179" s="8" t="s">
        <v>807</v>
      </c>
      <c r="M179" s="8" t="s">
        <v>808</v>
      </c>
      <c r="N179" s="10"/>
      <c r="O179" s="8" t="s">
        <v>958</v>
      </c>
    </row>
    <row r="180" ht="32" customHeight="1" spans="1:15">
      <c r="A180" s="8">
        <v>5</v>
      </c>
      <c r="B180" s="8" t="s">
        <v>299</v>
      </c>
      <c r="C180" s="8" t="s">
        <v>301</v>
      </c>
      <c r="D180" s="8" t="s">
        <v>25</v>
      </c>
      <c r="E180" s="8" t="s">
        <v>406</v>
      </c>
      <c r="F180" s="8" t="s">
        <v>76</v>
      </c>
      <c r="G180" s="25">
        <v>46227</v>
      </c>
      <c r="H180" s="25">
        <v>46227</v>
      </c>
      <c r="I180" s="8" t="s">
        <v>3</v>
      </c>
      <c r="J180" s="8" t="s">
        <v>3</v>
      </c>
      <c r="K180" s="25">
        <v>46224</v>
      </c>
      <c r="L180" s="8" t="s">
        <v>807</v>
      </c>
      <c r="M180" s="8"/>
      <c r="N180" s="10"/>
      <c r="O180" s="8" t="s">
        <v>959</v>
      </c>
    </row>
    <row r="181" ht="32" customHeight="1" spans="1:15">
      <c r="A181" s="8">
        <v>5</v>
      </c>
      <c r="B181" s="8" t="s">
        <v>302</v>
      </c>
      <c r="C181" s="8" t="s">
        <v>303</v>
      </c>
      <c r="D181" s="8" t="s">
        <v>25</v>
      </c>
      <c r="E181" s="8" t="s">
        <v>406</v>
      </c>
      <c r="F181" s="8" t="s">
        <v>76</v>
      </c>
      <c r="G181" s="25">
        <v>46227</v>
      </c>
      <c r="H181" s="25">
        <v>46227</v>
      </c>
      <c r="I181" s="8" t="s">
        <v>3</v>
      </c>
      <c r="J181" s="8" t="s">
        <v>3</v>
      </c>
      <c r="K181" s="25">
        <v>46224</v>
      </c>
      <c r="L181" s="8" t="s">
        <v>807</v>
      </c>
      <c r="M181" s="8"/>
      <c r="N181" s="10"/>
      <c r="O181" s="8" t="s">
        <v>960</v>
      </c>
    </row>
    <row r="182" ht="32" customHeight="1" spans="1:15">
      <c r="A182" s="8">
        <v>6</v>
      </c>
      <c r="B182" s="8" t="s">
        <v>70</v>
      </c>
      <c r="C182" s="8" t="s">
        <v>73</v>
      </c>
      <c r="D182" s="8" t="s">
        <v>25</v>
      </c>
      <c r="E182" s="8" t="s">
        <v>411</v>
      </c>
      <c r="F182" s="8" t="s">
        <v>78</v>
      </c>
      <c r="G182" s="25">
        <v>46216</v>
      </c>
      <c r="H182" s="25">
        <v>46234</v>
      </c>
      <c r="I182" s="8" t="s">
        <v>3</v>
      </c>
      <c r="J182" s="8" t="s">
        <v>3</v>
      </c>
      <c r="K182" s="25"/>
      <c r="L182" s="8" t="s">
        <v>807</v>
      </c>
      <c r="M182" s="8" t="s">
        <v>808</v>
      </c>
      <c r="N182" s="10"/>
      <c r="O182" s="8" t="s">
        <v>961</v>
      </c>
    </row>
    <row r="183" ht="32" customHeight="1" spans="1:15">
      <c r="A183" s="8">
        <v>6</v>
      </c>
      <c r="B183" s="8" t="s">
        <v>80</v>
      </c>
      <c r="C183" s="8" t="s">
        <v>81</v>
      </c>
      <c r="D183" s="8" t="s">
        <v>25</v>
      </c>
      <c r="E183" s="8" t="s">
        <v>411</v>
      </c>
      <c r="F183" s="8" t="s">
        <v>78</v>
      </c>
      <c r="G183" s="25">
        <v>46216</v>
      </c>
      <c r="H183" s="25">
        <v>46234</v>
      </c>
      <c r="I183" s="8" t="s">
        <v>3</v>
      </c>
      <c r="J183" s="8" t="s">
        <v>3</v>
      </c>
      <c r="K183" s="25"/>
      <c r="L183" s="8" t="s">
        <v>807</v>
      </c>
      <c r="M183" s="8" t="s">
        <v>808</v>
      </c>
      <c r="N183" s="10"/>
      <c r="O183" s="8" t="s">
        <v>962</v>
      </c>
    </row>
    <row r="184" ht="32" customHeight="1" spans="1:15">
      <c r="A184" s="8">
        <v>6</v>
      </c>
      <c r="B184" s="8" t="s">
        <v>82</v>
      </c>
      <c r="C184" s="8" t="s">
        <v>83</v>
      </c>
      <c r="D184" s="8" t="s">
        <v>25</v>
      </c>
      <c r="E184" s="8" t="s">
        <v>411</v>
      </c>
      <c r="F184" s="8" t="s">
        <v>78</v>
      </c>
      <c r="G184" s="25">
        <v>46216</v>
      </c>
      <c r="H184" s="25">
        <v>46234</v>
      </c>
      <c r="I184" s="8" t="s">
        <v>3</v>
      </c>
      <c r="J184" s="8" t="s">
        <v>3</v>
      </c>
      <c r="K184" s="25"/>
      <c r="L184" s="8" t="s">
        <v>807</v>
      </c>
      <c r="M184" s="8" t="s">
        <v>808</v>
      </c>
      <c r="N184" s="10"/>
      <c r="O184" s="8" t="s">
        <v>963</v>
      </c>
    </row>
    <row r="185" ht="32" customHeight="1" spans="1:15">
      <c r="A185" s="8">
        <v>6</v>
      </c>
      <c r="B185" s="8" t="s">
        <v>84</v>
      </c>
      <c r="C185" s="8" t="s">
        <v>85</v>
      </c>
      <c r="D185" s="8" t="s">
        <v>25</v>
      </c>
      <c r="E185" s="8" t="s">
        <v>411</v>
      </c>
      <c r="F185" s="8" t="s">
        <v>78</v>
      </c>
      <c r="G185" s="25">
        <v>46216</v>
      </c>
      <c r="H185" s="25">
        <v>46234</v>
      </c>
      <c r="I185" s="8" t="s">
        <v>3</v>
      </c>
      <c r="J185" s="8" t="s">
        <v>3</v>
      </c>
      <c r="K185" s="25"/>
      <c r="L185" s="8" t="s">
        <v>807</v>
      </c>
      <c r="M185" s="8" t="s">
        <v>808</v>
      </c>
      <c r="N185" s="10"/>
      <c r="O185" s="8" t="s">
        <v>964</v>
      </c>
    </row>
    <row r="186" ht="32" customHeight="1" spans="1:15">
      <c r="A186" s="8">
        <v>6</v>
      </c>
      <c r="B186" s="8" t="s">
        <v>89</v>
      </c>
      <c r="C186" s="8" t="s">
        <v>91</v>
      </c>
      <c r="D186" s="8" t="s">
        <v>25</v>
      </c>
      <c r="E186" s="8" t="s">
        <v>411</v>
      </c>
      <c r="F186" s="8" t="s">
        <v>78</v>
      </c>
      <c r="G186" s="25">
        <v>46216</v>
      </c>
      <c r="H186" s="25">
        <v>46234</v>
      </c>
      <c r="I186" s="8" t="s">
        <v>3</v>
      </c>
      <c r="J186" s="8" t="s">
        <v>3</v>
      </c>
      <c r="K186" s="25">
        <v>46224</v>
      </c>
      <c r="L186" s="8" t="s">
        <v>807</v>
      </c>
      <c r="M186" s="8"/>
      <c r="N186" s="10"/>
      <c r="O186" s="8" t="s">
        <v>965</v>
      </c>
    </row>
    <row r="187" ht="32" customHeight="1" spans="1:15">
      <c r="A187" s="8">
        <v>6</v>
      </c>
      <c r="B187" s="8" t="s">
        <v>92</v>
      </c>
      <c r="C187" s="8" t="s">
        <v>93</v>
      </c>
      <c r="D187" s="8" t="s">
        <v>25</v>
      </c>
      <c r="E187" s="8" t="s">
        <v>411</v>
      </c>
      <c r="F187" s="8" t="s">
        <v>78</v>
      </c>
      <c r="G187" s="25">
        <v>46216</v>
      </c>
      <c r="H187" s="25">
        <v>46234</v>
      </c>
      <c r="I187" s="8" t="s">
        <v>3</v>
      </c>
      <c r="J187" s="8" t="s">
        <v>3</v>
      </c>
      <c r="K187" s="25">
        <v>46224</v>
      </c>
      <c r="L187" s="8" t="s">
        <v>807</v>
      </c>
      <c r="M187" s="8"/>
      <c r="N187" s="10"/>
      <c r="O187" s="8" t="s">
        <v>966</v>
      </c>
    </row>
    <row r="188" ht="32" customHeight="1" spans="1:15">
      <c r="A188" s="8">
        <v>6</v>
      </c>
      <c r="B188" s="8" t="s">
        <v>94</v>
      </c>
      <c r="C188" s="8" t="s">
        <v>95</v>
      </c>
      <c r="D188" s="8" t="s">
        <v>25</v>
      </c>
      <c r="E188" s="8" t="s">
        <v>411</v>
      </c>
      <c r="F188" s="8" t="s">
        <v>78</v>
      </c>
      <c r="G188" s="25">
        <v>46216</v>
      </c>
      <c r="H188" s="25">
        <v>46234</v>
      </c>
      <c r="I188" s="8" t="s">
        <v>3</v>
      </c>
      <c r="J188" s="8" t="s">
        <v>3</v>
      </c>
      <c r="K188" s="25">
        <v>46224</v>
      </c>
      <c r="L188" s="8" t="s">
        <v>807</v>
      </c>
      <c r="M188" s="8"/>
      <c r="N188" s="10"/>
      <c r="O188" s="8" t="s">
        <v>967</v>
      </c>
    </row>
    <row r="189" ht="32" customHeight="1" spans="1:15">
      <c r="A189" s="8">
        <v>6</v>
      </c>
      <c r="B189" s="8" t="s">
        <v>96</v>
      </c>
      <c r="C189" s="8" t="s">
        <v>98</v>
      </c>
      <c r="D189" s="8" t="s">
        <v>25</v>
      </c>
      <c r="E189" s="8" t="s">
        <v>411</v>
      </c>
      <c r="F189" s="8" t="s">
        <v>78</v>
      </c>
      <c r="G189" s="25">
        <v>46216</v>
      </c>
      <c r="H189" s="25">
        <v>46234</v>
      </c>
      <c r="I189" s="8" t="s">
        <v>3</v>
      </c>
      <c r="J189" s="8" t="s">
        <v>3</v>
      </c>
      <c r="K189" s="25">
        <v>46224</v>
      </c>
      <c r="L189" s="8" t="s">
        <v>807</v>
      </c>
      <c r="M189" s="8"/>
      <c r="N189" s="10"/>
      <c r="O189" s="8" t="s">
        <v>968</v>
      </c>
    </row>
    <row r="190" ht="32" customHeight="1" spans="1:15">
      <c r="A190" s="8">
        <v>6</v>
      </c>
      <c r="B190" s="8" t="s">
        <v>99</v>
      </c>
      <c r="C190" s="8" t="s">
        <v>100</v>
      </c>
      <c r="D190" s="8" t="s">
        <v>25</v>
      </c>
      <c r="E190" s="8" t="s">
        <v>411</v>
      </c>
      <c r="F190" s="8" t="s">
        <v>78</v>
      </c>
      <c r="G190" s="25">
        <v>46216</v>
      </c>
      <c r="H190" s="25">
        <v>46234</v>
      </c>
      <c r="I190" s="8" t="s">
        <v>3</v>
      </c>
      <c r="J190" s="8" t="s">
        <v>3</v>
      </c>
      <c r="K190" s="25">
        <v>46224</v>
      </c>
      <c r="L190" s="8" t="s">
        <v>807</v>
      </c>
      <c r="M190" s="8"/>
      <c r="N190" s="10"/>
      <c r="O190" s="8" t="s">
        <v>969</v>
      </c>
    </row>
    <row r="191" ht="32" customHeight="1" spans="1:15">
      <c r="A191" s="8">
        <v>6</v>
      </c>
      <c r="B191" s="8" t="s">
        <v>101</v>
      </c>
      <c r="C191" s="8" t="s">
        <v>104</v>
      </c>
      <c r="D191" s="8" t="s">
        <v>25</v>
      </c>
      <c r="E191" s="8" t="s">
        <v>411</v>
      </c>
      <c r="F191" s="8" t="s">
        <v>78</v>
      </c>
      <c r="G191" s="25">
        <v>46216</v>
      </c>
      <c r="H191" s="25">
        <v>46234</v>
      </c>
      <c r="I191" s="8" t="s">
        <v>3</v>
      </c>
      <c r="J191" s="8" t="s">
        <v>3</v>
      </c>
      <c r="K191" s="25">
        <v>46224</v>
      </c>
      <c r="L191" s="8" t="s">
        <v>807</v>
      </c>
      <c r="M191" s="8"/>
      <c r="N191" s="10"/>
      <c r="O191" s="8" t="s">
        <v>970</v>
      </c>
    </row>
    <row r="192" ht="32" customHeight="1" spans="1:15">
      <c r="A192" s="8">
        <v>6</v>
      </c>
      <c r="B192" s="8" t="s">
        <v>105</v>
      </c>
      <c r="C192" s="8" t="s">
        <v>106</v>
      </c>
      <c r="D192" s="8" t="s">
        <v>25</v>
      </c>
      <c r="E192" s="8" t="s">
        <v>411</v>
      </c>
      <c r="F192" s="8" t="s">
        <v>78</v>
      </c>
      <c r="G192" s="25">
        <v>46216</v>
      </c>
      <c r="H192" s="25">
        <v>46234</v>
      </c>
      <c r="I192" s="8" t="s">
        <v>3</v>
      </c>
      <c r="J192" s="8" t="s">
        <v>3</v>
      </c>
      <c r="K192" s="25">
        <v>46224</v>
      </c>
      <c r="L192" s="8" t="s">
        <v>807</v>
      </c>
      <c r="M192" s="8"/>
      <c r="N192" s="10"/>
      <c r="O192" s="8" t="s">
        <v>971</v>
      </c>
    </row>
    <row r="193" ht="32" customHeight="1" spans="1:15">
      <c r="A193" s="8">
        <v>6</v>
      </c>
      <c r="B193" s="8" t="s">
        <v>195</v>
      </c>
      <c r="C193" s="8" t="s">
        <v>197</v>
      </c>
      <c r="D193" s="8" t="s">
        <v>25</v>
      </c>
      <c r="E193" s="8" t="s">
        <v>411</v>
      </c>
      <c r="F193" s="8" t="s">
        <v>78</v>
      </c>
      <c r="G193" s="25">
        <v>46216</v>
      </c>
      <c r="H193" s="25">
        <v>46234</v>
      </c>
      <c r="I193" s="8" t="s">
        <v>4</v>
      </c>
      <c r="J193" s="8" t="s">
        <v>4</v>
      </c>
      <c r="K193" s="25"/>
      <c r="L193" s="8" t="s">
        <v>890</v>
      </c>
      <c r="M193" s="8"/>
      <c r="N193" s="10"/>
      <c r="O193" s="8" t="s">
        <v>972</v>
      </c>
    </row>
    <row r="194" ht="32" customHeight="1" spans="1:15">
      <c r="A194" s="8">
        <v>6</v>
      </c>
      <c r="B194" s="8" t="s">
        <v>198</v>
      </c>
      <c r="C194" s="8" t="s">
        <v>199</v>
      </c>
      <c r="D194" s="8" t="s">
        <v>25</v>
      </c>
      <c r="E194" s="8" t="s">
        <v>411</v>
      </c>
      <c r="F194" s="8" t="s">
        <v>78</v>
      </c>
      <c r="G194" s="25">
        <v>46216</v>
      </c>
      <c r="H194" s="25">
        <v>46234</v>
      </c>
      <c r="I194" s="8" t="s">
        <v>4</v>
      </c>
      <c r="J194" s="8" t="s">
        <v>4</v>
      </c>
      <c r="K194" s="25">
        <v>46261</v>
      </c>
      <c r="L194" s="8" t="s">
        <v>890</v>
      </c>
      <c r="M194" s="8"/>
      <c r="N194" s="10"/>
      <c r="O194" s="8" t="s">
        <v>973</v>
      </c>
    </row>
    <row r="195" ht="32" customHeight="1" spans="1:15">
      <c r="A195" s="8">
        <v>6</v>
      </c>
      <c r="B195" s="8" t="s">
        <v>200</v>
      </c>
      <c r="C195" s="8" t="s">
        <v>196</v>
      </c>
      <c r="D195" s="8" t="s">
        <v>25</v>
      </c>
      <c r="E195" s="8" t="s">
        <v>411</v>
      </c>
      <c r="F195" s="8" t="s">
        <v>78</v>
      </c>
      <c r="G195" s="25">
        <v>46216</v>
      </c>
      <c r="H195" s="25">
        <v>46234</v>
      </c>
      <c r="I195" s="8" t="s">
        <v>4</v>
      </c>
      <c r="J195" s="8" t="s">
        <v>4</v>
      </c>
      <c r="K195" s="25">
        <v>46261</v>
      </c>
      <c r="L195" s="8" t="s">
        <v>890</v>
      </c>
      <c r="M195" s="8"/>
      <c r="N195" s="10"/>
      <c r="O195" s="8" t="s">
        <v>974</v>
      </c>
    </row>
    <row r="196" ht="32" customHeight="1" spans="1:15">
      <c r="A196" s="8">
        <v>6</v>
      </c>
      <c r="B196" s="8" t="s">
        <v>218</v>
      </c>
      <c r="C196" s="8" t="s">
        <v>220</v>
      </c>
      <c r="D196" s="8" t="s">
        <v>25</v>
      </c>
      <c r="E196" s="8" t="s">
        <v>411</v>
      </c>
      <c r="F196" s="8" t="s">
        <v>78</v>
      </c>
      <c r="G196" s="25">
        <v>46216</v>
      </c>
      <c r="H196" s="25">
        <v>46234</v>
      </c>
      <c r="I196" s="8" t="s">
        <v>3</v>
      </c>
      <c r="J196" s="8" t="s">
        <v>3</v>
      </c>
      <c r="K196" s="25">
        <v>46261</v>
      </c>
      <c r="L196" s="8" t="s">
        <v>807</v>
      </c>
      <c r="M196" s="8"/>
      <c r="N196" s="10"/>
      <c r="O196" s="8" t="s">
        <v>975</v>
      </c>
    </row>
    <row r="197" ht="32" customHeight="1" spans="1:15">
      <c r="A197" s="8">
        <v>6</v>
      </c>
      <c r="B197" s="8" t="s">
        <v>221</v>
      </c>
      <c r="C197" s="8" t="s">
        <v>222</v>
      </c>
      <c r="D197" s="8" t="s">
        <v>25</v>
      </c>
      <c r="E197" s="8" t="s">
        <v>411</v>
      </c>
      <c r="F197" s="8" t="s">
        <v>78</v>
      </c>
      <c r="G197" s="25">
        <v>46216</v>
      </c>
      <c r="H197" s="25">
        <v>46234</v>
      </c>
      <c r="I197" s="8" t="s">
        <v>3</v>
      </c>
      <c r="J197" s="8" t="s">
        <v>3</v>
      </c>
      <c r="K197" s="25">
        <v>46261</v>
      </c>
      <c r="L197" s="8" t="s">
        <v>807</v>
      </c>
      <c r="M197" s="8"/>
      <c r="N197" s="10"/>
      <c r="O197" s="8" t="s">
        <v>976</v>
      </c>
    </row>
    <row r="198" ht="32" customHeight="1" spans="1:15">
      <c r="A198" s="8">
        <v>6</v>
      </c>
      <c r="B198" s="8" t="s">
        <v>223</v>
      </c>
      <c r="C198" s="8" t="s">
        <v>224</v>
      </c>
      <c r="D198" s="8" t="s">
        <v>25</v>
      </c>
      <c r="E198" s="8" t="s">
        <v>411</v>
      </c>
      <c r="F198" s="8" t="s">
        <v>78</v>
      </c>
      <c r="G198" s="25">
        <v>46216</v>
      </c>
      <c r="H198" s="25">
        <v>46234</v>
      </c>
      <c r="I198" s="8" t="s">
        <v>3</v>
      </c>
      <c r="J198" s="8" t="s">
        <v>3</v>
      </c>
      <c r="K198" s="25">
        <v>46261</v>
      </c>
      <c r="L198" s="8" t="s">
        <v>807</v>
      </c>
      <c r="M198" s="8"/>
      <c r="N198" s="10"/>
      <c r="O198" s="8" t="s">
        <v>977</v>
      </c>
    </row>
    <row r="199" ht="32" customHeight="1" spans="1:15">
      <c r="A199" s="8">
        <v>6</v>
      </c>
      <c r="B199" s="8" t="s">
        <v>225</v>
      </c>
      <c r="C199" s="8" t="s">
        <v>227</v>
      </c>
      <c r="D199" s="8" t="s">
        <v>25</v>
      </c>
      <c r="E199" s="8" t="s">
        <v>411</v>
      </c>
      <c r="F199" s="8" t="s">
        <v>78</v>
      </c>
      <c r="G199" s="25">
        <v>46216</v>
      </c>
      <c r="H199" s="25">
        <v>46234</v>
      </c>
      <c r="I199" s="8" t="s">
        <v>3</v>
      </c>
      <c r="J199" s="8" t="s">
        <v>3</v>
      </c>
      <c r="K199" s="25">
        <v>46261</v>
      </c>
      <c r="L199" s="8" t="s">
        <v>807</v>
      </c>
      <c r="M199" s="8"/>
      <c r="N199" s="10"/>
      <c r="O199" s="8" t="s">
        <v>978</v>
      </c>
    </row>
    <row r="200" ht="32" customHeight="1" spans="1:15">
      <c r="A200" s="8">
        <v>6</v>
      </c>
      <c r="B200" s="8" t="s">
        <v>228</v>
      </c>
      <c r="C200" s="8" t="s">
        <v>227</v>
      </c>
      <c r="D200" s="8" t="s">
        <v>25</v>
      </c>
      <c r="E200" s="8" t="s">
        <v>411</v>
      </c>
      <c r="F200" s="8" t="s">
        <v>78</v>
      </c>
      <c r="G200" s="25">
        <v>46216</v>
      </c>
      <c r="H200" s="25">
        <v>46234</v>
      </c>
      <c r="I200" s="8" t="s">
        <v>3</v>
      </c>
      <c r="J200" s="8" t="s">
        <v>3</v>
      </c>
      <c r="K200" s="25">
        <v>46261</v>
      </c>
      <c r="L200" s="8" t="s">
        <v>807</v>
      </c>
      <c r="M200" s="8"/>
      <c r="N200" s="10"/>
      <c r="O200" s="8" t="s">
        <v>979</v>
      </c>
    </row>
    <row r="201" ht="32" customHeight="1" spans="1:15">
      <c r="A201" s="8">
        <v>6</v>
      </c>
      <c r="B201" s="8" t="s">
        <v>229</v>
      </c>
      <c r="C201" s="8" t="s">
        <v>230</v>
      </c>
      <c r="D201" s="8" t="s">
        <v>25</v>
      </c>
      <c r="E201" s="8" t="s">
        <v>411</v>
      </c>
      <c r="F201" s="8" t="s">
        <v>78</v>
      </c>
      <c r="G201" s="25">
        <v>46216</v>
      </c>
      <c r="H201" s="25">
        <v>46234</v>
      </c>
      <c r="I201" s="8" t="s">
        <v>3</v>
      </c>
      <c r="J201" s="8" t="s">
        <v>3</v>
      </c>
      <c r="K201" s="25">
        <v>46261</v>
      </c>
      <c r="L201" s="8" t="s">
        <v>807</v>
      </c>
      <c r="M201" s="8"/>
      <c r="N201" s="10"/>
      <c r="O201" s="8" t="s">
        <v>980</v>
      </c>
    </row>
    <row r="202" ht="32" customHeight="1" spans="1:15">
      <c r="A202" s="8">
        <v>6</v>
      </c>
      <c r="B202" s="8" t="s">
        <v>231</v>
      </c>
      <c r="C202" s="8" t="s">
        <v>230</v>
      </c>
      <c r="D202" s="8" t="s">
        <v>25</v>
      </c>
      <c r="E202" s="8" t="s">
        <v>411</v>
      </c>
      <c r="F202" s="8" t="s">
        <v>78</v>
      </c>
      <c r="G202" s="25">
        <v>46216</v>
      </c>
      <c r="H202" s="25">
        <v>46234</v>
      </c>
      <c r="I202" s="8" t="s">
        <v>3</v>
      </c>
      <c r="J202" s="8" t="s">
        <v>3</v>
      </c>
      <c r="K202" s="25">
        <v>46261</v>
      </c>
      <c r="L202" s="8" t="s">
        <v>807</v>
      </c>
      <c r="M202" s="8"/>
      <c r="N202" s="10"/>
      <c r="O202" s="8" t="s">
        <v>981</v>
      </c>
    </row>
    <row r="203" ht="32" customHeight="1" spans="1:15">
      <c r="A203" s="8">
        <v>6</v>
      </c>
      <c r="B203" s="8" t="s">
        <v>232</v>
      </c>
      <c r="C203" s="8" t="s">
        <v>230</v>
      </c>
      <c r="D203" s="8" t="s">
        <v>25</v>
      </c>
      <c r="E203" s="8" t="s">
        <v>411</v>
      </c>
      <c r="F203" s="8" t="s">
        <v>78</v>
      </c>
      <c r="G203" s="25">
        <v>46216</v>
      </c>
      <c r="H203" s="25">
        <v>46234</v>
      </c>
      <c r="I203" s="8" t="s">
        <v>3</v>
      </c>
      <c r="J203" s="8" t="s">
        <v>3</v>
      </c>
      <c r="K203" s="25">
        <v>46261</v>
      </c>
      <c r="L203" s="8" t="s">
        <v>807</v>
      </c>
      <c r="M203" s="8"/>
      <c r="N203" s="10"/>
      <c r="O203" s="8" t="s">
        <v>982</v>
      </c>
    </row>
    <row r="204" ht="32" customHeight="1" spans="1:15">
      <c r="A204" s="8">
        <v>6</v>
      </c>
      <c r="B204" s="8" t="s">
        <v>233</v>
      </c>
      <c r="C204" s="8" t="s">
        <v>230</v>
      </c>
      <c r="D204" s="8" t="s">
        <v>25</v>
      </c>
      <c r="E204" s="8" t="s">
        <v>411</v>
      </c>
      <c r="F204" s="8" t="s">
        <v>78</v>
      </c>
      <c r="G204" s="25">
        <v>46216</v>
      </c>
      <c r="H204" s="25">
        <v>46234</v>
      </c>
      <c r="I204" s="8" t="s">
        <v>3</v>
      </c>
      <c r="J204" s="8" t="s">
        <v>3</v>
      </c>
      <c r="K204" s="25">
        <v>46261</v>
      </c>
      <c r="L204" s="8" t="s">
        <v>807</v>
      </c>
      <c r="M204" s="8"/>
      <c r="N204" s="10"/>
      <c r="O204" s="8" t="s">
        <v>983</v>
      </c>
    </row>
    <row r="205" ht="32" customHeight="1" spans="1:15">
      <c r="A205" s="8">
        <v>6</v>
      </c>
      <c r="B205" s="8" t="s">
        <v>234</v>
      </c>
      <c r="C205" s="8" t="s">
        <v>236</v>
      </c>
      <c r="D205" s="8" t="s">
        <v>25</v>
      </c>
      <c r="E205" s="8" t="s">
        <v>411</v>
      </c>
      <c r="F205" s="8" t="s">
        <v>78</v>
      </c>
      <c r="G205" s="25">
        <v>46216</v>
      </c>
      <c r="H205" s="25">
        <v>46234</v>
      </c>
      <c r="I205" s="8" t="s">
        <v>3</v>
      </c>
      <c r="J205" s="8" t="s">
        <v>3</v>
      </c>
      <c r="K205" s="25">
        <v>46224</v>
      </c>
      <c r="L205" s="8" t="s">
        <v>807</v>
      </c>
      <c r="M205" s="8"/>
      <c r="N205" s="10"/>
      <c r="O205" s="8" t="s">
        <v>984</v>
      </c>
    </row>
    <row r="206" ht="32" customHeight="1" spans="1:15">
      <c r="A206" s="8">
        <v>6</v>
      </c>
      <c r="B206" s="8" t="s">
        <v>241</v>
      </c>
      <c r="C206" s="8" t="s">
        <v>243</v>
      </c>
      <c r="D206" s="8" t="s">
        <v>25</v>
      </c>
      <c r="E206" s="8" t="s">
        <v>411</v>
      </c>
      <c r="F206" s="8" t="s">
        <v>78</v>
      </c>
      <c r="G206" s="25">
        <v>46216</v>
      </c>
      <c r="H206" s="25">
        <v>46234</v>
      </c>
      <c r="I206" s="8" t="s">
        <v>3</v>
      </c>
      <c r="J206" s="8" t="s">
        <v>3</v>
      </c>
      <c r="K206" s="25"/>
      <c r="L206" s="8" t="s">
        <v>807</v>
      </c>
      <c r="M206" s="8" t="s">
        <v>808</v>
      </c>
      <c r="N206" s="10"/>
      <c r="O206" s="8" t="s">
        <v>985</v>
      </c>
    </row>
    <row r="207" ht="32" customHeight="1" spans="1:15">
      <c r="A207" s="8">
        <v>6</v>
      </c>
      <c r="B207" s="8" t="s">
        <v>244</v>
      </c>
      <c r="C207" s="8" t="s">
        <v>246</v>
      </c>
      <c r="D207" s="8" t="s">
        <v>25</v>
      </c>
      <c r="E207" s="8" t="s">
        <v>411</v>
      </c>
      <c r="F207" s="8" t="s">
        <v>78</v>
      </c>
      <c r="G207" s="25">
        <v>46216</v>
      </c>
      <c r="H207" s="25">
        <v>46234</v>
      </c>
      <c r="I207" s="8" t="s">
        <v>3</v>
      </c>
      <c r="J207" s="8" t="s">
        <v>3</v>
      </c>
      <c r="K207" s="25">
        <v>46224</v>
      </c>
      <c r="L207" s="8" t="s">
        <v>807</v>
      </c>
      <c r="M207" s="8"/>
      <c r="N207" s="10"/>
      <c r="O207" s="8" t="s">
        <v>986</v>
      </c>
    </row>
    <row r="208" ht="32" customHeight="1" spans="1:15">
      <c r="A208" s="8">
        <v>6</v>
      </c>
      <c r="B208" s="8" t="s">
        <v>247</v>
      </c>
      <c r="C208" s="8" t="s">
        <v>248</v>
      </c>
      <c r="D208" s="8" t="s">
        <v>25</v>
      </c>
      <c r="E208" s="8" t="s">
        <v>411</v>
      </c>
      <c r="F208" s="8" t="s">
        <v>78</v>
      </c>
      <c r="G208" s="25">
        <v>46216</v>
      </c>
      <c r="H208" s="25">
        <v>46234</v>
      </c>
      <c r="I208" s="8" t="s">
        <v>3</v>
      </c>
      <c r="J208" s="8" t="s">
        <v>3</v>
      </c>
      <c r="K208" s="25">
        <v>46224</v>
      </c>
      <c r="L208" s="8" t="s">
        <v>807</v>
      </c>
      <c r="M208" s="8"/>
      <c r="N208" s="10"/>
      <c r="O208" s="8" t="s">
        <v>987</v>
      </c>
    </row>
    <row r="209" ht="32" customHeight="1" spans="1:15">
      <c r="A209" s="8">
        <v>6</v>
      </c>
      <c r="B209" s="8" t="s">
        <v>249</v>
      </c>
      <c r="C209" s="8" t="s">
        <v>250</v>
      </c>
      <c r="D209" s="8" t="s">
        <v>25</v>
      </c>
      <c r="E209" s="8" t="s">
        <v>411</v>
      </c>
      <c r="F209" s="8" t="s">
        <v>78</v>
      </c>
      <c r="G209" s="25">
        <v>46216</v>
      </c>
      <c r="H209" s="25">
        <v>46234</v>
      </c>
      <c r="I209" s="8" t="s">
        <v>3</v>
      </c>
      <c r="J209" s="8" t="s">
        <v>3</v>
      </c>
      <c r="K209" s="25">
        <v>46224</v>
      </c>
      <c r="L209" s="8" t="s">
        <v>807</v>
      </c>
      <c r="M209" s="8"/>
      <c r="N209" s="10"/>
      <c r="O209" s="8" t="s">
        <v>988</v>
      </c>
    </row>
    <row r="210" ht="32" customHeight="1" spans="1:15">
      <c r="A210" s="8">
        <v>6</v>
      </c>
      <c r="B210" s="8" t="s">
        <v>251</v>
      </c>
      <c r="C210" s="8" t="s">
        <v>252</v>
      </c>
      <c r="D210" s="8" t="s">
        <v>25</v>
      </c>
      <c r="E210" s="8" t="s">
        <v>411</v>
      </c>
      <c r="F210" s="8" t="s">
        <v>78</v>
      </c>
      <c r="G210" s="25">
        <v>46216</v>
      </c>
      <c r="H210" s="25">
        <v>46234</v>
      </c>
      <c r="I210" s="8" t="s">
        <v>3</v>
      </c>
      <c r="J210" s="8" t="s">
        <v>3</v>
      </c>
      <c r="K210" s="25">
        <v>46224</v>
      </c>
      <c r="L210" s="8" t="s">
        <v>807</v>
      </c>
      <c r="M210" s="8"/>
      <c r="N210" s="10"/>
      <c r="O210" s="8" t="s">
        <v>989</v>
      </c>
    </row>
    <row r="211" ht="32" customHeight="1" spans="1:15">
      <c r="A211" s="8">
        <v>6</v>
      </c>
      <c r="B211" s="8" t="s">
        <v>253</v>
      </c>
      <c r="C211" s="8" t="s">
        <v>254</v>
      </c>
      <c r="D211" s="8" t="s">
        <v>25</v>
      </c>
      <c r="E211" s="8" t="s">
        <v>411</v>
      </c>
      <c r="F211" s="8" t="s">
        <v>78</v>
      </c>
      <c r="G211" s="25">
        <v>46216</v>
      </c>
      <c r="H211" s="25">
        <v>46234</v>
      </c>
      <c r="I211" s="8" t="s">
        <v>3</v>
      </c>
      <c r="J211" s="8" t="s">
        <v>3</v>
      </c>
      <c r="K211" s="25">
        <v>46224</v>
      </c>
      <c r="L211" s="8" t="s">
        <v>807</v>
      </c>
      <c r="M211" s="8"/>
      <c r="N211" s="10"/>
      <c r="O211" s="8" t="s">
        <v>990</v>
      </c>
    </row>
    <row r="212" ht="32" customHeight="1" spans="1:15">
      <c r="A212" s="8">
        <v>6</v>
      </c>
      <c r="B212" s="8" t="s">
        <v>290</v>
      </c>
      <c r="C212" s="8" t="s">
        <v>292</v>
      </c>
      <c r="D212" s="8" t="s">
        <v>25</v>
      </c>
      <c r="E212" s="8" t="s">
        <v>411</v>
      </c>
      <c r="F212" s="8" t="s">
        <v>78</v>
      </c>
      <c r="G212" s="25">
        <v>46216</v>
      </c>
      <c r="H212" s="25">
        <v>46234</v>
      </c>
      <c r="I212" s="8" t="s">
        <v>4</v>
      </c>
      <c r="J212" s="8" t="s">
        <v>4</v>
      </c>
      <c r="K212" s="25"/>
      <c r="L212" s="8" t="s">
        <v>890</v>
      </c>
      <c r="M212" s="8"/>
      <c r="N212" s="10"/>
      <c r="O212" s="8" t="s">
        <v>991</v>
      </c>
    </row>
    <row r="213" ht="32" customHeight="1" spans="1:15">
      <c r="A213" s="8">
        <v>6</v>
      </c>
      <c r="B213" s="8" t="s">
        <v>293</v>
      </c>
      <c r="C213" s="8" t="s">
        <v>295</v>
      </c>
      <c r="D213" s="8" t="s">
        <v>25</v>
      </c>
      <c r="E213" s="8" t="s">
        <v>411</v>
      </c>
      <c r="F213" s="8" t="s">
        <v>78</v>
      </c>
      <c r="G213" s="25">
        <v>46216</v>
      </c>
      <c r="H213" s="25">
        <v>46234</v>
      </c>
      <c r="I213" s="8" t="s">
        <v>3</v>
      </c>
      <c r="J213" s="8" t="s">
        <v>3</v>
      </c>
      <c r="K213" s="25">
        <v>46261</v>
      </c>
      <c r="L213" s="8" t="s">
        <v>807</v>
      </c>
      <c r="M213" s="8"/>
      <c r="N213" s="10"/>
      <c r="O213" s="8" t="s">
        <v>992</v>
      </c>
    </row>
    <row r="214" ht="32" customHeight="1" spans="1:15">
      <c r="A214" s="8">
        <v>6</v>
      </c>
      <c r="B214" s="8" t="s">
        <v>296</v>
      </c>
      <c r="C214" s="8" t="s">
        <v>298</v>
      </c>
      <c r="D214" s="8" t="s">
        <v>25</v>
      </c>
      <c r="E214" s="8" t="s">
        <v>411</v>
      </c>
      <c r="F214" s="8" t="s">
        <v>78</v>
      </c>
      <c r="G214" s="25">
        <v>46216</v>
      </c>
      <c r="H214" s="25">
        <v>46234</v>
      </c>
      <c r="I214" s="8" t="s">
        <v>3</v>
      </c>
      <c r="J214" s="8" t="s">
        <v>3</v>
      </c>
      <c r="K214" s="25"/>
      <c r="L214" s="8" t="s">
        <v>807</v>
      </c>
      <c r="M214" s="8" t="s">
        <v>808</v>
      </c>
      <c r="N214" s="10"/>
      <c r="O214" s="8" t="s">
        <v>993</v>
      </c>
    </row>
    <row r="215" ht="32" customHeight="1" spans="1:15">
      <c r="A215" s="8">
        <v>6</v>
      </c>
      <c r="B215" s="8" t="s">
        <v>299</v>
      </c>
      <c r="C215" s="8" t="s">
        <v>301</v>
      </c>
      <c r="D215" s="8" t="s">
        <v>25</v>
      </c>
      <c r="E215" s="8" t="s">
        <v>411</v>
      </c>
      <c r="F215" s="8" t="s">
        <v>78</v>
      </c>
      <c r="G215" s="25">
        <v>46216</v>
      </c>
      <c r="H215" s="25">
        <v>46234</v>
      </c>
      <c r="I215" s="8" t="s">
        <v>3</v>
      </c>
      <c r="J215" s="8" t="s">
        <v>3</v>
      </c>
      <c r="K215" s="25">
        <v>46224</v>
      </c>
      <c r="L215" s="8" t="s">
        <v>807</v>
      </c>
      <c r="M215" s="8"/>
      <c r="N215" s="10"/>
      <c r="O215" s="8" t="s">
        <v>994</v>
      </c>
    </row>
    <row r="216" ht="32" customHeight="1" spans="1:15">
      <c r="A216" s="8">
        <v>6</v>
      </c>
      <c r="B216" s="8" t="s">
        <v>302</v>
      </c>
      <c r="C216" s="8" t="s">
        <v>303</v>
      </c>
      <c r="D216" s="8" t="s">
        <v>25</v>
      </c>
      <c r="E216" s="8" t="s">
        <v>411</v>
      </c>
      <c r="F216" s="8" t="s">
        <v>78</v>
      </c>
      <c r="G216" s="25">
        <v>46216</v>
      </c>
      <c r="H216" s="25">
        <v>46234</v>
      </c>
      <c r="I216" s="8" t="s">
        <v>3</v>
      </c>
      <c r="J216" s="8" t="s">
        <v>3</v>
      </c>
      <c r="K216" s="25">
        <v>46224</v>
      </c>
      <c r="L216" s="8" t="s">
        <v>807</v>
      </c>
      <c r="M216" s="8"/>
      <c r="N216" s="10"/>
      <c r="O216" s="8" t="s">
        <v>995</v>
      </c>
    </row>
    <row r="217" ht="32" customHeight="1" spans="1:15">
      <c r="A217" s="8">
        <v>7</v>
      </c>
      <c r="B217" s="8" t="s">
        <v>86</v>
      </c>
      <c r="C217" s="8" t="s">
        <v>88</v>
      </c>
      <c r="D217" s="8" t="s">
        <v>26</v>
      </c>
      <c r="E217" s="8" t="s">
        <v>415</v>
      </c>
      <c r="F217" s="8" t="s">
        <v>75</v>
      </c>
      <c r="G217" s="25">
        <v>46230</v>
      </c>
      <c r="H217" s="25">
        <v>46241</v>
      </c>
      <c r="I217" s="8" t="s">
        <v>3</v>
      </c>
      <c r="J217" s="8" t="s">
        <v>3</v>
      </c>
      <c r="K217" s="25"/>
      <c r="L217" s="8" t="s">
        <v>807</v>
      </c>
      <c r="M217" s="8" t="s">
        <v>808</v>
      </c>
      <c r="N217" s="10"/>
      <c r="O217" s="8" t="s">
        <v>996</v>
      </c>
    </row>
    <row r="218" ht="32" customHeight="1" spans="1:15">
      <c r="A218" s="8">
        <v>7</v>
      </c>
      <c r="B218" s="8" t="s">
        <v>120</v>
      </c>
      <c r="C218" s="8" t="s">
        <v>123</v>
      </c>
      <c r="D218" s="8" t="s">
        <v>26</v>
      </c>
      <c r="E218" s="8" t="s">
        <v>415</v>
      </c>
      <c r="F218" s="8" t="s">
        <v>75</v>
      </c>
      <c r="G218" s="25">
        <v>46230</v>
      </c>
      <c r="H218" s="25">
        <v>46241</v>
      </c>
      <c r="I218" s="8" t="s">
        <v>3</v>
      </c>
      <c r="J218" s="8" t="s">
        <v>4</v>
      </c>
      <c r="K218" s="25"/>
      <c r="L218" s="8" t="s">
        <v>807</v>
      </c>
      <c r="M218" s="8" t="s">
        <v>808</v>
      </c>
      <c r="N218" s="10"/>
      <c r="O218" s="8" t="s">
        <v>997</v>
      </c>
    </row>
    <row r="219" ht="32" customHeight="1" spans="1:15">
      <c r="A219" s="8">
        <v>7</v>
      </c>
      <c r="B219" s="8" t="s">
        <v>124</v>
      </c>
      <c r="C219" s="8" t="s">
        <v>125</v>
      </c>
      <c r="D219" s="8" t="s">
        <v>26</v>
      </c>
      <c r="E219" s="8" t="s">
        <v>415</v>
      </c>
      <c r="F219" s="8" t="s">
        <v>75</v>
      </c>
      <c r="G219" s="25">
        <v>46230</v>
      </c>
      <c r="H219" s="25">
        <v>46241</v>
      </c>
      <c r="I219" s="8" t="s">
        <v>3</v>
      </c>
      <c r="J219" s="8" t="s">
        <v>4</v>
      </c>
      <c r="K219" s="25"/>
      <c r="L219" s="8" t="s">
        <v>807</v>
      </c>
      <c r="M219" s="8" t="s">
        <v>808</v>
      </c>
      <c r="N219" s="10"/>
      <c r="O219" s="8" t="s">
        <v>998</v>
      </c>
    </row>
    <row r="220" ht="32" customHeight="1" spans="1:15">
      <c r="A220" s="8">
        <v>7</v>
      </c>
      <c r="B220" s="8" t="s">
        <v>126</v>
      </c>
      <c r="C220" s="8" t="s">
        <v>127</v>
      </c>
      <c r="D220" s="8" t="s">
        <v>26</v>
      </c>
      <c r="E220" s="8" t="s">
        <v>415</v>
      </c>
      <c r="F220" s="8" t="s">
        <v>75</v>
      </c>
      <c r="G220" s="25">
        <v>46230</v>
      </c>
      <c r="H220" s="25">
        <v>46241</v>
      </c>
      <c r="I220" s="8" t="s">
        <v>3</v>
      </c>
      <c r="J220" s="8" t="s">
        <v>4</v>
      </c>
      <c r="K220" s="25"/>
      <c r="L220" s="8" t="s">
        <v>807</v>
      </c>
      <c r="M220" s="8" t="s">
        <v>808</v>
      </c>
      <c r="N220" s="10"/>
      <c r="O220" s="8" t="s">
        <v>999</v>
      </c>
    </row>
    <row r="221" ht="32" customHeight="1" spans="1:15">
      <c r="A221" s="8">
        <v>7</v>
      </c>
      <c r="B221" s="8" t="s">
        <v>128</v>
      </c>
      <c r="C221" s="8" t="s">
        <v>130</v>
      </c>
      <c r="D221" s="8" t="s">
        <v>26</v>
      </c>
      <c r="E221" s="8" t="s">
        <v>415</v>
      </c>
      <c r="F221" s="8" t="s">
        <v>75</v>
      </c>
      <c r="G221" s="25">
        <v>46230</v>
      </c>
      <c r="H221" s="25">
        <v>46241</v>
      </c>
      <c r="I221" s="8" t="s">
        <v>5</v>
      </c>
      <c r="J221" s="8" t="s">
        <v>5</v>
      </c>
      <c r="K221" s="25"/>
      <c r="L221" s="8" t="s">
        <v>890</v>
      </c>
      <c r="M221" s="8"/>
      <c r="N221" s="10"/>
      <c r="O221" s="8" t="s">
        <v>1000</v>
      </c>
    </row>
    <row r="222" ht="32" customHeight="1" spans="1:15">
      <c r="A222" s="8">
        <v>7</v>
      </c>
      <c r="B222" s="8" t="s">
        <v>131</v>
      </c>
      <c r="C222" s="8" t="s">
        <v>132</v>
      </c>
      <c r="D222" s="8" t="s">
        <v>26</v>
      </c>
      <c r="E222" s="8" t="s">
        <v>415</v>
      </c>
      <c r="F222" s="8" t="s">
        <v>75</v>
      </c>
      <c r="G222" s="25">
        <v>46230</v>
      </c>
      <c r="H222" s="25">
        <v>46241</v>
      </c>
      <c r="I222" s="8" t="s">
        <v>5</v>
      </c>
      <c r="J222" s="8" t="s">
        <v>5</v>
      </c>
      <c r="K222" s="25"/>
      <c r="L222" s="8" t="s">
        <v>890</v>
      </c>
      <c r="M222" s="8"/>
      <c r="N222" s="10"/>
      <c r="O222" s="8" t="s">
        <v>1001</v>
      </c>
    </row>
    <row r="223" ht="32" customHeight="1" spans="1:15">
      <c r="A223" s="8">
        <v>7</v>
      </c>
      <c r="B223" s="8" t="s">
        <v>133</v>
      </c>
      <c r="C223" s="8" t="s">
        <v>135</v>
      </c>
      <c r="D223" s="8" t="s">
        <v>26</v>
      </c>
      <c r="E223" s="8" t="s">
        <v>415</v>
      </c>
      <c r="F223" s="8" t="s">
        <v>75</v>
      </c>
      <c r="G223" s="25">
        <v>46230</v>
      </c>
      <c r="H223" s="25">
        <v>46241</v>
      </c>
      <c r="I223" s="8" t="s">
        <v>5</v>
      </c>
      <c r="J223" s="8" t="s">
        <v>5</v>
      </c>
      <c r="K223" s="25"/>
      <c r="L223" s="8" t="s">
        <v>890</v>
      </c>
      <c r="M223" s="8"/>
      <c r="N223" s="10"/>
      <c r="O223" s="8" t="s">
        <v>1002</v>
      </c>
    </row>
    <row r="224" ht="32" customHeight="1" spans="1:15">
      <c r="A224" s="8">
        <v>7</v>
      </c>
      <c r="B224" s="8" t="s">
        <v>136</v>
      </c>
      <c r="C224" s="8" t="s">
        <v>137</v>
      </c>
      <c r="D224" s="8" t="s">
        <v>26</v>
      </c>
      <c r="E224" s="8" t="s">
        <v>415</v>
      </c>
      <c r="F224" s="8" t="s">
        <v>75</v>
      </c>
      <c r="G224" s="25">
        <v>46230</v>
      </c>
      <c r="H224" s="25">
        <v>46241</v>
      </c>
      <c r="I224" s="8" t="s">
        <v>5</v>
      </c>
      <c r="J224" s="8" t="s">
        <v>5</v>
      </c>
      <c r="K224" s="25">
        <v>46261</v>
      </c>
      <c r="L224" s="8" t="s">
        <v>890</v>
      </c>
      <c r="M224" s="8"/>
      <c r="N224" s="10"/>
      <c r="O224" s="8" t="s">
        <v>1003</v>
      </c>
    </row>
    <row r="225" ht="32" customHeight="1" spans="1:15">
      <c r="A225" s="8">
        <v>7</v>
      </c>
      <c r="B225" s="8" t="s">
        <v>138</v>
      </c>
      <c r="C225" s="8" t="s">
        <v>140</v>
      </c>
      <c r="D225" s="8" t="s">
        <v>26</v>
      </c>
      <c r="E225" s="8" t="s">
        <v>415</v>
      </c>
      <c r="F225" s="8" t="s">
        <v>75</v>
      </c>
      <c r="G225" s="25">
        <v>46230</v>
      </c>
      <c r="H225" s="25">
        <v>46241</v>
      </c>
      <c r="I225" s="8" t="s">
        <v>3</v>
      </c>
      <c r="J225" s="8" t="s">
        <v>4</v>
      </c>
      <c r="K225" s="25">
        <v>46261</v>
      </c>
      <c r="L225" s="8" t="s">
        <v>807</v>
      </c>
      <c r="M225" s="8"/>
      <c r="N225" s="10"/>
      <c r="O225" s="8" t="s">
        <v>1004</v>
      </c>
    </row>
    <row r="226" ht="32" customHeight="1" spans="1:15">
      <c r="A226" s="8">
        <v>7</v>
      </c>
      <c r="B226" s="8" t="s">
        <v>141</v>
      </c>
      <c r="C226" s="8" t="s">
        <v>142</v>
      </c>
      <c r="D226" s="8" t="s">
        <v>26</v>
      </c>
      <c r="E226" s="8" t="s">
        <v>415</v>
      </c>
      <c r="F226" s="8" t="s">
        <v>75</v>
      </c>
      <c r="G226" s="25">
        <v>46230</v>
      </c>
      <c r="H226" s="25">
        <v>46241</v>
      </c>
      <c r="I226" s="8" t="s">
        <v>3</v>
      </c>
      <c r="J226" s="8" t="s">
        <v>4</v>
      </c>
      <c r="K226" s="25">
        <v>46261</v>
      </c>
      <c r="L226" s="8" t="s">
        <v>807</v>
      </c>
      <c r="M226" s="8"/>
      <c r="N226" s="10"/>
      <c r="O226" s="8" t="s">
        <v>1005</v>
      </c>
    </row>
    <row r="227" ht="32" customHeight="1" spans="1:15">
      <c r="A227" s="8">
        <v>7</v>
      </c>
      <c r="B227" s="8" t="s">
        <v>143</v>
      </c>
      <c r="C227" s="8" t="s">
        <v>144</v>
      </c>
      <c r="D227" s="8" t="s">
        <v>26</v>
      </c>
      <c r="E227" s="8" t="s">
        <v>415</v>
      </c>
      <c r="F227" s="8" t="s">
        <v>75</v>
      </c>
      <c r="G227" s="25">
        <v>46230</v>
      </c>
      <c r="H227" s="25">
        <v>46241</v>
      </c>
      <c r="I227" s="8" t="s">
        <v>4</v>
      </c>
      <c r="J227" s="8" t="s">
        <v>4</v>
      </c>
      <c r="K227" s="25">
        <v>46261</v>
      </c>
      <c r="L227" s="8" t="s">
        <v>890</v>
      </c>
      <c r="M227" s="8"/>
      <c r="N227" s="10"/>
      <c r="O227" s="8" t="s">
        <v>1006</v>
      </c>
    </row>
    <row r="228" ht="32" customHeight="1" spans="1:15">
      <c r="A228" s="8">
        <v>7</v>
      </c>
      <c r="B228" s="8" t="s">
        <v>145</v>
      </c>
      <c r="C228" s="8" t="s">
        <v>146</v>
      </c>
      <c r="D228" s="8" t="s">
        <v>26</v>
      </c>
      <c r="E228" s="8" t="s">
        <v>415</v>
      </c>
      <c r="F228" s="8" t="s">
        <v>75</v>
      </c>
      <c r="G228" s="25">
        <v>46230</v>
      </c>
      <c r="H228" s="25">
        <v>46241</v>
      </c>
      <c r="I228" s="8" t="s">
        <v>4</v>
      </c>
      <c r="J228" s="8" t="s">
        <v>4</v>
      </c>
      <c r="K228" s="25">
        <v>46261</v>
      </c>
      <c r="L228" s="8" t="s">
        <v>890</v>
      </c>
      <c r="M228" s="8"/>
      <c r="N228" s="10"/>
      <c r="O228" s="8" t="s">
        <v>1007</v>
      </c>
    </row>
    <row r="229" ht="32" customHeight="1" spans="1:15">
      <c r="A229" s="8">
        <v>7</v>
      </c>
      <c r="B229" s="8" t="s">
        <v>147</v>
      </c>
      <c r="C229" s="8" t="s">
        <v>148</v>
      </c>
      <c r="D229" s="8" t="s">
        <v>26</v>
      </c>
      <c r="E229" s="8" t="s">
        <v>415</v>
      </c>
      <c r="F229" s="8" t="s">
        <v>75</v>
      </c>
      <c r="G229" s="25">
        <v>46230</v>
      </c>
      <c r="H229" s="25">
        <v>46241</v>
      </c>
      <c r="I229" s="8" t="s">
        <v>3</v>
      </c>
      <c r="J229" s="8" t="s">
        <v>4</v>
      </c>
      <c r="K229" s="25">
        <v>46261</v>
      </c>
      <c r="L229" s="8" t="s">
        <v>807</v>
      </c>
      <c r="M229" s="8"/>
      <c r="N229" s="10"/>
      <c r="O229" s="8" t="s">
        <v>1008</v>
      </c>
    </row>
    <row r="230" ht="32" customHeight="1" spans="1:15">
      <c r="A230" s="8">
        <v>7</v>
      </c>
      <c r="B230" s="8" t="s">
        <v>149</v>
      </c>
      <c r="C230" s="8" t="s">
        <v>151</v>
      </c>
      <c r="D230" s="8" t="s">
        <v>26</v>
      </c>
      <c r="E230" s="8" t="s">
        <v>415</v>
      </c>
      <c r="F230" s="8" t="s">
        <v>75</v>
      </c>
      <c r="G230" s="25">
        <v>46230</v>
      </c>
      <c r="H230" s="25">
        <v>46241</v>
      </c>
      <c r="I230" s="8" t="s">
        <v>5</v>
      </c>
      <c r="J230" s="8" t="s">
        <v>5</v>
      </c>
      <c r="K230" s="25"/>
      <c r="L230" s="8" t="s">
        <v>890</v>
      </c>
      <c r="M230" s="8"/>
      <c r="N230" s="10"/>
      <c r="O230" s="8" t="s">
        <v>1009</v>
      </c>
    </row>
    <row r="231" ht="32" customHeight="1" spans="1:15">
      <c r="A231" s="8">
        <v>7</v>
      </c>
      <c r="B231" s="8" t="s">
        <v>153</v>
      </c>
      <c r="C231" s="8" t="s">
        <v>154</v>
      </c>
      <c r="D231" s="8" t="s">
        <v>26</v>
      </c>
      <c r="E231" s="8" t="s">
        <v>415</v>
      </c>
      <c r="F231" s="8" t="s">
        <v>75</v>
      </c>
      <c r="G231" s="25">
        <v>46230</v>
      </c>
      <c r="H231" s="25">
        <v>46241</v>
      </c>
      <c r="I231" s="8" t="s">
        <v>5</v>
      </c>
      <c r="J231" s="8" t="s">
        <v>5</v>
      </c>
      <c r="K231" s="25"/>
      <c r="L231" s="8" t="s">
        <v>890</v>
      </c>
      <c r="M231" s="8"/>
      <c r="N231" s="10"/>
      <c r="O231" s="8" t="s">
        <v>1010</v>
      </c>
    </row>
    <row r="232" ht="32" customHeight="1" spans="1:15">
      <c r="A232" s="8">
        <v>7</v>
      </c>
      <c r="B232" s="8" t="s">
        <v>155</v>
      </c>
      <c r="C232" s="8" t="s">
        <v>156</v>
      </c>
      <c r="D232" s="8" t="s">
        <v>26</v>
      </c>
      <c r="E232" s="8" t="s">
        <v>415</v>
      </c>
      <c r="F232" s="8" t="s">
        <v>75</v>
      </c>
      <c r="G232" s="25">
        <v>46230</v>
      </c>
      <c r="H232" s="25">
        <v>46241</v>
      </c>
      <c r="I232" s="8" t="s">
        <v>5</v>
      </c>
      <c r="J232" s="8" t="s">
        <v>5</v>
      </c>
      <c r="K232" s="25"/>
      <c r="L232" s="8" t="s">
        <v>890</v>
      </c>
      <c r="M232" s="8"/>
      <c r="N232" s="10"/>
      <c r="O232" s="8" t="s">
        <v>1011</v>
      </c>
    </row>
    <row r="233" ht="32" customHeight="1" spans="1:15">
      <c r="A233" s="8">
        <v>7</v>
      </c>
      <c r="B233" s="8" t="s">
        <v>157</v>
      </c>
      <c r="C233" s="8" t="s">
        <v>159</v>
      </c>
      <c r="D233" s="8" t="s">
        <v>26</v>
      </c>
      <c r="E233" s="8" t="s">
        <v>415</v>
      </c>
      <c r="F233" s="8" t="s">
        <v>75</v>
      </c>
      <c r="G233" s="25">
        <v>46230</v>
      </c>
      <c r="H233" s="25">
        <v>46241</v>
      </c>
      <c r="I233" s="8" t="s">
        <v>3</v>
      </c>
      <c r="J233" s="8" t="s">
        <v>4</v>
      </c>
      <c r="K233" s="25"/>
      <c r="L233" s="8" t="s">
        <v>807</v>
      </c>
      <c r="M233" s="8" t="s">
        <v>808</v>
      </c>
      <c r="N233" s="10"/>
      <c r="O233" s="8" t="s">
        <v>1012</v>
      </c>
    </row>
    <row r="234" ht="32" customHeight="1" spans="1:15">
      <c r="A234" s="8">
        <v>7</v>
      </c>
      <c r="B234" s="8" t="s">
        <v>160</v>
      </c>
      <c r="C234" s="8" t="s">
        <v>161</v>
      </c>
      <c r="D234" s="8" t="s">
        <v>26</v>
      </c>
      <c r="E234" s="8" t="s">
        <v>415</v>
      </c>
      <c r="F234" s="8" t="s">
        <v>75</v>
      </c>
      <c r="G234" s="25">
        <v>46230</v>
      </c>
      <c r="H234" s="25">
        <v>46241</v>
      </c>
      <c r="I234" s="8" t="s">
        <v>3</v>
      </c>
      <c r="J234" s="8" t="s">
        <v>4</v>
      </c>
      <c r="K234" s="25"/>
      <c r="L234" s="8" t="s">
        <v>807</v>
      </c>
      <c r="M234" s="8" t="s">
        <v>808</v>
      </c>
      <c r="N234" s="10"/>
      <c r="O234" s="8" t="s">
        <v>1013</v>
      </c>
    </row>
    <row r="235" ht="32" customHeight="1" spans="1:15">
      <c r="A235" s="8">
        <v>7</v>
      </c>
      <c r="B235" s="8" t="s">
        <v>162</v>
      </c>
      <c r="C235" s="8" t="s">
        <v>163</v>
      </c>
      <c r="D235" s="8" t="s">
        <v>26</v>
      </c>
      <c r="E235" s="8" t="s">
        <v>415</v>
      </c>
      <c r="F235" s="8" t="s">
        <v>75</v>
      </c>
      <c r="G235" s="25">
        <v>46230</v>
      </c>
      <c r="H235" s="25">
        <v>46241</v>
      </c>
      <c r="I235" s="8" t="s">
        <v>3</v>
      </c>
      <c r="J235" s="8" t="s">
        <v>4</v>
      </c>
      <c r="K235" s="25"/>
      <c r="L235" s="8" t="s">
        <v>807</v>
      </c>
      <c r="M235" s="8" t="s">
        <v>808</v>
      </c>
      <c r="N235" s="10"/>
      <c r="O235" s="8" t="s">
        <v>1014</v>
      </c>
    </row>
    <row r="236" ht="32" customHeight="1" spans="1:15">
      <c r="A236" s="8">
        <v>7</v>
      </c>
      <c r="B236" s="8" t="s">
        <v>185</v>
      </c>
      <c r="C236" s="8" t="s">
        <v>187</v>
      </c>
      <c r="D236" s="8" t="s">
        <v>26</v>
      </c>
      <c r="E236" s="8" t="s">
        <v>415</v>
      </c>
      <c r="F236" s="8" t="s">
        <v>75</v>
      </c>
      <c r="G236" s="25">
        <v>46230</v>
      </c>
      <c r="H236" s="25">
        <v>46241</v>
      </c>
      <c r="I236" s="8" t="s">
        <v>3</v>
      </c>
      <c r="J236" s="8" t="s">
        <v>3</v>
      </c>
      <c r="K236" s="25"/>
      <c r="L236" s="8" t="s">
        <v>807</v>
      </c>
      <c r="M236" s="8" t="s">
        <v>808</v>
      </c>
      <c r="N236" s="10"/>
      <c r="O236" s="8" t="s">
        <v>1015</v>
      </c>
    </row>
    <row r="237" ht="32" customHeight="1" spans="1:15">
      <c r="A237" s="8">
        <v>7</v>
      </c>
      <c r="B237" s="8" t="s">
        <v>188</v>
      </c>
      <c r="C237" s="8" t="s">
        <v>189</v>
      </c>
      <c r="D237" s="8" t="s">
        <v>26</v>
      </c>
      <c r="E237" s="8" t="s">
        <v>415</v>
      </c>
      <c r="F237" s="8" t="s">
        <v>75</v>
      </c>
      <c r="G237" s="25">
        <v>46230</v>
      </c>
      <c r="H237" s="25">
        <v>46241</v>
      </c>
      <c r="I237" s="8" t="s">
        <v>5</v>
      </c>
      <c r="J237" s="8" t="s">
        <v>5</v>
      </c>
      <c r="K237" s="25"/>
      <c r="L237" s="8" t="s">
        <v>890</v>
      </c>
      <c r="M237" s="8"/>
      <c r="N237" s="10"/>
      <c r="O237" s="8" t="s">
        <v>1016</v>
      </c>
    </row>
    <row r="238" ht="32" customHeight="1" spans="1:15">
      <c r="A238" s="8">
        <v>7</v>
      </c>
      <c r="B238" s="8" t="s">
        <v>190</v>
      </c>
      <c r="C238" s="8" t="s">
        <v>189</v>
      </c>
      <c r="D238" s="8" t="s">
        <v>26</v>
      </c>
      <c r="E238" s="8" t="s">
        <v>415</v>
      </c>
      <c r="F238" s="8" t="s">
        <v>75</v>
      </c>
      <c r="G238" s="25">
        <v>46230</v>
      </c>
      <c r="H238" s="25">
        <v>46241</v>
      </c>
      <c r="I238" s="8" t="s">
        <v>5</v>
      </c>
      <c r="J238" s="8" t="s">
        <v>5</v>
      </c>
      <c r="K238" s="25">
        <v>46261</v>
      </c>
      <c r="L238" s="8" t="s">
        <v>890</v>
      </c>
      <c r="M238" s="8"/>
      <c r="N238" s="10"/>
      <c r="O238" s="8" t="s">
        <v>1017</v>
      </c>
    </row>
    <row r="239" ht="32" customHeight="1" spans="1:15">
      <c r="A239" s="8">
        <v>7</v>
      </c>
      <c r="B239" s="8" t="s">
        <v>192</v>
      </c>
      <c r="C239" s="8" t="s">
        <v>194</v>
      </c>
      <c r="D239" s="8" t="s">
        <v>26</v>
      </c>
      <c r="E239" s="8" t="s">
        <v>415</v>
      </c>
      <c r="F239" s="8" t="s">
        <v>75</v>
      </c>
      <c r="G239" s="25">
        <v>46230</v>
      </c>
      <c r="H239" s="25">
        <v>46241</v>
      </c>
      <c r="I239" s="8" t="s">
        <v>3</v>
      </c>
      <c r="J239" s="8" t="s">
        <v>3</v>
      </c>
      <c r="K239" s="25">
        <v>46261</v>
      </c>
      <c r="L239" s="8" t="s">
        <v>807</v>
      </c>
      <c r="M239" s="8"/>
      <c r="N239" s="10"/>
      <c r="O239" s="8" t="s">
        <v>1018</v>
      </c>
    </row>
    <row r="240" ht="32" customHeight="1" spans="1:15">
      <c r="A240" s="8">
        <v>7</v>
      </c>
      <c r="B240" s="8" t="s">
        <v>215</v>
      </c>
      <c r="C240" s="8" t="s">
        <v>217</v>
      </c>
      <c r="D240" s="8" t="s">
        <v>25</v>
      </c>
      <c r="E240" s="8" t="s">
        <v>415</v>
      </c>
      <c r="F240" s="8" t="s">
        <v>75</v>
      </c>
      <c r="G240" s="25">
        <v>46230</v>
      </c>
      <c r="H240" s="25">
        <v>46241</v>
      </c>
      <c r="I240" s="8" t="s">
        <v>3</v>
      </c>
      <c r="J240" s="8" t="s">
        <v>3</v>
      </c>
      <c r="K240" s="25"/>
      <c r="L240" s="8" t="s">
        <v>807</v>
      </c>
      <c r="M240" s="8" t="s">
        <v>808</v>
      </c>
      <c r="N240" s="10"/>
      <c r="O240" s="8" t="s">
        <v>1019</v>
      </c>
    </row>
    <row r="241" ht="32" customHeight="1" spans="1:15">
      <c r="A241" s="8">
        <v>7</v>
      </c>
      <c r="B241" s="8" t="s">
        <v>263</v>
      </c>
      <c r="C241" s="8" t="s">
        <v>265</v>
      </c>
      <c r="D241" s="8" t="s">
        <v>26</v>
      </c>
      <c r="E241" s="8" t="s">
        <v>415</v>
      </c>
      <c r="F241" s="8" t="s">
        <v>75</v>
      </c>
      <c r="G241" s="25">
        <v>46230</v>
      </c>
      <c r="H241" s="25">
        <v>46241</v>
      </c>
      <c r="I241" s="8" t="s">
        <v>5</v>
      </c>
      <c r="J241" s="8" t="s">
        <v>5</v>
      </c>
      <c r="K241" s="25"/>
      <c r="L241" s="8" t="s">
        <v>890</v>
      </c>
      <c r="M241" s="8"/>
      <c r="N241" s="10"/>
      <c r="O241" s="8" t="s">
        <v>1020</v>
      </c>
    </row>
    <row r="242" ht="32" customHeight="1" spans="1:15">
      <c r="A242" s="8">
        <v>7</v>
      </c>
      <c r="B242" s="8" t="s">
        <v>266</v>
      </c>
      <c r="C242" s="8" t="s">
        <v>267</v>
      </c>
      <c r="D242" s="8" t="s">
        <v>26</v>
      </c>
      <c r="E242" s="8" t="s">
        <v>415</v>
      </c>
      <c r="F242" s="8" t="s">
        <v>75</v>
      </c>
      <c r="G242" s="25">
        <v>46230</v>
      </c>
      <c r="H242" s="25">
        <v>46241</v>
      </c>
      <c r="I242" s="8" t="s">
        <v>5</v>
      </c>
      <c r="J242" s="8" t="s">
        <v>5</v>
      </c>
      <c r="K242" s="25">
        <v>46224</v>
      </c>
      <c r="L242" s="8" t="s">
        <v>890</v>
      </c>
      <c r="M242" s="8"/>
      <c r="N242" s="10"/>
      <c r="O242" s="8" t="s">
        <v>1021</v>
      </c>
    </row>
    <row r="243" ht="32" customHeight="1" spans="1:15">
      <c r="A243" s="8">
        <v>7</v>
      </c>
      <c r="B243" s="8" t="s">
        <v>268</v>
      </c>
      <c r="C243" s="8" t="s">
        <v>265</v>
      </c>
      <c r="D243" s="8" t="s">
        <v>26</v>
      </c>
      <c r="E243" s="8" t="s">
        <v>415</v>
      </c>
      <c r="F243" s="8" t="s">
        <v>75</v>
      </c>
      <c r="G243" s="25">
        <v>46230</v>
      </c>
      <c r="H243" s="25">
        <v>46241</v>
      </c>
      <c r="I243" s="8" t="s">
        <v>5</v>
      </c>
      <c r="J243" s="8" t="s">
        <v>5</v>
      </c>
      <c r="K243" s="25">
        <v>46224</v>
      </c>
      <c r="L243" s="8" t="s">
        <v>890</v>
      </c>
      <c r="M243" s="8"/>
      <c r="N243" s="10"/>
      <c r="O243" s="8" t="s">
        <v>1022</v>
      </c>
    </row>
    <row r="244" ht="32" customHeight="1" spans="1:15">
      <c r="A244" s="8">
        <v>7</v>
      </c>
      <c r="B244" s="8" t="s">
        <v>270</v>
      </c>
      <c r="C244" s="8" t="s">
        <v>271</v>
      </c>
      <c r="D244" s="8" t="s">
        <v>26</v>
      </c>
      <c r="E244" s="8" t="s">
        <v>415</v>
      </c>
      <c r="F244" s="8" t="s">
        <v>75</v>
      </c>
      <c r="G244" s="25">
        <v>46230</v>
      </c>
      <c r="H244" s="25">
        <v>46241</v>
      </c>
      <c r="I244" s="8" t="s">
        <v>5</v>
      </c>
      <c r="J244" s="8" t="s">
        <v>5</v>
      </c>
      <c r="K244" s="25">
        <v>46224</v>
      </c>
      <c r="L244" s="8" t="s">
        <v>890</v>
      </c>
      <c r="M244" s="8"/>
      <c r="N244" s="10"/>
      <c r="O244" s="8" t="s">
        <v>1023</v>
      </c>
    </row>
    <row r="245" ht="32" customHeight="1" spans="1:15">
      <c r="A245" s="8">
        <v>7</v>
      </c>
      <c r="B245" s="8" t="s">
        <v>272</v>
      </c>
      <c r="C245" s="8" t="s">
        <v>265</v>
      </c>
      <c r="D245" s="8" t="s">
        <v>26</v>
      </c>
      <c r="E245" s="8" t="s">
        <v>415</v>
      </c>
      <c r="F245" s="8" t="s">
        <v>75</v>
      </c>
      <c r="G245" s="25">
        <v>46230</v>
      </c>
      <c r="H245" s="25">
        <v>46241</v>
      </c>
      <c r="I245" s="8" t="s">
        <v>5</v>
      </c>
      <c r="J245" s="8" t="s">
        <v>5</v>
      </c>
      <c r="K245" s="25">
        <v>46224</v>
      </c>
      <c r="L245" s="8" t="s">
        <v>890</v>
      </c>
      <c r="M245" s="8"/>
      <c r="N245" s="10"/>
      <c r="O245" s="8" t="s">
        <v>1024</v>
      </c>
    </row>
    <row r="246" ht="32" customHeight="1" spans="1:15">
      <c r="A246" s="8">
        <v>7</v>
      </c>
      <c r="B246" s="8" t="s">
        <v>274</v>
      </c>
      <c r="C246" s="8" t="s">
        <v>267</v>
      </c>
      <c r="D246" s="8" t="s">
        <v>26</v>
      </c>
      <c r="E246" s="8" t="s">
        <v>415</v>
      </c>
      <c r="F246" s="8" t="s">
        <v>75</v>
      </c>
      <c r="G246" s="25">
        <v>46230</v>
      </c>
      <c r="H246" s="25">
        <v>46241</v>
      </c>
      <c r="I246" s="8" t="s">
        <v>5</v>
      </c>
      <c r="J246" s="8" t="s">
        <v>5</v>
      </c>
      <c r="K246" s="25">
        <v>46224</v>
      </c>
      <c r="L246" s="8" t="s">
        <v>890</v>
      </c>
      <c r="M246" s="8"/>
      <c r="N246" s="10"/>
      <c r="O246" s="8" t="s">
        <v>1025</v>
      </c>
    </row>
    <row r="247" ht="32" customHeight="1" spans="1:15">
      <c r="A247" s="8">
        <v>7</v>
      </c>
      <c r="B247" s="8" t="s">
        <v>275</v>
      </c>
      <c r="C247" s="8" t="s">
        <v>265</v>
      </c>
      <c r="D247" s="8" t="s">
        <v>26</v>
      </c>
      <c r="E247" s="8" t="s">
        <v>415</v>
      </c>
      <c r="F247" s="8" t="s">
        <v>75</v>
      </c>
      <c r="G247" s="25">
        <v>46230</v>
      </c>
      <c r="H247" s="25">
        <v>46241</v>
      </c>
      <c r="I247" s="8" t="s">
        <v>5</v>
      </c>
      <c r="J247" s="8" t="s">
        <v>5</v>
      </c>
      <c r="K247" s="25">
        <v>46224</v>
      </c>
      <c r="L247" s="8" t="s">
        <v>890</v>
      </c>
      <c r="M247" s="8"/>
      <c r="N247" s="10"/>
      <c r="O247" s="8" t="s">
        <v>1026</v>
      </c>
    </row>
    <row r="248" ht="32" customHeight="1" spans="1:15">
      <c r="A248" s="8">
        <v>7</v>
      </c>
      <c r="B248" s="8" t="s">
        <v>277</v>
      </c>
      <c r="C248" s="8" t="s">
        <v>267</v>
      </c>
      <c r="D248" s="8" t="s">
        <v>26</v>
      </c>
      <c r="E248" s="8" t="s">
        <v>415</v>
      </c>
      <c r="F248" s="8" t="s">
        <v>75</v>
      </c>
      <c r="G248" s="25">
        <v>46230</v>
      </c>
      <c r="H248" s="25">
        <v>46241</v>
      </c>
      <c r="I248" s="8" t="s">
        <v>5</v>
      </c>
      <c r="J248" s="8" t="s">
        <v>5</v>
      </c>
      <c r="K248" s="25"/>
      <c r="L248" s="8" t="s">
        <v>890</v>
      </c>
      <c r="M248" s="8"/>
      <c r="N248" s="10"/>
      <c r="O248" s="8" t="s">
        <v>1027</v>
      </c>
    </row>
    <row r="249" ht="32" customHeight="1" spans="1:15">
      <c r="A249" s="8">
        <v>7</v>
      </c>
      <c r="B249" s="8" t="s">
        <v>278</v>
      </c>
      <c r="C249" s="8" t="s">
        <v>280</v>
      </c>
      <c r="D249" s="8" t="s">
        <v>26</v>
      </c>
      <c r="E249" s="8" t="s">
        <v>415</v>
      </c>
      <c r="F249" s="8" t="s">
        <v>75</v>
      </c>
      <c r="G249" s="25">
        <v>46230</v>
      </c>
      <c r="H249" s="25">
        <v>46241</v>
      </c>
      <c r="I249" s="8" t="s">
        <v>5</v>
      </c>
      <c r="J249" s="8" t="s">
        <v>5</v>
      </c>
      <c r="K249" s="25"/>
      <c r="L249" s="8" t="s">
        <v>890</v>
      </c>
      <c r="M249" s="8"/>
      <c r="N249" s="10"/>
      <c r="O249" s="8" t="s">
        <v>1028</v>
      </c>
    </row>
    <row r="250" ht="32" customHeight="1" spans="1:15">
      <c r="A250" s="8">
        <v>7</v>
      </c>
      <c r="B250" s="8" t="s">
        <v>281</v>
      </c>
      <c r="C250" s="8" t="s">
        <v>282</v>
      </c>
      <c r="D250" s="8" t="s">
        <v>26</v>
      </c>
      <c r="E250" s="8" t="s">
        <v>415</v>
      </c>
      <c r="F250" s="8" t="s">
        <v>75</v>
      </c>
      <c r="G250" s="25">
        <v>46230</v>
      </c>
      <c r="H250" s="25">
        <v>46241</v>
      </c>
      <c r="I250" s="8" t="s">
        <v>5</v>
      </c>
      <c r="J250" s="8" t="s">
        <v>5</v>
      </c>
      <c r="K250" s="25"/>
      <c r="L250" s="8" t="s">
        <v>890</v>
      </c>
      <c r="M250" s="8"/>
      <c r="N250" s="10"/>
      <c r="O250" s="8" t="s">
        <v>1029</v>
      </c>
    </row>
    <row r="251" ht="32" customHeight="1" spans="1:15">
      <c r="A251" s="8">
        <v>7</v>
      </c>
      <c r="B251" s="8" t="s">
        <v>283</v>
      </c>
      <c r="C251" s="8" t="s">
        <v>284</v>
      </c>
      <c r="D251" s="8" t="s">
        <v>26</v>
      </c>
      <c r="E251" s="8" t="s">
        <v>415</v>
      </c>
      <c r="F251" s="8" t="s">
        <v>75</v>
      </c>
      <c r="G251" s="25">
        <v>46230</v>
      </c>
      <c r="H251" s="25">
        <v>46241</v>
      </c>
      <c r="I251" s="8" t="s">
        <v>5</v>
      </c>
      <c r="J251" s="8" t="s">
        <v>5</v>
      </c>
      <c r="K251" s="25"/>
      <c r="L251" s="8" t="s">
        <v>890</v>
      </c>
      <c r="M251" s="8"/>
      <c r="N251" s="10"/>
      <c r="O251" s="8" t="s">
        <v>1030</v>
      </c>
    </row>
    <row r="252" ht="32" customHeight="1" spans="1:15">
      <c r="A252" s="8">
        <v>7</v>
      </c>
      <c r="B252" s="8" t="s">
        <v>285</v>
      </c>
      <c r="C252" s="8" t="s">
        <v>286</v>
      </c>
      <c r="D252" s="8" t="s">
        <v>26</v>
      </c>
      <c r="E252" s="8" t="s">
        <v>415</v>
      </c>
      <c r="F252" s="8" t="s">
        <v>75</v>
      </c>
      <c r="G252" s="25">
        <v>46230</v>
      </c>
      <c r="H252" s="25">
        <v>46241</v>
      </c>
      <c r="I252" s="8" t="s">
        <v>5</v>
      </c>
      <c r="J252" s="8" t="s">
        <v>5</v>
      </c>
      <c r="K252" s="25"/>
      <c r="L252" s="8" t="s">
        <v>890</v>
      </c>
      <c r="M252" s="8"/>
      <c r="N252" s="10"/>
      <c r="O252" s="8" t="s">
        <v>1031</v>
      </c>
    </row>
    <row r="253" ht="32" customHeight="1" spans="1:15">
      <c r="A253" s="8">
        <v>7</v>
      </c>
      <c r="B253" s="8" t="s">
        <v>287</v>
      </c>
      <c r="C253" s="8" t="s">
        <v>265</v>
      </c>
      <c r="D253" s="8" t="s">
        <v>26</v>
      </c>
      <c r="E253" s="8" t="s">
        <v>415</v>
      </c>
      <c r="F253" s="8" t="s">
        <v>75</v>
      </c>
      <c r="G253" s="25">
        <v>46230</v>
      </c>
      <c r="H253" s="25">
        <v>46241</v>
      </c>
      <c r="I253" s="8" t="s">
        <v>5</v>
      </c>
      <c r="J253" s="8" t="s">
        <v>5</v>
      </c>
      <c r="K253" s="25"/>
      <c r="L253" s="8" t="s">
        <v>890</v>
      </c>
      <c r="M253" s="8"/>
      <c r="N253" s="10"/>
      <c r="O253" s="8" t="s">
        <v>1032</v>
      </c>
    </row>
    <row r="254" ht="32" customHeight="1" spans="1:15">
      <c r="A254" s="8">
        <v>7</v>
      </c>
      <c r="B254" s="8" t="s">
        <v>289</v>
      </c>
      <c r="C254" s="8" t="s">
        <v>267</v>
      </c>
      <c r="D254" s="8" t="s">
        <v>26</v>
      </c>
      <c r="E254" s="8" t="s">
        <v>415</v>
      </c>
      <c r="F254" s="8" t="s">
        <v>75</v>
      </c>
      <c r="G254" s="25">
        <v>46230</v>
      </c>
      <c r="H254" s="25">
        <v>46241</v>
      </c>
      <c r="I254" s="8" t="s">
        <v>5</v>
      </c>
      <c r="J254" s="8" t="s">
        <v>5</v>
      </c>
      <c r="K254" s="25"/>
      <c r="L254" s="8" t="s">
        <v>890</v>
      </c>
      <c r="M254" s="8"/>
      <c r="N254" s="10"/>
      <c r="O254" s="8" t="s">
        <v>1033</v>
      </c>
    </row>
    <row r="255" ht="32" customHeight="1" spans="1:15">
      <c r="A255" s="8">
        <v>7</v>
      </c>
      <c r="B255" s="8" t="s">
        <v>362</v>
      </c>
      <c r="C255" s="8" t="s">
        <v>363</v>
      </c>
      <c r="D255" s="8" t="s">
        <v>26</v>
      </c>
      <c r="E255" s="8" t="s">
        <v>415</v>
      </c>
      <c r="F255" s="8" t="s">
        <v>75</v>
      </c>
      <c r="G255" s="25">
        <v>46230</v>
      </c>
      <c r="H255" s="25">
        <v>46241</v>
      </c>
      <c r="I255" s="8" t="s">
        <v>5</v>
      </c>
      <c r="J255" s="8" t="s">
        <v>5</v>
      </c>
      <c r="K255" s="25"/>
      <c r="L255" s="8" t="s">
        <v>890</v>
      </c>
      <c r="M255" s="8"/>
      <c r="N255" s="10"/>
      <c r="O255" s="8" t="s">
        <v>1034</v>
      </c>
    </row>
    <row r="256" ht="32" customHeight="1" spans="1:15">
      <c r="A256" s="8">
        <v>7</v>
      </c>
      <c r="B256" s="8" t="s">
        <v>364</v>
      </c>
      <c r="C256" s="8" t="s">
        <v>365</v>
      </c>
      <c r="D256" s="8" t="s">
        <v>26</v>
      </c>
      <c r="E256" s="8" t="s">
        <v>415</v>
      </c>
      <c r="F256" s="8" t="s">
        <v>75</v>
      </c>
      <c r="G256" s="25">
        <v>46230</v>
      </c>
      <c r="H256" s="25">
        <v>46241</v>
      </c>
      <c r="I256" s="8" t="s">
        <v>5</v>
      </c>
      <c r="J256" s="8" t="s">
        <v>5</v>
      </c>
      <c r="K256" s="25">
        <v>46261</v>
      </c>
      <c r="L256" s="8" t="s">
        <v>890</v>
      </c>
      <c r="M256" s="8"/>
      <c r="N256" s="10"/>
      <c r="O256" s="8" t="s">
        <v>1035</v>
      </c>
    </row>
    <row r="257" ht="32" customHeight="1" spans="1:15">
      <c r="A257" s="8">
        <v>7</v>
      </c>
      <c r="B257" s="8" t="s">
        <v>366</v>
      </c>
      <c r="C257" s="8" t="s">
        <v>367</v>
      </c>
      <c r="D257" s="8" t="s">
        <v>26</v>
      </c>
      <c r="E257" s="8" t="s">
        <v>415</v>
      </c>
      <c r="F257" s="8" t="s">
        <v>75</v>
      </c>
      <c r="G257" s="25">
        <v>46230</v>
      </c>
      <c r="H257" s="25">
        <v>46241</v>
      </c>
      <c r="I257" s="8" t="s">
        <v>5</v>
      </c>
      <c r="J257" s="8" t="s">
        <v>5</v>
      </c>
      <c r="K257" s="25">
        <v>46261</v>
      </c>
      <c r="L257" s="8" t="s">
        <v>890</v>
      </c>
      <c r="M257" s="8"/>
      <c r="N257" s="10"/>
      <c r="O257" s="8" t="s">
        <v>1036</v>
      </c>
    </row>
    <row r="258" ht="32" customHeight="1" spans="1:15">
      <c r="A258" s="8">
        <v>7</v>
      </c>
      <c r="B258" s="8" t="s">
        <v>368</v>
      </c>
      <c r="C258" s="8" t="s">
        <v>369</v>
      </c>
      <c r="D258" s="8" t="s">
        <v>26</v>
      </c>
      <c r="E258" s="8" t="s">
        <v>415</v>
      </c>
      <c r="F258" s="8" t="s">
        <v>75</v>
      </c>
      <c r="G258" s="25">
        <v>46230</v>
      </c>
      <c r="H258" s="25">
        <v>46241</v>
      </c>
      <c r="I258" s="8" t="s">
        <v>5</v>
      </c>
      <c r="J258" s="8" t="s">
        <v>5</v>
      </c>
      <c r="K258" s="25"/>
      <c r="L258" s="8" t="s">
        <v>890</v>
      </c>
      <c r="M258" s="8"/>
      <c r="N258" s="10"/>
      <c r="O258" s="8" t="s">
        <v>1037</v>
      </c>
    </row>
    <row r="259" ht="32" customHeight="1" spans="1:15">
      <c r="A259" s="8">
        <v>7</v>
      </c>
      <c r="B259" s="8" t="s">
        <v>370</v>
      </c>
      <c r="C259" s="8" t="s">
        <v>371</v>
      </c>
      <c r="D259" s="8" t="s">
        <v>26</v>
      </c>
      <c r="E259" s="8" t="s">
        <v>415</v>
      </c>
      <c r="F259" s="8" t="s">
        <v>75</v>
      </c>
      <c r="G259" s="25">
        <v>46230</v>
      </c>
      <c r="H259" s="25">
        <v>46241</v>
      </c>
      <c r="I259" s="8" t="s">
        <v>5</v>
      </c>
      <c r="J259" s="8" t="s">
        <v>5</v>
      </c>
      <c r="K259" s="25"/>
      <c r="L259" s="8" t="s">
        <v>890</v>
      </c>
      <c r="M259" s="8"/>
      <c r="N259" s="10"/>
      <c r="O259" s="8" t="s">
        <v>1038</v>
      </c>
    </row>
    <row r="260" ht="32" customHeight="1" spans="1:15">
      <c r="A260" s="8">
        <v>7</v>
      </c>
      <c r="B260" s="8" t="s">
        <v>372</v>
      </c>
      <c r="C260" s="8" t="s">
        <v>373</v>
      </c>
      <c r="D260" s="8" t="s">
        <v>26</v>
      </c>
      <c r="E260" s="8" t="s">
        <v>415</v>
      </c>
      <c r="F260" s="8" t="s">
        <v>75</v>
      </c>
      <c r="G260" s="25">
        <v>46230</v>
      </c>
      <c r="H260" s="25">
        <v>46241</v>
      </c>
      <c r="I260" s="8" t="s">
        <v>5</v>
      </c>
      <c r="J260" s="8" t="s">
        <v>5</v>
      </c>
      <c r="K260" s="25"/>
      <c r="L260" s="8" t="s">
        <v>890</v>
      </c>
      <c r="M260" s="8"/>
      <c r="N260" s="10"/>
      <c r="O260" s="8" t="s">
        <v>1039</v>
      </c>
    </row>
    <row r="261" ht="32" customHeight="1" spans="1:15">
      <c r="A261" s="8">
        <v>7</v>
      </c>
      <c r="B261" s="8" t="s">
        <v>374</v>
      </c>
      <c r="C261" s="8" t="s">
        <v>159</v>
      </c>
      <c r="D261" s="8" t="s">
        <v>26</v>
      </c>
      <c r="E261" s="8" t="s">
        <v>415</v>
      </c>
      <c r="F261" s="8" t="s">
        <v>75</v>
      </c>
      <c r="G261" s="25">
        <v>46230</v>
      </c>
      <c r="H261" s="25">
        <v>46241</v>
      </c>
      <c r="I261" s="8" t="s">
        <v>5</v>
      </c>
      <c r="J261" s="8" t="s">
        <v>5</v>
      </c>
      <c r="K261" s="25"/>
      <c r="L261" s="8" t="s">
        <v>890</v>
      </c>
      <c r="M261" s="8"/>
      <c r="N261" s="10"/>
      <c r="O261" s="8" t="s">
        <v>1040</v>
      </c>
    </row>
    <row r="262" ht="32" customHeight="1" spans="1:15">
      <c r="A262" s="8">
        <v>7</v>
      </c>
      <c r="B262" s="8" t="s">
        <v>375</v>
      </c>
      <c r="C262" s="8" t="s">
        <v>163</v>
      </c>
      <c r="D262" s="8" t="s">
        <v>26</v>
      </c>
      <c r="E262" s="8" t="s">
        <v>415</v>
      </c>
      <c r="F262" s="8" t="s">
        <v>75</v>
      </c>
      <c r="G262" s="25">
        <v>46230</v>
      </c>
      <c r="H262" s="25">
        <v>46241</v>
      </c>
      <c r="I262" s="8" t="s">
        <v>5</v>
      </c>
      <c r="J262" s="8" t="s">
        <v>5</v>
      </c>
      <c r="K262" s="25"/>
      <c r="L262" s="8" t="s">
        <v>890</v>
      </c>
      <c r="M262" s="8"/>
      <c r="N262" s="10"/>
      <c r="O262" s="8" t="s">
        <v>1041</v>
      </c>
    </row>
    <row r="263" ht="32" customHeight="1" spans="1:15">
      <c r="A263" s="8">
        <v>7</v>
      </c>
      <c r="B263" s="8" t="s">
        <v>376</v>
      </c>
      <c r="C263" s="8" t="s">
        <v>377</v>
      </c>
      <c r="D263" s="8" t="s">
        <v>26</v>
      </c>
      <c r="E263" s="8" t="s">
        <v>415</v>
      </c>
      <c r="F263" s="8" t="s">
        <v>75</v>
      </c>
      <c r="G263" s="25">
        <v>46230</v>
      </c>
      <c r="H263" s="25">
        <v>46241</v>
      </c>
      <c r="I263" s="8" t="s">
        <v>5</v>
      </c>
      <c r="J263" s="8" t="s">
        <v>5</v>
      </c>
      <c r="K263" s="25"/>
      <c r="L263" s="8" t="s">
        <v>890</v>
      </c>
      <c r="M263" s="8"/>
      <c r="N263" s="10"/>
      <c r="O263" s="8" t="s">
        <v>1042</v>
      </c>
    </row>
    <row r="264" ht="32" customHeight="1" spans="1:15">
      <c r="A264" s="8">
        <v>7</v>
      </c>
      <c r="B264" s="8" t="s">
        <v>378</v>
      </c>
      <c r="C264" s="8" t="s">
        <v>134</v>
      </c>
      <c r="D264" s="8" t="s">
        <v>26</v>
      </c>
      <c r="E264" s="8" t="s">
        <v>415</v>
      </c>
      <c r="F264" s="8" t="s">
        <v>75</v>
      </c>
      <c r="G264" s="25">
        <v>46230</v>
      </c>
      <c r="H264" s="25">
        <v>46241</v>
      </c>
      <c r="I264" s="8" t="s">
        <v>5</v>
      </c>
      <c r="J264" s="8" t="s">
        <v>5</v>
      </c>
      <c r="K264" s="25"/>
      <c r="L264" s="8" t="s">
        <v>890</v>
      </c>
      <c r="M264" s="8"/>
      <c r="N264" s="10"/>
      <c r="O264" s="8" t="s">
        <v>1043</v>
      </c>
    </row>
    <row r="265" ht="32" customHeight="1" spans="1:15">
      <c r="A265" s="8">
        <v>7</v>
      </c>
      <c r="B265" s="8" t="s">
        <v>379</v>
      </c>
      <c r="C265" s="8" t="s">
        <v>139</v>
      </c>
      <c r="D265" s="8" t="s">
        <v>26</v>
      </c>
      <c r="E265" s="8" t="s">
        <v>415</v>
      </c>
      <c r="F265" s="8" t="s">
        <v>75</v>
      </c>
      <c r="G265" s="25">
        <v>46230</v>
      </c>
      <c r="H265" s="25">
        <v>46241</v>
      </c>
      <c r="I265" s="8" t="s">
        <v>5</v>
      </c>
      <c r="J265" s="8" t="s">
        <v>5</v>
      </c>
      <c r="K265" s="25"/>
      <c r="L265" s="8" t="s">
        <v>890</v>
      </c>
      <c r="M265" s="8"/>
      <c r="N265" s="10"/>
      <c r="O265" s="8" t="s">
        <v>1044</v>
      </c>
    </row>
    <row r="266" ht="32" customHeight="1" spans="1:15">
      <c r="A266" s="8">
        <v>7</v>
      </c>
      <c r="B266" s="8" t="s">
        <v>380</v>
      </c>
      <c r="C266" s="8" t="s">
        <v>381</v>
      </c>
      <c r="D266" s="8" t="s">
        <v>26</v>
      </c>
      <c r="E266" s="8" t="s">
        <v>415</v>
      </c>
      <c r="F266" s="8" t="s">
        <v>75</v>
      </c>
      <c r="G266" s="25">
        <v>46230</v>
      </c>
      <c r="H266" s="25">
        <v>46241</v>
      </c>
      <c r="I266" s="8" t="s">
        <v>5</v>
      </c>
      <c r="J266" s="8" t="s">
        <v>5</v>
      </c>
      <c r="K266" s="25"/>
      <c r="L266" s="8" t="s">
        <v>890</v>
      </c>
      <c r="M266" s="8"/>
      <c r="N266" s="10"/>
      <c r="O266" s="8" t="s">
        <v>1045</v>
      </c>
    </row>
    <row r="267" ht="32" customHeight="1" spans="1:15">
      <c r="A267" s="8">
        <v>7</v>
      </c>
      <c r="B267" s="8" t="s">
        <v>387</v>
      </c>
      <c r="C267" s="8" t="s">
        <v>161</v>
      </c>
      <c r="D267" s="8" t="s">
        <v>26</v>
      </c>
      <c r="E267" s="8" t="s">
        <v>415</v>
      </c>
      <c r="F267" s="8" t="s">
        <v>75</v>
      </c>
      <c r="G267" s="25">
        <v>46230</v>
      </c>
      <c r="H267" s="25">
        <v>46241</v>
      </c>
      <c r="I267" s="8" t="s">
        <v>5</v>
      </c>
      <c r="J267" s="8" t="s">
        <v>5</v>
      </c>
      <c r="K267" s="25"/>
      <c r="L267" s="8" t="s">
        <v>890</v>
      </c>
      <c r="M267" s="8"/>
      <c r="N267" s="10"/>
      <c r="O267" s="8" t="s">
        <v>1046</v>
      </c>
    </row>
    <row r="268" ht="32" customHeight="1" spans="1:15">
      <c r="A268" s="8">
        <v>7</v>
      </c>
      <c r="B268" s="8" t="s">
        <v>215</v>
      </c>
      <c r="C268" s="8" t="s">
        <v>217</v>
      </c>
      <c r="D268" s="8" t="s">
        <v>25</v>
      </c>
      <c r="E268" s="8" t="s">
        <v>414</v>
      </c>
      <c r="F268" s="8" t="s">
        <v>77</v>
      </c>
      <c r="G268" s="25">
        <v>46230</v>
      </c>
      <c r="H268" s="25">
        <v>46241</v>
      </c>
      <c r="I268" s="8" t="s">
        <v>3</v>
      </c>
      <c r="J268" s="8" t="s">
        <v>3</v>
      </c>
      <c r="K268" s="25"/>
      <c r="L268" s="8" t="s">
        <v>807</v>
      </c>
      <c r="M268" s="8" t="s">
        <v>808</v>
      </c>
      <c r="N268" s="10"/>
      <c r="O268" s="8" t="s">
        <v>1047</v>
      </c>
    </row>
    <row r="269" ht="32" customHeight="1" spans="1:15">
      <c r="A269" s="8">
        <v>7</v>
      </c>
      <c r="B269" s="8" t="s">
        <v>215</v>
      </c>
      <c r="C269" s="8" t="s">
        <v>217</v>
      </c>
      <c r="D269" s="8" t="s">
        <v>25</v>
      </c>
      <c r="E269" s="8" t="s">
        <v>406</v>
      </c>
      <c r="F269" s="8" t="s">
        <v>76</v>
      </c>
      <c r="G269" s="25">
        <v>46230</v>
      </c>
      <c r="H269" s="25">
        <v>46241</v>
      </c>
      <c r="I269" s="8" t="s">
        <v>3</v>
      </c>
      <c r="J269" s="8" t="s">
        <v>3</v>
      </c>
      <c r="K269" s="25"/>
      <c r="L269" s="8" t="s">
        <v>807</v>
      </c>
      <c r="M269" s="8" t="s">
        <v>808</v>
      </c>
      <c r="N269" s="10"/>
      <c r="O269" s="8" t="s">
        <v>1048</v>
      </c>
    </row>
    <row r="270" ht="32" customHeight="1" spans="1:15">
      <c r="A270" s="8">
        <v>9</v>
      </c>
      <c r="B270" s="8" t="s">
        <v>389</v>
      </c>
      <c r="C270" s="8" t="s">
        <v>390</v>
      </c>
      <c r="D270" s="8" t="s">
        <v>25</v>
      </c>
      <c r="E270" s="8" t="s">
        <v>414</v>
      </c>
      <c r="F270" s="8" t="s">
        <v>77</v>
      </c>
      <c r="G270" s="25">
        <v>46237</v>
      </c>
      <c r="H270" s="25">
        <v>46252</v>
      </c>
      <c r="I270" s="8" t="s">
        <v>3</v>
      </c>
      <c r="J270" s="8" t="s">
        <v>3</v>
      </c>
      <c r="K270" s="25">
        <v>46261</v>
      </c>
      <c r="L270" s="8" t="s">
        <v>807</v>
      </c>
      <c r="M270" s="8"/>
      <c r="N270" s="10"/>
      <c r="O270" s="8" t="s">
        <v>1049</v>
      </c>
    </row>
    <row r="271" ht="32" customHeight="1" spans="1:15">
      <c r="A271" s="8">
        <v>9</v>
      </c>
      <c r="B271" s="8" t="s">
        <v>391</v>
      </c>
      <c r="C271" s="8" t="s">
        <v>390</v>
      </c>
      <c r="D271" s="8" t="s">
        <v>25</v>
      </c>
      <c r="E271" s="8" t="s">
        <v>414</v>
      </c>
      <c r="F271" s="8" t="s">
        <v>77</v>
      </c>
      <c r="G271" s="25">
        <v>46237</v>
      </c>
      <c r="H271" s="25">
        <v>46252</v>
      </c>
      <c r="I271" s="8" t="s">
        <v>3</v>
      </c>
      <c r="J271" s="8" t="s">
        <v>3</v>
      </c>
      <c r="K271" s="25">
        <v>46261</v>
      </c>
      <c r="L271" s="8" t="s">
        <v>807</v>
      </c>
      <c r="M271" s="8"/>
      <c r="N271" s="10"/>
      <c r="O271" s="8" t="s">
        <v>1050</v>
      </c>
    </row>
    <row r="272" ht="32" customHeight="1" spans="1:15">
      <c r="A272" s="8">
        <v>9</v>
      </c>
      <c r="B272" s="8" t="s">
        <v>392</v>
      </c>
      <c r="C272" s="8" t="s">
        <v>390</v>
      </c>
      <c r="D272" s="8" t="s">
        <v>26</v>
      </c>
      <c r="E272" s="8" t="s">
        <v>414</v>
      </c>
      <c r="F272" s="8" t="s">
        <v>77</v>
      </c>
      <c r="G272" s="25">
        <v>46237</v>
      </c>
      <c r="H272" s="25">
        <v>46252</v>
      </c>
      <c r="I272" s="8" t="s">
        <v>3</v>
      </c>
      <c r="J272" s="8" t="s">
        <v>3</v>
      </c>
      <c r="K272" s="25"/>
      <c r="L272" s="8" t="s">
        <v>807</v>
      </c>
      <c r="M272" s="8" t="s">
        <v>808</v>
      </c>
      <c r="N272" s="10"/>
      <c r="O272" s="8" t="s">
        <v>1051</v>
      </c>
    </row>
    <row r="273" ht="32" customHeight="1" spans="1:15">
      <c r="A273" s="8">
        <v>9</v>
      </c>
      <c r="B273" s="8" t="s">
        <v>389</v>
      </c>
      <c r="C273" s="8" t="s">
        <v>390</v>
      </c>
      <c r="D273" s="8" t="s">
        <v>25</v>
      </c>
      <c r="E273" s="8" t="s">
        <v>406</v>
      </c>
      <c r="F273" s="8" t="s">
        <v>76</v>
      </c>
      <c r="G273" s="25">
        <v>46237</v>
      </c>
      <c r="H273" s="25">
        <v>46252</v>
      </c>
      <c r="I273" s="8" t="s">
        <v>3</v>
      </c>
      <c r="J273" s="8" t="s">
        <v>3</v>
      </c>
      <c r="K273" s="25">
        <v>46261</v>
      </c>
      <c r="L273" s="8" t="s">
        <v>807</v>
      </c>
      <c r="M273" s="8"/>
      <c r="N273" s="10"/>
      <c r="O273" s="8" t="s">
        <v>1052</v>
      </c>
    </row>
    <row r="274" ht="32" customHeight="1" spans="1:15">
      <c r="A274" s="8">
        <v>9</v>
      </c>
      <c r="B274" s="8" t="s">
        <v>391</v>
      </c>
      <c r="C274" s="8" t="s">
        <v>390</v>
      </c>
      <c r="D274" s="8" t="s">
        <v>25</v>
      </c>
      <c r="E274" s="8" t="s">
        <v>406</v>
      </c>
      <c r="F274" s="8" t="s">
        <v>76</v>
      </c>
      <c r="G274" s="25">
        <v>46237</v>
      </c>
      <c r="H274" s="25">
        <v>46252</v>
      </c>
      <c r="I274" s="8" t="s">
        <v>3</v>
      </c>
      <c r="J274" s="8" t="s">
        <v>3</v>
      </c>
      <c r="K274" s="25">
        <v>46261</v>
      </c>
      <c r="L274" s="8" t="s">
        <v>807</v>
      </c>
      <c r="M274" s="8"/>
      <c r="N274" s="10"/>
      <c r="O274" s="8" t="s">
        <v>1053</v>
      </c>
    </row>
    <row r="275" ht="32" customHeight="1" spans="1:15">
      <c r="A275" s="8">
        <v>9</v>
      </c>
      <c r="B275" s="8" t="s">
        <v>392</v>
      </c>
      <c r="C275" s="8" t="s">
        <v>390</v>
      </c>
      <c r="D275" s="8" t="s">
        <v>26</v>
      </c>
      <c r="E275" s="8" t="s">
        <v>406</v>
      </c>
      <c r="F275" s="8" t="s">
        <v>76</v>
      </c>
      <c r="G275" s="25">
        <v>46237</v>
      </c>
      <c r="H275" s="25">
        <v>46252</v>
      </c>
      <c r="I275" s="8" t="s">
        <v>3</v>
      </c>
      <c r="J275" s="8" t="s">
        <v>3</v>
      </c>
      <c r="K275" s="25"/>
      <c r="L275" s="8" t="s">
        <v>807</v>
      </c>
      <c r="M275" s="8" t="s">
        <v>808</v>
      </c>
      <c r="N275" s="10"/>
      <c r="O275" s="8" t="s">
        <v>1054</v>
      </c>
    </row>
    <row r="276" ht="32" customHeight="1" spans="1:15">
      <c r="A276" s="8">
        <v>10</v>
      </c>
      <c r="B276" s="8" t="s">
        <v>164</v>
      </c>
      <c r="C276" s="8" t="s">
        <v>166</v>
      </c>
      <c r="D276" s="8" t="s">
        <v>25</v>
      </c>
      <c r="E276" s="8" t="s">
        <v>414</v>
      </c>
      <c r="F276" s="8" t="s">
        <v>77</v>
      </c>
      <c r="G276" s="25">
        <v>46230</v>
      </c>
      <c r="H276" s="25">
        <v>46262</v>
      </c>
      <c r="I276" s="8" t="s">
        <v>3</v>
      </c>
      <c r="J276" s="8" t="s">
        <v>3</v>
      </c>
      <c r="K276" s="25">
        <v>46261</v>
      </c>
      <c r="L276" s="8" t="s">
        <v>807</v>
      </c>
      <c r="M276" s="8"/>
      <c r="N276" s="10"/>
      <c r="O276" s="8" t="s">
        <v>1055</v>
      </c>
    </row>
    <row r="277" ht="32" customHeight="1" spans="1:15">
      <c r="A277" s="8">
        <v>10</v>
      </c>
      <c r="B277" s="8" t="s">
        <v>167</v>
      </c>
      <c r="C277" s="8" t="s">
        <v>168</v>
      </c>
      <c r="D277" s="8" t="s">
        <v>25</v>
      </c>
      <c r="E277" s="8" t="s">
        <v>414</v>
      </c>
      <c r="F277" s="8" t="s">
        <v>77</v>
      </c>
      <c r="G277" s="25">
        <v>46230</v>
      </c>
      <c r="H277" s="25">
        <v>46262</v>
      </c>
      <c r="I277" s="8" t="s">
        <v>3</v>
      </c>
      <c r="J277" s="8" t="s">
        <v>3</v>
      </c>
      <c r="K277" s="25">
        <v>46261</v>
      </c>
      <c r="L277" s="8" t="s">
        <v>807</v>
      </c>
      <c r="M277" s="8"/>
      <c r="N277" s="10"/>
      <c r="O277" s="8" t="s">
        <v>1056</v>
      </c>
    </row>
    <row r="278" ht="32" customHeight="1" spans="1:15">
      <c r="A278" s="8">
        <v>10</v>
      </c>
      <c r="B278" s="8" t="s">
        <v>169</v>
      </c>
      <c r="C278" s="8" t="s">
        <v>170</v>
      </c>
      <c r="D278" s="8" t="s">
        <v>25</v>
      </c>
      <c r="E278" s="8" t="s">
        <v>414</v>
      </c>
      <c r="F278" s="8" t="s">
        <v>77</v>
      </c>
      <c r="G278" s="25">
        <v>46230</v>
      </c>
      <c r="H278" s="25">
        <v>46262</v>
      </c>
      <c r="I278" s="8" t="s">
        <v>3</v>
      </c>
      <c r="J278" s="8" t="s">
        <v>3</v>
      </c>
      <c r="K278" s="25">
        <v>46261</v>
      </c>
      <c r="L278" s="8" t="s">
        <v>807</v>
      </c>
      <c r="M278" s="8"/>
      <c r="N278" s="10"/>
      <c r="O278" s="8" t="s">
        <v>1057</v>
      </c>
    </row>
    <row r="279" ht="32" customHeight="1" spans="1:15">
      <c r="A279" s="8">
        <v>10</v>
      </c>
      <c r="B279" s="8" t="s">
        <v>171</v>
      </c>
      <c r="C279" s="8" t="s">
        <v>173</v>
      </c>
      <c r="D279" s="8" t="s">
        <v>25</v>
      </c>
      <c r="E279" s="8" t="s">
        <v>414</v>
      </c>
      <c r="F279" s="8" t="s">
        <v>77</v>
      </c>
      <c r="G279" s="25">
        <v>46230</v>
      </c>
      <c r="H279" s="25">
        <v>46262</v>
      </c>
      <c r="I279" s="8" t="s">
        <v>3</v>
      </c>
      <c r="J279" s="8" t="s">
        <v>3</v>
      </c>
      <c r="K279" s="25">
        <v>46261</v>
      </c>
      <c r="L279" s="8" t="s">
        <v>807</v>
      </c>
      <c r="M279" s="8"/>
      <c r="N279" s="10"/>
      <c r="O279" s="8" t="s">
        <v>1058</v>
      </c>
    </row>
    <row r="280" ht="32" customHeight="1" spans="1:15">
      <c r="A280" s="8">
        <v>10</v>
      </c>
      <c r="B280" s="8" t="s">
        <v>174</v>
      </c>
      <c r="C280" s="8" t="s">
        <v>175</v>
      </c>
      <c r="D280" s="8" t="s">
        <v>25</v>
      </c>
      <c r="E280" s="8" t="s">
        <v>414</v>
      </c>
      <c r="F280" s="8" t="s">
        <v>77</v>
      </c>
      <c r="G280" s="25">
        <v>46230</v>
      </c>
      <c r="H280" s="25">
        <v>46262</v>
      </c>
      <c r="I280" s="8" t="s">
        <v>3</v>
      </c>
      <c r="J280" s="8" t="s">
        <v>3</v>
      </c>
      <c r="K280" s="25">
        <v>46261</v>
      </c>
      <c r="L280" s="8" t="s">
        <v>807</v>
      </c>
      <c r="M280" s="8"/>
      <c r="N280" s="10"/>
      <c r="O280" s="8" t="s">
        <v>1059</v>
      </c>
    </row>
    <row r="281" ht="32" customHeight="1" spans="1:15">
      <c r="A281" s="8">
        <v>10</v>
      </c>
      <c r="B281" s="8" t="s">
        <v>176</v>
      </c>
      <c r="C281" s="8" t="s">
        <v>177</v>
      </c>
      <c r="D281" s="8" t="s">
        <v>25</v>
      </c>
      <c r="E281" s="8" t="s">
        <v>414</v>
      </c>
      <c r="F281" s="8" t="s">
        <v>77</v>
      </c>
      <c r="G281" s="25">
        <v>46230</v>
      </c>
      <c r="H281" s="25">
        <v>46262</v>
      </c>
      <c r="I281" s="8" t="s">
        <v>3</v>
      </c>
      <c r="J281" s="8" t="s">
        <v>3</v>
      </c>
      <c r="K281" s="25">
        <v>46261</v>
      </c>
      <c r="L281" s="8" t="s">
        <v>807</v>
      </c>
      <c r="M281" s="8"/>
      <c r="N281" s="10"/>
      <c r="O281" s="8" t="s">
        <v>1060</v>
      </c>
    </row>
    <row r="282" ht="32" customHeight="1" spans="1:15">
      <c r="A282" s="8">
        <v>10</v>
      </c>
      <c r="B282" s="8" t="s">
        <v>178</v>
      </c>
      <c r="C282" s="8" t="s">
        <v>180</v>
      </c>
      <c r="D282" s="8" t="s">
        <v>26</v>
      </c>
      <c r="E282" s="8" t="s">
        <v>414</v>
      </c>
      <c r="F282" s="8" t="s">
        <v>77</v>
      </c>
      <c r="G282" s="25">
        <v>46230</v>
      </c>
      <c r="H282" s="25">
        <v>46262</v>
      </c>
      <c r="I282" s="8" t="s">
        <v>3</v>
      </c>
      <c r="J282" s="8" t="s">
        <v>3</v>
      </c>
      <c r="K282" s="25"/>
      <c r="L282" s="8" t="s">
        <v>807</v>
      </c>
      <c r="M282" s="8" t="s">
        <v>808</v>
      </c>
      <c r="N282" s="10"/>
      <c r="O282" s="8" t="s">
        <v>1061</v>
      </c>
    </row>
    <row r="283" ht="32" customHeight="1" spans="1:15">
      <c r="A283" s="8">
        <v>10</v>
      </c>
      <c r="B283" s="8" t="s">
        <v>181</v>
      </c>
      <c r="C283" s="8" t="s">
        <v>182</v>
      </c>
      <c r="D283" s="8" t="s">
        <v>26</v>
      </c>
      <c r="E283" s="8" t="s">
        <v>414</v>
      </c>
      <c r="F283" s="8" t="s">
        <v>77</v>
      </c>
      <c r="G283" s="25">
        <v>46230</v>
      </c>
      <c r="H283" s="25">
        <v>46262</v>
      </c>
      <c r="I283" s="8" t="s">
        <v>3</v>
      </c>
      <c r="J283" s="8" t="s">
        <v>3</v>
      </c>
      <c r="K283" s="25"/>
      <c r="L283" s="8" t="s">
        <v>807</v>
      </c>
      <c r="M283" s="8" t="s">
        <v>808</v>
      </c>
      <c r="N283" s="10"/>
      <c r="O283" s="8" t="s">
        <v>1062</v>
      </c>
    </row>
    <row r="284" ht="32" customHeight="1" spans="1:15">
      <c r="A284" s="8">
        <v>10</v>
      </c>
      <c r="B284" s="8" t="s">
        <v>183</v>
      </c>
      <c r="C284" s="8" t="s">
        <v>184</v>
      </c>
      <c r="D284" s="8" t="s">
        <v>26</v>
      </c>
      <c r="E284" s="8" t="s">
        <v>414</v>
      </c>
      <c r="F284" s="8" t="s">
        <v>77</v>
      </c>
      <c r="G284" s="25">
        <v>46230</v>
      </c>
      <c r="H284" s="25">
        <v>46262</v>
      </c>
      <c r="I284" s="8" t="s">
        <v>3</v>
      </c>
      <c r="J284" s="8" t="s">
        <v>3</v>
      </c>
      <c r="K284" s="25"/>
      <c r="L284" s="8" t="s">
        <v>807</v>
      </c>
      <c r="M284" s="8" t="s">
        <v>808</v>
      </c>
      <c r="N284" s="10"/>
      <c r="O284" s="8" t="s">
        <v>1063</v>
      </c>
    </row>
    <row r="285" ht="32" customHeight="1" spans="1:15">
      <c r="A285" s="8">
        <v>10</v>
      </c>
      <c r="B285" s="8" t="s">
        <v>304</v>
      </c>
      <c r="C285" s="8" t="s">
        <v>307</v>
      </c>
      <c r="D285" s="8" t="s">
        <v>25</v>
      </c>
      <c r="E285" s="8" t="s">
        <v>414</v>
      </c>
      <c r="F285" s="8" t="s">
        <v>77</v>
      </c>
      <c r="G285" s="25">
        <v>46230</v>
      </c>
      <c r="H285" s="25">
        <v>46262</v>
      </c>
      <c r="I285" s="8" t="s">
        <v>3</v>
      </c>
      <c r="J285" s="8" t="s">
        <v>3</v>
      </c>
      <c r="K285" s="25">
        <v>46224</v>
      </c>
      <c r="L285" s="8" t="s">
        <v>807</v>
      </c>
      <c r="M285" s="8"/>
      <c r="N285" s="10"/>
      <c r="O285" s="8" t="s">
        <v>1064</v>
      </c>
    </row>
    <row r="286" ht="32" customHeight="1" spans="1:15">
      <c r="A286" s="8">
        <v>10</v>
      </c>
      <c r="B286" s="8" t="s">
        <v>308</v>
      </c>
      <c r="C286" s="8" t="s">
        <v>309</v>
      </c>
      <c r="D286" s="8" t="s">
        <v>25</v>
      </c>
      <c r="E286" s="8" t="s">
        <v>414</v>
      </c>
      <c r="F286" s="8" t="s">
        <v>77</v>
      </c>
      <c r="G286" s="25">
        <v>46230</v>
      </c>
      <c r="H286" s="25">
        <v>46262</v>
      </c>
      <c r="I286" s="8" t="s">
        <v>3</v>
      </c>
      <c r="J286" s="8" t="s">
        <v>3</v>
      </c>
      <c r="K286" s="25">
        <v>46224</v>
      </c>
      <c r="L286" s="8" t="s">
        <v>807</v>
      </c>
      <c r="M286" s="8"/>
      <c r="N286" s="10"/>
      <c r="O286" s="8" t="s">
        <v>1065</v>
      </c>
    </row>
    <row r="287" ht="32" customHeight="1" spans="1:15">
      <c r="A287" s="8">
        <v>10</v>
      </c>
      <c r="B287" s="8" t="s">
        <v>310</v>
      </c>
      <c r="C287" s="8" t="s">
        <v>311</v>
      </c>
      <c r="D287" s="8" t="s">
        <v>25</v>
      </c>
      <c r="E287" s="8" t="s">
        <v>414</v>
      </c>
      <c r="F287" s="8" t="s">
        <v>77</v>
      </c>
      <c r="G287" s="25">
        <v>46230</v>
      </c>
      <c r="H287" s="25">
        <v>46262</v>
      </c>
      <c r="I287" s="8" t="s">
        <v>3</v>
      </c>
      <c r="J287" s="8" t="s">
        <v>3</v>
      </c>
      <c r="K287" s="25">
        <v>46224</v>
      </c>
      <c r="L287" s="8" t="s">
        <v>807</v>
      </c>
      <c r="M287" s="8"/>
      <c r="N287" s="10"/>
      <c r="O287" s="8" t="s">
        <v>1066</v>
      </c>
    </row>
    <row r="288" ht="32" customHeight="1" spans="1:15">
      <c r="A288" s="8">
        <v>10</v>
      </c>
      <c r="B288" s="8" t="s">
        <v>312</v>
      </c>
      <c r="C288" s="8" t="s">
        <v>313</v>
      </c>
      <c r="D288" s="8" t="s">
        <v>25</v>
      </c>
      <c r="E288" s="8" t="s">
        <v>414</v>
      </c>
      <c r="F288" s="8" t="s">
        <v>77</v>
      </c>
      <c r="G288" s="25">
        <v>46230</v>
      </c>
      <c r="H288" s="25">
        <v>46262</v>
      </c>
      <c r="I288" s="8" t="s">
        <v>3</v>
      </c>
      <c r="J288" s="8" t="s">
        <v>3</v>
      </c>
      <c r="K288" s="25">
        <v>46224</v>
      </c>
      <c r="L288" s="8" t="s">
        <v>807</v>
      </c>
      <c r="M288" s="8"/>
      <c r="N288" s="10"/>
      <c r="O288" s="8" t="s">
        <v>1067</v>
      </c>
    </row>
    <row r="289" ht="32" customHeight="1" spans="1:15">
      <c r="A289" s="8">
        <v>10</v>
      </c>
      <c r="B289" s="8" t="s">
        <v>314</v>
      </c>
      <c r="C289" s="8" t="s">
        <v>316</v>
      </c>
      <c r="D289" s="8" t="s">
        <v>25</v>
      </c>
      <c r="E289" s="8" t="s">
        <v>414</v>
      </c>
      <c r="F289" s="8" t="s">
        <v>77</v>
      </c>
      <c r="G289" s="25">
        <v>46230</v>
      </c>
      <c r="H289" s="25">
        <v>46262</v>
      </c>
      <c r="I289" s="8" t="s">
        <v>3</v>
      </c>
      <c r="J289" s="8" t="s">
        <v>3</v>
      </c>
      <c r="K289" s="25"/>
      <c r="L289" s="8" t="s">
        <v>807</v>
      </c>
      <c r="M289" s="8" t="s">
        <v>808</v>
      </c>
      <c r="N289" s="10"/>
      <c r="O289" s="8" t="s">
        <v>1068</v>
      </c>
    </row>
    <row r="290" ht="32" customHeight="1" spans="1:15">
      <c r="A290" s="8">
        <v>10</v>
      </c>
      <c r="B290" s="8" t="s">
        <v>317</v>
      </c>
      <c r="C290" s="8" t="s">
        <v>318</v>
      </c>
      <c r="D290" s="8" t="s">
        <v>25</v>
      </c>
      <c r="E290" s="8" t="s">
        <v>414</v>
      </c>
      <c r="F290" s="8" t="s">
        <v>77</v>
      </c>
      <c r="G290" s="25">
        <v>46230</v>
      </c>
      <c r="H290" s="25">
        <v>46262</v>
      </c>
      <c r="I290" s="8" t="s">
        <v>3</v>
      </c>
      <c r="J290" s="8" t="s">
        <v>3</v>
      </c>
      <c r="K290" s="25"/>
      <c r="L290" s="8" t="s">
        <v>807</v>
      </c>
      <c r="M290" s="8" t="s">
        <v>808</v>
      </c>
      <c r="N290" s="10"/>
      <c r="O290" s="8" t="s">
        <v>1069</v>
      </c>
    </row>
    <row r="291" ht="32" customHeight="1" spans="1:15">
      <c r="A291" s="8">
        <v>10</v>
      </c>
      <c r="B291" s="8" t="s">
        <v>319</v>
      </c>
      <c r="C291" s="8" t="s">
        <v>320</v>
      </c>
      <c r="D291" s="8" t="s">
        <v>25</v>
      </c>
      <c r="E291" s="8" t="s">
        <v>414</v>
      </c>
      <c r="F291" s="8" t="s">
        <v>77</v>
      </c>
      <c r="G291" s="25">
        <v>46230</v>
      </c>
      <c r="H291" s="25">
        <v>46262</v>
      </c>
      <c r="I291" s="8" t="s">
        <v>3</v>
      </c>
      <c r="J291" s="8" t="s">
        <v>3</v>
      </c>
      <c r="K291" s="25"/>
      <c r="L291" s="8" t="s">
        <v>807</v>
      </c>
      <c r="M291" s="8" t="s">
        <v>808</v>
      </c>
      <c r="N291" s="10"/>
      <c r="O291" s="8" t="s">
        <v>1070</v>
      </c>
    </row>
    <row r="292" ht="32" customHeight="1" spans="1:15">
      <c r="A292" s="8">
        <v>10</v>
      </c>
      <c r="B292" s="8" t="s">
        <v>321</v>
      </c>
      <c r="C292" s="8" t="s">
        <v>322</v>
      </c>
      <c r="D292" s="8" t="s">
        <v>25</v>
      </c>
      <c r="E292" s="8" t="s">
        <v>414</v>
      </c>
      <c r="F292" s="8" t="s">
        <v>77</v>
      </c>
      <c r="G292" s="25">
        <v>46230</v>
      </c>
      <c r="H292" s="25">
        <v>46262</v>
      </c>
      <c r="I292" s="8" t="s">
        <v>3</v>
      </c>
      <c r="J292" s="8" t="s">
        <v>3</v>
      </c>
      <c r="K292" s="25"/>
      <c r="L292" s="8" t="s">
        <v>807</v>
      </c>
      <c r="M292" s="8" t="s">
        <v>808</v>
      </c>
      <c r="N292" s="10"/>
      <c r="O292" s="8" t="s">
        <v>1071</v>
      </c>
    </row>
    <row r="293" ht="32" customHeight="1" spans="1:15">
      <c r="A293" s="8">
        <v>10</v>
      </c>
      <c r="B293" s="8" t="s">
        <v>323</v>
      </c>
      <c r="C293" s="8" t="s">
        <v>324</v>
      </c>
      <c r="D293" s="8" t="s">
        <v>25</v>
      </c>
      <c r="E293" s="8" t="s">
        <v>414</v>
      </c>
      <c r="F293" s="8" t="s">
        <v>77</v>
      </c>
      <c r="G293" s="25">
        <v>46230</v>
      </c>
      <c r="H293" s="25">
        <v>46262</v>
      </c>
      <c r="I293" s="8" t="s">
        <v>3</v>
      </c>
      <c r="J293" s="8" t="s">
        <v>3</v>
      </c>
      <c r="K293" s="25"/>
      <c r="L293" s="8" t="s">
        <v>807</v>
      </c>
      <c r="M293" s="8" t="s">
        <v>808</v>
      </c>
      <c r="N293" s="10"/>
      <c r="O293" s="8" t="s">
        <v>1072</v>
      </c>
    </row>
    <row r="294" ht="32" customHeight="1" spans="1:15">
      <c r="A294" s="8">
        <v>10</v>
      </c>
      <c r="B294" s="8" t="s">
        <v>325</v>
      </c>
      <c r="C294" s="8" t="s">
        <v>326</v>
      </c>
      <c r="D294" s="8" t="s">
        <v>25</v>
      </c>
      <c r="E294" s="8" t="s">
        <v>414</v>
      </c>
      <c r="F294" s="8" t="s">
        <v>77</v>
      </c>
      <c r="G294" s="25">
        <v>46230</v>
      </c>
      <c r="H294" s="25">
        <v>46262</v>
      </c>
      <c r="I294" s="8" t="s">
        <v>3</v>
      </c>
      <c r="J294" s="8" t="s">
        <v>3</v>
      </c>
      <c r="K294" s="25"/>
      <c r="L294" s="8" t="s">
        <v>807</v>
      </c>
      <c r="M294" s="8" t="s">
        <v>808</v>
      </c>
      <c r="N294" s="10"/>
      <c r="O294" s="8" t="s">
        <v>1073</v>
      </c>
    </row>
    <row r="295" ht="32" customHeight="1" spans="1:15">
      <c r="A295" s="8">
        <v>10</v>
      </c>
      <c r="B295" s="8" t="s">
        <v>327</v>
      </c>
      <c r="C295" s="8" t="s">
        <v>328</v>
      </c>
      <c r="D295" s="8" t="s">
        <v>26</v>
      </c>
      <c r="E295" s="8" t="s">
        <v>414</v>
      </c>
      <c r="F295" s="8" t="s">
        <v>77</v>
      </c>
      <c r="G295" s="25">
        <v>46230</v>
      </c>
      <c r="H295" s="25">
        <v>46262</v>
      </c>
      <c r="I295" s="8" t="s">
        <v>3</v>
      </c>
      <c r="J295" s="8" t="s">
        <v>3</v>
      </c>
      <c r="K295" s="25"/>
      <c r="L295" s="8" t="s">
        <v>807</v>
      </c>
      <c r="M295" s="8" t="s">
        <v>808</v>
      </c>
      <c r="N295" s="10"/>
      <c r="O295" s="8" t="s">
        <v>1074</v>
      </c>
    </row>
    <row r="296" ht="32" customHeight="1" spans="1:15">
      <c r="A296" s="8">
        <v>10</v>
      </c>
      <c r="B296" s="8" t="s">
        <v>341</v>
      </c>
      <c r="C296" s="8" t="s">
        <v>343</v>
      </c>
      <c r="D296" s="8" t="s">
        <v>25</v>
      </c>
      <c r="E296" s="8" t="s">
        <v>414</v>
      </c>
      <c r="F296" s="8" t="s">
        <v>77</v>
      </c>
      <c r="G296" s="25">
        <v>46230</v>
      </c>
      <c r="H296" s="25">
        <v>46262</v>
      </c>
      <c r="I296" s="8" t="s">
        <v>3</v>
      </c>
      <c r="J296" s="8" t="s">
        <v>3</v>
      </c>
      <c r="K296" s="25"/>
      <c r="L296" s="8" t="s">
        <v>807</v>
      </c>
      <c r="M296" s="8" t="s">
        <v>808</v>
      </c>
      <c r="N296" s="10"/>
      <c r="O296" s="8" t="s">
        <v>1075</v>
      </c>
    </row>
    <row r="297" ht="32" customHeight="1" spans="1:15">
      <c r="A297" s="8">
        <v>10</v>
      </c>
      <c r="B297" s="8" t="s">
        <v>344</v>
      </c>
      <c r="C297" s="8" t="s">
        <v>345</v>
      </c>
      <c r="D297" s="8" t="s">
        <v>25</v>
      </c>
      <c r="E297" s="8" t="s">
        <v>414</v>
      </c>
      <c r="F297" s="8" t="s">
        <v>77</v>
      </c>
      <c r="G297" s="25">
        <v>46230</v>
      </c>
      <c r="H297" s="25">
        <v>46262</v>
      </c>
      <c r="I297" s="8" t="s">
        <v>3</v>
      </c>
      <c r="J297" s="8" t="s">
        <v>3</v>
      </c>
      <c r="K297" s="25"/>
      <c r="L297" s="8" t="s">
        <v>807</v>
      </c>
      <c r="M297" s="8" t="s">
        <v>808</v>
      </c>
      <c r="N297" s="10"/>
      <c r="O297" s="8" t="s">
        <v>1076</v>
      </c>
    </row>
    <row r="298" ht="32" customHeight="1" spans="1:15">
      <c r="A298" s="8">
        <v>10</v>
      </c>
      <c r="B298" s="8" t="s">
        <v>346</v>
      </c>
      <c r="C298" s="8" t="s">
        <v>347</v>
      </c>
      <c r="D298" s="8" t="s">
        <v>25</v>
      </c>
      <c r="E298" s="8" t="s">
        <v>414</v>
      </c>
      <c r="F298" s="8" t="s">
        <v>77</v>
      </c>
      <c r="G298" s="25">
        <v>46230</v>
      </c>
      <c r="H298" s="25">
        <v>46262</v>
      </c>
      <c r="I298" s="8" t="s">
        <v>3</v>
      </c>
      <c r="J298" s="8" t="s">
        <v>3</v>
      </c>
      <c r="K298" s="25"/>
      <c r="L298" s="8" t="s">
        <v>807</v>
      </c>
      <c r="M298" s="8" t="s">
        <v>808</v>
      </c>
      <c r="N298" s="10"/>
      <c r="O298" s="8" t="s">
        <v>1077</v>
      </c>
    </row>
    <row r="299" ht="32" customHeight="1" spans="1:15">
      <c r="A299" s="8">
        <v>10</v>
      </c>
      <c r="B299" s="8" t="s">
        <v>348</v>
      </c>
      <c r="C299" s="8" t="s">
        <v>349</v>
      </c>
      <c r="D299" s="8" t="s">
        <v>25</v>
      </c>
      <c r="E299" s="8" t="s">
        <v>414</v>
      </c>
      <c r="F299" s="8" t="s">
        <v>77</v>
      </c>
      <c r="G299" s="25">
        <v>46230</v>
      </c>
      <c r="H299" s="25">
        <v>46262</v>
      </c>
      <c r="I299" s="8" t="s">
        <v>3</v>
      </c>
      <c r="J299" s="8" t="s">
        <v>3</v>
      </c>
      <c r="K299" s="25"/>
      <c r="L299" s="8" t="s">
        <v>807</v>
      </c>
      <c r="M299" s="8" t="s">
        <v>808</v>
      </c>
      <c r="N299" s="10"/>
      <c r="O299" s="8" t="s">
        <v>1078</v>
      </c>
    </row>
    <row r="300" ht="32" customHeight="1" spans="1:15">
      <c r="A300" s="8">
        <v>10</v>
      </c>
      <c r="B300" s="8" t="s">
        <v>382</v>
      </c>
      <c r="C300" s="8" t="s">
        <v>168</v>
      </c>
      <c r="D300" s="8" t="s">
        <v>26</v>
      </c>
      <c r="E300" s="8" t="s">
        <v>414</v>
      </c>
      <c r="F300" s="8" t="s">
        <v>77</v>
      </c>
      <c r="G300" s="25">
        <v>46230</v>
      </c>
      <c r="H300" s="25">
        <v>46262</v>
      </c>
      <c r="I300" s="8" t="s">
        <v>3</v>
      </c>
      <c r="J300" s="8" t="s">
        <v>3</v>
      </c>
      <c r="K300" s="25">
        <v>46261</v>
      </c>
      <c r="L300" s="8" t="s">
        <v>807</v>
      </c>
      <c r="M300" s="8"/>
      <c r="N300" s="10"/>
      <c r="O300" s="8" t="s">
        <v>1079</v>
      </c>
    </row>
    <row r="301" ht="32" customHeight="1" spans="1:15">
      <c r="A301" s="8">
        <v>10</v>
      </c>
      <c r="B301" s="8" t="s">
        <v>383</v>
      </c>
      <c r="C301" s="8" t="s">
        <v>175</v>
      </c>
      <c r="D301" s="8" t="s">
        <v>26</v>
      </c>
      <c r="E301" s="8" t="s">
        <v>414</v>
      </c>
      <c r="F301" s="8" t="s">
        <v>77</v>
      </c>
      <c r="G301" s="25">
        <v>46230</v>
      </c>
      <c r="H301" s="25">
        <v>46262</v>
      </c>
      <c r="I301" s="8" t="s">
        <v>3</v>
      </c>
      <c r="J301" s="8" t="s">
        <v>3</v>
      </c>
      <c r="K301" s="25">
        <v>46261</v>
      </c>
      <c r="L301" s="8" t="s">
        <v>807</v>
      </c>
      <c r="M301" s="8"/>
      <c r="N301" s="10"/>
      <c r="O301" s="8" t="s">
        <v>1080</v>
      </c>
    </row>
    <row r="302" ht="32" customHeight="1" spans="1:15">
      <c r="A302" s="8">
        <v>10</v>
      </c>
      <c r="B302" s="8" t="s">
        <v>384</v>
      </c>
      <c r="C302" s="8" t="s">
        <v>182</v>
      </c>
      <c r="D302" s="8" t="s">
        <v>26</v>
      </c>
      <c r="E302" s="8" t="s">
        <v>414</v>
      </c>
      <c r="F302" s="8" t="s">
        <v>77</v>
      </c>
      <c r="G302" s="25">
        <v>46230</v>
      </c>
      <c r="H302" s="25">
        <v>46262</v>
      </c>
      <c r="I302" s="8" t="s">
        <v>3</v>
      </c>
      <c r="J302" s="8" t="s">
        <v>3</v>
      </c>
      <c r="K302" s="25"/>
      <c r="L302" s="8" t="s">
        <v>807</v>
      </c>
      <c r="M302" s="8" t="s">
        <v>808</v>
      </c>
      <c r="N302" s="10"/>
      <c r="O302" s="8" t="s">
        <v>1081</v>
      </c>
    </row>
    <row r="303" ht="32" customHeight="1" spans="1:15">
      <c r="A303" s="8">
        <v>10</v>
      </c>
      <c r="B303" s="8" t="s">
        <v>164</v>
      </c>
      <c r="C303" s="8" t="s">
        <v>166</v>
      </c>
      <c r="D303" s="8" t="s">
        <v>25</v>
      </c>
      <c r="E303" s="8" t="s">
        <v>406</v>
      </c>
      <c r="F303" s="8" t="s">
        <v>76</v>
      </c>
      <c r="G303" s="25">
        <v>46230</v>
      </c>
      <c r="H303" s="25">
        <v>46262</v>
      </c>
      <c r="I303" s="8" t="s">
        <v>3</v>
      </c>
      <c r="J303" s="8" t="s">
        <v>3</v>
      </c>
      <c r="K303" s="25">
        <v>46261</v>
      </c>
      <c r="L303" s="8" t="s">
        <v>807</v>
      </c>
      <c r="M303" s="8"/>
      <c r="N303" s="10"/>
      <c r="O303" s="8" t="s">
        <v>1082</v>
      </c>
    </row>
    <row r="304" ht="32" customHeight="1" spans="1:15">
      <c r="A304" s="8">
        <v>10</v>
      </c>
      <c r="B304" s="8" t="s">
        <v>167</v>
      </c>
      <c r="C304" s="8" t="s">
        <v>168</v>
      </c>
      <c r="D304" s="8" t="s">
        <v>25</v>
      </c>
      <c r="E304" s="8" t="s">
        <v>406</v>
      </c>
      <c r="F304" s="8" t="s">
        <v>76</v>
      </c>
      <c r="G304" s="25">
        <v>46230</v>
      </c>
      <c r="H304" s="25">
        <v>46262</v>
      </c>
      <c r="I304" s="8" t="s">
        <v>3</v>
      </c>
      <c r="J304" s="8" t="s">
        <v>3</v>
      </c>
      <c r="K304" s="25">
        <v>46261</v>
      </c>
      <c r="L304" s="8" t="s">
        <v>807</v>
      </c>
      <c r="M304" s="8"/>
      <c r="N304" s="10"/>
      <c r="O304" s="8" t="s">
        <v>1083</v>
      </c>
    </row>
    <row r="305" ht="32" customHeight="1" spans="1:15">
      <c r="A305" s="8">
        <v>10</v>
      </c>
      <c r="B305" s="8" t="s">
        <v>169</v>
      </c>
      <c r="C305" s="8" t="s">
        <v>170</v>
      </c>
      <c r="D305" s="8" t="s">
        <v>25</v>
      </c>
      <c r="E305" s="8" t="s">
        <v>406</v>
      </c>
      <c r="F305" s="8" t="s">
        <v>76</v>
      </c>
      <c r="G305" s="25">
        <v>46230</v>
      </c>
      <c r="H305" s="25">
        <v>46262</v>
      </c>
      <c r="I305" s="8" t="s">
        <v>3</v>
      </c>
      <c r="J305" s="8" t="s">
        <v>3</v>
      </c>
      <c r="K305" s="25">
        <v>46261</v>
      </c>
      <c r="L305" s="8" t="s">
        <v>807</v>
      </c>
      <c r="M305" s="8"/>
      <c r="N305" s="10"/>
      <c r="O305" s="8" t="s">
        <v>1084</v>
      </c>
    </row>
    <row r="306" ht="32" customHeight="1" spans="1:15">
      <c r="A306" s="8">
        <v>10</v>
      </c>
      <c r="B306" s="8" t="s">
        <v>171</v>
      </c>
      <c r="C306" s="8" t="s">
        <v>173</v>
      </c>
      <c r="D306" s="8" t="s">
        <v>25</v>
      </c>
      <c r="E306" s="8" t="s">
        <v>406</v>
      </c>
      <c r="F306" s="8" t="s">
        <v>76</v>
      </c>
      <c r="G306" s="25">
        <v>46230</v>
      </c>
      <c r="H306" s="25">
        <v>46262</v>
      </c>
      <c r="I306" s="8" t="s">
        <v>3</v>
      </c>
      <c r="J306" s="8" t="s">
        <v>3</v>
      </c>
      <c r="K306" s="25">
        <v>46261</v>
      </c>
      <c r="L306" s="8" t="s">
        <v>807</v>
      </c>
      <c r="M306" s="8"/>
      <c r="N306" s="10"/>
      <c r="O306" s="8" t="s">
        <v>1085</v>
      </c>
    </row>
    <row r="307" ht="32" customHeight="1" spans="1:15">
      <c r="A307" s="8">
        <v>10</v>
      </c>
      <c r="B307" s="8" t="s">
        <v>174</v>
      </c>
      <c r="C307" s="8" t="s">
        <v>175</v>
      </c>
      <c r="D307" s="8" t="s">
        <v>25</v>
      </c>
      <c r="E307" s="8" t="s">
        <v>406</v>
      </c>
      <c r="F307" s="8" t="s">
        <v>76</v>
      </c>
      <c r="G307" s="25">
        <v>46230</v>
      </c>
      <c r="H307" s="25">
        <v>46262</v>
      </c>
      <c r="I307" s="8" t="s">
        <v>3</v>
      </c>
      <c r="J307" s="8" t="s">
        <v>3</v>
      </c>
      <c r="K307" s="25">
        <v>46261</v>
      </c>
      <c r="L307" s="8" t="s">
        <v>807</v>
      </c>
      <c r="M307" s="8"/>
      <c r="N307" s="10"/>
      <c r="O307" s="8" t="s">
        <v>1086</v>
      </c>
    </row>
    <row r="308" ht="32" customHeight="1" spans="1:15">
      <c r="A308" s="8">
        <v>10</v>
      </c>
      <c r="B308" s="8" t="s">
        <v>176</v>
      </c>
      <c r="C308" s="8" t="s">
        <v>177</v>
      </c>
      <c r="D308" s="8" t="s">
        <v>25</v>
      </c>
      <c r="E308" s="8" t="s">
        <v>406</v>
      </c>
      <c r="F308" s="8" t="s">
        <v>76</v>
      </c>
      <c r="G308" s="25">
        <v>46230</v>
      </c>
      <c r="H308" s="25">
        <v>46262</v>
      </c>
      <c r="I308" s="8" t="s">
        <v>3</v>
      </c>
      <c r="J308" s="8" t="s">
        <v>3</v>
      </c>
      <c r="K308" s="25">
        <v>46261</v>
      </c>
      <c r="L308" s="8" t="s">
        <v>807</v>
      </c>
      <c r="M308" s="8"/>
      <c r="N308" s="10"/>
      <c r="O308" s="8" t="s">
        <v>1087</v>
      </c>
    </row>
    <row r="309" ht="32" customHeight="1" spans="1:15">
      <c r="A309" s="8">
        <v>10</v>
      </c>
      <c r="B309" s="8" t="s">
        <v>178</v>
      </c>
      <c r="C309" s="8" t="s">
        <v>180</v>
      </c>
      <c r="D309" s="8" t="s">
        <v>26</v>
      </c>
      <c r="E309" s="8" t="s">
        <v>406</v>
      </c>
      <c r="F309" s="8" t="s">
        <v>76</v>
      </c>
      <c r="G309" s="25">
        <v>46230</v>
      </c>
      <c r="H309" s="25">
        <v>46262</v>
      </c>
      <c r="I309" s="8" t="s">
        <v>3</v>
      </c>
      <c r="J309" s="8" t="s">
        <v>3</v>
      </c>
      <c r="K309" s="25"/>
      <c r="L309" s="8" t="s">
        <v>807</v>
      </c>
      <c r="M309" s="8" t="s">
        <v>808</v>
      </c>
      <c r="N309" s="10"/>
      <c r="O309" s="8" t="s">
        <v>1088</v>
      </c>
    </row>
    <row r="310" ht="32" customHeight="1" spans="1:15">
      <c r="A310" s="8">
        <v>10</v>
      </c>
      <c r="B310" s="8" t="s">
        <v>181</v>
      </c>
      <c r="C310" s="8" t="s">
        <v>182</v>
      </c>
      <c r="D310" s="8" t="s">
        <v>26</v>
      </c>
      <c r="E310" s="8" t="s">
        <v>406</v>
      </c>
      <c r="F310" s="8" t="s">
        <v>76</v>
      </c>
      <c r="G310" s="25">
        <v>46230</v>
      </c>
      <c r="H310" s="25">
        <v>46262</v>
      </c>
      <c r="I310" s="8" t="s">
        <v>3</v>
      </c>
      <c r="J310" s="8" t="s">
        <v>3</v>
      </c>
      <c r="K310" s="25"/>
      <c r="L310" s="8" t="s">
        <v>807</v>
      </c>
      <c r="M310" s="8" t="s">
        <v>808</v>
      </c>
      <c r="N310" s="10"/>
      <c r="O310" s="8" t="s">
        <v>1089</v>
      </c>
    </row>
    <row r="311" ht="32" customHeight="1" spans="1:15">
      <c r="A311" s="8">
        <v>10</v>
      </c>
      <c r="B311" s="8" t="s">
        <v>183</v>
      </c>
      <c r="C311" s="8" t="s">
        <v>184</v>
      </c>
      <c r="D311" s="8" t="s">
        <v>26</v>
      </c>
      <c r="E311" s="8" t="s">
        <v>406</v>
      </c>
      <c r="F311" s="8" t="s">
        <v>76</v>
      </c>
      <c r="G311" s="25">
        <v>46230</v>
      </c>
      <c r="H311" s="25">
        <v>46262</v>
      </c>
      <c r="I311" s="8" t="s">
        <v>3</v>
      </c>
      <c r="J311" s="8" t="s">
        <v>3</v>
      </c>
      <c r="K311" s="25"/>
      <c r="L311" s="8" t="s">
        <v>807</v>
      </c>
      <c r="M311" s="8" t="s">
        <v>808</v>
      </c>
      <c r="N311" s="10"/>
      <c r="O311" s="8" t="s">
        <v>1090</v>
      </c>
    </row>
    <row r="312" ht="32" customHeight="1" spans="1:15">
      <c r="A312" s="8">
        <v>10</v>
      </c>
      <c r="B312" s="8" t="s">
        <v>304</v>
      </c>
      <c r="C312" s="8" t="s">
        <v>307</v>
      </c>
      <c r="D312" s="8" t="s">
        <v>25</v>
      </c>
      <c r="E312" s="8" t="s">
        <v>406</v>
      </c>
      <c r="F312" s="8" t="s">
        <v>76</v>
      </c>
      <c r="G312" s="25">
        <v>46230</v>
      </c>
      <c r="H312" s="25">
        <v>46262</v>
      </c>
      <c r="I312" s="8" t="s">
        <v>3</v>
      </c>
      <c r="J312" s="8" t="s">
        <v>3</v>
      </c>
      <c r="K312" s="25">
        <v>46224</v>
      </c>
      <c r="L312" s="8" t="s">
        <v>807</v>
      </c>
      <c r="M312" s="8"/>
      <c r="N312" s="10"/>
      <c r="O312" s="8" t="s">
        <v>1091</v>
      </c>
    </row>
    <row r="313" ht="32" customHeight="1" spans="1:15">
      <c r="A313" s="8">
        <v>10</v>
      </c>
      <c r="B313" s="8" t="s">
        <v>308</v>
      </c>
      <c r="C313" s="8" t="s">
        <v>309</v>
      </c>
      <c r="D313" s="8" t="s">
        <v>25</v>
      </c>
      <c r="E313" s="8" t="s">
        <v>406</v>
      </c>
      <c r="F313" s="8" t="s">
        <v>76</v>
      </c>
      <c r="G313" s="25">
        <v>46230</v>
      </c>
      <c r="H313" s="25">
        <v>46262</v>
      </c>
      <c r="I313" s="8" t="s">
        <v>3</v>
      </c>
      <c r="J313" s="8" t="s">
        <v>3</v>
      </c>
      <c r="K313" s="25">
        <v>46224</v>
      </c>
      <c r="L313" s="8" t="s">
        <v>807</v>
      </c>
      <c r="M313" s="8"/>
      <c r="N313" s="10"/>
      <c r="O313" s="8" t="s">
        <v>1092</v>
      </c>
    </row>
    <row r="314" ht="32" customHeight="1" spans="1:15">
      <c r="A314" s="8">
        <v>10</v>
      </c>
      <c r="B314" s="8" t="s">
        <v>310</v>
      </c>
      <c r="C314" s="8" t="s">
        <v>311</v>
      </c>
      <c r="D314" s="8" t="s">
        <v>25</v>
      </c>
      <c r="E314" s="8" t="s">
        <v>406</v>
      </c>
      <c r="F314" s="8" t="s">
        <v>76</v>
      </c>
      <c r="G314" s="25">
        <v>46230</v>
      </c>
      <c r="H314" s="25">
        <v>46262</v>
      </c>
      <c r="I314" s="8" t="s">
        <v>3</v>
      </c>
      <c r="J314" s="8" t="s">
        <v>3</v>
      </c>
      <c r="K314" s="25">
        <v>46224</v>
      </c>
      <c r="L314" s="8" t="s">
        <v>807</v>
      </c>
      <c r="M314" s="8"/>
      <c r="N314" s="10"/>
      <c r="O314" s="8" t="s">
        <v>1093</v>
      </c>
    </row>
    <row r="315" ht="32" customHeight="1" spans="1:15">
      <c r="A315" s="8">
        <v>10</v>
      </c>
      <c r="B315" s="8" t="s">
        <v>312</v>
      </c>
      <c r="C315" s="8" t="s">
        <v>313</v>
      </c>
      <c r="D315" s="8" t="s">
        <v>25</v>
      </c>
      <c r="E315" s="8" t="s">
        <v>406</v>
      </c>
      <c r="F315" s="8" t="s">
        <v>76</v>
      </c>
      <c r="G315" s="25">
        <v>46230</v>
      </c>
      <c r="H315" s="25">
        <v>46262</v>
      </c>
      <c r="I315" s="8" t="s">
        <v>3</v>
      </c>
      <c r="J315" s="8" t="s">
        <v>3</v>
      </c>
      <c r="K315" s="25">
        <v>46224</v>
      </c>
      <c r="L315" s="8" t="s">
        <v>807</v>
      </c>
      <c r="M315" s="8"/>
      <c r="N315" s="10"/>
      <c r="O315" s="8" t="s">
        <v>1094</v>
      </c>
    </row>
    <row r="316" ht="32" customHeight="1" spans="1:15">
      <c r="A316" s="8">
        <v>10</v>
      </c>
      <c r="B316" s="8" t="s">
        <v>314</v>
      </c>
      <c r="C316" s="8" t="s">
        <v>316</v>
      </c>
      <c r="D316" s="8" t="s">
        <v>25</v>
      </c>
      <c r="E316" s="8" t="s">
        <v>406</v>
      </c>
      <c r="F316" s="8" t="s">
        <v>76</v>
      </c>
      <c r="G316" s="25">
        <v>46230</v>
      </c>
      <c r="H316" s="25">
        <v>46262</v>
      </c>
      <c r="I316" s="8" t="s">
        <v>3</v>
      </c>
      <c r="J316" s="8" t="s">
        <v>3</v>
      </c>
      <c r="K316" s="25"/>
      <c r="L316" s="8" t="s">
        <v>807</v>
      </c>
      <c r="M316" s="8" t="s">
        <v>808</v>
      </c>
      <c r="N316" s="10"/>
      <c r="O316" s="8" t="s">
        <v>1095</v>
      </c>
    </row>
    <row r="317" ht="32" customHeight="1" spans="1:15">
      <c r="A317" s="8">
        <v>10</v>
      </c>
      <c r="B317" s="8" t="s">
        <v>317</v>
      </c>
      <c r="C317" s="8" t="s">
        <v>318</v>
      </c>
      <c r="D317" s="8" t="s">
        <v>25</v>
      </c>
      <c r="E317" s="8" t="s">
        <v>406</v>
      </c>
      <c r="F317" s="8" t="s">
        <v>76</v>
      </c>
      <c r="G317" s="25">
        <v>46230</v>
      </c>
      <c r="H317" s="25">
        <v>46262</v>
      </c>
      <c r="I317" s="8" t="s">
        <v>3</v>
      </c>
      <c r="J317" s="8" t="s">
        <v>3</v>
      </c>
      <c r="K317" s="25"/>
      <c r="L317" s="8" t="s">
        <v>807</v>
      </c>
      <c r="M317" s="8" t="s">
        <v>808</v>
      </c>
      <c r="N317" s="10"/>
      <c r="O317" s="8" t="s">
        <v>1096</v>
      </c>
    </row>
    <row r="318" ht="32" customHeight="1" spans="1:15">
      <c r="A318" s="8">
        <v>10</v>
      </c>
      <c r="B318" s="8" t="s">
        <v>319</v>
      </c>
      <c r="C318" s="8" t="s">
        <v>320</v>
      </c>
      <c r="D318" s="8" t="s">
        <v>25</v>
      </c>
      <c r="E318" s="8" t="s">
        <v>406</v>
      </c>
      <c r="F318" s="8" t="s">
        <v>76</v>
      </c>
      <c r="G318" s="25">
        <v>46230</v>
      </c>
      <c r="H318" s="25">
        <v>46262</v>
      </c>
      <c r="I318" s="8" t="s">
        <v>3</v>
      </c>
      <c r="J318" s="8" t="s">
        <v>3</v>
      </c>
      <c r="K318" s="25"/>
      <c r="L318" s="8" t="s">
        <v>807</v>
      </c>
      <c r="M318" s="8" t="s">
        <v>808</v>
      </c>
      <c r="N318" s="10"/>
      <c r="O318" s="8" t="s">
        <v>1097</v>
      </c>
    </row>
    <row r="319" ht="32" customHeight="1" spans="1:15">
      <c r="A319" s="8">
        <v>10</v>
      </c>
      <c r="B319" s="8" t="s">
        <v>321</v>
      </c>
      <c r="C319" s="8" t="s">
        <v>322</v>
      </c>
      <c r="D319" s="8" t="s">
        <v>25</v>
      </c>
      <c r="E319" s="8" t="s">
        <v>406</v>
      </c>
      <c r="F319" s="8" t="s">
        <v>76</v>
      </c>
      <c r="G319" s="25">
        <v>46230</v>
      </c>
      <c r="H319" s="25">
        <v>46262</v>
      </c>
      <c r="I319" s="8" t="s">
        <v>3</v>
      </c>
      <c r="J319" s="8" t="s">
        <v>3</v>
      </c>
      <c r="K319" s="25"/>
      <c r="L319" s="8" t="s">
        <v>807</v>
      </c>
      <c r="M319" s="8" t="s">
        <v>808</v>
      </c>
      <c r="N319" s="10"/>
      <c r="O319" s="8" t="s">
        <v>1098</v>
      </c>
    </row>
    <row r="320" ht="32" customHeight="1" spans="1:15">
      <c r="A320" s="8">
        <v>10</v>
      </c>
      <c r="B320" s="8" t="s">
        <v>323</v>
      </c>
      <c r="C320" s="8" t="s">
        <v>324</v>
      </c>
      <c r="D320" s="8" t="s">
        <v>25</v>
      </c>
      <c r="E320" s="8" t="s">
        <v>406</v>
      </c>
      <c r="F320" s="8" t="s">
        <v>76</v>
      </c>
      <c r="G320" s="25">
        <v>46230</v>
      </c>
      <c r="H320" s="25">
        <v>46262</v>
      </c>
      <c r="I320" s="8" t="s">
        <v>3</v>
      </c>
      <c r="J320" s="8" t="s">
        <v>3</v>
      </c>
      <c r="K320" s="25"/>
      <c r="L320" s="8" t="s">
        <v>807</v>
      </c>
      <c r="M320" s="8" t="s">
        <v>808</v>
      </c>
      <c r="N320" s="10"/>
      <c r="O320" s="8" t="s">
        <v>1099</v>
      </c>
    </row>
    <row r="321" ht="32" customHeight="1" spans="1:15">
      <c r="A321" s="8">
        <v>10</v>
      </c>
      <c r="B321" s="8" t="s">
        <v>325</v>
      </c>
      <c r="C321" s="8" t="s">
        <v>326</v>
      </c>
      <c r="D321" s="8" t="s">
        <v>25</v>
      </c>
      <c r="E321" s="8" t="s">
        <v>406</v>
      </c>
      <c r="F321" s="8" t="s">
        <v>76</v>
      </c>
      <c r="G321" s="25">
        <v>46230</v>
      </c>
      <c r="H321" s="25">
        <v>46262</v>
      </c>
      <c r="I321" s="8" t="s">
        <v>3</v>
      </c>
      <c r="J321" s="8" t="s">
        <v>3</v>
      </c>
      <c r="K321" s="25"/>
      <c r="L321" s="8" t="s">
        <v>807</v>
      </c>
      <c r="M321" s="8" t="s">
        <v>808</v>
      </c>
      <c r="N321" s="10"/>
      <c r="O321" s="8" t="s">
        <v>1100</v>
      </c>
    </row>
    <row r="322" ht="32" customHeight="1" spans="1:15">
      <c r="A322" s="8">
        <v>10</v>
      </c>
      <c r="B322" s="8" t="s">
        <v>327</v>
      </c>
      <c r="C322" s="8" t="s">
        <v>328</v>
      </c>
      <c r="D322" s="8" t="s">
        <v>26</v>
      </c>
      <c r="E322" s="8" t="s">
        <v>406</v>
      </c>
      <c r="F322" s="8" t="s">
        <v>76</v>
      </c>
      <c r="G322" s="25">
        <v>46230</v>
      </c>
      <c r="H322" s="25">
        <v>46262</v>
      </c>
      <c r="I322" s="8" t="s">
        <v>3</v>
      </c>
      <c r="J322" s="8" t="s">
        <v>3</v>
      </c>
      <c r="K322" s="25"/>
      <c r="L322" s="8" t="s">
        <v>807</v>
      </c>
      <c r="M322" s="8" t="s">
        <v>808</v>
      </c>
      <c r="N322" s="10"/>
      <c r="O322" s="8" t="s">
        <v>1101</v>
      </c>
    </row>
    <row r="323" ht="32" customHeight="1" spans="1:15">
      <c r="A323" s="8">
        <v>10</v>
      </c>
      <c r="B323" s="8" t="s">
        <v>341</v>
      </c>
      <c r="C323" s="8" t="s">
        <v>343</v>
      </c>
      <c r="D323" s="8" t="s">
        <v>25</v>
      </c>
      <c r="E323" s="8" t="s">
        <v>406</v>
      </c>
      <c r="F323" s="8" t="s">
        <v>76</v>
      </c>
      <c r="G323" s="25">
        <v>46230</v>
      </c>
      <c r="H323" s="25">
        <v>46262</v>
      </c>
      <c r="I323" s="8" t="s">
        <v>3</v>
      </c>
      <c r="J323" s="8" t="s">
        <v>3</v>
      </c>
      <c r="K323" s="25"/>
      <c r="L323" s="8" t="s">
        <v>807</v>
      </c>
      <c r="M323" s="8" t="s">
        <v>808</v>
      </c>
      <c r="N323" s="10"/>
      <c r="O323" s="8" t="s">
        <v>1102</v>
      </c>
    </row>
    <row r="324" ht="32" customHeight="1" spans="1:15">
      <c r="A324" s="8">
        <v>10</v>
      </c>
      <c r="B324" s="8" t="s">
        <v>344</v>
      </c>
      <c r="C324" s="8" t="s">
        <v>345</v>
      </c>
      <c r="D324" s="8" t="s">
        <v>25</v>
      </c>
      <c r="E324" s="8" t="s">
        <v>406</v>
      </c>
      <c r="F324" s="8" t="s">
        <v>76</v>
      </c>
      <c r="G324" s="25">
        <v>46230</v>
      </c>
      <c r="H324" s="25">
        <v>46262</v>
      </c>
      <c r="I324" s="8" t="s">
        <v>3</v>
      </c>
      <c r="J324" s="8" t="s">
        <v>3</v>
      </c>
      <c r="K324" s="25"/>
      <c r="L324" s="8" t="s">
        <v>807</v>
      </c>
      <c r="M324" s="8" t="s">
        <v>808</v>
      </c>
      <c r="N324" s="10"/>
      <c r="O324" s="8" t="s">
        <v>1103</v>
      </c>
    </row>
    <row r="325" ht="32" customHeight="1" spans="1:15">
      <c r="A325" s="8">
        <v>10</v>
      </c>
      <c r="B325" s="8" t="s">
        <v>346</v>
      </c>
      <c r="C325" s="8" t="s">
        <v>347</v>
      </c>
      <c r="D325" s="8" t="s">
        <v>25</v>
      </c>
      <c r="E325" s="8" t="s">
        <v>406</v>
      </c>
      <c r="F325" s="8" t="s">
        <v>76</v>
      </c>
      <c r="G325" s="25">
        <v>46230</v>
      </c>
      <c r="H325" s="25">
        <v>46262</v>
      </c>
      <c r="I325" s="8" t="s">
        <v>3</v>
      </c>
      <c r="J325" s="8" t="s">
        <v>3</v>
      </c>
      <c r="K325" s="25"/>
      <c r="L325" s="8" t="s">
        <v>807</v>
      </c>
      <c r="M325" s="8" t="s">
        <v>808</v>
      </c>
      <c r="N325" s="10"/>
      <c r="O325" s="8" t="s">
        <v>1104</v>
      </c>
    </row>
    <row r="326" ht="32" customHeight="1" spans="1:15">
      <c r="A326" s="8">
        <v>10</v>
      </c>
      <c r="B326" s="8" t="s">
        <v>348</v>
      </c>
      <c r="C326" s="8" t="s">
        <v>349</v>
      </c>
      <c r="D326" s="8" t="s">
        <v>25</v>
      </c>
      <c r="E326" s="8" t="s">
        <v>406</v>
      </c>
      <c r="F326" s="8" t="s">
        <v>76</v>
      </c>
      <c r="G326" s="25">
        <v>46230</v>
      </c>
      <c r="H326" s="25">
        <v>46262</v>
      </c>
      <c r="I326" s="8" t="s">
        <v>3</v>
      </c>
      <c r="J326" s="8" t="s">
        <v>3</v>
      </c>
      <c r="K326" s="25"/>
      <c r="L326" s="8" t="s">
        <v>807</v>
      </c>
      <c r="M326" s="8" t="s">
        <v>808</v>
      </c>
      <c r="N326" s="10"/>
      <c r="O326" s="8" t="s">
        <v>1105</v>
      </c>
    </row>
    <row r="327" ht="32" customHeight="1" spans="1:15">
      <c r="A327" s="8">
        <v>10</v>
      </c>
      <c r="B327" s="8" t="s">
        <v>382</v>
      </c>
      <c r="C327" s="8" t="s">
        <v>168</v>
      </c>
      <c r="D327" s="8" t="s">
        <v>26</v>
      </c>
      <c r="E327" s="8" t="s">
        <v>406</v>
      </c>
      <c r="F327" s="8" t="s">
        <v>76</v>
      </c>
      <c r="G327" s="25">
        <v>46230</v>
      </c>
      <c r="H327" s="25">
        <v>46262</v>
      </c>
      <c r="I327" s="8" t="s">
        <v>3</v>
      </c>
      <c r="J327" s="8" t="s">
        <v>3</v>
      </c>
      <c r="K327" s="25">
        <v>46261</v>
      </c>
      <c r="L327" s="8" t="s">
        <v>807</v>
      </c>
      <c r="M327" s="8"/>
      <c r="N327" s="10"/>
      <c r="O327" s="8" t="s">
        <v>1106</v>
      </c>
    </row>
    <row r="328" ht="32" customHeight="1" spans="1:15">
      <c r="A328" s="8">
        <v>10</v>
      </c>
      <c r="B328" s="8" t="s">
        <v>383</v>
      </c>
      <c r="C328" s="8" t="s">
        <v>175</v>
      </c>
      <c r="D328" s="8" t="s">
        <v>26</v>
      </c>
      <c r="E328" s="8" t="s">
        <v>406</v>
      </c>
      <c r="F328" s="8" t="s">
        <v>76</v>
      </c>
      <c r="G328" s="25">
        <v>46230</v>
      </c>
      <c r="H328" s="25">
        <v>46262</v>
      </c>
      <c r="I328" s="8" t="s">
        <v>3</v>
      </c>
      <c r="J328" s="8" t="s">
        <v>3</v>
      </c>
      <c r="K328" s="25">
        <v>46261</v>
      </c>
      <c r="L328" s="8" t="s">
        <v>807</v>
      </c>
      <c r="M328" s="8"/>
      <c r="N328" s="10"/>
      <c r="O328" s="8" t="s">
        <v>1107</v>
      </c>
    </row>
    <row r="329" ht="32" customHeight="1" spans="1:15">
      <c r="A329" s="8">
        <v>10</v>
      </c>
      <c r="B329" s="8" t="s">
        <v>384</v>
      </c>
      <c r="C329" s="8" t="s">
        <v>182</v>
      </c>
      <c r="D329" s="8" t="s">
        <v>26</v>
      </c>
      <c r="E329" s="8" t="s">
        <v>406</v>
      </c>
      <c r="F329" s="8" t="s">
        <v>76</v>
      </c>
      <c r="G329" s="25">
        <v>46230</v>
      </c>
      <c r="H329" s="25">
        <v>46262</v>
      </c>
      <c r="I329" s="8" t="s">
        <v>3</v>
      </c>
      <c r="J329" s="8" t="s">
        <v>3</v>
      </c>
      <c r="K329" s="25"/>
      <c r="L329" s="8" t="s">
        <v>807</v>
      </c>
      <c r="M329" s="8" t="s">
        <v>808</v>
      </c>
      <c r="N329" s="10"/>
      <c r="O329" s="8" t="s">
        <v>1108</v>
      </c>
    </row>
    <row r="330" ht="32" customHeight="1" spans="1:15">
      <c r="A330" s="8">
        <v>11</v>
      </c>
      <c r="B330" s="8" t="s">
        <v>195</v>
      </c>
      <c r="C330" s="8" t="s">
        <v>197</v>
      </c>
      <c r="D330" s="8" t="s">
        <v>25</v>
      </c>
      <c r="E330" s="8" t="s">
        <v>414</v>
      </c>
      <c r="F330" s="8" t="s">
        <v>77</v>
      </c>
      <c r="G330" s="25">
        <v>46212</v>
      </c>
      <c r="H330" s="25">
        <v>46265</v>
      </c>
      <c r="I330" s="8" t="s">
        <v>3</v>
      </c>
      <c r="J330" s="8" t="s">
        <v>4</v>
      </c>
      <c r="K330" s="25"/>
      <c r="L330" s="8" t="s">
        <v>807</v>
      </c>
      <c r="M330" s="8" t="s">
        <v>808</v>
      </c>
      <c r="N330" s="10"/>
      <c r="O330" s="8" t="s">
        <v>1109</v>
      </c>
    </row>
    <row r="331" ht="32" customHeight="1" spans="1:15">
      <c r="A331" s="8">
        <v>11</v>
      </c>
      <c r="B331" s="8" t="s">
        <v>198</v>
      </c>
      <c r="C331" s="8" t="s">
        <v>199</v>
      </c>
      <c r="D331" s="8" t="s">
        <v>25</v>
      </c>
      <c r="E331" s="8" t="s">
        <v>414</v>
      </c>
      <c r="F331" s="8" t="s">
        <v>77</v>
      </c>
      <c r="G331" s="25">
        <v>46212</v>
      </c>
      <c r="H331" s="25">
        <v>46265</v>
      </c>
      <c r="I331" s="8" t="s">
        <v>3</v>
      </c>
      <c r="J331" s="8" t="s">
        <v>4</v>
      </c>
      <c r="K331" s="25">
        <v>46261</v>
      </c>
      <c r="L331" s="8" t="s">
        <v>807</v>
      </c>
      <c r="M331" s="8"/>
      <c r="N331" s="10"/>
      <c r="O331" s="8" t="s">
        <v>1110</v>
      </c>
    </row>
    <row r="332" ht="32" customHeight="1" spans="1:15">
      <c r="A332" s="8">
        <v>11</v>
      </c>
      <c r="B332" s="8" t="s">
        <v>200</v>
      </c>
      <c r="C332" s="8" t="s">
        <v>196</v>
      </c>
      <c r="D332" s="8" t="s">
        <v>25</v>
      </c>
      <c r="E332" s="8" t="s">
        <v>414</v>
      </c>
      <c r="F332" s="8" t="s">
        <v>77</v>
      </c>
      <c r="G332" s="25">
        <v>46212</v>
      </c>
      <c r="H332" s="25">
        <v>46265</v>
      </c>
      <c r="I332" s="8" t="s">
        <v>3</v>
      </c>
      <c r="J332" s="8" t="s">
        <v>4</v>
      </c>
      <c r="K332" s="25">
        <v>46261</v>
      </c>
      <c r="L332" s="8" t="s">
        <v>807</v>
      </c>
      <c r="M332" s="8"/>
      <c r="N332" s="10"/>
      <c r="O332" s="8" t="s">
        <v>1111</v>
      </c>
    </row>
    <row r="333" ht="32" customHeight="1" spans="1:15">
      <c r="A333" s="8">
        <v>11</v>
      </c>
      <c r="B333" s="8" t="s">
        <v>350</v>
      </c>
      <c r="C333" s="8" t="s">
        <v>353</v>
      </c>
      <c r="D333" s="8" t="s">
        <v>26</v>
      </c>
      <c r="E333" s="8" t="s">
        <v>414</v>
      </c>
      <c r="F333" s="8" t="s">
        <v>77</v>
      </c>
      <c r="G333" s="25">
        <v>46265</v>
      </c>
      <c r="H333" s="25">
        <v>46269</v>
      </c>
      <c r="I333" s="8" t="s">
        <v>3</v>
      </c>
      <c r="J333" s="8" t="s">
        <v>3</v>
      </c>
      <c r="K333" s="25">
        <v>46261</v>
      </c>
      <c r="L333" s="8" t="s">
        <v>807</v>
      </c>
      <c r="M333" s="8"/>
      <c r="N333" s="10"/>
      <c r="O333" s="8" t="s">
        <v>1112</v>
      </c>
    </row>
    <row r="334" ht="32" customHeight="1" spans="1:15">
      <c r="A334" s="8">
        <v>11</v>
      </c>
      <c r="B334" s="8" t="s">
        <v>354</v>
      </c>
      <c r="C334" s="8" t="s">
        <v>355</v>
      </c>
      <c r="D334" s="8" t="s">
        <v>26</v>
      </c>
      <c r="E334" s="8" t="s">
        <v>414</v>
      </c>
      <c r="F334" s="8" t="s">
        <v>77</v>
      </c>
      <c r="G334" s="25">
        <v>46265</v>
      </c>
      <c r="H334" s="25">
        <v>46269</v>
      </c>
      <c r="I334" s="8" t="s">
        <v>3</v>
      </c>
      <c r="J334" s="8" t="s">
        <v>3</v>
      </c>
      <c r="K334" s="25">
        <v>46261</v>
      </c>
      <c r="L334" s="8" t="s">
        <v>807</v>
      </c>
      <c r="M334" s="8"/>
      <c r="N334" s="10"/>
      <c r="O334" s="8" t="s">
        <v>1113</v>
      </c>
    </row>
    <row r="335" ht="32" customHeight="1" spans="1:15">
      <c r="A335" s="8">
        <v>11</v>
      </c>
      <c r="B335" s="8" t="s">
        <v>356</v>
      </c>
      <c r="C335" s="8" t="s">
        <v>357</v>
      </c>
      <c r="D335" s="8" t="s">
        <v>26</v>
      </c>
      <c r="E335" s="8" t="s">
        <v>414</v>
      </c>
      <c r="F335" s="8" t="s">
        <v>77</v>
      </c>
      <c r="G335" s="25">
        <v>46265</v>
      </c>
      <c r="H335" s="25">
        <v>46269</v>
      </c>
      <c r="I335" s="8" t="s">
        <v>3</v>
      </c>
      <c r="J335" s="8" t="s">
        <v>3</v>
      </c>
      <c r="K335" s="25">
        <v>46261</v>
      </c>
      <c r="L335" s="8" t="s">
        <v>807</v>
      </c>
      <c r="M335" s="8"/>
      <c r="N335" s="10"/>
      <c r="O335" s="8" t="s">
        <v>1114</v>
      </c>
    </row>
    <row r="336" ht="32" customHeight="1" spans="1:15">
      <c r="A336" s="8">
        <v>11</v>
      </c>
      <c r="B336" s="8" t="s">
        <v>358</v>
      </c>
      <c r="C336" s="8" t="s">
        <v>359</v>
      </c>
      <c r="D336" s="8" t="s">
        <v>26</v>
      </c>
      <c r="E336" s="8" t="s">
        <v>414</v>
      </c>
      <c r="F336" s="8" t="s">
        <v>77</v>
      </c>
      <c r="G336" s="25">
        <v>46265</v>
      </c>
      <c r="H336" s="25">
        <v>46269</v>
      </c>
      <c r="I336" s="8" t="s">
        <v>3</v>
      </c>
      <c r="J336" s="8" t="s">
        <v>3</v>
      </c>
      <c r="K336" s="25">
        <v>46261</v>
      </c>
      <c r="L336" s="8" t="s">
        <v>807</v>
      </c>
      <c r="M336" s="8"/>
      <c r="N336" s="10"/>
      <c r="O336" s="8" t="s">
        <v>1115</v>
      </c>
    </row>
    <row r="337" ht="32" customHeight="1" spans="1:15">
      <c r="A337" s="8">
        <v>11</v>
      </c>
      <c r="B337" s="8" t="s">
        <v>360</v>
      </c>
      <c r="C337" s="8" t="s">
        <v>361</v>
      </c>
      <c r="D337" s="8" t="s">
        <v>26</v>
      </c>
      <c r="E337" s="8" t="s">
        <v>414</v>
      </c>
      <c r="F337" s="8" t="s">
        <v>77</v>
      </c>
      <c r="G337" s="25">
        <v>46265</v>
      </c>
      <c r="H337" s="25">
        <v>46269</v>
      </c>
      <c r="I337" s="8" t="s">
        <v>3</v>
      </c>
      <c r="J337" s="8" t="s">
        <v>3</v>
      </c>
      <c r="K337" s="25">
        <v>46261</v>
      </c>
      <c r="L337" s="8" t="s">
        <v>807</v>
      </c>
      <c r="M337" s="8"/>
      <c r="N337" s="10"/>
      <c r="O337" s="8" t="s">
        <v>1116</v>
      </c>
    </row>
    <row r="338" ht="32" customHeight="1" spans="1:15">
      <c r="A338" s="8">
        <v>11</v>
      </c>
      <c r="B338" s="8" t="s">
        <v>195</v>
      </c>
      <c r="C338" s="8" t="s">
        <v>197</v>
      </c>
      <c r="D338" s="8" t="s">
        <v>25</v>
      </c>
      <c r="E338" s="8" t="s">
        <v>406</v>
      </c>
      <c r="F338" s="8" t="s">
        <v>152</v>
      </c>
      <c r="G338" s="25">
        <v>46212</v>
      </c>
      <c r="H338" s="25">
        <v>46265</v>
      </c>
      <c r="I338" s="8" t="s">
        <v>3</v>
      </c>
      <c r="J338" s="8" t="s">
        <v>4</v>
      </c>
      <c r="K338" s="25"/>
      <c r="L338" s="8" t="s">
        <v>807</v>
      </c>
      <c r="M338" s="8" t="s">
        <v>808</v>
      </c>
      <c r="N338" s="10"/>
      <c r="O338" s="8" t="s">
        <v>1117</v>
      </c>
    </row>
    <row r="339" ht="32" customHeight="1" spans="1:15">
      <c r="A339" s="8">
        <v>11</v>
      </c>
      <c r="B339" s="8" t="s">
        <v>198</v>
      </c>
      <c r="C339" s="8" t="s">
        <v>199</v>
      </c>
      <c r="D339" s="8" t="s">
        <v>25</v>
      </c>
      <c r="E339" s="8" t="s">
        <v>406</v>
      </c>
      <c r="F339" s="8" t="s">
        <v>152</v>
      </c>
      <c r="G339" s="25">
        <v>46212</v>
      </c>
      <c r="H339" s="25">
        <v>46265</v>
      </c>
      <c r="I339" s="8" t="s">
        <v>3</v>
      </c>
      <c r="J339" s="8" t="s">
        <v>4</v>
      </c>
      <c r="K339" s="25">
        <v>46261</v>
      </c>
      <c r="L339" s="8" t="s">
        <v>807</v>
      </c>
      <c r="M339" s="8"/>
      <c r="N339" s="10"/>
      <c r="O339" s="8" t="s">
        <v>1118</v>
      </c>
    </row>
    <row r="340" ht="32" customHeight="1" spans="1:15">
      <c r="A340" s="8">
        <v>11</v>
      </c>
      <c r="B340" s="8" t="s">
        <v>200</v>
      </c>
      <c r="C340" s="8" t="s">
        <v>196</v>
      </c>
      <c r="D340" s="8" t="s">
        <v>25</v>
      </c>
      <c r="E340" s="8" t="s">
        <v>406</v>
      </c>
      <c r="F340" s="8" t="s">
        <v>152</v>
      </c>
      <c r="G340" s="25">
        <v>46212</v>
      </c>
      <c r="H340" s="25">
        <v>46265</v>
      </c>
      <c r="I340" s="8" t="s">
        <v>3</v>
      </c>
      <c r="J340" s="8" t="s">
        <v>4</v>
      </c>
      <c r="K340" s="25">
        <v>46261</v>
      </c>
      <c r="L340" s="8" t="s">
        <v>807</v>
      </c>
      <c r="M340" s="8"/>
      <c r="N340" s="10"/>
      <c r="O340" s="8" t="s">
        <v>1119</v>
      </c>
    </row>
    <row r="341" ht="32" customHeight="1" spans="1:15">
      <c r="A341" s="8">
        <v>11</v>
      </c>
      <c r="B341" s="8" t="s">
        <v>350</v>
      </c>
      <c r="C341" s="8" t="s">
        <v>353</v>
      </c>
      <c r="D341" s="8" t="s">
        <v>26</v>
      </c>
      <c r="E341" s="8" t="s">
        <v>406</v>
      </c>
      <c r="F341" s="8" t="s">
        <v>76</v>
      </c>
      <c r="G341" s="25">
        <v>46265</v>
      </c>
      <c r="H341" s="25">
        <v>46269</v>
      </c>
      <c r="I341" s="8" t="s">
        <v>3</v>
      </c>
      <c r="J341" s="8" t="s">
        <v>3</v>
      </c>
      <c r="K341" s="25">
        <v>46261</v>
      </c>
      <c r="L341" s="8" t="s">
        <v>807</v>
      </c>
      <c r="M341" s="8"/>
      <c r="N341" s="10"/>
      <c r="O341" s="8" t="s">
        <v>1120</v>
      </c>
    </row>
    <row r="342" ht="32" customHeight="1" spans="1:15">
      <c r="A342" s="8">
        <v>11</v>
      </c>
      <c r="B342" s="8" t="s">
        <v>354</v>
      </c>
      <c r="C342" s="8" t="s">
        <v>355</v>
      </c>
      <c r="D342" s="8" t="s">
        <v>26</v>
      </c>
      <c r="E342" s="8" t="s">
        <v>406</v>
      </c>
      <c r="F342" s="8" t="s">
        <v>76</v>
      </c>
      <c r="G342" s="25">
        <v>46265</v>
      </c>
      <c r="H342" s="25">
        <v>46269</v>
      </c>
      <c r="I342" s="8" t="s">
        <v>3</v>
      </c>
      <c r="J342" s="8" t="s">
        <v>3</v>
      </c>
      <c r="K342" s="25">
        <v>46261</v>
      </c>
      <c r="L342" s="8" t="s">
        <v>807</v>
      </c>
      <c r="M342" s="8"/>
      <c r="N342" s="10"/>
      <c r="O342" s="8" t="s">
        <v>1121</v>
      </c>
    </row>
    <row r="343" ht="32" customHeight="1" spans="1:15">
      <c r="A343" s="8">
        <v>11</v>
      </c>
      <c r="B343" s="8" t="s">
        <v>356</v>
      </c>
      <c r="C343" s="8" t="s">
        <v>357</v>
      </c>
      <c r="D343" s="8" t="s">
        <v>26</v>
      </c>
      <c r="E343" s="8" t="s">
        <v>406</v>
      </c>
      <c r="F343" s="8" t="s">
        <v>76</v>
      </c>
      <c r="G343" s="25">
        <v>46265</v>
      </c>
      <c r="H343" s="25">
        <v>46269</v>
      </c>
      <c r="I343" s="8" t="s">
        <v>3</v>
      </c>
      <c r="J343" s="8" t="s">
        <v>3</v>
      </c>
      <c r="K343" s="25">
        <v>46261</v>
      </c>
      <c r="L343" s="8" t="s">
        <v>807</v>
      </c>
      <c r="M343" s="8"/>
      <c r="N343" s="10"/>
      <c r="O343" s="8" t="s">
        <v>1122</v>
      </c>
    </row>
    <row r="344" ht="32" customHeight="1" spans="1:15">
      <c r="A344" s="8">
        <v>11</v>
      </c>
      <c r="B344" s="8" t="s">
        <v>358</v>
      </c>
      <c r="C344" s="8" t="s">
        <v>359</v>
      </c>
      <c r="D344" s="8" t="s">
        <v>26</v>
      </c>
      <c r="E344" s="8" t="s">
        <v>406</v>
      </c>
      <c r="F344" s="8" t="s">
        <v>76</v>
      </c>
      <c r="G344" s="25">
        <v>46265</v>
      </c>
      <c r="H344" s="25">
        <v>46269</v>
      </c>
      <c r="I344" s="8" t="s">
        <v>3</v>
      </c>
      <c r="J344" s="8" t="s">
        <v>3</v>
      </c>
      <c r="K344" s="25">
        <v>46261</v>
      </c>
      <c r="L344" s="8" t="s">
        <v>807</v>
      </c>
      <c r="M344" s="8"/>
      <c r="N344" s="10"/>
      <c r="O344" s="8" t="s">
        <v>1123</v>
      </c>
    </row>
    <row r="345" ht="32" customHeight="1" spans="1:15">
      <c r="A345" s="8">
        <v>11</v>
      </c>
      <c r="B345" s="8" t="s">
        <v>360</v>
      </c>
      <c r="C345" s="8" t="s">
        <v>361</v>
      </c>
      <c r="D345" s="8" t="s">
        <v>26</v>
      </c>
      <c r="E345" s="8" t="s">
        <v>406</v>
      </c>
      <c r="F345" s="8" t="s">
        <v>76</v>
      </c>
      <c r="G345" s="25">
        <v>46265</v>
      </c>
      <c r="H345" s="25">
        <v>46269</v>
      </c>
      <c r="I345" s="8" t="s">
        <v>3</v>
      </c>
      <c r="J345" s="8" t="s">
        <v>3</v>
      </c>
      <c r="K345" s="25">
        <v>46261</v>
      </c>
      <c r="L345" s="8" t="s">
        <v>807</v>
      </c>
      <c r="M345" s="8"/>
      <c r="N345" s="10"/>
      <c r="O345" s="8" t="s">
        <v>1124</v>
      </c>
    </row>
    <row r="346" ht="32" customHeight="1" spans="1:15">
      <c r="A346" s="8">
        <v>11</v>
      </c>
      <c r="B346" s="8" t="s">
        <v>164</v>
      </c>
      <c r="C346" s="8" t="s">
        <v>166</v>
      </c>
      <c r="D346" s="8" t="s">
        <v>25</v>
      </c>
      <c r="E346" s="8" t="s">
        <v>411</v>
      </c>
      <c r="F346" s="8" t="s">
        <v>78</v>
      </c>
      <c r="G346" s="25">
        <v>46253</v>
      </c>
      <c r="H346" s="25">
        <v>46269</v>
      </c>
      <c r="I346" s="8" t="s">
        <v>3</v>
      </c>
      <c r="J346" s="8" t="s">
        <v>3</v>
      </c>
      <c r="K346" s="25">
        <v>46261</v>
      </c>
      <c r="L346" s="8" t="s">
        <v>807</v>
      </c>
      <c r="M346" s="8"/>
      <c r="N346" s="10"/>
      <c r="O346" s="8" t="s">
        <v>1125</v>
      </c>
    </row>
    <row r="347" ht="32" customHeight="1" spans="1:15">
      <c r="A347" s="8">
        <v>11</v>
      </c>
      <c r="B347" s="8" t="s">
        <v>167</v>
      </c>
      <c r="C347" s="8" t="s">
        <v>168</v>
      </c>
      <c r="D347" s="8" t="s">
        <v>25</v>
      </c>
      <c r="E347" s="8" t="s">
        <v>411</v>
      </c>
      <c r="F347" s="8" t="s">
        <v>78</v>
      </c>
      <c r="G347" s="25">
        <v>46253</v>
      </c>
      <c r="H347" s="25">
        <v>46269</v>
      </c>
      <c r="I347" s="8" t="s">
        <v>3</v>
      </c>
      <c r="J347" s="8" t="s">
        <v>3</v>
      </c>
      <c r="K347" s="25">
        <v>46261</v>
      </c>
      <c r="L347" s="8" t="s">
        <v>807</v>
      </c>
      <c r="M347" s="8"/>
      <c r="N347" s="10"/>
      <c r="O347" s="8" t="s">
        <v>1126</v>
      </c>
    </row>
    <row r="348" ht="32" customHeight="1" spans="1:15">
      <c r="A348" s="8">
        <v>11</v>
      </c>
      <c r="B348" s="8" t="s">
        <v>169</v>
      </c>
      <c r="C348" s="8" t="s">
        <v>170</v>
      </c>
      <c r="D348" s="8" t="s">
        <v>25</v>
      </c>
      <c r="E348" s="8" t="s">
        <v>411</v>
      </c>
      <c r="F348" s="8" t="s">
        <v>78</v>
      </c>
      <c r="G348" s="25">
        <v>46253</v>
      </c>
      <c r="H348" s="25">
        <v>46269</v>
      </c>
      <c r="I348" s="8" t="s">
        <v>3</v>
      </c>
      <c r="J348" s="8" t="s">
        <v>3</v>
      </c>
      <c r="K348" s="25">
        <v>46261</v>
      </c>
      <c r="L348" s="8" t="s">
        <v>807</v>
      </c>
      <c r="M348" s="8"/>
      <c r="N348" s="10"/>
      <c r="O348" s="8" t="s">
        <v>1127</v>
      </c>
    </row>
    <row r="349" ht="32" customHeight="1" spans="1:15">
      <c r="A349" s="8">
        <v>11</v>
      </c>
      <c r="B349" s="8" t="s">
        <v>171</v>
      </c>
      <c r="C349" s="8" t="s">
        <v>173</v>
      </c>
      <c r="D349" s="8" t="s">
        <v>25</v>
      </c>
      <c r="E349" s="8" t="s">
        <v>411</v>
      </c>
      <c r="F349" s="8" t="s">
        <v>78</v>
      </c>
      <c r="G349" s="25">
        <v>46253</v>
      </c>
      <c r="H349" s="25">
        <v>46269</v>
      </c>
      <c r="I349" s="8" t="s">
        <v>3</v>
      </c>
      <c r="J349" s="8" t="s">
        <v>3</v>
      </c>
      <c r="K349" s="25">
        <v>46261</v>
      </c>
      <c r="L349" s="8" t="s">
        <v>807</v>
      </c>
      <c r="M349" s="8"/>
      <c r="N349" s="10"/>
      <c r="O349" s="8" t="s">
        <v>1128</v>
      </c>
    </row>
    <row r="350" ht="32" customHeight="1" spans="1:15">
      <c r="A350" s="8">
        <v>11</v>
      </c>
      <c r="B350" s="8" t="s">
        <v>174</v>
      </c>
      <c r="C350" s="8" t="s">
        <v>175</v>
      </c>
      <c r="D350" s="8" t="s">
        <v>25</v>
      </c>
      <c r="E350" s="8" t="s">
        <v>411</v>
      </c>
      <c r="F350" s="8" t="s">
        <v>78</v>
      </c>
      <c r="G350" s="25">
        <v>46253</v>
      </c>
      <c r="H350" s="25">
        <v>46269</v>
      </c>
      <c r="I350" s="8" t="s">
        <v>3</v>
      </c>
      <c r="J350" s="8" t="s">
        <v>3</v>
      </c>
      <c r="K350" s="25">
        <v>46261</v>
      </c>
      <c r="L350" s="8" t="s">
        <v>807</v>
      </c>
      <c r="M350" s="8"/>
      <c r="N350" s="10"/>
      <c r="O350" s="8" t="s">
        <v>1129</v>
      </c>
    </row>
    <row r="351" ht="32" customHeight="1" spans="1:15">
      <c r="A351" s="8">
        <v>11</v>
      </c>
      <c r="B351" s="8" t="s">
        <v>176</v>
      </c>
      <c r="C351" s="8" t="s">
        <v>177</v>
      </c>
      <c r="D351" s="8" t="s">
        <v>25</v>
      </c>
      <c r="E351" s="8" t="s">
        <v>411</v>
      </c>
      <c r="F351" s="8" t="s">
        <v>78</v>
      </c>
      <c r="G351" s="25">
        <v>46253</v>
      </c>
      <c r="H351" s="25">
        <v>46269</v>
      </c>
      <c r="I351" s="8" t="s">
        <v>3</v>
      </c>
      <c r="J351" s="8" t="s">
        <v>3</v>
      </c>
      <c r="K351" s="25">
        <v>46261</v>
      </c>
      <c r="L351" s="8" t="s">
        <v>807</v>
      </c>
      <c r="M351" s="8"/>
      <c r="N351" s="10"/>
      <c r="O351" s="8" t="s">
        <v>1130</v>
      </c>
    </row>
    <row r="352" ht="32" customHeight="1" spans="1:15">
      <c r="A352" s="8">
        <v>11</v>
      </c>
      <c r="B352" s="8" t="s">
        <v>178</v>
      </c>
      <c r="C352" s="8" t="s">
        <v>180</v>
      </c>
      <c r="D352" s="8" t="s">
        <v>26</v>
      </c>
      <c r="E352" s="8" t="s">
        <v>411</v>
      </c>
      <c r="F352" s="8" t="s">
        <v>78</v>
      </c>
      <c r="G352" s="25">
        <v>46253</v>
      </c>
      <c r="H352" s="25">
        <v>46269</v>
      </c>
      <c r="I352" s="8" t="s">
        <v>3</v>
      </c>
      <c r="J352" s="8" t="s">
        <v>3</v>
      </c>
      <c r="K352" s="25"/>
      <c r="L352" s="8" t="s">
        <v>807</v>
      </c>
      <c r="M352" s="8" t="s">
        <v>808</v>
      </c>
      <c r="N352" s="10"/>
      <c r="O352" s="8" t="s">
        <v>1131</v>
      </c>
    </row>
    <row r="353" ht="32" customHeight="1" spans="1:15">
      <c r="A353" s="8">
        <v>11</v>
      </c>
      <c r="B353" s="8" t="s">
        <v>181</v>
      </c>
      <c r="C353" s="8" t="s">
        <v>182</v>
      </c>
      <c r="D353" s="8" t="s">
        <v>26</v>
      </c>
      <c r="E353" s="8" t="s">
        <v>411</v>
      </c>
      <c r="F353" s="8" t="s">
        <v>78</v>
      </c>
      <c r="G353" s="25">
        <v>46253</v>
      </c>
      <c r="H353" s="25">
        <v>46269</v>
      </c>
      <c r="I353" s="8" t="s">
        <v>3</v>
      </c>
      <c r="J353" s="8" t="s">
        <v>3</v>
      </c>
      <c r="K353" s="25"/>
      <c r="L353" s="8" t="s">
        <v>807</v>
      </c>
      <c r="M353" s="8" t="s">
        <v>808</v>
      </c>
      <c r="N353" s="10"/>
      <c r="O353" s="8" t="s">
        <v>1132</v>
      </c>
    </row>
    <row r="354" ht="32" customHeight="1" spans="1:15">
      <c r="A354" s="8">
        <v>11</v>
      </c>
      <c r="B354" s="8" t="s">
        <v>183</v>
      </c>
      <c r="C354" s="8" t="s">
        <v>184</v>
      </c>
      <c r="D354" s="8" t="s">
        <v>26</v>
      </c>
      <c r="E354" s="8" t="s">
        <v>411</v>
      </c>
      <c r="F354" s="8" t="s">
        <v>78</v>
      </c>
      <c r="G354" s="25">
        <v>46253</v>
      </c>
      <c r="H354" s="25">
        <v>46269</v>
      </c>
      <c r="I354" s="8" t="s">
        <v>3</v>
      </c>
      <c r="J354" s="8" t="s">
        <v>3</v>
      </c>
      <c r="K354" s="25"/>
      <c r="L354" s="8" t="s">
        <v>807</v>
      </c>
      <c r="M354" s="8" t="s">
        <v>808</v>
      </c>
      <c r="N354" s="10"/>
      <c r="O354" s="8" t="s">
        <v>1133</v>
      </c>
    </row>
    <row r="355" ht="32" customHeight="1" spans="1:15">
      <c r="A355" s="8">
        <v>11</v>
      </c>
      <c r="B355" s="8" t="s">
        <v>304</v>
      </c>
      <c r="C355" s="8" t="s">
        <v>307</v>
      </c>
      <c r="D355" s="8" t="s">
        <v>25</v>
      </c>
      <c r="E355" s="8" t="s">
        <v>411</v>
      </c>
      <c r="F355" s="8" t="s">
        <v>78</v>
      </c>
      <c r="G355" s="25">
        <v>46253</v>
      </c>
      <c r="H355" s="25">
        <v>46269</v>
      </c>
      <c r="I355" s="8" t="s">
        <v>3</v>
      </c>
      <c r="J355" s="8" t="s">
        <v>3</v>
      </c>
      <c r="K355" s="25">
        <v>46224</v>
      </c>
      <c r="L355" s="8" t="s">
        <v>807</v>
      </c>
      <c r="M355" s="8"/>
      <c r="N355" s="10"/>
      <c r="O355" s="8" t="s">
        <v>1134</v>
      </c>
    </row>
    <row r="356" ht="32" customHeight="1" spans="1:15">
      <c r="A356" s="8">
        <v>11</v>
      </c>
      <c r="B356" s="8" t="s">
        <v>308</v>
      </c>
      <c r="C356" s="8" t="s">
        <v>309</v>
      </c>
      <c r="D356" s="8" t="s">
        <v>25</v>
      </c>
      <c r="E356" s="8" t="s">
        <v>411</v>
      </c>
      <c r="F356" s="8" t="s">
        <v>78</v>
      </c>
      <c r="G356" s="25">
        <v>46253</v>
      </c>
      <c r="H356" s="25">
        <v>46269</v>
      </c>
      <c r="I356" s="8" t="s">
        <v>3</v>
      </c>
      <c r="J356" s="8" t="s">
        <v>3</v>
      </c>
      <c r="K356" s="25">
        <v>46224</v>
      </c>
      <c r="L356" s="8" t="s">
        <v>807</v>
      </c>
      <c r="M356" s="8"/>
      <c r="N356" s="10"/>
      <c r="O356" s="8" t="s">
        <v>1135</v>
      </c>
    </row>
    <row r="357" ht="32" customHeight="1" spans="1:15">
      <c r="A357" s="8">
        <v>11</v>
      </c>
      <c r="B357" s="8" t="s">
        <v>310</v>
      </c>
      <c r="C357" s="8" t="s">
        <v>311</v>
      </c>
      <c r="D357" s="8" t="s">
        <v>25</v>
      </c>
      <c r="E357" s="8" t="s">
        <v>411</v>
      </c>
      <c r="F357" s="8" t="s">
        <v>78</v>
      </c>
      <c r="G357" s="25">
        <v>46253</v>
      </c>
      <c r="H357" s="25">
        <v>46269</v>
      </c>
      <c r="I357" s="8" t="s">
        <v>3</v>
      </c>
      <c r="J357" s="8" t="s">
        <v>3</v>
      </c>
      <c r="K357" s="25">
        <v>46224</v>
      </c>
      <c r="L357" s="8" t="s">
        <v>807</v>
      </c>
      <c r="M357" s="8"/>
      <c r="N357" s="10"/>
      <c r="O357" s="8" t="s">
        <v>1136</v>
      </c>
    </row>
    <row r="358" ht="32" customHeight="1" spans="1:15">
      <c r="A358" s="8">
        <v>11</v>
      </c>
      <c r="B358" s="8" t="s">
        <v>312</v>
      </c>
      <c r="C358" s="8" t="s">
        <v>313</v>
      </c>
      <c r="D358" s="8" t="s">
        <v>25</v>
      </c>
      <c r="E358" s="8" t="s">
        <v>411</v>
      </c>
      <c r="F358" s="8" t="s">
        <v>78</v>
      </c>
      <c r="G358" s="25">
        <v>46253</v>
      </c>
      <c r="H358" s="25">
        <v>46269</v>
      </c>
      <c r="I358" s="8" t="s">
        <v>3</v>
      </c>
      <c r="J358" s="8" t="s">
        <v>3</v>
      </c>
      <c r="K358" s="25">
        <v>46224</v>
      </c>
      <c r="L358" s="8" t="s">
        <v>807</v>
      </c>
      <c r="M358" s="8"/>
      <c r="N358" s="10"/>
      <c r="O358" s="8" t="s">
        <v>1137</v>
      </c>
    </row>
    <row r="359" ht="32" customHeight="1" spans="1:15">
      <c r="A359" s="8">
        <v>11</v>
      </c>
      <c r="B359" s="8" t="s">
        <v>314</v>
      </c>
      <c r="C359" s="8" t="s">
        <v>316</v>
      </c>
      <c r="D359" s="8" t="s">
        <v>25</v>
      </c>
      <c r="E359" s="8" t="s">
        <v>411</v>
      </c>
      <c r="F359" s="8" t="s">
        <v>78</v>
      </c>
      <c r="G359" s="25">
        <v>46253</v>
      </c>
      <c r="H359" s="25">
        <v>46269</v>
      </c>
      <c r="I359" s="8" t="s">
        <v>3</v>
      </c>
      <c r="J359" s="8" t="s">
        <v>3</v>
      </c>
      <c r="K359" s="25"/>
      <c r="L359" s="8" t="s">
        <v>807</v>
      </c>
      <c r="M359" s="8" t="s">
        <v>808</v>
      </c>
      <c r="N359" s="10"/>
      <c r="O359" s="8" t="s">
        <v>1138</v>
      </c>
    </row>
    <row r="360" ht="32" customHeight="1" spans="1:15">
      <c r="A360" s="8">
        <v>11</v>
      </c>
      <c r="B360" s="8" t="s">
        <v>317</v>
      </c>
      <c r="C360" s="8" t="s">
        <v>318</v>
      </c>
      <c r="D360" s="8" t="s">
        <v>25</v>
      </c>
      <c r="E360" s="8" t="s">
        <v>411</v>
      </c>
      <c r="F360" s="8" t="s">
        <v>78</v>
      </c>
      <c r="G360" s="25">
        <v>46253</v>
      </c>
      <c r="H360" s="25">
        <v>46269</v>
      </c>
      <c r="I360" s="8" t="s">
        <v>3</v>
      </c>
      <c r="J360" s="8" t="s">
        <v>3</v>
      </c>
      <c r="K360" s="25"/>
      <c r="L360" s="8" t="s">
        <v>807</v>
      </c>
      <c r="M360" s="8" t="s">
        <v>808</v>
      </c>
      <c r="N360" s="10"/>
      <c r="O360" s="8" t="s">
        <v>1139</v>
      </c>
    </row>
    <row r="361" ht="32" customHeight="1" spans="1:15">
      <c r="A361" s="8">
        <v>11</v>
      </c>
      <c r="B361" s="8" t="s">
        <v>319</v>
      </c>
      <c r="C361" s="8" t="s">
        <v>320</v>
      </c>
      <c r="D361" s="8" t="s">
        <v>25</v>
      </c>
      <c r="E361" s="8" t="s">
        <v>411</v>
      </c>
      <c r="F361" s="8" t="s">
        <v>78</v>
      </c>
      <c r="G361" s="25">
        <v>46253</v>
      </c>
      <c r="H361" s="25">
        <v>46269</v>
      </c>
      <c r="I361" s="8" t="s">
        <v>3</v>
      </c>
      <c r="J361" s="8" t="s">
        <v>3</v>
      </c>
      <c r="K361" s="25"/>
      <c r="L361" s="8" t="s">
        <v>807</v>
      </c>
      <c r="M361" s="8" t="s">
        <v>808</v>
      </c>
      <c r="N361" s="10"/>
      <c r="O361" s="8" t="s">
        <v>1140</v>
      </c>
    </row>
    <row r="362" ht="32" customHeight="1" spans="1:15">
      <c r="A362" s="8">
        <v>11</v>
      </c>
      <c r="B362" s="8" t="s">
        <v>321</v>
      </c>
      <c r="C362" s="8" t="s">
        <v>322</v>
      </c>
      <c r="D362" s="8" t="s">
        <v>25</v>
      </c>
      <c r="E362" s="8" t="s">
        <v>411</v>
      </c>
      <c r="F362" s="8" t="s">
        <v>78</v>
      </c>
      <c r="G362" s="25">
        <v>46253</v>
      </c>
      <c r="H362" s="25">
        <v>46269</v>
      </c>
      <c r="I362" s="8" t="s">
        <v>3</v>
      </c>
      <c r="J362" s="8" t="s">
        <v>3</v>
      </c>
      <c r="K362" s="25"/>
      <c r="L362" s="8" t="s">
        <v>807</v>
      </c>
      <c r="M362" s="8" t="s">
        <v>808</v>
      </c>
      <c r="N362" s="10"/>
      <c r="O362" s="8" t="s">
        <v>1141</v>
      </c>
    </row>
    <row r="363" ht="32" customHeight="1" spans="1:15">
      <c r="A363" s="8">
        <v>11</v>
      </c>
      <c r="B363" s="8" t="s">
        <v>323</v>
      </c>
      <c r="C363" s="8" t="s">
        <v>324</v>
      </c>
      <c r="D363" s="8" t="s">
        <v>25</v>
      </c>
      <c r="E363" s="8" t="s">
        <v>411</v>
      </c>
      <c r="F363" s="8" t="s">
        <v>78</v>
      </c>
      <c r="G363" s="25">
        <v>46253</v>
      </c>
      <c r="H363" s="25">
        <v>46269</v>
      </c>
      <c r="I363" s="8" t="s">
        <v>3</v>
      </c>
      <c r="J363" s="8" t="s">
        <v>3</v>
      </c>
      <c r="K363" s="25"/>
      <c r="L363" s="8" t="s">
        <v>807</v>
      </c>
      <c r="M363" s="8" t="s">
        <v>808</v>
      </c>
      <c r="N363" s="10"/>
      <c r="O363" s="8" t="s">
        <v>1142</v>
      </c>
    </row>
    <row r="364" ht="32" customHeight="1" spans="1:15">
      <c r="A364" s="8">
        <v>11</v>
      </c>
      <c r="B364" s="8" t="s">
        <v>325</v>
      </c>
      <c r="C364" s="8" t="s">
        <v>326</v>
      </c>
      <c r="D364" s="8" t="s">
        <v>25</v>
      </c>
      <c r="E364" s="8" t="s">
        <v>411</v>
      </c>
      <c r="F364" s="8" t="s">
        <v>78</v>
      </c>
      <c r="G364" s="25">
        <v>46253</v>
      </c>
      <c r="H364" s="25">
        <v>46269</v>
      </c>
      <c r="I364" s="8" t="s">
        <v>3</v>
      </c>
      <c r="J364" s="8" t="s">
        <v>3</v>
      </c>
      <c r="K364" s="25"/>
      <c r="L364" s="8" t="s">
        <v>807</v>
      </c>
      <c r="M364" s="8" t="s">
        <v>808</v>
      </c>
      <c r="N364" s="10"/>
      <c r="O364" s="8" t="s">
        <v>1143</v>
      </c>
    </row>
    <row r="365" ht="32" customHeight="1" spans="1:15">
      <c r="A365" s="8">
        <v>11</v>
      </c>
      <c r="B365" s="8" t="s">
        <v>327</v>
      </c>
      <c r="C365" s="8" t="s">
        <v>328</v>
      </c>
      <c r="D365" s="8" t="s">
        <v>26</v>
      </c>
      <c r="E365" s="8" t="s">
        <v>411</v>
      </c>
      <c r="F365" s="8" t="s">
        <v>78</v>
      </c>
      <c r="G365" s="25">
        <v>46253</v>
      </c>
      <c r="H365" s="25">
        <v>46269</v>
      </c>
      <c r="I365" s="8" t="s">
        <v>3</v>
      </c>
      <c r="J365" s="8" t="s">
        <v>3</v>
      </c>
      <c r="K365" s="25"/>
      <c r="L365" s="8" t="s">
        <v>807</v>
      </c>
      <c r="M365" s="8" t="s">
        <v>808</v>
      </c>
      <c r="N365" s="10"/>
      <c r="O365" s="8" t="s">
        <v>1144</v>
      </c>
    </row>
    <row r="366" ht="32" customHeight="1" spans="1:15">
      <c r="A366" s="8">
        <v>11</v>
      </c>
      <c r="B366" s="8" t="s">
        <v>341</v>
      </c>
      <c r="C366" s="8" t="s">
        <v>343</v>
      </c>
      <c r="D366" s="8" t="s">
        <v>25</v>
      </c>
      <c r="E366" s="8" t="s">
        <v>411</v>
      </c>
      <c r="F366" s="8" t="s">
        <v>78</v>
      </c>
      <c r="G366" s="25">
        <v>46253</v>
      </c>
      <c r="H366" s="25">
        <v>46269</v>
      </c>
      <c r="I366" s="8" t="s">
        <v>3</v>
      </c>
      <c r="J366" s="8" t="s">
        <v>3</v>
      </c>
      <c r="K366" s="25"/>
      <c r="L366" s="8" t="s">
        <v>807</v>
      </c>
      <c r="M366" s="8" t="s">
        <v>808</v>
      </c>
      <c r="N366" s="10"/>
      <c r="O366" s="8" t="s">
        <v>1145</v>
      </c>
    </row>
    <row r="367" ht="32" customHeight="1" spans="1:15">
      <c r="A367" s="8">
        <v>11</v>
      </c>
      <c r="B367" s="8" t="s">
        <v>344</v>
      </c>
      <c r="C367" s="8" t="s">
        <v>345</v>
      </c>
      <c r="D367" s="8" t="s">
        <v>25</v>
      </c>
      <c r="E367" s="8" t="s">
        <v>411</v>
      </c>
      <c r="F367" s="8" t="s">
        <v>78</v>
      </c>
      <c r="G367" s="25">
        <v>46253</v>
      </c>
      <c r="H367" s="25">
        <v>46269</v>
      </c>
      <c r="I367" s="8" t="s">
        <v>3</v>
      </c>
      <c r="J367" s="8" t="s">
        <v>3</v>
      </c>
      <c r="K367" s="25"/>
      <c r="L367" s="8" t="s">
        <v>807</v>
      </c>
      <c r="M367" s="8" t="s">
        <v>808</v>
      </c>
      <c r="N367" s="10"/>
      <c r="O367" s="8" t="s">
        <v>1146</v>
      </c>
    </row>
    <row r="368" ht="32" customHeight="1" spans="1:15">
      <c r="A368" s="8">
        <v>11</v>
      </c>
      <c r="B368" s="8" t="s">
        <v>346</v>
      </c>
      <c r="C368" s="8" t="s">
        <v>347</v>
      </c>
      <c r="D368" s="8" t="s">
        <v>25</v>
      </c>
      <c r="E368" s="8" t="s">
        <v>411</v>
      </c>
      <c r="F368" s="8" t="s">
        <v>78</v>
      </c>
      <c r="G368" s="25">
        <v>46253</v>
      </c>
      <c r="H368" s="25">
        <v>46269</v>
      </c>
      <c r="I368" s="8" t="s">
        <v>3</v>
      </c>
      <c r="J368" s="8" t="s">
        <v>3</v>
      </c>
      <c r="K368" s="25"/>
      <c r="L368" s="8" t="s">
        <v>807</v>
      </c>
      <c r="M368" s="8" t="s">
        <v>808</v>
      </c>
      <c r="N368" s="10"/>
      <c r="O368" s="8" t="s">
        <v>1147</v>
      </c>
    </row>
    <row r="369" ht="32" customHeight="1" spans="1:15">
      <c r="A369" s="8">
        <v>11</v>
      </c>
      <c r="B369" s="8" t="s">
        <v>348</v>
      </c>
      <c r="C369" s="8" t="s">
        <v>349</v>
      </c>
      <c r="D369" s="8" t="s">
        <v>25</v>
      </c>
      <c r="E369" s="8" t="s">
        <v>411</v>
      </c>
      <c r="F369" s="8" t="s">
        <v>78</v>
      </c>
      <c r="G369" s="25">
        <v>46253</v>
      </c>
      <c r="H369" s="25">
        <v>46269</v>
      </c>
      <c r="I369" s="8" t="s">
        <v>3</v>
      </c>
      <c r="J369" s="8" t="s">
        <v>3</v>
      </c>
      <c r="K369" s="25"/>
      <c r="L369" s="8" t="s">
        <v>807</v>
      </c>
      <c r="M369" s="8" t="s">
        <v>808</v>
      </c>
      <c r="N369" s="10"/>
      <c r="O369" s="8" t="s">
        <v>1148</v>
      </c>
    </row>
    <row r="370" ht="32" customHeight="1" spans="1:15">
      <c r="A370" s="8">
        <v>11</v>
      </c>
      <c r="B370" s="8" t="s">
        <v>389</v>
      </c>
      <c r="C370" s="8" t="s">
        <v>390</v>
      </c>
      <c r="D370" s="8" t="s">
        <v>25</v>
      </c>
      <c r="E370" s="8" t="s">
        <v>411</v>
      </c>
      <c r="F370" s="8" t="s">
        <v>78</v>
      </c>
      <c r="G370" s="25">
        <v>46251</v>
      </c>
      <c r="H370" s="25">
        <v>46269</v>
      </c>
      <c r="I370" s="8" t="s">
        <v>3</v>
      </c>
      <c r="J370" s="8" t="s">
        <v>3</v>
      </c>
      <c r="K370" s="25">
        <v>46261</v>
      </c>
      <c r="L370" s="8" t="s">
        <v>807</v>
      </c>
      <c r="M370" s="8"/>
      <c r="N370" s="10"/>
      <c r="O370" s="8" t="s">
        <v>1149</v>
      </c>
    </row>
    <row r="371" ht="32" customHeight="1" spans="1:15">
      <c r="A371" s="8">
        <v>11</v>
      </c>
      <c r="B371" s="8" t="s">
        <v>391</v>
      </c>
      <c r="C371" s="8" t="s">
        <v>390</v>
      </c>
      <c r="D371" s="8" t="s">
        <v>25</v>
      </c>
      <c r="E371" s="8" t="s">
        <v>411</v>
      </c>
      <c r="F371" s="8" t="s">
        <v>78</v>
      </c>
      <c r="G371" s="25">
        <v>46251</v>
      </c>
      <c r="H371" s="25">
        <v>46269</v>
      </c>
      <c r="I371" s="8" t="s">
        <v>3</v>
      </c>
      <c r="J371" s="8" t="s">
        <v>3</v>
      </c>
      <c r="K371" s="25">
        <v>46261</v>
      </c>
      <c r="L371" s="8" t="s">
        <v>807</v>
      </c>
      <c r="M371" s="8"/>
      <c r="N371" s="10"/>
      <c r="O371" s="8" t="s">
        <v>1150</v>
      </c>
    </row>
    <row r="372" ht="32" customHeight="1" spans="1:15">
      <c r="A372" s="8">
        <v>11</v>
      </c>
      <c r="B372" s="8" t="s">
        <v>392</v>
      </c>
      <c r="C372" s="8" t="s">
        <v>390</v>
      </c>
      <c r="D372" s="8" t="s">
        <v>26</v>
      </c>
      <c r="E372" s="8" t="s">
        <v>411</v>
      </c>
      <c r="F372" s="8" t="s">
        <v>78</v>
      </c>
      <c r="G372" s="25">
        <v>46251</v>
      </c>
      <c r="H372" s="25">
        <v>46269</v>
      </c>
      <c r="I372" s="8" t="s">
        <v>3</v>
      </c>
      <c r="J372" s="8" t="s">
        <v>3</v>
      </c>
      <c r="K372" s="25"/>
      <c r="L372" s="8" t="s">
        <v>807</v>
      </c>
      <c r="M372" s="8" t="s">
        <v>808</v>
      </c>
      <c r="N372" s="10"/>
      <c r="O372" s="8" t="s">
        <v>1151</v>
      </c>
    </row>
    <row r="373" ht="32" customHeight="1" spans="1:15">
      <c r="A373" s="8">
        <v>12</v>
      </c>
      <c r="B373" s="8" t="s">
        <v>124</v>
      </c>
      <c r="C373" s="8" t="s">
        <v>125</v>
      </c>
      <c r="D373" s="8" t="s">
        <v>26</v>
      </c>
      <c r="E373" s="8" t="s">
        <v>414</v>
      </c>
      <c r="F373" s="8" t="s">
        <v>77</v>
      </c>
      <c r="G373" s="25">
        <v>46266</v>
      </c>
      <c r="H373" s="25">
        <v>46272</v>
      </c>
      <c r="I373" s="8" t="s">
        <v>3</v>
      </c>
      <c r="J373" s="8" t="s">
        <v>4</v>
      </c>
      <c r="K373" s="25"/>
      <c r="L373" s="8" t="s">
        <v>807</v>
      </c>
      <c r="M373" s="8" t="s">
        <v>808</v>
      </c>
      <c r="N373" s="10"/>
      <c r="O373" s="8" t="s">
        <v>1152</v>
      </c>
    </row>
    <row r="374" ht="32" customHeight="1" spans="1:15">
      <c r="A374" s="8">
        <v>12</v>
      </c>
      <c r="B374" s="8" t="s">
        <v>126</v>
      </c>
      <c r="C374" s="8" t="s">
        <v>127</v>
      </c>
      <c r="D374" s="8" t="s">
        <v>26</v>
      </c>
      <c r="E374" s="8" t="s">
        <v>414</v>
      </c>
      <c r="F374" s="8" t="s">
        <v>77</v>
      </c>
      <c r="G374" s="25">
        <v>46266</v>
      </c>
      <c r="H374" s="25">
        <v>46272</v>
      </c>
      <c r="I374" s="8" t="s">
        <v>3</v>
      </c>
      <c r="J374" s="8" t="s">
        <v>4</v>
      </c>
      <c r="K374" s="25"/>
      <c r="L374" s="8" t="s">
        <v>807</v>
      </c>
      <c r="M374" s="8" t="s">
        <v>808</v>
      </c>
      <c r="N374" s="10"/>
      <c r="O374" s="8" t="s">
        <v>1153</v>
      </c>
    </row>
    <row r="375" ht="32" customHeight="1" spans="1:15">
      <c r="A375" s="8">
        <v>12</v>
      </c>
      <c r="B375" s="8" t="s">
        <v>138</v>
      </c>
      <c r="C375" s="8" t="s">
        <v>140</v>
      </c>
      <c r="D375" s="8" t="s">
        <v>26</v>
      </c>
      <c r="E375" s="8" t="s">
        <v>414</v>
      </c>
      <c r="F375" s="8" t="s">
        <v>77</v>
      </c>
      <c r="G375" s="25">
        <v>46266</v>
      </c>
      <c r="H375" s="25">
        <v>46272</v>
      </c>
      <c r="I375" s="8" t="s">
        <v>3</v>
      </c>
      <c r="J375" s="8" t="s">
        <v>4</v>
      </c>
      <c r="K375" s="25">
        <v>46261</v>
      </c>
      <c r="L375" s="8" t="s">
        <v>807</v>
      </c>
      <c r="M375" s="8"/>
      <c r="N375" s="10"/>
      <c r="O375" s="8" t="s">
        <v>1154</v>
      </c>
    </row>
    <row r="376" ht="32" customHeight="1" spans="1:15">
      <c r="A376" s="8">
        <v>12</v>
      </c>
      <c r="B376" s="8" t="s">
        <v>141</v>
      </c>
      <c r="C376" s="8" t="s">
        <v>142</v>
      </c>
      <c r="D376" s="8" t="s">
        <v>26</v>
      </c>
      <c r="E376" s="8" t="s">
        <v>414</v>
      </c>
      <c r="F376" s="8" t="s">
        <v>77</v>
      </c>
      <c r="G376" s="25">
        <v>46266</v>
      </c>
      <c r="H376" s="25">
        <v>46272</v>
      </c>
      <c r="I376" s="8" t="s">
        <v>3</v>
      </c>
      <c r="J376" s="8" t="s">
        <v>4</v>
      </c>
      <c r="K376" s="25">
        <v>46261</v>
      </c>
      <c r="L376" s="8" t="s">
        <v>807</v>
      </c>
      <c r="M376" s="8"/>
      <c r="N376" s="10"/>
      <c r="O376" s="8" t="s">
        <v>1155</v>
      </c>
    </row>
    <row r="377" ht="32" customHeight="1" spans="1:15">
      <c r="A377" s="8">
        <v>12</v>
      </c>
      <c r="B377" s="8" t="s">
        <v>147</v>
      </c>
      <c r="C377" s="8" t="s">
        <v>148</v>
      </c>
      <c r="D377" s="8" t="s">
        <v>26</v>
      </c>
      <c r="E377" s="8" t="s">
        <v>414</v>
      </c>
      <c r="F377" s="8" t="s">
        <v>77</v>
      </c>
      <c r="G377" s="25">
        <v>46266</v>
      </c>
      <c r="H377" s="25">
        <v>46272</v>
      </c>
      <c r="I377" s="8" t="s">
        <v>3</v>
      </c>
      <c r="J377" s="8" t="s">
        <v>4</v>
      </c>
      <c r="K377" s="25">
        <v>46261</v>
      </c>
      <c r="L377" s="8" t="s">
        <v>807</v>
      </c>
      <c r="M377" s="8"/>
      <c r="N377" s="10"/>
      <c r="O377" s="8" t="s">
        <v>1156</v>
      </c>
    </row>
    <row r="378" ht="32" customHeight="1" spans="1:15">
      <c r="A378" s="8">
        <v>12</v>
      </c>
      <c r="B378" s="8" t="s">
        <v>157</v>
      </c>
      <c r="C378" s="8" t="s">
        <v>159</v>
      </c>
      <c r="D378" s="8" t="s">
        <v>26</v>
      </c>
      <c r="E378" s="8" t="s">
        <v>414</v>
      </c>
      <c r="F378" s="8" t="s">
        <v>77</v>
      </c>
      <c r="G378" s="25">
        <v>46266</v>
      </c>
      <c r="H378" s="25">
        <v>46272</v>
      </c>
      <c r="I378" s="8" t="s">
        <v>3</v>
      </c>
      <c r="J378" s="8" t="s">
        <v>4</v>
      </c>
      <c r="K378" s="25"/>
      <c r="L378" s="8" t="s">
        <v>807</v>
      </c>
      <c r="M378" s="8" t="s">
        <v>808</v>
      </c>
      <c r="N378" s="10"/>
      <c r="O378" s="8" t="s">
        <v>1157</v>
      </c>
    </row>
    <row r="379" ht="32" customHeight="1" spans="1:15">
      <c r="A379" s="8">
        <v>12</v>
      </c>
      <c r="B379" s="8" t="s">
        <v>160</v>
      </c>
      <c r="C379" s="8" t="s">
        <v>161</v>
      </c>
      <c r="D379" s="8" t="s">
        <v>26</v>
      </c>
      <c r="E379" s="8" t="s">
        <v>414</v>
      </c>
      <c r="F379" s="8" t="s">
        <v>77</v>
      </c>
      <c r="G379" s="25">
        <v>46266</v>
      </c>
      <c r="H379" s="25">
        <v>46272</v>
      </c>
      <c r="I379" s="8" t="s">
        <v>3</v>
      </c>
      <c r="J379" s="8" t="s">
        <v>4</v>
      </c>
      <c r="K379" s="25"/>
      <c r="L379" s="8" t="s">
        <v>807</v>
      </c>
      <c r="M379" s="8" t="s">
        <v>808</v>
      </c>
      <c r="N379" s="10"/>
      <c r="O379" s="8" t="s">
        <v>1158</v>
      </c>
    </row>
    <row r="380" ht="32" customHeight="1" spans="1:15">
      <c r="A380" s="8">
        <v>12</v>
      </c>
      <c r="B380" s="8" t="s">
        <v>162</v>
      </c>
      <c r="C380" s="8" t="s">
        <v>163</v>
      </c>
      <c r="D380" s="8" t="s">
        <v>26</v>
      </c>
      <c r="E380" s="8" t="s">
        <v>414</v>
      </c>
      <c r="F380" s="8" t="s">
        <v>77</v>
      </c>
      <c r="G380" s="25">
        <v>46266</v>
      </c>
      <c r="H380" s="25">
        <v>46272</v>
      </c>
      <c r="I380" s="8" t="s">
        <v>3</v>
      </c>
      <c r="J380" s="8" t="s">
        <v>4</v>
      </c>
      <c r="K380" s="25"/>
      <c r="L380" s="8" t="s">
        <v>807</v>
      </c>
      <c r="M380" s="8" t="s">
        <v>808</v>
      </c>
      <c r="N380" s="10"/>
      <c r="O380" s="8" t="s">
        <v>1159</v>
      </c>
    </row>
    <row r="381" ht="32" customHeight="1" spans="1:15">
      <c r="A381" s="8">
        <v>12</v>
      </c>
      <c r="B381" s="8" t="s">
        <v>290</v>
      </c>
      <c r="C381" s="8" t="s">
        <v>292</v>
      </c>
      <c r="D381" s="8" t="s">
        <v>25</v>
      </c>
      <c r="E381" s="8" t="s">
        <v>414</v>
      </c>
      <c r="F381" s="8" t="s">
        <v>152</v>
      </c>
      <c r="G381" s="25">
        <v>46265</v>
      </c>
      <c r="H381" s="25">
        <v>46273</v>
      </c>
      <c r="I381" s="8" t="s">
        <v>3</v>
      </c>
      <c r="J381" s="8" t="s">
        <v>4</v>
      </c>
      <c r="K381" s="25"/>
      <c r="L381" s="8" t="s">
        <v>807</v>
      </c>
      <c r="M381" s="8" t="s">
        <v>808</v>
      </c>
      <c r="N381" s="10"/>
      <c r="O381" s="8" t="s">
        <v>1160</v>
      </c>
    </row>
    <row r="382" ht="32" customHeight="1" spans="1:15">
      <c r="A382" s="8">
        <v>12</v>
      </c>
      <c r="B382" s="8" t="s">
        <v>124</v>
      </c>
      <c r="C382" s="8" t="s">
        <v>125</v>
      </c>
      <c r="D382" s="8" t="s">
        <v>26</v>
      </c>
      <c r="E382" s="8" t="s">
        <v>406</v>
      </c>
      <c r="F382" s="8" t="s">
        <v>76</v>
      </c>
      <c r="G382" s="25">
        <v>46266</v>
      </c>
      <c r="H382" s="25">
        <v>46272</v>
      </c>
      <c r="I382" s="8" t="s">
        <v>3</v>
      </c>
      <c r="J382" s="8" t="s">
        <v>4</v>
      </c>
      <c r="K382" s="25"/>
      <c r="L382" s="8" t="s">
        <v>807</v>
      </c>
      <c r="M382" s="8" t="s">
        <v>808</v>
      </c>
      <c r="N382" s="10"/>
      <c r="O382" s="8" t="s">
        <v>1161</v>
      </c>
    </row>
    <row r="383" ht="32" customHeight="1" spans="1:15">
      <c r="A383" s="8">
        <v>12</v>
      </c>
      <c r="B383" s="8" t="s">
        <v>126</v>
      </c>
      <c r="C383" s="8" t="s">
        <v>127</v>
      </c>
      <c r="D383" s="8" t="s">
        <v>26</v>
      </c>
      <c r="E383" s="8" t="s">
        <v>406</v>
      </c>
      <c r="F383" s="8" t="s">
        <v>76</v>
      </c>
      <c r="G383" s="25">
        <v>46266</v>
      </c>
      <c r="H383" s="25">
        <v>46272</v>
      </c>
      <c r="I383" s="8" t="s">
        <v>3</v>
      </c>
      <c r="J383" s="8" t="s">
        <v>4</v>
      </c>
      <c r="K383" s="25"/>
      <c r="L383" s="8" t="s">
        <v>807</v>
      </c>
      <c r="M383" s="8" t="s">
        <v>808</v>
      </c>
      <c r="N383" s="10"/>
      <c r="O383" s="8" t="s">
        <v>1162</v>
      </c>
    </row>
    <row r="384" ht="32" customHeight="1" spans="1:15">
      <c r="A384" s="8">
        <v>12</v>
      </c>
      <c r="B384" s="8" t="s">
        <v>138</v>
      </c>
      <c r="C384" s="8" t="s">
        <v>140</v>
      </c>
      <c r="D384" s="8" t="s">
        <v>26</v>
      </c>
      <c r="E384" s="8" t="s">
        <v>406</v>
      </c>
      <c r="F384" s="8" t="s">
        <v>76</v>
      </c>
      <c r="G384" s="25">
        <v>46266</v>
      </c>
      <c r="H384" s="25">
        <v>46272</v>
      </c>
      <c r="I384" s="8" t="s">
        <v>3</v>
      </c>
      <c r="J384" s="8" t="s">
        <v>4</v>
      </c>
      <c r="K384" s="25">
        <v>46261</v>
      </c>
      <c r="L384" s="8" t="s">
        <v>807</v>
      </c>
      <c r="M384" s="8"/>
      <c r="N384" s="10"/>
      <c r="O384" s="8" t="s">
        <v>1163</v>
      </c>
    </row>
    <row r="385" ht="32" customHeight="1" spans="1:15">
      <c r="A385" s="8">
        <v>12</v>
      </c>
      <c r="B385" s="8" t="s">
        <v>141</v>
      </c>
      <c r="C385" s="8" t="s">
        <v>142</v>
      </c>
      <c r="D385" s="8" t="s">
        <v>26</v>
      </c>
      <c r="E385" s="8" t="s">
        <v>406</v>
      </c>
      <c r="F385" s="8" t="s">
        <v>76</v>
      </c>
      <c r="G385" s="25">
        <v>46266</v>
      </c>
      <c r="H385" s="25">
        <v>46272</v>
      </c>
      <c r="I385" s="8" t="s">
        <v>3</v>
      </c>
      <c r="J385" s="8" t="s">
        <v>4</v>
      </c>
      <c r="K385" s="25">
        <v>46261</v>
      </c>
      <c r="L385" s="8" t="s">
        <v>807</v>
      </c>
      <c r="M385" s="8"/>
      <c r="N385" s="10"/>
      <c r="O385" s="8" t="s">
        <v>1164</v>
      </c>
    </row>
    <row r="386" ht="32" customHeight="1" spans="1:15">
      <c r="A386" s="8">
        <v>12</v>
      </c>
      <c r="B386" s="8" t="s">
        <v>147</v>
      </c>
      <c r="C386" s="8" t="s">
        <v>148</v>
      </c>
      <c r="D386" s="8" t="s">
        <v>26</v>
      </c>
      <c r="E386" s="8" t="s">
        <v>406</v>
      </c>
      <c r="F386" s="8" t="s">
        <v>76</v>
      </c>
      <c r="G386" s="25">
        <v>46266</v>
      </c>
      <c r="H386" s="25">
        <v>46272</v>
      </c>
      <c r="I386" s="8" t="s">
        <v>3</v>
      </c>
      <c r="J386" s="8" t="s">
        <v>4</v>
      </c>
      <c r="K386" s="25">
        <v>46261</v>
      </c>
      <c r="L386" s="8" t="s">
        <v>807</v>
      </c>
      <c r="M386" s="8"/>
      <c r="N386" s="10"/>
      <c r="O386" s="8" t="s">
        <v>1165</v>
      </c>
    </row>
    <row r="387" ht="32" customHeight="1" spans="1:15">
      <c r="A387" s="8">
        <v>12</v>
      </c>
      <c r="B387" s="8" t="s">
        <v>157</v>
      </c>
      <c r="C387" s="8" t="s">
        <v>159</v>
      </c>
      <c r="D387" s="8" t="s">
        <v>26</v>
      </c>
      <c r="E387" s="8" t="s">
        <v>406</v>
      </c>
      <c r="F387" s="8" t="s">
        <v>76</v>
      </c>
      <c r="G387" s="25">
        <v>46266</v>
      </c>
      <c r="H387" s="25">
        <v>46272</v>
      </c>
      <c r="I387" s="8" t="s">
        <v>3</v>
      </c>
      <c r="J387" s="8" t="s">
        <v>4</v>
      </c>
      <c r="K387" s="25"/>
      <c r="L387" s="8" t="s">
        <v>807</v>
      </c>
      <c r="M387" s="8" t="s">
        <v>808</v>
      </c>
      <c r="N387" s="10"/>
      <c r="O387" s="8" t="s">
        <v>1166</v>
      </c>
    </row>
    <row r="388" ht="32" customHeight="1" spans="1:15">
      <c r="A388" s="8">
        <v>12</v>
      </c>
      <c r="B388" s="8" t="s">
        <v>160</v>
      </c>
      <c r="C388" s="8" t="s">
        <v>161</v>
      </c>
      <c r="D388" s="8" t="s">
        <v>26</v>
      </c>
      <c r="E388" s="8" t="s">
        <v>406</v>
      </c>
      <c r="F388" s="8" t="s">
        <v>76</v>
      </c>
      <c r="G388" s="25">
        <v>46266</v>
      </c>
      <c r="H388" s="25">
        <v>46272</v>
      </c>
      <c r="I388" s="8" t="s">
        <v>3</v>
      </c>
      <c r="J388" s="8" t="s">
        <v>4</v>
      </c>
      <c r="K388" s="25"/>
      <c r="L388" s="8" t="s">
        <v>807</v>
      </c>
      <c r="M388" s="8" t="s">
        <v>808</v>
      </c>
      <c r="N388" s="10"/>
      <c r="O388" s="8" t="s">
        <v>1167</v>
      </c>
    </row>
    <row r="389" ht="32" customHeight="1" spans="1:15">
      <c r="A389" s="8">
        <v>12</v>
      </c>
      <c r="B389" s="8" t="s">
        <v>162</v>
      </c>
      <c r="C389" s="8" t="s">
        <v>163</v>
      </c>
      <c r="D389" s="8" t="s">
        <v>26</v>
      </c>
      <c r="E389" s="8" t="s">
        <v>406</v>
      </c>
      <c r="F389" s="8" t="s">
        <v>76</v>
      </c>
      <c r="G389" s="25">
        <v>46266</v>
      </c>
      <c r="H389" s="25">
        <v>46272</v>
      </c>
      <c r="I389" s="8" t="s">
        <v>3</v>
      </c>
      <c r="J389" s="8" t="s">
        <v>4</v>
      </c>
      <c r="K389" s="25"/>
      <c r="L389" s="8" t="s">
        <v>807</v>
      </c>
      <c r="M389" s="8" t="s">
        <v>808</v>
      </c>
      <c r="N389" s="10"/>
      <c r="O389" s="8" t="s">
        <v>1168</v>
      </c>
    </row>
    <row r="390" ht="32" customHeight="1" spans="1:15">
      <c r="A390" s="8">
        <v>12</v>
      </c>
      <c r="B390" s="8" t="s">
        <v>290</v>
      </c>
      <c r="C390" s="8" t="s">
        <v>292</v>
      </c>
      <c r="D390" s="8" t="s">
        <v>25</v>
      </c>
      <c r="E390" s="8" t="s">
        <v>406</v>
      </c>
      <c r="F390" s="8" t="s">
        <v>152</v>
      </c>
      <c r="G390" s="25">
        <v>46265</v>
      </c>
      <c r="H390" s="25">
        <v>46273</v>
      </c>
      <c r="I390" s="8" t="s">
        <v>3</v>
      </c>
      <c r="J390" s="8" t="s">
        <v>4</v>
      </c>
      <c r="K390" s="25"/>
      <c r="L390" s="8" t="s">
        <v>807</v>
      </c>
      <c r="M390" s="8" t="s">
        <v>808</v>
      </c>
      <c r="N390" s="10"/>
      <c r="O390" s="8" t="s">
        <v>1169</v>
      </c>
    </row>
    <row r="391" ht="32" customHeight="1" spans="1:15">
      <c r="A391" s="8">
        <v>12</v>
      </c>
      <c r="B391" s="8" t="s">
        <v>350</v>
      </c>
      <c r="C391" s="8" t="s">
        <v>353</v>
      </c>
      <c r="D391" s="8" t="s">
        <v>26</v>
      </c>
      <c r="E391" s="8" t="s">
        <v>411</v>
      </c>
      <c r="F391" s="8" t="s">
        <v>78</v>
      </c>
      <c r="G391" s="25">
        <v>46272</v>
      </c>
      <c r="H391" s="25">
        <v>46276</v>
      </c>
      <c r="I391" s="8" t="s">
        <v>3</v>
      </c>
      <c r="J391" s="8" t="s">
        <v>3</v>
      </c>
      <c r="K391" s="25">
        <v>46261</v>
      </c>
      <c r="L391" s="8" t="s">
        <v>807</v>
      </c>
      <c r="M391" s="8"/>
      <c r="N391" s="10"/>
      <c r="O391" s="8" t="s">
        <v>1170</v>
      </c>
    </row>
    <row r="392" ht="32" customHeight="1" spans="1:15">
      <c r="A392" s="8">
        <v>12</v>
      </c>
      <c r="B392" s="8" t="s">
        <v>354</v>
      </c>
      <c r="C392" s="8" t="s">
        <v>355</v>
      </c>
      <c r="D392" s="8" t="s">
        <v>26</v>
      </c>
      <c r="E392" s="8" t="s">
        <v>411</v>
      </c>
      <c r="F392" s="8" t="s">
        <v>78</v>
      </c>
      <c r="G392" s="25">
        <v>46272</v>
      </c>
      <c r="H392" s="25">
        <v>46276</v>
      </c>
      <c r="I392" s="8" t="s">
        <v>3</v>
      </c>
      <c r="J392" s="8" t="s">
        <v>3</v>
      </c>
      <c r="K392" s="25">
        <v>46261</v>
      </c>
      <c r="L392" s="8" t="s">
        <v>807</v>
      </c>
      <c r="M392" s="8"/>
      <c r="N392" s="10"/>
      <c r="O392" s="8" t="s">
        <v>1171</v>
      </c>
    </row>
    <row r="393" ht="32" customHeight="1" spans="1:15">
      <c r="A393" s="8">
        <v>12</v>
      </c>
      <c r="B393" s="8" t="s">
        <v>356</v>
      </c>
      <c r="C393" s="8" t="s">
        <v>357</v>
      </c>
      <c r="D393" s="8" t="s">
        <v>26</v>
      </c>
      <c r="E393" s="8" t="s">
        <v>411</v>
      </c>
      <c r="F393" s="8" t="s">
        <v>78</v>
      </c>
      <c r="G393" s="25">
        <v>46272</v>
      </c>
      <c r="H393" s="25">
        <v>46276</v>
      </c>
      <c r="I393" s="8" t="s">
        <v>3</v>
      </c>
      <c r="J393" s="8" t="s">
        <v>3</v>
      </c>
      <c r="K393" s="25">
        <v>46261</v>
      </c>
      <c r="L393" s="8" t="s">
        <v>807</v>
      </c>
      <c r="M393" s="8"/>
      <c r="N393" s="10"/>
      <c r="O393" s="8" t="s">
        <v>1172</v>
      </c>
    </row>
    <row r="394" ht="32" customHeight="1" spans="1:15">
      <c r="A394" s="8">
        <v>12</v>
      </c>
      <c r="B394" s="8" t="s">
        <v>358</v>
      </c>
      <c r="C394" s="8" t="s">
        <v>359</v>
      </c>
      <c r="D394" s="8" t="s">
        <v>26</v>
      </c>
      <c r="E394" s="8" t="s">
        <v>411</v>
      </c>
      <c r="F394" s="8" t="s">
        <v>78</v>
      </c>
      <c r="G394" s="25">
        <v>46272</v>
      </c>
      <c r="H394" s="25">
        <v>46276</v>
      </c>
      <c r="I394" s="8" t="s">
        <v>3</v>
      </c>
      <c r="J394" s="8" t="s">
        <v>3</v>
      </c>
      <c r="K394" s="25">
        <v>46261</v>
      </c>
      <c r="L394" s="8" t="s">
        <v>807</v>
      </c>
      <c r="M394" s="8"/>
      <c r="N394" s="10"/>
      <c r="O394" s="8" t="s">
        <v>1173</v>
      </c>
    </row>
    <row r="395" ht="32" customHeight="1" spans="1:15">
      <c r="A395" s="8">
        <v>12</v>
      </c>
      <c r="B395" s="8" t="s">
        <v>360</v>
      </c>
      <c r="C395" s="8" t="s">
        <v>361</v>
      </c>
      <c r="D395" s="8" t="s">
        <v>26</v>
      </c>
      <c r="E395" s="8" t="s">
        <v>411</v>
      </c>
      <c r="F395" s="8" t="s">
        <v>78</v>
      </c>
      <c r="G395" s="25">
        <v>46272</v>
      </c>
      <c r="H395" s="25">
        <v>46276</v>
      </c>
      <c r="I395" s="8" t="s">
        <v>3</v>
      </c>
      <c r="J395" s="8" t="s">
        <v>3</v>
      </c>
      <c r="K395" s="25">
        <v>46261</v>
      </c>
      <c r="L395" s="8" t="s">
        <v>807</v>
      </c>
      <c r="M395" s="8"/>
      <c r="N395" s="10"/>
      <c r="O395" s="8" t="s">
        <v>1174</v>
      </c>
    </row>
    <row r="396" ht="32" customHeight="1" spans="1:15">
      <c r="A396" s="8">
        <v>13</v>
      </c>
      <c r="B396" s="8" t="s">
        <v>107</v>
      </c>
      <c r="C396" s="8" t="s">
        <v>109</v>
      </c>
      <c r="D396" s="8" t="s">
        <v>26</v>
      </c>
      <c r="E396" s="8" t="s">
        <v>414</v>
      </c>
      <c r="F396" s="8" t="s">
        <v>77</v>
      </c>
      <c r="G396" s="25">
        <v>46272</v>
      </c>
      <c r="H396" s="25">
        <v>46279</v>
      </c>
      <c r="I396" s="8" t="s">
        <v>4</v>
      </c>
      <c r="J396" s="8" t="s">
        <v>4</v>
      </c>
      <c r="K396" s="25"/>
      <c r="L396" s="8" t="s">
        <v>807</v>
      </c>
      <c r="M396" s="8"/>
      <c r="N396" s="10"/>
      <c r="O396" s="8" t="s">
        <v>1175</v>
      </c>
    </row>
    <row r="397" ht="32" customHeight="1" spans="1:15">
      <c r="A397" s="8">
        <v>13</v>
      </c>
      <c r="B397" s="8" t="s">
        <v>110</v>
      </c>
      <c r="C397" s="8" t="s">
        <v>111</v>
      </c>
      <c r="D397" s="8" t="s">
        <v>26</v>
      </c>
      <c r="E397" s="8" t="s">
        <v>414</v>
      </c>
      <c r="F397" s="8" t="s">
        <v>77</v>
      </c>
      <c r="G397" s="25">
        <v>46272</v>
      </c>
      <c r="H397" s="25">
        <v>46279</v>
      </c>
      <c r="I397" s="8" t="s">
        <v>4</v>
      </c>
      <c r="J397" s="8" t="s">
        <v>4</v>
      </c>
      <c r="K397" s="25"/>
      <c r="L397" s="8" t="s">
        <v>807</v>
      </c>
      <c r="M397" s="8"/>
      <c r="N397" s="10"/>
      <c r="O397" s="8" t="s">
        <v>1176</v>
      </c>
    </row>
    <row r="398" ht="32" customHeight="1" spans="1:15">
      <c r="A398" s="8">
        <v>13</v>
      </c>
      <c r="B398" s="8" t="s">
        <v>112</v>
      </c>
      <c r="C398" s="8" t="s">
        <v>113</v>
      </c>
      <c r="D398" s="8" t="s">
        <v>26</v>
      </c>
      <c r="E398" s="8" t="s">
        <v>414</v>
      </c>
      <c r="F398" s="8" t="s">
        <v>77</v>
      </c>
      <c r="G398" s="25">
        <v>46272</v>
      </c>
      <c r="H398" s="25">
        <v>46279</v>
      </c>
      <c r="I398" s="8" t="s">
        <v>4</v>
      </c>
      <c r="J398" s="8" t="s">
        <v>4</v>
      </c>
      <c r="K398" s="25"/>
      <c r="L398" s="8" t="s">
        <v>807</v>
      </c>
      <c r="M398" s="8"/>
      <c r="N398" s="10"/>
      <c r="O398" s="8" t="s">
        <v>1177</v>
      </c>
    </row>
    <row r="399" ht="32" customHeight="1" spans="1:15">
      <c r="A399" s="8">
        <v>13</v>
      </c>
      <c r="B399" s="8" t="s">
        <v>114</v>
      </c>
      <c r="C399" s="8" t="s">
        <v>115</v>
      </c>
      <c r="D399" s="8" t="s">
        <v>26</v>
      </c>
      <c r="E399" s="8" t="s">
        <v>414</v>
      </c>
      <c r="F399" s="8" t="s">
        <v>77</v>
      </c>
      <c r="G399" s="25">
        <v>46272</v>
      </c>
      <c r="H399" s="25">
        <v>46279</v>
      </c>
      <c r="I399" s="8" t="s">
        <v>4</v>
      </c>
      <c r="J399" s="8" t="s">
        <v>4</v>
      </c>
      <c r="K399" s="25"/>
      <c r="L399" s="8" t="s">
        <v>807</v>
      </c>
      <c r="M399" s="8"/>
      <c r="N399" s="10"/>
      <c r="O399" s="8" t="s">
        <v>1178</v>
      </c>
    </row>
    <row r="400" ht="32" customHeight="1" spans="1:15">
      <c r="A400" s="8">
        <v>13</v>
      </c>
      <c r="B400" s="8" t="s">
        <v>116</v>
      </c>
      <c r="C400" s="8" t="s">
        <v>117</v>
      </c>
      <c r="D400" s="8" t="s">
        <v>26</v>
      </c>
      <c r="E400" s="8" t="s">
        <v>414</v>
      </c>
      <c r="F400" s="8" t="s">
        <v>77</v>
      </c>
      <c r="G400" s="25">
        <v>46272</v>
      </c>
      <c r="H400" s="25">
        <v>46279</v>
      </c>
      <c r="I400" s="8" t="s">
        <v>4</v>
      </c>
      <c r="J400" s="8" t="s">
        <v>4</v>
      </c>
      <c r="K400" s="25"/>
      <c r="L400" s="8" t="s">
        <v>807</v>
      </c>
      <c r="M400" s="8"/>
      <c r="N400" s="10"/>
      <c r="O400" s="8" t="s">
        <v>1179</v>
      </c>
    </row>
    <row r="401" ht="32" customHeight="1" spans="1:15">
      <c r="A401" s="8">
        <v>13</v>
      </c>
      <c r="B401" s="8" t="s">
        <v>255</v>
      </c>
      <c r="C401" s="8" t="s">
        <v>258</v>
      </c>
      <c r="D401" s="8" t="s">
        <v>26</v>
      </c>
      <c r="E401" s="8" t="s">
        <v>414</v>
      </c>
      <c r="F401" s="8" t="s">
        <v>77</v>
      </c>
      <c r="G401" s="25">
        <v>46272</v>
      </c>
      <c r="H401" s="25">
        <v>46279</v>
      </c>
      <c r="I401" s="8" t="s">
        <v>4</v>
      </c>
      <c r="J401" s="8" t="s">
        <v>4</v>
      </c>
      <c r="K401" s="25"/>
      <c r="L401" s="8" t="s">
        <v>807</v>
      </c>
      <c r="M401" s="8"/>
      <c r="N401" s="10"/>
      <c r="O401" s="8" t="s">
        <v>1180</v>
      </c>
    </row>
    <row r="402" ht="32" customHeight="1" spans="1:15">
      <c r="A402" s="8">
        <v>13</v>
      </c>
      <c r="B402" s="8" t="s">
        <v>259</v>
      </c>
      <c r="C402" s="8" t="s">
        <v>260</v>
      </c>
      <c r="D402" s="8" t="s">
        <v>26</v>
      </c>
      <c r="E402" s="8" t="s">
        <v>414</v>
      </c>
      <c r="F402" s="8" t="s">
        <v>77</v>
      </c>
      <c r="G402" s="25">
        <v>46272</v>
      </c>
      <c r="H402" s="25">
        <v>46279</v>
      </c>
      <c r="I402" s="8" t="s">
        <v>4</v>
      </c>
      <c r="J402" s="8" t="s">
        <v>4</v>
      </c>
      <c r="K402" s="25"/>
      <c r="L402" s="8" t="s">
        <v>807</v>
      </c>
      <c r="M402" s="8"/>
      <c r="N402" s="10"/>
      <c r="O402" s="8" t="s">
        <v>1181</v>
      </c>
    </row>
    <row r="403" ht="32" customHeight="1" spans="1:15">
      <c r="A403" s="8">
        <v>13</v>
      </c>
      <c r="B403" s="8" t="s">
        <v>261</v>
      </c>
      <c r="C403" s="8" t="s">
        <v>262</v>
      </c>
      <c r="D403" s="8" t="s">
        <v>26</v>
      </c>
      <c r="E403" s="8" t="s">
        <v>414</v>
      </c>
      <c r="F403" s="8" t="s">
        <v>77</v>
      </c>
      <c r="G403" s="25">
        <v>46272</v>
      </c>
      <c r="H403" s="25">
        <v>46279</v>
      </c>
      <c r="I403" s="8" t="s">
        <v>4</v>
      </c>
      <c r="J403" s="8" t="s">
        <v>4</v>
      </c>
      <c r="K403" s="25">
        <v>46261</v>
      </c>
      <c r="L403" s="8" t="s">
        <v>807</v>
      </c>
      <c r="M403" s="8"/>
      <c r="N403" s="10"/>
      <c r="O403" s="8" t="s">
        <v>1182</v>
      </c>
    </row>
    <row r="404" ht="32" customHeight="1" spans="1:15">
      <c r="A404" s="8">
        <v>13</v>
      </c>
      <c r="B404" s="8" t="s">
        <v>107</v>
      </c>
      <c r="C404" s="8" t="s">
        <v>109</v>
      </c>
      <c r="D404" s="8" t="s">
        <v>26</v>
      </c>
      <c r="E404" s="8" t="s">
        <v>406</v>
      </c>
      <c r="F404" s="8" t="s">
        <v>76</v>
      </c>
      <c r="G404" s="25">
        <v>46272</v>
      </c>
      <c r="H404" s="25">
        <v>46279</v>
      </c>
      <c r="I404" s="8" t="s">
        <v>4</v>
      </c>
      <c r="J404" s="8" t="s">
        <v>4</v>
      </c>
      <c r="K404" s="25"/>
      <c r="L404" s="8" t="s">
        <v>807</v>
      </c>
      <c r="M404" s="8"/>
      <c r="N404" s="10"/>
      <c r="O404" s="8" t="s">
        <v>1183</v>
      </c>
    </row>
    <row r="405" ht="32" customHeight="1" spans="1:15">
      <c r="A405" s="8">
        <v>13</v>
      </c>
      <c r="B405" s="8" t="s">
        <v>110</v>
      </c>
      <c r="C405" s="8" t="s">
        <v>111</v>
      </c>
      <c r="D405" s="8" t="s">
        <v>26</v>
      </c>
      <c r="E405" s="8" t="s">
        <v>406</v>
      </c>
      <c r="F405" s="8" t="s">
        <v>76</v>
      </c>
      <c r="G405" s="25">
        <v>46272</v>
      </c>
      <c r="H405" s="25">
        <v>46279</v>
      </c>
      <c r="I405" s="8" t="s">
        <v>4</v>
      </c>
      <c r="J405" s="8" t="s">
        <v>4</v>
      </c>
      <c r="K405" s="25"/>
      <c r="L405" s="8" t="s">
        <v>807</v>
      </c>
      <c r="M405" s="8"/>
      <c r="N405" s="10"/>
      <c r="O405" s="8" t="s">
        <v>1184</v>
      </c>
    </row>
    <row r="406" ht="32" customHeight="1" spans="1:15">
      <c r="A406" s="8">
        <v>13</v>
      </c>
      <c r="B406" s="8" t="s">
        <v>112</v>
      </c>
      <c r="C406" s="8" t="s">
        <v>113</v>
      </c>
      <c r="D406" s="8" t="s">
        <v>26</v>
      </c>
      <c r="E406" s="8" t="s">
        <v>406</v>
      </c>
      <c r="F406" s="8" t="s">
        <v>76</v>
      </c>
      <c r="G406" s="25">
        <v>46272</v>
      </c>
      <c r="H406" s="25">
        <v>46279</v>
      </c>
      <c r="I406" s="8" t="s">
        <v>4</v>
      </c>
      <c r="J406" s="8" t="s">
        <v>4</v>
      </c>
      <c r="K406" s="25"/>
      <c r="L406" s="8" t="s">
        <v>807</v>
      </c>
      <c r="M406" s="8"/>
      <c r="N406" s="10"/>
      <c r="O406" s="8" t="s">
        <v>1185</v>
      </c>
    </row>
    <row r="407" ht="32" customHeight="1" spans="1:15">
      <c r="A407" s="8">
        <v>13</v>
      </c>
      <c r="B407" s="8" t="s">
        <v>114</v>
      </c>
      <c r="C407" s="8" t="s">
        <v>115</v>
      </c>
      <c r="D407" s="8" t="s">
        <v>26</v>
      </c>
      <c r="E407" s="8" t="s">
        <v>406</v>
      </c>
      <c r="F407" s="8" t="s">
        <v>76</v>
      </c>
      <c r="G407" s="25">
        <v>46272</v>
      </c>
      <c r="H407" s="25">
        <v>46279</v>
      </c>
      <c r="I407" s="8" t="s">
        <v>4</v>
      </c>
      <c r="J407" s="8" t="s">
        <v>4</v>
      </c>
      <c r="K407" s="25"/>
      <c r="L407" s="8" t="s">
        <v>807</v>
      </c>
      <c r="M407" s="8"/>
      <c r="N407" s="10"/>
      <c r="O407" s="8" t="s">
        <v>1186</v>
      </c>
    </row>
    <row r="408" ht="32" customHeight="1" spans="1:15">
      <c r="A408" s="8">
        <v>13</v>
      </c>
      <c r="B408" s="8" t="s">
        <v>116</v>
      </c>
      <c r="C408" s="8" t="s">
        <v>117</v>
      </c>
      <c r="D408" s="8" t="s">
        <v>26</v>
      </c>
      <c r="E408" s="8" t="s">
        <v>406</v>
      </c>
      <c r="F408" s="8" t="s">
        <v>76</v>
      </c>
      <c r="G408" s="25">
        <v>46272</v>
      </c>
      <c r="H408" s="25">
        <v>46279</v>
      </c>
      <c r="I408" s="8" t="s">
        <v>4</v>
      </c>
      <c r="J408" s="8" t="s">
        <v>4</v>
      </c>
      <c r="K408" s="25"/>
      <c r="L408" s="8" t="s">
        <v>807</v>
      </c>
      <c r="M408" s="8"/>
      <c r="N408" s="10"/>
      <c r="O408" s="8" t="s">
        <v>1187</v>
      </c>
    </row>
    <row r="409" ht="32" customHeight="1" spans="1:15">
      <c r="A409" s="8">
        <v>13</v>
      </c>
      <c r="B409" s="8" t="s">
        <v>255</v>
      </c>
      <c r="C409" s="8" t="s">
        <v>258</v>
      </c>
      <c r="D409" s="8" t="s">
        <v>26</v>
      </c>
      <c r="E409" s="8" t="s">
        <v>406</v>
      </c>
      <c r="F409" s="8" t="s">
        <v>76</v>
      </c>
      <c r="G409" s="25">
        <v>46272</v>
      </c>
      <c r="H409" s="25">
        <v>46279</v>
      </c>
      <c r="I409" s="8" t="s">
        <v>4</v>
      </c>
      <c r="J409" s="8" t="s">
        <v>4</v>
      </c>
      <c r="K409" s="25"/>
      <c r="L409" s="8" t="s">
        <v>807</v>
      </c>
      <c r="M409" s="8"/>
      <c r="N409" s="10"/>
      <c r="O409" s="8" t="s">
        <v>1188</v>
      </c>
    </row>
    <row r="410" ht="32" customHeight="1" spans="1:15">
      <c r="A410" s="8">
        <v>13</v>
      </c>
      <c r="B410" s="8" t="s">
        <v>259</v>
      </c>
      <c r="C410" s="8" t="s">
        <v>260</v>
      </c>
      <c r="D410" s="8" t="s">
        <v>26</v>
      </c>
      <c r="E410" s="8" t="s">
        <v>406</v>
      </c>
      <c r="F410" s="8" t="s">
        <v>76</v>
      </c>
      <c r="G410" s="25">
        <v>46272</v>
      </c>
      <c r="H410" s="25">
        <v>46279</v>
      </c>
      <c r="I410" s="8" t="s">
        <v>4</v>
      </c>
      <c r="J410" s="8" t="s">
        <v>4</v>
      </c>
      <c r="K410" s="25"/>
      <c r="L410" s="8" t="s">
        <v>807</v>
      </c>
      <c r="M410" s="8"/>
      <c r="N410" s="10"/>
      <c r="O410" s="8" t="s">
        <v>1189</v>
      </c>
    </row>
    <row r="411" ht="32" customHeight="1" spans="1:15">
      <c r="A411" s="8">
        <v>13</v>
      </c>
      <c r="B411" s="8" t="s">
        <v>261</v>
      </c>
      <c r="C411" s="8" t="s">
        <v>262</v>
      </c>
      <c r="D411" s="8" t="s">
        <v>26</v>
      </c>
      <c r="E411" s="8" t="s">
        <v>406</v>
      </c>
      <c r="F411" s="8" t="s">
        <v>76</v>
      </c>
      <c r="G411" s="25">
        <v>46272</v>
      </c>
      <c r="H411" s="25">
        <v>46279</v>
      </c>
      <c r="I411" s="8" t="s">
        <v>4</v>
      </c>
      <c r="J411" s="8" t="s">
        <v>4</v>
      </c>
      <c r="K411" s="25">
        <v>46261</v>
      </c>
      <c r="L411" s="8" t="s">
        <v>807</v>
      </c>
      <c r="M411" s="8"/>
      <c r="N411" s="10"/>
      <c r="O411" s="8" t="s">
        <v>1190</v>
      </c>
    </row>
    <row r="412" ht="32" customHeight="1" spans="1:15">
      <c r="A412" s="8">
        <v>14</v>
      </c>
      <c r="B412" s="8" t="s">
        <v>149</v>
      </c>
      <c r="C412" s="8" t="s">
        <v>151</v>
      </c>
      <c r="D412" s="8" t="s">
        <v>26</v>
      </c>
      <c r="E412" s="8" t="s">
        <v>414</v>
      </c>
      <c r="F412" s="8" t="s">
        <v>152</v>
      </c>
      <c r="G412" s="25">
        <v>46286</v>
      </c>
      <c r="H412" s="25">
        <v>46289</v>
      </c>
      <c r="I412" s="8" t="s">
        <v>5</v>
      </c>
      <c r="J412" s="8" t="s">
        <v>5</v>
      </c>
      <c r="K412" s="25"/>
      <c r="L412" s="8" t="s">
        <v>807</v>
      </c>
      <c r="M412" s="8"/>
      <c r="N412" s="10"/>
      <c r="O412" s="8" t="s">
        <v>1191</v>
      </c>
    </row>
    <row r="413" ht="32" customHeight="1" spans="1:15">
      <c r="A413" s="8">
        <v>14</v>
      </c>
      <c r="B413" s="8" t="s">
        <v>153</v>
      </c>
      <c r="C413" s="8" t="s">
        <v>154</v>
      </c>
      <c r="D413" s="8" t="s">
        <v>26</v>
      </c>
      <c r="E413" s="8" t="s">
        <v>414</v>
      </c>
      <c r="F413" s="8" t="s">
        <v>152</v>
      </c>
      <c r="G413" s="25">
        <v>46286</v>
      </c>
      <c r="H413" s="25">
        <v>46289</v>
      </c>
      <c r="I413" s="8" t="s">
        <v>5</v>
      </c>
      <c r="J413" s="8" t="s">
        <v>5</v>
      </c>
      <c r="K413" s="25"/>
      <c r="L413" s="8" t="s">
        <v>807</v>
      </c>
      <c r="M413" s="8"/>
      <c r="N413" s="10"/>
      <c r="O413" s="8" t="s">
        <v>1192</v>
      </c>
    </row>
    <row r="414" ht="32" customHeight="1" spans="1:15">
      <c r="A414" s="8">
        <v>14</v>
      </c>
      <c r="B414" s="8" t="s">
        <v>155</v>
      </c>
      <c r="C414" s="8" t="s">
        <v>156</v>
      </c>
      <c r="D414" s="8" t="s">
        <v>26</v>
      </c>
      <c r="E414" s="8" t="s">
        <v>414</v>
      </c>
      <c r="F414" s="8" t="s">
        <v>152</v>
      </c>
      <c r="G414" s="25">
        <v>46286</v>
      </c>
      <c r="H414" s="25">
        <v>46289</v>
      </c>
      <c r="I414" s="8" t="s">
        <v>5</v>
      </c>
      <c r="J414" s="8" t="s">
        <v>5</v>
      </c>
      <c r="K414" s="25"/>
      <c r="L414" s="8" t="s">
        <v>807</v>
      </c>
      <c r="M414" s="8"/>
      <c r="N414" s="10"/>
      <c r="O414" s="8" t="s">
        <v>1193</v>
      </c>
    </row>
    <row r="415" ht="32" customHeight="1" spans="1:15">
      <c r="A415" s="8">
        <v>14</v>
      </c>
      <c r="B415" s="8" t="s">
        <v>149</v>
      </c>
      <c r="C415" s="8" t="s">
        <v>151</v>
      </c>
      <c r="D415" s="8" t="s">
        <v>26</v>
      </c>
      <c r="E415" s="8" t="s">
        <v>406</v>
      </c>
      <c r="F415" s="8" t="s">
        <v>152</v>
      </c>
      <c r="G415" s="25">
        <v>46286</v>
      </c>
      <c r="H415" s="25">
        <v>46289</v>
      </c>
      <c r="I415" s="8" t="s">
        <v>5</v>
      </c>
      <c r="J415" s="8" t="s">
        <v>5</v>
      </c>
      <c r="K415" s="25"/>
      <c r="L415" s="8" t="s">
        <v>807</v>
      </c>
      <c r="M415" s="8"/>
      <c r="N415" s="10"/>
      <c r="O415" s="8" t="s">
        <v>1194</v>
      </c>
    </row>
    <row r="416" ht="32" customHeight="1" spans="1:15">
      <c r="A416" s="8">
        <v>14</v>
      </c>
      <c r="B416" s="8" t="s">
        <v>153</v>
      </c>
      <c r="C416" s="8" t="s">
        <v>154</v>
      </c>
      <c r="D416" s="8" t="s">
        <v>26</v>
      </c>
      <c r="E416" s="8" t="s">
        <v>406</v>
      </c>
      <c r="F416" s="8" t="s">
        <v>152</v>
      </c>
      <c r="G416" s="25">
        <v>46286</v>
      </c>
      <c r="H416" s="25">
        <v>46289</v>
      </c>
      <c r="I416" s="8" t="s">
        <v>5</v>
      </c>
      <c r="J416" s="8" t="s">
        <v>5</v>
      </c>
      <c r="K416" s="25"/>
      <c r="L416" s="8" t="s">
        <v>807</v>
      </c>
      <c r="M416" s="8"/>
      <c r="N416" s="10"/>
      <c r="O416" s="8" t="s">
        <v>1195</v>
      </c>
    </row>
    <row r="417" ht="32" customHeight="1" spans="1:15">
      <c r="A417" s="8">
        <v>14</v>
      </c>
      <c r="B417" s="8" t="s">
        <v>155</v>
      </c>
      <c r="C417" s="8" t="s">
        <v>156</v>
      </c>
      <c r="D417" s="8" t="s">
        <v>26</v>
      </c>
      <c r="E417" s="8" t="s">
        <v>406</v>
      </c>
      <c r="F417" s="8" t="s">
        <v>152</v>
      </c>
      <c r="G417" s="25">
        <v>46286</v>
      </c>
      <c r="H417" s="25">
        <v>46289</v>
      </c>
      <c r="I417" s="8" t="s">
        <v>5</v>
      </c>
      <c r="J417" s="8" t="s">
        <v>5</v>
      </c>
      <c r="K417" s="25"/>
      <c r="L417" s="8" t="s">
        <v>807</v>
      </c>
      <c r="M417" s="8"/>
      <c r="N417" s="10"/>
      <c r="O417" s="8" t="s">
        <v>1196</v>
      </c>
    </row>
    <row r="418" ht="32" customHeight="1" spans="1:15">
      <c r="A418" s="8">
        <v>16</v>
      </c>
      <c r="B418" s="8" t="s">
        <v>118</v>
      </c>
      <c r="C418" s="8" t="s">
        <v>119</v>
      </c>
      <c r="D418" s="8" t="s">
        <v>26</v>
      </c>
      <c r="E418" s="8" t="s">
        <v>414</v>
      </c>
      <c r="F418" s="8" t="s">
        <v>77</v>
      </c>
      <c r="G418" s="25">
        <v>46272</v>
      </c>
      <c r="H418" s="25">
        <v>46304</v>
      </c>
      <c r="I418" s="8" t="s">
        <v>5</v>
      </c>
      <c r="J418" s="8" t="s">
        <v>5</v>
      </c>
      <c r="K418" s="25"/>
      <c r="L418" s="8" t="s">
        <v>807</v>
      </c>
      <c r="M418" s="8"/>
      <c r="N418" s="10"/>
      <c r="O418" s="8" t="s">
        <v>1197</v>
      </c>
    </row>
    <row r="419" ht="32" customHeight="1" spans="1:15">
      <c r="A419" s="8">
        <v>16</v>
      </c>
      <c r="B419" s="8" t="s">
        <v>201</v>
      </c>
      <c r="C419" s="8" t="s">
        <v>203</v>
      </c>
      <c r="D419" s="8" t="s">
        <v>26</v>
      </c>
      <c r="E419" s="8" t="s">
        <v>414</v>
      </c>
      <c r="F419" s="8" t="s">
        <v>77</v>
      </c>
      <c r="G419" s="25">
        <v>46272</v>
      </c>
      <c r="H419" s="25">
        <v>46304</v>
      </c>
      <c r="I419" s="8" t="s">
        <v>5</v>
      </c>
      <c r="J419" s="8" t="s">
        <v>5</v>
      </c>
      <c r="K419" s="25">
        <v>46224</v>
      </c>
      <c r="L419" s="8" t="s">
        <v>807</v>
      </c>
      <c r="M419" s="8"/>
      <c r="N419" s="10"/>
      <c r="O419" s="8" t="s">
        <v>1198</v>
      </c>
    </row>
    <row r="420" ht="32" customHeight="1" spans="1:15">
      <c r="A420" s="8">
        <v>16</v>
      </c>
      <c r="B420" s="8" t="s">
        <v>204</v>
      </c>
      <c r="C420" s="8" t="s">
        <v>205</v>
      </c>
      <c r="D420" s="8" t="s">
        <v>26</v>
      </c>
      <c r="E420" s="8" t="s">
        <v>414</v>
      </c>
      <c r="F420" s="8" t="s">
        <v>77</v>
      </c>
      <c r="G420" s="25">
        <v>46272</v>
      </c>
      <c r="H420" s="25">
        <v>46304</v>
      </c>
      <c r="I420" s="8" t="s">
        <v>5</v>
      </c>
      <c r="J420" s="8" t="s">
        <v>5</v>
      </c>
      <c r="K420" s="25">
        <v>46224</v>
      </c>
      <c r="L420" s="8" t="s">
        <v>807</v>
      </c>
      <c r="M420" s="8"/>
      <c r="N420" s="10"/>
      <c r="O420" s="8" t="s">
        <v>1199</v>
      </c>
    </row>
    <row r="421" ht="32" customHeight="1" spans="1:15">
      <c r="A421" s="8">
        <v>16</v>
      </c>
      <c r="B421" s="8" t="s">
        <v>206</v>
      </c>
      <c r="C421" s="8" t="s">
        <v>207</v>
      </c>
      <c r="D421" s="8" t="s">
        <v>26</v>
      </c>
      <c r="E421" s="8" t="s">
        <v>414</v>
      </c>
      <c r="F421" s="8" t="s">
        <v>77</v>
      </c>
      <c r="G421" s="25">
        <v>46272</v>
      </c>
      <c r="H421" s="25">
        <v>46304</v>
      </c>
      <c r="I421" s="8" t="s">
        <v>5</v>
      </c>
      <c r="J421" s="8" t="s">
        <v>5</v>
      </c>
      <c r="K421" s="25">
        <v>46224</v>
      </c>
      <c r="L421" s="8" t="s">
        <v>807</v>
      </c>
      <c r="M421" s="8"/>
      <c r="N421" s="10"/>
      <c r="O421" s="8" t="s">
        <v>1200</v>
      </c>
    </row>
    <row r="422" ht="32" customHeight="1" spans="1:15">
      <c r="A422" s="8">
        <v>16</v>
      </c>
      <c r="B422" s="8" t="s">
        <v>208</v>
      </c>
      <c r="C422" s="8" t="s">
        <v>209</v>
      </c>
      <c r="D422" s="8" t="s">
        <v>26</v>
      </c>
      <c r="E422" s="8" t="s">
        <v>414</v>
      </c>
      <c r="F422" s="8" t="s">
        <v>77</v>
      </c>
      <c r="G422" s="25">
        <v>46272</v>
      </c>
      <c r="H422" s="25">
        <v>46304</v>
      </c>
      <c r="I422" s="8" t="s">
        <v>5</v>
      </c>
      <c r="J422" s="8" t="s">
        <v>5</v>
      </c>
      <c r="K422" s="25"/>
      <c r="L422" s="8" t="s">
        <v>807</v>
      </c>
      <c r="M422" s="8"/>
      <c r="N422" s="10"/>
      <c r="O422" s="8" t="s">
        <v>1201</v>
      </c>
    </row>
    <row r="423" ht="32" customHeight="1" spans="1:15">
      <c r="A423" s="8">
        <v>16</v>
      </c>
      <c r="B423" s="8" t="s">
        <v>210</v>
      </c>
      <c r="C423" s="8" t="s">
        <v>211</v>
      </c>
      <c r="D423" s="8" t="s">
        <v>26</v>
      </c>
      <c r="E423" s="8" t="s">
        <v>414</v>
      </c>
      <c r="F423" s="8" t="s">
        <v>77</v>
      </c>
      <c r="G423" s="25">
        <v>46272</v>
      </c>
      <c r="H423" s="25">
        <v>46304</v>
      </c>
      <c r="I423" s="8" t="s">
        <v>5</v>
      </c>
      <c r="J423" s="8" t="s">
        <v>5</v>
      </c>
      <c r="K423" s="25">
        <v>46224</v>
      </c>
      <c r="L423" s="8" t="s">
        <v>807</v>
      </c>
      <c r="M423" s="8"/>
      <c r="N423" s="10"/>
      <c r="O423" s="8" t="s">
        <v>1202</v>
      </c>
    </row>
    <row r="424" ht="32" customHeight="1" spans="1:15">
      <c r="A424" s="8">
        <v>16</v>
      </c>
      <c r="B424" s="8" t="s">
        <v>385</v>
      </c>
      <c r="C424" s="8" t="s">
        <v>386</v>
      </c>
      <c r="D424" s="8" t="s">
        <v>26</v>
      </c>
      <c r="E424" s="8" t="s">
        <v>414</v>
      </c>
      <c r="F424" s="8" t="s">
        <v>77</v>
      </c>
      <c r="G424" s="25">
        <v>46272</v>
      </c>
      <c r="H424" s="25">
        <v>46304</v>
      </c>
      <c r="I424" s="8" t="s">
        <v>5</v>
      </c>
      <c r="J424" s="8" t="s">
        <v>5</v>
      </c>
      <c r="K424" s="25"/>
      <c r="L424" s="8" t="s">
        <v>807</v>
      </c>
      <c r="M424" s="8"/>
      <c r="N424" s="10"/>
      <c r="O424" s="8" t="s">
        <v>1203</v>
      </c>
    </row>
    <row r="425" ht="32" customHeight="1" spans="1:15">
      <c r="A425" s="8">
        <v>16</v>
      </c>
      <c r="B425" s="8" t="s">
        <v>118</v>
      </c>
      <c r="C425" s="8" t="s">
        <v>119</v>
      </c>
      <c r="D425" s="8" t="s">
        <v>26</v>
      </c>
      <c r="E425" s="8" t="s">
        <v>406</v>
      </c>
      <c r="F425" s="8" t="s">
        <v>76</v>
      </c>
      <c r="G425" s="25">
        <v>46272</v>
      </c>
      <c r="H425" s="25">
        <v>46304</v>
      </c>
      <c r="I425" s="8" t="s">
        <v>5</v>
      </c>
      <c r="J425" s="8" t="s">
        <v>5</v>
      </c>
      <c r="K425" s="25"/>
      <c r="L425" s="8" t="s">
        <v>807</v>
      </c>
      <c r="M425" s="8"/>
      <c r="N425" s="10"/>
      <c r="O425" s="8" t="s">
        <v>1204</v>
      </c>
    </row>
    <row r="426" ht="32" customHeight="1" spans="1:15">
      <c r="A426" s="8">
        <v>16</v>
      </c>
      <c r="B426" s="8" t="s">
        <v>201</v>
      </c>
      <c r="C426" s="8" t="s">
        <v>203</v>
      </c>
      <c r="D426" s="8" t="s">
        <v>26</v>
      </c>
      <c r="E426" s="8" t="s">
        <v>406</v>
      </c>
      <c r="F426" s="8" t="s">
        <v>76</v>
      </c>
      <c r="G426" s="25">
        <v>46272</v>
      </c>
      <c r="H426" s="25">
        <v>46304</v>
      </c>
      <c r="I426" s="8" t="s">
        <v>5</v>
      </c>
      <c r="J426" s="8" t="s">
        <v>5</v>
      </c>
      <c r="K426" s="25">
        <v>46224</v>
      </c>
      <c r="L426" s="8" t="s">
        <v>807</v>
      </c>
      <c r="M426" s="8"/>
      <c r="N426" s="10"/>
      <c r="O426" s="8" t="s">
        <v>1205</v>
      </c>
    </row>
    <row r="427" ht="32" customHeight="1" spans="1:15">
      <c r="A427" s="8">
        <v>16</v>
      </c>
      <c r="B427" s="8" t="s">
        <v>204</v>
      </c>
      <c r="C427" s="8" t="s">
        <v>205</v>
      </c>
      <c r="D427" s="8" t="s">
        <v>26</v>
      </c>
      <c r="E427" s="8" t="s">
        <v>406</v>
      </c>
      <c r="F427" s="8" t="s">
        <v>76</v>
      </c>
      <c r="G427" s="25">
        <v>46272</v>
      </c>
      <c r="H427" s="25">
        <v>46304</v>
      </c>
      <c r="I427" s="8" t="s">
        <v>5</v>
      </c>
      <c r="J427" s="8" t="s">
        <v>5</v>
      </c>
      <c r="K427" s="25">
        <v>46224</v>
      </c>
      <c r="L427" s="8" t="s">
        <v>807</v>
      </c>
      <c r="M427" s="8"/>
      <c r="N427" s="10"/>
      <c r="O427" s="8" t="s">
        <v>1206</v>
      </c>
    </row>
    <row r="428" ht="32" customHeight="1" spans="1:15">
      <c r="A428" s="8">
        <v>16</v>
      </c>
      <c r="B428" s="8" t="s">
        <v>206</v>
      </c>
      <c r="C428" s="8" t="s">
        <v>207</v>
      </c>
      <c r="D428" s="8" t="s">
        <v>26</v>
      </c>
      <c r="E428" s="8" t="s">
        <v>406</v>
      </c>
      <c r="F428" s="8" t="s">
        <v>76</v>
      </c>
      <c r="G428" s="25">
        <v>46272</v>
      </c>
      <c r="H428" s="25">
        <v>46304</v>
      </c>
      <c r="I428" s="8" t="s">
        <v>5</v>
      </c>
      <c r="J428" s="8" t="s">
        <v>5</v>
      </c>
      <c r="K428" s="25">
        <v>46224</v>
      </c>
      <c r="L428" s="8" t="s">
        <v>807</v>
      </c>
      <c r="M428" s="8"/>
      <c r="N428" s="10"/>
      <c r="O428" s="8" t="s">
        <v>1207</v>
      </c>
    </row>
    <row r="429" ht="32" customHeight="1" spans="1:15">
      <c r="A429" s="8">
        <v>16</v>
      </c>
      <c r="B429" s="8" t="s">
        <v>208</v>
      </c>
      <c r="C429" s="8" t="s">
        <v>209</v>
      </c>
      <c r="D429" s="8" t="s">
        <v>26</v>
      </c>
      <c r="E429" s="8" t="s">
        <v>406</v>
      </c>
      <c r="F429" s="8" t="s">
        <v>76</v>
      </c>
      <c r="G429" s="25">
        <v>46272</v>
      </c>
      <c r="H429" s="25">
        <v>46304</v>
      </c>
      <c r="I429" s="8" t="s">
        <v>5</v>
      </c>
      <c r="J429" s="8" t="s">
        <v>5</v>
      </c>
      <c r="K429" s="25"/>
      <c r="L429" s="8" t="s">
        <v>807</v>
      </c>
      <c r="M429" s="8"/>
      <c r="N429" s="10"/>
      <c r="O429" s="8" t="s">
        <v>1208</v>
      </c>
    </row>
    <row r="430" ht="32" customHeight="1" spans="1:15">
      <c r="A430" s="8">
        <v>16</v>
      </c>
      <c r="B430" s="8" t="s">
        <v>210</v>
      </c>
      <c r="C430" s="8" t="s">
        <v>211</v>
      </c>
      <c r="D430" s="8" t="s">
        <v>26</v>
      </c>
      <c r="E430" s="8" t="s">
        <v>406</v>
      </c>
      <c r="F430" s="8" t="s">
        <v>76</v>
      </c>
      <c r="G430" s="25">
        <v>46272</v>
      </c>
      <c r="H430" s="25">
        <v>46304</v>
      </c>
      <c r="I430" s="8" t="s">
        <v>5</v>
      </c>
      <c r="J430" s="8" t="s">
        <v>5</v>
      </c>
      <c r="K430" s="25">
        <v>46224</v>
      </c>
      <c r="L430" s="8" t="s">
        <v>807</v>
      </c>
      <c r="M430" s="8"/>
      <c r="N430" s="10"/>
      <c r="O430" s="8" t="s">
        <v>1209</v>
      </c>
    </row>
    <row r="431" ht="32" customHeight="1" spans="1:15">
      <c r="A431" s="8">
        <v>16</v>
      </c>
      <c r="B431" s="8" t="s">
        <v>385</v>
      </c>
      <c r="C431" s="8" t="s">
        <v>386</v>
      </c>
      <c r="D431" s="8" t="s">
        <v>26</v>
      </c>
      <c r="E431" s="8" t="s">
        <v>406</v>
      </c>
      <c r="F431" s="8" t="s">
        <v>76</v>
      </c>
      <c r="G431" s="25">
        <v>46272</v>
      </c>
      <c r="H431" s="25">
        <v>46304</v>
      </c>
      <c r="I431" s="8" t="s">
        <v>5</v>
      </c>
      <c r="J431" s="8" t="s">
        <v>5</v>
      </c>
      <c r="K431" s="25"/>
      <c r="L431" s="8" t="s">
        <v>807</v>
      </c>
      <c r="M431" s="8"/>
      <c r="N431" s="10"/>
      <c r="O431" s="8" t="s">
        <v>1210</v>
      </c>
    </row>
    <row r="432" ht="32" customHeight="1" spans="1:15">
      <c r="A432" s="8">
        <v>17</v>
      </c>
      <c r="B432" s="8" t="s">
        <v>272</v>
      </c>
      <c r="C432" s="8" t="s">
        <v>265</v>
      </c>
      <c r="D432" s="8" t="s">
        <v>26</v>
      </c>
      <c r="E432" s="8" t="s">
        <v>414</v>
      </c>
      <c r="F432" s="8" t="s">
        <v>152</v>
      </c>
      <c r="G432" s="25">
        <v>46293</v>
      </c>
      <c r="H432" s="25">
        <v>46311</v>
      </c>
      <c r="I432" s="8" t="s">
        <v>5</v>
      </c>
      <c r="J432" s="8" t="s">
        <v>5</v>
      </c>
      <c r="K432" s="25">
        <v>46224</v>
      </c>
      <c r="L432" s="8" t="s">
        <v>807</v>
      </c>
      <c r="M432" s="8"/>
      <c r="N432" s="10"/>
      <c r="O432" s="8" t="s">
        <v>1211</v>
      </c>
    </row>
    <row r="433" ht="32" customHeight="1" spans="1:15">
      <c r="A433" s="8">
        <v>17</v>
      </c>
      <c r="B433" s="8" t="s">
        <v>274</v>
      </c>
      <c r="C433" s="8" t="s">
        <v>267</v>
      </c>
      <c r="D433" s="8" t="s">
        <v>26</v>
      </c>
      <c r="E433" s="8" t="s">
        <v>414</v>
      </c>
      <c r="F433" s="8" t="s">
        <v>77</v>
      </c>
      <c r="G433" s="25">
        <v>46293</v>
      </c>
      <c r="H433" s="25">
        <v>46311</v>
      </c>
      <c r="I433" s="8" t="s">
        <v>5</v>
      </c>
      <c r="J433" s="8" t="s">
        <v>5</v>
      </c>
      <c r="K433" s="25">
        <v>46224</v>
      </c>
      <c r="L433" s="8" t="s">
        <v>807</v>
      </c>
      <c r="M433" s="8"/>
      <c r="N433" s="10"/>
      <c r="O433" s="8" t="s">
        <v>1212</v>
      </c>
    </row>
    <row r="434" ht="32" customHeight="1" spans="1:15">
      <c r="A434" s="8">
        <v>17</v>
      </c>
      <c r="B434" s="8" t="s">
        <v>275</v>
      </c>
      <c r="C434" s="8" t="s">
        <v>265</v>
      </c>
      <c r="D434" s="8" t="s">
        <v>26</v>
      </c>
      <c r="E434" s="8" t="s">
        <v>414</v>
      </c>
      <c r="F434" s="8" t="s">
        <v>152</v>
      </c>
      <c r="G434" s="25">
        <v>46293</v>
      </c>
      <c r="H434" s="25">
        <v>46311</v>
      </c>
      <c r="I434" s="8" t="s">
        <v>5</v>
      </c>
      <c r="J434" s="8" t="s">
        <v>5</v>
      </c>
      <c r="K434" s="25">
        <v>46224</v>
      </c>
      <c r="L434" s="8" t="s">
        <v>807</v>
      </c>
      <c r="M434" s="8"/>
      <c r="N434" s="10"/>
      <c r="O434" s="8" t="s">
        <v>1213</v>
      </c>
    </row>
    <row r="435" ht="32" customHeight="1" spans="1:15">
      <c r="A435" s="8">
        <v>17</v>
      </c>
      <c r="B435" s="8" t="s">
        <v>277</v>
      </c>
      <c r="C435" s="8" t="s">
        <v>267</v>
      </c>
      <c r="D435" s="8" t="s">
        <v>26</v>
      </c>
      <c r="E435" s="8" t="s">
        <v>414</v>
      </c>
      <c r="F435" s="8" t="s">
        <v>152</v>
      </c>
      <c r="G435" s="25">
        <v>46293</v>
      </c>
      <c r="H435" s="25">
        <v>46311</v>
      </c>
      <c r="I435" s="8" t="s">
        <v>5</v>
      </c>
      <c r="J435" s="8" t="s">
        <v>5</v>
      </c>
      <c r="K435" s="25"/>
      <c r="L435" s="8" t="s">
        <v>807</v>
      </c>
      <c r="M435" s="8"/>
      <c r="N435" s="10"/>
      <c r="O435" s="8" t="s">
        <v>1214</v>
      </c>
    </row>
    <row r="436" ht="32" customHeight="1" spans="1:15">
      <c r="A436" s="8">
        <v>17</v>
      </c>
      <c r="B436" s="8" t="s">
        <v>272</v>
      </c>
      <c r="C436" s="8" t="s">
        <v>265</v>
      </c>
      <c r="D436" s="8" t="s">
        <v>26</v>
      </c>
      <c r="E436" s="8" t="s">
        <v>406</v>
      </c>
      <c r="F436" s="8" t="s">
        <v>152</v>
      </c>
      <c r="G436" s="25">
        <v>46293</v>
      </c>
      <c r="H436" s="25">
        <v>46311</v>
      </c>
      <c r="I436" s="8" t="s">
        <v>5</v>
      </c>
      <c r="J436" s="8" t="s">
        <v>5</v>
      </c>
      <c r="K436" s="25">
        <v>46224</v>
      </c>
      <c r="L436" s="8" t="s">
        <v>807</v>
      </c>
      <c r="M436" s="8"/>
      <c r="N436" s="10"/>
      <c r="O436" s="8" t="s">
        <v>1215</v>
      </c>
    </row>
    <row r="437" ht="32" customHeight="1" spans="1:15">
      <c r="A437" s="8">
        <v>17</v>
      </c>
      <c r="B437" s="8" t="s">
        <v>274</v>
      </c>
      <c r="C437" s="8" t="s">
        <v>267</v>
      </c>
      <c r="D437" s="8" t="s">
        <v>26</v>
      </c>
      <c r="E437" s="8" t="s">
        <v>406</v>
      </c>
      <c r="F437" s="8" t="s">
        <v>152</v>
      </c>
      <c r="G437" s="25">
        <v>46293</v>
      </c>
      <c r="H437" s="25">
        <v>46311</v>
      </c>
      <c r="I437" s="8" t="s">
        <v>5</v>
      </c>
      <c r="J437" s="8" t="s">
        <v>5</v>
      </c>
      <c r="K437" s="25">
        <v>46224</v>
      </c>
      <c r="L437" s="8" t="s">
        <v>807</v>
      </c>
      <c r="M437" s="8"/>
      <c r="N437" s="10"/>
      <c r="O437" s="8" t="s">
        <v>1216</v>
      </c>
    </row>
    <row r="438" ht="32" customHeight="1" spans="1:15">
      <c r="A438" s="8">
        <v>17</v>
      </c>
      <c r="B438" s="8" t="s">
        <v>275</v>
      </c>
      <c r="C438" s="8" t="s">
        <v>265</v>
      </c>
      <c r="D438" s="8" t="s">
        <v>26</v>
      </c>
      <c r="E438" s="8" t="s">
        <v>406</v>
      </c>
      <c r="F438" s="8" t="s">
        <v>152</v>
      </c>
      <c r="G438" s="25">
        <v>46293</v>
      </c>
      <c r="H438" s="25">
        <v>46311</v>
      </c>
      <c r="I438" s="8" t="s">
        <v>5</v>
      </c>
      <c r="J438" s="8" t="s">
        <v>5</v>
      </c>
      <c r="K438" s="25">
        <v>46224</v>
      </c>
      <c r="L438" s="8" t="s">
        <v>807</v>
      </c>
      <c r="M438" s="8"/>
      <c r="N438" s="10"/>
      <c r="O438" s="8" t="s">
        <v>1217</v>
      </c>
    </row>
    <row r="439" ht="32" customHeight="1" spans="1:15">
      <c r="A439" s="8">
        <v>17</v>
      </c>
      <c r="B439" s="8" t="s">
        <v>277</v>
      </c>
      <c r="C439" s="8" t="s">
        <v>267</v>
      </c>
      <c r="D439" s="8" t="s">
        <v>26</v>
      </c>
      <c r="E439" s="8" t="s">
        <v>406</v>
      </c>
      <c r="F439" s="8" t="s">
        <v>152</v>
      </c>
      <c r="G439" s="25">
        <v>46293</v>
      </c>
      <c r="H439" s="25">
        <v>46311</v>
      </c>
      <c r="I439" s="8" t="s">
        <v>5</v>
      </c>
      <c r="J439" s="8" t="s">
        <v>5</v>
      </c>
      <c r="K439" s="25"/>
      <c r="L439" s="8" t="s">
        <v>807</v>
      </c>
      <c r="M439" s="8"/>
      <c r="N439" s="10"/>
      <c r="O439" s="8" t="s">
        <v>1218</v>
      </c>
    </row>
    <row r="440" ht="32" customHeight="1" spans="1:15">
      <c r="A440" s="8">
        <v>18</v>
      </c>
      <c r="B440" s="8" t="s">
        <v>107</v>
      </c>
      <c r="C440" s="8" t="s">
        <v>109</v>
      </c>
      <c r="D440" s="8" t="s">
        <v>26</v>
      </c>
      <c r="E440" s="8" t="s">
        <v>411</v>
      </c>
      <c r="F440" s="8" t="s">
        <v>78</v>
      </c>
      <c r="G440" s="25">
        <v>46307</v>
      </c>
      <c r="H440" s="25">
        <v>46318</v>
      </c>
      <c r="I440" s="8" t="s">
        <v>5</v>
      </c>
      <c r="J440" s="8" t="s">
        <v>4</v>
      </c>
      <c r="K440" s="25"/>
      <c r="L440" s="8" t="s">
        <v>807</v>
      </c>
      <c r="M440" s="8"/>
      <c r="N440" s="10"/>
      <c r="O440" s="8" t="s">
        <v>1219</v>
      </c>
    </row>
    <row r="441" ht="32" customHeight="1" spans="1:15">
      <c r="A441" s="8">
        <v>18</v>
      </c>
      <c r="B441" s="8" t="s">
        <v>110</v>
      </c>
      <c r="C441" s="8" t="s">
        <v>111</v>
      </c>
      <c r="D441" s="8" t="s">
        <v>26</v>
      </c>
      <c r="E441" s="8" t="s">
        <v>411</v>
      </c>
      <c r="F441" s="8" t="s">
        <v>78</v>
      </c>
      <c r="G441" s="25">
        <v>46307</v>
      </c>
      <c r="H441" s="25">
        <v>46318</v>
      </c>
      <c r="I441" s="8" t="s">
        <v>5</v>
      </c>
      <c r="J441" s="8" t="s">
        <v>4</v>
      </c>
      <c r="K441" s="25"/>
      <c r="L441" s="8" t="s">
        <v>807</v>
      </c>
      <c r="M441" s="8"/>
      <c r="N441" s="10"/>
      <c r="O441" s="8" t="s">
        <v>1220</v>
      </c>
    </row>
    <row r="442" ht="32" customHeight="1" spans="1:15">
      <c r="A442" s="8">
        <v>18</v>
      </c>
      <c r="B442" s="8" t="s">
        <v>112</v>
      </c>
      <c r="C442" s="8" t="s">
        <v>113</v>
      </c>
      <c r="D442" s="8" t="s">
        <v>26</v>
      </c>
      <c r="E442" s="8" t="s">
        <v>411</v>
      </c>
      <c r="F442" s="8" t="s">
        <v>78</v>
      </c>
      <c r="G442" s="25">
        <v>46307</v>
      </c>
      <c r="H442" s="25">
        <v>46318</v>
      </c>
      <c r="I442" s="8" t="s">
        <v>5</v>
      </c>
      <c r="J442" s="8" t="s">
        <v>4</v>
      </c>
      <c r="K442" s="25"/>
      <c r="L442" s="8" t="s">
        <v>807</v>
      </c>
      <c r="M442" s="8"/>
      <c r="N442" s="10"/>
      <c r="O442" s="8" t="s">
        <v>1221</v>
      </c>
    </row>
    <row r="443" ht="32" customHeight="1" spans="1:15">
      <c r="A443" s="8">
        <v>18</v>
      </c>
      <c r="B443" s="8" t="s">
        <v>114</v>
      </c>
      <c r="C443" s="8" t="s">
        <v>115</v>
      </c>
      <c r="D443" s="8" t="s">
        <v>26</v>
      </c>
      <c r="E443" s="8" t="s">
        <v>411</v>
      </c>
      <c r="F443" s="8" t="s">
        <v>78</v>
      </c>
      <c r="G443" s="25">
        <v>46307</v>
      </c>
      <c r="H443" s="25">
        <v>46318</v>
      </c>
      <c r="I443" s="8" t="s">
        <v>5</v>
      </c>
      <c r="J443" s="8" t="s">
        <v>4</v>
      </c>
      <c r="K443" s="25"/>
      <c r="L443" s="8" t="s">
        <v>807</v>
      </c>
      <c r="M443" s="8"/>
      <c r="N443" s="10"/>
      <c r="O443" s="8" t="s">
        <v>1222</v>
      </c>
    </row>
    <row r="444" ht="32" customHeight="1" spans="1:15">
      <c r="A444" s="8">
        <v>18</v>
      </c>
      <c r="B444" s="8" t="s">
        <v>116</v>
      </c>
      <c r="C444" s="8" t="s">
        <v>117</v>
      </c>
      <c r="D444" s="8" t="s">
        <v>26</v>
      </c>
      <c r="E444" s="8" t="s">
        <v>411</v>
      </c>
      <c r="F444" s="8" t="s">
        <v>78</v>
      </c>
      <c r="G444" s="25">
        <v>46307</v>
      </c>
      <c r="H444" s="25">
        <v>46318</v>
      </c>
      <c r="I444" s="8" t="s">
        <v>5</v>
      </c>
      <c r="J444" s="8" t="s">
        <v>4</v>
      </c>
      <c r="K444" s="25"/>
      <c r="L444" s="8" t="s">
        <v>807</v>
      </c>
      <c r="M444" s="8"/>
      <c r="N444" s="10"/>
      <c r="O444" s="8" t="s">
        <v>1223</v>
      </c>
    </row>
    <row r="445" ht="32" customHeight="1" spans="1:15">
      <c r="A445" s="8">
        <v>18</v>
      </c>
      <c r="B445" s="8" t="s">
        <v>118</v>
      </c>
      <c r="C445" s="8" t="s">
        <v>119</v>
      </c>
      <c r="D445" s="8" t="s">
        <v>26</v>
      </c>
      <c r="E445" s="8" t="s">
        <v>411</v>
      </c>
      <c r="F445" s="8" t="s">
        <v>78</v>
      </c>
      <c r="G445" s="25">
        <v>46307</v>
      </c>
      <c r="H445" s="25">
        <v>46318</v>
      </c>
      <c r="I445" s="8" t="s">
        <v>5</v>
      </c>
      <c r="J445" s="8" t="s">
        <v>5</v>
      </c>
      <c r="K445" s="25"/>
      <c r="L445" s="8" t="s">
        <v>807</v>
      </c>
      <c r="M445" s="8"/>
      <c r="N445" s="10"/>
      <c r="O445" s="8" t="s">
        <v>1224</v>
      </c>
    </row>
    <row r="446" ht="32" customHeight="1" spans="1:15">
      <c r="A446" s="8">
        <v>18</v>
      </c>
      <c r="B446" s="8" t="s">
        <v>201</v>
      </c>
      <c r="C446" s="8" t="s">
        <v>203</v>
      </c>
      <c r="D446" s="8" t="s">
        <v>26</v>
      </c>
      <c r="E446" s="8" t="s">
        <v>411</v>
      </c>
      <c r="F446" s="8" t="s">
        <v>78</v>
      </c>
      <c r="G446" s="25">
        <v>46307</v>
      </c>
      <c r="H446" s="25">
        <v>46318</v>
      </c>
      <c r="I446" s="8" t="s">
        <v>5</v>
      </c>
      <c r="J446" s="8" t="s">
        <v>5</v>
      </c>
      <c r="K446" s="25">
        <v>46224</v>
      </c>
      <c r="L446" s="8" t="s">
        <v>807</v>
      </c>
      <c r="M446" s="8"/>
      <c r="N446" s="10"/>
      <c r="O446" s="8" t="s">
        <v>1225</v>
      </c>
    </row>
    <row r="447" ht="32" customHeight="1" spans="1:15">
      <c r="A447" s="8">
        <v>18</v>
      </c>
      <c r="B447" s="8" t="s">
        <v>204</v>
      </c>
      <c r="C447" s="8" t="s">
        <v>205</v>
      </c>
      <c r="D447" s="8" t="s">
        <v>26</v>
      </c>
      <c r="E447" s="8" t="s">
        <v>411</v>
      </c>
      <c r="F447" s="8" t="s">
        <v>78</v>
      </c>
      <c r="G447" s="25">
        <v>46307</v>
      </c>
      <c r="H447" s="25">
        <v>46318</v>
      </c>
      <c r="I447" s="8" t="s">
        <v>5</v>
      </c>
      <c r="J447" s="8" t="s">
        <v>5</v>
      </c>
      <c r="K447" s="25">
        <v>46224</v>
      </c>
      <c r="L447" s="8" t="s">
        <v>807</v>
      </c>
      <c r="M447" s="8"/>
      <c r="N447" s="10"/>
      <c r="O447" s="8" t="s">
        <v>1226</v>
      </c>
    </row>
    <row r="448" ht="32" customHeight="1" spans="1:15">
      <c r="A448" s="8">
        <v>18</v>
      </c>
      <c r="B448" s="8" t="s">
        <v>206</v>
      </c>
      <c r="C448" s="8" t="s">
        <v>207</v>
      </c>
      <c r="D448" s="8" t="s">
        <v>26</v>
      </c>
      <c r="E448" s="8" t="s">
        <v>411</v>
      </c>
      <c r="F448" s="8" t="s">
        <v>78</v>
      </c>
      <c r="G448" s="25">
        <v>46307</v>
      </c>
      <c r="H448" s="25">
        <v>46318</v>
      </c>
      <c r="I448" s="8" t="s">
        <v>5</v>
      </c>
      <c r="J448" s="8" t="s">
        <v>5</v>
      </c>
      <c r="K448" s="25">
        <v>46224</v>
      </c>
      <c r="L448" s="8" t="s">
        <v>807</v>
      </c>
      <c r="M448" s="8"/>
      <c r="N448" s="10"/>
      <c r="O448" s="8" t="s">
        <v>1227</v>
      </c>
    </row>
    <row r="449" ht="32" customHeight="1" spans="1:15">
      <c r="A449" s="8">
        <v>18</v>
      </c>
      <c r="B449" s="8" t="s">
        <v>208</v>
      </c>
      <c r="C449" s="8" t="s">
        <v>209</v>
      </c>
      <c r="D449" s="8" t="s">
        <v>26</v>
      </c>
      <c r="E449" s="8" t="s">
        <v>411</v>
      </c>
      <c r="F449" s="8" t="s">
        <v>78</v>
      </c>
      <c r="G449" s="25">
        <v>46307</v>
      </c>
      <c r="H449" s="25">
        <v>46318</v>
      </c>
      <c r="I449" s="8" t="s">
        <v>5</v>
      </c>
      <c r="J449" s="8" t="s">
        <v>5</v>
      </c>
      <c r="K449" s="25"/>
      <c r="L449" s="8" t="s">
        <v>807</v>
      </c>
      <c r="M449" s="8"/>
      <c r="N449" s="10"/>
      <c r="O449" s="8" t="s">
        <v>1228</v>
      </c>
    </row>
    <row r="450" ht="32" customHeight="1" spans="1:15">
      <c r="A450" s="8">
        <v>18</v>
      </c>
      <c r="B450" s="8" t="s">
        <v>210</v>
      </c>
      <c r="C450" s="8" t="s">
        <v>211</v>
      </c>
      <c r="D450" s="8" t="s">
        <v>26</v>
      </c>
      <c r="E450" s="8" t="s">
        <v>411</v>
      </c>
      <c r="F450" s="8" t="s">
        <v>78</v>
      </c>
      <c r="G450" s="25">
        <v>46307</v>
      </c>
      <c r="H450" s="25">
        <v>46318</v>
      </c>
      <c r="I450" s="8" t="s">
        <v>5</v>
      </c>
      <c r="J450" s="8" t="s">
        <v>5</v>
      </c>
      <c r="K450" s="25">
        <v>46224</v>
      </c>
      <c r="L450" s="8" t="s">
        <v>807</v>
      </c>
      <c r="M450" s="8"/>
      <c r="N450" s="10"/>
      <c r="O450" s="8" t="s">
        <v>1229</v>
      </c>
    </row>
    <row r="451" ht="32" customHeight="1" spans="1:15">
      <c r="A451" s="8">
        <v>18</v>
      </c>
      <c r="B451" s="8" t="s">
        <v>215</v>
      </c>
      <c r="C451" s="8" t="s">
        <v>217</v>
      </c>
      <c r="D451" s="8" t="s">
        <v>25</v>
      </c>
      <c r="E451" s="8" t="s">
        <v>411</v>
      </c>
      <c r="F451" s="8" t="s">
        <v>78</v>
      </c>
      <c r="G451" s="25">
        <v>46307</v>
      </c>
      <c r="H451" s="25">
        <v>46318</v>
      </c>
      <c r="I451" s="8" t="s">
        <v>3</v>
      </c>
      <c r="J451" s="8" t="s">
        <v>3</v>
      </c>
      <c r="K451" s="25"/>
      <c r="L451" s="8" t="s">
        <v>807</v>
      </c>
      <c r="M451" s="8" t="s">
        <v>808</v>
      </c>
      <c r="N451" s="10"/>
      <c r="O451" s="8" t="s">
        <v>1230</v>
      </c>
    </row>
    <row r="452" ht="32" customHeight="1" spans="1:15">
      <c r="A452" s="8">
        <v>18</v>
      </c>
      <c r="B452" s="8" t="s">
        <v>255</v>
      </c>
      <c r="C452" s="8" t="s">
        <v>258</v>
      </c>
      <c r="D452" s="8" t="s">
        <v>26</v>
      </c>
      <c r="E452" s="8" t="s">
        <v>411</v>
      </c>
      <c r="F452" s="8" t="s">
        <v>78</v>
      </c>
      <c r="G452" s="25">
        <v>46307</v>
      </c>
      <c r="H452" s="25">
        <v>46318</v>
      </c>
      <c r="I452" s="8" t="s">
        <v>5</v>
      </c>
      <c r="J452" s="8" t="s">
        <v>4</v>
      </c>
      <c r="K452" s="25"/>
      <c r="L452" s="8" t="s">
        <v>807</v>
      </c>
      <c r="M452" s="8"/>
      <c r="N452" s="10"/>
      <c r="O452" s="8" t="s">
        <v>1231</v>
      </c>
    </row>
    <row r="453" ht="32" customHeight="1" spans="1:15">
      <c r="A453" s="8">
        <v>18</v>
      </c>
      <c r="B453" s="8" t="s">
        <v>259</v>
      </c>
      <c r="C453" s="8" t="s">
        <v>260</v>
      </c>
      <c r="D453" s="8" t="s">
        <v>26</v>
      </c>
      <c r="E453" s="8" t="s">
        <v>411</v>
      </c>
      <c r="F453" s="8" t="s">
        <v>78</v>
      </c>
      <c r="G453" s="25">
        <v>46307</v>
      </c>
      <c r="H453" s="25">
        <v>46318</v>
      </c>
      <c r="I453" s="8" t="s">
        <v>5</v>
      </c>
      <c r="J453" s="8" t="s">
        <v>4</v>
      </c>
      <c r="K453" s="25"/>
      <c r="L453" s="8" t="s">
        <v>807</v>
      </c>
      <c r="M453" s="8"/>
      <c r="N453" s="10"/>
      <c r="O453" s="8" t="s">
        <v>1232</v>
      </c>
    </row>
    <row r="454" ht="32" customHeight="1" spans="1:15">
      <c r="A454" s="8">
        <v>18</v>
      </c>
      <c r="B454" s="8" t="s">
        <v>261</v>
      </c>
      <c r="C454" s="8" t="s">
        <v>262</v>
      </c>
      <c r="D454" s="8" t="s">
        <v>26</v>
      </c>
      <c r="E454" s="8" t="s">
        <v>411</v>
      </c>
      <c r="F454" s="8" t="s">
        <v>78</v>
      </c>
      <c r="G454" s="25">
        <v>46307</v>
      </c>
      <c r="H454" s="25">
        <v>46318</v>
      </c>
      <c r="I454" s="8" t="s">
        <v>5</v>
      </c>
      <c r="J454" s="8" t="s">
        <v>4</v>
      </c>
      <c r="K454" s="25">
        <v>46261</v>
      </c>
      <c r="L454" s="8" t="s">
        <v>807</v>
      </c>
      <c r="M454" s="8"/>
      <c r="N454" s="10"/>
      <c r="O454" s="8" t="s">
        <v>1233</v>
      </c>
    </row>
    <row r="455" ht="32" customHeight="1" spans="1:15">
      <c r="A455" s="8">
        <v>18</v>
      </c>
      <c r="B455" s="8" t="s">
        <v>385</v>
      </c>
      <c r="C455" s="8" t="s">
        <v>386</v>
      </c>
      <c r="D455" s="8" t="s">
        <v>26</v>
      </c>
      <c r="E455" s="8" t="s">
        <v>411</v>
      </c>
      <c r="F455" s="8" t="s">
        <v>78</v>
      </c>
      <c r="G455" s="25">
        <v>46307</v>
      </c>
      <c r="H455" s="25">
        <v>46318</v>
      </c>
      <c r="I455" s="8" t="s">
        <v>5</v>
      </c>
      <c r="J455" s="8" t="s">
        <v>5</v>
      </c>
      <c r="K455" s="25"/>
      <c r="L455" s="8" t="s">
        <v>807</v>
      </c>
      <c r="M455" s="8"/>
      <c r="N455" s="10"/>
      <c r="O455" s="8" t="s">
        <v>1234</v>
      </c>
    </row>
    <row r="456" ht="32" customHeight="1" spans="1:15">
      <c r="A456" s="8">
        <v>21</v>
      </c>
      <c r="B456" s="8" t="s">
        <v>86</v>
      </c>
      <c r="C456" s="8" t="s">
        <v>88</v>
      </c>
      <c r="D456" s="8" t="s">
        <v>26</v>
      </c>
      <c r="E456" s="8" t="s">
        <v>414</v>
      </c>
      <c r="F456" s="8" t="s">
        <v>77</v>
      </c>
      <c r="G456" s="25">
        <v>46307</v>
      </c>
      <c r="H456" s="25">
        <v>46339</v>
      </c>
      <c r="I456" s="8" t="s">
        <v>3</v>
      </c>
      <c r="J456" s="8" t="s">
        <v>3</v>
      </c>
      <c r="K456" s="25"/>
      <c r="L456" s="8" t="s">
        <v>807</v>
      </c>
      <c r="M456" s="8" t="s">
        <v>808</v>
      </c>
      <c r="N456" s="10"/>
      <c r="O456" s="8" t="s">
        <v>1235</v>
      </c>
    </row>
    <row r="457" ht="32" customHeight="1" spans="1:15">
      <c r="A457" s="8">
        <v>21</v>
      </c>
      <c r="B457" s="8" t="s">
        <v>120</v>
      </c>
      <c r="C457" s="8" t="s">
        <v>123</v>
      </c>
      <c r="D457" s="8" t="s">
        <v>26</v>
      </c>
      <c r="E457" s="8" t="s">
        <v>414</v>
      </c>
      <c r="F457" s="8" t="s">
        <v>77</v>
      </c>
      <c r="G457" s="25">
        <v>46307</v>
      </c>
      <c r="H457" s="25">
        <v>46339</v>
      </c>
      <c r="I457" s="8" t="s">
        <v>5</v>
      </c>
      <c r="J457" s="8" t="s">
        <v>4</v>
      </c>
      <c r="K457" s="25"/>
      <c r="L457" s="8" t="s">
        <v>807</v>
      </c>
      <c r="M457" s="8"/>
      <c r="N457" s="10"/>
      <c r="O457" s="8" t="s">
        <v>1236</v>
      </c>
    </row>
    <row r="458" ht="32" customHeight="1" spans="1:15">
      <c r="A458" s="8">
        <v>21</v>
      </c>
      <c r="B458" s="8" t="s">
        <v>128</v>
      </c>
      <c r="C458" s="8" t="s">
        <v>130</v>
      </c>
      <c r="D458" s="8" t="s">
        <v>26</v>
      </c>
      <c r="E458" s="8" t="s">
        <v>414</v>
      </c>
      <c r="F458" s="8" t="s">
        <v>77</v>
      </c>
      <c r="G458" s="25">
        <v>46307</v>
      </c>
      <c r="H458" s="25">
        <v>46339</v>
      </c>
      <c r="I458" s="8" t="s">
        <v>5</v>
      </c>
      <c r="J458" s="8" t="s">
        <v>5</v>
      </c>
      <c r="K458" s="25"/>
      <c r="L458" s="8" t="s">
        <v>807</v>
      </c>
      <c r="M458" s="8"/>
      <c r="N458" s="10"/>
      <c r="O458" s="8" t="s">
        <v>1237</v>
      </c>
    </row>
    <row r="459" ht="32" customHeight="1" spans="1:15">
      <c r="A459" s="8">
        <v>21</v>
      </c>
      <c r="B459" s="8" t="s">
        <v>131</v>
      </c>
      <c r="C459" s="8" t="s">
        <v>132</v>
      </c>
      <c r="D459" s="8" t="s">
        <v>26</v>
      </c>
      <c r="E459" s="8" t="s">
        <v>414</v>
      </c>
      <c r="F459" s="8" t="s">
        <v>77</v>
      </c>
      <c r="G459" s="25">
        <v>46307</v>
      </c>
      <c r="H459" s="25">
        <v>46339</v>
      </c>
      <c r="I459" s="8" t="s">
        <v>5</v>
      </c>
      <c r="J459" s="8" t="s">
        <v>5</v>
      </c>
      <c r="K459" s="25"/>
      <c r="L459" s="8" t="s">
        <v>807</v>
      </c>
      <c r="M459" s="8"/>
      <c r="N459" s="10"/>
      <c r="O459" s="8" t="s">
        <v>1238</v>
      </c>
    </row>
    <row r="460" ht="32" customHeight="1" spans="1:15">
      <c r="A460" s="8">
        <v>21</v>
      </c>
      <c r="B460" s="8" t="s">
        <v>133</v>
      </c>
      <c r="C460" s="8" t="s">
        <v>135</v>
      </c>
      <c r="D460" s="8" t="s">
        <v>26</v>
      </c>
      <c r="E460" s="8" t="s">
        <v>414</v>
      </c>
      <c r="F460" s="8" t="s">
        <v>77</v>
      </c>
      <c r="G460" s="25">
        <v>46307</v>
      </c>
      <c r="H460" s="25">
        <v>46339</v>
      </c>
      <c r="I460" s="8" t="s">
        <v>5</v>
      </c>
      <c r="J460" s="8" t="s">
        <v>5</v>
      </c>
      <c r="K460" s="25"/>
      <c r="L460" s="8" t="s">
        <v>807</v>
      </c>
      <c r="M460" s="8"/>
      <c r="N460" s="10"/>
      <c r="O460" s="8" t="s">
        <v>1239</v>
      </c>
    </row>
    <row r="461" ht="32" customHeight="1" spans="1:15">
      <c r="A461" s="8">
        <v>21</v>
      </c>
      <c r="B461" s="8" t="s">
        <v>136</v>
      </c>
      <c r="C461" s="8" t="s">
        <v>137</v>
      </c>
      <c r="D461" s="8" t="s">
        <v>26</v>
      </c>
      <c r="E461" s="8" t="s">
        <v>414</v>
      </c>
      <c r="F461" s="8" t="s">
        <v>77</v>
      </c>
      <c r="G461" s="25">
        <v>46307</v>
      </c>
      <c r="H461" s="25">
        <v>46339</v>
      </c>
      <c r="I461" s="8" t="s">
        <v>5</v>
      </c>
      <c r="J461" s="8" t="s">
        <v>5</v>
      </c>
      <c r="K461" s="25">
        <v>46261</v>
      </c>
      <c r="L461" s="8" t="s">
        <v>807</v>
      </c>
      <c r="M461" s="8"/>
      <c r="N461" s="10"/>
      <c r="O461" s="8" t="s">
        <v>1240</v>
      </c>
    </row>
    <row r="462" ht="32" customHeight="1" spans="1:15">
      <c r="A462" s="8">
        <v>21</v>
      </c>
      <c r="B462" s="8" t="s">
        <v>143</v>
      </c>
      <c r="C462" s="8" t="s">
        <v>144</v>
      </c>
      <c r="D462" s="8" t="s">
        <v>26</v>
      </c>
      <c r="E462" s="8" t="s">
        <v>414</v>
      </c>
      <c r="F462" s="8" t="s">
        <v>77</v>
      </c>
      <c r="G462" s="25">
        <v>46307</v>
      </c>
      <c r="H462" s="25">
        <v>46339</v>
      </c>
      <c r="I462" s="8" t="s">
        <v>5</v>
      </c>
      <c r="J462" s="8" t="s">
        <v>4</v>
      </c>
      <c r="K462" s="25">
        <v>46261</v>
      </c>
      <c r="L462" s="8" t="s">
        <v>807</v>
      </c>
      <c r="M462" s="8"/>
      <c r="N462" s="10"/>
      <c r="O462" s="8" t="s">
        <v>1241</v>
      </c>
    </row>
    <row r="463" ht="32" customHeight="1" spans="1:15">
      <c r="A463" s="8">
        <v>21</v>
      </c>
      <c r="B463" s="8" t="s">
        <v>145</v>
      </c>
      <c r="C463" s="8" t="s">
        <v>146</v>
      </c>
      <c r="D463" s="8" t="s">
        <v>26</v>
      </c>
      <c r="E463" s="8" t="s">
        <v>414</v>
      </c>
      <c r="F463" s="8" t="s">
        <v>77</v>
      </c>
      <c r="G463" s="25">
        <v>46307</v>
      </c>
      <c r="H463" s="25">
        <v>46339</v>
      </c>
      <c r="I463" s="8" t="s">
        <v>5</v>
      </c>
      <c r="J463" s="8" t="s">
        <v>4</v>
      </c>
      <c r="K463" s="25">
        <v>46261</v>
      </c>
      <c r="L463" s="8" t="s">
        <v>807</v>
      </c>
      <c r="M463" s="8"/>
      <c r="N463" s="10"/>
      <c r="O463" s="8" t="s">
        <v>1242</v>
      </c>
    </row>
    <row r="464" ht="32" customHeight="1" spans="1:15">
      <c r="A464" s="8">
        <v>21</v>
      </c>
      <c r="B464" s="8" t="s">
        <v>185</v>
      </c>
      <c r="C464" s="8" t="s">
        <v>187</v>
      </c>
      <c r="D464" s="8" t="s">
        <v>26</v>
      </c>
      <c r="E464" s="8" t="s">
        <v>414</v>
      </c>
      <c r="F464" s="8" t="s">
        <v>77</v>
      </c>
      <c r="G464" s="25">
        <v>46307</v>
      </c>
      <c r="H464" s="25">
        <v>46339</v>
      </c>
      <c r="I464" s="8" t="s">
        <v>3</v>
      </c>
      <c r="J464" s="8" t="s">
        <v>3</v>
      </c>
      <c r="K464" s="25"/>
      <c r="L464" s="8" t="s">
        <v>807</v>
      </c>
      <c r="M464" s="8" t="s">
        <v>808</v>
      </c>
      <c r="N464" s="10"/>
      <c r="O464" s="8" t="s">
        <v>1243</v>
      </c>
    </row>
    <row r="465" ht="32" customHeight="1" spans="1:15">
      <c r="A465" s="8">
        <v>21</v>
      </c>
      <c r="B465" s="8" t="s">
        <v>188</v>
      </c>
      <c r="C465" s="8" t="s">
        <v>189</v>
      </c>
      <c r="D465" s="8" t="s">
        <v>26</v>
      </c>
      <c r="E465" s="8" t="s">
        <v>414</v>
      </c>
      <c r="F465" s="8" t="s">
        <v>77</v>
      </c>
      <c r="G465" s="25">
        <v>46307</v>
      </c>
      <c r="H465" s="25">
        <v>46339</v>
      </c>
      <c r="I465" s="8" t="s">
        <v>5</v>
      </c>
      <c r="J465" s="8" t="s">
        <v>5</v>
      </c>
      <c r="K465" s="25"/>
      <c r="L465" s="8" t="s">
        <v>807</v>
      </c>
      <c r="M465" s="8"/>
      <c r="N465" s="10"/>
      <c r="O465" s="8" t="s">
        <v>1244</v>
      </c>
    </row>
    <row r="466" ht="32" customHeight="1" spans="1:15">
      <c r="A466" s="8">
        <v>21</v>
      </c>
      <c r="B466" s="8" t="s">
        <v>190</v>
      </c>
      <c r="C466" s="8" t="s">
        <v>189</v>
      </c>
      <c r="D466" s="8" t="s">
        <v>26</v>
      </c>
      <c r="E466" s="8" t="s">
        <v>414</v>
      </c>
      <c r="F466" s="8" t="s">
        <v>77</v>
      </c>
      <c r="G466" s="25">
        <v>46307</v>
      </c>
      <c r="H466" s="25">
        <v>46339</v>
      </c>
      <c r="I466" s="8" t="s">
        <v>5</v>
      </c>
      <c r="J466" s="8" t="s">
        <v>5</v>
      </c>
      <c r="K466" s="25">
        <v>46261</v>
      </c>
      <c r="L466" s="8" t="s">
        <v>807</v>
      </c>
      <c r="M466" s="8"/>
      <c r="N466" s="10"/>
      <c r="O466" s="8" t="s">
        <v>1245</v>
      </c>
    </row>
    <row r="467" ht="32" customHeight="1" spans="1:15">
      <c r="A467" s="8">
        <v>21</v>
      </c>
      <c r="B467" s="8" t="s">
        <v>192</v>
      </c>
      <c r="C467" s="8" t="s">
        <v>194</v>
      </c>
      <c r="D467" s="8" t="s">
        <v>26</v>
      </c>
      <c r="E467" s="8" t="s">
        <v>414</v>
      </c>
      <c r="F467" s="8" t="s">
        <v>77</v>
      </c>
      <c r="G467" s="25">
        <v>46307</v>
      </c>
      <c r="H467" s="25">
        <v>46339</v>
      </c>
      <c r="I467" s="8" t="s">
        <v>3</v>
      </c>
      <c r="J467" s="8" t="s">
        <v>3</v>
      </c>
      <c r="K467" s="25">
        <v>46261</v>
      </c>
      <c r="L467" s="8" t="s">
        <v>807</v>
      </c>
      <c r="M467" s="8"/>
      <c r="N467" s="10"/>
      <c r="O467" s="8" t="s">
        <v>1246</v>
      </c>
    </row>
    <row r="468" ht="32" customHeight="1" spans="1:15">
      <c r="A468" s="8">
        <v>21</v>
      </c>
      <c r="B468" s="8" t="s">
        <v>263</v>
      </c>
      <c r="C468" s="8" t="s">
        <v>265</v>
      </c>
      <c r="D468" s="8" t="s">
        <v>26</v>
      </c>
      <c r="E468" s="8" t="s">
        <v>414</v>
      </c>
      <c r="F468" s="8" t="s">
        <v>77</v>
      </c>
      <c r="G468" s="25">
        <v>46307</v>
      </c>
      <c r="H468" s="25">
        <v>46339</v>
      </c>
      <c r="I468" s="8" t="s">
        <v>5</v>
      </c>
      <c r="J468" s="8" t="s">
        <v>5</v>
      </c>
      <c r="K468" s="25"/>
      <c r="L468" s="8" t="s">
        <v>807</v>
      </c>
      <c r="M468" s="8"/>
      <c r="N468" s="10"/>
      <c r="O468" s="8" t="s">
        <v>1247</v>
      </c>
    </row>
    <row r="469" ht="32" customHeight="1" spans="1:15">
      <c r="A469" s="8">
        <v>21</v>
      </c>
      <c r="B469" s="8" t="s">
        <v>266</v>
      </c>
      <c r="C469" s="8" t="s">
        <v>267</v>
      </c>
      <c r="D469" s="8" t="s">
        <v>26</v>
      </c>
      <c r="E469" s="8" t="s">
        <v>414</v>
      </c>
      <c r="F469" s="8" t="s">
        <v>77</v>
      </c>
      <c r="G469" s="25">
        <v>46307</v>
      </c>
      <c r="H469" s="25">
        <v>46339</v>
      </c>
      <c r="I469" s="8" t="s">
        <v>5</v>
      </c>
      <c r="J469" s="8" t="s">
        <v>5</v>
      </c>
      <c r="K469" s="25">
        <v>46224</v>
      </c>
      <c r="L469" s="8" t="s">
        <v>807</v>
      </c>
      <c r="M469" s="8"/>
      <c r="N469" s="10"/>
      <c r="O469" s="8" t="s">
        <v>1248</v>
      </c>
    </row>
    <row r="470" ht="32" customHeight="1" spans="1:15">
      <c r="A470" s="8">
        <v>21</v>
      </c>
      <c r="B470" s="8" t="s">
        <v>268</v>
      </c>
      <c r="C470" s="8" t="s">
        <v>265</v>
      </c>
      <c r="D470" s="8" t="s">
        <v>26</v>
      </c>
      <c r="E470" s="8" t="s">
        <v>414</v>
      </c>
      <c r="F470" s="8" t="s">
        <v>77</v>
      </c>
      <c r="G470" s="25">
        <v>46307</v>
      </c>
      <c r="H470" s="25">
        <v>46339</v>
      </c>
      <c r="I470" s="8" t="s">
        <v>5</v>
      </c>
      <c r="J470" s="8" t="s">
        <v>5</v>
      </c>
      <c r="K470" s="25">
        <v>46224</v>
      </c>
      <c r="L470" s="8" t="s">
        <v>807</v>
      </c>
      <c r="M470" s="8"/>
      <c r="N470" s="10"/>
      <c r="O470" s="8" t="s">
        <v>1249</v>
      </c>
    </row>
    <row r="471" ht="32" customHeight="1" spans="1:15">
      <c r="A471" s="8">
        <v>21</v>
      </c>
      <c r="B471" s="8" t="s">
        <v>270</v>
      </c>
      <c r="C471" s="8" t="s">
        <v>271</v>
      </c>
      <c r="D471" s="8" t="s">
        <v>26</v>
      </c>
      <c r="E471" s="8" t="s">
        <v>414</v>
      </c>
      <c r="F471" s="8" t="s">
        <v>77</v>
      </c>
      <c r="G471" s="25">
        <v>46307</v>
      </c>
      <c r="H471" s="25">
        <v>46339</v>
      </c>
      <c r="I471" s="8" t="s">
        <v>5</v>
      </c>
      <c r="J471" s="8" t="s">
        <v>5</v>
      </c>
      <c r="K471" s="25">
        <v>46224</v>
      </c>
      <c r="L471" s="8" t="s">
        <v>807</v>
      </c>
      <c r="M471" s="8"/>
      <c r="N471" s="10"/>
      <c r="O471" s="8" t="s">
        <v>1250</v>
      </c>
    </row>
    <row r="472" ht="32" customHeight="1" spans="1:15">
      <c r="A472" s="8">
        <v>21</v>
      </c>
      <c r="B472" s="8" t="s">
        <v>278</v>
      </c>
      <c r="C472" s="8" t="s">
        <v>280</v>
      </c>
      <c r="D472" s="8" t="s">
        <v>26</v>
      </c>
      <c r="E472" s="8" t="s">
        <v>414</v>
      </c>
      <c r="F472" s="8" t="s">
        <v>77</v>
      </c>
      <c r="G472" s="25">
        <v>46307</v>
      </c>
      <c r="H472" s="25">
        <v>46339</v>
      </c>
      <c r="I472" s="8" t="s">
        <v>5</v>
      </c>
      <c r="J472" s="8" t="s">
        <v>5</v>
      </c>
      <c r="K472" s="25"/>
      <c r="L472" s="8" t="s">
        <v>807</v>
      </c>
      <c r="M472" s="8"/>
      <c r="N472" s="10"/>
      <c r="O472" s="8" t="s">
        <v>1251</v>
      </c>
    </row>
    <row r="473" ht="32" customHeight="1" spans="1:15">
      <c r="A473" s="8">
        <v>21</v>
      </c>
      <c r="B473" s="8" t="s">
        <v>281</v>
      </c>
      <c r="C473" s="8" t="s">
        <v>282</v>
      </c>
      <c r="D473" s="8" t="s">
        <v>26</v>
      </c>
      <c r="E473" s="8" t="s">
        <v>414</v>
      </c>
      <c r="F473" s="8" t="s">
        <v>77</v>
      </c>
      <c r="G473" s="25">
        <v>46307</v>
      </c>
      <c r="H473" s="25">
        <v>46339</v>
      </c>
      <c r="I473" s="8" t="s">
        <v>5</v>
      </c>
      <c r="J473" s="8" t="s">
        <v>5</v>
      </c>
      <c r="K473" s="25"/>
      <c r="L473" s="8" t="s">
        <v>807</v>
      </c>
      <c r="M473" s="8"/>
      <c r="N473" s="10"/>
      <c r="O473" s="8" t="s">
        <v>1252</v>
      </c>
    </row>
    <row r="474" ht="32" customHeight="1" spans="1:15">
      <c r="A474" s="8">
        <v>21</v>
      </c>
      <c r="B474" s="8" t="s">
        <v>283</v>
      </c>
      <c r="C474" s="8" t="s">
        <v>284</v>
      </c>
      <c r="D474" s="8" t="s">
        <v>26</v>
      </c>
      <c r="E474" s="8" t="s">
        <v>414</v>
      </c>
      <c r="F474" s="8" t="s">
        <v>77</v>
      </c>
      <c r="G474" s="25">
        <v>46307</v>
      </c>
      <c r="H474" s="25">
        <v>46339</v>
      </c>
      <c r="I474" s="8" t="s">
        <v>5</v>
      </c>
      <c r="J474" s="8" t="s">
        <v>5</v>
      </c>
      <c r="K474" s="25"/>
      <c r="L474" s="8" t="s">
        <v>807</v>
      </c>
      <c r="M474" s="8"/>
      <c r="N474" s="10"/>
      <c r="O474" s="8" t="s">
        <v>1253</v>
      </c>
    </row>
    <row r="475" ht="32" customHeight="1" spans="1:15">
      <c r="A475" s="8">
        <v>21</v>
      </c>
      <c r="B475" s="8" t="s">
        <v>285</v>
      </c>
      <c r="C475" s="8" t="s">
        <v>286</v>
      </c>
      <c r="D475" s="8" t="s">
        <v>26</v>
      </c>
      <c r="E475" s="8" t="s">
        <v>414</v>
      </c>
      <c r="F475" s="8" t="s">
        <v>77</v>
      </c>
      <c r="G475" s="25">
        <v>46307</v>
      </c>
      <c r="H475" s="25">
        <v>46339</v>
      </c>
      <c r="I475" s="8" t="s">
        <v>5</v>
      </c>
      <c r="J475" s="8" t="s">
        <v>5</v>
      </c>
      <c r="K475" s="25"/>
      <c r="L475" s="8" t="s">
        <v>807</v>
      </c>
      <c r="M475" s="8"/>
      <c r="N475" s="10"/>
      <c r="O475" s="8" t="s">
        <v>1254</v>
      </c>
    </row>
    <row r="476" ht="32" customHeight="1" spans="1:15">
      <c r="A476" s="8">
        <v>21</v>
      </c>
      <c r="B476" s="8" t="s">
        <v>287</v>
      </c>
      <c r="C476" s="8" t="s">
        <v>265</v>
      </c>
      <c r="D476" s="8" t="s">
        <v>26</v>
      </c>
      <c r="E476" s="8" t="s">
        <v>414</v>
      </c>
      <c r="F476" s="8" t="s">
        <v>77</v>
      </c>
      <c r="G476" s="25">
        <v>46307</v>
      </c>
      <c r="H476" s="25">
        <v>46339</v>
      </c>
      <c r="I476" s="8" t="s">
        <v>5</v>
      </c>
      <c r="J476" s="8" t="s">
        <v>5</v>
      </c>
      <c r="K476" s="25"/>
      <c r="L476" s="8" t="s">
        <v>807</v>
      </c>
      <c r="M476" s="8"/>
      <c r="N476" s="10"/>
      <c r="O476" s="8" t="s">
        <v>1255</v>
      </c>
    </row>
    <row r="477" ht="32" customHeight="1" spans="1:15">
      <c r="A477" s="8">
        <v>21</v>
      </c>
      <c r="B477" s="8" t="s">
        <v>289</v>
      </c>
      <c r="C477" s="8" t="s">
        <v>267</v>
      </c>
      <c r="D477" s="8" t="s">
        <v>26</v>
      </c>
      <c r="E477" s="8" t="s">
        <v>414</v>
      </c>
      <c r="F477" s="8" t="s">
        <v>77</v>
      </c>
      <c r="G477" s="25">
        <v>46307</v>
      </c>
      <c r="H477" s="25">
        <v>46339</v>
      </c>
      <c r="I477" s="8" t="s">
        <v>5</v>
      </c>
      <c r="J477" s="8" t="s">
        <v>5</v>
      </c>
      <c r="K477" s="25"/>
      <c r="L477" s="8" t="s">
        <v>807</v>
      </c>
      <c r="M477" s="8"/>
      <c r="N477" s="10"/>
      <c r="O477" s="8" t="s">
        <v>1256</v>
      </c>
    </row>
    <row r="478" ht="32" customHeight="1" spans="1:15">
      <c r="A478" s="8">
        <v>21</v>
      </c>
      <c r="B478" s="8" t="s">
        <v>362</v>
      </c>
      <c r="C478" s="8" t="s">
        <v>363</v>
      </c>
      <c r="D478" s="8" t="s">
        <v>26</v>
      </c>
      <c r="E478" s="8" t="s">
        <v>414</v>
      </c>
      <c r="F478" s="8" t="s">
        <v>77</v>
      </c>
      <c r="G478" s="25">
        <v>46307</v>
      </c>
      <c r="H478" s="25">
        <v>46339</v>
      </c>
      <c r="I478" s="8" t="s">
        <v>5</v>
      </c>
      <c r="J478" s="8" t="s">
        <v>5</v>
      </c>
      <c r="K478" s="25"/>
      <c r="L478" s="8" t="s">
        <v>807</v>
      </c>
      <c r="M478" s="8"/>
      <c r="N478" s="10"/>
      <c r="O478" s="8" t="s">
        <v>1257</v>
      </c>
    </row>
    <row r="479" ht="32" customHeight="1" spans="1:15">
      <c r="A479" s="8">
        <v>21</v>
      </c>
      <c r="B479" s="8" t="s">
        <v>364</v>
      </c>
      <c r="C479" s="8" t="s">
        <v>365</v>
      </c>
      <c r="D479" s="8" t="s">
        <v>26</v>
      </c>
      <c r="E479" s="8" t="s">
        <v>414</v>
      </c>
      <c r="F479" s="8" t="s">
        <v>77</v>
      </c>
      <c r="G479" s="25">
        <v>46307</v>
      </c>
      <c r="H479" s="25">
        <v>46339</v>
      </c>
      <c r="I479" s="8" t="s">
        <v>5</v>
      </c>
      <c r="J479" s="8" t="s">
        <v>5</v>
      </c>
      <c r="K479" s="25">
        <v>46261</v>
      </c>
      <c r="L479" s="8" t="s">
        <v>807</v>
      </c>
      <c r="M479" s="8"/>
      <c r="N479" s="10"/>
      <c r="O479" s="8" t="s">
        <v>1258</v>
      </c>
    </row>
    <row r="480" ht="32" customHeight="1" spans="1:15">
      <c r="A480" s="8">
        <v>21</v>
      </c>
      <c r="B480" s="8" t="s">
        <v>366</v>
      </c>
      <c r="C480" s="8" t="s">
        <v>367</v>
      </c>
      <c r="D480" s="8" t="s">
        <v>26</v>
      </c>
      <c r="E480" s="8" t="s">
        <v>414</v>
      </c>
      <c r="F480" s="8" t="s">
        <v>152</v>
      </c>
      <c r="G480" s="25">
        <v>46307</v>
      </c>
      <c r="H480" s="25">
        <v>46339</v>
      </c>
      <c r="I480" s="8" t="s">
        <v>5</v>
      </c>
      <c r="J480" s="8" t="s">
        <v>5</v>
      </c>
      <c r="K480" s="25">
        <v>46261</v>
      </c>
      <c r="L480" s="8" t="s">
        <v>807</v>
      </c>
      <c r="M480" s="8"/>
      <c r="N480" s="10"/>
      <c r="O480" s="8" t="s">
        <v>1259</v>
      </c>
    </row>
    <row r="481" ht="32" customHeight="1" spans="1:15">
      <c r="A481" s="8">
        <v>21</v>
      </c>
      <c r="B481" s="8" t="s">
        <v>368</v>
      </c>
      <c r="C481" s="8" t="s">
        <v>369</v>
      </c>
      <c r="D481" s="8" t="s">
        <v>26</v>
      </c>
      <c r="E481" s="8" t="s">
        <v>414</v>
      </c>
      <c r="F481" s="8" t="s">
        <v>152</v>
      </c>
      <c r="G481" s="25">
        <v>46307</v>
      </c>
      <c r="H481" s="25">
        <v>46339</v>
      </c>
      <c r="I481" s="8" t="s">
        <v>5</v>
      </c>
      <c r="J481" s="8" t="s">
        <v>5</v>
      </c>
      <c r="K481" s="25"/>
      <c r="L481" s="8" t="s">
        <v>807</v>
      </c>
      <c r="M481" s="8"/>
      <c r="N481" s="10"/>
      <c r="O481" s="8" t="s">
        <v>1260</v>
      </c>
    </row>
    <row r="482" ht="32" customHeight="1" spans="1:15">
      <c r="A482" s="8">
        <v>21</v>
      </c>
      <c r="B482" s="8" t="s">
        <v>370</v>
      </c>
      <c r="C482" s="8" t="s">
        <v>371</v>
      </c>
      <c r="D482" s="8" t="s">
        <v>26</v>
      </c>
      <c r="E482" s="8" t="s">
        <v>414</v>
      </c>
      <c r="F482" s="8" t="s">
        <v>77</v>
      </c>
      <c r="G482" s="25">
        <v>46307</v>
      </c>
      <c r="H482" s="25">
        <v>46339</v>
      </c>
      <c r="I482" s="8" t="s">
        <v>5</v>
      </c>
      <c r="J482" s="8" t="s">
        <v>5</v>
      </c>
      <c r="K482" s="25"/>
      <c r="L482" s="8" t="s">
        <v>807</v>
      </c>
      <c r="M482" s="8"/>
      <c r="N482" s="10"/>
      <c r="O482" s="8" t="s">
        <v>1261</v>
      </c>
    </row>
    <row r="483" ht="32" customHeight="1" spans="1:15">
      <c r="A483" s="8">
        <v>21</v>
      </c>
      <c r="B483" s="8" t="s">
        <v>372</v>
      </c>
      <c r="C483" s="8" t="s">
        <v>373</v>
      </c>
      <c r="D483" s="8" t="s">
        <v>26</v>
      </c>
      <c r="E483" s="8" t="s">
        <v>414</v>
      </c>
      <c r="F483" s="8" t="s">
        <v>77</v>
      </c>
      <c r="G483" s="25">
        <v>46307</v>
      </c>
      <c r="H483" s="25">
        <v>46339</v>
      </c>
      <c r="I483" s="8" t="s">
        <v>5</v>
      </c>
      <c r="J483" s="8" t="s">
        <v>5</v>
      </c>
      <c r="K483" s="25"/>
      <c r="L483" s="8" t="s">
        <v>807</v>
      </c>
      <c r="M483" s="8"/>
      <c r="N483" s="10"/>
      <c r="O483" s="8" t="s">
        <v>1262</v>
      </c>
    </row>
    <row r="484" ht="32" customHeight="1" spans="1:15">
      <c r="A484" s="8">
        <v>21</v>
      </c>
      <c r="B484" s="8" t="s">
        <v>374</v>
      </c>
      <c r="C484" s="8" t="s">
        <v>159</v>
      </c>
      <c r="D484" s="8" t="s">
        <v>26</v>
      </c>
      <c r="E484" s="8" t="s">
        <v>414</v>
      </c>
      <c r="F484" s="8" t="s">
        <v>77</v>
      </c>
      <c r="G484" s="25">
        <v>46307</v>
      </c>
      <c r="H484" s="25">
        <v>46339</v>
      </c>
      <c r="I484" s="8" t="s">
        <v>5</v>
      </c>
      <c r="J484" s="8" t="s">
        <v>5</v>
      </c>
      <c r="K484" s="25"/>
      <c r="L484" s="8" t="s">
        <v>807</v>
      </c>
      <c r="M484" s="8"/>
      <c r="N484" s="10"/>
      <c r="O484" s="8" t="s">
        <v>1263</v>
      </c>
    </row>
    <row r="485" ht="32" customHeight="1" spans="1:15">
      <c r="A485" s="8">
        <v>21</v>
      </c>
      <c r="B485" s="8" t="s">
        <v>375</v>
      </c>
      <c r="C485" s="8" t="s">
        <v>163</v>
      </c>
      <c r="D485" s="8" t="s">
        <v>26</v>
      </c>
      <c r="E485" s="8" t="s">
        <v>414</v>
      </c>
      <c r="F485" s="8" t="s">
        <v>77</v>
      </c>
      <c r="G485" s="25">
        <v>46307</v>
      </c>
      <c r="H485" s="25">
        <v>46339</v>
      </c>
      <c r="I485" s="8" t="s">
        <v>5</v>
      </c>
      <c r="J485" s="8" t="s">
        <v>5</v>
      </c>
      <c r="K485" s="25"/>
      <c r="L485" s="8" t="s">
        <v>807</v>
      </c>
      <c r="M485" s="8"/>
      <c r="N485" s="10"/>
      <c r="O485" s="8" t="s">
        <v>1264</v>
      </c>
    </row>
    <row r="486" ht="32" customHeight="1" spans="1:15">
      <c r="A486" s="8">
        <v>21</v>
      </c>
      <c r="B486" s="8" t="s">
        <v>376</v>
      </c>
      <c r="C486" s="8" t="s">
        <v>377</v>
      </c>
      <c r="D486" s="8" t="s">
        <v>26</v>
      </c>
      <c r="E486" s="8" t="s">
        <v>414</v>
      </c>
      <c r="F486" s="8" t="s">
        <v>77</v>
      </c>
      <c r="G486" s="25">
        <v>46307</v>
      </c>
      <c r="H486" s="25">
        <v>46339</v>
      </c>
      <c r="I486" s="8" t="s">
        <v>5</v>
      </c>
      <c r="J486" s="8" t="s">
        <v>5</v>
      </c>
      <c r="K486" s="25"/>
      <c r="L486" s="8" t="s">
        <v>807</v>
      </c>
      <c r="M486" s="8"/>
      <c r="N486" s="10"/>
      <c r="O486" s="8" t="s">
        <v>1265</v>
      </c>
    </row>
    <row r="487" ht="32" customHeight="1" spans="1:15">
      <c r="A487" s="8">
        <v>21</v>
      </c>
      <c r="B487" s="8" t="s">
        <v>378</v>
      </c>
      <c r="C487" s="8" t="s">
        <v>134</v>
      </c>
      <c r="D487" s="8" t="s">
        <v>26</v>
      </c>
      <c r="E487" s="8" t="s">
        <v>414</v>
      </c>
      <c r="F487" s="8" t="s">
        <v>77</v>
      </c>
      <c r="G487" s="25">
        <v>46307</v>
      </c>
      <c r="H487" s="25">
        <v>46339</v>
      </c>
      <c r="I487" s="8" t="s">
        <v>5</v>
      </c>
      <c r="J487" s="8" t="s">
        <v>5</v>
      </c>
      <c r="K487" s="25"/>
      <c r="L487" s="8" t="s">
        <v>807</v>
      </c>
      <c r="M487" s="8"/>
      <c r="N487" s="10"/>
      <c r="O487" s="8" t="s">
        <v>1266</v>
      </c>
    </row>
    <row r="488" ht="32" customHeight="1" spans="1:15">
      <c r="A488" s="8">
        <v>21</v>
      </c>
      <c r="B488" s="8" t="s">
        <v>379</v>
      </c>
      <c r="C488" s="8" t="s">
        <v>139</v>
      </c>
      <c r="D488" s="8" t="s">
        <v>26</v>
      </c>
      <c r="E488" s="8" t="s">
        <v>414</v>
      </c>
      <c r="F488" s="8" t="s">
        <v>77</v>
      </c>
      <c r="G488" s="25">
        <v>46307</v>
      </c>
      <c r="H488" s="25">
        <v>46339</v>
      </c>
      <c r="I488" s="8" t="s">
        <v>5</v>
      </c>
      <c r="J488" s="8" t="s">
        <v>5</v>
      </c>
      <c r="K488" s="25"/>
      <c r="L488" s="8" t="s">
        <v>807</v>
      </c>
      <c r="M488" s="8"/>
      <c r="N488" s="10"/>
      <c r="O488" s="8" t="s">
        <v>1267</v>
      </c>
    </row>
    <row r="489" ht="32" customHeight="1" spans="1:15">
      <c r="A489" s="8">
        <v>21</v>
      </c>
      <c r="B489" s="8" t="s">
        <v>380</v>
      </c>
      <c r="C489" s="8" t="s">
        <v>381</v>
      </c>
      <c r="D489" s="8" t="s">
        <v>26</v>
      </c>
      <c r="E489" s="8" t="s">
        <v>414</v>
      </c>
      <c r="F489" s="8" t="s">
        <v>152</v>
      </c>
      <c r="G489" s="25">
        <v>46307</v>
      </c>
      <c r="H489" s="25">
        <v>46339</v>
      </c>
      <c r="I489" s="8" t="s">
        <v>5</v>
      </c>
      <c r="J489" s="8" t="s">
        <v>5</v>
      </c>
      <c r="K489" s="25"/>
      <c r="L489" s="8" t="s">
        <v>807</v>
      </c>
      <c r="M489" s="8"/>
      <c r="N489" s="10"/>
      <c r="O489" s="8" t="s">
        <v>1268</v>
      </c>
    </row>
    <row r="490" ht="32" customHeight="1" spans="1:15">
      <c r="A490" s="8">
        <v>21</v>
      </c>
      <c r="B490" s="8" t="s">
        <v>387</v>
      </c>
      <c r="C490" s="8" t="s">
        <v>161</v>
      </c>
      <c r="D490" s="8" t="s">
        <v>26</v>
      </c>
      <c r="E490" s="8" t="s">
        <v>414</v>
      </c>
      <c r="F490" s="8" t="s">
        <v>77</v>
      </c>
      <c r="G490" s="25">
        <v>46307</v>
      </c>
      <c r="H490" s="25">
        <v>46339</v>
      </c>
      <c r="I490" s="8" t="s">
        <v>5</v>
      </c>
      <c r="J490" s="8" t="s">
        <v>5</v>
      </c>
      <c r="K490" s="25"/>
      <c r="L490" s="8" t="s">
        <v>807</v>
      </c>
      <c r="M490" s="8"/>
      <c r="N490" s="10"/>
      <c r="O490" s="8" t="s">
        <v>1269</v>
      </c>
    </row>
    <row r="491" ht="32" customHeight="1" spans="1:15">
      <c r="A491" s="8">
        <v>21</v>
      </c>
      <c r="B491" s="8" t="s">
        <v>86</v>
      </c>
      <c r="C491" s="8" t="s">
        <v>88</v>
      </c>
      <c r="D491" s="8" t="s">
        <v>26</v>
      </c>
      <c r="E491" s="8" t="s">
        <v>406</v>
      </c>
      <c r="F491" s="8" t="s">
        <v>76</v>
      </c>
      <c r="G491" s="25">
        <v>46307</v>
      </c>
      <c r="H491" s="25">
        <v>46339</v>
      </c>
      <c r="I491" s="8" t="s">
        <v>3</v>
      </c>
      <c r="J491" s="8" t="s">
        <v>3</v>
      </c>
      <c r="K491" s="25"/>
      <c r="L491" s="8" t="s">
        <v>807</v>
      </c>
      <c r="M491" s="8" t="s">
        <v>808</v>
      </c>
      <c r="N491" s="10"/>
      <c r="O491" s="8" t="s">
        <v>1270</v>
      </c>
    </row>
    <row r="492" ht="32" customHeight="1" spans="1:15">
      <c r="A492" s="8">
        <v>21</v>
      </c>
      <c r="B492" s="8" t="s">
        <v>120</v>
      </c>
      <c r="C492" s="8" t="s">
        <v>123</v>
      </c>
      <c r="D492" s="8" t="s">
        <v>26</v>
      </c>
      <c r="E492" s="8" t="s">
        <v>406</v>
      </c>
      <c r="F492" s="8" t="s">
        <v>76</v>
      </c>
      <c r="G492" s="25">
        <v>46307</v>
      </c>
      <c r="H492" s="25">
        <v>46339</v>
      </c>
      <c r="I492" s="8" t="s">
        <v>5</v>
      </c>
      <c r="J492" s="8" t="s">
        <v>4</v>
      </c>
      <c r="K492" s="25"/>
      <c r="L492" s="8" t="s">
        <v>807</v>
      </c>
      <c r="M492" s="8"/>
      <c r="N492" s="10"/>
      <c r="O492" s="8" t="s">
        <v>1271</v>
      </c>
    </row>
    <row r="493" ht="32" customHeight="1" spans="1:15">
      <c r="A493" s="8">
        <v>21</v>
      </c>
      <c r="B493" s="8" t="s">
        <v>128</v>
      </c>
      <c r="C493" s="8" t="s">
        <v>130</v>
      </c>
      <c r="D493" s="8" t="s">
        <v>26</v>
      </c>
      <c r="E493" s="8" t="s">
        <v>406</v>
      </c>
      <c r="F493" s="8" t="s">
        <v>76</v>
      </c>
      <c r="G493" s="25">
        <v>46307</v>
      </c>
      <c r="H493" s="25">
        <v>46339</v>
      </c>
      <c r="I493" s="8" t="s">
        <v>5</v>
      </c>
      <c r="J493" s="8" t="s">
        <v>5</v>
      </c>
      <c r="K493" s="25"/>
      <c r="L493" s="8" t="s">
        <v>807</v>
      </c>
      <c r="M493" s="8"/>
      <c r="N493" s="10"/>
      <c r="O493" s="8" t="s">
        <v>1272</v>
      </c>
    </row>
    <row r="494" ht="32" customHeight="1" spans="1:15">
      <c r="A494" s="8">
        <v>21</v>
      </c>
      <c r="B494" s="8" t="s">
        <v>131</v>
      </c>
      <c r="C494" s="8" t="s">
        <v>132</v>
      </c>
      <c r="D494" s="8" t="s">
        <v>26</v>
      </c>
      <c r="E494" s="8" t="s">
        <v>406</v>
      </c>
      <c r="F494" s="8" t="s">
        <v>76</v>
      </c>
      <c r="G494" s="25">
        <v>46307</v>
      </c>
      <c r="H494" s="25">
        <v>46339</v>
      </c>
      <c r="I494" s="8" t="s">
        <v>5</v>
      </c>
      <c r="J494" s="8" t="s">
        <v>5</v>
      </c>
      <c r="K494" s="25"/>
      <c r="L494" s="8" t="s">
        <v>807</v>
      </c>
      <c r="M494" s="8"/>
      <c r="N494" s="10"/>
      <c r="O494" s="8" t="s">
        <v>1273</v>
      </c>
    </row>
    <row r="495" ht="32" customHeight="1" spans="1:15">
      <c r="A495" s="8">
        <v>21</v>
      </c>
      <c r="B495" s="8" t="s">
        <v>133</v>
      </c>
      <c r="C495" s="8" t="s">
        <v>135</v>
      </c>
      <c r="D495" s="8" t="s">
        <v>26</v>
      </c>
      <c r="E495" s="8" t="s">
        <v>406</v>
      </c>
      <c r="F495" s="8" t="s">
        <v>76</v>
      </c>
      <c r="G495" s="25">
        <v>46307</v>
      </c>
      <c r="H495" s="25">
        <v>46339</v>
      </c>
      <c r="I495" s="8" t="s">
        <v>5</v>
      </c>
      <c r="J495" s="8" t="s">
        <v>5</v>
      </c>
      <c r="K495" s="25"/>
      <c r="L495" s="8" t="s">
        <v>807</v>
      </c>
      <c r="M495" s="8"/>
      <c r="N495" s="10"/>
      <c r="O495" s="8" t="s">
        <v>1274</v>
      </c>
    </row>
    <row r="496" ht="32" customHeight="1" spans="1:15">
      <c r="A496" s="8">
        <v>21</v>
      </c>
      <c r="B496" s="8" t="s">
        <v>136</v>
      </c>
      <c r="C496" s="8" t="s">
        <v>137</v>
      </c>
      <c r="D496" s="8" t="s">
        <v>26</v>
      </c>
      <c r="E496" s="8" t="s">
        <v>406</v>
      </c>
      <c r="F496" s="8" t="s">
        <v>76</v>
      </c>
      <c r="G496" s="25">
        <v>46307</v>
      </c>
      <c r="H496" s="25">
        <v>46339</v>
      </c>
      <c r="I496" s="8" t="s">
        <v>5</v>
      </c>
      <c r="J496" s="8" t="s">
        <v>5</v>
      </c>
      <c r="K496" s="25">
        <v>46261</v>
      </c>
      <c r="L496" s="8" t="s">
        <v>807</v>
      </c>
      <c r="M496" s="8"/>
      <c r="N496" s="10"/>
      <c r="O496" s="8" t="s">
        <v>1275</v>
      </c>
    </row>
    <row r="497" ht="32" customHeight="1" spans="1:15">
      <c r="A497" s="8">
        <v>21</v>
      </c>
      <c r="B497" s="8" t="s">
        <v>143</v>
      </c>
      <c r="C497" s="8" t="s">
        <v>144</v>
      </c>
      <c r="D497" s="8" t="s">
        <v>26</v>
      </c>
      <c r="E497" s="8" t="s">
        <v>406</v>
      </c>
      <c r="F497" s="8" t="s">
        <v>76</v>
      </c>
      <c r="G497" s="25">
        <v>46307</v>
      </c>
      <c r="H497" s="25">
        <v>46339</v>
      </c>
      <c r="I497" s="8" t="s">
        <v>5</v>
      </c>
      <c r="J497" s="8" t="s">
        <v>4</v>
      </c>
      <c r="K497" s="25">
        <v>46261</v>
      </c>
      <c r="L497" s="8" t="s">
        <v>807</v>
      </c>
      <c r="M497" s="8"/>
      <c r="N497" s="10"/>
      <c r="O497" s="8" t="s">
        <v>1276</v>
      </c>
    </row>
    <row r="498" ht="32" customHeight="1" spans="1:15">
      <c r="A498" s="8">
        <v>21</v>
      </c>
      <c r="B498" s="8" t="s">
        <v>145</v>
      </c>
      <c r="C498" s="8" t="s">
        <v>146</v>
      </c>
      <c r="D498" s="8" t="s">
        <v>26</v>
      </c>
      <c r="E498" s="8" t="s">
        <v>406</v>
      </c>
      <c r="F498" s="8" t="s">
        <v>76</v>
      </c>
      <c r="G498" s="25">
        <v>46307</v>
      </c>
      <c r="H498" s="25">
        <v>46339</v>
      </c>
      <c r="I498" s="8" t="s">
        <v>5</v>
      </c>
      <c r="J498" s="8" t="s">
        <v>4</v>
      </c>
      <c r="K498" s="25">
        <v>46261</v>
      </c>
      <c r="L498" s="8" t="s">
        <v>807</v>
      </c>
      <c r="M498" s="8"/>
      <c r="N498" s="10"/>
      <c r="O498" s="8" t="s">
        <v>1277</v>
      </c>
    </row>
    <row r="499" ht="32" customHeight="1" spans="1:15">
      <c r="A499" s="8">
        <v>21</v>
      </c>
      <c r="B499" s="8" t="s">
        <v>185</v>
      </c>
      <c r="C499" s="8" t="s">
        <v>187</v>
      </c>
      <c r="D499" s="8" t="s">
        <v>26</v>
      </c>
      <c r="E499" s="8" t="s">
        <v>406</v>
      </c>
      <c r="F499" s="8" t="s">
        <v>76</v>
      </c>
      <c r="G499" s="25">
        <v>46307</v>
      </c>
      <c r="H499" s="25">
        <v>46339</v>
      </c>
      <c r="I499" s="8" t="s">
        <v>3</v>
      </c>
      <c r="J499" s="8" t="s">
        <v>3</v>
      </c>
      <c r="K499" s="25"/>
      <c r="L499" s="8" t="s">
        <v>807</v>
      </c>
      <c r="M499" s="8" t="s">
        <v>808</v>
      </c>
      <c r="N499" s="10"/>
      <c r="O499" s="8" t="s">
        <v>1278</v>
      </c>
    </row>
    <row r="500" ht="32" customHeight="1" spans="1:15">
      <c r="A500" s="8">
        <v>21</v>
      </c>
      <c r="B500" s="8" t="s">
        <v>188</v>
      </c>
      <c r="C500" s="8" t="s">
        <v>189</v>
      </c>
      <c r="D500" s="8" t="s">
        <v>26</v>
      </c>
      <c r="E500" s="8" t="s">
        <v>406</v>
      </c>
      <c r="F500" s="8" t="s">
        <v>76</v>
      </c>
      <c r="G500" s="25">
        <v>46307</v>
      </c>
      <c r="H500" s="25">
        <v>46339</v>
      </c>
      <c r="I500" s="8" t="s">
        <v>5</v>
      </c>
      <c r="J500" s="8" t="s">
        <v>5</v>
      </c>
      <c r="K500" s="25"/>
      <c r="L500" s="8" t="s">
        <v>807</v>
      </c>
      <c r="M500" s="8"/>
      <c r="N500" s="10"/>
      <c r="O500" s="8" t="s">
        <v>1279</v>
      </c>
    </row>
    <row r="501" ht="32" customHeight="1" spans="1:15">
      <c r="A501" s="8">
        <v>21</v>
      </c>
      <c r="B501" s="8" t="s">
        <v>190</v>
      </c>
      <c r="C501" s="8" t="s">
        <v>189</v>
      </c>
      <c r="D501" s="8" t="s">
        <v>26</v>
      </c>
      <c r="E501" s="8" t="s">
        <v>406</v>
      </c>
      <c r="F501" s="8" t="s">
        <v>76</v>
      </c>
      <c r="G501" s="25">
        <v>46307</v>
      </c>
      <c r="H501" s="25">
        <v>46339</v>
      </c>
      <c r="I501" s="8" t="s">
        <v>5</v>
      </c>
      <c r="J501" s="8" t="s">
        <v>5</v>
      </c>
      <c r="K501" s="25">
        <v>46261</v>
      </c>
      <c r="L501" s="8" t="s">
        <v>807</v>
      </c>
      <c r="M501" s="8"/>
      <c r="N501" s="10"/>
      <c r="O501" s="8" t="s">
        <v>1280</v>
      </c>
    </row>
    <row r="502" ht="32" customHeight="1" spans="1:15">
      <c r="A502" s="8">
        <v>21</v>
      </c>
      <c r="B502" s="8" t="s">
        <v>192</v>
      </c>
      <c r="C502" s="8" t="s">
        <v>194</v>
      </c>
      <c r="D502" s="8" t="s">
        <v>26</v>
      </c>
      <c r="E502" s="8" t="s">
        <v>406</v>
      </c>
      <c r="F502" s="8" t="s">
        <v>76</v>
      </c>
      <c r="G502" s="25">
        <v>46307</v>
      </c>
      <c r="H502" s="25">
        <v>46339</v>
      </c>
      <c r="I502" s="8" t="s">
        <v>3</v>
      </c>
      <c r="J502" s="8" t="s">
        <v>3</v>
      </c>
      <c r="K502" s="25">
        <v>46261</v>
      </c>
      <c r="L502" s="8" t="s">
        <v>807</v>
      </c>
      <c r="M502" s="8"/>
      <c r="N502" s="10"/>
      <c r="O502" s="8" t="s">
        <v>1281</v>
      </c>
    </row>
    <row r="503" ht="32" customHeight="1" spans="1:15">
      <c r="A503" s="8">
        <v>21</v>
      </c>
      <c r="B503" s="8" t="s">
        <v>263</v>
      </c>
      <c r="C503" s="8" t="s">
        <v>265</v>
      </c>
      <c r="D503" s="8" t="s">
        <v>26</v>
      </c>
      <c r="E503" s="8" t="s">
        <v>406</v>
      </c>
      <c r="F503" s="8" t="s">
        <v>76</v>
      </c>
      <c r="G503" s="25">
        <v>46307</v>
      </c>
      <c r="H503" s="25">
        <v>46339</v>
      </c>
      <c r="I503" s="8" t="s">
        <v>5</v>
      </c>
      <c r="J503" s="8" t="s">
        <v>5</v>
      </c>
      <c r="K503" s="25"/>
      <c r="L503" s="8" t="s">
        <v>807</v>
      </c>
      <c r="M503" s="8"/>
      <c r="N503" s="10"/>
      <c r="O503" s="8" t="s">
        <v>1282</v>
      </c>
    </row>
    <row r="504" ht="32" customHeight="1" spans="1:15">
      <c r="A504" s="8">
        <v>21</v>
      </c>
      <c r="B504" s="8" t="s">
        <v>266</v>
      </c>
      <c r="C504" s="8" t="s">
        <v>267</v>
      </c>
      <c r="D504" s="8" t="s">
        <v>26</v>
      </c>
      <c r="E504" s="8" t="s">
        <v>406</v>
      </c>
      <c r="F504" s="8" t="s">
        <v>76</v>
      </c>
      <c r="G504" s="25">
        <v>46307</v>
      </c>
      <c r="H504" s="25">
        <v>46339</v>
      </c>
      <c r="I504" s="8" t="s">
        <v>5</v>
      </c>
      <c r="J504" s="8" t="s">
        <v>5</v>
      </c>
      <c r="K504" s="25">
        <v>46224</v>
      </c>
      <c r="L504" s="8" t="s">
        <v>807</v>
      </c>
      <c r="M504" s="8"/>
      <c r="N504" s="10"/>
      <c r="O504" s="8" t="s">
        <v>1283</v>
      </c>
    </row>
    <row r="505" ht="32" customHeight="1" spans="1:15">
      <c r="A505" s="8">
        <v>21</v>
      </c>
      <c r="B505" s="8" t="s">
        <v>268</v>
      </c>
      <c r="C505" s="8" t="s">
        <v>265</v>
      </c>
      <c r="D505" s="8" t="s">
        <v>26</v>
      </c>
      <c r="E505" s="8" t="s">
        <v>406</v>
      </c>
      <c r="F505" s="8" t="s">
        <v>76</v>
      </c>
      <c r="G505" s="25">
        <v>46307</v>
      </c>
      <c r="H505" s="25">
        <v>46339</v>
      </c>
      <c r="I505" s="8" t="s">
        <v>5</v>
      </c>
      <c r="J505" s="8" t="s">
        <v>5</v>
      </c>
      <c r="K505" s="25">
        <v>46224</v>
      </c>
      <c r="L505" s="8" t="s">
        <v>807</v>
      </c>
      <c r="M505" s="8"/>
      <c r="N505" s="10"/>
      <c r="O505" s="8" t="s">
        <v>1284</v>
      </c>
    </row>
    <row r="506" ht="32" customHeight="1" spans="1:15">
      <c r="A506" s="8">
        <v>21</v>
      </c>
      <c r="B506" s="8" t="s">
        <v>270</v>
      </c>
      <c r="C506" s="8" t="s">
        <v>271</v>
      </c>
      <c r="D506" s="8" t="s">
        <v>26</v>
      </c>
      <c r="E506" s="8" t="s">
        <v>406</v>
      </c>
      <c r="F506" s="8" t="s">
        <v>76</v>
      </c>
      <c r="G506" s="25">
        <v>46307</v>
      </c>
      <c r="H506" s="25">
        <v>46339</v>
      </c>
      <c r="I506" s="8" t="s">
        <v>5</v>
      </c>
      <c r="J506" s="8" t="s">
        <v>5</v>
      </c>
      <c r="K506" s="25">
        <v>46224</v>
      </c>
      <c r="L506" s="8" t="s">
        <v>807</v>
      </c>
      <c r="M506" s="8"/>
      <c r="N506" s="10"/>
      <c r="O506" s="8" t="s">
        <v>1285</v>
      </c>
    </row>
    <row r="507" ht="32" customHeight="1" spans="1:15">
      <c r="A507" s="8">
        <v>21</v>
      </c>
      <c r="B507" s="8" t="s">
        <v>278</v>
      </c>
      <c r="C507" s="8" t="s">
        <v>280</v>
      </c>
      <c r="D507" s="8" t="s">
        <v>26</v>
      </c>
      <c r="E507" s="8" t="s">
        <v>406</v>
      </c>
      <c r="F507" s="8" t="s">
        <v>76</v>
      </c>
      <c r="G507" s="25">
        <v>46307</v>
      </c>
      <c r="H507" s="25">
        <v>46339</v>
      </c>
      <c r="I507" s="8" t="s">
        <v>5</v>
      </c>
      <c r="J507" s="8" t="s">
        <v>5</v>
      </c>
      <c r="K507" s="25"/>
      <c r="L507" s="8" t="s">
        <v>807</v>
      </c>
      <c r="M507" s="8"/>
      <c r="N507" s="10"/>
      <c r="O507" s="8" t="s">
        <v>1286</v>
      </c>
    </row>
    <row r="508" ht="32" customHeight="1" spans="1:15">
      <c r="A508" s="8">
        <v>21</v>
      </c>
      <c r="B508" s="8" t="s">
        <v>281</v>
      </c>
      <c r="C508" s="8" t="s">
        <v>282</v>
      </c>
      <c r="D508" s="8" t="s">
        <v>26</v>
      </c>
      <c r="E508" s="8" t="s">
        <v>406</v>
      </c>
      <c r="F508" s="8" t="s">
        <v>76</v>
      </c>
      <c r="G508" s="25">
        <v>46307</v>
      </c>
      <c r="H508" s="25">
        <v>46339</v>
      </c>
      <c r="I508" s="8" t="s">
        <v>5</v>
      </c>
      <c r="J508" s="8" t="s">
        <v>5</v>
      </c>
      <c r="K508" s="25"/>
      <c r="L508" s="8" t="s">
        <v>807</v>
      </c>
      <c r="M508" s="8"/>
      <c r="N508" s="10"/>
      <c r="O508" s="8" t="s">
        <v>1287</v>
      </c>
    </row>
    <row r="509" ht="32" customHeight="1" spans="1:15">
      <c r="A509" s="8">
        <v>21</v>
      </c>
      <c r="B509" s="8" t="s">
        <v>283</v>
      </c>
      <c r="C509" s="8" t="s">
        <v>284</v>
      </c>
      <c r="D509" s="8" t="s">
        <v>26</v>
      </c>
      <c r="E509" s="8" t="s">
        <v>406</v>
      </c>
      <c r="F509" s="8" t="s">
        <v>76</v>
      </c>
      <c r="G509" s="25">
        <v>46307</v>
      </c>
      <c r="H509" s="25">
        <v>46339</v>
      </c>
      <c r="I509" s="8" t="s">
        <v>5</v>
      </c>
      <c r="J509" s="8" t="s">
        <v>5</v>
      </c>
      <c r="K509" s="25"/>
      <c r="L509" s="8" t="s">
        <v>807</v>
      </c>
      <c r="M509" s="8"/>
      <c r="N509" s="10"/>
      <c r="O509" s="8" t="s">
        <v>1288</v>
      </c>
    </row>
    <row r="510" ht="32" customHeight="1" spans="1:15">
      <c r="A510" s="8">
        <v>21</v>
      </c>
      <c r="B510" s="8" t="s">
        <v>285</v>
      </c>
      <c r="C510" s="8" t="s">
        <v>286</v>
      </c>
      <c r="D510" s="8" t="s">
        <v>26</v>
      </c>
      <c r="E510" s="8" t="s">
        <v>406</v>
      </c>
      <c r="F510" s="8" t="s">
        <v>76</v>
      </c>
      <c r="G510" s="25">
        <v>46307</v>
      </c>
      <c r="H510" s="25">
        <v>46339</v>
      </c>
      <c r="I510" s="8" t="s">
        <v>5</v>
      </c>
      <c r="J510" s="8" t="s">
        <v>5</v>
      </c>
      <c r="K510" s="25"/>
      <c r="L510" s="8" t="s">
        <v>807</v>
      </c>
      <c r="M510" s="8"/>
      <c r="N510" s="10"/>
      <c r="O510" s="8" t="s">
        <v>1289</v>
      </c>
    </row>
    <row r="511" ht="32" customHeight="1" spans="1:15">
      <c r="A511" s="8">
        <v>21</v>
      </c>
      <c r="B511" s="8" t="s">
        <v>287</v>
      </c>
      <c r="C511" s="8" t="s">
        <v>265</v>
      </c>
      <c r="D511" s="8" t="s">
        <v>26</v>
      </c>
      <c r="E511" s="8" t="s">
        <v>406</v>
      </c>
      <c r="F511" s="8" t="s">
        <v>76</v>
      </c>
      <c r="G511" s="25">
        <v>46307</v>
      </c>
      <c r="H511" s="25">
        <v>46339</v>
      </c>
      <c r="I511" s="8" t="s">
        <v>5</v>
      </c>
      <c r="J511" s="8" t="s">
        <v>5</v>
      </c>
      <c r="K511" s="25"/>
      <c r="L511" s="8" t="s">
        <v>807</v>
      </c>
      <c r="M511" s="8"/>
      <c r="N511" s="10"/>
      <c r="O511" s="8" t="s">
        <v>1290</v>
      </c>
    </row>
    <row r="512" ht="32" customHeight="1" spans="1:15">
      <c r="A512" s="8">
        <v>21</v>
      </c>
      <c r="B512" s="8" t="s">
        <v>289</v>
      </c>
      <c r="C512" s="8" t="s">
        <v>267</v>
      </c>
      <c r="D512" s="8" t="s">
        <v>26</v>
      </c>
      <c r="E512" s="8" t="s">
        <v>406</v>
      </c>
      <c r="F512" s="8" t="s">
        <v>76</v>
      </c>
      <c r="G512" s="25">
        <v>46307</v>
      </c>
      <c r="H512" s="25">
        <v>46339</v>
      </c>
      <c r="I512" s="8" t="s">
        <v>5</v>
      </c>
      <c r="J512" s="8" t="s">
        <v>5</v>
      </c>
      <c r="K512" s="25"/>
      <c r="L512" s="8" t="s">
        <v>807</v>
      </c>
      <c r="M512" s="8"/>
      <c r="N512" s="10"/>
      <c r="O512" s="8" t="s">
        <v>1291</v>
      </c>
    </row>
    <row r="513" ht="32" customHeight="1" spans="1:15">
      <c r="A513" s="8">
        <v>21</v>
      </c>
      <c r="B513" s="8" t="s">
        <v>362</v>
      </c>
      <c r="C513" s="8" t="s">
        <v>363</v>
      </c>
      <c r="D513" s="8" t="s">
        <v>26</v>
      </c>
      <c r="E513" s="8" t="s">
        <v>406</v>
      </c>
      <c r="F513" s="8" t="s">
        <v>76</v>
      </c>
      <c r="G513" s="25">
        <v>46307</v>
      </c>
      <c r="H513" s="25">
        <v>46339</v>
      </c>
      <c r="I513" s="8" t="s">
        <v>5</v>
      </c>
      <c r="J513" s="8" t="s">
        <v>5</v>
      </c>
      <c r="K513" s="25"/>
      <c r="L513" s="8" t="s">
        <v>807</v>
      </c>
      <c r="M513" s="8"/>
      <c r="N513" s="10"/>
      <c r="O513" s="8" t="s">
        <v>1292</v>
      </c>
    </row>
    <row r="514" ht="32" customHeight="1" spans="1:15">
      <c r="A514" s="8">
        <v>21</v>
      </c>
      <c r="B514" s="8" t="s">
        <v>364</v>
      </c>
      <c r="C514" s="8" t="s">
        <v>365</v>
      </c>
      <c r="D514" s="8" t="s">
        <v>26</v>
      </c>
      <c r="E514" s="8" t="s">
        <v>406</v>
      </c>
      <c r="F514" s="8" t="s">
        <v>76</v>
      </c>
      <c r="G514" s="25">
        <v>46307</v>
      </c>
      <c r="H514" s="25">
        <v>46339</v>
      </c>
      <c r="I514" s="8" t="s">
        <v>5</v>
      </c>
      <c r="J514" s="8" t="s">
        <v>5</v>
      </c>
      <c r="K514" s="25">
        <v>46261</v>
      </c>
      <c r="L514" s="8" t="s">
        <v>807</v>
      </c>
      <c r="M514" s="8"/>
      <c r="N514" s="10"/>
      <c r="O514" s="8" t="s">
        <v>1293</v>
      </c>
    </row>
    <row r="515" ht="32" customHeight="1" spans="1:15">
      <c r="A515" s="8">
        <v>21</v>
      </c>
      <c r="B515" s="8" t="s">
        <v>366</v>
      </c>
      <c r="C515" s="8" t="s">
        <v>367</v>
      </c>
      <c r="D515" s="8" t="s">
        <v>26</v>
      </c>
      <c r="E515" s="8" t="s">
        <v>406</v>
      </c>
      <c r="F515" s="8" t="s">
        <v>152</v>
      </c>
      <c r="G515" s="25">
        <v>46307</v>
      </c>
      <c r="H515" s="25">
        <v>46339</v>
      </c>
      <c r="I515" s="8" t="s">
        <v>5</v>
      </c>
      <c r="J515" s="8" t="s">
        <v>5</v>
      </c>
      <c r="K515" s="25">
        <v>46261</v>
      </c>
      <c r="L515" s="8" t="s">
        <v>807</v>
      </c>
      <c r="M515" s="8"/>
      <c r="N515" s="10"/>
      <c r="O515" s="8" t="s">
        <v>1294</v>
      </c>
    </row>
    <row r="516" ht="32" customHeight="1" spans="1:15">
      <c r="A516" s="8">
        <v>21</v>
      </c>
      <c r="B516" s="8" t="s">
        <v>368</v>
      </c>
      <c r="C516" s="8" t="s">
        <v>369</v>
      </c>
      <c r="D516" s="8" t="s">
        <v>26</v>
      </c>
      <c r="E516" s="8" t="s">
        <v>406</v>
      </c>
      <c r="F516" s="8" t="s">
        <v>152</v>
      </c>
      <c r="G516" s="25">
        <v>46307</v>
      </c>
      <c r="H516" s="25">
        <v>46339</v>
      </c>
      <c r="I516" s="8" t="s">
        <v>5</v>
      </c>
      <c r="J516" s="8" t="s">
        <v>5</v>
      </c>
      <c r="K516" s="25"/>
      <c r="L516" s="8" t="s">
        <v>807</v>
      </c>
      <c r="M516" s="8"/>
      <c r="N516" s="10"/>
      <c r="O516" s="8" t="s">
        <v>1295</v>
      </c>
    </row>
    <row r="517" ht="32" customHeight="1" spans="1:15">
      <c r="A517" s="8">
        <v>21</v>
      </c>
      <c r="B517" s="8" t="s">
        <v>370</v>
      </c>
      <c r="C517" s="8" t="s">
        <v>371</v>
      </c>
      <c r="D517" s="8" t="s">
        <v>26</v>
      </c>
      <c r="E517" s="8" t="s">
        <v>406</v>
      </c>
      <c r="F517" s="8" t="s">
        <v>76</v>
      </c>
      <c r="G517" s="25">
        <v>46307</v>
      </c>
      <c r="H517" s="25">
        <v>46339</v>
      </c>
      <c r="I517" s="8" t="s">
        <v>5</v>
      </c>
      <c r="J517" s="8" t="s">
        <v>5</v>
      </c>
      <c r="K517" s="25"/>
      <c r="L517" s="8" t="s">
        <v>807</v>
      </c>
      <c r="M517" s="8"/>
      <c r="N517" s="10"/>
      <c r="O517" s="8" t="s">
        <v>1296</v>
      </c>
    </row>
    <row r="518" ht="32" customHeight="1" spans="1:15">
      <c r="A518" s="8">
        <v>21</v>
      </c>
      <c r="B518" s="8" t="s">
        <v>372</v>
      </c>
      <c r="C518" s="8" t="s">
        <v>373</v>
      </c>
      <c r="D518" s="8" t="s">
        <v>26</v>
      </c>
      <c r="E518" s="8" t="s">
        <v>406</v>
      </c>
      <c r="F518" s="8" t="s">
        <v>76</v>
      </c>
      <c r="G518" s="25">
        <v>46307</v>
      </c>
      <c r="H518" s="25">
        <v>46339</v>
      </c>
      <c r="I518" s="8" t="s">
        <v>5</v>
      </c>
      <c r="J518" s="8" t="s">
        <v>5</v>
      </c>
      <c r="K518" s="25"/>
      <c r="L518" s="8" t="s">
        <v>807</v>
      </c>
      <c r="M518" s="8"/>
      <c r="N518" s="10"/>
      <c r="O518" s="8" t="s">
        <v>1297</v>
      </c>
    </row>
    <row r="519" ht="32" customHeight="1" spans="1:15">
      <c r="A519" s="8">
        <v>21</v>
      </c>
      <c r="B519" s="8" t="s">
        <v>374</v>
      </c>
      <c r="C519" s="8" t="s">
        <v>159</v>
      </c>
      <c r="D519" s="8" t="s">
        <v>26</v>
      </c>
      <c r="E519" s="8" t="s">
        <v>406</v>
      </c>
      <c r="F519" s="8" t="s">
        <v>76</v>
      </c>
      <c r="G519" s="25">
        <v>46307</v>
      </c>
      <c r="H519" s="25">
        <v>46339</v>
      </c>
      <c r="I519" s="8" t="s">
        <v>5</v>
      </c>
      <c r="J519" s="8" t="s">
        <v>5</v>
      </c>
      <c r="K519" s="25"/>
      <c r="L519" s="8" t="s">
        <v>807</v>
      </c>
      <c r="M519" s="8"/>
      <c r="N519" s="10"/>
      <c r="O519" s="8" t="s">
        <v>1298</v>
      </c>
    </row>
    <row r="520" ht="32" customHeight="1" spans="1:15">
      <c r="A520" s="8">
        <v>21</v>
      </c>
      <c r="B520" s="8" t="s">
        <v>375</v>
      </c>
      <c r="C520" s="8" t="s">
        <v>163</v>
      </c>
      <c r="D520" s="8" t="s">
        <v>26</v>
      </c>
      <c r="E520" s="8" t="s">
        <v>406</v>
      </c>
      <c r="F520" s="8" t="s">
        <v>76</v>
      </c>
      <c r="G520" s="25">
        <v>46307</v>
      </c>
      <c r="H520" s="25">
        <v>46339</v>
      </c>
      <c r="I520" s="8" t="s">
        <v>5</v>
      </c>
      <c r="J520" s="8" t="s">
        <v>5</v>
      </c>
      <c r="K520" s="25"/>
      <c r="L520" s="8" t="s">
        <v>807</v>
      </c>
      <c r="M520" s="8"/>
      <c r="N520" s="10"/>
      <c r="O520" s="8" t="s">
        <v>1299</v>
      </c>
    </row>
    <row r="521" ht="32" customHeight="1" spans="1:15">
      <c r="A521" s="8">
        <v>21</v>
      </c>
      <c r="B521" s="8" t="s">
        <v>376</v>
      </c>
      <c r="C521" s="8" t="s">
        <v>377</v>
      </c>
      <c r="D521" s="8" t="s">
        <v>26</v>
      </c>
      <c r="E521" s="8" t="s">
        <v>406</v>
      </c>
      <c r="F521" s="8" t="s">
        <v>76</v>
      </c>
      <c r="G521" s="25">
        <v>46307</v>
      </c>
      <c r="H521" s="25">
        <v>46339</v>
      </c>
      <c r="I521" s="8" t="s">
        <v>5</v>
      </c>
      <c r="J521" s="8" t="s">
        <v>5</v>
      </c>
      <c r="K521" s="25"/>
      <c r="L521" s="8" t="s">
        <v>807</v>
      </c>
      <c r="M521" s="8"/>
      <c r="N521" s="10"/>
      <c r="O521" s="8" t="s">
        <v>1300</v>
      </c>
    </row>
    <row r="522" ht="32" customHeight="1" spans="1:15">
      <c r="A522" s="8">
        <v>21</v>
      </c>
      <c r="B522" s="8" t="s">
        <v>378</v>
      </c>
      <c r="C522" s="8" t="s">
        <v>134</v>
      </c>
      <c r="D522" s="8" t="s">
        <v>26</v>
      </c>
      <c r="E522" s="8" t="s">
        <v>406</v>
      </c>
      <c r="F522" s="8" t="s">
        <v>76</v>
      </c>
      <c r="G522" s="25">
        <v>46307</v>
      </c>
      <c r="H522" s="25">
        <v>46339</v>
      </c>
      <c r="I522" s="8" t="s">
        <v>5</v>
      </c>
      <c r="J522" s="8" t="s">
        <v>5</v>
      </c>
      <c r="K522" s="25"/>
      <c r="L522" s="8" t="s">
        <v>807</v>
      </c>
      <c r="M522" s="8"/>
      <c r="N522" s="10"/>
      <c r="O522" s="8" t="s">
        <v>1301</v>
      </c>
    </row>
    <row r="523" ht="32" customHeight="1" spans="1:15">
      <c r="A523" s="8">
        <v>21</v>
      </c>
      <c r="B523" s="8" t="s">
        <v>379</v>
      </c>
      <c r="C523" s="8" t="s">
        <v>139</v>
      </c>
      <c r="D523" s="8" t="s">
        <v>26</v>
      </c>
      <c r="E523" s="8" t="s">
        <v>406</v>
      </c>
      <c r="F523" s="8" t="s">
        <v>76</v>
      </c>
      <c r="G523" s="25">
        <v>46307</v>
      </c>
      <c r="H523" s="25">
        <v>46339</v>
      </c>
      <c r="I523" s="8" t="s">
        <v>5</v>
      </c>
      <c r="J523" s="8" t="s">
        <v>5</v>
      </c>
      <c r="K523" s="25"/>
      <c r="L523" s="8" t="s">
        <v>807</v>
      </c>
      <c r="M523" s="8"/>
      <c r="N523" s="10"/>
      <c r="O523" s="8" t="s">
        <v>1302</v>
      </c>
    </row>
    <row r="524" ht="32" customHeight="1" spans="1:15">
      <c r="A524" s="8">
        <v>21</v>
      </c>
      <c r="B524" s="8" t="s">
        <v>380</v>
      </c>
      <c r="C524" s="8" t="s">
        <v>381</v>
      </c>
      <c r="D524" s="8" t="s">
        <v>26</v>
      </c>
      <c r="E524" s="8" t="s">
        <v>406</v>
      </c>
      <c r="F524" s="8" t="s">
        <v>152</v>
      </c>
      <c r="G524" s="25">
        <v>46307</v>
      </c>
      <c r="H524" s="25">
        <v>46339</v>
      </c>
      <c r="I524" s="8" t="s">
        <v>5</v>
      </c>
      <c r="J524" s="8" t="s">
        <v>5</v>
      </c>
      <c r="K524" s="25"/>
      <c r="L524" s="8" t="s">
        <v>807</v>
      </c>
      <c r="M524" s="8"/>
      <c r="N524" s="10"/>
      <c r="O524" s="8" t="s">
        <v>1303</v>
      </c>
    </row>
    <row r="525" ht="32" customHeight="1" spans="1:15">
      <c r="A525" s="8">
        <v>21</v>
      </c>
      <c r="B525" s="8" t="s">
        <v>387</v>
      </c>
      <c r="C525" s="8" t="s">
        <v>161</v>
      </c>
      <c r="D525" s="8" t="s">
        <v>26</v>
      </c>
      <c r="E525" s="8" t="s">
        <v>406</v>
      </c>
      <c r="F525" s="8" t="s">
        <v>76</v>
      </c>
      <c r="G525" s="25">
        <v>46307</v>
      </c>
      <c r="H525" s="25">
        <v>46339</v>
      </c>
      <c r="I525" s="8" t="s">
        <v>5</v>
      </c>
      <c r="J525" s="8" t="s">
        <v>5</v>
      </c>
      <c r="K525" s="25"/>
      <c r="L525" s="8" t="s">
        <v>807</v>
      </c>
      <c r="M525" s="8"/>
      <c r="N525" s="10"/>
      <c r="O525" s="8" t="s">
        <v>1304</v>
      </c>
    </row>
    <row r="526" ht="32" customHeight="1" spans="1:15">
      <c r="A526" s="8">
        <v>23</v>
      </c>
      <c r="B526" s="8" t="s">
        <v>86</v>
      </c>
      <c r="C526" s="8" t="s">
        <v>88</v>
      </c>
      <c r="D526" s="8" t="s">
        <v>26</v>
      </c>
      <c r="E526" s="8" t="s">
        <v>411</v>
      </c>
      <c r="F526" s="8" t="s">
        <v>78</v>
      </c>
      <c r="G526" s="25">
        <v>46342</v>
      </c>
      <c r="H526" s="25">
        <v>46353</v>
      </c>
      <c r="I526" s="8" t="s">
        <v>3</v>
      </c>
      <c r="J526" s="8" t="s">
        <v>3</v>
      </c>
      <c r="K526" s="25"/>
      <c r="L526" s="8" t="s">
        <v>807</v>
      </c>
      <c r="M526" s="8" t="s">
        <v>808</v>
      </c>
      <c r="N526" s="10"/>
      <c r="O526" s="8" t="s">
        <v>1305</v>
      </c>
    </row>
    <row r="527" ht="32" customHeight="1" spans="1:15">
      <c r="A527" s="8">
        <v>23</v>
      </c>
      <c r="B527" s="8" t="s">
        <v>120</v>
      </c>
      <c r="C527" s="8" t="s">
        <v>123</v>
      </c>
      <c r="D527" s="8" t="s">
        <v>26</v>
      </c>
      <c r="E527" s="8" t="s">
        <v>411</v>
      </c>
      <c r="F527" s="8" t="s">
        <v>78</v>
      </c>
      <c r="G527" s="25">
        <v>46342</v>
      </c>
      <c r="H527" s="25">
        <v>46353</v>
      </c>
      <c r="I527" s="8" t="s">
        <v>5</v>
      </c>
      <c r="J527" s="8" t="s">
        <v>4</v>
      </c>
      <c r="K527" s="25"/>
      <c r="L527" s="8" t="s">
        <v>807</v>
      </c>
      <c r="M527" s="8"/>
      <c r="N527" s="10"/>
      <c r="O527" s="8" t="s">
        <v>1306</v>
      </c>
    </row>
    <row r="528" ht="32" customHeight="1" spans="1:15">
      <c r="A528" s="8">
        <v>23</v>
      </c>
      <c r="B528" s="8" t="s">
        <v>124</v>
      </c>
      <c r="C528" s="8" t="s">
        <v>125</v>
      </c>
      <c r="D528" s="8" t="s">
        <v>26</v>
      </c>
      <c r="E528" s="8" t="s">
        <v>411</v>
      </c>
      <c r="F528" s="8" t="s">
        <v>78</v>
      </c>
      <c r="G528" s="25">
        <v>46342</v>
      </c>
      <c r="H528" s="25">
        <v>46353</v>
      </c>
      <c r="I528" s="8" t="s">
        <v>4</v>
      </c>
      <c r="J528" s="8" t="s">
        <v>4</v>
      </c>
      <c r="K528" s="25"/>
      <c r="L528" s="8" t="s">
        <v>807</v>
      </c>
      <c r="M528" s="8"/>
      <c r="N528" s="10"/>
      <c r="O528" s="8" t="s">
        <v>1307</v>
      </c>
    </row>
    <row r="529" ht="32" customHeight="1" spans="1:15">
      <c r="A529" s="8">
        <v>23</v>
      </c>
      <c r="B529" s="8" t="s">
        <v>126</v>
      </c>
      <c r="C529" s="8" t="s">
        <v>127</v>
      </c>
      <c r="D529" s="8" t="s">
        <v>26</v>
      </c>
      <c r="E529" s="8" t="s">
        <v>411</v>
      </c>
      <c r="F529" s="8" t="s">
        <v>78</v>
      </c>
      <c r="G529" s="25">
        <v>46342</v>
      </c>
      <c r="H529" s="25">
        <v>46353</v>
      </c>
      <c r="I529" s="8" t="s">
        <v>4</v>
      </c>
      <c r="J529" s="8" t="s">
        <v>4</v>
      </c>
      <c r="K529" s="25"/>
      <c r="L529" s="8" t="s">
        <v>807</v>
      </c>
      <c r="M529" s="8"/>
      <c r="N529" s="10"/>
      <c r="O529" s="8" t="s">
        <v>1308</v>
      </c>
    </row>
    <row r="530" ht="32" customHeight="1" spans="1:15">
      <c r="A530" s="8">
        <v>23</v>
      </c>
      <c r="B530" s="8" t="s">
        <v>128</v>
      </c>
      <c r="C530" s="8" t="s">
        <v>130</v>
      </c>
      <c r="D530" s="8" t="s">
        <v>26</v>
      </c>
      <c r="E530" s="8" t="s">
        <v>411</v>
      </c>
      <c r="F530" s="8" t="s">
        <v>78</v>
      </c>
      <c r="G530" s="25">
        <v>46342</v>
      </c>
      <c r="H530" s="25">
        <v>46353</v>
      </c>
      <c r="I530" s="8" t="s">
        <v>5</v>
      </c>
      <c r="J530" s="8" t="s">
        <v>5</v>
      </c>
      <c r="K530" s="25"/>
      <c r="L530" s="8" t="s">
        <v>807</v>
      </c>
      <c r="M530" s="8"/>
      <c r="N530" s="10"/>
      <c r="O530" s="8" t="s">
        <v>1309</v>
      </c>
    </row>
    <row r="531" ht="32" customHeight="1" spans="1:15">
      <c r="A531" s="8">
        <v>23</v>
      </c>
      <c r="B531" s="8" t="s">
        <v>131</v>
      </c>
      <c r="C531" s="8" t="s">
        <v>132</v>
      </c>
      <c r="D531" s="8" t="s">
        <v>26</v>
      </c>
      <c r="E531" s="8" t="s">
        <v>411</v>
      </c>
      <c r="F531" s="8" t="s">
        <v>78</v>
      </c>
      <c r="G531" s="25">
        <v>46342</v>
      </c>
      <c r="H531" s="25">
        <v>46353</v>
      </c>
      <c r="I531" s="8" t="s">
        <v>5</v>
      </c>
      <c r="J531" s="8" t="s">
        <v>5</v>
      </c>
      <c r="K531" s="25"/>
      <c r="L531" s="8" t="s">
        <v>807</v>
      </c>
      <c r="M531" s="8"/>
      <c r="N531" s="10"/>
      <c r="O531" s="8" t="s">
        <v>1310</v>
      </c>
    </row>
    <row r="532" ht="32" customHeight="1" spans="1:15">
      <c r="A532" s="8">
        <v>23</v>
      </c>
      <c r="B532" s="8" t="s">
        <v>133</v>
      </c>
      <c r="C532" s="8" t="s">
        <v>135</v>
      </c>
      <c r="D532" s="8" t="s">
        <v>26</v>
      </c>
      <c r="E532" s="8" t="s">
        <v>411</v>
      </c>
      <c r="F532" s="8" t="s">
        <v>78</v>
      </c>
      <c r="G532" s="25">
        <v>46342</v>
      </c>
      <c r="H532" s="25">
        <v>46353</v>
      </c>
      <c r="I532" s="8" t="s">
        <v>5</v>
      </c>
      <c r="J532" s="8" t="s">
        <v>5</v>
      </c>
      <c r="K532" s="25"/>
      <c r="L532" s="8" t="s">
        <v>807</v>
      </c>
      <c r="M532" s="8"/>
      <c r="N532" s="10"/>
      <c r="O532" s="8" t="s">
        <v>1311</v>
      </c>
    </row>
    <row r="533" ht="32" customHeight="1" spans="1:15">
      <c r="A533" s="8">
        <v>23</v>
      </c>
      <c r="B533" s="8" t="s">
        <v>136</v>
      </c>
      <c r="C533" s="8" t="s">
        <v>137</v>
      </c>
      <c r="D533" s="8" t="s">
        <v>26</v>
      </c>
      <c r="E533" s="8" t="s">
        <v>411</v>
      </c>
      <c r="F533" s="8" t="s">
        <v>78</v>
      </c>
      <c r="G533" s="25">
        <v>46342</v>
      </c>
      <c r="H533" s="25">
        <v>46353</v>
      </c>
      <c r="I533" s="8" t="s">
        <v>5</v>
      </c>
      <c r="J533" s="8" t="s">
        <v>5</v>
      </c>
      <c r="K533" s="25">
        <v>46261</v>
      </c>
      <c r="L533" s="8" t="s">
        <v>807</v>
      </c>
      <c r="M533" s="8"/>
      <c r="N533" s="10"/>
      <c r="O533" s="8" t="s">
        <v>1312</v>
      </c>
    </row>
    <row r="534" ht="32" customHeight="1" spans="1:15">
      <c r="A534" s="8">
        <v>23</v>
      </c>
      <c r="B534" s="8" t="s">
        <v>138</v>
      </c>
      <c r="C534" s="8" t="s">
        <v>140</v>
      </c>
      <c r="D534" s="8" t="s">
        <v>26</v>
      </c>
      <c r="E534" s="8" t="s">
        <v>411</v>
      </c>
      <c r="F534" s="8" t="s">
        <v>78</v>
      </c>
      <c r="G534" s="25">
        <v>46342</v>
      </c>
      <c r="H534" s="25">
        <v>46353</v>
      </c>
      <c r="I534" s="8" t="s">
        <v>4</v>
      </c>
      <c r="J534" s="8" t="s">
        <v>4</v>
      </c>
      <c r="K534" s="25">
        <v>46261</v>
      </c>
      <c r="L534" s="8" t="s">
        <v>807</v>
      </c>
      <c r="M534" s="8"/>
      <c r="N534" s="10"/>
      <c r="O534" s="8" t="s">
        <v>1313</v>
      </c>
    </row>
    <row r="535" ht="32" customHeight="1" spans="1:15">
      <c r="A535" s="8">
        <v>23</v>
      </c>
      <c r="B535" s="8" t="s">
        <v>141</v>
      </c>
      <c r="C535" s="8" t="s">
        <v>142</v>
      </c>
      <c r="D535" s="8" t="s">
        <v>26</v>
      </c>
      <c r="E535" s="8" t="s">
        <v>411</v>
      </c>
      <c r="F535" s="8" t="s">
        <v>78</v>
      </c>
      <c r="G535" s="25">
        <v>46342</v>
      </c>
      <c r="H535" s="25">
        <v>46353</v>
      </c>
      <c r="I535" s="8" t="s">
        <v>4</v>
      </c>
      <c r="J535" s="8" t="s">
        <v>4</v>
      </c>
      <c r="K535" s="25">
        <v>46261</v>
      </c>
      <c r="L535" s="8" t="s">
        <v>807</v>
      </c>
      <c r="M535" s="8"/>
      <c r="N535" s="10"/>
      <c r="O535" s="8" t="s">
        <v>1314</v>
      </c>
    </row>
    <row r="536" ht="32" customHeight="1" spans="1:15">
      <c r="A536" s="8">
        <v>23</v>
      </c>
      <c r="B536" s="8" t="s">
        <v>143</v>
      </c>
      <c r="C536" s="8" t="s">
        <v>144</v>
      </c>
      <c r="D536" s="8" t="s">
        <v>26</v>
      </c>
      <c r="E536" s="8" t="s">
        <v>411</v>
      </c>
      <c r="F536" s="8" t="s">
        <v>78</v>
      </c>
      <c r="G536" s="25">
        <v>46342</v>
      </c>
      <c r="H536" s="25">
        <v>46353</v>
      </c>
      <c r="I536" s="8" t="s">
        <v>5</v>
      </c>
      <c r="J536" s="8" t="s">
        <v>4</v>
      </c>
      <c r="K536" s="25">
        <v>46261</v>
      </c>
      <c r="L536" s="8" t="s">
        <v>807</v>
      </c>
      <c r="M536" s="8"/>
      <c r="N536" s="10"/>
      <c r="O536" s="8" t="s">
        <v>1315</v>
      </c>
    </row>
    <row r="537" ht="32" customHeight="1" spans="1:15">
      <c r="A537" s="8">
        <v>23</v>
      </c>
      <c r="B537" s="8" t="s">
        <v>145</v>
      </c>
      <c r="C537" s="8" t="s">
        <v>146</v>
      </c>
      <c r="D537" s="8" t="s">
        <v>26</v>
      </c>
      <c r="E537" s="8" t="s">
        <v>411</v>
      </c>
      <c r="F537" s="8" t="s">
        <v>78</v>
      </c>
      <c r="G537" s="25">
        <v>46342</v>
      </c>
      <c r="H537" s="25">
        <v>46353</v>
      </c>
      <c r="I537" s="8" t="s">
        <v>5</v>
      </c>
      <c r="J537" s="8" t="s">
        <v>4</v>
      </c>
      <c r="K537" s="25">
        <v>46261</v>
      </c>
      <c r="L537" s="8" t="s">
        <v>807</v>
      </c>
      <c r="M537" s="8"/>
      <c r="N537" s="10"/>
      <c r="O537" s="8" t="s">
        <v>1316</v>
      </c>
    </row>
    <row r="538" ht="32" customHeight="1" spans="1:15">
      <c r="A538" s="8">
        <v>23</v>
      </c>
      <c r="B538" s="8" t="s">
        <v>147</v>
      </c>
      <c r="C538" s="8" t="s">
        <v>148</v>
      </c>
      <c r="D538" s="8" t="s">
        <v>26</v>
      </c>
      <c r="E538" s="8" t="s">
        <v>411</v>
      </c>
      <c r="F538" s="8" t="s">
        <v>78</v>
      </c>
      <c r="G538" s="25">
        <v>46342</v>
      </c>
      <c r="H538" s="25">
        <v>46353</v>
      </c>
      <c r="I538" s="8" t="s">
        <v>4</v>
      </c>
      <c r="J538" s="8" t="s">
        <v>4</v>
      </c>
      <c r="K538" s="25">
        <v>46261</v>
      </c>
      <c r="L538" s="8" t="s">
        <v>807</v>
      </c>
      <c r="M538" s="8"/>
      <c r="N538" s="10"/>
      <c r="O538" s="8" t="s">
        <v>1317</v>
      </c>
    </row>
    <row r="539" ht="32" customHeight="1" spans="1:15">
      <c r="A539" s="8">
        <v>23</v>
      </c>
      <c r="B539" s="8" t="s">
        <v>149</v>
      </c>
      <c r="C539" s="8" t="s">
        <v>151</v>
      </c>
      <c r="D539" s="8" t="s">
        <v>26</v>
      </c>
      <c r="E539" s="8" t="s">
        <v>411</v>
      </c>
      <c r="F539" s="8" t="s">
        <v>78</v>
      </c>
      <c r="G539" s="25">
        <v>46342</v>
      </c>
      <c r="H539" s="25">
        <v>46353</v>
      </c>
      <c r="I539" s="8" t="s">
        <v>5</v>
      </c>
      <c r="J539" s="8" t="s">
        <v>5</v>
      </c>
      <c r="K539" s="25"/>
      <c r="L539" s="8" t="s">
        <v>807</v>
      </c>
      <c r="M539" s="8"/>
      <c r="N539" s="10"/>
      <c r="O539" s="8" t="s">
        <v>1318</v>
      </c>
    </row>
    <row r="540" ht="32" customHeight="1" spans="1:15">
      <c r="A540" s="8">
        <v>23</v>
      </c>
      <c r="B540" s="8" t="s">
        <v>153</v>
      </c>
      <c r="C540" s="8" t="s">
        <v>154</v>
      </c>
      <c r="D540" s="8" t="s">
        <v>26</v>
      </c>
      <c r="E540" s="8" t="s">
        <v>411</v>
      </c>
      <c r="F540" s="8" t="s">
        <v>78</v>
      </c>
      <c r="G540" s="25">
        <v>46342</v>
      </c>
      <c r="H540" s="25">
        <v>46353</v>
      </c>
      <c r="I540" s="8" t="s">
        <v>5</v>
      </c>
      <c r="J540" s="8" t="s">
        <v>5</v>
      </c>
      <c r="K540" s="25"/>
      <c r="L540" s="8" t="s">
        <v>807</v>
      </c>
      <c r="M540" s="8"/>
      <c r="N540" s="10"/>
      <c r="O540" s="8" t="s">
        <v>1319</v>
      </c>
    </row>
    <row r="541" ht="32" customHeight="1" spans="1:15">
      <c r="A541" s="8">
        <v>23</v>
      </c>
      <c r="B541" s="8" t="s">
        <v>155</v>
      </c>
      <c r="C541" s="8" t="s">
        <v>156</v>
      </c>
      <c r="D541" s="8" t="s">
        <v>26</v>
      </c>
      <c r="E541" s="8" t="s">
        <v>411</v>
      </c>
      <c r="F541" s="8" t="s">
        <v>78</v>
      </c>
      <c r="G541" s="25">
        <v>46342</v>
      </c>
      <c r="H541" s="25">
        <v>46353</v>
      </c>
      <c r="I541" s="8" t="s">
        <v>5</v>
      </c>
      <c r="J541" s="8" t="s">
        <v>5</v>
      </c>
      <c r="K541" s="25"/>
      <c r="L541" s="8" t="s">
        <v>807</v>
      </c>
      <c r="M541" s="8"/>
      <c r="N541" s="10"/>
      <c r="O541" s="8" t="s">
        <v>1320</v>
      </c>
    </row>
    <row r="542" ht="32" customHeight="1" spans="1:15">
      <c r="A542" s="8">
        <v>23</v>
      </c>
      <c r="B542" s="8" t="s">
        <v>157</v>
      </c>
      <c r="C542" s="8" t="s">
        <v>159</v>
      </c>
      <c r="D542" s="8" t="s">
        <v>26</v>
      </c>
      <c r="E542" s="8" t="s">
        <v>411</v>
      </c>
      <c r="F542" s="8" t="s">
        <v>78</v>
      </c>
      <c r="G542" s="25">
        <v>46342</v>
      </c>
      <c r="H542" s="25">
        <v>46353</v>
      </c>
      <c r="I542" s="8" t="s">
        <v>4</v>
      </c>
      <c r="J542" s="8" t="s">
        <v>4</v>
      </c>
      <c r="K542" s="25"/>
      <c r="L542" s="8" t="s">
        <v>807</v>
      </c>
      <c r="M542" s="8"/>
      <c r="N542" s="10"/>
      <c r="O542" s="8" t="s">
        <v>1321</v>
      </c>
    </row>
    <row r="543" ht="32" customHeight="1" spans="1:15">
      <c r="A543" s="8">
        <v>23</v>
      </c>
      <c r="B543" s="8" t="s">
        <v>160</v>
      </c>
      <c r="C543" s="8" t="s">
        <v>161</v>
      </c>
      <c r="D543" s="8" t="s">
        <v>26</v>
      </c>
      <c r="E543" s="8" t="s">
        <v>411</v>
      </c>
      <c r="F543" s="8" t="s">
        <v>78</v>
      </c>
      <c r="G543" s="25">
        <v>46342</v>
      </c>
      <c r="H543" s="25">
        <v>46353</v>
      </c>
      <c r="I543" s="8" t="s">
        <v>4</v>
      </c>
      <c r="J543" s="8" t="s">
        <v>4</v>
      </c>
      <c r="K543" s="25"/>
      <c r="L543" s="8" t="s">
        <v>807</v>
      </c>
      <c r="M543" s="8"/>
      <c r="N543" s="10"/>
      <c r="O543" s="8" t="s">
        <v>1322</v>
      </c>
    </row>
    <row r="544" ht="32" customHeight="1" spans="1:15">
      <c r="A544" s="8">
        <v>23</v>
      </c>
      <c r="B544" s="8" t="s">
        <v>162</v>
      </c>
      <c r="C544" s="8" t="s">
        <v>163</v>
      </c>
      <c r="D544" s="8" t="s">
        <v>26</v>
      </c>
      <c r="E544" s="8" t="s">
        <v>411</v>
      </c>
      <c r="F544" s="8" t="s">
        <v>78</v>
      </c>
      <c r="G544" s="25">
        <v>46342</v>
      </c>
      <c r="H544" s="25">
        <v>46353</v>
      </c>
      <c r="I544" s="8" t="s">
        <v>4</v>
      </c>
      <c r="J544" s="8" t="s">
        <v>4</v>
      </c>
      <c r="K544" s="25"/>
      <c r="L544" s="8" t="s">
        <v>807</v>
      </c>
      <c r="M544" s="8"/>
      <c r="N544" s="10"/>
      <c r="O544" s="8" t="s">
        <v>1323</v>
      </c>
    </row>
    <row r="545" ht="32" customHeight="1" spans="1:15">
      <c r="A545" s="8">
        <v>23</v>
      </c>
      <c r="B545" s="8" t="s">
        <v>185</v>
      </c>
      <c r="C545" s="8" t="s">
        <v>187</v>
      </c>
      <c r="D545" s="8" t="s">
        <v>26</v>
      </c>
      <c r="E545" s="8" t="s">
        <v>411</v>
      </c>
      <c r="F545" s="8" t="s">
        <v>78</v>
      </c>
      <c r="G545" s="25">
        <v>46342</v>
      </c>
      <c r="H545" s="25">
        <v>46353</v>
      </c>
      <c r="I545" s="8" t="s">
        <v>3</v>
      </c>
      <c r="J545" s="8" t="s">
        <v>3</v>
      </c>
      <c r="K545" s="25"/>
      <c r="L545" s="8" t="s">
        <v>807</v>
      </c>
      <c r="M545" s="8" t="s">
        <v>808</v>
      </c>
      <c r="N545" s="10"/>
      <c r="O545" s="8" t="s">
        <v>1324</v>
      </c>
    </row>
    <row r="546" ht="32" customHeight="1" spans="1:15">
      <c r="A546" s="8">
        <v>23</v>
      </c>
      <c r="B546" s="8" t="s">
        <v>188</v>
      </c>
      <c r="C546" s="8" t="s">
        <v>189</v>
      </c>
      <c r="D546" s="8" t="s">
        <v>26</v>
      </c>
      <c r="E546" s="8" t="s">
        <v>411</v>
      </c>
      <c r="F546" s="8" t="s">
        <v>78</v>
      </c>
      <c r="G546" s="25">
        <v>46342</v>
      </c>
      <c r="H546" s="25">
        <v>46353</v>
      </c>
      <c r="I546" s="8" t="s">
        <v>5</v>
      </c>
      <c r="J546" s="8" t="s">
        <v>5</v>
      </c>
      <c r="K546" s="25"/>
      <c r="L546" s="8" t="s">
        <v>807</v>
      </c>
      <c r="M546" s="8"/>
      <c r="N546" s="10"/>
      <c r="O546" s="8" t="s">
        <v>1325</v>
      </c>
    </row>
    <row r="547" ht="32" customHeight="1" spans="1:15">
      <c r="A547" s="8">
        <v>23</v>
      </c>
      <c r="B547" s="8" t="s">
        <v>190</v>
      </c>
      <c r="C547" s="8" t="s">
        <v>189</v>
      </c>
      <c r="D547" s="8" t="s">
        <v>26</v>
      </c>
      <c r="E547" s="8" t="s">
        <v>411</v>
      </c>
      <c r="F547" s="8" t="s">
        <v>78</v>
      </c>
      <c r="G547" s="25">
        <v>46342</v>
      </c>
      <c r="H547" s="25">
        <v>46353</v>
      </c>
      <c r="I547" s="8" t="s">
        <v>5</v>
      </c>
      <c r="J547" s="8" t="s">
        <v>5</v>
      </c>
      <c r="K547" s="25">
        <v>46261</v>
      </c>
      <c r="L547" s="8" t="s">
        <v>807</v>
      </c>
      <c r="M547" s="8"/>
      <c r="N547" s="10"/>
      <c r="O547" s="8" t="s">
        <v>1326</v>
      </c>
    </row>
    <row r="548" ht="32" customHeight="1" spans="1:15">
      <c r="A548" s="8">
        <v>23</v>
      </c>
      <c r="B548" s="8" t="s">
        <v>192</v>
      </c>
      <c r="C548" s="8" t="s">
        <v>194</v>
      </c>
      <c r="D548" s="8" t="s">
        <v>26</v>
      </c>
      <c r="E548" s="8" t="s">
        <v>411</v>
      </c>
      <c r="F548" s="8" t="s">
        <v>78</v>
      </c>
      <c r="G548" s="25">
        <v>46342</v>
      </c>
      <c r="H548" s="25">
        <v>46353</v>
      </c>
      <c r="I548" s="8" t="s">
        <v>3</v>
      </c>
      <c r="J548" s="8" t="s">
        <v>3</v>
      </c>
      <c r="K548" s="25">
        <v>46261</v>
      </c>
      <c r="L548" s="8" t="s">
        <v>807</v>
      </c>
      <c r="M548" s="8"/>
      <c r="N548" s="10"/>
      <c r="O548" s="8" t="s">
        <v>1327</v>
      </c>
    </row>
    <row r="549" ht="32" customHeight="1" spans="1:15">
      <c r="A549" s="8">
        <v>23</v>
      </c>
      <c r="B549" s="8" t="s">
        <v>263</v>
      </c>
      <c r="C549" s="8" t="s">
        <v>265</v>
      </c>
      <c r="D549" s="8" t="s">
        <v>26</v>
      </c>
      <c r="E549" s="8" t="s">
        <v>411</v>
      </c>
      <c r="F549" s="8" t="s">
        <v>78</v>
      </c>
      <c r="G549" s="25">
        <v>46342</v>
      </c>
      <c r="H549" s="25">
        <v>46353</v>
      </c>
      <c r="I549" s="8" t="s">
        <v>5</v>
      </c>
      <c r="J549" s="8" t="s">
        <v>5</v>
      </c>
      <c r="K549" s="25"/>
      <c r="L549" s="8" t="s">
        <v>807</v>
      </c>
      <c r="M549" s="8"/>
      <c r="N549" s="10"/>
      <c r="O549" s="8" t="s">
        <v>1328</v>
      </c>
    </row>
    <row r="550" ht="32" customHeight="1" spans="1:15">
      <c r="A550" s="8">
        <v>23</v>
      </c>
      <c r="B550" s="8" t="s">
        <v>266</v>
      </c>
      <c r="C550" s="8" t="s">
        <v>267</v>
      </c>
      <c r="D550" s="8" t="s">
        <v>26</v>
      </c>
      <c r="E550" s="8" t="s">
        <v>411</v>
      </c>
      <c r="F550" s="8" t="s">
        <v>78</v>
      </c>
      <c r="G550" s="25">
        <v>46342</v>
      </c>
      <c r="H550" s="25">
        <v>46353</v>
      </c>
      <c r="I550" s="8" t="s">
        <v>5</v>
      </c>
      <c r="J550" s="8" t="s">
        <v>5</v>
      </c>
      <c r="K550" s="25">
        <v>46224</v>
      </c>
      <c r="L550" s="8" t="s">
        <v>807</v>
      </c>
      <c r="M550" s="8"/>
      <c r="N550" s="10"/>
      <c r="O550" s="8" t="s">
        <v>1329</v>
      </c>
    </row>
    <row r="551" ht="32" customHeight="1" spans="1:15">
      <c r="A551" s="8">
        <v>23</v>
      </c>
      <c r="B551" s="8" t="s">
        <v>268</v>
      </c>
      <c r="C551" s="8" t="s">
        <v>265</v>
      </c>
      <c r="D551" s="8" t="s">
        <v>26</v>
      </c>
      <c r="E551" s="8" t="s">
        <v>411</v>
      </c>
      <c r="F551" s="8" t="s">
        <v>78</v>
      </c>
      <c r="G551" s="25">
        <v>46342</v>
      </c>
      <c r="H551" s="25">
        <v>46353</v>
      </c>
      <c r="I551" s="8" t="s">
        <v>5</v>
      </c>
      <c r="J551" s="8" t="s">
        <v>5</v>
      </c>
      <c r="K551" s="25">
        <v>46224</v>
      </c>
      <c r="L551" s="8" t="s">
        <v>807</v>
      </c>
      <c r="M551" s="8"/>
      <c r="N551" s="10"/>
      <c r="O551" s="8" t="s">
        <v>1330</v>
      </c>
    </row>
    <row r="552" ht="32" customHeight="1" spans="1:15">
      <c r="A552" s="8">
        <v>23</v>
      </c>
      <c r="B552" s="8" t="s">
        <v>270</v>
      </c>
      <c r="C552" s="8" t="s">
        <v>271</v>
      </c>
      <c r="D552" s="8" t="s">
        <v>26</v>
      </c>
      <c r="E552" s="8" t="s">
        <v>411</v>
      </c>
      <c r="F552" s="8" t="s">
        <v>78</v>
      </c>
      <c r="G552" s="25">
        <v>46342</v>
      </c>
      <c r="H552" s="25">
        <v>46353</v>
      </c>
      <c r="I552" s="8" t="s">
        <v>5</v>
      </c>
      <c r="J552" s="8" t="s">
        <v>5</v>
      </c>
      <c r="K552" s="25">
        <v>46224</v>
      </c>
      <c r="L552" s="8" t="s">
        <v>807</v>
      </c>
      <c r="M552" s="8"/>
      <c r="N552" s="10"/>
      <c r="O552" s="8" t="s">
        <v>1331</v>
      </c>
    </row>
    <row r="553" ht="32" customHeight="1" spans="1:15">
      <c r="A553" s="8">
        <v>23</v>
      </c>
      <c r="B553" s="8" t="s">
        <v>272</v>
      </c>
      <c r="C553" s="8" t="s">
        <v>265</v>
      </c>
      <c r="D553" s="8" t="s">
        <v>26</v>
      </c>
      <c r="E553" s="8" t="s">
        <v>411</v>
      </c>
      <c r="F553" s="8" t="s">
        <v>78</v>
      </c>
      <c r="G553" s="25">
        <v>46342</v>
      </c>
      <c r="H553" s="25">
        <v>46353</v>
      </c>
      <c r="I553" s="8" t="s">
        <v>5</v>
      </c>
      <c r="J553" s="8" t="s">
        <v>5</v>
      </c>
      <c r="K553" s="25">
        <v>46224</v>
      </c>
      <c r="L553" s="8" t="s">
        <v>807</v>
      </c>
      <c r="M553" s="8"/>
      <c r="N553" s="10"/>
      <c r="O553" s="8" t="s">
        <v>1332</v>
      </c>
    </row>
    <row r="554" ht="32" customHeight="1" spans="1:15">
      <c r="A554" s="8">
        <v>23</v>
      </c>
      <c r="B554" s="8" t="s">
        <v>274</v>
      </c>
      <c r="C554" s="8" t="s">
        <v>267</v>
      </c>
      <c r="D554" s="8" t="s">
        <v>26</v>
      </c>
      <c r="E554" s="8" t="s">
        <v>411</v>
      </c>
      <c r="F554" s="8" t="s">
        <v>78</v>
      </c>
      <c r="G554" s="25">
        <v>46342</v>
      </c>
      <c r="H554" s="25">
        <v>46353</v>
      </c>
      <c r="I554" s="8" t="s">
        <v>5</v>
      </c>
      <c r="J554" s="8" t="s">
        <v>5</v>
      </c>
      <c r="K554" s="25">
        <v>46224</v>
      </c>
      <c r="L554" s="8" t="s">
        <v>807</v>
      </c>
      <c r="M554" s="8"/>
      <c r="N554" s="10"/>
      <c r="O554" s="8" t="s">
        <v>1333</v>
      </c>
    </row>
    <row r="555" ht="32" customHeight="1" spans="1:15">
      <c r="A555" s="8">
        <v>23</v>
      </c>
      <c r="B555" s="8" t="s">
        <v>275</v>
      </c>
      <c r="C555" s="8" t="s">
        <v>265</v>
      </c>
      <c r="D555" s="8" t="s">
        <v>26</v>
      </c>
      <c r="E555" s="8" t="s">
        <v>411</v>
      </c>
      <c r="F555" s="8" t="s">
        <v>78</v>
      </c>
      <c r="G555" s="25">
        <v>46342</v>
      </c>
      <c r="H555" s="25">
        <v>46353</v>
      </c>
      <c r="I555" s="8" t="s">
        <v>5</v>
      </c>
      <c r="J555" s="8" t="s">
        <v>5</v>
      </c>
      <c r="K555" s="25">
        <v>46224</v>
      </c>
      <c r="L555" s="8" t="s">
        <v>807</v>
      </c>
      <c r="M555" s="8"/>
      <c r="N555" s="10"/>
      <c r="O555" s="8" t="s">
        <v>1334</v>
      </c>
    </row>
    <row r="556" ht="32" customHeight="1" spans="1:15">
      <c r="A556" s="8">
        <v>23</v>
      </c>
      <c r="B556" s="8" t="s">
        <v>277</v>
      </c>
      <c r="C556" s="8" t="s">
        <v>267</v>
      </c>
      <c r="D556" s="8" t="s">
        <v>26</v>
      </c>
      <c r="E556" s="8" t="s">
        <v>411</v>
      </c>
      <c r="F556" s="8" t="s">
        <v>78</v>
      </c>
      <c r="G556" s="25">
        <v>46342</v>
      </c>
      <c r="H556" s="25">
        <v>46353</v>
      </c>
      <c r="I556" s="8" t="s">
        <v>5</v>
      </c>
      <c r="J556" s="8" t="s">
        <v>5</v>
      </c>
      <c r="K556" s="25"/>
      <c r="L556" s="8" t="s">
        <v>807</v>
      </c>
      <c r="M556" s="8"/>
      <c r="N556" s="10"/>
      <c r="O556" s="8" t="s">
        <v>1335</v>
      </c>
    </row>
    <row r="557" ht="32" customHeight="1" spans="1:15">
      <c r="A557" s="8">
        <v>23</v>
      </c>
      <c r="B557" s="8" t="s">
        <v>278</v>
      </c>
      <c r="C557" s="8" t="s">
        <v>280</v>
      </c>
      <c r="D557" s="8" t="s">
        <v>26</v>
      </c>
      <c r="E557" s="8" t="s">
        <v>411</v>
      </c>
      <c r="F557" s="8" t="s">
        <v>78</v>
      </c>
      <c r="G557" s="25">
        <v>46342</v>
      </c>
      <c r="H557" s="25">
        <v>46353</v>
      </c>
      <c r="I557" s="8" t="s">
        <v>5</v>
      </c>
      <c r="J557" s="8" t="s">
        <v>5</v>
      </c>
      <c r="K557" s="25"/>
      <c r="L557" s="8" t="s">
        <v>807</v>
      </c>
      <c r="M557" s="8"/>
      <c r="N557" s="10"/>
      <c r="O557" s="8" t="s">
        <v>1336</v>
      </c>
    </row>
    <row r="558" ht="32" customHeight="1" spans="1:15">
      <c r="A558" s="8">
        <v>23</v>
      </c>
      <c r="B558" s="8" t="s">
        <v>281</v>
      </c>
      <c r="C558" s="8" t="s">
        <v>282</v>
      </c>
      <c r="D558" s="8" t="s">
        <v>26</v>
      </c>
      <c r="E558" s="8" t="s">
        <v>411</v>
      </c>
      <c r="F558" s="8" t="s">
        <v>78</v>
      </c>
      <c r="G558" s="25">
        <v>46342</v>
      </c>
      <c r="H558" s="25">
        <v>46353</v>
      </c>
      <c r="I558" s="8" t="s">
        <v>5</v>
      </c>
      <c r="J558" s="8" t="s">
        <v>5</v>
      </c>
      <c r="K558" s="25"/>
      <c r="L558" s="8" t="s">
        <v>807</v>
      </c>
      <c r="M558" s="8"/>
      <c r="N558" s="10"/>
      <c r="O558" s="8" t="s">
        <v>1337</v>
      </c>
    </row>
    <row r="559" ht="32" customHeight="1" spans="1:15">
      <c r="A559" s="8">
        <v>23</v>
      </c>
      <c r="B559" s="8" t="s">
        <v>283</v>
      </c>
      <c r="C559" s="8" t="s">
        <v>284</v>
      </c>
      <c r="D559" s="8" t="s">
        <v>26</v>
      </c>
      <c r="E559" s="8" t="s">
        <v>411</v>
      </c>
      <c r="F559" s="8" t="s">
        <v>78</v>
      </c>
      <c r="G559" s="25">
        <v>46342</v>
      </c>
      <c r="H559" s="25">
        <v>46353</v>
      </c>
      <c r="I559" s="8" t="s">
        <v>5</v>
      </c>
      <c r="J559" s="8" t="s">
        <v>5</v>
      </c>
      <c r="K559" s="25"/>
      <c r="L559" s="8" t="s">
        <v>807</v>
      </c>
      <c r="M559" s="8"/>
      <c r="N559" s="10"/>
      <c r="O559" s="8" t="s">
        <v>1338</v>
      </c>
    </row>
    <row r="560" ht="32" customHeight="1" spans="1:15">
      <c r="A560" s="8">
        <v>23</v>
      </c>
      <c r="B560" s="8" t="s">
        <v>285</v>
      </c>
      <c r="C560" s="8" t="s">
        <v>286</v>
      </c>
      <c r="D560" s="8" t="s">
        <v>26</v>
      </c>
      <c r="E560" s="8" t="s">
        <v>411</v>
      </c>
      <c r="F560" s="8" t="s">
        <v>78</v>
      </c>
      <c r="G560" s="25">
        <v>46342</v>
      </c>
      <c r="H560" s="25">
        <v>46353</v>
      </c>
      <c r="I560" s="8" t="s">
        <v>5</v>
      </c>
      <c r="J560" s="8" t="s">
        <v>5</v>
      </c>
      <c r="K560" s="25"/>
      <c r="L560" s="8" t="s">
        <v>807</v>
      </c>
      <c r="M560" s="8"/>
      <c r="N560" s="10"/>
      <c r="O560" s="8" t="s">
        <v>1339</v>
      </c>
    </row>
    <row r="561" ht="32" customHeight="1" spans="1:15">
      <c r="A561" s="8">
        <v>23</v>
      </c>
      <c r="B561" s="8" t="s">
        <v>287</v>
      </c>
      <c r="C561" s="8" t="s">
        <v>265</v>
      </c>
      <c r="D561" s="8" t="s">
        <v>26</v>
      </c>
      <c r="E561" s="8" t="s">
        <v>411</v>
      </c>
      <c r="F561" s="8" t="s">
        <v>78</v>
      </c>
      <c r="G561" s="25">
        <v>46342</v>
      </c>
      <c r="H561" s="25">
        <v>46353</v>
      </c>
      <c r="I561" s="8" t="s">
        <v>5</v>
      </c>
      <c r="J561" s="8" t="s">
        <v>5</v>
      </c>
      <c r="K561" s="25"/>
      <c r="L561" s="8" t="s">
        <v>807</v>
      </c>
      <c r="M561" s="8"/>
      <c r="N561" s="10"/>
      <c r="O561" s="8" t="s">
        <v>1340</v>
      </c>
    </row>
    <row r="562" ht="32" customHeight="1" spans="1:15">
      <c r="A562" s="8">
        <v>23</v>
      </c>
      <c r="B562" s="8" t="s">
        <v>289</v>
      </c>
      <c r="C562" s="8" t="s">
        <v>267</v>
      </c>
      <c r="D562" s="8" t="s">
        <v>26</v>
      </c>
      <c r="E562" s="8" t="s">
        <v>411</v>
      </c>
      <c r="F562" s="8" t="s">
        <v>78</v>
      </c>
      <c r="G562" s="25">
        <v>46342</v>
      </c>
      <c r="H562" s="25">
        <v>46353</v>
      </c>
      <c r="I562" s="8" t="s">
        <v>5</v>
      </c>
      <c r="J562" s="8" t="s">
        <v>5</v>
      </c>
      <c r="K562" s="25"/>
      <c r="L562" s="8" t="s">
        <v>807</v>
      </c>
      <c r="M562" s="8"/>
      <c r="N562" s="10"/>
      <c r="O562" s="8" t="s">
        <v>1341</v>
      </c>
    </row>
    <row r="563" ht="32" customHeight="1" spans="1:15">
      <c r="A563" s="8">
        <v>23</v>
      </c>
      <c r="B563" s="8" t="s">
        <v>362</v>
      </c>
      <c r="C563" s="8" t="s">
        <v>363</v>
      </c>
      <c r="D563" s="8" t="s">
        <v>26</v>
      </c>
      <c r="E563" s="8" t="s">
        <v>411</v>
      </c>
      <c r="F563" s="8" t="s">
        <v>78</v>
      </c>
      <c r="G563" s="25">
        <v>46342</v>
      </c>
      <c r="H563" s="25">
        <v>46353</v>
      </c>
      <c r="I563" s="8" t="s">
        <v>5</v>
      </c>
      <c r="J563" s="8" t="s">
        <v>5</v>
      </c>
      <c r="K563" s="25"/>
      <c r="L563" s="8" t="s">
        <v>807</v>
      </c>
      <c r="M563" s="8"/>
      <c r="N563" s="10"/>
      <c r="O563" s="8" t="s">
        <v>1342</v>
      </c>
    </row>
    <row r="564" ht="32" customHeight="1" spans="1:15">
      <c r="A564" s="8">
        <v>23</v>
      </c>
      <c r="B564" s="8" t="s">
        <v>364</v>
      </c>
      <c r="C564" s="8" t="s">
        <v>365</v>
      </c>
      <c r="D564" s="8" t="s">
        <v>26</v>
      </c>
      <c r="E564" s="8" t="s">
        <v>411</v>
      </c>
      <c r="F564" s="8" t="s">
        <v>78</v>
      </c>
      <c r="G564" s="25">
        <v>46342</v>
      </c>
      <c r="H564" s="25">
        <v>46353</v>
      </c>
      <c r="I564" s="8" t="s">
        <v>5</v>
      </c>
      <c r="J564" s="8" t="s">
        <v>5</v>
      </c>
      <c r="K564" s="25">
        <v>46261</v>
      </c>
      <c r="L564" s="8" t="s">
        <v>807</v>
      </c>
      <c r="M564" s="8"/>
      <c r="N564" s="10"/>
      <c r="O564" s="8" t="s">
        <v>1343</v>
      </c>
    </row>
    <row r="565" ht="32" customHeight="1" spans="1:15">
      <c r="A565" s="8">
        <v>23</v>
      </c>
      <c r="B565" s="8" t="s">
        <v>366</v>
      </c>
      <c r="C565" s="8" t="s">
        <v>367</v>
      </c>
      <c r="D565" s="8" t="s">
        <v>26</v>
      </c>
      <c r="E565" s="8" t="s">
        <v>411</v>
      </c>
      <c r="F565" s="8" t="s">
        <v>78</v>
      </c>
      <c r="G565" s="25">
        <v>46342</v>
      </c>
      <c r="H565" s="25">
        <v>46353</v>
      </c>
      <c r="I565" s="8" t="s">
        <v>5</v>
      </c>
      <c r="J565" s="8" t="s">
        <v>5</v>
      </c>
      <c r="K565" s="25">
        <v>46261</v>
      </c>
      <c r="L565" s="8" t="s">
        <v>807</v>
      </c>
      <c r="M565" s="8"/>
      <c r="N565" s="10"/>
      <c r="O565" s="8" t="s">
        <v>1344</v>
      </c>
    </row>
    <row r="566" ht="32" customHeight="1" spans="1:15">
      <c r="A566" s="8">
        <v>23</v>
      </c>
      <c r="B566" s="8" t="s">
        <v>368</v>
      </c>
      <c r="C566" s="8" t="s">
        <v>369</v>
      </c>
      <c r="D566" s="8" t="s">
        <v>26</v>
      </c>
      <c r="E566" s="8" t="s">
        <v>411</v>
      </c>
      <c r="F566" s="8" t="s">
        <v>78</v>
      </c>
      <c r="G566" s="25">
        <v>46342</v>
      </c>
      <c r="H566" s="25">
        <v>46353</v>
      </c>
      <c r="I566" s="8" t="s">
        <v>5</v>
      </c>
      <c r="J566" s="8" t="s">
        <v>5</v>
      </c>
      <c r="K566" s="25"/>
      <c r="L566" s="8" t="s">
        <v>807</v>
      </c>
      <c r="M566" s="8"/>
      <c r="N566" s="10"/>
      <c r="O566" s="8" t="s">
        <v>1345</v>
      </c>
    </row>
    <row r="567" ht="32" customHeight="1" spans="1:15">
      <c r="A567" s="8">
        <v>23</v>
      </c>
      <c r="B567" s="8" t="s">
        <v>370</v>
      </c>
      <c r="C567" s="8" t="s">
        <v>371</v>
      </c>
      <c r="D567" s="8" t="s">
        <v>26</v>
      </c>
      <c r="E567" s="8" t="s">
        <v>411</v>
      </c>
      <c r="F567" s="8" t="s">
        <v>78</v>
      </c>
      <c r="G567" s="25">
        <v>46342</v>
      </c>
      <c r="H567" s="25">
        <v>46353</v>
      </c>
      <c r="I567" s="8" t="s">
        <v>5</v>
      </c>
      <c r="J567" s="8" t="s">
        <v>5</v>
      </c>
      <c r="K567" s="25"/>
      <c r="L567" s="8" t="s">
        <v>807</v>
      </c>
      <c r="M567" s="8"/>
      <c r="N567" s="10"/>
      <c r="O567" s="8" t="s">
        <v>1346</v>
      </c>
    </row>
    <row r="568" ht="32" customHeight="1" spans="1:15">
      <c r="A568" s="8">
        <v>23</v>
      </c>
      <c r="B568" s="8" t="s">
        <v>372</v>
      </c>
      <c r="C568" s="8" t="s">
        <v>373</v>
      </c>
      <c r="D568" s="8" t="s">
        <v>26</v>
      </c>
      <c r="E568" s="8" t="s">
        <v>411</v>
      </c>
      <c r="F568" s="8" t="s">
        <v>78</v>
      </c>
      <c r="G568" s="25">
        <v>46342</v>
      </c>
      <c r="H568" s="25">
        <v>46353</v>
      </c>
      <c r="I568" s="8" t="s">
        <v>5</v>
      </c>
      <c r="J568" s="8" t="s">
        <v>5</v>
      </c>
      <c r="K568" s="25"/>
      <c r="L568" s="8" t="s">
        <v>807</v>
      </c>
      <c r="M568" s="8"/>
      <c r="N568" s="10"/>
      <c r="O568" s="8" t="s">
        <v>1347</v>
      </c>
    </row>
    <row r="569" ht="32" customHeight="1" spans="1:15">
      <c r="A569" s="8">
        <v>23</v>
      </c>
      <c r="B569" s="8" t="s">
        <v>374</v>
      </c>
      <c r="C569" s="8" t="s">
        <v>159</v>
      </c>
      <c r="D569" s="8" t="s">
        <v>26</v>
      </c>
      <c r="E569" s="8" t="s">
        <v>411</v>
      </c>
      <c r="F569" s="8" t="s">
        <v>78</v>
      </c>
      <c r="G569" s="25">
        <v>46342</v>
      </c>
      <c r="H569" s="25">
        <v>46353</v>
      </c>
      <c r="I569" s="8" t="s">
        <v>5</v>
      </c>
      <c r="J569" s="8" t="s">
        <v>5</v>
      </c>
      <c r="K569" s="25"/>
      <c r="L569" s="8" t="s">
        <v>807</v>
      </c>
      <c r="M569" s="8"/>
      <c r="N569" s="10"/>
      <c r="O569" s="8" t="s">
        <v>1348</v>
      </c>
    </row>
    <row r="570" ht="32" customHeight="1" spans="1:15">
      <c r="A570" s="8">
        <v>23</v>
      </c>
      <c r="B570" s="8" t="s">
        <v>375</v>
      </c>
      <c r="C570" s="8" t="s">
        <v>163</v>
      </c>
      <c r="D570" s="8" t="s">
        <v>26</v>
      </c>
      <c r="E570" s="8" t="s">
        <v>411</v>
      </c>
      <c r="F570" s="8" t="s">
        <v>78</v>
      </c>
      <c r="G570" s="25">
        <v>46342</v>
      </c>
      <c r="H570" s="25">
        <v>46353</v>
      </c>
      <c r="I570" s="8" t="s">
        <v>5</v>
      </c>
      <c r="J570" s="8" t="s">
        <v>5</v>
      </c>
      <c r="K570" s="25"/>
      <c r="L570" s="8" t="s">
        <v>807</v>
      </c>
      <c r="M570" s="8"/>
      <c r="N570" s="10"/>
      <c r="O570" s="8" t="s">
        <v>1349</v>
      </c>
    </row>
    <row r="571" ht="32" customHeight="1" spans="1:15">
      <c r="A571" s="8">
        <v>23</v>
      </c>
      <c r="B571" s="8" t="s">
        <v>376</v>
      </c>
      <c r="C571" s="8" t="s">
        <v>377</v>
      </c>
      <c r="D571" s="8" t="s">
        <v>26</v>
      </c>
      <c r="E571" s="8" t="s">
        <v>411</v>
      </c>
      <c r="F571" s="8" t="s">
        <v>78</v>
      </c>
      <c r="G571" s="25">
        <v>46342</v>
      </c>
      <c r="H571" s="25">
        <v>46353</v>
      </c>
      <c r="I571" s="8" t="s">
        <v>5</v>
      </c>
      <c r="J571" s="8" t="s">
        <v>5</v>
      </c>
      <c r="K571" s="25"/>
      <c r="L571" s="8" t="s">
        <v>807</v>
      </c>
      <c r="M571" s="8"/>
      <c r="N571" s="10"/>
      <c r="O571" s="8" t="s">
        <v>1350</v>
      </c>
    </row>
    <row r="572" ht="32" customHeight="1" spans="1:15">
      <c r="A572" s="8">
        <v>23</v>
      </c>
      <c r="B572" s="8" t="s">
        <v>378</v>
      </c>
      <c r="C572" s="8" t="s">
        <v>134</v>
      </c>
      <c r="D572" s="8" t="s">
        <v>26</v>
      </c>
      <c r="E572" s="8" t="s">
        <v>411</v>
      </c>
      <c r="F572" s="8" t="s">
        <v>78</v>
      </c>
      <c r="G572" s="25">
        <v>46342</v>
      </c>
      <c r="H572" s="25">
        <v>46353</v>
      </c>
      <c r="I572" s="8" t="s">
        <v>5</v>
      </c>
      <c r="J572" s="8" t="s">
        <v>5</v>
      </c>
      <c r="K572" s="25"/>
      <c r="L572" s="8" t="s">
        <v>807</v>
      </c>
      <c r="M572" s="8"/>
      <c r="N572" s="10"/>
      <c r="O572" s="8" t="s">
        <v>1351</v>
      </c>
    </row>
    <row r="573" ht="32" customHeight="1" spans="1:15">
      <c r="A573" s="8">
        <v>23</v>
      </c>
      <c r="B573" s="8" t="s">
        <v>379</v>
      </c>
      <c r="C573" s="8" t="s">
        <v>139</v>
      </c>
      <c r="D573" s="8" t="s">
        <v>26</v>
      </c>
      <c r="E573" s="8" t="s">
        <v>411</v>
      </c>
      <c r="F573" s="8" t="s">
        <v>78</v>
      </c>
      <c r="G573" s="25">
        <v>46342</v>
      </c>
      <c r="H573" s="25">
        <v>46353</v>
      </c>
      <c r="I573" s="8" t="s">
        <v>5</v>
      </c>
      <c r="J573" s="8" t="s">
        <v>5</v>
      </c>
      <c r="K573" s="25"/>
      <c r="L573" s="8" t="s">
        <v>807</v>
      </c>
      <c r="M573" s="8"/>
      <c r="N573" s="10"/>
      <c r="O573" s="8" t="s">
        <v>1352</v>
      </c>
    </row>
    <row r="574" ht="32" customHeight="1" spans="1:15">
      <c r="A574" s="8">
        <v>23</v>
      </c>
      <c r="B574" s="8" t="s">
        <v>380</v>
      </c>
      <c r="C574" s="8" t="s">
        <v>381</v>
      </c>
      <c r="D574" s="8" t="s">
        <v>26</v>
      </c>
      <c r="E574" s="8" t="s">
        <v>411</v>
      </c>
      <c r="F574" s="8" t="s">
        <v>78</v>
      </c>
      <c r="G574" s="25">
        <v>46342</v>
      </c>
      <c r="H574" s="25">
        <v>46353</v>
      </c>
      <c r="I574" s="8" t="s">
        <v>5</v>
      </c>
      <c r="J574" s="8" t="s">
        <v>5</v>
      </c>
      <c r="K574" s="25"/>
      <c r="L574" s="8" t="s">
        <v>807</v>
      </c>
      <c r="M574" s="8"/>
      <c r="N574" s="10"/>
      <c r="O574" s="8" t="s">
        <v>1353</v>
      </c>
    </row>
    <row r="575" ht="32" customHeight="1" spans="1:15">
      <c r="A575" s="8">
        <v>23</v>
      </c>
      <c r="B575" s="8" t="s">
        <v>382</v>
      </c>
      <c r="C575" s="8" t="s">
        <v>168</v>
      </c>
      <c r="D575" s="8" t="s">
        <v>26</v>
      </c>
      <c r="E575" s="8" t="s">
        <v>411</v>
      </c>
      <c r="F575" s="8" t="s">
        <v>78</v>
      </c>
      <c r="G575" s="25">
        <v>46342</v>
      </c>
      <c r="H575" s="25">
        <v>46353</v>
      </c>
      <c r="I575" s="8" t="s">
        <v>3</v>
      </c>
      <c r="J575" s="8" t="s">
        <v>3</v>
      </c>
      <c r="K575" s="25">
        <v>46261</v>
      </c>
      <c r="L575" s="8" t="s">
        <v>807</v>
      </c>
      <c r="M575" s="8"/>
      <c r="N575" s="10"/>
      <c r="O575" s="8" t="s">
        <v>1354</v>
      </c>
    </row>
    <row r="576" ht="32" customHeight="1" spans="1:15">
      <c r="A576" s="8">
        <v>23</v>
      </c>
      <c r="B576" s="8" t="s">
        <v>383</v>
      </c>
      <c r="C576" s="8" t="s">
        <v>175</v>
      </c>
      <c r="D576" s="8" t="s">
        <v>26</v>
      </c>
      <c r="E576" s="8" t="s">
        <v>411</v>
      </c>
      <c r="F576" s="8" t="s">
        <v>78</v>
      </c>
      <c r="G576" s="25">
        <v>46342</v>
      </c>
      <c r="H576" s="25">
        <v>46353</v>
      </c>
      <c r="I576" s="8" t="s">
        <v>3</v>
      </c>
      <c r="J576" s="8" t="s">
        <v>3</v>
      </c>
      <c r="K576" s="25">
        <v>46261</v>
      </c>
      <c r="L576" s="8" t="s">
        <v>807</v>
      </c>
      <c r="M576" s="8"/>
      <c r="N576" s="10"/>
      <c r="O576" s="8" t="s">
        <v>1355</v>
      </c>
    </row>
    <row r="577" ht="32" customHeight="1" spans="1:15">
      <c r="A577" s="8">
        <v>23</v>
      </c>
      <c r="B577" s="8" t="s">
        <v>384</v>
      </c>
      <c r="C577" s="8" t="s">
        <v>182</v>
      </c>
      <c r="D577" s="8" t="s">
        <v>26</v>
      </c>
      <c r="E577" s="8" t="s">
        <v>411</v>
      </c>
      <c r="F577" s="8" t="s">
        <v>78</v>
      </c>
      <c r="G577" s="25">
        <v>46342</v>
      </c>
      <c r="H577" s="25">
        <v>46353</v>
      </c>
      <c r="I577" s="8" t="s">
        <v>3</v>
      </c>
      <c r="J577" s="8" t="s">
        <v>3</v>
      </c>
      <c r="K577" s="25"/>
      <c r="L577" s="8" t="s">
        <v>807</v>
      </c>
      <c r="M577" s="8" t="s">
        <v>808</v>
      </c>
      <c r="N577" s="10"/>
      <c r="O577" s="8" t="s">
        <v>1356</v>
      </c>
    </row>
    <row r="578" ht="32" customHeight="1" spans="1:15">
      <c r="A578" s="8">
        <v>23</v>
      </c>
      <c r="B578" s="8" t="s">
        <v>387</v>
      </c>
      <c r="C578" s="8" t="s">
        <v>161</v>
      </c>
      <c r="D578" s="8" t="s">
        <v>26</v>
      </c>
      <c r="E578" s="8" t="s">
        <v>411</v>
      </c>
      <c r="F578" s="8" t="s">
        <v>78</v>
      </c>
      <c r="G578" s="25">
        <v>46342</v>
      </c>
      <c r="H578" s="25">
        <v>46353</v>
      </c>
      <c r="I578" s="8" t="s">
        <v>5</v>
      </c>
      <c r="J578" s="8" t="s">
        <v>5</v>
      </c>
      <c r="K578" s="25"/>
      <c r="L578" s="8" t="s">
        <v>807</v>
      </c>
      <c r="M578" s="8"/>
      <c r="N578" s="10"/>
      <c r="O578" s="8" t="s">
        <v>1357</v>
      </c>
    </row>
    <row r="579" ht="32" customHeight="1" spans="1:15">
      <c r="A579" s="8" t="s">
        <v>1358</v>
      </c>
      <c r="B579" s="8" t="s">
        <v>212</v>
      </c>
      <c r="C579" s="8" t="s">
        <v>214</v>
      </c>
      <c r="D579" s="8" t="s">
        <v>25</v>
      </c>
      <c r="E579" s="8" t="s">
        <v>415</v>
      </c>
      <c r="F579" s="8" t="s">
        <v>75</v>
      </c>
      <c r="G579" s="25"/>
      <c r="H579" s="25"/>
      <c r="I579" s="8" t="s">
        <v>3</v>
      </c>
      <c r="J579" s="8" t="s">
        <v>3</v>
      </c>
      <c r="K579" s="25">
        <v>46224</v>
      </c>
      <c r="L579" s="8" t="s">
        <v>807</v>
      </c>
      <c r="M579" s="8" t="s">
        <v>1359</v>
      </c>
      <c r="N579" s="10"/>
      <c r="O579" s="8" t="s">
        <v>1360</v>
      </c>
    </row>
    <row r="580" ht="32" customHeight="1" spans="1:15">
      <c r="A580" s="8" t="s">
        <v>1358</v>
      </c>
      <c r="B580" s="8" t="s">
        <v>234</v>
      </c>
      <c r="C580" s="8" t="s">
        <v>236</v>
      </c>
      <c r="D580" s="8" t="s">
        <v>25</v>
      </c>
      <c r="E580" s="8" t="s">
        <v>415</v>
      </c>
      <c r="F580" s="8" t="s">
        <v>75</v>
      </c>
      <c r="G580" s="25"/>
      <c r="H580" s="25"/>
      <c r="I580" s="8" t="s">
        <v>3</v>
      </c>
      <c r="J580" s="8" t="s">
        <v>3</v>
      </c>
      <c r="K580" s="25">
        <v>46224</v>
      </c>
      <c r="L580" s="8" t="s">
        <v>807</v>
      </c>
      <c r="M580" s="8" t="s">
        <v>1359</v>
      </c>
      <c r="N580" s="10"/>
      <c r="O580" s="8" t="s">
        <v>1361</v>
      </c>
    </row>
    <row r="581" ht="32" customHeight="1" spans="1:15">
      <c r="A581" s="8" t="s">
        <v>1358</v>
      </c>
      <c r="B581" s="8" t="s">
        <v>237</v>
      </c>
      <c r="C581" s="8" t="s">
        <v>238</v>
      </c>
      <c r="D581" s="8" t="s">
        <v>25</v>
      </c>
      <c r="E581" s="8" t="s">
        <v>415</v>
      </c>
      <c r="F581" s="8" t="s">
        <v>75</v>
      </c>
      <c r="G581" s="25"/>
      <c r="H581" s="25"/>
      <c r="I581" s="8" t="s">
        <v>3</v>
      </c>
      <c r="J581" s="8" t="s">
        <v>3</v>
      </c>
      <c r="K581" s="25">
        <v>46224</v>
      </c>
      <c r="L581" s="8" t="s">
        <v>807</v>
      </c>
      <c r="M581" s="8" t="s">
        <v>1359</v>
      </c>
      <c r="N581" s="10"/>
      <c r="O581" s="8" t="s">
        <v>1362</v>
      </c>
    </row>
    <row r="582" ht="32" customHeight="1" spans="1:15">
      <c r="A582" s="8" t="s">
        <v>1358</v>
      </c>
      <c r="B582" s="8" t="s">
        <v>239</v>
      </c>
      <c r="C582" s="8" t="s">
        <v>240</v>
      </c>
      <c r="D582" s="8" t="s">
        <v>25</v>
      </c>
      <c r="E582" s="8" t="s">
        <v>415</v>
      </c>
      <c r="F582" s="8" t="s">
        <v>75</v>
      </c>
      <c r="G582" s="25"/>
      <c r="H582" s="25"/>
      <c r="I582" s="8" t="s">
        <v>3</v>
      </c>
      <c r="J582" s="8" t="s">
        <v>3</v>
      </c>
      <c r="K582" s="25">
        <v>46224</v>
      </c>
      <c r="L582" s="8" t="s">
        <v>807</v>
      </c>
      <c r="M582" s="8" t="s">
        <v>1359</v>
      </c>
      <c r="N582" s="10"/>
      <c r="O582" s="8" t="s">
        <v>1363</v>
      </c>
    </row>
    <row r="583" ht="32" customHeight="1" spans="1:15">
      <c r="A583" s="8" t="s">
        <v>1358</v>
      </c>
      <c r="B583" s="8" t="s">
        <v>329</v>
      </c>
      <c r="C583" s="8" t="s">
        <v>330</v>
      </c>
      <c r="D583" s="8"/>
      <c r="E583" s="8" t="s">
        <v>415</v>
      </c>
      <c r="F583" s="8"/>
      <c r="G583" s="25"/>
      <c r="H583" s="25"/>
      <c r="I583" s="8"/>
      <c r="J583" s="8" t="s">
        <v>6</v>
      </c>
      <c r="K583" s="25"/>
      <c r="L583" s="8" t="s">
        <v>807</v>
      </c>
      <c r="M583" s="8" t="s">
        <v>1364</v>
      </c>
      <c r="N583" s="10"/>
      <c r="O583" s="8" t="s">
        <v>1365</v>
      </c>
    </row>
    <row r="584" ht="32" customHeight="1" spans="1:15">
      <c r="A584" s="8" t="s">
        <v>1358</v>
      </c>
      <c r="B584" s="8" t="s">
        <v>331</v>
      </c>
      <c r="C584" s="8" t="s">
        <v>332</v>
      </c>
      <c r="D584" s="8"/>
      <c r="E584" s="8" t="s">
        <v>415</v>
      </c>
      <c r="F584" s="8"/>
      <c r="G584" s="25"/>
      <c r="H584" s="25"/>
      <c r="I584" s="8"/>
      <c r="J584" s="8" t="s">
        <v>6</v>
      </c>
      <c r="K584" s="25"/>
      <c r="L584" s="8" t="s">
        <v>807</v>
      </c>
      <c r="M584" s="8" t="s">
        <v>1364</v>
      </c>
      <c r="N584" s="10"/>
      <c r="O584" s="8" t="s">
        <v>1366</v>
      </c>
    </row>
    <row r="585" ht="32" customHeight="1" spans="1:15">
      <c r="A585" s="8" t="s">
        <v>1358</v>
      </c>
      <c r="B585" s="8" t="s">
        <v>333</v>
      </c>
      <c r="C585" s="8" t="s">
        <v>334</v>
      </c>
      <c r="D585" s="8"/>
      <c r="E585" s="8" t="s">
        <v>415</v>
      </c>
      <c r="F585" s="8"/>
      <c r="G585" s="25"/>
      <c r="H585" s="25"/>
      <c r="I585" s="8"/>
      <c r="J585" s="8" t="s">
        <v>6</v>
      </c>
      <c r="K585" s="25"/>
      <c r="L585" s="8" t="s">
        <v>807</v>
      </c>
      <c r="M585" s="8" t="s">
        <v>1364</v>
      </c>
      <c r="N585" s="10"/>
      <c r="O585" s="8" t="s">
        <v>1367</v>
      </c>
    </row>
    <row r="586" ht="32" customHeight="1" spans="1:15">
      <c r="A586" s="8" t="s">
        <v>1358</v>
      </c>
      <c r="B586" s="8" t="s">
        <v>335</v>
      </c>
      <c r="C586" s="8" t="s">
        <v>336</v>
      </c>
      <c r="D586" s="8"/>
      <c r="E586" s="8" t="s">
        <v>415</v>
      </c>
      <c r="F586" s="8"/>
      <c r="G586" s="25"/>
      <c r="H586" s="25"/>
      <c r="I586" s="8"/>
      <c r="J586" s="8" t="s">
        <v>6</v>
      </c>
      <c r="K586" s="25"/>
      <c r="L586" s="8" t="s">
        <v>807</v>
      </c>
      <c r="M586" s="8" t="s">
        <v>1364</v>
      </c>
      <c r="N586" s="10"/>
      <c r="O586" s="8" t="s">
        <v>1368</v>
      </c>
    </row>
    <row r="587" ht="32" customHeight="1" spans="1:15">
      <c r="A587" s="8" t="s">
        <v>1358</v>
      </c>
      <c r="B587" s="8" t="s">
        <v>337</v>
      </c>
      <c r="C587" s="8" t="s">
        <v>338</v>
      </c>
      <c r="D587" s="8"/>
      <c r="E587" s="8" t="s">
        <v>415</v>
      </c>
      <c r="F587" s="8"/>
      <c r="G587" s="25"/>
      <c r="H587" s="25"/>
      <c r="I587" s="8"/>
      <c r="J587" s="8" t="s">
        <v>6</v>
      </c>
      <c r="K587" s="25"/>
      <c r="L587" s="8" t="s">
        <v>807</v>
      </c>
      <c r="M587" s="8" t="s">
        <v>1364</v>
      </c>
      <c r="N587" s="10"/>
      <c r="O587" s="8" t="s">
        <v>1369</v>
      </c>
    </row>
    <row r="588" ht="32" customHeight="1" spans="1:15">
      <c r="A588" s="8" t="s">
        <v>1358</v>
      </c>
      <c r="B588" s="8" t="s">
        <v>339</v>
      </c>
      <c r="C588" s="8" t="s">
        <v>340</v>
      </c>
      <c r="D588" s="8"/>
      <c r="E588" s="8" t="s">
        <v>415</v>
      </c>
      <c r="F588" s="8"/>
      <c r="G588" s="25"/>
      <c r="H588" s="25"/>
      <c r="I588" s="8"/>
      <c r="J588" s="8" t="s">
        <v>6</v>
      </c>
      <c r="K588" s="25"/>
      <c r="L588" s="8" t="s">
        <v>807</v>
      </c>
      <c r="M588" s="8" t="s">
        <v>1364</v>
      </c>
      <c r="N588" s="10"/>
      <c r="O588" s="8" t="s">
        <v>1370</v>
      </c>
    </row>
    <row r="589" ht="32" customHeight="1" spans="1:15">
      <c r="A589" s="8" t="s">
        <v>1358</v>
      </c>
      <c r="B589" s="8" t="s">
        <v>341</v>
      </c>
      <c r="C589" s="8" t="s">
        <v>343</v>
      </c>
      <c r="D589" s="8" t="s">
        <v>25</v>
      </c>
      <c r="E589" s="8" t="s">
        <v>415</v>
      </c>
      <c r="F589" s="8" t="s">
        <v>75</v>
      </c>
      <c r="G589" s="25"/>
      <c r="H589" s="25"/>
      <c r="I589" s="8" t="s">
        <v>3</v>
      </c>
      <c r="J589" s="8" t="s">
        <v>3</v>
      </c>
      <c r="K589" s="25"/>
      <c r="L589" s="8" t="s">
        <v>807</v>
      </c>
      <c r="M589" s="8" t="s">
        <v>1371</v>
      </c>
      <c r="N589" s="10"/>
      <c r="O589" s="8" t="s">
        <v>1372</v>
      </c>
    </row>
    <row r="590" ht="32" customHeight="1" spans="1:15">
      <c r="A590" s="8" t="s">
        <v>1358</v>
      </c>
      <c r="B590" s="8" t="s">
        <v>344</v>
      </c>
      <c r="C590" s="8" t="s">
        <v>345</v>
      </c>
      <c r="D590" s="8" t="s">
        <v>25</v>
      </c>
      <c r="E590" s="8" t="s">
        <v>415</v>
      </c>
      <c r="F590" s="8" t="s">
        <v>75</v>
      </c>
      <c r="G590" s="25"/>
      <c r="H590" s="25"/>
      <c r="I590" s="8" t="s">
        <v>3</v>
      </c>
      <c r="J590" s="8" t="s">
        <v>3</v>
      </c>
      <c r="K590" s="25"/>
      <c r="L590" s="8" t="s">
        <v>807</v>
      </c>
      <c r="M590" s="8" t="s">
        <v>1371</v>
      </c>
      <c r="N590" s="10"/>
      <c r="O590" s="8" t="s">
        <v>1373</v>
      </c>
    </row>
    <row r="591" ht="32" customHeight="1" spans="1:15">
      <c r="A591" s="8" t="s">
        <v>1358</v>
      </c>
      <c r="B591" s="8" t="s">
        <v>346</v>
      </c>
      <c r="C591" s="8" t="s">
        <v>347</v>
      </c>
      <c r="D591" s="8" t="s">
        <v>25</v>
      </c>
      <c r="E591" s="8" t="s">
        <v>415</v>
      </c>
      <c r="F591" s="8" t="s">
        <v>75</v>
      </c>
      <c r="G591" s="25"/>
      <c r="H591" s="25"/>
      <c r="I591" s="8" t="s">
        <v>3</v>
      </c>
      <c r="J591" s="8" t="s">
        <v>3</v>
      </c>
      <c r="K591" s="25"/>
      <c r="L591" s="8" t="s">
        <v>807</v>
      </c>
      <c r="M591" s="8" t="s">
        <v>1371</v>
      </c>
      <c r="N591" s="10"/>
      <c r="O591" s="8" t="s">
        <v>1374</v>
      </c>
    </row>
    <row r="592" ht="32" customHeight="1" spans="1:15">
      <c r="A592" s="8" t="s">
        <v>1358</v>
      </c>
      <c r="B592" s="8" t="s">
        <v>348</v>
      </c>
      <c r="C592" s="8" t="s">
        <v>349</v>
      </c>
      <c r="D592" s="8" t="s">
        <v>25</v>
      </c>
      <c r="E592" s="8" t="s">
        <v>415</v>
      </c>
      <c r="F592" s="8" t="s">
        <v>75</v>
      </c>
      <c r="G592" s="25"/>
      <c r="H592" s="25"/>
      <c r="I592" s="8" t="s">
        <v>3</v>
      </c>
      <c r="J592" s="8" t="s">
        <v>3</v>
      </c>
      <c r="K592" s="25"/>
      <c r="L592" s="8" t="s">
        <v>807</v>
      </c>
      <c r="M592" s="8" t="s">
        <v>1371</v>
      </c>
      <c r="N592" s="10"/>
      <c r="O592" s="8" t="s">
        <v>1375</v>
      </c>
    </row>
    <row r="593" ht="32" customHeight="1" spans="1:15">
      <c r="A593" s="8" t="s">
        <v>1358</v>
      </c>
      <c r="B593" s="8" t="s">
        <v>329</v>
      </c>
      <c r="C593" s="8" t="s">
        <v>330</v>
      </c>
      <c r="D593" s="8"/>
      <c r="E593" s="8" t="s">
        <v>414</v>
      </c>
      <c r="F593" s="8"/>
      <c r="G593" s="25"/>
      <c r="H593" s="25"/>
      <c r="I593" s="8"/>
      <c r="J593" s="8" t="s">
        <v>6</v>
      </c>
      <c r="K593" s="25"/>
      <c r="L593" s="8" t="s">
        <v>807</v>
      </c>
      <c r="M593" s="8" t="s">
        <v>1364</v>
      </c>
      <c r="N593" s="10"/>
      <c r="O593" s="8" t="s">
        <v>1376</v>
      </c>
    </row>
    <row r="594" ht="32" customHeight="1" spans="1:15">
      <c r="A594" s="8" t="s">
        <v>1358</v>
      </c>
      <c r="B594" s="8" t="s">
        <v>331</v>
      </c>
      <c r="C594" s="8" t="s">
        <v>332</v>
      </c>
      <c r="D594" s="8"/>
      <c r="E594" s="8" t="s">
        <v>414</v>
      </c>
      <c r="F594" s="8"/>
      <c r="G594" s="25"/>
      <c r="H594" s="25"/>
      <c r="I594" s="8"/>
      <c r="J594" s="8" t="s">
        <v>6</v>
      </c>
      <c r="K594" s="25"/>
      <c r="L594" s="8" t="s">
        <v>807</v>
      </c>
      <c r="M594" s="8" t="s">
        <v>1364</v>
      </c>
      <c r="N594" s="10"/>
      <c r="O594" s="8" t="s">
        <v>1377</v>
      </c>
    </row>
    <row r="595" ht="32" customHeight="1" spans="1:15">
      <c r="A595" s="8" t="s">
        <v>1358</v>
      </c>
      <c r="B595" s="8" t="s">
        <v>333</v>
      </c>
      <c r="C595" s="8" t="s">
        <v>334</v>
      </c>
      <c r="D595" s="8"/>
      <c r="E595" s="8" t="s">
        <v>414</v>
      </c>
      <c r="F595" s="8"/>
      <c r="G595" s="25"/>
      <c r="H595" s="25"/>
      <c r="I595" s="8"/>
      <c r="J595" s="8" t="s">
        <v>6</v>
      </c>
      <c r="K595" s="25"/>
      <c r="L595" s="8" t="s">
        <v>807</v>
      </c>
      <c r="M595" s="8" t="s">
        <v>1364</v>
      </c>
      <c r="N595" s="10"/>
      <c r="O595" s="8" t="s">
        <v>1378</v>
      </c>
    </row>
    <row r="596" ht="32" customHeight="1" spans="1:15">
      <c r="A596" s="8" t="s">
        <v>1358</v>
      </c>
      <c r="B596" s="8" t="s">
        <v>335</v>
      </c>
      <c r="C596" s="8" t="s">
        <v>336</v>
      </c>
      <c r="D596" s="8"/>
      <c r="E596" s="8" t="s">
        <v>414</v>
      </c>
      <c r="F596" s="8"/>
      <c r="G596" s="25"/>
      <c r="H596" s="25"/>
      <c r="I596" s="8"/>
      <c r="J596" s="8" t="s">
        <v>6</v>
      </c>
      <c r="K596" s="25"/>
      <c r="L596" s="8" t="s">
        <v>807</v>
      </c>
      <c r="M596" s="8" t="s">
        <v>1364</v>
      </c>
      <c r="N596" s="10"/>
      <c r="O596" s="8" t="s">
        <v>1379</v>
      </c>
    </row>
    <row r="597" ht="32" customHeight="1" spans="1:15">
      <c r="A597" s="8" t="s">
        <v>1358</v>
      </c>
      <c r="B597" s="8" t="s">
        <v>337</v>
      </c>
      <c r="C597" s="8" t="s">
        <v>338</v>
      </c>
      <c r="D597" s="8"/>
      <c r="E597" s="8" t="s">
        <v>414</v>
      </c>
      <c r="F597" s="8"/>
      <c r="G597" s="25"/>
      <c r="H597" s="25"/>
      <c r="I597" s="8"/>
      <c r="J597" s="8" t="s">
        <v>6</v>
      </c>
      <c r="K597" s="25"/>
      <c r="L597" s="8" t="s">
        <v>807</v>
      </c>
      <c r="M597" s="8" t="s">
        <v>1364</v>
      </c>
      <c r="N597" s="10"/>
      <c r="O597" s="8" t="s">
        <v>1380</v>
      </c>
    </row>
    <row r="598" ht="32" customHeight="1" spans="1:15">
      <c r="A598" s="8" t="s">
        <v>1358</v>
      </c>
      <c r="B598" s="8" t="s">
        <v>339</v>
      </c>
      <c r="C598" s="8" t="s">
        <v>340</v>
      </c>
      <c r="D598" s="8"/>
      <c r="E598" s="8" t="s">
        <v>414</v>
      </c>
      <c r="F598" s="8"/>
      <c r="G598" s="25"/>
      <c r="H598" s="25"/>
      <c r="I598" s="8"/>
      <c r="J598" s="8" t="s">
        <v>6</v>
      </c>
      <c r="K598" s="25"/>
      <c r="L598" s="8" t="s">
        <v>807</v>
      </c>
      <c r="M598" s="8" t="s">
        <v>1364</v>
      </c>
      <c r="N598" s="10"/>
      <c r="O598" s="8" t="s">
        <v>1381</v>
      </c>
    </row>
    <row r="599" ht="32" customHeight="1" spans="1:15">
      <c r="A599" s="8" t="s">
        <v>1358</v>
      </c>
      <c r="B599" s="8" t="s">
        <v>329</v>
      </c>
      <c r="C599" s="8" t="s">
        <v>330</v>
      </c>
      <c r="D599" s="8"/>
      <c r="E599" s="8" t="s">
        <v>406</v>
      </c>
      <c r="F599" s="8"/>
      <c r="G599" s="25"/>
      <c r="H599" s="25"/>
      <c r="I599" s="8"/>
      <c r="J599" s="8" t="s">
        <v>6</v>
      </c>
      <c r="K599" s="25"/>
      <c r="L599" s="8" t="s">
        <v>807</v>
      </c>
      <c r="M599" s="8" t="s">
        <v>1364</v>
      </c>
      <c r="N599" s="10"/>
      <c r="O599" s="8" t="s">
        <v>1382</v>
      </c>
    </row>
    <row r="600" ht="32" customHeight="1" spans="1:15">
      <c r="A600" s="8" t="s">
        <v>1358</v>
      </c>
      <c r="B600" s="8" t="s">
        <v>331</v>
      </c>
      <c r="C600" s="8" t="s">
        <v>332</v>
      </c>
      <c r="D600" s="8"/>
      <c r="E600" s="8" t="s">
        <v>406</v>
      </c>
      <c r="F600" s="8"/>
      <c r="G600" s="25"/>
      <c r="H600" s="25"/>
      <c r="I600" s="8"/>
      <c r="J600" s="8" t="s">
        <v>6</v>
      </c>
      <c r="K600" s="25"/>
      <c r="L600" s="8" t="s">
        <v>807</v>
      </c>
      <c r="M600" s="8" t="s">
        <v>1364</v>
      </c>
      <c r="N600" s="10"/>
      <c r="O600" s="8" t="s">
        <v>1383</v>
      </c>
    </row>
    <row r="601" ht="32" customHeight="1" spans="1:15">
      <c r="A601" s="8" t="s">
        <v>1358</v>
      </c>
      <c r="B601" s="8" t="s">
        <v>333</v>
      </c>
      <c r="C601" s="8" t="s">
        <v>334</v>
      </c>
      <c r="D601" s="8"/>
      <c r="E601" s="8" t="s">
        <v>406</v>
      </c>
      <c r="F601" s="8"/>
      <c r="G601" s="25"/>
      <c r="H601" s="25"/>
      <c r="I601" s="8"/>
      <c r="J601" s="8" t="s">
        <v>6</v>
      </c>
      <c r="K601" s="25"/>
      <c r="L601" s="8" t="s">
        <v>807</v>
      </c>
      <c r="M601" s="8" t="s">
        <v>1364</v>
      </c>
      <c r="N601" s="10"/>
      <c r="O601" s="8" t="s">
        <v>1384</v>
      </c>
    </row>
    <row r="602" ht="32" customHeight="1" spans="1:15">
      <c r="A602" s="8" t="s">
        <v>1358</v>
      </c>
      <c r="B602" s="8" t="s">
        <v>335</v>
      </c>
      <c r="C602" s="8" t="s">
        <v>336</v>
      </c>
      <c r="D602" s="8"/>
      <c r="E602" s="8" t="s">
        <v>406</v>
      </c>
      <c r="F602" s="8"/>
      <c r="G602" s="25"/>
      <c r="H602" s="25"/>
      <c r="I602" s="8"/>
      <c r="J602" s="8" t="s">
        <v>6</v>
      </c>
      <c r="K602" s="25"/>
      <c r="L602" s="8" t="s">
        <v>807</v>
      </c>
      <c r="M602" s="8" t="s">
        <v>1364</v>
      </c>
      <c r="N602" s="10"/>
      <c r="O602" s="8" t="s">
        <v>1385</v>
      </c>
    </row>
    <row r="603" ht="32" customHeight="1" spans="1:15">
      <c r="A603" s="8" t="s">
        <v>1358</v>
      </c>
      <c r="B603" s="8" t="s">
        <v>337</v>
      </c>
      <c r="C603" s="8" t="s">
        <v>338</v>
      </c>
      <c r="D603" s="8"/>
      <c r="E603" s="8" t="s">
        <v>406</v>
      </c>
      <c r="F603" s="8"/>
      <c r="G603" s="25"/>
      <c r="H603" s="25"/>
      <c r="I603" s="8"/>
      <c r="J603" s="8" t="s">
        <v>6</v>
      </c>
      <c r="K603" s="25"/>
      <c r="L603" s="8" t="s">
        <v>807</v>
      </c>
      <c r="M603" s="8" t="s">
        <v>1364</v>
      </c>
      <c r="N603" s="10"/>
      <c r="O603" s="8" t="s">
        <v>1386</v>
      </c>
    </row>
    <row r="604" ht="32" customHeight="1" spans="1:15">
      <c r="A604" s="8" t="s">
        <v>1358</v>
      </c>
      <c r="B604" s="8" t="s">
        <v>339</v>
      </c>
      <c r="C604" s="8" t="s">
        <v>340</v>
      </c>
      <c r="D604" s="8"/>
      <c r="E604" s="8" t="s">
        <v>406</v>
      </c>
      <c r="F604" s="8"/>
      <c r="G604" s="25"/>
      <c r="H604" s="25"/>
      <c r="I604" s="8"/>
      <c r="J604" s="8" t="s">
        <v>6</v>
      </c>
      <c r="K604" s="25"/>
      <c r="L604" s="8" t="s">
        <v>807</v>
      </c>
      <c r="M604" s="8" t="s">
        <v>1364</v>
      </c>
      <c r="N604" s="10"/>
      <c r="O604" s="8" t="s">
        <v>1387</v>
      </c>
    </row>
    <row r="605" ht="32" customHeight="1" spans="1:15">
      <c r="A605" s="8" t="s">
        <v>1358</v>
      </c>
      <c r="B605" s="8" t="s">
        <v>329</v>
      </c>
      <c r="C605" s="8" t="s">
        <v>330</v>
      </c>
      <c r="D605" s="8"/>
      <c r="E605" s="8" t="s">
        <v>411</v>
      </c>
      <c r="F605" s="8"/>
      <c r="G605" s="25"/>
      <c r="H605" s="25"/>
      <c r="I605" s="8"/>
      <c r="J605" s="8" t="s">
        <v>6</v>
      </c>
      <c r="K605" s="25"/>
      <c r="L605" s="8" t="s">
        <v>807</v>
      </c>
      <c r="M605" s="8" t="s">
        <v>1364</v>
      </c>
      <c r="N605" s="10"/>
      <c r="O605" s="8" t="s">
        <v>1388</v>
      </c>
    </row>
    <row r="606" ht="32" customHeight="1" spans="1:15">
      <c r="A606" s="8" t="s">
        <v>1358</v>
      </c>
      <c r="B606" s="8" t="s">
        <v>331</v>
      </c>
      <c r="C606" s="8" t="s">
        <v>332</v>
      </c>
      <c r="D606" s="8"/>
      <c r="E606" s="8" t="s">
        <v>411</v>
      </c>
      <c r="F606" s="8"/>
      <c r="G606" s="25"/>
      <c r="H606" s="25"/>
      <c r="I606" s="8"/>
      <c r="J606" s="8" t="s">
        <v>6</v>
      </c>
      <c r="K606" s="25"/>
      <c r="L606" s="8" t="s">
        <v>807</v>
      </c>
      <c r="M606" s="8" t="s">
        <v>1364</v>
      </c>
      <c r="N606" s="10"/>
      <c r="O606" s="8" t="s">
        <v>1389</v>
      </c>
    </row>
    <row r="607" ht="32" customHeight="1" spans="1:15">
      <c r="A607" s="8" t="s">
        <v>1358</v>
      </c>
      <c r="B607" s="8" t="s">
        <v>333</v>
      </c>
      <c r="C607" s="8" t="s">
        <v>334</v>
      </c>
      <c r="D607" s="8"/>
      <c r="E607" s="8" t="s">
        <v>411</v>
      </c>
      <c r="F607" s="8"/>
      <c r="G607" s="25"/>
      <c r="H607" s="25"/>
      <c r="I607" s="8"/>
      <c r="J607" s="8" t="s">
        <v>6</v>
      </c>
      <c r="K607" s="25"/>
      <c r="L607" s="8" t="s">
        <v>807</v>
      </c>
      <c r="M607" s="8" t="s">
        <v>1364</v>
      </c>
      <c r="N607" s="10"/>
      <c r="O607" s="8" t="s">
        <v>1390</v>
      </c>
    </row>
    <row r="608" ht="32" customHeight="1" spans="1:15">
      <c r="A608" s="8" t="s">
        <v>1358</v>
      </c>
      <c r="B608" s="8" t="s">
        <v>335</v>
      </c>
      <c r="C608" s="8" t="s">
        <v>336</v>
      </c>
      <c r="D608" s="8"/>
      <c r="E608" s="8" t="s">
        <v>411</v>
      </c>
      <c r="F608" s="8"/>
      <c r="G608" s="25"/>
      <c r="H608" s="25"/>
      <c r="I608" s="8"/>
      <c r="J608" s="8" t="s">
        <v>6</v>
      </c>
      <c r="K608" s="25"/>
      <c r="L608" s="8" t="s">
        <v>807</v>
      </c>
      <c r="M608" s="8" t="s">
        <v>1364</v>
      </c>
      <c r="N608" s="10"/>
      <c r="O608" s="8" t="s">
        <v>1391</v>
      </c>
    </row>
    <row r="609" ht="32" customHeight="1" spans="1:15">
      <c r="A609" s="8" t="s">
        <v>1358</v>
      </c>
      <c r="B609" s="8" t="s">
        <v>337</v>
      </c>
      <c r="C609" s="8" t="s">
        <v>338</v>
      </c>
      <c r="D609" s="8"/>
      <c r="E609" s="8" t="s">
        <v>411</v>
      </c>
      <c r="F609" s="8"/>
      <c r="G609" s="25"/>
      <c r="H609" s="25"/>
      <c r="I609" s="8"/>
      <c r="J609" s="8" t="s">
        <v>6</v>
      </c>
      <c r="K609" s="25"/>
      <c r="L609" s="8" t="s">
        <v>807</v>
      </c>
      <c r="M609" s="8" t="s">
        <v>1364</v>
      </c>
      <c r="N609" s="10"/>
      <c r="O609" s="8" t="s">
        <v>1392</v>
      </c>
    </row>
    <row r="610" ht="32" customHeight="1" spans="1:15">
      <c r="A610" s="8" t="s">
        <v>1358</v>
      </c>
      <c r="B610" s="8" t="s">
        <v>339</v>
      </c>
      <c r="C610" s="8" t="s">
        <v>340</v>
      </c>
      <c r="D610" s="8"/>
      <c r="E610" s="8" t="s">
        <v>411</v>
      </c>
      <c r="F610" s="8"/>
      <c r="G610" s="25"/>
      <c r="H610" s="25"/>
      <c r="I610" s="8"/>
      <c r="J610" s="8" t="s">
        <v>6</v>
      </c>
      <c r="K610" s="25"/>
      <c r="L610" s="8" t="s">
        <v>807</v>
      </c>
      <c r="M610" s="8" t="s">
        <v>1364</v>
      </c>
      <c r="N610" s="10"/>
      <c r="O610" s="8" t="s">
        <v>1393</v>
      </c>
    </row>
  </sheetData>
  <autoFilter xmlns:etc="http://www.wps.cn/officeDocument/2017/etCustomData" ref="A30:N610" etc:filterBottomFollowUsedRange="0">
    <extLst/>
  </autoFilter>
  <mergeCells count="3">
    <mergeCell ref="A1:L1"/>
    <mergeCell ref="A2:L2"/>
    <mergeCell ref="A29:N29"/>
  </mergeCells>
  <conditionalFormatting sqref="H5:H27">
    <cfRule type="dataBar" priority="5">
      <dataBar>
        <cfvo type="num" val="0"/>
        <cfvo type="num" val="1"/>
        <color rgb="FF70AD47"/>
      </dataBar>
      <extLst>
        <ext xmlns:x14="http://schemas.microsoft.com/office/spreadsheetml/2009/9/main" uri="{B025F937-C7B1-47D3-B67F-A62EFF666E3E}">
          <x14:id>{1b04cc4c-5bfc-4032-88e0-e58b899b0af9}</x14:id>
        </ext>
      </extLst>
    </cfRule>
  </conditionalFormatting>
  <conditionalFormatting sqref="I5:I27">
    <cfRule type="expression" dxfId="6" priority="1" stopIfTrue="1">
      <formula>$I5&gt;=3</formula>
    </cfRule>
    <cfRule type="expression" dxfId="7" priority="2">
      <formula>AND($I5&gt;=1,$I5&lt;=2)</formula>
    </cfRule>
  </conditionalFormatting>
  <conditionalFormatting sqref="J5:J27">
    <cfRule type="expression" dxfId="6" priority="3" stopIfTrue="1">
      <formula>$J5&gt;=3</formula>
    </cfRule>
    <cfRule type="expression" dxfId="7" priority="4">
      <formula>AND($J5&gt;=1,$J5&lt;=2)</formula>
    </cfRule>
  </conditionalFormatting>
  <conditionalFormatting sqref="A31:N610">
    <cfRule type="expression" dxfId="7" priority="6" stopIfTrue="1">
      <formula>OR($I31="暂停",$I31="挂起",$J31="暂停",$J31="挂起")</formula>
    </cfRule>
    <cfRule type="expression" dxfId="6" priority="7">
      <formula>AND($L31="是",NOT(OR($I31="暂停",$I31="挂起",$J31="暂停",$J31="挂起")))</formula>
    </cfRule>
  </conditionalFormatting>
  <pageMargins left="0.7" right="0.7" top="0.75" bottom="0.75" header="0.3" footer="0.3"/>
  <pageSetup paperSize="1" fitToHeight="0" orientation="landscape"/>
  <headerFooter/>
  <extLst>
    <ext xmlns:x14="http://schemas.microsoft.com/office/spreadsheetml/2009/9/main" uri="{78C0D931-6437-407d-A8EE-F0AAD7539E65}">
      <x14:conditionalFormattings>
        <x14:conditionalFormatting xmlns:xm="http://schemas.microsoft.com/office/excel/2006/main">
          <x14:cfRule type="dataBar" id="{1b04cc4c-5bfc-4032-88e0-e58b899b0af9}">
            <x14:dataBar minLength="10" maxLength="90" negativeBarColorSameAsPositive="1" axisPosition="none">
              <x14:cfvo type="num">
                <xm:f>0</xm:f>
              </x14:cfvo>
              <x14:cfvo type="num">
                <xm:f>1</xm:f>
              </x14:cfvo>
              <x14:axisColor indexed="65"/>
            </x14:dataBar>
          </x14:cfRule>
          <xm:sqref>H5:H27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3"/>
  <sheetViews>
    <sheetView showGridLines="0" workbookViewId="0">
      <selection activeCell="A1" sqref="A1:L1"/>
    </sheetView>
  </sheetViews>
  <sheetFormatPr defaultColWidth="9" defaultRowHeight="16.8"/>
  <cols>
    <col min="1" max="1" width="11" style="1" customWidth="1"/>
    <col min="2" max="2" width="23" style="1" customWidth="1"/>
    <col min="3" max="4" width="14" style="1" customWidth="1"/>
    <col min="5" max="5" width="34" style="1" customWidth="1"/>
    <col min="6" max="6" width="38" style="1" customWidth="1"/>
    <col min="7" max="7" width="11" style="1" customWidth="1"/>
    <col min="8" max="9" width="13" style="1" customWidth="1"/>
    <col min="10" max="10" width="28" style="1" customWidth="1"/>
    <col min="11" max="11" width="11" style="1" customWidth="1"/>
    <col min="12" max="12" width="45" style="1" customWidth="1"/>
  </cols>
  <sheetData>
    <row r="1" ht="34" customHeight="1" spans="1:12">
      <c r="A1" s="32" t="s">
        <v>1394</v>
      </c>
      <c r="B1" s="3"/>
      <c r="C1" s="3"/>
      <c r="D1" s="3"/>
      <c r="E1" s="3"/>
      <c r="F1" s="3"/>
      <c r="G1" s="3"/>
      <c r="H1" s="3"/>
      <c r="I1" s="3"/>
      <c r="J1" s="3"/>
      <c r="K1" s="3"/>
      <c r="L1" s="4"/>
    </row>
    <row r="3" ht="30" customHeight="1" spans="1:12">
      <c r="A3" s="37" t="s">
        <v>1395</v>
      </c>
      <c r="B3" s="37" t="s">
        <v>1396</v>
      </c>
      <c r="C3" s="37" t="s">
        <v>1397</v>
      </c>
      <c r="D3" s="37" t="s">
        <v>1398</v>
      </c>
      <c r="E3" s="37" t="s">
        <v>1399</v>
      </c>
      <c r="F3" s="37" t="s">
        <v>1400</v>
      </c>
      <c r="G3" s="37" t="s">
        <v>1401</v>
      </c>
      <c r="H3" s="37" t="s">
        <v>49</v>
      </c>
      <c r="I3" s="37" t="s">
        <v>1402</v>
      </c>
      <c r="J3" s="37" t="s">
        <v>674</v>
      </c>
      <c r="K3" s="37" t="s">
        <v>570</v>
      </c>
      <c r="L3" s="37" t="s">
        <v>1403</v>
      </c>
    </row>
    <row r="4" ht="17" customHeight="1" spans="1:12">
      <c r="A4" s="34" t="s">
        <v>1404</v>
      </c>
      <c r="B4" s="34" t="s">
        <v>1405</v>
      </c>
      <c r="C4" s="34" t="s">
        <v>1406</v>
      </c>
      <c r="D4" s="34" t="s">
        <v>1407</v>
      </c>
      <c r="E4" s="34" t="s">
        <v>1408</v>
      </c>
      <c r="F4" s="34" t="s">
        <v>3</v>
      </c>
      <c r="G4" s="34" t="s">
        <v>3</v>
      </c>
      <c r="H4" s="34"/>
      <c r="I4" s="34"/>
      <c r="J4" s="34"/>
      <c r="K4" s="34" t="s">
        <v>580</v>
      </c>
      <c r="L4" s="34"/>
    </row>
    <row r="5" ht="84" customHeight="1" spans="1:12">
      <c r="A5" s="34" t="s">
        <v>1409</v>
      </c>
      <c r="B5" s="34" t="s">
        <v>1410</v>
      </c>
      <c r="C5" s="34" t="s">
        <v>1406</v>
      </c>
      <c r="D5" s="34" t="s">
        <v>1411</v>
      </c>
      <c r="E5" s="34" t="s">
        <v>1412</v>
      </c>
      <c r="F5" s="34" t="s">
        <v>1413</v>
      </c>
      <c r="G5" s="34" t="s">
        <v>4</v>
      </c>
      <c r="H5" s="34"/>
      <c r="I5" s="34"/>
      <c r="J5" s="34"/>
      <c r="K5" s="34" t="s">
        <v>585</v>
      </c>
      <c r="L5" s="34" t="s">
        <v>1414</v>
      </c>
    </row>
    <row r="6" ht="17" customHeight="1" spans="1:12">
      <c r="A6" s="34" t="s">
        <v>1415</v>
      </c>
      <c r="B6" s="34" t="s">
        <v>1416</v>
      </c>
      <c r="C6" s="34" t="s">
        <v>1406</v>
      </c>
      <c r="D6" s="34" t="s">
        <v>1417</v>
      </c>
      <c r="E6" s="34" t="s">
        <v>1418</v>
      </c>
      <c r="F6" s="34" t="s">
        <v>3</v>
      </c>
      <c r="G6" s="34" t="s">
        <v>3</v>
      </c>
      <c r="H6" s="34"/>
      <c r="I6" s="34"/>
      <c r="J6" s="34"/>
      <c r="K6" s="34" t="s">
        <v>585</v>
      </c>
      <c r="L6" s="34" t="s">
        <v>1419</v>
      </c>
    </row>
    <row r="7" ht="34" customHeight="1" spans="1:12">
      <c r="A7" s="34" t="s">
        <v>1420</v>
      </c>
      <c r="B7" s="34" t="s">
        <v>1421</v>
      </c>
      <c r="C7" s="34" t="s">
        <v>1406</v>
      </c>
      <c r="D7" s="34"/>
      <c r="E7" s="34" t="s">
        <v>1422</v>
      </c>
      <c r="F7" s="34" t="s">
        <v>1423</v>
      </c>
      <c r="G7" s="34" t="s">
        <v>4</v>
      </c>
      <c r="H7" s="34"/>
      <c r="I7" s="34"/>
      <c r="J7" s="34"/>
      <c r="K7" s="34" t="s">
        <v>585</v>
      </c>
      <c r="L7" s="34" t="s">
        <v>1424</v>
      </c>
    </row>
    <row r="8" ht="17" customHeight="1" spans="1:12">
      <c r="A8" s="34" t="s">
        <v>1425</v>
      </c>
      <c r="B8" s="34" t="s">
        <v>1426</v>
      </c>
      <c r="C8" s="34" t="s">
        <v>1427</v>
      </c>
      <c r="D8" s="34" t="s">
        <v>1428</v>
      </c>
      <c r="E8" s="34" t="s">
        <v>1429</v>
      </c>
      <c r="F8" s="34" t="s">
        <v>1430</v>
      </c>
      <c r="G8" s="34" t="s">
        <v>5</v>
      </c>
      <c r="H8" s="34"/>
      <c r="I8" s="34"/>
      <c r="J8" s="34"/>
      <c r="K8" s="34" t="s">
        <v>580</v>
      </c>
      <c r="L8" s="34" t="s">
        <v>1431</v>
      </c>
    </row>
    <row r="9" ht="17" customHeight="1" spans="1:12">
      <c r="A9" s="34" t="s">
        <v>1432</v>
      </c>
      <c r="B9" s="34" t="s">
        <v>1433</v>
      </c>
      <c r="C9" s="34" t="s">
        <v>1427</v>
      </c>
      <c r="D9" s="34" t="s">
        <v>74</v>
      </c>
      <c r="E9" s="34" t="s">
        <v>1429</v>
      </c>
      <c r="F9" s="34" t="s">
        <v>1430</v>
      </c>
      <c r="G9" s="34" t="s">
        <v>5</v>
      </c>
      <c r="H9" s="34"/>
      <c r="I9" s="34"/>
      <c r="J9" s="34"/>
      <c r="K9" s="34" t="s">
        <v>585</v>
      </c>
      <c r="L9" s="34" t="s">
        <v>1434</v>
      </c>
    </row>
    <row r="10" spans="1:12">
      <c r="A10" s="39"/>
      <c r="B10" s="39"/>
      <c r="C10" s="39"/>
      <c r="D10" s="39"/>
      <c r="E10" s="39"/>
      <c r="F10" s="39"/>
      <c r="G10" s="39"/>
      <c r="H10" s="39"/>
      <c r="I10" s="39"/>
      <c r="J10" s="39"/>
      <c r="K10" s="39"/>
      <c r="L10" s="39"/>
    </row>
    <row r="11" spans="1:12">
      <c r="A11" s="39"/>
      <c r="B11" s="39"/>
      <c r="C11" s="39"/>
      <c r="D11" s="39"/>
      <c r="E11" s="39"/>
      <c r="F11" s="39"/>
      <c r="G11" s="39"/>
      <c r="H11" s="39"/>
      <c r="I11" s="39"/>
      <c r="J11" s="39"/>
      <c r="K11" s="39"/>
      <c r="L11" s="39"/>
    </row>
    <row r="12" spans="1:12">
      <c r="A12" s="39"/>
      <c r="B12" s="39"/>
      <c r="C12" s="39"/>
      <c r="D12" s="39"/>
      <c r="E12" s="39"/>
      <c r="F12" s="39"/>
      <c r="G12" s="39"/>
      <c r="H12" s="39"/>
      <c r="I12" s="39"/>
      <c r="J12" s="39"/>
      <c r="K12" s="39"/>
      <c r="L12" s="39"/>
    </row>
    <row r="13" spans="1:12">
      <c r="A13" s="39"/>
      <c r="B13" s="39"/>
      <c r="C13" s="39"/>
      <c r="D13" s="39"/>
      <c r="E13" s="39"/>
      <c r="F13" s="39"/>
      <c r="G13" s="39"/>
      <c r="H13" s="39"/>
      <c r="I13" s="39"/>
      <c r="J13" s="39"/>
      <c r="K13" s="39"/>
      <c r="L13" s="39"/>
    </row>
    <row r="14" spans="1:12">
      <c r="A14" s="39"/>
      <c r="B14" s="39"/>
      <c r="C14" s="39"/>
      <c r="D14" s="39"/>
      <c r="E14" s="39"/>
      <c r="F14" s="39"/>
      <c r="G14" s="39"/>
      <c r="H14" s="39"/>
      <c r="I14" s="39"/>
      <c r="J14" s="39"/>
      <c r="K14" s="39"/>
      <c r="L14" s="39"/>
    </row>
    <row r="15" spans="1:12">
      <c r="A15" s="39"/>
      <c r="B15" s="39"/>
      <c r="C15" s="39"/>
      <c r="D15" s="39"/>
      <c r="E15" s="39"/>
      <c r="F15" s="39"/>
      <c r="G15" s="39"/>
      <c r="H15" s="39"/>
      <c r="I15" s="39"/>
      <c r="J15" s="39"/>
      <c r="K15" s="39"/>
      <c r="L15" s="39"/>
    </row>
    <row r="16" spans="1:12">
      <c r="A16" s="39"/>
      <c r="B16" s="39"/>
      <c r="C16" s="39"/>
      <c r="D16" s="39"/>
      <c r="E16" s="39"/>
      <c r="F16" s="39"/>
      <c r="G16" s="39"/>
      <c r="H16" s="39"/>
      <c r="I16" s="39"/>
      <c r="J16" s="39"/>
      <c r="K16" s="39"/>
      <c r="L16" s="39"/>
    </row>
    <row r="17" spans="1:12">
      <c r="A17" s="39"/>
      <c r="B17" s="39"/>
      <c r="C17" s="39"/>
      <c r="D17" s="39"/>
      <c r="E17" s="39"/>
      <c r="F17" s="39"/>
      <c r="G17" s="39"/>
      <c r="H17" s="39"/>
      <c r="I17" s="39"/>
      <c r="J17" s="39"/>
      <c r="K17" s="39"/>
      <c r="L17" s="39"/>
    </row>
    <row r="18" spans="1:12">
      <c r="A18" s="39"/>
      <c r="B18" s="39"/>
      <c r="C18" s="39"/>
      <c r="D18" s="39"/>
      <c r="E18" s="39"/>
      <c r="F18" s="39"/>
      <c r="G18" s="39"/>
      <c r="H18" s="39"/>
      <c r="I18" s="39"/>
      <c r="J18" s="39"/>
      <c r="K18" s="39"/>
      <c r="L18" s="39"/>
    </row>
    <row r="19" spans="1:12">
      <c r="A19" s="39"/>
      <c r="B19" s="39"/>
      <c r="C19" s="39"/>
      <c r="D19" s="39"/>
      <c r="E19" s="39"/>
      <c r="F19" s="39"/>
      <c r="G19" s="39"/>
      <c r="H19" s="39"/>
      <c r="I19" s="39"/>
      <c r="J19" s="39"/>
      <c r="K19" s="39"/>
      <c r="L19" s="39"/>
    </row>
    <row r="20" spans="1:12">
      <c r="A20" s="39"/>
      <c r="B20" s="39"/>
      <c r="C20" s="39"/>
      <c r="D20" s="39"/>
      <c r="E20" s="39"/>
      <c r="F20" s="39"/>
      <c r="G20" s="39"/>
      <c r="H20" s="39"/>
      <c r="I20" s="39"/>
      <c r="J20" s="39"/>
      <c r="K20" s="39"/>
      <c r="L20" s="39"/>
    </row>
    <row r="21" spans="1:12">
      <c r="A21" s="39"/>
      <c r="B21" s="39"/>
      <c r="C21" s="39"/>
      <c r="D21" s="39"/>
      <c r="E21" s="39"/>
      <c r="F21" s="39"/>
      <c r="G21" s="39"/>
      <c r="H21" s="39"/>
      <c r="I21" s="39"/>
      <c r="J21" s="39"/>
      <c r="K21" s="39"/>
      <c r="L21" s="39"/>
    </row>
    <row r="22" spans="1:12">
      <c r="A22" s="39"/>
      <c r="B22" s="39"/>
      <c r="C22" s="39"/>
      <c r="D22" s="39"/>
      <c r="E22" s="39"/>
      <c r="F22" s="39"/>
      <c r="G22" s="39"/>
      <c r="H22" s="39"/>
      <c r="I22" s="39"/>
      <c r="J22" s="39"/>
      <c r="K22" s="39"/>
      <c r="L22" s="39"/>
    </row>
    <row r="23" spans="1:12">
      <c r="A23" s="39"/>
      <c r="B23" s="39"/>
      <c r="C23" s="39"/>
      <c r="D23" s="39"/>
      <c r="E23" s="39"/>
      <c r="F23" s="39"/>
      <c r="G23" s="39"/>
      <c r="H23" s="39"/>
      <c r="I23" s="39"/>
      <c r="J23" s="39"/>
      <c r="K23" s="39"/>
      <c r="L23" s="39"/>
    </row>
    <row r="24" spans="1:12">
      <c r="A24" s="39"/>
      <c r="B24" s="39"/>
      <c r="C24" s="39"/>
      <c r="D24" s="39"/>
      <c r="E24" s="39"/>
      <c r="F24" s="39"/>
      <c r="G24" s="39"/>
      <c r="H24" s="39"/>
      <c r="I24" s="39"/>
      <c r="J24" s="39"/>
      <c r="K24" s="39"/>
      <c r="L24" s="39"/>
    </row>
    <row r="25" spans="1:12">
      <c r="A25" s="39"/>
      <c r="B25" s="39"/>
      <c r="C25" s="39"/>
      <c r="D25" s="39"/>
      <c r="E25" s="39"/>
      <c r="F25" s="39"/>
      <c r="G25" s="39"/>
      <c r="H25" s="39"/>
      <c r="I25" s="39"/>
      <c r="J25" s="39"/>
      <c r="K25" s="39"/>
      <c r="L25" s="39"/>
    </row>
    <row r="26" spans="1:12">
      <c r="A26" s="39"/>
      <c r="B26" s="39"/>
      <c r="C26" s="39"/>
      <c r="D26" s="39"/>
      <c r="E26" s="39"/>
      <c r="F26" s="39"/>
      <c r="G26" s="39"/>
      <c r="H26" s="39"/>
      <c r="I26" s="39"/>
      <c r="J26" s="39"/>
      <c r="K26" s="39"/>
      <c r="L26" s="39"/>
    </row>
    <row r="27" spans="1:12">
      <c r="A27" s="39"/>
      <c r="B27" s="39"/>
      <c r="C27" s="39"/>
      <c r="D27" s="39"/>
      <c r="E27" s="39"/>
      <c r="F27" s="39"/>
      <c r="G27" s="39"/>
      <c r="H27" s="39"/>
      <c r="I27" s="39"/>
      <c r="J27" s="39"/>
      <c r="K27" s="39"/>
      <c r="L27" s="39"/>
    </row>
    <row r="28" spans="1:12">
      <c r="A28" s="39"/>
      <c r="B28" s="39"/>
      <c r="C28" s="39"/>
      <c r="D28" s="39"/>
      <c r="E28" s="39"/>
      <c r="F28" s="39"/>
      <c r="G28" s="39"/>
      <c r="H28" s="39"/>
      <c r="I28" s="39"/>
      <c r="J28" s="39"/>
      <c r="K28" s="39"/>
      <c r="L28" s="39"/>
    </row>
    <row r="29" spans="1:12">
      <c r="A29" s="39"/>
      <c r="B29" s="39"/>
      <c r="C29" s="39"/>
      <c r="D29" s="39"/>
      <c r="E29" s="39"/>
      <c r="F29" s="39"/>
      <c r="G29" s="39"/>
      <c r="H29" s="39"/>
      <c r="I29" s="39"/>
      <c r="J29" s="39"/>
      <c r="K29" s="39"/>
      <c r="L29" s="39"/>
    </row>
    <row r="30" spans="1:12">
      <c r="A30" s="39"/>
      <c r="B30" s="39"/>
      <c r="C30" s="39"/>
      <c r="D30" s="39"/>
      <c r="E30" s="39"/>
      <c r="F30" s="39"/>
      <c r="G30" s="39"/>
      <c r="H30" s="39"/>
      <c r="I30" s="39"/>
      <c r="J30" s="39"/>
      <c r="K30" s="39"/>
      <c r="L30" s="39"/>
    </row>
    <row r="31" spans="1:12">
      <c r="A31" s="39"/>
      <c r="B31" s="39"/>
      <c r="C31" s="39"/>
      <c r="D31" s="39"/>
      <c r="E31" s="39"/>
      <c r="F31" s="39"/>
      <c r="G31" s="39"/>
      <c r="H31" s="39"/>
      <c r="I31" s="39"/>
      <c r="J31" s="39"/>
      <c r="K31" s="39"/>
      <c r="L31" s="39"/>
    </row>
    <row r="32" spans="1:12">
      <c r="A32" s="39"/>
      <c r="B32" s="39"/>
      <c r="C32" s="39"/>
      <c r="D32" s="39"/>
      <c r="E32" s="39"/>
      <c r="F32" s="39"/>
      <c r="G32" s="39"/>
      <c r="H32" s="39"/>
      <c r="I32" s="39"/>
      <c r="J32" s="39"/>
      <c r="K32" s="39"/>
      <c r="L32" s="39"/>
    </row>
    <row r="33" spans="1:12">
      <c r="A33" s="39"/>
      <c r="B33" s="39"/>
      <c r="C33" s="39"/>
      <c r="D33" s="39"/>
      <c r="E33" s="39"/>
      <c r="F33" s="39"/>
      <c r="G33" s="39"/>
      <c r="H33" s="39"/>
      <c r="I33" s="39"/>
      <c r="J33" s="39"/>
      <c r="K33" s="39"/>
      <c r="L33" s="39"/>
    </row>
    <row r="34" spans="1:12">
      <c r="A34" s="39"/>
      <c r="B34" s="39"/>
      <c r="C34" s="39"/>
      <c r="D34" s="39"/>
      <c r="E34" s="39"/>
      <c r="F34" s="39"/>
      <c r="G34" s="39"/>
      <c r="H34" s="39"/>
      <c r="I34" s="39"/>
      <c r="J34" s="39"/>
      <c r="K34" s="39"/>
      <c r="L34" s="39"/>
    </row>
    <row r="35" spans="1:12">
      <c r="A35" s="39"/>
      <c r="B35" s="39"/>
      <c r="C35" s="39"/>
      <c r="D35" s="39"/>
      <c r="E35" s="39"/>
      <c r="F35" s="39"/>
      <c r="G35" s="39"/>
      <c r="H35" s="39"/>
      <c r="I35" s="39"/>
      <c r="J35" s="39"/>
      <c r="K35" s="39"/>
      <c r="L35" s="39"/>
    </row>
    <row r="36" spans="1:12">
      <c r="A36" s="39"/>
      <c r="B36" s="39"/>
      <c r="C36" s="39"/>
      <c r="D36" s="39"/>
      <c r="E36" s="39"/>
      <c r="F36" s="39"/>
      <c r="G36" s="39"/>
      <c r="H36" s="39"/>
      <c r="I36" s="39"/>
      <c r="J36" s="39"/>
      <c r="K36" s="39"/>
      <c r="L36" s="39"/>
    </row>
    <row r="37" spans="1:12">
      <c r="A37" s="39"/>
      <c r="B37" s="39"/>
      <c r="C37" s="39"/>
      <c r="D37" s="39"/>
      <c r="E37" s="39"/>
      <c r="F37" s="39"/>
      <c r="G37" s="39"/>
      <c r="H37" s="39"/>
      <c r="I37" s="39"/>
      <c r="J37" s="39"/>
      <c r="K37" s="39"/>
      <c r="L37" s="39"/>
    </row>
    <row r="38" spans="1:12">
      <c r="A38" s="39"/>
      <c r="B38" s="39"/>
      <c r="C38" s="39"/>
      <c r="D38" s="39"/>
      <c r="E38" s="39"/>
      <c r="F38" s="39"/>
      <c r="G38" s="39"/>
      <c r="H38" s="39"/>
      <c r="I38" s="39"/>
      <c r="J38" s="39"/>
      <c r="K38" s="39"/>
      <c r="L38" s="39"/>
    </row>
    <row r="39" spans="1:12">
      <c r="A39" s="39"/>
      <c r="B39" s="39"/>
      <c r="C39" s="39"/>
      <c r="D39" s="39"/>
      <c r="E39" s="39"/>
      <c r="F39" s="39"/>
      <c r="G39" s="39"/>
      <c r="H39" s="39"/>
      <c r="I39" s="39"/>
      <c r="J39" s="39"/>
      <c r="K39" s="39"/>
      <c r="L39" s="39"/>
    </row>
    <row r="40" spans="1:12">
      <c r="A40" s="39"/>
      <c r="B40" s="39"/>
      <c r="C40" s="39"/>
      <c r="D40" s="39"/>
      <c r="E40" s="39"/>
      <c r="F40" s="39"/>
      <c r="G40" s="39"/>
      <c r="H40" s="39"/>
      <c r="I40" s="39"/>
      <c r="J40" s="39"/>
      <c r="K40" s="39"/>
      <c r="L40" s="39"/>
    </row>
    <row r="41" spans="1:12">
      <c r="A41" s="39"/>
      <c r="B41" s="39"/>
      <c r="C41" s="39"/>
      <c r="D41" s="39"/>
      <c r="E41" s="39"/>
      <c r="F41" s="39"/>
      <c r="G41" s="39"/>
      <c r="H41" s="39"/>
      <c r="I41" s="39"/>
      <c r="J41" s="39"/>
      <c r="K41" s="39"/>
      <c r="L41" s="39"/>
    </row>
    <row r="42" spans="1:12">
      <c r="A42" s="39"/>
      <c r="B42" s="39"/>
      <c r="C42" s="39"/>
      <c r="D42" s="39"/>
      <c r="E42" s="39"/>
      <c r="F42" s="39"/>
      <c r="G42" s="39"/>
      <c r="H42" s="39"/>
      <c r="I42" s="39"/>
      <c r="J42" s="39"/>
      <c r="K42" s="39"/>
      <c r="L42" s="39"/>
    </row>
    <row r="43" spans="1:12">
      <c r="A43" s="39"/>
      <c r="B43" s="39"/>
      <c r="C43" s="39"/>
      <c r="D43" s="39"/>
      <c r="E43" s="39"/>
      <c r="F43" s="39"/>
      <c r="G43" s="39"/>
      <c r="H43" s="39"/>
      <c r="I43" s="39"/>
      <c r="J43" s="39"/>
      <c r="K43" s="39"/>
      <c r="L43" s="39"/>
    </row>
    <row r="44" spans="1:12">
      <c r="A44" s="39"/>
      <c r="B44" s="39"/>
      <c r="C44" s="39"/>
      <c r="D44" s="39"/>
      <c r="E44" s="39"/>
      <c r="F44" s="39"/>
      <c r="G44" s="39"/>
      <c r="H44" s="39"/>
      <c r="I44" s="39"/>
      <c r="J44" s="39"/>
      <c r="K44" s="39"/>
      <c r="L44" s="39"/>
    </row>
    <row r="45" spans="1:12">
      <c r="A45" s="39"/>
      <c r="B45" s="39"/>
      <c r="C45" s="39"/>
      <c r="D45" s="39"/>
      <c r="E45" s="39"/>
      <c r="F45" s="39"/>
      <c r="G45" s="39"/>
      <c r="H45" s="39"/>
      <c r="I45" s="39"/>
      <c r="J45" s="39"/>
      <c r="K45" s="39"/>
      <c r="L45" s="39"/>
    </row>
    <row r="46" spans="1:12">
      <c r="A46" s="39"/>
      <c r="B46" s="39"/>
      <c r="C46" s="39"/>
      <c r="D46" s="39"/>
      <c r="E46" s="39"/>
      <c r="F46" s="39"/>
      <c r="G46" s="39"/>
      <c r="H46" s="39"/>
      <c r="I46" s="39"/>
      <c r="J46" s="39"/>
      <c r="K46" s="39"/>
      <c r="L46" s="39"/>
    </row>
    <row r="47" spans="1:12">
      <c r="A47" s="39"/>
      <c r="B47" s="39"/>
      <c r="C47" s="39"/>
      <c r="D47" s="39"/>
      <c r="E47" s="39"/>
      <c r="F47" s="39"/>
      <c r="G47" s="39"/>
      <c r="H47" s="39"/>
      <c r="I47" s="39"/>
      <c r="J47" s="39"/>
      <c r="K47" s="39"/>
      <c r="L47" s="39"/>
    </row>
    <row r="48" spans="1:12">
      <c r="A48" s="39"/>
      <c r="B48" s="39"/>
      <c r="C48" s="39"/>
      <c r="D48" s="39"/>
      <c r="E48" s="39"/>
      <c r="F48" s="39"/>
      <c r="G48" s="39"/>
      <c r="H48" s="39"/>
      <c r="I48" s="39"/>
      <c r="J48" s="39"/>
      <c r="K48" s="39"/>
      <c r="L48" s="39"/>
    </row>
    <row r="49" spans="1:12">
      <c r="A49" s="39"/>
      <c r="B49" s="39"/>
      <c r="C49" s="39"/>
      <c r="D49" s="39"/>
      <c r="E49" s="39"/>
      <c r="F49" s="39"/>
      <c r="G49" s="39"/>
      <c r="H49" s="39"/>
      <c r="I49" s="39"/>
      <c r="J49" s="39"/>
      <c r="K49" s="39"/>
      <c r="L49" s="39"/>
    </row>
    <row r="50" spans="1:12">
      <c r="A50" s="39"/>
      <c r="B50" s="39"/>
      <c r="C50" s="39"/>
      <c r="D50" s="39"/>
      <c r="E50" s="39"/>
      <c r="F50" s="39"/>
      <c r="G50" s="39"/>
      <c r="H50" s="39"/>
      <c r="I50" s="39"/>
      <c r="J50" s="39"/>
      <c r="K50" s="39"/>
      <c r="L50" s="39"/>
    </row>
    <row r="51" spans="1:12">
      <c r="A51" s="39"/>
      <c r="B51" s="39"/>
      <c r="C51" s="39"/>
      <c r="D51" s="39"/>
      <c r="E51" s="39"/>
      <c r="F51" s="39"/>
      <c r="G51" s="39"/>
      <c r="H51" s="39"/>
      <c r="I51" s="39"/>
      <c r="J51" s="39"/>
      <c r="K51" s="39"/>
      <c r="L51" s="39"/>
    </row>
    <row r="52" spans="1:12">
      <c r="A52" s="39"/>
      <c r="B52" s="39"/>
      <c r="C52" s="39"/>
      <c r="D52" s="39"/>
      <c r="E52" s="39"/>
      <c r="F52" s="39"/>
      <c r="G52" s="39"/>
      <c r="H52" s="39"/>
      <c r="I52" s="39"/>
      <c r="J52" s="39"/>
      <c r="K52" s="39"/>
      <c r="L52" s="39"/>
    </row>
    <row r="53" spans="1:12">
      <c r="A53" s="39"/>
      <c r="B53" s="39"/>
      <c r="C53" s="39"/>
      <c r="D53" s="39"/>
      <c r="E53" s="39"/>
      <c r="F53" s="39"/>
      <c r="G53" s="39"/>
      <c r="H53" s="39"/>
      <c r="I53" s="39"/>
      <c r="J53" s="39"/>
      <c r="K53" s="39"/>
      <c r="L53" s="39"/>
    </row>
  </sheetData>
  <mergeCells count="1">
    <mergeCell ref="A1:L1"/>
  </mergeCells>
  <conditionalFormatting sqref="G4:G5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dataValidations count="2">
    <dataValidation type="list" sqref="G4:G53">
      <formula1>"未开始,进行中,已完成,暂停"</formula1>
    </dataValidation>
    <dataValidation type="list" sqref="K4:K53">
      <formula1>"低,中,高"</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3"/>
  <sheetViews>
    <sheetView showGridLines="0" workbookViewId="0">
      <selection activeCell="A1" sqref="A1:N1"/>
    </sheetView>
  </sheetViews>
  <sheetFormatPr defaultColWidth="9" defaultRowHeight="16.8"/>
  <cols>
    <col min="1" max="1" width="11" style="1" customWidth="1"/>
    <col min="2" max="2" width="10" style="1" customWidth="1"/>
    <col min="3" max="3" width="40" style="1" customWidth="1"/>
    <col min="4" max="4" width="10" style="1" customWidth="1"/>
    <col min="5" max="5" width="22" style="1" customWidth="1"/>
    <col min="6" max="6" width="14" style="1" customWidth="1"/>
    <col min="7" max="7" width="42" style="1" customWidth="1"/>
    <col min="8" max="9" width="13" style="1" customWidth="1"/>
    <col min="10" max="10" width="30" style="1" customWidth="1"/>
    <col min="11" max="13" width="11" style="1" customWidth="1"/>
    <col min="14" max="14" width="28" style="1" customWidth="1"/>
  </cols>
  <sheetData>
    <row r="1" ht="34" customHeight="1" spans="1:14">
      <c r="A1" s="32" t="s">
        <v>1435</v>
      </c>
      <c r="B1" s="3"/>
      <c r="C1" s="3"/>
      <c r="D1" s="3"/>
      <c r="E1" s="3"/>
      <c r="F1" s="3"/>
      <c r="G1" s="3"/>
      <c r="H1" s="3"/>
      <c r="I1" s="3"/>
      <c r="J1" s="3"/>
      <c r="K1" s="3"/>
      <c r="L1" s="3"/>
      <c r="M1" s="3"/>
      <c r="N1" s="4"/>
    </row>
    <row r="3" ht="30" customHeight="1" spans="1:14">
      <c r="A3" s="37" t="s">
        <v>1436</v>
      </c>
      <c r="B3" s="37" t="s">
        <v>606</v>
      </c>
      <c r="C3" s="37" t="s">
        <v>1437</v>
      </c>
      <c r="D3" s="37" t="s">
        <v>566</v>
      </c>
      <c r="E3" s="37" t="s">
        <v>1438</v>
      </c>
      <c r="F3" s="37" t="s">
        <v>707</v>
      </c>
      <c r="G3" s="37" t="s">
        <v>690</v>
      </c>
      <c r="H3" s="37" t="s">
        <v>1439</v>
      </c>
      <c r="I3" s="37" t="s">
        <v>1440</v>
      </c>
      <c r="J3" s="37" t="s">
        <v>1441</v>
      </c>
      <c r="K3" s="37" t="s">
        <v>21</v>
      </c>
      <c r="L3" s="37" t="s">
        <v>1442</v>
      </c>
      <c r="M3" s="37" t="s">
        <v>700</v>
      </c>
      <c r="N3" s="37" t="s">
        <v>1443</v>
      </c>
    </row>
    <row r="4" ht="17" customHeight="1" spans="1:14">
      <c r="A4" s="34" t="s">
        <v>1444</v>
      </c>
      <c r="B4" s="34" t="s">
        <v>1445</v>
      </c>
      <c r="C4" s="34" t="s">
        <v>1446</v>
      </c>
      <c r="D4" s="34" t="s">
        <v>585</v>
      </c>
      <c r="E4" s="34" t="s">
        <v>1447</v>
      </c>
      <c r="F4" s="34" t="s">
        <v>741</v>
      </c>
      <c r="G4" s="34" t="s">
        <v>1448</v>
      </c>
      <c r="H4" s="38">
        <v>46310</v>
      </c>
      <c r="I4" s="38"/>
      <c r="J4" s="34" t="s">
        <v>1449</v>
      </c>
      <c r="K4" s="34" t="s">
        <v>1450</v>
      </c>
      <c r="L4" s="34">
        <f>IF(H4="","",H4-项目驾驶舱!$B$3)</f>
        <v>34</v>
      </c>
      <c r="M4" s="34" t="str">
        <f>IF(OR(K4="已关闭",H4=""),"否",IF(H4&lt;项目驾驶舱!$B$3,"是","否"))</f>
        <v>否</v>
      </c>
      <c r="N4" s="34" t="s">
        <v>1451</v>
      </c>
    </row>
    <row r="5" ht="34" customHeight="1" spans="1:14">
      <c r="A5" s="34" t="s">
        <v>1452</v>
      </c>
      <c r="B5" s="34" t="s">
        <v>1445</v>
      </c>
      <c r="C5" s="34" t="s">
        <v>1453</v>
      </c>
      <c r="D5" s="34" t="s">
        <v>585</v>
      </c>
      <c r="E5" s="34" t="s">
        <v>1454</v>
      </c>
      <c r="F5" s="34" t="s">
        <v>508</v>
      </c>
      <c r="G5" s="34" t="s">
        <v>1455</v>
      </c>
      <c r="H5" s="38">
        <v>46283</v>
      </c>
      <c r="I5" s="38"/>
      <c r="J5" s="34" t="s">
        <v>1456</v>
      </c>
      <c r="K5" s="34" t="s">
        <v>1457</v>
      </c>
      <c r="L5" s="34">
        <f>IF(H5="","",H5-项目驾驶舱!$B$3)</f>
        <v>7</v>
      </c>
      <c r="M5" s="34" t="str">
        <f>IF(OR(K5="已关闭",H5=""),"否",IF(H5&lt;项目驾驶舱!$B$3,"是","否"))</f>
        <v>否</v>
      </c>
      <c r="N5" s="34" t="s">
        <v>1451</v>
      </c>
    </row>
    <row r="6" ht="17" customHeight="1" spans="1:14">
      <c r="A6" s="34" t="s">
        <v>1458</v>
      </c>
      <c r="B6" s="34" t="s">
        <v>1445</v>
      </c>
      <c r="C6" s="34" t="s">
        <v>1459</v>
      </c>
      <c r="D6" s="34" t="s">
        <v>580</v>
      </c>
      <c r="E6" s="34" t="s">
        <v>1418</v>
      </c>
      <c r="F6" s="34" t="s">
        <v>1460</v>
      </c>
      <c r="G6" s="34" t="s">
        <v>1461</v>
      </c>
      <c r="H6" s="38">
        <v>46290</v>
      </c>
      <c r="I6" s="38"/>
      <c r="J6" s="34" t="s">
        <v>1462</v>
      </c>
      <c r="K6" s="34" t="s">
        <v>1450</v>
      </c>
      <c r="L6" s="34">
        <f>IF(H6="","",H6-项目驾驶舱!$B$3)</f>
        <v>14</v>
      </c>
      <c r="M6" s="34" t="str">
        <f>IF(OR(K6="已关闭",H6=""),"否",IF(H6&lt;项目驾驶舱!$B$3,"是","否"))</f>
        <v>否</v>
      </c>
      <c r="N6" s="34" t="s">
        <v>1451</v>
      </c>
    </row>
    <row r="7" ht="17" customHeight="1" spans="1:14">
      <c r="A7" s="34" t="s">
        <v>1463</v>
      </c>
      <c r="B7" s="34" t="s">
        <v>1445</v>
      </c>
      <c r="C7" s="34" t="s">
        <v>1464</v>
      </c>
      <c r="D7" s="34" t="s">
        <v>585</v>
      </c>
      <c r="E7" s="34" t="s">
        <v>1465</v>
      </c>
      <c r="F7" s="34" t="s">
        <v>741</v>
      </c>
      <c r="G7" s="34" t="s">
        <v>1466</v>
      </c>
      <c r="H7" s="38">
        <v>46280</v>
      </c>
      <c r="I7" s="38"/>
      <c r="J7" s="34" t="s">
        <v>1467</v>
      </c>
      <c r="K7" s="34" t="s">
        <v>1457</v>
      </c>
      <c r="L7" s="34">
        <f>IF(H7="","",H7-项目驾驶舱!$B$3)</f>
        <v>4</v>
      </c>
      <c r="M7" s="34" t="str">
        <f>IF(OR(K7="已关闭",H7=""),"否",IF(H7&lt;项目驾驶舱!$B$3,"是","否"))</f>
        <v>否</v>
      </c>
      <c r="N7" s="34" t="s">
        <v>1451</v>
      </c>
    </row>
    <row r="8" ht="34" customHeight="1" spans="1:14">
      <c r="A8" s="34" t="s">
        <v>1468</v>
      </c>
      <c r="B8" s="34" t="s">
        <v>1445</v>
      </c>
      <c r="C8" s="34" t="s">
        <v>1469</v>
      </c>
      <c r="D8" s="34" t="s">
        <v>585</v>
      </c>
      <c r="E8" s="34" t="s">
        <v>1470</v>
      </c>
      <c r="F8" s="34" t="s">
        <v>508</v>
      </c>
      <c r="G8" s="34" t="s">
        <v>1471</v>
      </c>
      <c r="H8" s="38">
        <v>46326</v>
      </c>
      <c r="I8" s="38"/>
      <c r="J8" s="34" t="s">
        <v>1472</v>
      </c>
      <c r="K8" s="34" t="s">
        <v>1450</v>
      </c>
      <c r="L8" s="34">
        <f>IF(H8="","",H8-项目驾驶舱!$B$3)</f>
        <v>50</v>
      </c>
      <c r="M8" s="34" t="str">
        <f>IF(OR(K8="已关闭",H8=""),"否",IF(H8&lt;项目驾驶舱!$B$3,"是","否"))</f>
        <v>否</v>
      </c>
      <c r="N8" s="34" t="s">
        <v>1451</v>
      </c>
    </row>
    <row r="9" ht="34" customHeight="1" spans="1:14">
      <c r="A9" s="34" t="s">
        <v>1473</v>
      </c>
      <c r="B9" s="34" t="s">
        <v>1445</v>
      </c>
      <c r="C9" s="34" t="s">
        <v>1474</v>
      </c>
      <c r="D9" s="34" t="s">
        <v>585</v>
      </c>
      <c r="E9" s="34" t="s">
        <v>26</v>
      </c>
      <c r="F9" s="34" t="s">
        <v>1475</v>
      </c>
      <c r="G9" s="34" t="s">
        <v>1476</v>
      </c>
      <c r="H9" s="38">
        <v>46276</v>
      </c>
      <c r="I9" s="38"/>
      <c r="J9" s="34" t="s">
        <v>1477</v>
      </c>
      <c r="K9" s="34" t="s">
        <v>1457</v>
      </c>
      <c r="L9" s="34">
        <f>IF(H9="","",H9-项目驾驶舱!$B$3)</f>
        <v>0</v>
      </c>
      <c r="M9" s="34" t="str">
        <f>IF(OR(K9="已关闭",H9=""),"否",IF(H9&lt;项目驾驶舱!$B$3,"是","否"))</f>
        <v>否</v>
      </c>
      <c r="N9" s="34" t="s">
        <v>1478</v>
      </c>
    </row>
    <row r="10" ht="17" customHeight="1" spans="1:14">
      <c r="A10" s="34"/>
      <c r="B10" s="34"/>
      <c r="C10" s="34"/>
      <c r="D10" s="34"/>
      <c r="E10" s="34"/>
      <c r="F10" s="34"/>
      <c r="G10" s="34"/>
      <c r="H10" s="38"/>
      <c r="I10" s="38"/>
      <c r="J10" s="34"/>
      <c r="K10" s="34"/>
      <c r="L10" s="34" t="str">
        <f>IF(H10="","",H10-项目驾驶舱!$B$3)</f>
        <v/>
      </c>
      <c r="M10" s="34" t="str">
        <f>IF(OR(K10="已关闭",H10=""),"否",IF(H10&lt;项目驾驶舱!$B$3,"是","否"))</f>
        <v>否</v>
      </c>
      <c r="N10" s="34"/>
    </row>
    <row r="11" ht="17" customHeight="1" spans="1:14">
      <c r="A11" s="34"/>
      <c r="B11" s="34"/>
      <c r="C11" s="34"/>
      <c r="D11" s="34"/>
      <c r="E11" s="34"/>
      <c r="F11" s="34"/>
      <c r="G11" s="34"/>
      <c r="H11" s="38"/>
      <c r="I11" s="38"/>
      <c r="J11" s="34"/>
      <c r="K11" s="34"/>
      <c r="L11" s="34" t="str">
        <f>IF(H11="","",H11-项目驾驶舱!$B$3)</f>
        <v/>
      </c>
      <c r="M11" s="34" t="str">
        <f>IF(OR(K11="已关闭",H11=""),"否",IF(H11&lt;项目驾驶舱!$B$3,"是","否"))</f>
        <v>否</v>
      </c>
      <c r="N11" s="34"/>
    </row>
    <row r="12" ht="17" customHeight="1" spans="1:14">
      <c r="A12" s="34"/>
      <c r="B12" s="34"/>
      <c r="C12" s="34"/>
      <c r="D12" s="34"/>
      <c r="E12" s="34"/>
      <c r="F12" s="34"/>
      <c r="G12" s="34"/>
      <c r="H12" s="38"/>
      <c r="I12" s="38"/>
      <c r="J12" s="34"/>
      <c r="K12" s="34"/>
      <c r="L12" s="34" t="str">
        <f>IF(H12="","",H12-项目驾驶舱!$B$3)</f>
        <v/>
      </c>
      <c r="M12" s="34" t="str">
        <f>IF(OR(K12="已关闭",H12=""),"否",IF(H12&lt;项目驾驶舱!$B$3,"是","否"))</f>
        <v>否</v>
      </c>
      <c r="N12" s="34"/>
    </row>
    <row r="13" ht="17" customHeight="1" spans="1:14">
      <c r="A13" s="34"/>
      <c r="B13" s="34"/>
      <c r="C13" s="34"/>
      <c r="D13" s="34"/>
      <c r="E13" s="34"/>
      <c r="F13" s="34"/>
      <c r="G13" s="34"/>
      <c r="H13" s="38"/>
      <c r="I13" s="38"/>
      <c r="J13" s="34"/>
      <c r="K13" s="34"/>
      <c r="L13" s="34" t="str">
        <f>IF(H13="","",H13-项目驾驶舱!$B$3)</f>
        <v/>
      </c>
      <c r="M13" s="34" t="str">
        <f>IF(OR(K13="已关闭",H13=""),"否",IF(H13&lt;项目驾驶舱!$B$3,"是","否"))</f>
        <v>否</v>
      </c>
      <c r="N13" s="34"/>
    </row>
    <row r="14" ht="17" customHeight="1" spans="1:14">
      <c r="A14" s="34"/>
      <c r="B14" s="34"/>
      <c r="C14" s="34"/>
      <c r="D14" s="34"/>
      <c r="E14" s="34"/>
      <c r="F14" s="34"/>
      <c r="G14" s="34"/>
      <c r="H14" s="38"/>
      <c r="I14" s="38"/>
      <c r="J14" s="34"/>
      <c r="K14" s="34"/>
      <c r="L14" s="34" t="str">
        <f>IF(H14="","",H14-项目驾驶舱!$B$3)</f>
        <v/>
      </c>
      <c r="M14" s="34" t="str">
        <f>IF(OR(K14="已关闭",H14=""),"否",IF(H14&lt;项目驾驶舱!$B$3,"是","否"))</f>
        <v>否</v>
      </c>
      <c r="N14" s="34"/>
    </row>
    <row r="15" ht="17" customHeight="1" spans="1:14">
      <c r="A15" s="34"/>
      <c r="B15" s="34"/>
      <c r="C15" s="34"/>
      <c r="D15" s="34"/>
      <c r="E15" s="34"/>
      <c r="F15" s="34"/>
      <c r="G15" s="34"/>
      <c r="H15" s="38"/>
      <c r="I15" s="38"/>
      <c r="J15" s="34"/>
      <c r="K15" s="34"/>
      <c r="L15" s="34" t="str">
        <f>IF(H15="","",H15-项目驾驶舱!$B$3)</f>
        <v/>
      </c>
      <c r="M15" s="34" t="str">
        <f>IF(OR(K15="已关闭",H15=""),"否",IF(H15&lt;项目驾驶舱!$B$3,"是","否"))</f>
        <v>否</v>
      </c>
      <c r="N15" s="34"/>
    </row>
    <row r="16" ht="17" customHeight="1" spans="1:14">
      <c r="A16" s="34"/>
      <c r="B16" s="34"/>
      <c r="C16" s="34"/>
      <c r="D16" s="34"/>
      <c r="E16" s="34"/>
      <c r="F16" s="34"/>
      <c r="G16" s="34"/>
      <c r="H16" s="38"/>
      <c r="I16" s="38"/>
      <c r="J16" s="34"/>
      <c r="K16" s="34"/>
      <c r="L16" s="34" t="str">
        <f>IF(H16="","",H16-项目驾驶舱!$B$3)</f>
        <v/>
      </c>
      <c r="M16" s="34" t="str">
        <f>IF(OR(K16="已关闭",H16=""),"否",IF(H16&lt;项目驾驶舱!$B$3,"是","否"))</f>
        <v>否</v>
      </c>
      <c r="N16" s="34"/>
    </row>
    <row r="17" ht="17" customHeight="1" spans="1:14">
      <c r="A17" s="34"/>
      <c r="B17" s="34"/>
      <c r="C17" s="34"/>
      <c r="D17" s="34"/>
      <c r="E17" s="34"/>
      <c r="F17" s="34"/>
      <c r="G17" s="34"/>
      <c r="H17" s="38"/>
      <c r="I17" s="38"/>
      <c r="J17" s="34"/>
      <c r="K17" s="34"/>
      <c r="L17" s="34" t="str">
        <f>IF(H17="","",H17-项目驾驶舱!$B$3)</f>
        <v/>
      </c>
      <c r="M17" s="34" t="str">
        <f>IF(OR(K17="已关闭",H17=""),"否",IF(H17&lt;项目驾驶舱!$B$3,"是","否"))</f>
        <v>否</v>
      </c>
      <c r="N17" s="34"/>
    </row>
    <row r="18" ht="17" customHeight="1" spans="1:14">
      <c r="A18" s="34"/>
      <c r="B18" s="34"/>
      <c r="C18" s="34"/>
      <c r="D18" s="34"/>
      <c r="E18" s="34"/>
      <c r="F18" s="34"/>
      <c r="G18" s="34"/>
      <c r="H18" s="38"/>
      <c r="I18" s="38"/>
      <c r="J18" s="34"/>
      <c r="K18" s="34"/>
      <c r="L18" s="34" t="str">
        <f>IF(H18="","",H18-项目驾驶舱!$B$3)</f>
        <v/>
      </c>
      <c r="M18" s="34" t="str">
        <f>IF(OR(K18="已关闭",H18=""),"否",IF(H18&lt;项目驾驶舱!$B$3,"是","否"))</f>
        <v>否</v>
      </c>
      <c r="N18" s="34"/>
    </row>
    <row r="19" ht="17" customHeight="1" spans="1:14">
      <c r="A19" s="34"/>
      <c r="B19" s="34"/>
      <c r="C19" s="34"/>
      <c r="D19" s="34"/>
      <c r="E19" s="34"/>
      <c r="F19" s="34"/>
      <c r="G19" s="34"/>
      <c r="H19" s="38"/>
      <c r="I19" s="38"/>
      <c r="J19" s="34"/>
      <c r="K19" s="34"/>
      <c r="L19" s="34" t="str">
        <f>IF(H19="","",H19-项目驾驶舱!$B$3)</f>
        <v/>
      </c>
      <c r="M19" s="34" t="str">
        <f>IF(OR(K19="已关闭",H19=""),"否",IF(H19&lt;项目驾驶舱!$B$3,"是","否"))</f>
        <v>否</v>
      </c>
      <c r="N19" s="34"/>
    </row>
    <row r="20" ht="17" customHeight="1" spans="1:14">
      <c r="A20" s="34"/>
      <c r="B20" s="34"/>
      <c r="C20" s="34"/>
      <c r="D20" s="34"/>
      <c r="E20" s="34"/>
      <c r="F20" s="34"/>
      <c r="G20" s="34"/>
      <c r="H20" s="38"/>
      <c r="I20" s="38"/>
      <c r="J20" s="34"/>
      <c r="K20" s="34"/>
      <c r="L20" s="34" t="str">
        <f>IF(H20="","",H20-项目驾驶舱!$B$3)</f>
        <v/>
      </c>
      <c r="M20" s="34" t="str">
        <f>IF(OR(K20="已关闭",H20=""),"否",IF(H20&lt;项目驾驶舱!$B$3,"是","否"))</f>
        <v>否</v>
      </c>
      <c r="N20" s="34"/>
    </row>
    <row r="21" ht="17" customHeight="1" spans="1:14">
      <c r="A21" s="34"/>
      <c r="B21" s="34"/>
      <c r="C21" s="34"/>
      <c r="D21" s="34"/>
      <c r="E21" s="34"/>
      <c r="F21" s="34"/>
      <c r="G21" s="34"/>
      <c r="H21" s="38"/>
      <c r="I21" s="38"/>
      <c r="J21" s="34"/>
      <c r="K21" s="34"/>
      <c r="L21" s="34" t="str">
        <f>IF(H21="","",H21-项目驾驶舱!$B$3)</f>
        <v/>
      </c>
      <c r="M21" s="34" t="str">
        <f>IF(OR(K21="已关闭",H21=""),"否",IF(H21&lt;项目驾驶舱!$B$3,"是","否"))</f>
        <v>否</v>
      </c>
      <c r="N21" s="34"/>
    </row>
    <row r="22" ht="17" customHeight="1" spans="1:14">
      <c r="A22" s="34"/>
      <c r="B22" s="34"/>
      <c r="C22" s="34"/>
      <c r="D22" s="34"/>
      <c r="E22" s="34"/>
      <c r="F22" s="34"/>
      <c r="G22" s="34"/>
      <c r="H22" s="38"/>
      <c r="I22" s="38"/>
      <c r="J22" s="34"/>
      <c r="K22" s="34"/>
      <c r="L22" s="34" t="str">
        <f>IF(H22="","",H22-项目驾驶舱!$B$3)</f>
        <v/>
      </c>
      <c r="M22" s="34" t="str">
        <f>IF(OR(K22="已关闭",H22=""),"否",IF(H22&lt;项目驾驶舱!$B$3,"是","否"))</f>
        <v>否</v>
      </c>
      <c r="N22" s="34"/>
    </row>
    <row r="23" ht="17" customHeight="1" spans="1:14">
      <c r="A23" s="34"/>
      <c r="B23" s="34"/>
      <c r="C23" s="34"/>
      <c r="D23" s="34"/>
      <c r="E23" s="34"/>
      <c r="F23" s="34"/>
      <c r="G23" s="34"/>
      <c r="H23" s="38"/>
      <c r="I23" s="38"/>
      <c r="J23" s="34"/>
      <c r="K23" s="34"/>
      <c r="L23" s="34" t="str">
        <f>IF(H23="","",H23-项目驾驶舱!$B$3)</f>
        <v/>
      </c>
      <c r="M23" s="34" t="str">
        <f>IF(OR(K23="已关闭",H23=""),"否",IF(H23&lt;项目驾驶舱!$B$3,"是","否"))</f>
        <v>否</v>
      </c>
      <c r="N23" s="34"/>
    </row>
    <row r="24" ht="17" customHeight="1" spans="1:14">
      <c r="A24" s="34"/>
      <c r="B24" s="34"/>
      <c r="C24" s="34"/>
      <c r="D24" s="34"/>
      <c r="E24" s="34"/>
      <c r="F24" s="34"/>
      <c r="G24" s="34"/>
      <c r="H24" s="38"/>
      <c r="I24" s="38"/>
      <c r="J24" s="34"/>
      <c r="K24" s="34"/>
      <c r="L24" s="34" t="str">
        <f>IF(H24="","",H24-项目驾驶舱!$B$3)</f>
        <v/>
      </c>
      <c r="M24" s="34" t="str">
        <f>IF(OR(K24="已关闭",H24=""),"否",IF(H24&lt;项目驾驶舱!$B$3,"是","否"))</f>
        <v>否</v>
      </c>
      <c r="N24" s="34"/>
    </row>
    <row r="25" ht="17" customHeight="1" spans="1:14">
      <c r="A25" s="34"/>
      <c r="B25" s="34"/>
      <c r="C25" s="34"/>
      <c r="D25" s="34"/>
      <c r="E25" s="34"/>
      <c r="F25" s="34"/>
      <c r="G25" s="34"/>
      <c r="H25" s="38"/>
      <c r="I25" s="38"/>
      <c r="J25" s="34"/>
      <c r="K25" s="34"/>
      <c r="L25" s="34" t="str">
        <f>IF(H25="","",H25-项目驾驶舱!$B$3)</f>
        <v/>
      </c>
      <c r="M25" s="34" t="str">
        <f>IF(OR(K25="已关闭",H25=""),"否",IF(H25&lt;项目驾驶舱!$B$3,"是","否"))</f>
        <v>否</v>
      </c>
      <c r="N25" s="34"/>
    </row>
    <row r="26" ht="17" customHeight="1" spans="1:14">
      <c r="A26" s="34"/>
      <c r="B26" s="34"/>
      <c r="C26" s="34"/>
      <c r="D26" s="34"/>
      <c r="E26" s="34"/>
      <c r="F26" s="34"/>
      <c r="G26" s="34"/>
      <c r="H26" s="38"/>
      <c r="I26" s="38"/>
      <c r="J26" s="34"/>
      <c r="K26" s="34"/>
      <c r="L26" s="34" t="str">
        <f>IF(H26="","",H26-项目驾驶舱!$B$3)</f>
        <v/>
      </c>
      <c r="M26" s="34" t="str">
        <f>IF(OR(K26="已关闭",H26=""),"否",IF(H26&lt;项目驾驶舱!$B$3,"是","否"))</f>
        <v>否</v>
      </c>
      <c r="N26" s="34"/>
    </row>
    <row r="27" ht="17" customHeight="1" spans="1:14">
      <c r="A27" s="34"/>
      <c r="B27" s="34"/>
      <c r="C27" s="34"/>
      <c r="D27" s="34"/>
      <c r="E27" s="34"/>
      <c r="F27" s="34"/>
      <c r="G27" s="34"/>
      <c r="H27" s="38"/>
      <c r="I27" s="38"/>
      <c r="J27" s="34"/>
      <c r="K27" s="34"/>
      <c r="L27" s="34" t="str">
        <f>IF(H27="","",H27-项目驾驶舱!$B$3)</f>
        <v/>
      </c>
      <c r="M27" s="34" t="str">
        <f>IF(OR(K27="已关闭",H27=""),"否",IF(H27&lt;项目驾驶舱!$B$3,"是","否"))</f>
        <v>否</v>
      </c>
      <c r="N27" s="34"/>
    </row>
    <row r="28" ht="17" customHeight="1" spans="1:14">
      <c r="A28" s="34"/>
      <c r="B28" s="34"/>
      <c r="C28" s="34"/>
      <c r="D28" s="34"/>
      <c r="E28" s="34"/>
      <c r="F28" s="34"/>
      <c r="G28" s="34"/>
      <c r="H28" s="38"/>
      <c r="I28" s="38"/>
      <c r="J28" s="34"/>
      <c r="K28" s="34"/>
      <c r="L28" s="34" t="str">
        <f>IF(H28="","",H28-项目驾驶舱!$B$3)</f>
        <v/>
      </c>
      <c r="M28" s="34" t="str">
        <f>IF(OR(K28="已关闭",H28=""),"否",IF(H28&lt;项目驾驶舱!$B$3,"是","否"))</f>
        <v>否</v>
      </c>
      <c r="N28" s="34"/>
    </row>
    <row r="29" ht="17" customHeight="1" spans="1:14">
      <c r="A29" s="34"/>
      <c r="B29" s="34"/>
      <c r="C29" s="34"/>
      <c r="D29" s="34"/>
      <c r="E29" s="34"/>
      <c r="F29" s="34"/>
      <c r="G29" s="34"/>
      <c r="H29" s="38"/>
      <c r="I29" s="38"/>
      <c r="J29" s="34"/>
      <c r="K29" s="34"/>
      <c r="L29" s="34" t="str">
        <f>IF(H29="","",H29-项目驾驶舱!$B$3)</f>
        <v/>
      </c>
      <c r="M29" s="34" t="str">
        <f>IF(OR(K29="已关闭",H29=""),"否",IF(H29&lt;项目驾驶舱!$B$3,"是","否"))</f>
        <v>否</v>
      </c>
      <c r="N29" s="34"/>
    </row>
    <row r="30" ht="17" customHeight="1" spans="1:14">
      <c r="A30" s="34"/>
      <c r="B30" s="34"/>
      <c r="C30" s="34"/>
      <c r="D30" s="34"/>
      <c r="E30" s="34"/>
      <c r="F30" s="34"/>
      <c r="G30" s="34"/>
      <c r="H30" s="38"/>
      <c r="I30" s="38"/>
      <c r="J30" s="34"/>
      <c r="K30" s="34"/>
      <c r="L30" s="34" t="str">
        <f>IF(H30="","",H30-项目驾驶舱!$B$3)</f>
        <v/>
      </c>
      <c r="M30" s="34" t="str">
        <f>IF(OR(K30="已关闭",H30=""),"否",IF(H30&lt;项目驾驶舱!$B$3,"是","否"))</f>
        <v>否</v>
      </c>
      <c r="N30" s="34"/>
    </row>
    <row r="31" ht="17" customHeight="1" spans="1:14">
      <c r="A31" s="34"/>
      <c r="B31" s="34"/>
      <c r="C31" s="34"/>
      <c r="D31" s="34"/>
      <c r="E31" s="34"/>
      <c r="F31" s="34"/>
      <c r="G31" s="34"/>
      <c r="H31" s="38"/>
      <c r="I31" s="38"/>
      <c r="J31" s="34"/>
      <c r="K31" s="34"/>
      <c r="L31" s="34" t="str">
        <f>IF(H31="","",H31-项目驾驶舱!$B$3)</f>
        <v/>
      </c>
      <c r="M31" s="34" t="str">
        <f>IF(OR(K31="已关闭",H31=""),"否",IF(H31&lt;项目驾驶舱!$B$3,"是","否"))</f>
        <v>否</v>
      </c>
      <c r="N31" s="34"/>
    </row>
    <row r="32" ht="17" customHeight="1" spans="1:14">
      <c r="A32" s="34"/>
      <c r="B32" s="34"/>
      <c r="C32" s="34"/>
      <c r="D32" s="34"/>
      <c r="E32" s="34"/>
      <c r="F32" s="34"/>
      <c r="G32" s="34"/>
      <c r="H32" s="38"/>
      <c r="I32" s="38"/>
      <c r="J32" s="34"/>
      <c r="K32" s="34"/>
      <c r="L32" s="34" t="str">
        <f>IF(H32="","",H32-项目驾驶舱!$B$3)</f>
        <v/>
      </c>
      <c r="M32" s="34" t="str">
        <f>IF(OR(K32="已关闭",H32=""),"否",IF(H32&lt;项目驾驶舱!$B$3,"是","否"))</f>
        <v>否</v>
      </c>
      <c r="N32" s="34"/>
    </row>
    <row r="33" ht="17" customHeight="1" spans="1:14">
      <c r="A33" s="34"/>
      <c r="B33" s="34"/>
      <c r="C33" s="34"/>
      <c r="D33" s="34"/>
      <c r="E33" s="34"/>
      <c r="F33" s="34"/>
      <c r="G33" s="34"/>
      <c r="H33" s="38"/>
      <c r="I33" s="38"/>
      <c r="J33" s="34"/>
      <c r="K33" s="34"/>
      <c r="L33" s="34" t="str">
        <f>IF(H33="","",H33-项目驾驶舱!$B$3)</f>
        <v/>
      </c>
      <c r="M33" s="34" t="str">
        <f>IF(OR(K33="已关闭",H33=""),"否",IF(H33&lt;项目驾驶舱!$B$3,"是","否"))</f>
        <v>否</v>
      </c>
      <c r="N33" s="34"/>
    </row>
    <row r="34" ht="17" customHeight="1" spans="1:14">
      <c r="A34" s="34"/>
      <c r="B34" s="34"/>
      <c r="C34" s="34"/>
      <c r="D34" s="34"/>
      <c r="E34" s="34"/>
      <c r="F34" s="34"/>
      <c r="G34" s="34"/>
      <c r="H34" s="38"/>
      <c r="I34" s="38"/>
      <c r="J34" s="34"/>
      <c r="K34" s="34"/>
      <c r="L34" s="34" t="str">
        <f>IF(H34="","",H34-项目驾驶舱!$B$3)</f>
        <v/>
      </c>
      <c r="M34" s="34" t="str">
        <f>IF(OR(K34="已关闭",H34=""),"否",IF(H34&lt;项目驾驶舱!$B$3,"是","否"))</f>
        <v>否</v>
      </c>
      <c r="N34" s="34"/>
    </row>
    <row r="35" ht="17" customHeight="1" spans="1:14">
      <c r="A35" s="34"/>
      <c r="B35" s="34"/>
      <c r="C35" s="34"/>
      <c r="D35" s="34"/>
      <c r="E35" s="34"/>
      <c r="F35" s="34"/>
      <c r="G35" s="34"/>
      <c r="H35" s="38"/>
      <c r="I35" s="38"/>
      <c r="J35" s="34"/>
      <c r="K35" s="34"/>
      <c r="L35" s="34" t="str">
        <f>IF(H35="","",H35-项目驾驶舱!$B$3)</f>
        <v/>
      </c>
      <c r="M35" s="34" t="str">
        <f>IF(OR(K35="已关闭",H35=""),"否",IF(H35&lt;项目驾驶舱!$B$3,"是","否"))</f>
        <v>否</v>
      </c>
      <c r="N35" s="34"/>
    </row>
    <row r="36" ht="17" customHeight="1" spans="1:14">
      <c r="A36" s="34"/>
      <c r="B36" s="34"/>
      <c r="C36" s="34"/>
      <c r="D36" s="34"/>
      <c r="E36" s="34"/>
      <c r="F36" s="34"/>
      <c r="G36" s="34"/>
      <c r="H36" s="38"/>
      <c r="I36" s="38"/>
      <c r="J36" s="34"/>
      <c r="K36" s="34"/>
      <c r="L36" s="34" t="str">
        <f>IF(H36="","",H36-项目驾驶舱!$B$3)</f>
        <v/>
      </c>
      <c r="M36" s="34" t="str">
        <f>IF(OR(K36="已关闭",H36=""),"否",IF(H36&lt;项目驾驶舱!$B$3,"是","否"))</f>
        <v>否</v>
      </c>
      <c r="N36" s="34"/>
    </row>
    <row r="37" ht="17" customHeight="1" spans="1:14">
      <c r="A37" s="34"/>
      <c r="B37" s="34"/>
      <c r="C37" s="34"/>
      <c r="D37" s="34"/>
      <c r="E37" s="34"/>
      <c r="F37" s="34"/>
      <c r="G37" s="34"/>
      <c r="H37" s="38"/>
      <c r="I37" s="38"/>
      <c r="J37" s="34"/>
      <c r="K37" s="34"/>
      <c r="L37" s="34" t="str">
        <f>IF(H37="","",H37-项目驾驶舱!$B$3)</f>
        <v/>
      </c>
      <c r="M37" s="34" t="str">
        <f>IF(OR(K37="已关闭",H37=""),"否",IF(H37&lt;项目驾驶舱!$B$3,"是","否"))</f>
        <v>否</v>
      </c>
      <c r="N37" s="34"/>
    </row>
    <row r="38" ht="17" customHeight="1" spans="1:14">
      <c r="A38" s="34"/>
      <c r="B38" s="34"/>
      <c r="C38" s="34"/>
      <c r="D38" s="34"/>
      <c r="E38" s="34"/>
      <c r="F38" s="34"/>
      <c r="G38" s="34"/>
      <c r="H38" s="38"/>
      <c r="I38" s="38"/>
      <c r="J38" s="34"/>
      <c r="K38" s="34"/>
      <c r="L38" s="34" t="str">
        <f>IF(H38="","",H38-项目驾驶舱!$B$3)</f>
        <v/>
      </c>
      <c r="M38" s="34" t="str">
        <f>IF(OR(K38="已关闭",H38=""),"否",IF(H38&lt;项目驾驶舱!$B$3,"是","否"))</f>
        <v>否</v>
      </c>
      <c r="N38" s="34"/>
    </row>
    <row r="39" ht="17" customHeight="1" spans="1:14">
      <c r="A39" s="34"/>
      <c r="B39" s="34"/>
      <c r="C39" s="34"/>
      <c r="D39" s="34"/>
      <c r="E39" s="34"/>
      <c r="F39" s="34"/>
      <c r="G39" s="34"/>
      <c r="H39" s="38"/>
      <c r="I39" s="38"/>
      <c r="J39" s="34"/>
      <c r="K39" s="34"/>
      <c r="L39" s="34" t="str">
        <f>IF(H39="","",H39-项目驾驶舱!$B$3)</f>
        <v/>
      </c>
      <c r="M39" s="34" t="str">
        <f>IF(OR(K39="已关闭",H39=""),"否",IF(H39&lt;项目驾驶舱!$B$3,"是","否"))</f>
        <v>否</v>
      </c>
      <c r="N39" s="34"/>
    </row>
    <row r="40" ht="17" customHeight="1" spans="1:14">
      <c r="A40" s="34"/>
      <c r="B40" s="34"/>
      <c r="C40" s="34"/>
      <c r="D40" s="34"/>
      <c r="E40" s="34"/>
      <c r="F40" s="34"/>
      <c r="G40" s="34"/>
      <c r="H40" s="38"/>
      <c r="I40" s="38"/>
      <c r="J40" s="34"/>
      <c r="K40" s="34"/>
      <c r="L40" s="34" t="str">
        <f>IF(H40="","",H40-项目驾驶舱!$B$3)</f>
        <v/>
      </c>
      <c r="M40" s="34" t="str">
        <f>IF(OR(K40="已关闭",H40=""),"否",IF(H40&lt;项目驾驶舱!$B$3,"是","否"))</f>
        <v>否</v>
      </c>
      <c r="N40" s="34"/>
    </row>
    <row r="41" ht="17" customHeight="1" spans="1:14">
      <c r="A41" s="34"/>
      <c r="B41" s="34"/>
      <c r="C41" s="34"/>
      <c r="D41" s="34"/>
      <c r="E41" s="34"/>
      <c r="F41" s="34"/>
      <c r="G41" s="34"/>
      <c r="H41" s="38"/>
      <c r="I41" s="38"/>
      <c r="J41" s="34"/>
      <c r="K41" s="34"/>
      <c r="L41" s="34" t="str">
        <f>IF(H41="","",H41-项目驾驶舱!$B$3)</f>
        <v/>
      </c>
      <c r="M41" s="34" t="str">
        <f>IF(OR(K41="已关闭",H41=""),"否",IF(H41&lt;项目驾驶舱!$B$3,"是","否"))</f>
        <v>否</v>
      </c>
      <c r="N41" s="34"/>
    </row>
    <row r="42" ht="17" customHeight="1" spans="1:14">
      <c r="A42" s="34"/>
      <c r="B42" s="34"/>
      <c r="C42" s="34"/>
      <c r="D42" s="34"/>
      <c r="E42" s="34"/>
      <c r="F42" s="34"/>
      <c r="G42" s="34"/>
      <c r="H42" s="38"/>
      <c r="I42" s="38"/>
      <c r="J42" s="34"/>
      <c r="K42" s="34"/>
      <c r="L42" s="34" t="str">
        <f>IF(H42="","",H42-项目驾驶舱!$B$3)</f>
        <v/>
      </c>
      <c r="M42" s="34" t="str">
        <f>IF(OR(K42="已关闭",H42=""),"否",IF(H42&lt;项目驾驶舱!$B$3,"是","否"))</f>
        <v>否</v>
      </c>
      <c r="N42" s="34"/>
    </row>
    <row r="43" ht="17" customHeight="1" spans="1:14">
      <c r="A43" s="34"/>
      <c r="B43" s="34"/>
      <c r="C43" s="34"/>
      <c r="D43" s="34"/>
      <c r="E43" s="34"/>
      <c r="F43" s="34"/>
      <c r="G43" s="34"/>
      <c r="H43" s="38"/>
      <c r="I43" s="38"/>
      <c r="J43" s="34"/>
      <c r="K43" s="34"/>
      <c r="L43" s="34" t="str">
        <f>IF(H43="","",H43-项目驾驶舱!$B$3)</f>
        <v/>
      </c>
      <c r="M43" s="34" t="str">
        <f>IF(OR(K43="已关闭",H43=""),"否",IF(H43&lt;项目驾驶舱!$B$3,"是","否"))</f>
        <v>否</v>
      </c>
      <c r="N43" s="34"/>
    </row>
    <row r="44" ht="17" customHeight="1" spans="1:14">
      <c r="A44" s="34"/>
      <c r="B44" s="34"/>
      <c r="C44" s="34"/>
      <c r="D44" s="34"/>
      <c r="E44" s="34"/>
      <c r="F44" s="34"/>
      <c r="G44" s="34"/>
      <c r="H44" s="38"/>
      <c r="I44" s="38"/>
      <c r="J44" s="34"/>
      <c r="K44" s="34"/>
      <c r="L44" s="34" t="str">
        <f>IF(H44="","",H44-项目驾驶舱!$B$3)</f>
        <v/>
      </c>
      <c r="M44" s="34" t="str">
        <f>IF(OR(K44="已关闭",H44=""),"否",IF(H44&lt;项目驾驶舱!$B$3,"是","否"))</f>
        <v>否</v>
      </c>
      <c r="N44" s="34"/>
    </row>
    <row r="45" ht="17" customHeight="1" spans="1:14">
      <c r="A45" s="34"/>
      <c r="B45" s="34"/>
      <c r="C45" s="34"/>
      <c r="D45" s="34"/>
      <c r="E45" s="34"/>
      <c r="F45" s="34"/>
      <c r="G45" s="34"/>
      <c r="H45" s="38"/>
      <c r="I45" s="38"/>
      <c r="J45" s="34"/>
      <c r="K45" s="34"/>
      <c r="L45" s="34" t="str">
        <f>IF(H45="","",H45-项目驾驶舱!$B$3)</f>
        <v/>
      </c>
      <c r="M45" s="34" t="str">
        <f>IF(OR(K45="已关闭",H45=""),"否",IF(H45&lt;项目驾驶舱!$B$3,"是","否"))</f>
        <v>否</v>
      </c>
      <c r="N45" s="34"/>
    </row>
    <row r="46" ht="17" customHeight="1" spans="1:14">
      <c r="A46" s="34"/>
      <c r="B46" s="34"/>
      <c r="C46" s="34"/>
      <c r="D46" s="34"/>
      <c r="E46" s="34"/>
      <c r="F46" s="34"/>
      <c r="G46" s="34"/>
      <c r="H46" s="38"/>
      <c r="I46" s="38"/>
      <c r="J46" s="34"/>
      <c r="K46" s="34"/>
      <c r="L46" s="34" t="str">
        <f>IF(H46="","",H46-项目驾驶舱!$B$3)</f>
        <v/>
      </c>
      <c r="M46" s="34" t="str">
        <f>IF(OR(K46="已关闭",H46=""),"否",IF(H46&lt;项目驾驶舱!$B$3,"是","否"))</f>
        <v>否</v>
      </c>
      <c r="N46" s="34"/>
    </row>
    <row r="47" ht="17" customHeight="1" spans="1:14">
      <c r="A47" s="34"/>
      <c r="B47" s="34"/>
      <c r="C47" s="34"/>
      <c r="D47" s="34"/>
      <c r="E47" s="34"/>
      <c r="F47" s="34"/>
      <c r="G47" s="34"/>
      <c r="H47" s="38"/>
      <c r="I47" s="38"/>
      <c r="J47" s="34"/>
      <c r="K47" s="34"/>
      <c r="L47" s="34" t="str">
        <f>IF(H47="","",H47-项目驾驶舱!$B$3)</f>
        <v/>
      </c>
      <c r="M47" s="34" t="str">
        <f>IF(OR(K47="已关闭",H47=""),"否",IF(H47&lt;项目驾驶舱!$B$3,"是","否"))</f>
        <v>否</v>
      </c>
      <c r="N47" s="34"/>
    </row>
    <row r="48" ht="17" customHeight="1" spans="1:14">
      <c r="A48" s="34"/>
      <c r="B48" s="34"/>
      <c r="C48" s="34"/>
      <c r="D48" s="34"/>
      <c r="E48" s="34"/>
      <c r="F48" s="34"/>
      <c r="G48" s="34"/>
      <c r="H48" s="38"/>
      <c r="I48" s="38"/>
      <c r="J48" s="34"/>
      <c r="K48" s="34"/>
      <c r="L48" s="34" t="str">
        <f>IF(H48="","",H48-项目驾驶舱!$B$3)</f>
        <v/>
      </c>
      <c r="M48" s="34" t="str">
        <f>IF(OR(K48="已关闭",H48=""),"否",IF(H48&lt;项目驾驶舱!$B$3,"是","否"))</f>
        <v>否</v>
      </c>
      <c r="N48" s="34"/>
    </row>
    <row r="49" ht="17" customHeight="1" spans="1:14">
      <c r="A49" s="34"/>
      <c r="B49" s="34"/>
      <c r="C49" s="34"/>
      <c r="D49" s="34"/>
      <c r="E49" s="34"/>
      <c r="F49" s="34"/>
      <c r="G49" s="34"/>
      <c r="H49" s="38"/>
      <c r="I49" s="38"/>
      <c r="J49" s="34"/>
      <c r="K49" s="34"/>
      <c r="L49" s="34" t="str">
        <f>IF(H49="","",H49-项目驾驶舱!$B$3)</f>
        <v/>
      </c>
      <c r="M49" s="34" t="str">
        <f>IF(OR(K49="已关闭",H49=""),"否",IF(H49&lt;项目驾驶舱!$B$3,"是","否"))</f>
        <v>否</v>
      </c>
      <c r="N49" s="34"/>
    </row>
    <row r="50" ht="17" customHeight="1" spans="1:14">
      <c r="A50" s="34"/>
      <c r="B50" s="34"/>
      <c r="C50" s="34"/>
      <c r="D50" s="34"/>
      <c r="E50" s="34"/>
      <c r="F50" s="34"/>
      <c r="G50" s="34"/>
      <c r="H50" s="38"/>
      <c r="I50" s="38"/>
      <c r="J50" s="34"/>
      <c r="K50" s="34"/>
      <c r="L50" s="34" t="str">
        <f>IF(H50="","",H50-项目驾驶舱!$B$3)</f>
        <v/>
      </c>
      <c r="M50" s="34" t="str">
        <f>IF(OR(K50="已关闭",H50=""),"否",IF(H50&lt;项目驾驶舱!$B$3,"是","否"))</f>
        <v>否</v>
      </c>
      <c r="N50" s="34"/>
    </row>
    <row r="51" ht="17" customHeight="1" spans="1:14">
      <c r="A51" s="34"/>
      <c r="B51" s="34"/>
      <c r="C51" s="34"/>
      <c r="D51" s="34"/>
      <c r="E51" s="34"/>
      <c r="F51" s="34"/>
      <c r="G51" s="34"/>
      <c r="H51" s="38"/>
      <c r="I51" s="38"/>
      <c r="J51" s="34"/>
      <c r="K51" s="34"/>
      <c r="L51" s="34" t="str">
        <f>IF(H51="","",H51-项目驾驶舱!$B$3)</f>
        <v/>
      </c>
      <c r="M51" s="34" t="str">
        <f>IF(OR(K51="已关闭",H51=""),"否",IF(H51&lt;项目驾驶舱!$B$3,"是","否"))</f>
        <v>否</v>
      </c>
      <c r="N51" s="34"/>
    </row>
    <row r="52" ht="17" customHeight="1" spans="1:14">
      <c r="A52" s="34"/>
      <c r="B52" s="34"/>
      <c r="C52" s="34"/>
      <c r="D52" s="34"/>
      <c r="E52" s="34"/>
      <c r="F52" s="34"/>
      <c r="G52" s="34"/>
      <c r="H52" s="38"/>
      <c r="I52" s="38"/>
      <c r="J52" s="34"/>
      <c r="K52" s="34"/>
      <c r="L52" s="34" t="str">
        <f>IF(H52="","",H52-项目驾驶舱!$B$3)</f>
        <v/>
      </c>
      <c r="M52" s="34" t="str">
        <f>IF(OR(K52="已关闭",H52=""),"否",IF(H52&lt;项目驾驶舱!$B$3,"是","否"))</f>
        <v>否</v>
      </c>
      <c r="N52" s="34"/>
    </row>
    <row r="53" ht="17" customHeight="1" spans="1:14">
      <c r="A53" s="34"/>
      <c r="B53" s="34"/>
      <c r="C53" s="34"/>
      <c r="D53" s="34"/>
      <c r="E53" s="34"/>
      <c r="F53" s="34"/>
      <c r="G53" s="34"/>
      <c r="H53" s="38"/>
      <c r="I53" s="38"/>
      <c r="J53" s="34"/>
      <c r="K53" s="34"/>
      <c r="L53" s="34" t="str">
        <f>IF(H53="","",H53-项目驾驶舱!$B$3)</f>
        <v/>
      </c>
      <c r="M53" s="34" t="str">
        <f>IF(OR(K53="已关闭",H53=""),"否",IF(H53&lt;项目驾驶舱!$B$3,"是","否"))</f>
        <v>否</v>
      </c>
      <c r="N53" s="34"/>
    </row>
    <row r="54" ht="17" customHeight="1" spans="1:14">
      <c r="A54" s="34"/>
      <c r="B54" s="34"/>
      <c r="C54" s="34"/>
      <c r="D54" s="34"/>
      <c r="E54" s="34"/>
      <c r="F54" s="34"/>
      <c r="G54" s="34"/>
      <c r="H54" s="38"/>
      <c r="I54" s="38"/>
      <c r="J54" s="34"/>
      <c r="K54" s="34"/>
      <c r="L54" s="34" t="str">
        <f>IF(H54="","",H54-项目驾驶舱!$B$3)</f>
        <v/>
      </c>
      <c r="M54" s="34" t="str">
        <f>IF(OR(K54="已关闭",H54=""),"否",IF(H54&lt;项目驾驶舱!$B$3,"是","否"))</f>
        <v>否</v>
      </c>
      <c r="N54" s="34"/>
    </row>
    <row r="55" ht="17" customHeight="1" spans="1:14">
      <c r="A55" s="34"/>
      <c r="B55" s="34"/>
      <c r="C55" s="34"/>
      <c r="D55" s="34"/>
      <c r="E55" s="34"/>
      <c r="F55" s="34"/>
      <c r="G55" s="34"/>
      <c r="H55" s="38"/>
      <c r="I55" s="38"/>
      <c r="J55" s="34"/>
      <c r="K55" s="34"/>
      <c r="L55" s="34" t="str">
        <f>IF(H55="","",H55-项目驾驶舱!$B$3)</f>
        <v/>
      </c>
      <c r="M55" s="34" t="str">
        <f>IF(OR(K55="已关闭",H55=""),"否",IF(H55&lt;项目驾驶舱!$B$3,"是","否"))</f>
        <v>否</v>
      </c>
      <c r="N55" s="34"/>
    </row>
    <row r="56" ht="17" customHeight="1" spans="1:14">
      <c r="A56" s="34"/>
      <c r="B56" s="34"/>
      <c r="C56" s="34"/>
      <c r="D56" s="34"/>
      <c r="E56" s="34"/>
      <c r="F56" s="34"/>
      <c r="G56" s="34"/>
      <c r="H56" s="38"/>
      <c r="I56" s="38"/>
      <c r="J56" s="34"/>
      <c r="K56" s="34"/>
      <c r="L56" s="34" t="str">
        <f>IF(H56="","",H56-项目驾驶舱!$B$3)</f>
        <v/>
      </c>
      <c r="M56" s="34" t="str">
        <f>IF(OR(K56="已关闭",H56=""),"否",IF(H56&lt;项目驾驶舱!$B$3,"是","否"))</f>
        <v>否</v>
      </c>
      <c r="N56" s="34"/>
    </row>
    <row r="57" ht="17" customHeight="1" spans="1:14">
      <c r="A57" s="34"/>
      <c r="B57" s="34"/>
      <c r="C57" s="34"/>
      <c r="D57" s="34"/>
      <c r="E57" s="34"/>
      <c r="F57" s="34"/>
      <c r="G57" s="34"/>
      <c r="H57" s="38"/>
      <c r="I57" s="38"/>
      <c r="J57" s="34"/>
      <c r="K57" s="34"/>
      <c r="L57" s="34" t="str">
        <f>IF(H57="","",H57-项目驾驶舱!$B$3)</f>
        <v/>
      </c>
      <c r="M57" s="34" t="str">
        <f>IF(OR(K57="已关闭",H57=""),"否",IF(H57&lt;项目驾驶舱!$B$3,"是","否"))</f>
        <v>否</v>
      </c>
      <c r="N57" s="34"/>
    </row>
    <row r="58" ht="17" customHeight="1" spans="1:14">
      <c r="A58" s="34"/>
      <c r="B58" s="34"/>
      <c r="C58" s="34"/>
      <c r="D58" s="34"/>
      <c r="E58" s="34"/>
      <c r="F58" s="34"/>
      <c r="G58" s="34"/>
      <c r="H58" s="38"/>
      <c r="I58" s="38"/>
      <c r="J58" s="34"/>
      <c r="K58" s="34"/>
      <c r="L58" s="34" t="str">
        <f>IF(H58="","",H58-项目驾驶舱!$B$3)</f>
        <v/>
      </c>
      <c r="M58" s="34" t="str">
        <f>IF(OR(K58="已关闭",H58=""),"否",IF(H58&lt;项目驾驶舱!$B$3,"是","否"))</f>
        <v>否</v>
      </c>
      <c r="N58" s="34"/>
    </row>
    <row r="59" ht="17" customHeight="1" spans="1:14">
      <c r="A59" s="34"/>
      <c r="B59" s="34"/>
      <c r="C59" s="34"/>
      <c r="D59" s="34"/>
      <c r="E59" s="34"/>
      <c r="F59" s="34"/>
      <c r="G59" s="34"/>
      <c r="H59" s="38"/>
      <c r="I59" s="38"/>
      <c r="J59" s="34"/>
      <c r="K59" s="34"/>
      <c r="L59" s="34" t="str">
        <f>IF(H59="","",H59-项目驾驶舱!$B$3)</f>
        <v/>
      </c>
      <c r="M59" s="34" t="str">
        <f>IF(OR(K59="已关闭",H59=""),"否",IF(H59&lt;项目驾驶舱!$B$3,"是","否"))</f>
        <v>否</v>
      </c>
      <c r="N59" s="34"/>
    </row>
    <row r="60" ht="17" customHeight="1" spans="1:14">
      <c r="A60" s="34"/>
      <c r="B60" s="34"/>
      <c r="C60" s="34"/>
      <c r="D60" s="34"/>
      <c r="E60" s="34"/>
      <c r="F60" s="34"/>
      <c r="G60" s="34"/>
      <c r="H60" s="38"/>
      <c r="I60" s="38"/>
      <c r="J60" s="34"/>
      <c r="K60" s="34"/>
      <c r="L60" s="34" t="str">
        <f>IF(H60="","",H60-项目驾驶舱!$B$3)</f>
        <v/>
      </c>
      <c r="M60" s="34" t="str">
        <f>IF(OR(K60="已关闭",H60=""),"否",IF(H60&lt;项目驾驶舱!$B$3,"是","否"))</f>
        <v>否</v>
      </c>
      <c r="N60" s="34"/>
    </row>
    <row r="61" ht="17" customHeight="1" spans="1:14">
      <c r="A61" s="34"/>
      <c r="B61" s="34"/>
      <c r="C61" s="34"/>
      <c r="D61" s="34"/>
      <c r="E61" s="34"/>
      <c r="F61" s="34"/>
      <c r="G61" s="34"/>
      <c r="H61" s="38"/>
      <c r="I61" s="38"/>
      <c r="J61" s="34"/>
      <c r="K61" s="34"/>
      <c r="L61" s="34" t="str">
        <f>IF(H61="","",H61-项目驾驶舱!$B$3)</f>
        <v/>
      </c>
      <c r="M61" s="34" t="str">
        <f>IF(OR(K61="已关闭",H61=""),"否",IF(H61&lt;项目驾驶舱!$B$3,"是","否"))</f>
        <v>否</v>
      </c>
      <c r="N61" s="34"/>
    </row>
    <row r="62" ht="17" customHeight="1" spans="1:14">
      <c r="A62" s="34"/>
      <c r="B62" s="34"/>
      <c r="C62" s="34"/>
      <c r="D62" s="34"/>
      <c r="E62" s="34"/>
      <c r="F62" s="34"/>
      <c r="G62" s="34"/>
      <c r="H62" s="38"/>
      <c r="I62" s="38"/>
      <c r="J62" s="34"/>
      <c r="K62" s="34"/>
      <c r="L62" s="34" t="str">
        <f>IF(H62="","",H62-项目驾驶舱!$B$3)</f>
        <v/>
      </c>
      <c r="M62" s="34" t="str">
        <f>IF(OR(K62="已关闭",H62=""),"否",IF(H62&lt;项目驾驶舱!$B$3,"是","否"))</f>
        <v>否</v>
      </c>
      <c r="N62" s="34"/>
    </row>
    <row r="63" ht="17" customHeight="1" spans="1:14">
      <c r="A63" s="34"/>
      <c r="B63" s="34"/>
      <c r="C63" s="34"/>
      <c r="D63" s="34"/>
      <c r="E63" s="34"/>
      <c r="F63" s="34"/>
      <c r="G63" s="34"/>
      <c r="H63" s="38"/>
      <c r="I63" s="38"/>
      <c r="J63" s="34"/>
      <c r="K63" s="34"/>
      <c r="L63" s="34" t="str">
        <f>IF(H63="","",H63-项目驾驶舱!$B$3)</f>
        <v/>
      </c>
      <c r="M63" s="34" t="str">
        <f>IF(OR(K63="已关闭",H63=""),"否",IF(H63&lt;项目驾驶舱!$B$3,"是","否"))</f>
        <v>否</v>
      </c>
      <c r="N63" s="34"/>
    </row>
    <row r="64" ht="17" customHeight="1" spans="1:14">
      <c r="A64" s="34"/>
      <c r="B64" s="34"/>
      <c r="C64" s="34"/>
      <c r="D64" s="34"/>
      <c r="E64" s="34"/>
      <c r="F64" s="34"/>
      <c r="G64" s="34"/>
      <c r="H64" s="38"/>
      <c r="I64" s="38"/>
      <c r="J64" s="34"/>
      <c r="K64" s="34"/>
      <c r="L64" s="34" t="str">
        <f>IF(H64="","",H64-项目驾驶舱!$B$3)</f>
        <v/>
      </c>
      <c r="M64" s="34" t="str">
        <f>IF(OR(K64="已关闭",H64=""),"否",IF(H64&lt;项目驾驶舱!$B$3,"是","否"))</f>
        <v>否</v>
      </c>
      <c r="N64" s="34"/>
    </row>
    <row r="65" ht="17" customHeight="1" spans="1:14">
      <c r="A65" s="34"/>
      <c r="B65" s="34"/>
      <c r="C65" s="34"/>
      <c r="D65" s="34"/>
      <c r="E65" s="34"/>
      <c r="F65" s="34"/>
      <c r="G65" s="34"/>
      <c r="H65" s="38"/>
      <c r="I65" s="38"/>
      <c r="J65" s="34"/>
      <c r="K65" s="34"/>
      <c r="L65" s="34" t="str">
        <f>IF(H65="","",H65-项目驾驶舱!$B$3)</f>
        <v/>
      </c>
      <c r="M65" s="34" t="str">
        <f>IF(OR(K65="已关闭",H65=""),"否",IF(H65&lt;项目驾驶舱!$B$3,"是","否"))</f>
        <v>否</v>
      </c>
      <c r="N65" s="34"/>
    </row>
    <row r="66" ht="17" customHeight="1" spans="1:14">
      <c r="A66" s="34"/>
      <c r="B66" s="34"/>
      <c r="C66" s="34"/>
      <c r="D66" s="34"/>
      <c r="E66" s="34"/>
      <c r="F66" s="34"/>
      <c r="G66" s="34"/>
      <c r="H66" s="38"/>
      <c r="I66" s="38"/>
      <c r="J66" s="34"/>
      <c r="K66" s="34"/>
      <c r="L66" s="34" t="str">
        <f>IF(H66="","",H66-项目驾驶舱!$B$3)</f>
        <v/>
      </c>
      <c r="M66" s="34" t="str">
        <f>IF(OR(K66="已关闭",H66=""),"否",IF(H66&lt;项目驾驶舱!$B$3,"是","否"))</f>
        <v>否</v>
      </c>
      <c r="N66" s="34"/>
    </row>
    <row r="67" ht="17" customHeight="1" spans="1:14">
      <c r="A67" s="34"/>
      <c r="B67" s="34"/>
      <c r="C67" s="34"/>
      <c r="D67" s="34"/>
      <c r="E67" s="34"/>
      <c r="F67" s="34"/>
      <c r="G67" s="34"/>
      <c r="H67" s="38"/>
      <c r="I67" s="38"/>
      <c r="J67" s="34"/>
      <c r="K67" s="34"/>
      <c r="L67" s="34" t="str">
        <f>IF(H67="","",H67-项目驾驶舱!$B$3)</f>
        <v/>
      </c>
      <c r="M67" s="34" t="str">
        <f>IF(OR(K67="已关闭",H67=""),"否",IF(H67&lt;项目驾驶舱!$B$3,"是","否"))</f>
        <v>否</v>
      </c>
      <c r="N67" s="34"/>
    </row>
    <row r="68" ht="17" customHeight="1" spans="1:14">
      <c r="A68" s="34"/>
      <c r="B68" s="34"/>
      <c r="C68" s="34"/>
      <c r="D68" s="34"/>
      <c r="E68" s="34"/>
      <c r="F68" s="34"/>
      <c r="G68" s="34"/>
      <c r="H68" s="38"/>
      <c r="I68" s="38"/>
      <c r="J68" s="34"/>
      <c r="K68" s="34"/>
      <c r="L68" s="34" t="str">
        <f>IF(H68="","",H68-项目驾驶舱!$B$3)</f>
        <v/>
      </c>
      <c r="M68" s="34" t="str">
        <f>IF(OR(K68="已关闭",H68=""),"否",IF(H68&lt;项目驾驶舱!$B$3,"是","否"))</f>
        <v>否</v>
      </c>
      <c r="N68" s="34"/>
    </row>
    <row r="69" ht="17" customHeight="1" spans="1:14">
      <c r="A69" s="34"/>
      <c r="B69" s="34"/>
      <c r="C69" s="34"/>
      <c r="D69" s="34"/>
      <c r="E69" s="34"/>
      <c r="F69" s="34"/>
      <c r="G69" s="34"/>
      <c r="H69" s="38"/>
      <c r="I69" s="38"/>
      <c r="J69" s="34"/>
      <c r="K69" s="34"/>
      <c r="L69" s="34" t="str">
        <f>IF(H69="","",H69-项目驾驶舱!$B$3)</f>
        <v/>
      </c>
      <c r="M69" s="34" t="str">
        <f>IF(OR(K69="已关闭",H69=""),"否",IF(H69&lt;项目驾驶舱!$B$3,"是","否"))</f>
        <v>否</v>
      </c>
      <c r="N69" s="34"/>
    </row>
    <row r="70" ht="17" customHeight="1" spans="1:14">
      <c r="A70" s="34"/>
      <c r="B70" s="34"/>
      <c r="C70" s="34"/>
      <c r="D70" s="34"/>
      <c r="E70" s="34"/>
      <c r="F70" s="34"/>
      <c r="G70" s="34"/>
      <c r="H70" s="38"/>
      <c r="I70" s="38"/>
      <c r="J70" s="34"/>
      <c r="K70" s="34"/>
      <c r="L70" s="34" t="str">
        <f>IF(H70="","",H70-项目驾驶舱!$B$3)</f>
        <v/>
      </c>
      <c r="M70" s="34" t="str">
        <f>IF(OR(K70="已关闭",H70=""),"否",IF(H70&lt;项目驾驶舱!$B$3,"是","否"))</f>
        <v>否</v>
      </c>
      <c r="N70" s="34"/>
    </row>
    <row r="71" ht="17" customHeight="1" spans="1:14">
      <c r="A71" s="34"/>
      <c r="B71" s="34"/>
      <c r="C71" s="34"/>
      <c r="D71" s="34"/>
      <c r="E71" s="34"/>
      <c r="F71" s="34"/>
      <c r="G71" s="34"/>
      <c r="H71" s="38"/>
      <c r="I71" s="38"/>
      <c r="J71" s="34"/>
      <c r="K71" s="34"/>
      <c r="L71" s="34" t="str">
        <f>IF(H71="","",H71-项目驾驶舱!$B$3)</f>
        <v/>
      </c>
      <c r="M71" s="34" t="str">
        <f>IF(OR(K71="已关闭",H71=""),"否",IF(H71&lt;项目驾驶舱!$B$3,"是","否"))</f>
        <v>否</v>
      </c>
      <c r="N71" s="34"/>
    </row>
    <row r="72" ht="17" customHeight="1" spans="1:14">
      <c r="A72" s="34"/>
      <c r="B72" s="34"/>
      <c r="C72" s="34"/>
      <c r="D72" s="34"/>
      <c r="E72" s="34"/>
      <c r="F72" s="34"/>
      <c r="G72" s="34"/>
      <c r="H72" s="38"/>
      <c r="I72" s="38"/>
      <c r="J72" s="34"/>
      <c r="K72" s="34"/>
      <c r="L72" s="34" t="str">
        <f>IF(H72="","",H72-项目驾驶舱!$B$3)</f>
        <v/>
      </c>
      <c r="M72" s="34" t="str">
        <f>IF(OR(K72="已关闭",H72=""),"否",IF(H72&lt;项目驾驶舱!$B$3,"是","否"))</f>
        <v>否</v>
      </c>
      <c r="N72" s="34"/>
    </row>
    <row r="73" ht="17" customHeight="1" spans="1:14">
      <c r="A73" s="34"/>
      <c r="B73" s="34"/>
      <c r="C73" s="34"/>
      <c r="D73" s="34"/>
      <c r="E73" s="34"/>
      <c r="F73" s="34"/>
      <c r="G73" s="34"/>
      <c r="H73" s="38"/>
      <c r="I73" s="38"/>
      <c r="J73" s="34"/>
      <c r="K73" s="34"/>
      <c r="L73" s="34" t="str">
        <f>IF(H73="","",H73-项目驾驶舱!$B$3)</f>
        <v/>
      </c>
      <c r="M73" s="34" t="str">
        <f>IF(OR(K73="已关闭",H73=""),"否",IF(H73&lt;项目驾驶舱!$B$3,"是","否"))</f>
        <v>否</v>
      </c>
      <c r="N73" s="34"/>
    </row>
    <row r="74" ht="17" customHeight="1" spans="1:14">
      <c r="A74" s="34"/>
      <c r="B74" s="34"/>
      <c r="C74" s="34"/>
      <c r="D74" s="34"/>
      <c r="E74" s="34"/>
      <c r="F74" s="34"/>
      <c r="G74" s="34"/>
      <c r="H74" s="38"/>
      <c r="I74" s="38"/>
      <c r="J74" s="34"/>
      <c r="K74" s="34"/>
      <c r="L74" s="34" t="str">
        <f>IF(H74="","",H74-项目驾驶舱!$B$3)</f>
        <v/>
      </c>
      <c r="M74" s="34" t="str">
        <f>IF(OR(K74="已关闭",H74=""),"否",IF(H74&lt;项目驾驶舱!$B$3,"是","否"))</f>
        <v>否</v>
      </c>
      <c r="N74" s="34"/>
    </row>
    <row r="75" ht="17" customHeight="1" spans="1:14">
      <c r="A75" s="34"/>
      <c r="B75" s="34"/>
      <c r="C75" s="34"/>
      <c r="D75" s="34"/>
      <c r="E75" s="34"/>
      <c r="F75" s="34"/>
      <c r="G75" s="34"/>
      <c r="H75" s="38"/>
      <c r="I75" s="38"/>
      <c r="J75" s="34"/>
      <c r="K75" s="34"/>
      <c r="L75" s="34" t="str">
        <f>IF(H75="","",H75-项目驾驶舱!$B$3)</f>
        <v/>
      </c>
      <c r="M75" s="34" t="str">
        <f>IF(OR(K75="已关闭",H75=""),"否",IF(H75&lt;项目驾驶舱!$B$3,"是","否"))</f>
        <v>否</v>
      </c>
      <c r="N75" s="34"/>
    </row>
    <row r="76" ht="17" customHeight="1" spans="1:14">
      <c r="A76" s="34"/>
      <c r="B76" s="34"/>
      <c r="C76" s="34"/>
      <c r="D76" s="34"/>
      <c r="E76" s="34"/>
      <c r="F76" s="34"/>
      <c r="G76" s="34"/>
      <c r="H76" s="38"/>
      <c r="I76" s="38"/>
      <c r="J76" s="34"/>
      <c r="K76" s="34"/>
      <c r="L76" s="34" t="str">
        <f>IF(H76="","",H76-项目驾驶舱!$B$3)</f>
        <v/>
      </c>
      <c r="M76" s="34" t="str">
        <f>IF(OR(K76="已关闭",H76=""),"否",IF(H76&lt;项目驾驶舱!$B$3,"是","否"))</f>
        <v>否</v>
      </c>
      <c r="N76" s="34"/>
    </row>
    <row r="77" ht="17" customHeight="1" spans="1:14">
      <c r="A77" s="34"/>
      <c r="B77" s="34"/>
      <c r="C77" s="34"/>
      <c r="D77" s="34"/>
      <c r="E77" s="34"/>
      <c r="F77" s="34"/>
      <c r="G77" s="34"/>
      <c r="H77" s="38"/>
      <c r="I77" s="38"/>
      <c r="J77" s="34"/>
      <c r="K77" s="34"/>
      <c r="L77" s="34" t="str">
        <f>IF(H77="","",H77-项目驾驶舱!$B$3)</f>
        <v/>
      </c>
      <c r="M77" s="34" t="str">
        <f>IF(OR(K77="已关闭",H77=""),"否",IF(H77&lt;项目驾驶舱!$B$3,"是","否"))</f>
        <v>否</v>
      </c>
      <c r="N77" s="34"/>
    </row>
    <row r="78" ht="17" customHeight="1" spans="1:14">
      <c r="A78" s="34"/>
      <c r="B78" s="34"/>
      <c r="C78" s="34"/>
      <c r="D78" s="34"/>
      <c r="E78" s="34"/>
      <c r="F78" s="34"/>
      <c r="G78" s="34"/>
      <c r="H78" s="38"/>
      <c r="I78" s="38"/>
      <c r="J78" s="34"/>
      <c r="K78" s="34"/>
      <c r="L78" s="34" t="str">
        <f>IF(H78="","",H78-项目驾驶舱!$B$3)</f>
        <v/>
      </c>
      <c r="M78" s="34" t="str">
        <f>IF(OR(K78="已关闭",H78=""),"否",IF(H78&lt;项目驾驶舱!$B$3,"是","否"))</f>
        <v>否</v>
      </c>
      <c r="N78" s="34"/>
    </row>
    <row r="79" ht="17" customHeight="1" spans="1:14">
      <c r="A79" s="34"/>
      <c r="B79" s="34"/>
      <c r="C79" s="34"/>
      <c r="D79" s="34"/>
      <c r="E79" s="34"/>
      <c r="F79" s="34"/>
      <c r="G79" s="34"/>
      <c r="H79" s="38"/>
      <c r="I79" s="38"/>
      <c r="J79" s="34"/>
      <c r="K79" s="34"/>
      <c r="L79" s="34" t="str">
        <f>IF(H79="","",H79-项目驾驶舱!$B$3)</f>
        <v/>
      </c>
      <c r="M79" s="34" t="str">
        <f>IF(OR(K79="已关闭",H79=""),"否",IF(H79&lt;项目驾驶舱!$B$3,"是","否"))</f>
        <v>否</v>
      </c>
      <c r="N79" s="34"/>
    </row>
    <row r="80" ht="17" customHeight="1" spans="1:14">
      <c r="A80" s="34"/>
      <c r="B80" s="34"/>
      <c r="C80" s="34"/>
      <c r="D80" s="34"/>
      <c r="E80" s="34"/>
      <c r="F80" s="34"/>
      <c r="G80" s="34"/>
      <c r="H80" s="38"/>
      <c r="I80" s="38"/>
      <c r="J80" s="34"/>
      <c r="K80" s="34"/>
      <c r="L80" s="34" t="str">
        <f>IF(H80="","",H80-项目驾驶舱!$B$3)</f>
        <v/>
      </c>
      <c r="M80" s="34" t="str">
        <f>IF(OR(K80="已关闭",H80=""),"否",IF(H80&lt;项目驾驶舱!$B$3,"是","否"))</f>
        <v>否</v>
      </c>
      <c r="N80" s="34"/>
    </row>
    <row r="81" ht="17" customHeight="1" spans="1:14">
      <c r="A81" s="34"/>
      <c r="B81" s="34"/>
      <c r="C81" s="34"/>
      <c r="D81" s="34"/>
      <c r="E81" s="34"/>
      <c r="F81" s="34"/>
      <c r="G81" s="34"/>
      <c r="H81" s="38"/>
      <c r="I81" s="38"/>
      <c r="J81" s="34"/>
      <c r="K81" s="34"/>
      <c r="L81" s="34" t="str">
        <f>IF(H81="","",H81-项目驾驶舱!$B$3)</f>
        <v/>
      </c>
      <c r="M81" s="34" t="str">
        <f>IF(OR(K81="已关闭",H81=""),"否",IF(H81&lt;项目驾驶舱!$B$3,"是","否"))</f>
        <v>否</v>
      </c>
      <c r="N81" s="34"/>
    </row>
    <row r="82" ht="17" customHeight="1" spans="1:14">
      <c r="A82" s="34"/>
      <c r="B82" s="34"/>
      <c r="C82" s="34"/>
      <c r="D82" s="34"/>
      <c r="E82" s="34"/>
      <c r="F82" s="34"/>
      <c r="G82" s="34"/>
      <c r="H82" s="38"/>
      <c r="I82" s="38"/>
      <c r="J82" s="34"/>
      <c r="K82" s="34"/>
      <c r="L82" s="34" t="str">
        <f>IF(H82="","",H82-项目驾驶舱!$B$3)</f>
        <v/>
      </c>
      <c r="M82" s="34" t="str">
        <f>IF(OR(K82="已关闭",H82=""),"否",IF(H82&lt;项目驾驶舱!$B$3,"是","否"))</f>
        <v>否</v>
      </c>
      <c r="N82" s="34"/>
    </row>
    <row r="83" ht="17" customHeight="1" spans="1:14">
      <c r="A83" s="34"/>
      <c r="B83" s="34"/>
      <c r="C83" s="34"/>
      <c r="D83" s="34"/>
      <c r="E83" s="34"/>
      <c r="F83" s="34"/>
      <c r="G83" s="34"/>
      <c r="H83" s="38"/>
      <c r="I83" s="38"/>
      <c r="J83" s="34"/>
      <c r="K83" s="34"/>
      <c r="L83" s="34" t="str">
        <f>IF(H83="","",H83-项目驾驶舱!$B$3)</f>
        <v/>
      </c>
      <c r="M83" s="34" t="str">
        <f>IF(OR(K83="已关闭",H83=""),"否",IF(H83&lt;项目驾驶舱!$B$3,"是","否"))</f>
        <v>否</v>
      </c>
      <c r="N83" s="34"/>
    </row>
    <row r="84" ht="17" customHeight="1" spans="1:14">
      <c r="A84" s="34"/>
      <c r="B84" s="34"/>
      <c r="C84" s="34"/>
      <c r="D84" s="34"/>
      <c r="E84" s="34"/>
      <c r="F84" s="34"/>
      <c r="G84" s="34"/>
      <c r="H84" s="38"/>
      <c r="I84" s="38"/>
      <c r="J84" s="34"/>
      <c r="K84" s="34"/>
      <c r="L84" s="34" t="str">
        <f>IF(H84="","",H84-项目驾驶舱!$B$3)</f>
        <v/>
      </c>
      <c r="M84" s="34" t="str">
        <f>IF(OR(K84="已关闭",H84=""),"否",IF(H84&lt;项目驾驶舱!$B$3,"是","否"))</f>
        <v>否</v>
      </c>
      <c r="N84" s="34"/>
    </row>
    <row r="85" ht="17" customHeight="1" spans="1:14">
      <c r="A85" s="34"/>
      <c r="B85" s="34"/>
      <c r="C85" s="34"/>
      <c r="D85" s="34"/>
      <c r="E85" s="34"/>
      <c r="F85" s="34"/>
      <c r="G85" s="34"/>
      <c r="H85" s="38"/>
      <c r="I85" s="38"/>
      <c r="J85" s="34"/>
      <c r="K85" s="34"/>
      <c r="L85" s="34" t="str">
        <f>IF(H85="","",H85-项目驾驶舱!$B$3)</f>
        <v/>
      </c>
      <c r="M85" s="34" t="str">
        <f>IF(OR(K85="已关闭",H85=""),"否",IF(H85&lt;项目驾驶舱!$B$3,"是","否"))</f>
        <v>否</v>
      </c>
      <c r="N85" s="34"/>
    </row>
    <row r="86" ht="17" customHeight="1" spans="1:14">
      <c r="A86" s="34"/>
      <c r="B86" s="34"/>
      <c r="C86" s="34"/>
      <c r="D86" s="34"/>
      <c r="E86" s="34"/>
      <c r="F86" s="34"/>
      <c r="G86" s="34"/>
      <c r="H86" s="38"/>
      <c r="I86" s="38"/>
      <c r="J86" s="34"/>
      <c r="K86" s="34"/>
      <c r="L86" s="34" t="str">
        <f>IF(H86="","",H86-项目驾驶舱!$B$3)</f>
        <v/>
      </c>
      <c r="M86" s="34" t="str">
        <f>IF(OR(K86="已关闭",H86=""),"否",IF(H86&lt;项目驾驶舱!$B$3,"是","否"))</f>
        <v>否</v>
      </c>
      <c r="N86" s="34"/>
    </row>
    <row r="87" ht="17" customHeight="1" spans="1:14">
      <c r="A87" s="34"/>
      <c r="B87" s="34"/>
      <c r="C87" s="34"/>
      <c r="D87" s="34"/>
      <c r="E87" s="34"/>
      <c r="F87" s="34"/>
      <c r="G87" s="34"/>
      <c r="H87" s="38"/>
      <c r="I87" s="38"/>
      <c r="J87" s="34"/>
      <c r="K87" s="34"/>
      <c r="L87" s="34" t="str">
        <f>IF(H87="","",H87-项目驾驶舱!$B$3)</f>
        <v/>
      </c>
      <c r="M87" s="34" t="str">
        <f>IF(OR(K87="已关闭",H87=""),"否",IF(H87&lt;项目驾驶舱!$B$3,"是","否"))</f>
        <v>否</v>
      </c>
      <c r="N87" s="34"/>
    </row>
    <row r="88" ht="17" customHeight="1" spans="1:14">
      <c r="A88" s="34"/>
      <c r="B88" s="34"/>
      <c r="C88" s="34"/>
      <c r="D88" s="34"/>
      <c r="E88" s="34"/>
      <c r="F88" s="34"/>
      <c r="G88" s="34"/>
      <c r="H88" s="38"/>
      <c r="I88" s="38"/>
      <c r="J88" s="34"/>
      <c r="K88" s="34"/>
      <c r="L88" s="34" t="str">
        <f>IF(H88="","",H88-项目驾驶舱!$B$3)</f>
        <v/>
      </c>
      <c r="M88" s="34" t="str">
        <f>IF(OR(K88="已关闭",H88=""),"否",IF(H88&lt;项目驾驶舱!$B$3,"是","否"))</f>
        <v>否</v>
      </c>
      <c r="N88" s="34"/>
    </row>
    <row r="89" ht="17" customHeight="1" spans="1:14">
      <c r="A89" s="34"/>
      <c r="B89" s="34"/>
      <c r="C89" s="34"/>
      <c r="D89" s="34"/>
      <c r="E89" s="34"/>
      <c r="F89" s="34"/>
      <c r="G89" s="34"/>
      <c r="H89" s="38"/>
      <c r="I89" s="38"/>
      <c r="J89" s="34"/>
      <c r="K89" s="34"/>
      <c r="L89" s="34" t="str">
        <f>IF(H89="","",H89-项目驾驶舱!$B$3)</f>
        <v/>
      </c>
      <c r="M89" s="34" t="str">
        <f>IF(OR(K89="已关闭",H89=""),"否",IF(H89&lt;项目驾驶舱!$B$3,"是","否"))</f>
        <v>否</v>
      </c>
      <c r="N89" s="34"/>
    </row>
    <row r="90" ht="17" customHeight="1" spans="1:14">
      <c r="A90" s="34"/>
      <c r="B90" s="34"/>
      <c r="C90" s="34"/>
      <c r="D90" s="34"/>
      <c r="E90" s="34"/>
      <c r="F90" s="34"/>
      <c r="G90" s="34"/>
      <c r="H90" s="38"/>
      <c r="I90" s="38"/>
      <c r="J90" s="34"/>
      <c r="K90" s="34"/>
      <c r="L90" s="34" t="str">
        <f>IF(H90="","",H90-项目驾驶舱!$B$3)</f>
        <v/>
      </c>
      <c r="M90" s="34" t="str">
        <f>IF(OR(K90="已关闭",H90=""),"否",IF(H90&lt;项目驾驶舱!$B$3,"是","否"))</f>
        <v>否</v>
      </c>
      <c r="N90" s="34"/>
    </row>
    <row r="91" ht="17" customHeight="1" spans="1:14">
      <c r="A91" s="34"/>
      <c r="B91" s="34"/>
      <c r="C91" s="34"/>
      <c r="D91" s="34"/>
      <c r="E91" s="34"/>
      <c r="F91" s="34"/>
      <c r="G91" s="34"/>
      <c r="H91" s="38"/>
      <c r="I91" s="38"/>
      <c r="J91" s="34"/>
      <c r="K91" s="34"/>
      <c r="L91" s="34" t="str">
        <f>IF(H91="","",H91-项目驾驶舱!$B$3)</f>
        <v/>
      </c>
      <c r="M91" s="34" t="str">
        <f>IF(OR(K91="已关闭",H91=""),"否",IF(H91&lt;项目驾驶舱!$B$3,"是","否"))</f>
        <v>否</v>
      </c>
      <c r="N91" s="34"/>
    </row>
    <row r="92" ht="17" customHeight="1" spans="1:14">
      <c r="A92" s="34"/>
      <c r="B92" s="34"/>
      <c r="C92" s="34"/>
      <c r="D92" s="34"/>
      <c r="E92" s="34"/>
      <c r="F92" s="34"/>
      <c r="G92" s="34"/>
      <c r="H92" s="38"/>
      <c r="I92" s="38"/>
      <c r="J92" s="34"/>
      <c r="K92" s="34"/>
      <c r="L92" s="34" t="str">
        <f>IF(H92="","",H92-项目驾驶舱!$B$3)</f>
        <v/>
      </c>
      <c r="M92" s="34" t="str">
        <f>IF(OR(K92="已关闭",H92=""),"否",IF(H92&lt;项目驾驶舱!$B$3,"是","否"))</f>
        <v>否</v>
      </c>
      <c r="N92" s="34"/>
    </row>
    <row r="93" ht="17" customHeight="1" spans="1:14">
      <c r="A93" s="34"/>
      <c r="B93" s="34"/>
      <c r="C93" s="34"/>
      <c r="D93" s="34"/>
      <c r="E93" s="34"/>
      <c r="F93" s="34"/>
      <c r="G93" s="34"/>
      <c r="H93" s="38"/>
      <c r="I93" s="38"/>
      <c r="J93" s="34"/>
      <c r="K93" s="34"/>
      <c r="L93" s="34" t="str">
        <f>IF(H93="","",H93-项目驾驶舱!$B$3)</f>
        <v/>
      </c>
      <c r="M93" s="34" t="str">
        <f>IF(OR(K93="已关闭",H93=""),"否",IF(H93&lt;项目驾驶舱!$B$3,"是","否"))</f>
        <v>否</v>
      </c>
      <c r="N93" s="34"/>
    </row>
    <row r="94" ht="17" customHeight="1" spans="1:14">
      <c r="A94" s="34"/>
      <c r="B94" s="34"/>
      <c r="C94" s="34"/>
      <c r="D94" s="34"/>
      <c r="E94" s="34"/>
      <c r="F94" s="34"/>
      <c r="G94" s="34"/>
      <c r="H94" s="38"/>
      <c r="I94" s="38"/>
      <c r="J94" s="34"/>
      <c r="K94" s="34"/>
      <c r="L94" s="34" t="str">
        <f>IF(H94="","",H94-项目驾驶舱!$B$3)</f>
        <v/>
      </c>
      <c r="M94" s="34" t="str">
        <f>IF(OR(K94="已关闭",H94=""),"否",IF(H94&lt;项目驾驶舱!$B$3,"是","否"))</f>
        <v>否</v>
      </c>
      <c r="N94" s="34"/>
    </row>
    <row r="95" ht="17" customHeight="1" spans="1:14">
      <c r="A95" s="34"/>
      <c r="B95" s="34"/>
      <c r="C95" s="34"/>
      <c r="D95" s="34"/>
      <c r="E95" s="34"/>
      <c r="F95" s="34"/>
      <c r="G95" s="34"/>
      <c r="H95" s="38"/>
      <c r="I95" s="38"/>
      <c r="J95" s="34"/>
      <c r="K95" s="34"/>
      <c r="L95" s="34" t="str">
        <f>IF(H95="","",H95-项目驾驶舱!$B$3)</f>
        <v/>
      </c>
      <c r="M95" s="34" t="str">
        <f>IF(OR(K95="已关闭",H95=""),"否",IF(H95&lt;项目驾驶舱!$B$3,"是","否"))</f>
        <v>否</v>
      </c>
      <c r="N95" s="34"/>
    </row>
    <row r="96" ht="17" customHeight="1" spans="1:14">
      <c r="A96" s="34"/>
      <c r="B96" s="34"/>
      <c r="C96" s="34"/>
      <c r="D96" s="34"/>
      <c r="E96" s="34"/>
      <c r="F96" s="34"/>
      <c r="G96" s="34"/>
      <c r="H96" s="38"/>
      <c r="I96" s="38"/>
      <c r="J96" s="34"/>
      <c r="K96" s="34"/>
      <c r="L96" s="34" t="str">
        <f>IF(H96="","",H96-项目驾驶舱!$B$3)</f>
        <v/>
      </c>
      <c r="M96" s="34" t="str">
        <f>IF(OR(K96="已关闭",H96=""),"否",IF(H96&lt;项目驾驶舱!$B$3,"是","否"))</f>
        <v>否</v>
      </c>
      <c r="N96" s="34"/>
    </row>
    <row r="97" ht="17" customHeight="1" spans="1:14">
      <c r="A97" s="34"/>
      <c r="B97" s="34"/>
      <c r="C97" s="34"/>
      <c r="D97" s="34"/>
      <c r="E97" s="34"/>
      <c r="F97" s="34"/>
      <c r="G97" s="34"/>
      <c r="H97" s="38"/>
      <c r="I97" s="38"/>
      <c r="J97" s="34"/>
      <c r="K97" s="34"/>
      <c r="L97" s="34" t="str">
        <f>IF(H97="","",H97-项目驾驶舱!$B$3)</f>
        <v/>
      </c>
      <c r="M97" s="34" t="str">
        <f>IF(OR(K97="已关闭",H97=""),"否",IF(H97&lt;项目驾驶舱!$B$3,"是","否"))</f>
        <v>否</v>
      </c>
      <c r="N97" s="34"/>
    </row>
    <row r="98" ht="17" customHeight="1" spans="1:14">
      <c r="A98" s="34"/>
      <c r="B98" s="34"/>
      <c r="C98" s="34"/>
      <c r="D98" s="34"/>
      <c r="E98" s="34"/>
      <c r="F98" s="34"/>
      <c r="G98" s="34"/>
      <c r="H98" s="38"/>
      <c r="I98" s="38"/>
      <c r="J98" s="34"/>
      <c r="K98" s="34"/>
      <c r="L98" s="34" t="str">
        <f>IF(H98="","",H98-项目驾驶舱!$B$3)</f>
        <v/>
      </c>
      <c r="M98" s="34" t="str">
        <f>IF(OR(K98="已关闭",H98=""),"否",IF(H98&lt;项目驾驶舱!$B$3,"是","否"))</f>
        <v>否</v>
      </c>
      <c r="N98" s="34"/>
    </row>
    <row r="99" ht="17" customHeight="1" spans="1:14">
      <c r="A99" s="34"/>
      <c r="B99" s="34"/>
      <c r="C99" s="34"/>
      <c r="D99" s="34"/>
      <c r="E99" s="34"/>
      <c r="F99" s="34"/>
      <c r="G99" s="34"/>
      <c r="H99" s="38"/>
      <c r="I99" s="38"/>
      <c r="J99" s="34"/>
      <c r="K99" s="34"/>
      <c r="L99" s="34" t="str">
        <f>IF(H99="","",H99-项目驾驶舱!$B$3)</f>
        <v/>
      </c>
      <c r="M99" s="34" t="str">
        <f>IF(OR(K99="已关闭",H99=""),"否",IF(H99&lt;项目驾驶舱!$B$3,"是","否"))</f>
        <v>否</v>
      </c>
      <c r="N99" s="34"/>
    </row>
    <row r="100" ht="17" customHeight="1" spans="1:14">
      <c r="A100" s="34"/>
      <c r="B100" s="34"/>
      <c r="C100" s="34"/>
      <c r="D100" s="34"/>
      <c r="E100" s="34"/>
      <c r="F100" s="34"/>
      <c r="G100" s="34"/>
      <c r="H100" s="38"/>
      <c r="I100" s="38"/>
      <c r="J100" s="34"/>
      <c r="K100" s="34"/>
      <c r="L100" s="34" t="str">
        <f>IF(H100="","",H100-项目驾驶舱!$B$3)</f>
        <v/>
      </c>
      <c r="M100" s="34" t="str">
        <f>IF(OR(K100="已关闭",H100=""),"否",IF(H100&lt;项目驾驶舱!$B$3,"是","否"))</f>
        <v>否</v>
      </c>
      <c r="N100" s="34"/>
    </row>
    <row r="101" ht="17" customHeight="1" spans="1:14">
      <c r="A101" s="34"/>
      <c r="B101" s="34"/>
      <c r="C101" s="34"/>
      <c r="D101" s="34"/>
      <c r="E101" s="34"/>
      <c r="F101" s="34"/>
      <c r="G101" s="34"/>
      <c r="H101" s="38"/>
      <c r="I101" s="38"/>
      <c r="J101" s="34"/>
      <c r="K101" s="34"/>
      <c r="L101" s="34" t="str">
        <f>IF(H101="","",H101-项目驾驶舱!$B$3)</f>
        <v/>
      </c>
      <c r="M101" s="34" t="str">
        <f>IF(OR(K101="已关闭",H101=""),"否",IF(H101&lt;项目驾驶舱!$B$3,"是","否"))</f>
        <v>否</v>
      </c>
      <c r="N101" s="34"/>
    </row>
    <row r="102" ht="17" customHeight="1" spans="1:14">
      <c r="A102" s="34"/>
      <c r="B102" s="34"/>
      <c r="C102" s="34"/>
      <c r="D102" s="34"/>
      <c r="E102" s="34"/>
      <c r="F102" s="34"/>
      <c r="G102" s="34"/>
      <c r="H102" s="38"/>
      <c r="I102" s="38"/>
      <c r="J102" s="34"/>
      <c r="K102" s="34"/>
      <c r="L102" s="34" t="str">
        <f>IF(H102="","",H102-项目驾驶舱!$B$3)</f>
        <v/>
      </c>
      <c r="M102" s="34" t="str">
        <f>IF(OR(K102="已关闭",H102=""),"否",IF(H102&lt;项目驾驶舱!$B$3,"是","否"))</f>
        <v>否</v>
      </c>
      <c r="N102" s="34"/>
    </row>
    <row r="103" ht="17" customHeight="1" spans="1:14">
      <c r="A103" s="34"/>
      <c r="B103" s="34"/>
      <c r="C103" s="34"/>
      <c r="D103" s="34"/>
      <c r="E103" s="34"/>
      <c r="F103" s="34"/>
      <c r="G103" s="34"/>
      <c r="H103" s="38"/>
      <c r="I103" s="38"/>
      <c r="J103" s="34"/>
      <c r="K103" s="34"/>
      <c r="L103" s="34" t="str">
        <f>IF(H103="","",H103-项目驾驶舱!$B$3)</f>
        <v/>
      </c>
      <c r="M103" s="34" t="str">
        <f>IF(OR(K103="已关闭",H103=""),"否",IF(H103&lt;项目驾驶舱!$B$3,"是","否"))</f>
        <v>否</v>
      </c>
      <c r="N103" s="34"/>
    </row>
  </sheetData>
  <mergeCells count="1">
    <mergeCell ref="A1:N1"/>
  </mergeCells>
  <conditionalFormatting sqref="D4:D103">
    <cfRule type="containsText" dxfId="4" priority="1" operator="between" text="高">
      <formula>NOT(ISERROR(SEARCH("高",D4)))</formula>
    </cfRule>
  </conditionalFormatting>
  <conditionalFormatting sqref="M4:M103">
    <cfRule type="containsText" dxfId="4" priority="2" operator="between" text="是">
      <formula>NOT(ISERROR(SEARCH("是",M4)))</formula>
    </cfRule>
  </conditionalFormatting>
  <dataValidations count="3">
    <dataValidation type="list" sqref="B4:B103">
      <formula1>"风险,问题"</formula1>
    </dataValidation>
    <dataValidation type="list" sqref="D4:D103">
      <formula1>"低,中,高"</formula1>
    </dataValidation>
    <dataValidation type="list" sqref="K4:K103">
      <formula1>"待处理,处理中,已关闭,已接受"</formula1>
    </dataValidation>
  </dataValidation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showGridLines="0" workbookViewId="0">
      <selection activeCell="A1" sqref="A1:N1"/>
    </sheetView>
  </sheetViews>
  <sheetFormatPr defaultColWidth="9" defaultRowHeight="16.8"/>
  <cols>
    <col min="1" max="3" width="13" style="1" customWidth="1"/>
    <col min="4" max="4" width="38" style="1" customWidth="1"/>
    <col min="5" max="5" width="28" style="1" customWidth="1"/>
    <col min="6" max="6" width="10" style="1" customWidth="1"/>
    <col min="7" max="7" width="12" style="1" customWidth="1"/>
    <col min="8" max="8" width="32" style="1" customWidth="1"/>
    <col min="9" max="9" width="13" style="1" customWidth="1"/>
    <col min="10" max="10" width="15" style="1" customWidth="1"/>
    <col min="11" max="13" width="13" style="1" customWidth="1"/>
    <col min="14" max="14" width="30" style="1" customWidth="1"/>
  </cols>
  <sheetData>
    <row r="1" ht="34" customHeight="1" spans="1:14">
      <c r="A1" s="32" t="s">
        <v>1479</v>
      </c>
      <c r="B1" s="3"/>
      <c r="C1" s="3"/>
      <c r="D1" s="3"/>
      <c r="E1" s="3"/>
      <c r="F1" s="3"/>
      <c r="G1" s="3"/>
      <c r="H1" s="3"/>
      <c r="I1" s="3"/>
      <c r="J1" s="3"/>
      <c r="K1" s="3"/>
      <c r="L1" s="3"/>
      <c r="M1" s="3"/>
      <c r="N1" s="4"/>
    </row>
    <row r="3" ht="30" customHeight="1" spans="1:14">
      <c r="A3" s="37" t="s">
        <v>1480</v>
      </c>
      <c r="B3" s="37" t="s">
        <v>1481</v>
      </c>
      <c r="C3" s="37" t="s">
        <v>1482</v>
      </c>
      <c r="D3" s="37" t="s">
        <v>1483</v>
      </c>
      <c r="E3" s="37" t="s">
        <v>1484</v>
      </c>
      <c r="F3" s="37" t="s">
        <v>1485</v>
      </c>
      <c r="G3" s="37" t="s">
        <v>1486</v>
      </c>
      <c r="H3" s="37" t="s">
        <v>617</v>
      </c>
      <c r="I3" s="37" t="s">
        <v>1487</v>
      </c>
      <c r="J3" s="37" t="s">
        <v>616</v>
      </c>
      <c r="K3" s="37" t="s">
        <v>1488</v>
      </c>
      <c r="L3" s="37" t="s">
        <v>682</v>
      </c>
      <c r="M3" s="37" t="s">
        <v>1489</v>
      </c>
      <c r="N3" s="37" t="s">
        <v>1490</v>
      </c>
    </row>
    <row r="4" spans="1:14">
      <c r="A4" s="34"/>
      <c r="B4" s="38"/>
      <c r="C4" s="34"/>
      <c r="D4" s="34"/>
      <c r="E4" s="34"/>
      <c r="F4" s="34"/>
      <c r="G4" s="34"/>
      <c r="H4" s="34"/>
      <c r="I4" s="34"/>
      <c r="J4" s="34"/>
      <c r="K4" s="34"/>
      <c r="L4" s="34"/>
      <c r="M4" s="38"/>
      <c r="N4" s="34"/>
    </row>
    <row r="5" spans="1:14">
      <c r="A5" s="34"/>
      <c r="B5" s="38"/>
      <c r="C5" s="34"/>
      <c r="D5" s="34"/>
      <c r="E5" s="34"/>
      <c r="F5" s="34"/>
      <c r="G5" s="34"/>
      <c r="H5" s="34"/>
      <c r="I5" s="34"/>
      <c r="J5" s="34"/>
      <c r="K5" s="34"/>
      <c r="L5" s="34"/>
      <c r="M5" s="38"/>
      <c r="N5" s="34"/>
    </row>
    <row r="6" spans="1:14">
      <c r="A6" s="34"/>
      <c r="B6" s="38"/>
      <c r="C6" s="34"/>
      <c r="D6" s="34"/>
      <c r="E6" s="34"/>
      <c r="F6" s="34"/>
      <c r="G6" s="34"/>
      <c r="H6" s="34"/>
      <c r="I6" s="34"/>
      <c r="J6" s="34"/>
      <c r="K6" s="34"/>
      <c r="L6" s="34"/>
      <c r="M6" s="38"/>
      <c r="N6" s="34"/>
    </row>
    <row r="7" spans="1:14">
      <c r="A7" s="34"/>
      <c r="B7" s="38"/>
      <c r="C7" s="34"/>
      <c r="D7" s="34"/>
      <c r="E7" s="34"/>
      <c r="F7" s="34"/>
      <c r="G7" s="34"/>
      <c r="H7" s="34"/>
      <c r="I7" s="34"/>
      <c r="J7" s="34"/>
      <c r="K7" s="34"/>
      <c r="L7" s="34"/>
      <c r="M7" s="38"/>
      <c r="N7" s="34"/>
    </row>
    <row r="8" spans="1:14">
      <c r="A8" s="34"/>
      <c r="B8" s="38"/>
      <c r="C8" s="34"/>
      <c r="D8" s="34"/>
      <c r="E8" s="34"/>
      <c r="F8" s="34"/>
      <c r="G8" s="34"/>
      <c r="H8" s="34"/>
      <c r="I8" s="34"/>
      <c r="J8" s="34"/>
      <c r="K8" s="34"/>
      <c r="L8" s="34"/>
      <c r="M8" s="38"/>
      <c r="N8" s="34"/>
    </row>
    <row r="9" spans="1:14">
      <c r="A9" s="34"/>
      <c r="B9" s="38"/>
      <c r="C9" s="34"/>
      <c r="D9" s="34"/>
      <c r="E9" s="34"/>
      <c r="F9" s="34"/>
      <c r="G9" s="34"/>
      <c r="H9" s="34"/>
      <c r="I9" s="34"/>
      <c r="J9" s="34"/>
      <c r="K9" s="34"/>
      <c r="L9" s="34"/>
      <c r="M9" s="38"/>
      <c r="N9" s="34"/>
    </row>
    <row r="10" spans="1:14">
      <c r="A10" s="34"/>
      <c r="B10" s="38"/>
      <c r="C10" s="34"/>
      <c r="D10" s="34"/>
      <c r="E10" s="34"/>
      <c r="F10" s="34"/>
      <c r="G10" s="34"/>
      <c r="H10" s="34"/>
      <c r="I10" s="34"/>
      <c r="J10" s="34"/>
      <c r="K10" s="34"/>
      <c r="L10" s="34"/>
      <c r="M10" s="38"/>
      <c r="N10" s="34"/>
    </row>
    <row r="11" spans="1:14">
      <c r="A11" s="34"/>
      <c r="B11" s="38"/>
      <c r="C11" s="34"/>
      <c r="D11" s="34"/>
      <c r="E11" s="34"/>
      <c r="F11" s="34"/>
      <c r="G11" s="34"/>
      <c r="H11" s="34"/>
      <c r="I11" s="34"/>
      <c r="J11" s="34"/>
      <c r="K11" s="34"/>
      <c r="L11" s="34"/>
      <c r="M11" s="38"/>
      <c r="N11" s="34"/>
    </row>
    <row r="12" spans="1:14">
      <c r="A12" s="34"/>
      <c r="B12" s="38"/>
      <c r="C12" s="34"/>
      <c r="D12" s="34"/>
      <c r="E12" s="34"/>
      <c r="F12" s="34"/>
      <c r="G12" s="34"/>
      <c r="H12" s="34"/>
      <c r="I12" s="34"/>
      <c r="J12" s="34"/>
      <c r="K12" s="34"/>
      <c r="L12" s="34"/>
      <c r="M12" s="38"/>
      <c r="N12" s="34"/>
    </row>
    <row r="13" spans="1:14">
      <c r="A13" s="34"/>
      <c r="B13" s="38"/>
      <c r="C13" s="34"/>
      <c r="D13" s="34"/>
      <c r="E13" s="34"/>
      <c r="F13" s="34"/>
      <c r="G13" s="34"/>
      <c r="H13" s="34"/>
      <c r="I13" s="34"/>
      <c r="J13" s="34"/>
      <c r="K13" s="34"/>
      <c r="L13" s="34"/>
      <c r="M13" s="38"/>
      <c r="N13" s="34"/>
    </row>
    <row r="14" spans="1:14">
      <c r="A14" s="34"/>
      <c r="B14" s="38"/>
      <c r="C14" s="34"/>
      <c r="D14" s="34"/>
      <c r="E14" s="34"/>
      <c r="F14" s="34"/>
      <c r="G14" s="34"/>
      <c r="H14" s="34"/>
      <c r="I14" s="34"/>
      <c r="J14" s="34"/>
      <c r="K14" s="34"/>
      <c r="L14" s="34"/>
      <c r="M14" s="38"/>
      <c r="N14" s="34"/>
    </row>
    <row r="15" spans="1:14">
      <c r="A15" s="34"/>
      <c r="B15" s="38"/>
      <c r="C15" s="34"/>
      <c r="D15" s="34"/>
      <c r="E15" s="34"/>
      <c r="F15" s="34"/>
      <c r="G15" s="34"/>
      <c r="H15" s="34"/>
      <c r="I15" s="34"/>
      <c r="J15" s="34"/>
      <c r="K15" s="34"/>
      <c r="L15" s="34"/>
      <c r="M15" s="38"/>
      <c r="N15" s="34"/>
    </row>
    <row r="16" spans="1:14">
      <c r="A16" s="34"/>
      <c r="B16" s="38"/>
      <c r="C16" s="34"/>
      <c r="D16" s="34"/>
      <c r="E16" s="34"/>
      <c r="F16" s="34"/>
      <c r="G16" s="34"/>
      <c r="H16" s="34"/>
      <c r="I16" s="34"/>
      <c r="J16" s="34"/>
      <c r="K16" s="34"/>
      <c r="L16" s="34"/>
      <c r="M16" s="38"/>
      <c r="N16" s="34"/>
    </row>
    <row r="17" spans="1:14">
      <c r="A17" s="34"/>
      <c r="B17" s="38"/>
      <c r="C17" s="34"/>
      <c r="D17" s="34"/>
      <c r="E17" s="34"/>
      <c r="F17" s="34"/>
      <c r="G17" s="34"/>
      <c r="H17" s="34"/>
      <c r="I17" s="34"/>
      <c r="J17" s="34"/>
      <c r="K17" s="34"/>
      <c r="L17" s="34"/>
      <c r="M17" s="38"/>
      <c r="N17" s="34"/>
    </row>
    <row r="18" spans="1:14">
      <c r="A18" s="34"/>
      <c r="B18" s="38"/>
      <c r="C18" s="34"/>
      <c r="D18" s="34"/>
      <c r="E18" s="34"/>
      <c r="F18" s="34"/>
      <c r="G18" s="34"/>
      <c r="H18" s="34"/>
      <c r="I18" s="34"/>
      <c r="J18" s="34"/>
      <c r="K18" s="34"/>
      <c r="L18" s="34"/>
      <c r="M18" s="38"/>
      <c r="N18" s="34"/>
    </row>
    <row r="19" spans="1:14">
      <c r="A19" s="34"/>
      <c r="B19" s="38"/>
      <c r="C19" s="34"/>
      <c r="D19" s="34"/>
      <c r="E19" s="34"/>
      <c r="F19" s="34"/>
      <c r="G19" s="34"/>
      <c r="H19" s="34"/>
      <c r="I19" s="34"/>
      <c r="J19" s="34"/>
      <c r="K19" s="34"/>
      <c r="L19" s="34"/>
      <c r="M19" s="38"/>
      <c r="N19" s="34"/>
    </row>
    <row r="20" spans="1:14">
      <c r="A20" s="34"/>
      <c r="B20" s="38"/>
      <c r="C20" s="34"/>
      <c r="D20" s="34"/>
      <c r="E20" s="34"/>
      <c r="F20" s="34"/>
      <c r="G20" s="34"/>
      <c r="H20" s="34"/>
      <c r="I20" s="34"/>
      <c r="J20" s="34"/>
      <c r="K20" s="34"/>
      <c r="L20" s="34"/>
      <c r="M20" s="38"/>
      <c r="N20" s="34"/>
    </row>
    <row r="21" spans="1:14">
      <c r="A21" s="34"/>
      <c r="B21" s="38"/>
      <c r="C21" s="34"/>
      <c r="D21" s="34"/>
      <c r="E21" s="34"/>
      <c r="F21" s="34"/>
      <c r="G21" s="34"/>
      <c r="H21" s="34"/>
      <c r="I21" s="34"/>
      <c r="J21" s="34"/>
      <c r="K21" s="34"/>
      <c r="L21" s="34"/>
      <c r="M21" s="38"/>
      <c r="N21" s="34"/>
    </row>
    <row r="22" spans="1:14">
      <c r="A22" s="34"/>
      <c r="B22" s="38"/>
      <c r="C22" s="34"/>
      <c r="D22" s="34"/>
      <c r="E22" s="34"/>
      <c r="F22" s="34"/>
      <c r="G22" s="34"/>
      <c r="H22" s="34"/>
      <c r="I22" s="34"/>
      <c r="J22" s="34"/>
      <c r="K22" s="34"/>
      <c r="L22" s="34"/>
      <c r="M22" s="38"/>
      <c r="N22" s="34"/>
    </row>
    <row r="23" spans="1:14">
      <c r="A23" s="34"/>
      <c r="B23" s="38"/>
      <c r="C23" s="34"/>
      <c r="D23" s="34"/>
      <c r="E23" s="34"/>
      <c r="F23" s="34"/>
      <c r="G23" s="34"/>
      <c r="H23" s="34"/>
      <c r="I23" s="34"/>
      <c r="J23" s="34"/>
      <c r="K23" s="34"/>
      <c r="L23" s="34"/>
      <c r="M23" s="38"/>
      <c r="N23" s="34"/>
    </row>
    <row r="24" spans="1:14">
      <c r="A24" s="34"/>
      <c r="B24" s="38"/>
      <c r="C24" s="34"/>
      <c r="D24" s="34"/>
      <c r="E24" s="34"/>
      <c r="F24" s="34"/>
      <c r="G24" s="34"/>
      <c r="H24" s="34"/>
      <c r="I24" s="34"/>
      <c r="J24" s="34"/>
      <c r="K24" s="34"/>
      <c r="L24" s="34"/>
      <c r="M24" s="38"/>
      <c r="N24" s="34"/>
    </row>
    <row r="25" spans="1:14">
      <c r="A25" s="34"/>
      <c r="B25" s="38"/>
      <c r="C25" s="34"/>
      <c r="D25" s="34"/>
      <c r="E25" s="34"/>
      <c r="F25" s="34"/>
      <c r="G25" s="34"/>
      <c r="H25" s="34"/>
      <c r="I25" s="34"/>
      <c r="J25" s="34"/>
      <c r="K25" s="34"/>
      <c r="L25" s="34"/>
      <c r="M25" s="38"/>
      <c r="N25" s="34"/>
    </row>
    <row r="26" spans="1:14">
      <c r="A26" s="34"/>
      <c r="B26" s="38"/>
      <c r="C26" s="34"/>
      <c r="D26" s="34"/>
      <c r="E26" s="34"/>
      <c r="F26" s="34"/>
      <c r="G26" s="34"/>
      <c r="H26" s="34"/>
      <c r="I26" s="34"/>
      <c r="J26" s="34"/>
      <c r="K26" s="34"/>
      <c r="L26" s="34"/>
      <c r="M26" s="38"/>
      <c r="N26" s="34"/>
    </row>
    <row r="27" spans="1:14">
      <c r="A27" s="34"/>
      <c r="B27" s="38"/>
      <c r="C27" s="34"/>
      <c r="D27" s="34"/>
      <c r="E27" s="34"/>
      <c r="F27" s="34"/>
      <c r="G27" s="34"/>
      <c r="H27" s="34"/>
      <c r="I27" s="34"/>
      <c r="J27" s="34"/>
      <c r="K27" s="34"/>
      <c r="L27" s="34"/>
      <c r="M27" s="38"/>
      <c r="N27" s="34"/>
    </row>
    <row r="28" spans="1:14">
      <c r="A28" s="34"/>
      <c r="B28" s="38"/>
      <c r="C28" s="34"/>
      <c r="D28" s="34"/>
      <c r="E28" s="34"/>
      <c r="F28" s="34"/>
      <c r="G28" s="34"/>
      <c r="H28" s="34"/>
      <c r="I28" s="34"/>
      <c r="J28" s="34"/>
      <c r="K28" s="34"/>
      <c r="L28" s="34"/>
      <c r="M28" s="38"/>
      <c r="N28" s="34"/>
    </row>
    <row r="29" spans="1:14">
      <c r="A29" s="34"/>
      <c r="B29" s="38"/>
      <c r="C29" s="34"/>
      <c r="D29" s="34"/>
      <c r="E29" s="34"/>
      <c r="F29" s="34"/>
      <c r="G29" s="34"/>
      <c r="H29" s="34"/>
      <c r="I29" s="34"/>
      <c r="J29" s="34"/>
      <c r="K29" s="34"/>
      <c r="L29" s="34"/>
      <c r="M29" s="38"/>
      <c r="N29" s="34"/>
    </row>
    <row r="30" spans="1:14">
      <c r="A30" s="34"/>
      <c r="B30" s="38"/>
      <c r="C30" s="34"/>
      <c r="D30" s="34"/>
      <c r="E30" s="34"/>
      <c r="F30" s="34"/>
      <c r="G30" s="34"/>
      <c r="H30" s="34"/>
      <c r="I30" s="34"/>
      <c r="J30" s="34"/>
      <c r="K30" s="34"/>
      <c r="L30" s="34"/>
      <c r="M30" s="38"/>
      <c r="N30" s="34"/>
    </row>
    <row r="31" spans="1:14">
      <c r="A31" s="34"/>
      <c r="B31" s="38"/>
      <c r="C31" s="34"/>
      <c r="D31" s="34"/>
      <c r="E31" s="34"/>
      <c r="F31" s="34"/>
      <c r="G31" s="34"/>
      <c r="H31" s="34"/>
      <c r="I31" s="34"/>
      <c r="J31" s="34"/>
      <c r="K31" s="34"/>
      <c r="L31" s="34"/>
      <c r="M31" s="38"/>
      <c r="N31" s="34"/>
    </row>
    <row r="32" spans="1:14">
      <c r="A32" s="34"/>
      <c r="B32" s="38"/>
      <c r="C32" s="34"/>
      <c r="D32" s="34"/>
      <c r="E32" s="34"/>
      <c r="F32" s="34"/>
      <c r="G32" s="34"/>
      <c r="H32" s="34"/>
      <c r="I32" s="34"/>
      <c r="J32" s="34"/>
      <c r="K32" s="34"/>
      <c r="L32" s="34"/>
      <c r="M32" s="38"/>
      <c r="N32" s="34"/>
    </row>
    <row r="33" spans="1:14">
      <c r="A33" s="34"/>
      <c r="B33" s="38"/>
      <c r="C33" s="34"/>
      <c r="D33" s="34"/>
      <c r="E33" s="34"/>
      <c r="F33" s="34"/>
      <c r="G33" s="34"/>
      <c r="H33" s="34"/>
      <c r="I33" s="34"/>
      <c r="J33" s="34"/>
      <c r="K33" s="34"/>
      <c r="L33" s="34"/>
      <c r="M33" s="38"/>
      <c r="N33" s="34"/>
    </row>
    <row r="34" spans="1:14">
      <c r="A34" s="34"/>
      <c r="B34" s="38"/>
      <c r="C34" s="34"/>
      <c r="D34" s="34"/>
      <c r="E34" s="34"/>
      <c r="F34" s="34"/>
      <c r="G34" s="34"/>
      <c r="H34" s="34"/>
      <c r="I34" s="34"/>
      <c r="J34" s="34"/>
      <c r="K34" s="34"/>
      <c r="L34" s="34"/>
      <c r="M34" s="38"/>
      <c r="N34" s="34"/>
    </row>
    <row r="35" spans="1:14">
      <c r="A35" s="34"/>
      <c r="B35" s="38"/>
      <c r="C35" s="34"/>
      <c r="D35" s="34"/>
      <c r="E35" s="34"/>
      <c r="F35" s="34"/>
      <c r="G35" s="34"/>
      <c r="H35" s="34"/>
      <c r="I35" s="34"/>
      <c r="J35" s="34"/>
      <c r="K35" s="34"/>
      <c r="L35" s="34"/>
      <c r="M35" s="38"/>
      <c r="N35" s="34"/>
    </row>
    <row r="36" spans="1:14">
      <c r="A36" s="34"/>
      <c r="B36" s="38"/>
      <c r="C36" s="34"/>
      <c r="D36" s="34"/>
      <c r="E36" s="34"/>
      <c r="F36" s="34"/>
      <c r="G36" s="34"/>
      <c r="H36" s="34"/>
      <c r="I36" s="34"/>
      <c r="J36" s="34"/>
      <c r="K36" s="34"/>
      <c r="L36" s="34"/>
      <c r="M36" s="38"/>
      <c r="N36" s="34"/>
    </row>
    <row r="37" spans="1:14">
      <c r="A37" s="34"/>
      <c r="B37" s="38"/>
      <c r="C37" s="34"/>
      <c r="D37" s="34"/>
      <c r="E37" s="34"/>
      <c r="F37" s="34"/>
      <c r="G37" s="34"/>
      <c r="H37" s="34"/>
      <c r="I37" s="34"/>
      <c r="J37" s="34"/>
      <c r="K37" s="34"/>
      <c r="L37" s="34"/>
      <c r="M37" s="38"/>
      <c r="N37" s="34"/>
    </row>
    <row r="38" spans="1:14">
      <c r="A38" s="34"/>
      <c r="B38" s="38"/>
      <c r="C38" s="34"/>
      <c r="D38" s="34"/>
      <c r="E38" s="34"/>
      <c r="F38" s="34"/>
      <c r="G38" s="34"/>
      <c r="H38" s="34"/>
      <c r="I38" s="34"/>
      <c r="J38" s="34"/>
      <c r="K38" s="34"/>
      <c r="L38" s="34"/>
      <c r="M38" s="38"/>
      <c r="N38" s="34"/>
    </row>
    <row r="39" spans="1:14">
      <c r="A39" s="34"/>
      <c r="B39" s="38"/>
      <c r="C39" s="34"/>
      <c r="D39" s="34"/>
      <c r="E39" s="34"/>
      <c r="F39" s="34"/>
      <c r="G39" s="34"/>
      <c r="H39" s="34"/>
      <c r="I39" s="34"/>
      <c r="J39" s="34"/>
      <c r="K39" s="34"/>
      <c r="L39" s="34"/>
      <c r="M39" s="38"/>
      <c r="N39" s="34"/>
    </row>
    <row r="40" spans="1:14">
      <c r="A40" s="34"/>
      <c r="B40" s="38"/>
      <c r="C40" s="34"/>
      <c r="D40" s="34"/>
      <c r="E40" s="34"/>
      <c r="F40" s="34"/>
      <c r="G40" s="34"/>
      <c r="H40" s="34"/>
      <c r="I40" s="34"/>
      <c r="J40" s="34"/>
      <c r="K40" s="34"/>
      <c r="L40" s="34"/>
      <c r="M40" s="38"/>
      <c r="N40" s="34"/>
    </row>
    <row r="41" spans="1:14">
      <c r="A41" s="34"/>
      <c r="B41" s="38"/>
      <c r="C41" s="34"/>
      <c r="D41" s="34"/>
      <c r="E41" s="34"/>
      <c r="F41" s="34"/>
      <c r="G41" s="34"/>
      <c r="H41" s="34"/>
      <c r="I41" s="34"/>
      <c r="J41" s="34"/>
      <c r="K41" s="34"/>
      <c r="L41" s="34"/>
      <c r="M41" s="38"/>
      <c r="N41" s="34"/>
    </row>
    <row r="42" spans="1:14">
      <c r="A42" s="34"/>
      <c r="B42" s="38"/>
      <c r="C42" s="34"/>
      <c r="D42" s="34"/>
      <c r="E42" s="34"/>
      <c r="F42" s="34"/>
      <c r="G42" s="34"/>
      <c r="H42" s="34"/>
      <c r="I42" s="34"/>
      <c r="J42" s="34"/>
      <c r="K42" s="34"/>
      <c r="L42" s="34"/>
      <c r="M42" s="38"/>
      <c r="N42" s="34"/>
    </row>
    <row r="43" spans="1:14">
      <c r="A43" s="34"/>
      <c r="B43" s="38"/>
      <c r="C43" s="34"/>
      <c r="D43" s="34"/>
      <c r="E43" s="34"/>
      <c r="F43" s="34"/>
      <c r="G43" s="34"/>
      <c r="H43" s="34"/>
      <c r="I43" s="34"/>
      <c r="J43" s="34"/>
      <c r="K43" s="34"/>
      <c r="L43" s="34"/>
      <c r="M43" s="38"/>
      <c r="N43" s="34"/>
    </row>
    <row r="44" spans="1:14">
      <c r="A44" s="34"/>
      <c r="B44" s="38"/>
      <c r="C44" s="34"/>
      <c r="D44" s="34"/>
      <c r="E44" s="34"/>
      <c r="F44" s="34"/>
      <c r="G44" s="34"/>
      <c r="H44" s="34"/>
      <c r="I44" s="34"/>
      <c r="J44" s="34"/>
      <c r="K44" s="34"/>
      <c r="L44" s="34"/>
      <c r="M44" s="38"/>
      <c r="N44" s="34"/>
    </row>
    <row r="45" spans="1:14">
      <c r="A45" s="34"/>
      <c r="B45" s="38"/>
      <c r="C45" s="34"/>
      <c r="D45" s="34"/>
      <c r="E45" s="34"/>
      <c r="F45" s="34"/>
      <c r="G45" s="34"/>
      <c r="H45" s="34"/>
      <c r="I45" s="34"/>
      <c r="J45" s="34"/>
      <c r="K45" s="34"/>
      <c r="L45" s="34"/>
      <c r="M45" s="38"/>
      <c r="N45" s="34"/>
    </row>
    <row r="46" spans="1:14">
      <c r="A46" s="34"/>
      <c r="B46" s="38"/>
      <c r="C46" s="34"/>
      <c r="D46" s="34"/>
      <c r="E46" s="34"/>
      <c r="F46" s="34"/>
      <c r="G46" s="34"/>
      <c r="H46" s="34"/>
      <c r="I46" s="34"/>
      <c r="J46" s="34"/>
      <c r="K46" s="34"/>
      <c r="L46" s="34"/>
      <c r="M46" s="38"/>
      <c r="N46" s="34"/>
    </row>
    <row r="47" spans="1:14">
      <c r="A47" s="34"/>
      <c r="B47" s="38"/>
      <c r="C47" s="34"/>
      <c r="D47" s="34"/>
      <c r="E47" s="34"/>
      <c r="F47" s="34"/>
      <c r="G47" s="34"/>
      <c r="H47" s="34"/>
      <c r="I47" s="34"/>
      <c r="J47" s="34"/>
      <c r="K47" s="34"/>
      <c r="L47" s="34"/>
      <c r="M47" s="38"/>
      <c r="N47" s="34"/>
    </row>
    <row r="48" spans="1:14">
      <c r="A48" s="34"/>
      <c r="B48" s="38"/>
      <c r="C48" s="34"/>
      <c r="D48" s="34"/>
      <c r="E48" s="34"/>
      <c r="F48" s="34"/>
      <c r="G48" s="34"/>
      <c r="H48" s="34"/>
      <c r="I48" s="34"/>
      <c r="J48" s="34"/>
      <c r="K48" s="34"/>
      <c r="L48" s="34"/>
      <c r="M48" s="38"/>
      <c r="N48" s="34"/>
    </row>
    <row r="49" spans="1:14">
      <c r="A49" s="34"/>
      <c r="B49" s="38"/>
      <c r="C49" s="34"/>
      <c r="D49" s="34"/>
      <c r="E49" s="34"/>
      <c r="F49" s="34"/>
      <c r="G49" s="34"/>
      <c r="H49" s="34"/>
      <c r="I49" s="34"/>
      <c r="J49" s="34"/>
      <c r="K49" s="34"/>
      <c r="L49" s="34"/>
      <c r="M49" s="38"/>
      <c r="N49" s="34"/>
    </row>
    <row r="50" spans="1:14">
      <c r="A50" s="34"/>
      <c r="B50" s="38"/>
      <c r="C50" s="34"/>
      <c r="D50" s="34"/>
      <c r="E50" s="34"/>
      <c r="F50" s="34"/>
      <c r="G50" s="34"/>
      <c r="H50" s="34"/>
      <c r="I50" s="34"/>
      <c r="J50" s="34"/>
      <c r="K50" s="34"/>
      <c r="L50" s="34"/>
      <c r="M50" s="38"/>
      <c r="N50" s="34"/>
    </row>
    <row r="51" spans="1:14">
      <c r="A51" s="34"/>
      <c r="B51" s="38"/>
      <c r="C51" s="34"/>
      <c r="D51" s="34"/>
      <c r="E51" s="34"/>
      <c r="F51" s="34"/>
      <c r="G51" s="34"/>
      <c r="H51" s="34"/>
      <c r="I51" s="34"/>
      <c r="J51" s="34"/>
      <c r="K51" s="34"/>
      <c r="L51" s="34"/>
      <c r="M51" s="38"/>
      <c r="N51" s="34"/>
    </row>
    <row r="52" spans="1:14">
      <c r="A52" s="34"/>
      <c r="B52" s="38"/>
      <c r="C52" s="34"/>
      <c r="D52" s="34"/>
      <c r="E52" s="34"/>
      <c r="F52" s="34"/>
      <c r="G52" s="34"/>
      <c r="H52" s="34"/>
      <c r="I52" s="34"/>
      <c r="J52" s="34"/>
      <c r="K52" s="34"/>
      <c r="L52" s="34"/>
      <c r="M52" s="38"/>
      <c r="N52" s="34"/>
    </row>
    <row r="53" spans="1:14">
      <c r="A53" s="34"/>
      <c r="B53" s="38"/>
      <c r="C53" s="34"/>
      <c r="D53" s="34"/>
      <c r="E53" s="34"/>
      <c r="F53" s="34"/>
      <c r="G53" s="34"/>
      <c r="H53" s="34"/>
      <c r="I53" s="34"/>
      <c r="J53" s="34"/>
      <c r="K53" s="34"/>
      <c r="L53" s="34"/>
      <c r="M53" s="38"/>
      <c r="N53" s="34"/>
    </row>
  </sheetData>
  <mergeCells count="1">
    <mergeCell ref="A1:N1"/>
  </mergeCells>
  <dataValidations count="2">
    <dataValidation type="list" sqref="F4:F53">
      <formula1>"低,中,高,紧急"</formula1>
    </dataValidation>
    <dataValidation type="list" sqref="G4:G53">
      <formula1>"评估中,待审批,已批准,已拒绝,已实施,已关闭"</formula1>
    </dataValidation>
  </dataValidation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showGridLines="0" workbookViewId="0">
      <selection activeCell="A1" sqref="A1:K1"/>
    </sheetView>
  </sheetViews>
  <sheetFormatPr defaultColWidth="9" defaultRowHeight="16.8"/>
  <cols>
    <col min="1" max="1" width="12" style="1" customWidth="1"/>
    <col min="2" max="2" width="30" style="1" customWidth="1"/>
    <col min="3" max="3" width="12" style="1" customWidth="1"/>
    <col min="4" max="4" width="15" style="1" customWidth="1"/>
    <col min="5" max="6" width="13" style="1" customWidth="1"/>
    <col min="7" max="7" width="12" style="1" customWidth="1"/>
    <col min="8" max="8" width="15" style="1" customWidth="1"/>
    <col min="9" max="9" width="14" style="1" customWidth="1"/>
    <col min="10" max="10" width="32" style="1" customWidth="1"/>
    <col min="11" max="11" width="28" style="1" customWidth="1"/>
  </cols>
  <sheetData>
    <row r="1" ht="34" customHeight="1" spans="1:11">
      <c r="A1" s="32" t="s">
        <v>1491</v>
      </c>
      <c r="B1" s="3"/>
      <c r="C1" s="3"/>
      <c r="D1" s="3"/>
      <c r="E1" s="3"/>
      <c r="F1" s="3"/>
      <c r="G1" s="3"/>
      <c r="H1" s="3"/>
      <c r="I1" s="3"/>
      <c r="J1" s="3"/>
      <c r="K1" s="4"/>
    </row>
    <row r="3" ht="30" customHeight="1" spans="1:11">
      <c r="A3" s="37" t="s">
        <v>1492</v>
      </c>
      <c r="B3" s="37" t="s">
        <v>1493</v>
      </c>
      <c r="C3" s="37" t="s">
        <v>657</v>
      </c>
      <c r="D3" s="37" t="s">
        <v>707</v>
      </c>
      <c r="E3" s="37" t="s">
        <v>49</v>
      </c>
      <c r="F3" s="37" t="s">
        <v>1402</v>
      </c>
      <c r="G3" s="37" t="s">
        <v>21</v>
      </c>
      <c r="H3" s="37" t="s">
        <v>1494</v>
      </c>
      <c r="I3" s="37" t="s">
        <v>1495</v>
      </c>
      <c r="J3" s="37" t="s">
        <v>1496</v>
      </c>
      <c r="K3" s="37" t="s">
        <v>69</v>
      </c>
    </row>
    <row r="4" ht="17" customHeight="1" spans="1:11">
      <c r="A4" s="34" t="s">
        <v>1497</v>
      </c>
      <c r="B4" s="34" t="s">
        <v>1498</v>
      </c>
      <c r="C4" s="34" t="s">
        <v>1499</v>
      </c>
      <c r="D4" s="34" t="s">
        <v>508</v>
      </c>
      <c r="E4" s="38">
        <v>46192</v>
      </c>
      <c r="F4" s="38"/>
      <c r="G4" s="34" t="s">
        <v>4</v>
      </c>
      <c r="H4" s="34" t="s">
        <v>1500</v>
      </c>
      <c r="I4" s="34" t="s">
        <v>1501</v>
      </c>
      <c r="J4" s="34" t="s">
        <v>79</v>
      </c>
      <c r="K4" s="34" t="s">
        <v>79</v>
      </c>
    </row>
    <row r="5" ht="17" customHeight="1" spans="1:11">
      <c r="A5" s="34" t="s">
        <v>1502</v>
      </c>
      <c r="B5" s="34" t="s">
        <v>1503</v>
      </c>
      <c r="C5" s="34" t="s">
        <v>1504</v>
      </c>
      <c r="D5" s="34" t="s">
        <v>75</v>
      </c>
      <c r="E5" s="38">
        <v>46241</v>
      </c>
      <c r="F5" s="38"/>
      <c r="G5" s="34" t="s">
        <v>4</v>
      </c>
      <c r="H5" s="34" t="s">
        <v>51</v>
      </c>
      <c r="I5" s="34" t="s">
        <v>1501</v>
      </c>
      <c r="J5" s="34" t="s">
        <v>79</v>
      </c>
      <c r="K5" s="34" t="s">
        <v>79</v>
      </c>
    </row>
    <row r="6" ht="17" customHeight="1" spans="1:11">
      <c r="A6" s="34" t="s">
        <v>1505</v>
      </c>
      <c r="B6" s="34" t="s">
        <v>1506</v>
      </c>
      <c r="C6" s="34" t="s">
        <v>1507</v>
      </c>
      <c r="D6" s="34" t="s">
        <v>1460</v>
      </c>
      <c r="E6" s="38">
        <v>46248</v>
      </c>
      <c r="F6" s="38"/>
      <c r="G6" s="34" t="s">
        <v>4</v>
      </c>
      <c r="H6" s="34" t="s">
        <v>1508</v>
      </c>
      <c r="I6" s="34" t="s">
        <v>1501</v>
      </c>
      <c r="J6" s="34" t="s">
        <v>79</v>
      </c>
      <c r="K6" s="34" t="s">
        <v>79</v>
      </c>
    </row>
    <row r="7" ht="17" customHeight="1" spans="1:11">
      <c r="A7" s="34" t="s">
        <v>1509</v>
      </c>
      <c r="B7" s="34" t="s">
        <v>1510</v>
      </c>
      <c r="C7" s="34" t="s">
        <v>1511</v>
      </c>
      <c r="D7" s="34" t="s">
        <v>741</v>
      </c>
      <c r="E7" s="38">
        <v>46283</v>
      </c>
      <c r="F7" s="38"/>
      <c r="G7" s="34" t="s">
        <v>4</v>
      </c>
      <c r="H7" s="34" t="s">
        <v>1460</v>
      </c>
      <c r="I7" s="34" t="s">
        <v>1501</v>
      </c>
      <c r="J7" s="34" t="s">
        <v>79</v>
      </c>
      <c r="K7" s="34" t="s">
        <v>79</v>
      </c>
    </row>
    <row r="8" ht="17" customHeight="1" spans="1:11">
      <c r="A8" s="34" t="s">
        <v>1512</v>
      </c>
      <c r="B8" s="34" t="s">
        <v>1513</v>
      </c>
      <c r="C8" s="34" t="s">
        <v>411</v>
      </c>
      <c r="D8" s="34" t="s">
        <v>78</v>
      </c>
      <c r="E8" s="38">
        <v>46318</v>
      </c>
      <c r="F8" s="38"/>
      <c r="G8" s="34" t="s">
        <v>4</v>
      </c>
      <c r="H8" s="34" t="s">
        <v>508</v>
      </c>
      <c r="I8" s="34" t="s">
        <v>1501</v>
      </c>
      <c r="J8" s="34" t="s">
        <v>79</v>
      </c>
      <c r="K8" s="34" t="s">
        <v>79</v>
      </c>
    </row>
    <row r="9" ht="17" customHeight="1" spans="1:11">
      <c r="A9" s="34" t="s">
        <v>1514</v>
      </c>
      <c r="B9" s="34" t="s">
        <v>1515</v>
      </c>
      <c r="C9" s="34" t="s">
        <v>411</v>
      </c>
      <c r="D9" s="34" t="s">
        <v>78</v>
      </c>
      <c r="E9" s="38">
        <v>46353</v>
      </c>
      <c r="F9" s="38"/>
      <c r="G9" s="34" t="s">
        <v>5</v>
      </c>
      <c r="H9" s="34" t="s">
        <v>508</v>
      </c>
      <c r="I9" s="34" t="s">
        <v>1501</v>
      </c>
      <c r="J9" s="34" t="s">
        <v>79</v>
      </c>
      <c r="K9" s="34" t="s">
        <v>79</v>
      </c>
    </row>
    <row r="10" ht="17" customHeight="1" spans="1:11">
      <c r="A10" s="34" t="s">
        <v>1516</v>
      </c>
      <c r="B10" s="34" t="s">
        <v>1517</v>
      </c>
      <c r="C10" s="34" t="s">
        <v>1518</v>
      </c>
      <c r="D10" s="34" t="s">
        <v>1519</v>
      </c>
      <c r="E10" s="38">
        <v>46346</v>
      </c>
      <c r="F10" s="38"/>
      <c r="G10" s="34" t="s">
        <v>5</v>
      </c>
      <c r="H10" s="34" t="s">
        <v>508</v>
      </c>
      <c r="I10" s="34" t="s">
        <v>1501</v>
      </c>
      <c r="J10" s="34" t="s">
        <v>79</v>
      </c>
      <c r="K10" s="34" t="s">
        <v>79</v>
      </c>
    </row>
    <row r="11" ht="17" customHeight="1" spans="1:11">
      <c r="A11" s="34" t="s">
        <v>1520</v>
      </c>
      <c r="B11" s="34" t="s">
        <v>1521</v>
      </c>
      <c r="C11" s="34" t="s">
        <v>1522</v>
      </c>
      <c r="D11" s="34" t="s">
        <v>1523</v>
      </c>
      <c r="E11" s="38">
        <v>46349</v>
      </c>
      <c r="F11" s="38"/>
      <c r="G11" s="34" t="s">
        <v>5</v>
      </c>
      <c r="H11" s="34" t="s">
        <v>51</v>
      </c>
      <c r="I11" s="34" t="s">
        <v>1501</v>
      </c>
      <c r="J11" s="34" t="s">
        <v>79</v>
      </c>
      <c r="K11" s="34" t="s">
        <v>79</v>
      </c>
    </row>
    <row r="12" ht="17" customHeight="1" spans="1:11">
      <c r="A12" s="34" t="s">
        <v>1524</v>
      </c>
      <c r="B12" s="34" t="s">
        <v>1525</v>
      </c>
      <c r="C12" s="34" t="s">
        <v>1526</v>
      </c>
      <c r="D12" s="34" t="s">
        <v>508</v>
      </c>
      <c r="E12" s="38">
        <v>46356</v>
      </c>
      <c r="F12" s="38"/>
      <c r="G12" s="34" t="s">
        <v>5</v>
      </c>
      <c r="H12" s="34" t="s">
        <v>1500</v>
      </c>
      <c r="I12" s="34" t="s">
        <v>1501</v>
      </c>
      <c r="J12" s="34" t="s">
        <v>79</v>
      </c>
      <c r="K12" s="34" t="s">
        <v>79</v>
      </c>
    </row>
    <row r="13" ht="17" customHeight="1" spans="1:11">
      <c r="A13" s="34" t="s">
        <v>1527</v>
      </c>
      <c r="B13" s="34" t="s">
        <v>1528</v>
      </c>
      <c r="C13" s="34" t="s">
        <v>1529</v>
      </c>
      <c r="D13" s="34" t="s">
        <v>508</v>
      </c>
      <c r="E13" s="38">
        <v>46360</v>
      </c>
      <c r="F13" s="38"/>
      <c r="G13" s="34" t="s">
        <v>5</v>
      </c>
      <c r="H13" s="34" t="s">
        <v>1500</v>
      </c>
      <c r="I13" s="34" t="s">
        <v>1501</v>
      </c>
      <c r="J13" s="34" t="s">
        <v>79</v>
      </c>
      <c r="K13" s="34" t="s">
        <v>79</v>
      </c>
    </row>
    <row r="14" spans="1:11">
      <c r="A14" s="34"/>
      <c r="B14" s="34"/>
      <c r="C14" s="34"/>
      <c r="D14" s="34"/>
      <c r="E14" s="38"/>
      <c r="F14" s="38"/>
      <c r="G14" s="34"/>
      <c r="H14" s="34"/>
      <c r="I14" s="34"/>
      <c r="J14" s="34"/>
      <c r="K14" s="34"/>
    </row>
    <row r="15" spans="1:11">
      <c r="A15" s="34"/>
      <c r="B15" s="34"/>
      <c r="C15" s="34"/>
      <c r="D15" s="34"/>
      <c r="E15" s="38"/>
      <c r="F15" s="38"/>
      <c r="G15" s="34"/>
      <c r="H15" s="34"/>
      <c r="I15" s="34"/>
      <c r="J15" s="34"/>
      <c r="K15" s="34"/>
    </row>
    <row r="16" spans="1:11">
      <c r="A16" s="34"/>
      <c r="B16" s="34"/>
      <c r="C16" s="34"/>
      <c r="D16" s="34"/>
      <c r="E16" s="38"/>
      <c r="F16" s="38"/>
      <c r="G16" s="34"/>
      <c r="H16" s="34"/>
      <c r="I16" s="34"/>
      <c r="J16" s="34"/>
      <c r="K16" s="34"/>
    </row>
    <row r="17" spans="1:11">
      <c r="A17" s="34"/>
      <c r="B17" s="34"/>
      <c r="C17" s="34"/>
      <c r="D17" s="34"/>
      <c r="E17" s="38"/>
      <c r="F17" s="38"/>
      <c r="G17" s="34"/>
      <c r="H17" s="34"/>
      <c r="I17" s="34"/>
      <c r="J17" s="34"/>
      <c r="K17" s="34"/>
    </row>
    <row r="18" spans="1:11">
      <c r="A18" s="34"/>
      <c r="B18" s="34"/>
      <c r="C18" s="34"/>
      <c r="D18" s="34"/>
      <c r="E18" s="38"/>
      <c r="F18" s="38"/>
      <c r="G18" s="34"/>
      <c r="H18" s="34"/>
      <c r="I18" s="34"/>
      <c r="J18" s="34"/>
      <c r="K18" s="34"/>
    </row>
    <row r="19" spans="1:11">
      <c r="A19" s="34"/>
      <c r="B19" s="34"/>
      <c r="C19" s="34"/>
      <c r="D19" s="34"/>
      <c r="E19" s="38"/>
      <c r="F19" s="38"/>
      <c r="G19" s="34"/>
      <c r="H19" s="34"/>
      <c r="I19" s="34"/>
      <c r="J19" s="34"/>
      <c r="K19" s="34"/>
    </row>
    <row r="20" spans="1:11">
      <c r="A20" s="34"/>
      <c r="B20" s="34"/>
      <c r="C20" s="34"/>
      <c r="D20" s="34"/>
      <c r="E20" s="38"/>
      <c r="F20" s="38"/>
      <c r="G20" s="34"/>
      <c r="H20" s="34"/>
      <c r="I20" s="34"/>
      <c r="J20" s="34"/>
      <c r="K20" s="34"/>
    </row>
    <row r="21" spans="1:11">
      <c r="A21" s="34"/>
      <c r="B21" s="34"/>
      <c r="C21" s="34"/>
      <c r="D21" s="34"/>
      <c r="E21" s="38"/>
      <c r="F21" s="38"/>
      <c r="G21" s="34"/>
      <c r="H21" s="34"/>
      <c r="I21" s="34"/>
      <c r="J21" s="34"/>
      <c r="K21" s="34"/>
    </row>
    <row r="22" spans="1:11">
      <c r="A22" s="34"/>
      <c r="B22" s="34"/>
      <c r="C22" s="34"/>
      <c r="D22" s="34"/>
      <c r="E22" s="38"/>
      <c r="F22" s="38"/>
      <c r="G22" s="34"/>
      <c r="H22" s="34"/>
      <c r="I22" s="34"/>
      <c r="J22" s="34"/>
      <c r="K22" s="34"/>
    </row>
    <row r="23" spans="1:11">
      <c r="A23" s="34"/>
      <c r="B23" s="34"/>
      <c r="C23" s="34"/>
      <c r="D23" s="34"/>
      <c r="E23" s="38"/>
      <c r="F23" s="38"/>
      <c r="G23" s="34"/>
      <c r="H23" s="34"/>
      <c r="I23" s="34"/>
      <c r="J23" s="34"/>
      <c r="K23" s="34"/>
    </row>
    <row r="24" spans="1:11">
      <c r="A24" s="34"/>
      <c r="B24" s="34"/>
      <c r="C24" s="34"/>
      <c r="D24" s="34"/>
      <c r="E24" s="38"/>
      <c r="F24" s="38"/>
      <c r="G24" s="34"/>
      <c r="H24" s="34"/>
      <c r="I24" s="34"/>
      <c r="J24" s="34"/>
      <c r="K24" s="34"/>
    </row>
    <row r="25" spans="1:11">
      <c r="A25" s="34"/>
      <c r="B25" s="34"/>
      <c r="C25" s="34"/>
      <c r="D25" s="34"/>
      <c r="E25" s="38"/>
      <c r="F25" s="38"/>
      <c r="G25" s="34"/>
      <c r="H25" s="34"/>
      <c r="I25" s="34"/>
      <c r="J25" s="34"/>
      <c r="K25" s="34"/>
    </row>
    <row r="26" spans="1:11">
      <c r="A26" s="34"/>
      <c r="B26" s="34"/>
      <c r="C26" s="34"/>
      <c r="D26" s="34"/>
      <c r="E26" s="38"/>
      <c r="F26" s="38"/>
      <c r="G26" s="34"/>
      <c r="H26" s="34"/>
      <c r="I26" s="34"/>
      <c r="J26" s="34"/>
      <c r="K26" s="34"/>
    </row>
    <row r="27" spans="1:11">
      <c r="A27" s="34"/>
      <c r="B27" s="34"/>
      <c r="C27" s="34"/>
      <c r="D27" s="34"/>
      <c r="E27" s="38"/>
      <c r="F27" s="38"/>
      <c r="G27" s="34"/>
      <c r="H27" s="34"/>
      <c r="I27" s="34"/>
      <c r="J27" s="34"/>
      <c r="K27" s="34"/>
    </row>
    <row r="28" spans="1:11">
      <c r="A28" s="34"/>
      <c r="B28" s="34"/>
      <c r="C28" s="34"/>
      <c r="D28" s="34"/>
      <c r="E28" s="38"/>
      <c r="F28" s="38"/>
      <c r="G28" s="34"/>
      <c r="H28" s="34"/>
      <c r="I28" s="34"/>
      <c r="J28" s="34"/>
      <c r="K28" s="34"/>
    </row>
    <row r="29" spans="1:11">
      <c r="A29" s="34"/>
      <c r="B29" s="34"/>
      <c r="C29" s="34"/>
      <c r="D29" s="34"/>
      <c r="E29" s="38"/>
      <c r="F29" s="38"/>
      <c r="G29" s="34"/>
      <c r="H29" s="34"/>
      <c r="I29" s="34"/>
      <c r="J29" s="34"/>
      <c r="K29" s="34"/>
    </row>
    <row r="30" spans="1:11">
      <c r="A30" s="34"/>
      <c r="B30" s="34"/>
      <c r="C30" s="34"/>
      <c r="D30" s="34"/>
      <c r="E30" s="38"/>
      <c r="F30" s="38"/>
      <c r="G30" s="34"/>
      <c r="H30" s="34"/>
      <c r="I30" s="34"/>
      <c r="J30" s="34"/>
      <c r="K30" s="34"/>
    </row>
    <row r="31" spans="1:11">
      <c r="A31" s="34"/>
      <c r="B31" s="34"/>
      <c r="C31" s="34"/>
      <c r="D31" s="34"/>
      <c r="E31" s="38"/>
      <c r="F31" s="38"/>
      <c r="G31" s="34"/>
      <c r="H31" s="34"/>
      <c r="I31" s="34"/>
      <c r="J31" s="34"/>
      <c r="K31" s="34"/>
    </row>
    <row r="32" spans="1:11">
      <c r="A32" s="34"/>
      <c r="B32" s="34"/>
      <c r="C32" s="34"/>
      <c r="D32" s="34"/>
      <c r="E32" s="38"/>
      <c r="F32" s="38"/>
      <c r="G32" s="34"/>
      <c r="H32" s="34"/>
      <c r="I32" s="34"/>
      <c r="J32" s="34"/>
      <c r="K32" s="34"/>
    </row>
    <row r="33" spans="1:11">
      <c r="A33" s="34"/>
      <c r="B33" s="34"/>
      <c r="C33" s="34"/>
      <c r="D33" s="34"/>
      <c r="E33" s="38"/>
      <c r="F33" s="38"/>
      <c r="G33" s="34"/>
      <c r="H33" s="34"/>
      <c r="I33" s="34"/>
      <c r="J33" s="34"/>
      <c r="K33" s="34"/>
    </row>
    <row r="34" spans="1:11">
      <c r="A34" s="34"/>
      <c r="B34" s="34"/>
      <c r="C34" s="34"/>
      <c r="D34" s="34"/>
      <c r="E34" s="38"/>
      <c r="F34" s="38"/>
      <c r="G34" s="34"/>
      <c r="H34" s="34"/>
      <c r="I34" s="34"/>
      <c r="J34" s="34"/>
      <c r="K34" s="34"/>
    </row>
    <row r="35" spans="1:11">
      <c r="A35" s="34"/>
      <c r="B35" s="34"/>
      <c r="C35" s="34"/>
      <c r="D35" s="34"/>
      <c r="E35" s="38"/>
      <c r="F35" s="38"/>
      <c r="G35" s="34"/>
      <c r="H35" s="34"/>
      <c r="I35" s="34"/>
      <c r="J35" s="34"/>
      <c r="K35" s="34"/>
    </row>
    <row r="36" spans="1:11">
      <c r="A36" s="34"/>
      <c r="B36" s="34"/>
      <c r="C36" s="34"/>
      <c r="D36" s="34"/>
      <c r="E36" s="38"/>
      <c r="F36" s="38"/>
      <c r="G36" s="34"/>
      <c r="H36" s="34"/>
      <c r="I36" s="34"/>
      <c r="J36" s="34"/>
      <c r="K36" s="34"/>
    </row>
    <row r="37" spans="1:11">
      <c r="A37" s="34"/>
      <c r="B37" s="34"/>
      <c r="C37" s="34"/>
      <c r="D37" s="34"/>
      <c r="E37" s="38"/>
      <c r="F37" s="38"/>
      <c r="G37" s="34"/>
      <c r="H37" s="34"/>
      <c r="I37" s="34"/>
      <c r="J37" s="34"/>
      <c r="K37" s="34"/>
    </row>
    <row r="38" spans="1:11">
      <c r="A38" s="34"/>
      <c r="B38" s="34"/>
      <c r="C38" s="34"/>
      <c r="D38" s="34"/>
      <c r="E38" s="38"/>
      <c r="F38" s="38"/>
      <c r="G38" s="34"/>
      <c r="H38" s="34"/>
      <c r="I38" s="34"/>
      <c r="J38" s="34"/>
      <c r="K38" s="34"/>
    </row>
    <row r="39" spans="1:11">
      <c r="A39" s="34"/>
      <c r="B39" s="34"/>
      <c r="C39" s="34"/>
      <c r="D39" s="34"/>
      <c r="E39" s="38"/>
      <c r="F39" s="38"/>
      <c r="G39" s="34"/>
      <c r="H39" s="34"/>
      <c r="I39" s="34"/>
      <c r="J39" s="34"/>
      <c r="K39" s="34"/>
    </row>
    <row r="40" spans="1:11">
      <c r="A40" s="34"/>
      <c r="B40" s="34"/>
      <c r="C40" s="34"/>
      <c r="D40" s="34"/>
      <c r="E40" s="38"/>
      <c r="F40" s="38"/>
      <c r="G40" s="34"/>
      <c r="H40" s="34"/>
      <c r="I40" s="34"/>
      <c r="J40" s="34"/>
      <c r="K40" s="34"/>
    </row>
    <row r="41" spans="1:11">
      <c r="A41" s="34"/>
      <c r="B41" s="34"/>
      <c r="C41" s="34"/>
      <c r="D41" s="34"/>
      <c r="E41" s="38"/>
      <c r="F41" s="38"/>
      <c r="G41" s="34"/>
      <c r="H41" s="34"/>
      <c r="I41" s="34"/>
      <c r="J41" s="34"/>
      <c r="K41" s="34"/>
    </row>
    <row r="42" spans="1:11">
      <c r="A42" s="34"/>
      <c r="B42" s="34"/>
      <c r="C42" s="34"/>
      <c r="D42" s="34"/>
      <c r="E42" s="38"/>
      <c r="F42" s="38"/>
      <c r="G42" s="34"/>
      <c r="H42" s="34"/>
      <c r="I42" s="34"/>
      <c r="J42" s="34"/>
      <c r="K42" s="34"/>
    </row>
    <row r="43" spans="1:11">
      <c r="A43" s="34"/>
      <c r="B43" s="34"/>
      <c r="C43" s="34"/>
      <c r="D43" s="34"/>
      <c r="E43" s="38"/>
      <c r="F43" s="38"/>
      <c r="G43" s="34"/>
      <c r="H43" s="34"/>
      <c r="I43" s="34"/>
      <c r="J43" s="34"/>
      <c r="K43" s="34"/>
    </row>
    <row r="44" spans="1:11">
      <c r="A44" s="34"/>
      <c r="B44" s="34"/>
      <c r="C44" s="34"/>
      <c r="D44" s="34"/>
      <c r="E44" s="38"/>
      <c r="F44" s="38"/>
      <c r="G44" s="34"/>
      <c r="H44" s="34"/>
      <c r="I44" s="34"/>
      <c r="J44" s="34"/>
      <c r="K44" s="34"/>
    </row>
    <row r="45" spans="1:11">
      <c r="A45" s="34"/>
      <c r="B45" s="34"/>
      <c r="C45" s="34"/>
      <c r="D45" s="34"/>
      <c r="E45" s="38"/>
      <c r="F45" s="38"/>
      <c r="G45" s="34"/>
      <c r="H45" s="34"/>
      <c r="I45" s="34"/>
      <c r="J45" s="34"/>
      <c r="K45" s="34"/>
    </row>
    <row r="46" spans="1:11">
      <c r="A46" s="34"/>
      <c r="B46" s="34"/>
      <c r="C46" s="34"/>
      <c r="D46" s="34"/>
      <c r="E46" s="38"/>
      <c r="F46" s="38"/>
      <c r="G46" s="34"/>
      <c r="H46" s="34"/>
      <c r="I46" s="34"/>
      <c r="J46" s="34"/>
      <c r="K46" s="34"/>
    </row>
    <row r="47" spans="1:11">
      <c r="A47" s="34"/>
      <c r="B47" s="34"/>
      <c r="C47" s="34"/>
      <c r="D47" s="34"/>
      <c r="E47" s="38"/>
      <c r="F47" s="38"/>
      <c r="G47" s="34"/>
      <c r="H47" s="34"/>
      <c r="I47" s="34"/>
      <c r="J47" s="34"/>
      <c r="K47" s="34"/>
    </row>
    <row r="48" spans="1:11">
      <c r="A48" s="34"/>
      <c r="B48" s="34"/>
      <c r="C48" s="34"/>
      <c r="D48" s="34"/>
      <c r="E48" s="38"/>
      <c r="F48" s="38"/>
      <c r="G48" s="34"/>
      <c r="H48" s="34"/>
      <c r="I48" s="34"/>
      <c r="J48" s="34"/>
      <c r="K48" s="34"/>
    </row>
    <row r="49" spans="1:11">
      <c r="A49" s="34"/>
      <c r="B49" s="34"/>
      <c r="C49" s="34"/>
      <c r="D49" s="34"/>
      <c r="E49" s="38"/>
      <c r="F49" s="38"/>
      <c r="G49" s="34"/>
      <c r="H49" s="34"/>
      <c r="I49" s="34"/>
      <c r="J49" s="34"/>
      <c r="K49" s="34"/>
    </row>
    <row r="50" spans="1:11">
      <c r="A50" s="34"/>
      <c r="B50" s="34"/>
      <c r="C50" s="34"/>
      <c r="D50" s="34"/>
      <c r="E50" s="38"/>
      <c r="F50" s="38"/>
      <c r="G50" s="34"/>
      <c r="H50" s="34"/>
      <c r="I50" s="34"/>
      <c r="J50" s="34"/>
      <c r="K50" s="34"/>
    </row>
    <row r="51" spans="1:11">
      <c r="A51" s="34"/>
      <c r="B51" s="34"/>
      <c r="C51" s="34"/>
      <c r="D51" s="34"/>
      <c r="E51" s="38"/>
      <c r="F51" s="38"/>
      <c r="G51" s="34"/>
      <c r="H51" s="34"/>
      <c r="I51" s="34"/>
      <c r="J51" s="34"/>
      <c r="K51" s="34"/>
    </row>
    <row r="52" spans="1:11">
      <c r="A52" s="34"/>
      <c r="B52" s="34"/>
      <c r="C52" s="34"/>
      <c r="D52" s="34"/>
      <c r="E52" s="38"/>
      <c r="F52" s="38"/>
      <c r="G52" s="34"/>
      <c r="H52" s="34"/>
      <c r="I52" s="34"/>
      <c r="J52" s="34"/>
      <c r="K52" s="34"/>
    </row>
    <row r="53" spans="1:11">
      <c r="A53" s="34"/>
      <c r="B53" s="34"/>
      <c r="C53" s="34"/>
      <c r="D53" s="34"/>
      <c r="E53" s="38"/>
      <c r="F53" s="38"/>
      <c r="G53" s="34"/>
      <c r="H53" s="34"/>
      <c r="I53" s="34"/>
      <c r="J53" s="34"/>
      <c r="K53" s="34"/>
    </row>
  </sheetData>
  <mergeCells count="1">
    <mergeCell ref="A1:K1"/>
  </mergeCells>
  <conditionalFormatting sqref="G4:G5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dataValidations count="1">
    <dataValidation type="list" sqref="G4:G53">
      <formula1>"未开始,进行中,已完成,退回修改"</formula1>
    </dataValidation>
  </dataValidation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
  <sheetViews>
    <sheetView showGridLines="0" workbookViewId="0">
      <selection activeCell="A1" sqref="A1:L1"/>
    </sheetView>
  </sheetViews>
  <sheetFormatPr defaultColWidth="9" defaultRowHeight="16.8"/>
  <cols>
    <col min="1" max="2" width="13" style="1" customWidth="1"/>
    <col min="3" max="3" width="24" style="1" customWidth="1"/>
    <col min="4" max="4" width="42" style="1" customWidth="1"/>
    <col min="5" max="6" width="14" style="1" customWidth="1"/>
    <col min="7" max="7" width="13" style="1" customWidth="1"/>
    <col min="8" max="8" width="11" style="1" customWidth="1"/>
    <col min="9" max="9" width="13" style="1" customWidth="1"/>
    <col min="10" max="10" width="11" style="1" customWidth="1"/>
    <col min="11" max="11" width="10" style="1" customWidth="1"/>
    <col min="12" max="12" width="32" style="1" customWidth="1"/>
  </cols>
  <sheetData>
    <row r="1" ht="34" customHeight="1" spans="1:12">
      <c r="A1" s="32" t="s">
        <v>1530</v>
      </c>
      <c r="B1" s="3"/>
      <c r="C1" s="3"/>
      <c r="D1" s="3"/>
      <c r="E1" s="3"/>
      <c r="F1" s="3"/>
      <c r="G1" s="3"/>
      <c r="H1" s="3"/>
      <c r="I1" s="3"/>
      <c r="J1" s="3"/>
      <c r="K1" s="3"/>
      <c r="L1" s="4"/>
    </row>
    <row r="3" ht="30" customHeight="1" spans="1:12">
      <c r="A3" s="37" t="s">
        <v>1531</v>
      </c>
      <c r="B3" s="37" t="s">
        <v>1532</v>
      </c>
      <c r="C3" s="37" t="s">
        <v>1533</v>
      </c>
      <c r="D3" s="37" t="s">
        <v>1534</v>
      </c>
      <c r="E3" s="37" t="s">
        <v>707</v>
      </c>
      <c r="F3" s="37" t="s">
        <v>1535</v>
      </c>
      <c r="G3" s="37" t="s">
        <v>1536</v>
      </c>
      <c r="H3" s="37" t="s">
        <v>21</v>
      </c>
      <c r="I3" s="37" t="s">
        <v>1537</v>
      </c>
      <c r="J3" s="37" t="s">
        <v>1538</v>
      </c>
      <c r="K3" s="37" t="s">
        <v>1485</v>
      </c>
      <c r="L3" s="37" t="s">
        <v>1539</v>
      </c>
    </row>
    <row r="4" spans="1:12">
      <c r="A4" s="34"/>
      <c r="B4" s="38"/>
      <c r="C4" s="34"/>
      <c r="D4" s="34"/>
      <c r="E4" s="34"/>
      <c r="F4" s="34"/>
      <c r="G4" s="38"/>
      <c r="H4" s="34"/>
      <c r="I4" s="38"/>
      <c r="J4" s="34">
        <f>IF(OR(G4="",H4="已完成"),0,MAX(0,项目驾驶舱!$B$3-G4))</f>
        <v>0</v>
      </c>
      <c r="K4" s="34"/>
      <c r="L4" s="34"/>
    </row>
    <row r="5" spans="1:12">
      <c r="A5" s="34"/>
      <c r="B5" s="38"/>
      <c r="C5" s="34"/>
      <c r="D5" s="34"/>
      <c r="E5" s="34"/>
      <c r="F5" s="34"/>
      <c r="G5" s="38"/>
      <c r="H5" s="34"/>
      <c r="I5" s="38"/>
      <c r="J5" s="34">
        <f>IF(OR(G5="",H5="已完成"),0,MAX(0,项目驾驶舱!$B$3-G5))</f>
        <v>0</v>
      </c>
      <c r="K5" s="34"/>
      <c r="L5" s="34"/>
    </row>
    <row r="6" spans="1:12">
      <c r="A6" s="34"/>
      <c r="B6" s="38"/>
      <c r="C6" s="34"/>
      <c r="D6" s="34"/>
      <c r="E6" s="34"/>
      <c r="F6" s="34"/>
      <c r="G6" s="38"/>
      <c r="H6" s="34"/>
      <c r="I6" s="38"/>
      <c r="J6" s="34">
        <f>IF(OR(G6="",H6="已完成"),0,MAX(0,项目驾驶舱!$B$3-G6))</f>
        <v>0</v>
      </c>
      <c r="K6" s="34"/>
      <c r="L6" s="34"/>
    </row>
    <row r="7" spans="1:12">
      <c r="A7" s="34"/>
      <c r="B7" s="38"/>
      <c r="C7" s="34"/>
      <c r="D7" s="34"/>
      <c r="E7" s="34"/>
      <c r="F7" s="34"/>
      <c r="G7" s="38"/>
      <c r="H7" s="34"/>
      <c r="I7" s="38"/>
      <c r="J7" s="34">
        <f>IF(OR(G7="",H7="已完成"),0,MAX(0,项目驾驶舱!$B$3-G7))</f>
        <v>0</v>
      </c>
      <c r="K7" s="34"/>
      <c r="L7" s="34"/>
    </row>
    <row r="8" spans="1:12">
      <c r="A8" s="34"/>
      <c r="B8" s="38"/>
      <c r="C8" s="34"/>
      <c r="D8" s="34"/>
      <c r="E8" s="34"/>
      <c r="F8" s="34"/>
      <c r="G8" s="38"/>
      <c r="H8" s="34"/>
      <c r="I8" s="38"/>
      <c r="J8" s="34">
        <f>IF(OR(G8="",H8="已完成"),0,MAX(0,项目驾驶舱!$B$3-G8))</f>
        <v>0</v>
      </c>
      <c r="K8" s="34"/>
      <c r="L8" s="34"/>
    </row>
    <row r="9" spans="1:12">
      <c r="A9" s="34"/>
      <c r="B9" s="38"/>
      <c r="C9" s="34"/>
      <c r="D9" s="34"/>
      <c r="E9" s="34"/>
      <c r="F9" s="34"/>
      <c r="G9" s="38"/>
      <c r="H9" s="34"/>
      <c r="I9" s="38"/>
      <c r="J9" s="34">
        <f>IF(OR(G9="",H9="已完成"),0,MAX(0,项目驾驶舱!$B$3-G9))</f>
        <v>0</v>
      </c>
      <c r="K9" s="34"/>
      <c r="L9" s="34"/>
    </row>
    <row r="10" spans="1:12">
      <c r="A10" s="34"/>
      <c r="B10" s="38"/>
      <c r="C10" s="34"/>
      <c r="D10" s="34"/>
      <c r="E10" s="34"/>
      <c r="F10" s="34"/>
      <c r="G10" s="38"/>
      <c r="H10" s="34"/>
      <c r="I10" s="38"/>
      <c r="J10" s="34">
        <f>IF(OR(G10="",H10="已完成"),0,MAX(0,项目驾驶舱!$B$3-G10))</f>
        <v>0</v>
      </c>
      <c r="K10" s="34"/>
      <c r="L10" s="34"/>
    </row>
    <row r="11" spans="1:12">
      <c r="A11" s="34"/>
      <c r="B11" s="38"/>
      <c r="C11" s="34"/>
      <c r="D11" s="34"/>
      <c r="E11" s="34"/>
      <c r="F11" s="34"/>
      <c r="G11" s="38"/>
      <c r="H11" s="34"/>
      <c r="I11" s="38"/>
      <c r="J11" s="34">
        <f>IF(OR(G11="",H11="已完成"),0,MAX(0,项目驾驶舱!$B$3-G11))</f>
        <v>0</v>
      </c>
      <c r="K11" s="34"/>
      <c r="L11" s="34"/>
    </row>
    <row r="12" spans="1:12">
      <c r="A12" s="34"/>
      <c r="B12" s="38"/>
      <c r="C12" s="34"/>
      <c r="D12" s="34"/>
      <c r="E12" s="34"/>
      <c r="F12" s="34"/>
      <c r="G12" s="38"/>
      <c r="H12" s="34"/>
      <c r="I12" s="38"/>
      <c r="J12" s="34">
        <f>IF(OR(G12="",H12="已完成"),0,MAX(0,项目驾驶舱!$B$3-G12))</f>
        <v>0</v>
      </c>
      <c r="K12" s="34"/>
      <c r="L12" s="34"/>
    </row>
    <row r="13" spans="1:12">
      <c r="A13" s="34"/>
      <c r="B13" s="38"/>
      <c r="C13" s="34"/>
      <c r="D13" s="34"/>
      <c r="E13" s="34"/>
      <c r="F13" s="34"/>
      <c r="G13" s="38"/>
      <c r="H13" s="34"/>
      <c r="I13" s="38"/>
      <c r="J13" s="34">
        <f>IF(OR(G13="",H13="已完成"),0,MAX(0,项目驾驶舱!$B$3-G13))</f>
        <v>0</v>
      </c>
      <c r="K13" s="34"/>
      <c r="L13" s="34"/>
    </row>
    <row r="14" spans="1:12">
      <c r="A14" s="34"/>
      <c r="B14" s="38"/>
      <c r="C14" s="34"/>
      <c r="D14" s="34"/>
      <c r="E14" s="34"/>
      <c r="F14" s="34"/>
      <c r="G14" s="38"/>
      <c r="H14" s="34"/>
      <c r="I14" s="38"/>
      <c r="J14" s="34">
        <f>IF(OR(G14="",H14="已完成"),0,MAX(0,项目驾驶舱!$B$3-G14))</f>
        <v>0</v>
      </c>
      <c r="K14" s="34"/>
      <c r="L14" s="34"/>
    </row>
    <row r="15" spans="1:12">
      <c r="A15" s="34"/>
      <c r="B15" s="38"/>
      <c r="C15" s="34"/>
      <c r="D15" s="34"/>
      <c r="E15" s="34"/>
      <c r="F15" s="34"/>
      <c r="G15" s="38"/>
      <c r="H15" s="34"/>
      <c r="I15" s="38"/>
      <c r="J15" s="34">
        <f>IF(OR(G15="",H15="已完成"),0,MAX(0,项目驾驶舱!$B$3-G15))</f>
        <v>0</v>
      </c>
      <c r="K15" s="34"/>
      <c r="L15" s="34"/>
    </row>
    <row r="16" spans="1:12">
      <c r="A16" s="34"/>
      <c r="B16" s="38"/>
      <c r="C16" s="34"/>
      <c r="D16" s="34"/>
      <c r="E16" s="34"/>
      <c r="F16" s="34"/>
      <c r="G16" s="38"/>
      <c r="H16" s="34"/>
      <c r="I16" s="38"/>
      <c r="J16" s="34">
        <f>IF(OR(G16="",H16="已完成"),0,MAX(0,项目驾驶舱!$B$3-G16))</f>
        <v>0</v>
      </c>
      <c r="K16" s="34"/>
      <c r="L16" s="34"/>
    </row>
    <row r="17" spans="1:12">
      <c r="A17" s="34"/>
      <c r="B17" s="38"/>
      <c r="C17" s="34"/>
      <c r="D17" s="34"/>
      <c r="E17" s="34"/>
      <c r="F17" s="34"/>
      <c r="G17" s="38"/>
      <c r="H17" s="34"/>
      <c r="I17" s="38"/>
      <c r="J17" s="34">
        <f>IF(OR(G17="",H17="已完成"),0,MAX(0,项目驾驶舱!$B$3-G17))</f>
        <v>0</v>
      </c>
      <c r="K17" s="34"/>
      <c r="L17" s="34"/>
    </row>
    <row r="18" spans="1:12">
      <c r="A18" s="34"/>
      <c r="B18" s="38"/>
      <c r="C18" s="34"/>
      <c r="D18" s="34"/>
      <c r="E18" s="34"/>
      <c r="F18" s="34"/>
      <c r="G18" s="38"/>
      <c r="H18" s="34"/>
      <c r="I18" s="38"/>
      <c r="J18" s="34">
        <f>IF(OR(G18="",H18="已完成"),0,MAX(0,项目驾驶舱!$B$3-G18))</f>
        <v>0</v>
      </c>
      <c r="K18" s="34"/>
      <c r="L18" s="34"/>
    </row>
    <row r="19" spans="1:12">
      <c r="A19" s="34"/>
      <c r="B19" s="38"/>
      <c r="C19" s="34"/>
      <c r="D19" s="34"/>
      <c r="E19" s="34"/>
      <c r="F19" s="34"/>
      <c r="G19" s="38"/>
      <c r="H19" s="34"/>
      <c r="I19" s="38"/>
      <c r="J19" s="34">
        <f>IF(OR(G19="",H19="已完成"),0,MAX(0,项目驾驶舱!$B$3-G19))</f>
        <v>0</v>
      </c>
      <c r="K19" s="34"/>
      <c r="L19" s="34"/>
    </row>
    <row r="20" spans="1:12">
      <c r="A20" s="34"/>
      <c r="B20" s="38"/>
      <c r="C20" s="34"/>
      <c r="D20" s="34"/>
      <c r="E20" s="34"/>
      <c r="F20" s="34"/>
      <c r="G20" s="38"/>
      <c r="H20" s="34"/>
      <c r="I20" s="38"/>
      <c r="J20" s="34">
        <f>IF(OR(G20="",H20="已完成"),0,MAX(0,项目驾驶舱!$B$3-G20))</f>
        <v>0</v>
      </c>
      <c r="K20" s="34"/>
      <c r="L20" s="34"/>
    </row>
    <row r="21" spans="1:12">
      <c r="A21" s="34"/>
      <c r="B21" s="38"/>
      <c r="C21" s="34"/>
      <c r="D21" s="34"/>
      <c r="E21" s="34"/>
      <c r="F21" s="34"/>
      <c r="G21" s="38"/>
      <c r="H21" s="34"/>
      <c r="I21" s="38"/>
      <c r="J21" s="34">
        <f>IF(OR(G21="",H21="已完成"),0,MAX(0,项目驾驶舱!$B$3-G21))</f>
        <v>0</v>
      </c>
      <c r="K21" s="34"/>
      <c r="L21" s="34"/>
    </row>
    <row r="22" spans="1:12">
      <c r="A22" s="34"/>
      <c r="B22" s="38"/>
      <c r="C22" s="34"/>
      <c r="D22" s="34"/>
      <c r="E22" s="34"/>
      <c r="F22" s="34"/>
      <c r="G22" s="38"/>
      <c r="H22" s="34"/>
      <c r="I22" s="38"/>
      <c r="J22" s="34">
        <f>IF(OR(G22="",H22="已完成"),0,MAX(0,项目驾驶舱!$B$3-G22))</f>
        <v>0</v>
      </c>
      <c r="K22" s="34"/>
      <c r="L22" s="34"/>
    </row>
    <row r="23" spans="1:12">
      <c r="A23" s="34"/>
      <c r="B23" s="38"/>
      <c r="C23" s="34"/>
      <c r="D23" s="34"/>
      <c r="E23" s="34"/>
      <c r="F23" s="34"/>
      <c r="G23" s="38"/>
      <c r="H23" s="34"/>
      <c r="I23" s="38"/>
      <c r="J23" s="34">
        <f>IF(OR(G23="",H23="已完成"),0,MAX(0,项目驾驶舱!$B$3-G23))</f>
        <v>0</v>
      </c>
      <c r="K23" s="34"/>
      <c r="L23" s="34"/>
    </row>
    <row r="24" spans="1:12">
      <c r="A24" s="34"/>
      <c r="B24" s="38"/>
      <c r="C24" s="34"/>
      <c r="D24" s="34"/>
      <c r="E24" s="34"/>
      <c r="F24" s="34"/>
      <c r="G24" s="38"/>
      <c r="H24" s="34"/>
      <c r="I24" s="38"/>
      <c r="J24" s="34">
        <f>IF(OR(G24="",H24="已完成"),0,MAX(0,项目驾驶舱!$B$3-G24))</f>
        <v>0</v>
      </c>
      <c r="K24" s="34"/>
      <c r="L24" s="34"/>
    </row>
    <row r="25" spans="1:12">
      <c r="A25" s="34"/>
      <c r="B25" s="38"/>
      <c r="C25" s="34"/>
      <c r="D25" s="34"/>
      <c r="E25" s="34"/>
      <c r="F25" s="34"/>
      <c r="G25" s="38"/>
      <c r="H25" s="34"/>
      <c r="I25" s="38"/>
      <c r="J25" s="34">
        <f>IF(OR(G25="",H25="已完成"),0,MAX(0,项目驾驶舱!$B$3-G25))</f>
        <v>0</v>
      </c>
      <c r="K25" s="34"/>
      <c r="L25" s="34"/>
    </row>
    <row r="26" spans="1:12">
      <c r="A26" s="34"/>
      <c r="B26" s="38"/>
      <c r="C26" s="34"/>
      <c r="D26" s="34"/>
      <c r="E26" s="34"/>
      <c r="F26" s="34"/>
      <c r="G26" s="38"/>
      <c r="H26" s="34"/>
      <c r="I26" s="38"/>
      <c r="J26" s="34">
        <f>IF(OR(G26="",H26="已完成"),0,MAX(0,项目驾驶舱!$B$3-G26))</f>
        <v>0</v>
      </c>
      <c r="K26" s="34"/>
      <c r="L26" s="34"/>
    </row>
    <row r="27" spans="1:12">
      <c r="A27" s="34"/>
      <c r="B27" s="38"/>
      <c r="C27" s="34"/>
      <c r="D27" s="34"/>
      <c r="E27" s="34"/>
      <c r="F27" s="34"/>
      <c r="G27" s="38"/>
      <c r="H27" s="34"/>
      <c r="I27" s="38"/>
      <c r="J27" s="34">
        <f>IF(OR(G27="",H27="已完成"),0,MAX(0,项目驾驶舱!$B$3-G27))</f>
        <v>0</v>
      </c>
      <c r="K27" s="34"/>
      <c r="L27" s="34"/>
    </row>
    <row r="28" spans="1:12">
      <c r="A28" s="34"/>
      <c r="B28" s="38"/>
      <c r="C28" s="34"/>
      <c r="D28" s="34"/>
      <c r="E28" s="34"/>
      <c r="F28" s="34"/>
      <c r="G28" s="38"/>
      <c r="H28" s="34"/>
      <c r="I28" s="38"/>
      <c r="J28" s="34">
        <f>IF(OR(G28="",H28="已完成"),0,MAX(0,项目驾驶舱!$B$3-G28))</f>
        <v>0</v>
      </c>
      <c r="K28" s="34"/>
      <c r="L28" s="34"/>
    </row>
    <row r="29" spans="1:12">
      <c r="A29" s="34"/>
      <c r="B29" s="38"/>
      <c r="C29" s="34"/>
      <c r="D29" s="34"/>
      <c r="E29" s="34"/>
      <c r="F29" s="34"/>
      <c r="G29" s="38"/>
      <c r="H29" s="34"/>
      <c r="I29" s="38"/>
      <c r="J29" s="34">
        <f>IF(OR(G29="",H29="已完成"),0,MAX(0,项目驾驶舱!$B$3-G29))</f>
        <v>0</v>
      </c>
      <c r="K29" s="34"/>
      <c r="L29" s="34"/>
    </row>
    <row r="30" spans="1:12">
      <c r="A30" s="34"/>
      <c r="B30" s="38"/>
      <c r="C30" s="34"/>
      <c r="D30" s="34"/>
      <c r="E30" s="34"/>
      <c r="F30" s="34"/>
      <c r="G30" s="38"/>
      <c r="H30" s="34"/>
      <c r="I30" s="38"/>
      <c r="J30" s="34">
        <f>IF(OR(G30="",H30="已完成"),0,MAX(0,项目驾驶舱!$B$3-G30))</f>
        <v>0</v>
      </c>
      <c r="K30" s="34"/>
      <c r="L30" s="34"/>
    </row>
    <row r="31" spans="1:12">
      <c r="A31" s="34"/>
      <c r="B31" s="38"/>
      <c r="C31" s="34"/>
      <c r="D31" s="34"/>
      <c r="E31" s="34"/>
      <c r="F31" s="34"/>
      <c r="G31" s="38"/>
      <c r="H31" s="34"/>
      <c r="I31" s="38"/>
      <c r="J31" s="34">
        <f>IF(OR(G31="",H31="已完成"),0,MAX(0,项目驾驶舱!$B$3-G31))</f>
        <v>0</v>
      </c>
      <c r="K31" s="34"/>
      <c r="L31" s="34"/>
    </row>
    <row r="32" spans="1:12">
      <c r="A32" s="34"/>
      <c r="B32" s="38"/>
      <c r="C32" s="34"/>
      <c r="D32" s="34"/>
      <c r="E32" s="34"/>
      <c r="F32" s="34"/>
      <c r="G32" s="38"/>
      <c r="H32" s="34"/>
      <c r="I32" s="38"/>
      <c r="J32" s="34">
        <f>IF(OR(G32="",H32="已完成"),0,MAX(0,项目驾驶舱!$B$3-G32))</f>
        <v>0</v>
      </c>
      <c r="K32" s="34"/>
      <c r="L32" s="34"/>
    </row>
    <row r="33" spans="1:12">
      <c r="A33" s="34"/>
      <c r="B33" s="38"/>
      <c r="C33" s="34"/>
      <c r="D33" s="34"/>
      <c r="E33" s="34"/>
      <c r="F33" s="34"/>
      <c r="G33" s="38"/>
      <c r="H33" s="34"/>
      <c r="I33" s="38"/>
      <c r="J33" s="34">
        <f>IF(OR(G33="",H33="已完成"),0,MAX(0,项目驾驶舱!$B$3-G33))</f>
        <v>0</v>
      </c>
      <c r="K33" s="34"/>
      <c r="L33" s="34"/>
    </row>
    <row r="34" spans="1:12">
      <c r="A34" s="34"/>
      <c r="B34" s="38"/>
      <c r="C34" s="34"/>
      <c r="D34" s="34"/>
      <c r="E34" s="34"/>
      <c r="F34" s="34"/>
      <c r="G34" s="38"/>
      <c r="H34" s="34"/>
      <c r="I34" s="38"/>
      <c r="J34" s="34">
        <f>IF(OR(G34="",H34="已完成"),0,MAX(0,项目驾驶舱!$B$3-G34))</f>
        <v>0</v>
      </c>
      <c r="K34" s="34"/>
      <c r="L34" s="34"/>
    </row>
    <row r="35" spans="1:12">
      <c r="A35" s="34"/>
      <c r="B35" s="38"/>
      <c r="C35" s="34"/>
      <c r="D35" s="34"/>
      <c r="E35" s="34"/>
      <c r="F35" s="34"/>
      <c r="G35" s="38"/>
      <c r="H35" s="34"/>
      <c r="I35" s="38"/>
      <c r="J35" s="34">
        <f>IF(OR(G35="",H35="已完成"),0,MAX(0,项目驾驶舱!$B$3-G35))</f>
        <v>0</v>
      </c>
      <c r="K35" s="34"/>
      <c r="L35" s="34"/>
    </row>
    <row r="36" spans="1:12">
      <c r="A36" s="34"/>
      <c r="B36" s="38"/>
      <c r="C36" s="34"/>
      <c r="D36" s="34"/>
      <c r="E36" s="34"/>
      <c r="F36" s="34"/>
      <c r="G36" s="38"/>
      <c r="H36" s="34"/>
      <c r="I36" s="38"/>
      <c r="J36" s="34">
        <f>IF(OR(G36="",H36="已完成"),0,MAX(0,项目驾驶舱!$B$3-G36))</f>
        <v>0</v>
      </c>
      <c r="K36" s="34"/>
      <c r="L36" s="34"/>
    </row>
    <row r="37" spans="1:12">
      <c r="A37" s="34"/>
      <c r="B37" s="38"/>
      <c r="C37" s="34"/>
      <c r="D37" s="34"/>
      <c r="E37" s="34"/>
      <c r="F37" s="34"/>
      <c r="G37" s="38"/>
      <c r="H37" s="34"/>
      <c r="I37" s="38"/>
      <c r="J37" s="34">
        <f>IF(OR(G37="",H37="已完成"),0,MAX(0,项目驾驶舱!$B$3-G37))</f>
        <v>0</v>
      </c>
      <c r="K37" s="34"/>
      <c r="L37" s="34"/>
    </row>
    <row r="38" spans="1:12">
      <c r="A38" s="34"/>
      <c r="B38" s="38"/>
      <c r="C38" s="34"/>
      <c r="D38" s="34"/>
      <c r="E38" s="34"/>
      <c r="F38" s="34"/>
      <c r="G38" s="38"/>
      <c r="H38" s="34"/>
      <c r="I38" s="38"/>
      <c r="J38" s="34">
        <f>IF(OR(G38="",H38="已完成"),0,MAX(0,项目驾驶舱!$B$3-G38))</f>
        <v>0</v>
      </c>
      <c r="K38" s="34"/>
      <c r="L38" s="34"/>
    </row>
    <row r="39" spans="1:12">
      <c r="A39" s="34"/>
      <c r="B39" s="38"/>
      <c r="C39" s="34"/>
      <c r="D39" s="34"/>
      <c r="E39" s="34"/>
      <c r="F39" s="34"/>
      <c r="G39" s="38"/>
      <c r="H39" s="34"/>
      <c r="I39" s="38"/>
      <c r="J39" s="34">
        <f>IF(OR(G39="",H39="已完成"),0,MAX(0,项目驾驶舱!$B$3-G39))</f>
        <v>0</v>
      </c>
      <c r="K39" s="34"/>
      <c r="L39" s="34"/>
    </row>
    <row r="40" spans="1:12">
      <c r="A40" s="34"/>
      <c r="B40" s="38"/>
      <c r="C40" s="34"/>
      <c r="D40" s="34"/>
      <c r="E40" s="34"/>
      <c r="F40" s="34"/>
      <c r="G40" s="38"/>
      <c r="H40" s="34"/>
      <c r="I40" s="38"/>
      <c r="J40" s="34">
        <f>IF(OR(G40="",H40="已完成"),0,MAX(0,项目驾驶舱!$B$3-G40))</f>
        <v>0</v>
      </c>
      <c r="K40" s="34"/>
      <c r="L40" s="34"/>
    </row>
    <row r="41" spans="1:12">
      <c r="A41" s="34"/>
      <c r="B41" s="38"/>
      <c r="C41" s="34"/>
      <c r="D41" s="34"/>
      <c r="E41" s="34"/>
      <c r="F41" s="34"/>
      <c r="G41" s="38"/>
      <c r="H41" s="34"/>
      <c r="I41" s="38"/>
      <c r="J41" s="34">
        <f>IF(OR(G41="",H41="已完成"),0,MAX(0,项目驾驶舱!$B$3-G41))</f>
        <v>0</v>
      </c>
      <c r="K41" s="34"/>
      <c r="L41" s="34"/>
    </row>
    <row r="42" spans="1:12">
      <c r="A42" s="34"/>
      <c r="B42" s="38"/>
      <c r="C42" s="34"/>
      <c r="D42" s="34"/>
      <c r="E42" s="34"/>
      <c r="F42" s="34"/>
      <c r="G42" s="38"/>
      <c r="H42" s="34"/>
      <c r="I42" s="38"/>
      <c r="J42" s="34">
        <f>IF(OR(G42="",H42="已完成"),0,MAX(0,项目驾驶舱!$B$3-G42))</f>
        <v>0</v>
      </c>
      <c r="K42" s="34"/>
      <c r="L42" s="34"/>
    </row>
    <row r="43" spans="1:12">
      <c r="A43" s="34"/>
      <c r="B43" s="38"/>
      <c r="C43" s="34"/>
      <c r="D43" s="34"/>
      <c r="E43" s="34"/>
      <c r="F43" s="34"/>
      <c r="G43" s="38"/>
      <c r="H43" s="34"/>
      <c r="I43" s="38"/>
      <c r="J43" s="34">
        <f>IF(OR(G43="",H43="已完成"),0,MAX(0,项目驾驶舱!$B$3-G43))</f>
        <v>0</v>
      </c>
      <c r="K43" s="34"/>
      <c r="L43" s="34"/>
    </row>
    <row r="44" spans="1:12">
      <c r="A44" s="34"/>
      <c r="B44" s="38"/>
      <c r="C44" s="34"/>
      <c r="D44" s="34"/>
      <c r="E44" s="34"/>
      <c r="F44" s="34"/>
      <c r="G44" s="38"/>
      <c r="H44" s="34"/>
      <c r="I44" s="38"/>
      <c r="J44" s="34">
        <f>IF(OR(G44="",H44="已完成"),0,MAX(0,项目驾驶舱!$B$3-G44))</f>
        <v>0</v>
      </c>
      <c r="K44" s="34"/>
      <c r="L44" s="34"/>
    </row>
    <row r="45" spans="1:12">
      <c r="A45" s="34"/>
      <c r="B45" s="38"/>
      <c r="C45" s="34"/>
      <c r="D45" s="34"/>
      <c r="E45" s="34"/>
      <c r="F45" s="34"/>
      <c r="G45" s="38"/>
      <c r="H45" s="34"/>
      <c r="I45" s="38"/>
      <c r="J45" s="34">
        <f>IF(OR(G45="",H45="已完成"),0,MAX(0,项目驾驶舱!$B$3-G45))</f>
        <v>0</v>
      </c>
      <c r="K45" s="34"/>
      <c r="L45" s="34"/>
    </row>
    <row r="46" spans="1:12">
      <c r="A46" s="34"/>
      <c r="B46" s="38"/>
      <c r="C46" s="34"/>
      <c r="D46" s="34"/>
      <c r="E46" s="34"/>
      <c r="F46" s="34"/>
      <c r="G46" s="38"/>
      <c r="H46" s="34"/>
      <c r="I46" s="38"/>
      <c r="J46" s="34">
        <f>IF(OR(G46="",H46="已完成"),0,MAX(0,项目驾驶舱!$B$3-G46))</f>
        <v>0</v>
      </c>
      <c r="K46" s="34"/>
      <c r="L46" s="34"/>
    </row>
    <row r="47" spans="1:12">
      <c r="A47" s="34"/>
      <c r="B47" s="38"/>
      <c r="C47" s="34"/>
      <c r="D47" s="34"/>
      <c r="E47" s="34"/>
      <c r="F47" s="34"/>
      <c r="G47" s="38"/>
      <c r="H47" s="34"/>
      <c r="I47" s="38"/>
      <c r="J47" s="34">
        <f>IF(OR(G47="",H47="已完成"),0,MAX(0,项目驾驶舱!$B$3-G47))</f>
        <v>0</v>
      </c>
      <c r="K47" s="34"/>
      <c r="L47" s="34"/>
    </row>
    <row r="48" spans="1:12">
      <c r="A48" s="34"/>
      <c r="B48" s="38"/>
      <c r="C48" s="34"/>
      <c r="D48" s="34"/>
      <c r="E48" s="34"/>
      <c r="F48" s="34"/>
      <c r="G48" s="38"/>
      <c r="H48" s="34"/>
      <c r="I48" s="38"/>
      <c r="J48" s="34">
        <f>IF(OR(G48="",H48="已完成"),0,MAX(0,项目驾驶舱!$B$3-G48))</f>
        <v>0</v>
      </c>
      <c r="K48" s="34"/>
      <c r="L48" s="34"/>
    </row>
    <row r="49" spans="1:12">
      <c r="A49" s="34"/>
      <c r="B49" s="38"/>
      <c r="C49" s="34"/>
      <c r="D49" s="34"/>
      <c r="E49" s="34"/>
      <c r="F49" s="34"/>
      <c r="G49" s="38"/>
      <c r="H49" s="34"/>
      <c r="I49" s="38"/>
      <c r="J49" s="34">
        <f>IF(OR(G49="",H49="已完成"),0,MAX(0,项目驾驶舱!$B$3-G49))</f>
        <v>0</v>
      </c>
      <c r="K49" s="34"/>
      <c r="L49" s="34"/>
    </row>
    <row r="50" spans="1:12">
      <c r="A50" s="34"/>
      <c r="B50" s="38"/>
      <c r="C50" s="34"/>
      <c r="D50" s="34"/>
      <c r="E50" s="34"/>
      <c r="F50" s="34"/>
      <c r="G50" s="38"/>
      <c r="H50" s="34"/>
      <c r="I50" s="38"/>
      <c r="J50" s="34">
        <f>IF(OR(G50="",H50="已完成"),0,MAX(0,项目驾驶舱!$B$3-G50))</f>
        <v>0</v>
      </c>
      <c r="K50" s="34"/>
      <c r="L50" s="34"/>
    </row>
    <row r="51" spans="1:12">
      <c r="A51" s="34"/>
      <c r="B51" s="38"/>
      <c r="C51" s="34"/>
      <c r="D51" s="34"/>
      <c r="E51" s="34"/>
      <c r="F51" s="34"/>
      <c r="G51" s="38"/>
      <c r="H51" s="34"/>
      <c r="I51" s="38"/>
      <c r="J51" s="34">
        <f>IF(OR(G51="",H51="已完成"),0,MAX(0,项目驾驶舱!$B$3-G51))</f>
        <v>0</v>
      </c>
      <c r="K51" s="34"/>
      <c r="L51" s="34"/>
    </row>
    <row r="52" spans="1:12">
      <c r="A52" s="34"/>
      <c r="B52" s="38"/>
      <c r="C52" s="34"/>
      <c r="D52" s="34"/>
      <c r="E52" s="34"/>
      <c r="F52" s="34"/>
      <c r="G52" s="38"/>
      <c r="H52" s="34"/>
      <c r="I52" s="38"/>
      <c r="J52" s="34">
        <f>IF(OR(G52="",H52="已完成"),0,MAX(0,项目驾驶舱!$B$3-G52))</f>
        <v>0</v>
      </c>
      <c r="K52" s="34"/>
      <c r="L52" s="34"/>
    </row>
    <row r="53" spans="1:12">
      <c r="A53" s="34"/>
      <c r="B53" s="38"/>
      <c r="C53" s="34"/>
      <c r="D53" s="34"/>
      <c r="E53" s="34"/>
      <c r="F53" s="34"/>
      <c r="G53" s="38"/>
      <c r="H53" s="34"/>
      <c r="I53" s="38"/>
      <c r="J53" s="34">
        <f>IF(OR(G53="",H53="已完成"),0,MAX(0,项目驾驶舱!$B$3-G53))</f>
        <v>0</v>
      </c>
      <c r="K53" s="34"/>
      <c r="L53" s="34"/>
    </row>
    <row r="54" spans="1:12">
      <c r="A54" s="34"/>
      <c r="B54" s="38"/>
      <c r="C54" s="34"/>
      <c r="D54" s="34"/>
      <c r="E54" s="34"/>
      <c r="F54" s="34"/>
      <c r="G54" s="38"/>
      <c r="H54" s="34"/>
      <c r="I54" s="38"/>
      <c r="J54" s="34">
        <f>IF(OR(G54="",H54="已完成"),0,MAX(0,项目驾驶舱!$B$3-G54))</f>
        <v>0</v>
      </c>
      <c r="K54" s="34"/>
      <c r="L54" s="34"/>
    </row>
    <row r="55" spans="1:12">
      <c r="A55" s="34"/>
      <c r="B55" s="38"/>
      <c r="C55" s="34"/>
      <c r="D55" s="34"/>
      <c r="E55" s="34"/>
      <c r="F55" s="34"/>
      <c r="G55" s="38"/>
      <c r="H55" s="34"/>
      <c r="I55" s="38"/>
      <c r="J55" s="34">
        <f>IF(OR(G55="",H55="已完成"),0,MAX(0,项目驾驶舱!$B$3-G55))</f>
        <v>0</v>
      </c>
      <c r="K55" s="34"/>
      <c r="L55" s="34"/>
    </row>
    <row r="56" spans="1:12">
      <c r="A56" s="34"/>
      <c r="B56" s="38"/>
      <c r="C56" s="34"/>
      <c r="D56" s="34"/>
      <c r="E56" s="34"/>
      <c r="F56" s="34"/>
      <c r="G56" s="38"/>
      <c r="H56" s="34"/>
      <c r="I56" s="38"/>
      <c r="J56" s="34">
        <f>IF(OR(G56="",H56="已完成"),0,MAX(0,项目驾驶舱!$B$3-G56))</f>
        <v>0</v>
      </c>
      <c r="K56" s="34"/>
      <c r="L56" s="34"/>
    </row>
    <row r="57" spans="1:12">
      <c r="A57" s="34"/>
      <c r="B57" s="38"/>
      <c r="C57" s="34"/>
      <c r="D57" s="34"/>
      <c r="E57" s="34"/>
      <c r="F57" s="34"/>
      <c r="G57" s="38"/>
      <c r="H57" s="34"/>
      <c r="I57" s="38"/>
      <c r="J57" s="34">
        <f>IF(OR(G57="",H57="已完成"),0,MAX(0,项目驾驶舱!$B$3-G57))</f>
        <v>0</v>
      </c>
      <c r="K57" s="34"/>
      <c r="L57" s="34"/>
    </row>
    <row r="58" spans="1:12">
      <c r="A58" s="34"/>
      <c r="B58" s="38"/>
      <c r="C58" s="34"/>
      <c r="D58" s="34"/>
      <c r="E58" s="34"/>
      <c r="F58" s="34"/>
      <c r="G58" s="38"/>
      <c r="H58" s="34"/>
      <c r="I58" s="38"/>
      <c r="J58" s="34">
        <f>IF(OR(G58="",H58="已完成"),0,MAX(0,项目驾驶舱!$B$3-G58))</f>
        <v>0</v>
      </c>
      <c r="K58" s="34"/>
      <c r="L58" s="34"/>
    </row>
    <row r="59" spans="1:12">
      <c r="A59" s="34"/>
      <c r="B59" s="38"/>
      <c r="C59" s="34"/>
      <c r="D59" s="34"/>
      <c r="E59" s="34"/>
      <c r="F59" s="34"/>
      <c r="G59" s="38"/>
      <c r="H59" s="34"/>
      <c r="I59" s="38"/>
      <c r="J59" s="34">
        <f>IF(OR(G59="",H59="已完成"),0,MAX(0,项目驾驶舱!$B$3-G59))</f>
        <v>0</v>
      </c>
      <c r="K59" s="34"/>
      <c r="L59" s="34"/>
    </row>
    <row r="60" spans="1:12">
      <c r="A60" s="34"/>
      <c r="B60" s="38"/>
      <c r="C60" s="34"/>
      <c r="D60" s="34"/>
      <c r="E60" s="34"/>
      <c r="F60" s="34"/>
      <c r="G60" s="38"/>
      <c r="H60" s="34"/>
      <c r="I60" s="38"/>
      <c r="J60" s="34">
        <f>IF(OR(G60="",H60="已完成"),0,MAX(0,项目驾驶舱!$B$3-G60))</f>
        <v>0</v>
      </c>
      <c r="K60" s="34"/>
      <c r="L60" s="34"/>
    </row>
    <row r="61" spans="1:12">
      <c r="A61" s="34"/>
      <c r="B61" s="38"/>
      <c r="C61" s="34"/>
      <c r="D61" s="34"/>
      <c r="E61" s="34"/>
      <c r="F61" s="34"/>
      <c r="G61" s="38"/>
      <c r="H61" s="34"/>
      <c r="I61" s="38"/>
      <c r="J61" s="34">
        <f>IF(OR(G61="",H61="已完成"),0,MAX(0,项目驾驶舱!$B$3-G61))</f>
        <v>0</v>
      </c>
      <c r="K61" s="34"/>
      <c r="L61" s="34"/>
    </row>
    <row r="62" spans="1:12">
      <c r="A62" s="34"/>
      <c r="B62" s="38"/>
      <c r="C62" s="34"/>
      <c r="D62" s="34"/>
      <c r="E62" s="34"/>
      <c r="F62" s="34"/>
      <c r="G62" s="38"/>
      <c r="H62" s="34"/>
      <c r="I62" s="38"/>
      <c r="J62" s="34">
        <f>IF(OR(G62="",H62="已完成"),0,MAX(0,项目驾驶舱!$B$3-G62))</f>
        <v>0</v>
      </c>
      <c r="K62" s="34"/>
      <c r="L62" s="34"/>
    </row>
    <row r="63" spans="1:12">
      <c r="A63" s="34"/>
      <c r="B63" s="38"/>
      <c r="C63" s="34"/>
      <c r="D63" s="34"/>
      <c r="E63" s="34"/>
      <c r="F63" s="34"/>
      <c r="G63" s="38"/>
      <c r="H63" s="34"/>
      <c r="I63" s="38"/>
      <c r="J63" s="34">
        <f>IF(OR(G63="",H63="已完成"),0,MAX(0,项目驾驶舱!$B$3-G63))</f>
        <v>0</v>
      </c>
      <c r="K63" s="34"/>
      <c r="L63" s="34"/>
    </row>
    <row r="64" spans="1:12">
      <c r="A64" s="34"/>
      <c r="B64" s="38"/>
      <c r="C64" s="34"/>
      <c r="D64" s="34"/>
      <c r="E64" s="34"/>
      <c r="F64" s="34"/>
      <c r="G64" s="38"/>
      <c r="H64" s="34"/>
      <c r="I64" s="38"/>
      <c r="J64" s="34">
        <f>IF(OR(G64="",H64="已完成"),0,MAX(0,项目驾驶舱!$B$3-G64))</f>
        <v>0</v>
      </c>
      <c r="K64" s="34"/>
      <c r="L64" s="34"/>
    </row>
    <row r="65" spans="1:12">
      <c r="A65" s="34"/>
      <c r="B65" s="38"/>
      <c r="C65" s="34"/>
      <c r="D65" s="34"/>
      <c r="E65" s="34"/>
      <c r="F65" s="34"/>
      <c r="G65" s="38"/>
      <c r="H65" s="34"/>
      <c r="I65" s="38"/>
      <c r="J65" s="34">
        <f>IF(OR(G65="",H65="已完成"),0,MAX(0,项目驾驶舱!$B$3-G65))</f>
        <v>0</v>
      </c>
      <c r="K65" s="34"/>
      <c r="L65" s="34"/>
    </row>
    <row r="66" spans="1:12">
      <c r="A66" s="34"/>
      <c r="B66" s="38"/>
      <c r="C66" s="34"/>
      <c r="D66" s="34"/>
      <c r="E66" s="34"/>
      <c r="F66" s="34"/>
      <c r="G66" s="38"/>
      <c r="H66" s="34"/>
      <c r="I66" s="38"/>
      <c r="J66" s="34">
        <f>IF(OR(G66="",H66="已完成"),0,MAX(0,项目驾驶舱!$B$3-G66))</f>
        <v>0</v>
      </c>
      <c r="K66" s="34"/>
      <c r="L66" s="34"/>
    </row>
    <row r="67" spans="1:12">
      <c r="A67" s="34"/>
      <c r="B67" s="38"/>
      <c r="C67" s="34"/>
      <c r="D67" s="34"/>
      <c r="E67" s="34"/>
      <c r="F67" s="34"/>
      <c r="G67" s="38"/>
      <c r="H67" s="34"/>
      <c r="I67" s="38"/>
      <c r="J67" s="34">
        <f>IF(OR(G67="",H67="已完成"),0,MAX(0,项目驾驶舱!$B$3-G67))</f>
        <v>0</v>
      </c>
      <c r="K67" s="34"/>
      <c r="L67" s="34"/>
    </row>
    <row r="68" spans="1:12">
      <c r="A68" s="34"/>
      <c r="B68" s="38"/>
      <c r="C68" s="34"/>
      <c r="D68" s="34"/>
      <c r="E68" s="34"/>
      <c r="F68" s="34"/>
      <c r="G68" s="38"/>
      <c r="H68" s="34"/>
      <c r="I68" s="38"/>
      <c r="J68" s="34">
        <f>IF(OR(G68="",H68="已完成"),0,MAX(0,项目驾驶舱!$B$3-G68))</f>
        <v>0</v>
      </c>
      <c r="K68" s="34"/>
      <c r="L68" s="34"/>
    </row>
    <row r="69" spans="1:12">
      <c r="A69" s="34"/>
      <c r="B69" s="38"/>
      <c r="C69" s="34"/>
      <c r="D69" s="34"/>
      <c r="E69" s="34"/>
      <c r="F69" s="34"/>
      <c r="G69" s="38"/>
      <c r="H69" s="34"/>
      <c r="I69" s="38"/>
      <c r="J69" s="34">
        <f>IF(OR(G69="",H69="已完成"),0,MAX(0,项目驾驶舱!$B$3-G69))</f>
        <v>0</v>
      </c>
      <c r="K69" s="34"/>
      <c r="L69" s="34"/>
    </row>
    <row r="70" spans="1:12">
      <c r="A70" s="34"/>
      <c r="B70" s="38"/>
      <c r="C70" s="34"/>
      <c r="D70" s="34"/>
      <c r="E70" s="34"/>
      <c r="F70" s="34"/>
      <c r="G70" s="38"/>
      <c r="H70" s="34"/>
      <c r="I70" s="38"/>
      <c r="J70" s="34">
        <f>IF(OR(G70="",H70="已完成"),0,MAX(0,项目驾驶舱!$B$3-G70))</f>
        <v>0</v>
      </c>
      <c r="K70" s="34"/>
      <c r="L70" s="34"/>
    </row>
    <row r="71" spans="1:12">
      <c r="A71" s="34"/>
      <c r="B71" s="38"/>
      <c r="C71" s="34"/>
      <c r="D71" s="34"/>
      <c r="E71" s="34"/>
      <c r="F71" s="34"/>
      <c r="G71" s="38"/>
      <c r="H71" s="34"/>
      <c r="I71" s="38"/>
      <c r="J71" s="34">
        <f>IF(OR(G71="",H71="已完成"),0,MAX(0,项目驾驶舱!$B$3-G71))</f>
        <v>0</v>
      </c>
      <c r="K71" s="34"/>
      <c r="L71" s="34"/>
    </row>
    <row r="72" spans="1:12">
      <c r="A72" s="34"/>
      <c r="B72" s="38"/>
      <c r="C72" s="34"/>
      <c r="D72" s="34"/>
      <c r="E72" s="34"/>
      <c r="F72" s="34"/>
      <c r="G72" s="38"/>
      <c r="H72" s="34"/>
      <c r="I72" s="38"/>
      <c r="J72" s="34">
        <f>IF(OR(G72="",H72="已完成"),0,MAX(0,项目驾驶舱!$B$3-G72))</f>
        <v>0</v>
      </c>
      <c r="K72" s="34"/>
      <c r="L72" s="34"/>
    </row>
    <row r="73" spans="1:12">
      <c r="A73" s="34"/>
      <c r="B73" s="38"/>
      <c r="C73" s="34"/>
      <c r="D73" s="34"/>
      <c r="E73" s="34"/>
      <c r="F73" s="34"/>
      <c r="G73" s="38"/>
      <c r="H73" s="34"/>
      <c r="I73" s="38"/>
      <c r="J73" s="34">
        <f>IF(OR(G73="",H73="已完成"),0,MAX(0,项目驾驶舱!$B$3-G73))</f>
        <v>0</v>
      </c>
      <c r="K73" s="34"/>
      <c r="L73" s="34"/>
    </row>
    <row r="74" spans="1:12">
      <c r="A74" s="34"/>
      <c r="B74" s="38"/>
      <c r="C74" s="34"/>
      <c r="D74" s="34"/>
      <c r="E74" s="34"/>
      <c r="F74" s="34"/>
      <c r="G74" s="38"/>
      <c r="H74" s="34"/>
      <c r="I74" s="38"/>
      <c r="J74" s="34">
        <f>IF(OR(G74="",H74="已完成"),0,MAX(0,项目驾驶舱!$B$3-G74))</f>
        <v>0</v>
      </c>
      <c r="K74" s="34"/>
      <c r="L74" s="34"/>
    </row>
    <row r="75" spans="1:12">
      <c r="A75" s="34"/>
      <c r="B75" s="38"/>
      <c r="C75" s="34"/>
      <c r="D75" s="34"/>
      <c r="E75" s="34"/>
      <c r="F75" s="34"/>
      <c r="G75" s="38"/>
      <c r="H75" s="34"/>
      <c r="I75" s="38"/>
      <c r="J75" s="34">
        <f>IF(OR(G75="",H75="已完成"),0,MAX(0,项目驾驶舱!$B$3-G75))</f>
        <v>0</v>
      </c>
      <c r="K75" s="34"/>
      <c r="L75" s="34"/>
    </row>
    <row r="76" spans="1:12">
      <c r="A76" s="34"/>
      <c r="B76" s="38"/>
      <c r="C76" s="34"/>
      <c r="D76" s="34"/>
      <c r="E76" s="34"/>
      <c r="F76" s="34"/>
      <c r="G76" s="38"/>
      <c r="H76" s="34"/>
      <c r="I76" s="38"/>
      <c r="J76" s="34">
        <f>IF(OR(G76="",H76="已完成"),0,MAX(0,项目驾驶舱!$B$3-G76))</f>
        <v>0</v>
      </c>
      <c r="K76" s="34"/>
      <c r="L76" s="34"/>
    </row>
    <row r="77" spans="1:12">
      <c r="A77" s="34"/>
      <c r="B77" s="38"/>
      <c r="C77" s="34"/>
      <c r="D77" s="34"/>
      <c r="E77" s="34"/>
      <c r="F77" s="34"/>
      <c r="G77" s="38"/>
      <c r="H77" s="34"/>
      <c r="I77" s="38"/>
      <c r="J77" s="34">
        <f>IF(OR(G77="",H77="已完成"),0,MAX(0,项目驾驶舱!$B$3-G77))</f>
        <v>0</v>
      </c>
      <c r="K77" s="34"/>
      <c r="L77" s="34"/>
    </row>
    <row r="78" spans="1:12">
      <c r="A78" s="34"/>
      <c r="B78" s="38"/>
      <c r="C78" s="34"/>
      <c r="D78" s="34"/>
      <c r="E78" s="34"/>
      <c r="F78" s="34"/>
      <c r="G78" s="38"/>
      <c r="H78" s="34"/>
      <c r="I78" s="38"/>
      <c r="J78" s="34">
        <f>IF(OR(G78="",H78="已完成"),0,MAX(0,项目驾驶舱!$B$3-G78))</f>
        <v>0</v>
      </c>
      <c r="K78" s="34"/>
      <c r="L78" s="34"/>
    </row>
    <row r="79" spans="1:12">
      <c r="A79" s="34"/>
      <c r="B79" s="38"/>
      <c r="C79" s="34"/>
      <c r="D79" s="34"/>
      <c r="E79" s="34"/>
      <c r="F79" s="34"/>
      <c r="G79" s="38"/>
      <c r="H79" s="34"/>
      <c r="I79" s="38"/>
      <c r="J79" s="34">
        <f>IF(OR(G79="",H79="已完成"),0,MAX(0,项目驾驶舱!$B$3-G79))</f>
        <v>0</v>
      </c>
      <c r="K79" s="34"/>
      <c r="L79" s="34"/>
    </row>
    <row r="80" spans="1:12">
      <c r="A80" s="34"/>
      <c r="B80" s="38"/>
      <c r="C80" s="34"/>
      <c r="D80" s="34"/>
      <c r="E80" s="34"/>
      <c r="F80" s="34"/>
      <c r="G80" s="38"/>
      <c r="H80" s="34"/>
      <c r="I80" s="38"/>
      <c r="J80" s="34">
        <f>IF(OR(G80="",H80="已完成"),0,MAX(0,项目驾驶舱!$B$3-G80))</f>
        <v>0</v>
      </c>
      <c r="K80" s="34"/>
      <c r="L80" s="34"/>
    </row>
    <row r="81" spans="1:12">
      <c r="A81" s="34"/>
      <c r="B81" s="38"/>
      <c r="C81" s="34"/>
      <c r="D81" s="34"/>
      <c r="E81" s="34"/>
      <c r="F81" s="34"/>
      <c r="G81" s="38"/>
      <c r="H81" s="34"/>
      <c r="I81" s="38"/>
      <c r="J81" s="34">
        <f>IF(OR(G81="",H81="已完成"),0,MAX(0,项目驾驶舱!$B$3-G81))</f>
        <v>0</v>
      </c>
      <c r="K81" s="34"/>
      <c r="L81" s="34"/>
    </row>
    <row r="82" spans="1:12">
      <c r="A82" s="34"/>
      <c r="B82" s="38"/>
      <c r="C82" s="34"/>
      <c r="D82" s="34"/>
      <c r="E82" s="34"/>
      <c r="F82" s="34"/>
      <c r="G82" s="38"/>
      <c r="H82" s="34"/>
      <c r="I82" s="38"/>
      <c r="J82" s="34">
        <f>IF(OR(G82="",H82="已完成"),0,MAX(0,项目驾驶舱!$B$3-G82))</f>
        <v>0</v>
      </c>
      <c r="K82" s="34"/>
      <c r="L82" s="34"/>
    </row>
    <row r="83" spans="1:12">
      <c r="A83" s="34"/>
      <c r="B83" s="38"/>
      <c r="C83" s="34"/>
      <c r="D83" s="34"/>
      <c r="E83" s="34"/>
      <c r="F83" s="34"/>
      <c r="G83" s="38"/>
      <c r="H83" s="34"/>
      <c r="I83" s="38"/>
      <c r="J83" s="34">
        <f>IF(OR(G83="",H83="已完成"),0,MAX(0,项目驾驶舱!$B$3-G83))</f>
        <v>0</v>
      </c>
      <c r="K83" s="34"/>
      <c r="L83" s="34"/>
    </row>
    <row r="84" spans="1:12">
      <c r="A84" s="34"/>
      <c r="B84" s="38"/>
      <c r="C84" s="34"/>
      <c r="D84" s="34"/>
      <c r="E84" s="34"/>
      <c r="F84" s="34"/>
      <c r="G84" s="38"/>
      <c r="H84" s="34"/>
      <c r="I84" s="38"/>
      <c r="J84" s="34">
        <f>IF(OR(G84="",H84="已完成"),0,MAX(0,项目驾驶舱!$B$3-G84))</f>
        <v>0</v>
      </c>
      <c r="K84" s="34"/>
      <c r="L84" s="34"/>
    </row>
    <row r="85" spans="1:12">
      <c r="A85" s="34"/>
      <c r="B85" s="38"/>
      <c r="C85" s="34"/>
      <c r="D85" s="34"/>
      <c r="E85" s="34"/>
      <c r="F85" s="34"/>
      <c r="G85" s="38"/>
      <c r="H85" s="34"/>
      <c r="I85" s="38"/>
      <c r="J85" s="34">
        <f>IF(OR(G85="",H85="已完成"),0,MAX(0,项目驾驶舱!$B$3-G85))</f>
        <v>0</v>
      </c>
      <c r="K85" s="34"/>
      <c r="L85" s="34"/>
    </row>
    <row r="86" spans="1:12">
      <c r="A86" s="34"/>
      <c r="B86" s="38"/>
      <c r="C86" s="34"/>
      <c r="D86" s="34"/>
      <c r="E86" s="34"/>
      <c r="F86" s="34"/>
      <c r="G86" s="38"/>
      <c r="H86" s="34"/>
      <c r="I86" s="38"/>
      <c r="J86" s="34">
        <f>IF(OR(G86="",H86="已完成"),0,MAX(0,项目驾驶舱!$B$3-G86))</f>
        <v>0</v>
      </c>
      <c r="K86" s="34"/>
      <c r="L86" s="34"/>
    </row>
    <row r="87" spans="1:12">
      <c r="A87" s="34"/>
      <c r="B87" s="38"/>
      <c r="C87" s="34"/>
      <c r="D87" s="34"/>
      <c r="E87" s="34"/>
      <c r="F87" s="34"/>
      <c r="G87" s="38"/>
      <c r="H87" s="34"/>
      <c r="I87" s="38"/>
      <c r="J87" s="34">
        <f>IF(OR(G87="",H87="已完成"),0,MAX(0,项目驾驶舱!$B$3-G87))</f>
        <v>0</v>
      </c>
      <c r="K87" s="34"/>
      <c r="L87" s="34"/>
    </row>
    <row r="88" spans="1:12">
      <c r="A88" s="34"/>
      <c r="B88" s="38"/>
      <c r="C88" s="34"/>
      <c r="D88" s="34"/>
      <c r="E88" s="34"/>
      <c r="F88" s="34"/>
      <c r="G88" s="38"/>
      <c r="H88" s="34"/>
      <c r="I88" s="38"/>
      <c r="J88" s="34">
        <f>IF(OR(G88="",H88="已完成"),0,MAX(0,项目驾驶舱!$B$3-G88))</f>
        <v>0</v>
      </c>
      <c r="K88" s="34"/>
      <c r="L88" s="34"/>
    </row>
    <row r="89" spans="1:12">
      <c r="A89" s="34"/>
      <c r="B89" s="38"/>
      <c r="C89" s="34"/>
      <c r="D89" s="34"/>
      <c r="E89" s="34"/>
      <c r="F89" s="34"/>
      <c r="G89" s="38"/>
      <c r="H89" s="34"/>
      <c r="I89" s="38"/>
      <c r="J89" s="34">
        <f>IF(OR(G89="",H89="已完成"),0,MAX(0,项目驾驶舱!$B$3-G89))</f>
        <v>0</v>
      </c>
      <c r="K89" s="34"/>
      <c r="L89" s="34"/>
    </row>
    <row r="90" spans="1:12">
      <c r="A90" s="34"/>
      <c r="B90" s="38"/>
      <c r="C90" s="34"/>
      <c r="D90" s="34"/>
      <c r="E90" s="34"/>
      <c r="F90" s="34"/>
      <c r="G90" s="38"/>
      <c r="H90" s="34"/>
      <c r="I90" s="38"/>
      <c r="J90" s="34">
        <f>IF(OR(G90="",H90="已完成"),0,MAX(0,项目驾驶舱!$B$3-G90))</f>
        <v>0</v>
      </c>
      <c r="K90" s="34"/>
      <c r="L90" s="34"/>
    </row>
    <row r="91" spans="1:12">
      <c r="A91" s="34"/>
      <c r="B91" s="38"/>
      <c r="C91" s="34"/>
      <c r="D91" s="34"/>
      <c r="E91" s="34"/>
      <c r="F91" s="34"/>
      <c r="G91" s="38"/>
      <c r="H91" s="34"/>
      <c r="I91" s="38"/>
      <c r="J91" s="34">
        <f>IF(OR(G91="",H91="已完成"),0,MAX(0,项目驾驶舱!$B$3-G91))</f>
        <v>0</v>
      </c>
      <c r="K91" s="34"/>
      <c r="L91" s="34"/>
    </row>
    <row r="92" spans="1:12">
      <c r="A92" s="34"/>
      <c r="B92" s="38"/>
      <c r="C92" s="34"/>
      <c r="D92" s="34"/>
      <c r="E92" s="34"/>
      <c r="F92" s="34"/>
      <c r="G92" s="38"/>
      <c r="H92" s="34"/>
      <c r="I92" s="38"/>
      <c r="J92" s="34">
        <f>IF(OR(G92="",H92="已完成"),0,MAX(0,项目驾驶舱!$B$3-G92))</f>
        <v>0</v>
      </c>
      <c r="K92" s="34"/>
      <c r="L92" s="34"/>
    </row>
    <row r="93" spans="1:12">
      <c r="A93" s="34"/>
      <c r="B93" s="38"/>
      <c r="C93" s="34"/>
      <c r="D93" s="34"/>
      <c r="E93" s="34"/>
      <c r="F93" s="34"/>
      <c r="G93" s="38"/>
      <c r="H93" s="34"/>
      <c r="I93" s="38"/>
      <c r="J93" s="34">
        <f>IF(OR(G93="",H93="已完成"),0,MAX(0,项目驾驶舱!$B$3-G93))</f>
        <v>0</v>
      </c>
      <c r="K93" s="34"/>
      <c r="L93" s="34"/>
    </row>
    <row r="94" spans="1:12">
      <c r="A94" s="34"/>
      <c r="B94" s="38"/>
      <c r="C94" s="34"/>
      <c r="D94" s="34"/>
      <c r="E94" s="34"/>
      <c r="F94" s="34"/>
      <c r="G94" s="38"/>
      <c r="H94" s="34"/>
      <c r="I94" s="38"/>
      <c r="J94" s="34">
        <f>IF(OR(G94="",H94="已完成"),0,MAX(0,项目驾驶舱!$B$3-G94))</f>
        <v>0</v>
      </c>
      <c r="K94" s="34"/>
      <c r="L94" s="34"/>
    </row>
    <row r="95" spans="1:12">
      <c r="A95" s="34"/>
      <c r="B95" s="38"/>
      <c r="C95" s="34"/>
      <c r="D95" s="34"/>
      <c r="E95" s="34"/>
      <c r="F95" s="34"/>
      <c r="G95" s="38"/>
      <c r="H95" s="34"/>
      <c r="I95" s="38"/>
      <c r="J95" s="34">
        <f>IF(OR(G95="",H95="已完成"),0,MAX(0,项目驾驶舱!$B$3-G95))</f>
        <v>0</v>
      </c>
      <c r="K95" s="34"/>
      <c r="L95" s="34"/>
    </row>
    <row r="96" spans="1:12">
      <c r="A96" s="34"/>
      <c r="B96" s="38"/>
      <c r="C96" s="34"/>
      <c r="D96" s="34"/>
      <c r="E96" s="34"/>
      <c r="F96" s="34"/>
      <c r="G96" s="38"/>
      <c r="H96" s="34"/>
      <c r="I96" s="38"/>
      <c r="J96" s="34">
        <f>IF(OR(G96="",H96="已完成"),0,MAX(0,项目驾驶舱!$B$3-G96))</f>
        <v>0</v>
      </c>
      <c r="K96" s="34"/>
      <c r="L96" s="34"/>
    </row>
    <row r="97" spans="1:12">
      <c r="A97" s="34"/>
      <c r="B97" s="38"/>
      <c r="C97" s="34"/>
      <c r="D97" s="34"/>
      <c r="E97" s="34"/>
      <c r="F97" s="34"/>
      <c r="G97" s="38"/>
      <c r="H97" s="34"/>
      <c r="I97" s="38"/>
      <c r="J97" s="34">
        <f>IF(OR(G97="",H97="已完成"),0,MAX(0,项目驾驶舱!$B$3-G97))</f>
        <v>0</v>
      </c>
      <c r="K97" s="34"/>
      <c r="L97" s="34"/>
    </row>
    <row r="98" spans="1:12">
      <c r="A98" s="34"/>
      <c r="B98" s="38"/>
      <c r="C98" s="34"/>
      <c r="D98" s="34"/>
      <c r="E98" s="34"/>
      <c r="F98" s="34"/>
      <c r="G98" s="38"/>
      <c r="H98" s="34"/>
      <c r="I98" s="38"/>
      <c r="J98" s="34">
        <f>IF(OR(G98="",H98="已完成"),0,MAX(0,项目驾驶舱!$B$3-G98))</f>
        <v>0</v>
      </c>
      <c r="K98" s="34"/>
      <c r="L98" s="34"/>
    </row>
    <row r="99" spans="1:12">
      <c r="A99" s="34"/>
      <c r="B99" s="38"/>
      <c r="C99" s="34"/>
      <c r="D99" s="34"/>
      <c r="E99" s="34"/>
      <c r="F99" s="34"/>
      <c r="G99" s="38"/>
      <c r="H99" s="34"/>
      <c r="I99" s="38"/>
      <c r="J99" s="34">
        <f>IF(OR(G99="",H99="已完成"),0,MAX(0,项目驾驶舱!$B$3-G99))</f>
        <v>0</v>
      </c>
      <c r="K99" s="34"/>
      <c r="L99" s="34"/>
    </row>
    <row r="100" spans="1:12">
      <c r="A100" s="34"/>
      <c r="B100" s="38"/>
      <c r="C100" s="34"/>
      <c r="D100" s="34"/>
      <c r="E100" s="34"/>
      <c r="F100" s="34"/>
      <c r="G100" s="38"/>
      <c r="H100" s="34"/>
      <c r="I100" s="38"/>
      <c r="J100" s="34">
        <f>IF(OR(G100="",H100="已完成"),0,MAX(0,项目驾驶舱!$B$3-G100))</f>
        <v>0</v>
      </c>
      <c r="K100" s="34"/>
      <c r="L100" s="34"/>
    </row>
    <row r="101" spans="1:12">
      <c r="A101" s="34"/>
      <c r="B101" s="38"/>
      <c r="C101" s="34"/>
      <c r="D101" s="34"/>
      <c r="E101" s="34"/>
      <c r="F101" s="34"/>
      <c r="G101" s="38"/>
      <c r="H101" s="34"/>
      <c r="I101" s="38"/>
      <c r="J101" s="34">
        <f>IF(OR(G101="",H101="已完成"),0,MAX(0,项目驾驶舱!$B$3-G101))</f>
        <v>0</v>
      </c>
      <c r="K101" s="34"/>
      <c r="L101" s="34"/>
    </row>
    <row r="102" spans="1:12">
      <c r="A102" s="34"/>
      <c r="B102" s="38"/>
      <c r="C102" s="34"/>
      <c r="D102" s="34"/>
      <c r="E102" s="34"/>
      <c r="F102" s="34"/>
      <c r="G102" s="38"/>
      <c r="H102" s="34"/>
      <c r="I102" s="38"/>
      <c r="J102" s="34">
        <f>IF(OR(G102="",H102="已完成"),0,MAX(0,项目驾驶舱!$B$3-G102))</f>
        <v>0</v>
      </c>
      <c r="K102" s="34"/>
      <c r="L102" s="34"/>
    </row>
    <row r="103" spans="1:12">
      <c r="A103" s="34"/>
      <c r="B103" s="38"/>
      <c r="C103" s="34"/>
      <c r="D103" s="34"/>
      <c r="E103" s="34"/>
      <c r="F103" s="34"/>
      <c r="G103" s="38"/>
      <c r="H103" s="34"/>
      <c r="I103" s="38"/>
      <c r="J103" s="34">
        <f>IF(OR(G103="",H103="已完成"),0,MAX(0,项目驾驶舱!$B$3-G103))</f>
        <v>0</v>
      </c>
      <c r="K103" s="34"/>
      <c r="L103" s="34"/>
    </row>
  </sheetData>
  <mergeCells count="1">
    <mergeCell ref="A1:L1"/>
  </mergeCells>
  <conditionalFormatting sqref="H4:H103">
    <cfRule type="containsText" dxfId="0" priority="1" operator="between" text="已完成">
      <formula>NOT(ISERROR(SEARCH("已完成",H4)))</formula>
    </cfRule>
    <cfRule type="containsText" dxfId="1" priority="2" operator="between" text="进行中">
      <formula>NOT(ISERROR(SEARCH("进行中",H4)))</formula>
    </cfRule>
    <cfRule type="containsText" dxfId="2" priority="3" operator="between" text="未开始">
      <formula>NOT(ISERROR(SEARCH("未开始",H4)))</formula>
    </cfRule>
    <cfRule type="containsText" dxfId="3" priority="4" operator="between" text="暂停">
      <formula>NOT(ISERROR(SEARCH("暂停",H4)))</formula>
    </cfRule>
  </conditionalFormatting>
  <dataValidations count="2">
    <dataValidation type="list" sqref="H4:H103">
      <formula1>"未开始,进行中,已完成,取消"</formula1>
    </dataValidation>
    <dataValidation type="list" sqref="K4:K103">
      <formula1>"低,中,高"</formula1>
    </dataValidation>
  </dataValidation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showGridLines="0" topLeftCell="A9" workbookViewId="0">
      <selection activeCell="A1" sqref="A1:H1"/>
    </sheetView>
  </sheetViews>
  <sheetFormatPr defaultColWidth="9" defaultRowHeight="16.8" outlineLevelCol="7"/>
  <cols>
    <col min="1" max="1" width="18" style="1" customWidth="1"/>
    <col min="2" max="2" width="100" style="1" customWidth="1"/>
  </cols>
  <sheetData>
    <row r="1" ht="34" customHeight="1" spans="1:8">
      <c r="A1" s="32" t="s">
        <v>1540</v>
      </c>
      <c r="B1" s="3"/>
      <c r="C1" s="3"/>
      <c r="D1" s="3"/>
      <c r="E1" s="3"/>
      <c r="F1" s="3"/>
      <c r="G1" s="3"/>
      <c r="H1" s="4"/>
    </row>
    <row r="3" ht="48" customHeight="1" spans="1:8">
      <c r="A3" s="33" t="s">
        <v>1541</v>
      </c>
      <c r="B3" s="34" t="s">
        <v>1542</v>
      </c>
    </row>
    <row r="4" ht="48" customHeight="1" spans="1:8">
      <c r="A4" s="33" t="s">
        <v>1543</v>
      </c>
      <c r="B4" s="34" t="s">
        <v>1544</v>
      </c>
    </row>
    <row r="5" ht="48" customHeight="1" spans="1:8">
      <c r="A5" s="33" t="s">
        <v>1545</v>
      </c>
      <c r="B5" s="34" t="s">
        <v>1546</v>
      </c>
    </row>
    <row r="6" ht="48" customHeight="1" spans="1:8">
      <c r="A6" s="33" t="s">
        <v>1547</v>
      </c>
      <c r="B6" s="34" t="s">
        <v>1548</v>
      </c>
    </row>
    <row r="7" ht="48" customHeight="1" spans="1:8">
      <c r="A7" s="33" t="s">
        <v>1</v>
      </c>
      <c r="B7" s="34" t="s">
        <v>1549</v>
      </c>
    </row>
    <row r="8" ht="48" customHeight="1" spans="1:8">
      <c r="A8" s="33" t="s">
        <v>1550</v>
      </c>
      <c r="B8" s="34" t="s">
        <v>1551</v>
      </c>
    </row>
    <row r="9" ht="48" customHeight="1" spans="1:8">
      <c r="A9" s="33" t="s">
        <v>1552</v>
      </c>
      <c r="B9" s="34" t="s">
        <v>1553</v>
      </c>
    </row>
    <row r="10" ht="48" customHeight="1" spans="1:8">
      <c r="A10" s="33" t="s">
        <v>1554</v>
      </c>
      <c r="B10" s="34" t="s">
        <v>1555</v>
      </c>
    </row>
    <row r="11" ht="48" customHeight="1" spans="1:8">
      <c r="A11" s="33" t="s">
        <v>393</v>
      </c>
      <c r="B11" s="34" t="s">
        <v>1556</v>
      </c>
    </row>
    <row r="12" ht="48" customHeight="1" spans="1:8">
      <c r="A12" s="33" t="s">
        <v>1557</v>
      </c>
      <c r="B12" s="34" t="s">
        <v>1558</v>
      </c>
    </row>
    <row r="13" ht="48" customHeight="1" spans="1:8">
      <c r="A13" s="33" t="s">
        <v>1559</v>
      </c>
      <c r="B13" s="34" t="s">
        <v>1560</v>
      </c>
    </row>
    <row r="14" ht="48" customHeight="1" spans="1:8">
      <c r="A14" s="33" t="s">
        <v>1561</v>
      </c>
      <c r="B14" s="34" t="s">
        <v>1562</v>
      </c>
    </row>
    <row r="15" ht="48" customHeight="1" spans="1:8">
      <c r="A15" s="33" t="s">
        <v>570</v>
      </c>
      <c r="B15" s="34" t="s">
        <v>1563</v>
      </c>
    </row>
    <row r="16" ht="48" customHeight="1" spans="1:8">
      <c r="A16" s="33" t="s">
        <v>1564</v>
      </c>
      <c r="B16" s="34" t="s">
        <v>1565</v>
      </c>
    </row>
    <row r="17" ht="48" customHeight="1" spans="1:8">
      <c r="A17" s="33" t="s">
        <v>1566</v>
      </c>
      <c r="B17" s="34" t="s">
        <v>1567</v>
      </c>
    </row>
    <row r="18" ht="52" customHeight="1" spans="1:8">
      <c r="A18" s="35" t="s">
        <v>29</v>
      </c>
      <c r="B18" s="8" t="s">
        <v>1568</v>
      </c>
      <c r="C18" s="8"/>
      <c r="D18" s="8"/>
      <c r="E18" s="8"/>
      <c r="F18" s="8"/>
      <c r="G18" s="8"/>
      <c r="H18" s="8"/>
    </row>
    <row r="19" ht="62" customHeight="1" spans="1:8">
      <c r="A19" s="36" t="s">
        <v>1569</v>
      </c>
      <c r="B19" s="31" t="s">
        <v>1570</v>
      </c>
      <c r="C19" s="31"/>
      <c r="D19" s="31"/>
      <c r="E19" s="31"/>
      <c r="F19" s="31"/>
      <c r="G19" s="31"/>
      <c r="H19" s="31"/>
    </row>
  </sheetData>
  <mergeCells count="1">
    <mergeCell ref="A1:H1"/>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pageSetUpPr fitToPage="1"/>
  </sheetPr>
  <dimension ref="A1:L20"/>
  <sheetViews>
    <sheetView showGridLines="0" zoomScale="85" zoomScaleNormal="85" workbookViewId="0">
      <pane ySplit="4" topLeftCell="A5" activePane="bottomLeft" state="frozen"/>
      <selection/>
      <selection pane="bottomLeft" activeCell="A1" sqref="A1:L1"/>
    </sheetView>
  </sheetViews>
  <sheetFormatPr defaultColWidth="9" defaultRowHeight="16.8"/>
  <cols>
    <col min="1" max="1" width="15" style="1" customWidth="1"/>
    <col min="2" max="2" width="12" style="1" customWidth="1"/>
    <col min="3" max="3" width="24" style="1" customWidth="1"/>
    <col min="4" max="4" width="26" style="1" customWidth="1"/>
    <col min="5" max="5" width="32" style="1" customWidth="1"/>
    <col min="6" max="6" width="16" style="1" customWidth="1"/>
    <col min="7" max="7" width="3" style="1" customWidth="1"/>
    <col min="8" max="8" width="14" style="1" customWidth="1"/>
    <col min="9" max="12" width="12" style="1" customWidth="1"/>
  </cols>
  <sheetData>
    <row r="1" ht="28" customHeight="1" spans="1:12">
      <c r="A1" s="2" t="s">
        <v>1571</v>
      </c>
      <c r="B1" s="3"/>
      <c r="C1" s="3"/>
      <c r="D1" s="3"/>
      <c r="E1" s="3"/>
      <c r="F1" s="3"/>
      <c r="G1" s="3"/>
      <c r="H1" s="3"/>
      <c r="I1" s="3"/>
      <c r="J1" s="3"/>
      <c r="K1" s="3"/>
      <c r="L1" s="4"/>
    </row>
    <row r="2" ht="22" customHeight="1" spans="1:12">
      <c r="A2" s="5" t="s">
        <v>1572</v>
      </c>
      <c r="B2" s="3"/>
      <c r="C2" s="3"/>
      <c r="D2" s="3"/>
      <c r="E2" s="3"/>
      <c r="F2" s="3"/>
      <c r="G2" s="3"/>
      <c r="H2" s="3"/>
      <c r="I2" s="3"/>
      <c r="J2" s="3"/>
      <c r="K2" s="3"/>
      <c r="L2" s="4"/>
    </row>
    <row r="3" spans="1:12">
      <c r="A3" s="6"/>
      <c r="B3" s="6"/>
      <c r="C3" s="6"/>
      <c r="D3" s="6"/>
      <c r="E3" s="6"/>
      <c r="F3" s="6"/>
      <c r="G3" s="6"/>
      <c r="H3" s="6"/>
      <c r="I3" s="6"/>
      <c r="J3" s="6"/>
      <c r="K3" s="6"/>
      <c r="L3" s="6"/>
    </row>
    <row r="4" spans="1:12">
      <c r="A4" s="6" t="s">
        <v>1573</v>
      </c>
      <c r="B4" s="26">
        <f>项目驾驶舱!B3</f>
        <v>46276</v>
      </c>
      <c r="D4" s="6" t="s">
        <v>1574</v>
      </c>
      <c r="E4" s="27" t="s">
        <v>1575</v>
      </c>
      <c r="G4" s="6" t="s">
        <v>1576</v>
      </c>
      <c r="H4" s="27" t="s">
        <v>1577</v>
      </c>
      <c r="I4" s="3"/>
      <c r="J4" s="3"/>
      <c r="K4" s="3"/>
      <c r="L4" s="4"/>
    </row>
    <row r="6" spans="1:12">
      <c r="A6" s="28" t="s">
        <v>1578</v>
      </c>
      <c r="B6" s="4"/>
      <c r="D6" s="28" t="s">
        <v>1579</v>
      </c>
      <c r="E6" s="4"/>
      <c r="G6" s="28" t="s">
        <v>1580</v>
      </c>
      <c r="H6" s="4"/>
      <c r="J6" s="28" t="s">
        <v>1581</v>
      </c>
      <c r="K6" s="4"/>
    </row>
    <row r="7" ht="26" customHeight="1" spans="1:12">
      <c r="A7" s="29">
        <f>COUNTIF(项目总控台账!$A$4:$A$148,"&lt;&gt;")</f>
        <v>145</v>
      </c>
      <c r="B7" s="4"/>
      <c r="D7" s="29">
        <f>COUNTIF(项目总控台账!$G$4:$G$148,"已完成")</f>
        <v>73</v>
      </c>
      <c r="E7" s="4"/>
      <c r="G7" s="29">
        <f>COUNTIF(项目总控台账!$AC$4:$AC$148,"已延期")+COUNTIF(项目总控台账!$AC$4:$AC$148,"延期")</f>
        <v>24</v>
      </c>
      <c r="H7" s="4"/>
      <c r="J7" s="29">
        <f>COUNTIFS(项目总控台账!$J$4:$J$148,"&gt;="&amp;项目驾驶舱!$B$3,项目总控台账!$J$4:$J$148,"&lt;="&amp;项目驾驶舱!$B$3+14,项目总控台账!$G$4:$G$148,"&lt;&gt;已完成")</f>
        <v>0</v>
      </c>
      <c r="K7" s="4"/>
    </row>
    <row r="9" spans="1:12">
      <c r="A9" s="28" t="s">
        <v>1582</v>
      </c>
      <c r="B9" s="4"/>
      <c r="D9" s="28" t="s">
        <v>1583</v>
      </c>
      <c r="E9" s="4"/>
      <c r="G9" s="28" t="s">
        <v>1584</v>
      </c>
      <c r="H9" s="4"/>
      <c r="J9" s="28" t="s">
        <v>1585</v>
      </c>
      <c r="K9" s="4"/>
    </row>
    <row r="10" ht="26" customHeight="1" spans="1:12">
      <c r="A10" s="29">
        <f>COUNTIFS(风险问题台账!$D$4:$D$102,"高",风险问题台账!$K$4:$K$102,"&lt;&gt;已关闭")</f>
        <v>5</v>
      </c>
      <c r="B10" s="4"/>
      <c r="D10" s="29">
        <f>COUNTIF(风险问题台账!$M$4:$M$102,"是")</f>
        <v>0</v>
      </c>
      <c r="E10" s="4"/>
      <c r="G10" s="29">
        <f>COUNTIFS(会议行动项!$J$4:$J$102,"&gt;0",会议行动项!$H$4:$H$102,"&lt;&gt;已完成")</f>
        <v>0</v>
      </c>
      <c r="H10" s="4"/>
      <c r="J10" s="29">
        <f>COUNTIF(数据质量检查!$H$5:$H$149,"需整改")</f>
        <v>12</v>
      </c>
      <c r="K10" s="4"/>
    </row>
    <row r="13" ht="17.6" customHeight="1" spans="1:12">
      <c r="A13" s="23" t="s">
        <v>1586</v>
      </c>
      <c r="H13" s="23" t="s">
        <v>1587</v>
      </c>
    </row>
    <row r="14" ht="28" customHeight="1" spans="1:12">
      <c r="A14" s="7" t="s">
        <v>1588</v>
      </c>
      <c r="B14" s="7" t="s">
        <v>21</v>
      </c>
      <c r="C14" s="7" t="s">
        <v>1589</v>
      </c>
      <c r="D14" s="7" t="s">
        <v>1590</v>
      </c>
      <c r="E14" s="7" t="s">
        <v>1591</v>
      </c>
      <c r="F14" s="7" t="s">
        <v>1592</v>
      </c>
      <c r="H14" s="30" t="s">
        <v>21</v>
      </c>
      <c r="I14" s="30" t="s">
        <v>1593</v>
      </c>
    </row>
    <row r="15" spans="1:12">
      <c r="A15" s="8" t="s">
        <v>1594</v>
      </c>
      <c r="B15" s="8" t="str">
        <f>IF(COUNTIF(项目总控台账!$AC$4:$AC$148,"*延期*")&gt;=5,"红",IF(OR(COUNTIF(项目总控台账!$AC$4:$AC$148,"*延期*")&gt;0,COUNTIF(项目总控台账!$G$4:$G$148,"暂停")&gt;0),"黄","绿"))</f>
        <v>红</v>
      </c>
      <c r="C15" s="8" t="str">
        <f>COUNTIF(项目总控台账!$AC$4:$AC$148,"*延期*")&amp;"项任务延期；"&amp;COUNTIF(项目总控台账!$G$4:$G$148,"暂停")&amp;"项任务暂停"</f>
        <v>24项任务延期；6项任务暂停</v>
      </c>
      <c r="D15" s="8" t="s">
        <v>1595</v>
      </c>
      <c r="E15" s="8" t="s">
        <v>1596</v>
      </c>
      <c r="F15" s="8" t="s">
        <v>508</v>
      </c>
      <c r="H15" s="6" t="s">
        <v>1597</v>
      </c>
      <c r="I15" s="6">
        <f>COUNTIF($B$15:$B$20,H15)</f>
        <v>3</v>
      </c>
    </row>
    <row r="16" spans="1:12">
      <c r="A16" s="8" t="s">
        <v>1445</v>
      </c>
      <c r="B16" s="8" t="str">
        <f>IF(COUNTIFS(风险问题台账!$D$4:$D$102,"高",风险问题台账!$K$4:$K$102,"&lt;&gt;已关闭")&gt;=3,"红",IF(COUNTIFS(风险问题台账!$D$4:$D$102,"高",风险问题台账!$K$4:$K$102,"&lt;&gt;已关闭")&gt;0,"黄","绿"))</f>
        <v>红</v>
      </c>
      <c r="C16" s="8" t="str">
        <f>COUNTIFS(风险问题台账!$D$4:$D$102,"高",风险问题台账!$K$4:$K$102,"&lt;&gt;已关闭")&amp;"项高风险未关闭"</f>
        <v>5项高风险未关闭</v>
      </c>
      <c r="D16" s="8" t="s">
        <v>1598</v>
      </c>
      <c r="E16" s="8" t="s">
        <v>1599</v>
      </c>
      <c r="F16" s="8" t="s">
        <v>533</v>
      </c>
      <c r="H16" s="6" t="s">
        <v>1600</v>
      </c>
      <c r="I16" s="6">
        <f>COUNTIF($B$15:$B$20,H16)</f>
        <v>0</v>
      </c>
    </row>
    <row r="17" spans="1:9">
      <c r="A17" s="8" t="s">
        <v>1601</v>
      </c>
      <c r="B17" s="8" t="str">
        <f>IF(COUNTIFS(会议行动项!$J$4:$J$102,"&gt;7",会议行动项!$H$4:$H$102,"&lt;&gt;已完成")&gt;0,"红",IF(COUNTIFS(会议行动项!$J$4:$J$102,"&gt;0",会议行动项!$H$4:$H$102,"&lt;&gt;已完成")&gt;0,"黄","绿"))</f>
        <v>绿</v>
      </c>
      <c r="C17" s="8" t="str">
        <f>COUNTIFS(会议行动项!$J$4:$J$102,"&gt;0",会议行动项!$H$4:$H$102,"&lt;&gt;已完成")&amp;"项行动逾期"</f>
        <v>0项行动逾期</v>
      </c>
      <c r="D17" s="8" t="s">
        <v>1602</v>
      </c>
      <c r="E17" s="8" t="s">
        <v>1603</v>
      </c>
      <c r="F17" s="8" t="s">
        <v>543</v>
      </c>
      <c r="H17" s="6" t="s">
        <v>1604</v>
      </c>
      <c r="I17" s="6">
        <f>COUNTIF($B$15:$B$20,H17)</f>
        <v>3</v>
      </c>
    </row>
    <row r="18" spans="1:9">
      <c r="A18" s="8" t="s">
        <v>1605</v>
      </c>
      <c r="B18" s="8" t="str">
        <f>IF(COUNTIF(数据质量检查!$H$5:$H$149,"需整改")&gt;=10,"红",IF(COUNTIF(数据质量检查!$H$5:$H$149,"需整改")&gt;0,"黄","绿"))</f>
        <v>红</v>
      </c>
      <c r="C18" s="8" t="str">
        <f>COUNTIF(数据质量检查!$H$5:$H$149,"需整改")&amp;"条数据需整改"</f>
        <v>12条数据需整改</v>
      </c>
      <c r="D18" s="8" t="s">
        <v>1606</v>
      </c>
      <c r="E18" s="8" t="s">
        <v>1607</v>
      </c>
      <c r="F18" s="8" t="s">
        <v>1608</v>
      </c>
      <c r="H18" s="6" t="s">
        <v>1609</v>
      </c>
      <c r="I18" s="6">
        <f>COUNTIF($B$15:$B$20,H18)</f>
        <v>0</v>
      </c>
    </row>
    <row r="19" ht="31" customHeight="1" spans="1:9">
      <c r="A19" s="8" t="s">
        <v>1610</v>
      </c>
      <c r="B19" s="8" t="str">
        <f>IF(COUNTIFS(相关方管理!$H$9:$H$108,"高",相关方管理!$J$9:$J$108,"抵触")+COUNTIFS(相关方管理!$H$9:$H$108,"高",相关方管理!$J$9:$J$108,"不支持")&gt;0,"红",IF(COUNTIFS(相关方管理!$L$9:$L$108,"&gt;0")+COUNTIFS(相关方管理!$T$9:$T$108,"&lt;"&amp;项目驾驶舱!$B$3,相关方管理!$T$9:$T$108,"&lt;&gt;")&gt;0,"黄","绿"))</f>
        <v>绿</v>
      </c>
      <c r="C19" s="8" t="str">
        <f>COUNTIFS(相关方管理!$L$9:$L$108,"&gt;0")&amp;"人存在支持差距；"&amp;COUNTIFS(相关方管理!$Z$9:$Z$108,"是")&amp;"项需升级"</f>
        <v>0人存在支持差距；0项需升级</v>
      </c>
      <c r="D19" s="8" t="s">
        <v>1611</v>
      </c>
      <c r="E19" s="8" t="s">
        <v>1612</v>
      </c>
      <c r="F19" s="8" t="s">
        <v>508</v>
      </c>
    </row>
    <row r="20" ht="34" spans="1:9">
      <c r="A20" s="31" t="s">
        <v>1613</v>
      </c>
      <c r="B20" s="31" t="str">
        <f>IF(COUNTIFS(风险登记册!$AH$9:$AH$108,"重大")&gt;0,"红",IF(COUNTIFS(风险登记册!$AH$9:$AH$108,"高")+COUNTIFS(风险应对计划!$Q$5:$Q$104,"是")&gt;0,"黄","绿"))</f>
        <v>绿</v>
      </c>
      <c r="C20" s="31" t="str">
        <f>COUNTIFS(风险登记册!$AH$9:$AH$108,"重大")&amp;"项重大剩余风险；"&amp;COUNTIFS(风险应对计划!$Q$5:$Q$104,"是")&amp;"项应对逾期"</f>
        <v>0项重大剩余风险；0项应对逾期</v>
      </c>
      <c r="D20" s="31" t="s">
        <v>1614</v>
      </c>
      <c r="E20" s="31" t="s">
        <v>1615</v>
      </c>
      <c r="F20" s="31" t="s">
        <v>543</v>
      </c>
    </row>
  </sheetData>
  <mergeCells count="19">
    <mergeCell ref="A1:L1"/>
    <mergeCell ref="A2:L2"/>
    <mergeCell ref="H4:L4"/>
    <mergeCell ref="A6:B6"/>
    <mergeCell ref="D6:E6"/>
    <mergeCell ref="G6:H6"/>
    <mergeCell ref="J6:K6"/>
    <mergeCell ref="A7:B7"/>
    <mergeCell ref="D7:E7"/>
    <mergeCell ref="G7:H7"/>
    <mergeCell ref="J7:K7"/>
    <mergeCell ref="A9:B9"/>
    <mergeCell ref="D9:E9"/>
    <mergeCell ref="G9:H9"/>
    <mergeCell ref="J9:K9"/>
    <mergeCell ref="A10:B10"/>
    <mergeCell ref="D10:E10"/>
    <mergeCell ref="G10:H10"/>
    <mergeCell ref="J10:K10"/>
  </mergeCells>
  <conditionalFormatting sqref="B15:B18">
    <cfRule type="expression" dxfId="6" priority="1">
      <formula>$B5="红"</formula>
    </cfRule>
    <cfRule type="expression" dxfId="7" priority="2">
      <formula>$B5="黄"</formula>
    </cfRule>
    <cfRule type="expression" dxfId="13" priority="3">
      <formula>$B5="绿"</formula>
    </cfRule>
    <cfRule type="expression" dxfId="14" priority="4">
      <formula>$B5="灰"</formula>
    </cfRule>
  </conditionalFormatting>
  <pageMargins left="0.75" right="0.75" top="1" bottom="1" header="0.5" footer="0.5"/>
  <pageSetup paperSize="1" fitToHeight="0" orientation="landscape"/>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J149"/>
  <sheetViews>
    <sheetView showGridLines="0" zoomScale="85" zoomScaleNormal="85" workbookViewId="0">
      <pane ySplit="4" topLeftCell="A5" activePane="bottomLeft" state="frozen"/>
      <selection/>
      <selection pane="bottomLeft" activeCell="A1" sqref="A1:J1"/>
    </sheetView>
  </sheetViews>
  <sheetFormatPr defaultColWidth="9" defaultRowHeight="16.8"/>
  <cols>
    <col min="1" max="1" width="16" style="1" customWidth="1"/>
    <col min="2" max="2" width="12" style="1" customWidth="1"/>
    <col min="3" max="3" width="28" style="1" customWidth="1"/>
    <col min="4" max="4" width="16" style="1" customWidth="1"/>
    <col min="5" max="6" width="13" style="1" customWidth="1"/>
    <col min="7" max="7" width="38" style="1" customWidth="1"/>
    <col min="8" max="8" width="12" style="1" customWidth="1"/>
    <col min="9" max="9" width="32" style="1" customWidth="1"/>
    <col min="10" max="10" width="10" style="1" customWidth="1"/>
  </cols>
  <sheetData>
    <row r="1" ht="28" customHeight="1" spans="1:10">
      <c r="A1" s="2" t="s">
        <v>1616</v>
      </c>
      <c r="B1" s="3"/>
      <c r="C1" s="3"/>
      <c r="D1" s="3"/>
      <c r="E1" s="3"/>
      <c r="F1" s="3"/>
      <c r="G1" s="3"/>
      <c r="H1" s="3"/>
      <c r="I1" s="3"/>
      <c r="J1" s="4"/>
    </row>
    <row r="2" ht="22" customHeight="1" spans="1:10">
      <c r="A2" s="5" t="s">
        <v>1617</v>
      </c>
      <c r="B2" s="3"/>
      <c r="C2" s="3"/>
      <c r="D2" s="3"/>
      <c r="E2" s="3"/>
      <c r="F2" s="3"/>
      <c r="G2" s="3"/>
      <c r="H2" s="3"/>
      <c r="I2" s="3"/>
      <c r="J2" s="4"/>
    </row>
    <row r="3" spans="1:10">
      <c r="A3" s="6"/>
      <c r="B3" s="6"/>
      <c r="C3" s="6"/>
      <c r="D3" s="6"/>
      <c r="E3" s="6"/>
      <c r="F3" s="6"/>
      <c r="G3" s="6"/>
      <c r="H3" s="6"/>
      <c r="I3" s="6"/>
      <c r="J3" s="6"/>
    </row>
    <row r="4" ht="28" customHeight="1" spans="1:10">
      <c r="A4" s="7" t="s">
        <v>1618</v>
      </c>
      <c r="B4" s="7" t="s">
        <v>1619</v>
      </c>
      <c r="C4" s="7" t="s">
        <v>799</v>
      </c>
      <c r="D4" s="7" t="s">
        <v>707</v>
      </c>
      <c r="E4" s="7" t="s">
        <v>48</v>
      </c>
      <c r="F4" s="7" t="s">
        <v>49</v>
      </c>
      <c r="G4" s="7" t="s">
        <v>1620</v>
      </c>
      <c r="H4" s="7" t="s">
        <v>1621</v>
      </c>
      <c r="I4" s="7" t="s">
        <v>1591</v>
      </c>
      <c r="J4" s="7" t="s">
        <v>1622</v>
      </c>
    </row>
    <row r="5" spans="1:10">
      <c r="A5" s="8" t="s">
        <v>1623</v>
      </c>
      <c r="B5" s="8" t="str">
        <f>项目总控台账!A4</f>
        <v>T001</v>
      </c>
      <c r="C5" s="8" t="str">
        <f>IF(AND(项目总控台账!E4&lt;&gt;"",项目总控台账!E4&lt;&gt;"/"),项目总控台账!E4,IF(AND(项目总控台账!D4&lt;&gt;"",项目总控台账!D4&lt;&gt;"/"),项目总控台账!D4,项目总控台账!C4))</f>
        <v>新增车辆信息</v>
      </c>
      <c r="D5" s="8" t="str">
        <f>项目总控台账!H4</f>
        <v>郑士旺</v>
      </c>
      <c r="E5" s="25">
        <f>项目总控台账!I4</f>
        <v>46202</v>
      </c>
      <c r="F5" s="25">
        <f>项目总控台账!J4</f>
        <v>46234</v>
      </c>
      <c r="G5" s="8" t="str">
        <f>IF(B5="","",IF(OR(C5="",C5="/"),"缺少任务名称；","")&amp;IF(OR(D5="",D5="/"),"缺少有效主责人；","")&amp;IF(OR(E5="",E5&lt;DATE(2000,1,1)),"缺少有效计划开始；","")&amp;IF(OR(F5="",F5&lt;DATE(2000,1,1)),"缺少有效计划完成；","")&amp;IF(项目总控台账!G4="","缺少总体状态；","")&amp;IF(AND(ISNUMBER(E5),ISNUMBER(F5),E5&gt;=DATE(2000,1,1),F5&gt;=DATE(2000,1,1),E5&gt;F5),"开始晚于完成；","")&amp;IF(AND(项目总控台账!G4="已完成",项目总控台账!AB4&lt;1),"已完成但进度不足100%；",""))</f>
        <v/>
      </c>
      <c r="H5" s="8" t="str">
        <f t="shared" ref="H5:H68" si="0">IF(B5="","",IF(G5="","通过","需整改"))</f>
        <v>通过</v>
      </c>
      <c r="I5" s="8" t="str">
        <f t="shared" ref="I5:I68" si="1">IF(H5="需整改","回到项目总控台账第"&amp;J5&amp;"行补齐或修正","无需处理")</f>
        <v>无需处理</v>
      </c>
      <c r="J5" s="8">
        <v>4</v>
      </c>
    </row>
    <row r="6" spans="1:10">
      <c r="A6" s="8" t="s">
        <v>1623</v>
      </c>
      <c r="B6" s="8" t="str">
        <f>项目总控台账!A5</f>
        <v>T002</v>
      </c>
      <c r="C6" s="8" t="str">
        <f>IF(AND(项目总控台账!E5&lt;&gt;"",项目总控台账!E5&lt;&gt;"/"),项目总控台账!E5,IF(AND(项目总控台账!D5&lt;&gt;"",项目总控台账!D5&lt;&gt;"/"),项目总控台账!D5,项目总控台账!C5))</f>
        <v>修改车辆信息</v>
      </c>
      <c r="D6" s="8" t="str">
        <f>项目总控台账!H5</f>
        <v>郑士旺</v>
      </c>
      <c r="E6" s="25">
        <f>项目总控台账!I5</f>
        <v>46202</v>
      </c>
      <c r="F6" s="25">
        <f>项目总控台账!J5</f>
        <v>46234</v>
      </c>
      <c r="G6" s="8" t="str">
        <f>IF(B6="","",IF(OR(C6="",C6="/"),"缺少任务名称；","")&amp;IF(OR(D6="",D6="/"),"缺少有效主责人；","")&amp;IF(OR(E6="",E6&lt;DATE(2000,1,1)),"缺少有效计划开始；","")&amp;IF(OR(F6="",F6&lt;DATE(2000,1,1)),"缺少有效计划完成；","")&amp;IF(项目总控台账!G5="","缺少总体状态；","")&amp;IF(AND(ISNUMBER(E6),ISNUMBER(F6),E6&gt;=DATE(2000,1,1),F6&gt;=DATE(2000,1,1),E6&gt;F6),"开始晚于完成；","")&amp;IF(AND(项目总控台账!G5="已完成",项目总控台账!AB5&lt;1),"已完成但进度不足100%；",""))</f>
        <v/>
      </c>
      <c r="H6" s="8" t="str">
        <f t="shared" si="0"/>
        <v>通过</v>
      </c>
      <c r="I6" s="8" t="str">
        <f t="shared" si="1"/>
        <v>无需处理</v>
      </c>
      <c r="J6" s="8">
        <v>5</v>
      </c>
    </row>
    <row r="7" spans="1:10">
      <c r="A7" s="8" t="s">
        <v>1623</v>
      </c>
      <c r="B7" s="8" t="str">
        <f>项目总控台账!A6</f>
        <v>T003</v>
      </c>
      <c r="C7" s="8" t="str">
        <f>IF(AND(项目总控台账!E6&lt;&gt;"",项目总控台账!E6&lt;&gt;"/"),项目总控台账!E6,IF(AND(项目总控台账!D6&lt;&gt;"",项目总控台账!D6&lt;&gt;"/"),项目总控台账!D6,项目总控台账!C6))</f>
        <v>删除车辆信息</v>
      </c>
      <c r="D7" s="8" t="str">
        <f>项目总控台账!H6</f>
        <v>郑士旺</v>
      </c>
      <c r="E7" s="25">
        <f>项目总控台账!I6</f>
        <v>46202</v>
      </c>
      <c r="F7" s="25">
        <f>项目总控台账!J6</f>
        <v>46234</v>
      </c>
      <c r="G7" s="8" t="str">
        <f>IF(B7="","",IF(OR(C7="",C7="/"),"缺少任务名称；","")&amp;IF(OR(D7="",D7="/"),"缺少有效主责人；","")&amp;IF(OR(E7="",E7&lt;DATE(2000,1,1)),"缺少有效计划开始；","")&amp;IF(OR(F7="",F7&lt;DATE(2000,1,1)),"缺少有效计划完成；","")&amp;IF(项目总控台账!G6="","缺少总体状态；","")&amp;IF(AND(ISNUMBER(E7),ISNUMBER(F7),E7&gt;=DATE(2000,1,1),F7&gt;=DATE(2000,1,1),E7&gt;F7),"开始晚于完成；","")&amp;IF(AND(项目总控台账!G6="已完成",项目总控台账!AB6&lt;1),"已完成但进度不足100%；",""))</f>
        <v/>
      </c>
      <c r="H7" s="8" t="str">
        <f t="shared" si="0"/>
        <v>通过</v>
      </c>
      <c r="I7" s="8" t="str">
        <f t="shared" si="1"/>
        <v>无需处理</v>
      </c>
      <c r="J7" s="8">
        <v>6</v>
      </c>
    </row>
    <row r="8" spans="1:10">
      <c r="A8" s="8" t="s">
        <v>1623</v>
      </c>
      <c r="B8" s="8" t="str">
        <f>项目总控台账!A7</f>
        <v>T004</v>
      </c>
      <c r="C8" s="8" t="str">
        <f>IF(AND(项目总控台账!E7&lt;&gt;"",项目总控台账!E7&lt;&gt;"/"),项目总控台账!E7,IF(AND(项目总控台账!D7&lt;&gt;"",项目总控台账!D7&lt;&gt;"/"),项目总控台账!D7,项目总控台账!C7))</f>
        <v>查询展示车辆信息</v>
      </c>
      <c r="D8" s="8" t="str">
        <f>项目总控台账!H7</f>
        <v>郑士旺</v>
      </c>
      <c r="E8" s="25">
        <f>项目总控台账!I7</f>
        <v>46202</v>
      </c>
      <c r="F8" s="25">
        <f>项目总控台账!J7</f>
        <v>46234</v>
      </c>
      <c r="G8" s="8" t="str">
        <f>IF(B8="","",IF(OR(C8="",C8="/"),"缺少任务名称；","")&amp;IF(OR(D8="",D8="/"),"缺少有效主责人；","")&amp;IF(OR(E8="",E8&lt;DATE(2000,1,1)),"缺少有效计划开始；","")&amp;IF(OR(F8="",F8&lt;DATE(2000,1,1)),"缺少有效计划完成；","")&amp;IF(项目总控台账!G7="","缺少总体状态；","")&amp;IF(AND(ISNUMBER(E8),ISNUMBER(F8),E8&gt;=DATE(2000,1,1),F8&gt;=DATE(2000,1,1),E8&gt;F8),"开始晚于完成；","")&amp;IF(AND(项目总控台账!G7="已完成",项目总控台账!AB7&lt;1),"已完成但进度不足100%；",""))</f>
        <v/>
      </c>
      <c r="H8" s="8" t="str">
        <f t="shared" si="0"/>
        <v>通过</v>
      </c>
      <c r="I8" s="8" t="str">
        <f t="shared" si="1"/>
        <v>无需处理</v>
      </c>
      <c r="J8" s="8">
        <v>7</v>
      </c>
    </row>
    <row r="9" spans="1:10">
      <c r="A9" s="8" t="s">
        <v>1623</v>
      </c>
      <c r="B9" s="8" t="str">
        <f>项目总控台账!A8</f>
        <v>T005</v>
      </c>
      <c r="C9" s="8" t="str">
        <f>IF(AND(项目总控台账!E8&lt;&gt;"",项目总控台账!E8&lt;&gt;"/"),项目总控台账!E8,IF(AND(项目总控台账!D8&lt;&gt;"",项目总控台账!D8&lt;&gt;"/"),项目总控台账!D8,项目总控台账!C8))</f>
        <v>船舶唯一性校验</v>
      </c>
      <c r="D9" s="8" t="str">
        <f>项目总控台账!H8</f>
        <v>郑士旺</v>
      </c>
      <c r="E9" s="25">
        <f>项目总控台账!I8</f>
        <v>46230</v>
      </c>
      <c r="F9" s="25">
        <f>项目总控台账!J8</f>
        <v>46353</v>
      </c>
      <c r="G9" s="8" t="str">
        <f>IF(B9="","",IF(OR(C9="",C9="/"),"缺少任务名称；","")&amp;IF(OR(D9="",D9="/"),"缺少有效主责人；","")&amp;IF(OR(E9="",E9&lt;DATE(2000,1,1)),"缺少有效计划开始；","")&amp;IF(OR(F9="",F9&lt;DATE(2000,1,1)),"缺少有效计划完成；","")&amp;IF(项目总控台账!G8="","缺少总体状态；","")&amp;IF(AND(ISNUMBER(E9),ISNUMBER(F9),E9&gt;=DATE(2000,1,1),F9&gt;=DATE(2000,1,1),E9&gt;F9),"开始晚于完成；","")&amp;IF(AND(项目总控台账!G8="已完成",项目总控台账!AB8&lt;1),"已完成但进度不足100%；",""))</f>
        <v/>
      </c>
      <c r="H9" s="8" t="str">
        <f t="shared" si="0"/>
        <v>通过</v>
      </c>
      <c r="I9" s="8" t="str">
        <f t="shared" si="1"/>
        <v>无需处理</v>
      </c>
      <c r="J9" s="8">
        <v>8</v>
      </c>
    </row>
    <row r="10" spans="1:10">
      <c r="A10" s="8" t="s">
        <v>1623</v>
      </c>
      <c r="B10" s="8" t="str">
        <f>项目总控台账!A9</f>
        <v>T006</v>
      </c>
      <c r="C10" s="8" t="str">
        <f>IF(AND(项目总控台账!E9&lt;&gt;"",项目总控台账!E9&lt;&gt;"/"),项目总控台账!E9,IF(AND(项目总控台账!D9&lt;&gt;"",项目总控台账!D9&lt;&gt;"/"),项目总控台账!D9,项目总控台账!C9))</f>
        <v>优化收费标准（装卸费）新增</v>
      </c>
      <c r="D10" s="8" t="str">
        <f>项目总控台账!H9</f>
        <v>郑士旺</v>
      </c>
      <c r="E10" s="25">
        <f>项目总控台账!I9</f>
        <v>46202</v>
      </c>
      <c r="F10" s="25">
        <f>项目总控台账!J9</f>
        <v>46224</v>
      </c>
      <c r="G10" s="8" t="str">
        <f>IF(B10="","",IF(OR(C10="",C10="/"),"缺少任务名称；","")&amp;IF(OR(D10="",D10="/"),"缺少有效主责人；","")&amp;IF(OR(E10="",E10&lt;DATE(2000,1,1)),"缺少有效计划开始；","")&amp;IF(OR(F10="",F10&lt;DATE(2000,1,1)),"缺少有效计划完成；","")&amp;IF(项目总控台账!G9="","缺少总体状态；","")&amp;IF(AND(ISNUMBER(E10),ISNUMBER(F10),E10&gt;=DATE(2000,1,1),F10&gt;=DATE(2000,1,1),E10&gt;F10),"开始晚于完成；","")&amp;IF(AND(项目总控台账!G9="已完成",项目总控台账!AB9&lt;1),"已完成但进度不足100%；",""))</f>
        <v/>
      </c>
      <c r="H10" s="8" t="str">
        <f t="shared" si="0"/>
        <v>通过</v>
      </c>
      <c r="I10" s="8" t="str">
        <f t="shared" si="1"/>
        <v>无需处理</v>
      </c>
      <c r="J10" s="8">
        <v>9</v>
      </c>
    </row>
    <row r="11" spans="1:10">
      <c r="A11" s="8" t="s">
        <v>1623</v>
      </c>
      <c r="B11" s="8" t="str">
        <f>项目总控台账!A10</f>
        <v>T007</v>
      </c>
      <c r="C11" s="8" t="str">
        <f>IF(AND(项目总控台账!E10&lt;&gt;"",项目总控台账!E10&lt;&gt;"/"),项目总控台账!E10,IF(AND(项目总控台账!D10&lt;&gt;"",项目总控台账!D10&lt;&gt;"/"),项目总控台账!D10,项目总控台账!C10))</f>
        <v>优化收费标准（装卸费）编辑</v>
      </c>
      <c r="D11" s="8" t="str">
        <f>项目总控台账!H10</f>
        <v>郑士旺</v>
      </c>
      <c r="E11" s="25">
        <f>项目总控台账!I10</f>
        <v>46202</v>
      </c>
      <c r="F11" s="25">
        <f>项目总控台账!J10</f>
        <v>46224</v>
      </c>
      <c r="G11" s="8" t="str">
        <f>IF(B11="","",IF(OR(C11="",C11="/"),"缺少任务名称；","")&amp;IF(OR(D11="",D11="/"),"缺少有效主责人；","")&amp;IF(OR(E11="",E11&lt;DATE(2000,1,1)),"缺少有效计划开始；","")&amp;IF(OR(F11="",F11&lt;DATE(2000,1,1)),"缺少有效计划完成；","")&amp;IF(项目总控台账!G10="","缺少总体状态；","")&amp;IF(AND(ISNUMBER(E11),ISNUMBER(F11),E11&gt;=DATE(2000,1,1),F11&gt;=DATE(2000,1,1),E11&gt;F11),"开始晚于完成；","")&amp;IF(AND(项目总控台账!G10="已完成",项目总控台账!AB10&lt;1),"已完成但进度不足100%；",""))</f>
        <v/>
      </c>
      <c r="H11" s="8" t="str">
        <f t="shared" si="0"/>
        <v>通过</v>
      </c>
      <c r="I11" s="8" t="str">
        <f t="shared" si="1"/>
        <v>无需处理</v>
      </c>
      <c r="J11" s="8">
        <v>10</v>
      </c>
    </row>
    <row r="12" spans="1:10">
      <c r="A12" s="8" t="s">
        <v>1623</v>
      </c>
      <c r="B12" s="8" t="str">
        <f>项目总控台账!A11</f>
        <v>T008</v>
      </c>
      <c r="C12" s="8" t="str">
        <f>IF(AND(项目总控台账!E11&lt;&gt;"",项目总控台账!E11&lt;&gt;"/"),项目总控台账!E11,IF(AND(项目总控台账!D11&lt;&gt;"",项目总控台账!D11&lt;&gt;"/"),项目总控台账!D11,项目总控台账!C11))</f>
        <v>优化收费标准（装卸费）详情</v>
      </c>
      <c r="D12" s="8" t="str">
        <f>项目总控台账!H11</f>
        <v>郑士旺</v>
      </c>
      <c r="E12" s="25">
        <f>项目总控台账!I11</f>
        <v>46202</v>
      </c>
      <c r="F12" s="25">
        <f>项目总控台账!J11</f>
        <v>46224</v>
      </c>
      <c r="G12" s="8" t="str">
        <f>IF(B12="","",IF(OR(C12="",C12="/"),"缺少任务名称；","")&amp;IF(OR(D12="",D12="/"),"缺少有效主责人；","")&amp;IF(OR(E12="",E12&lt;DATE(2000,1,1)),"缺少有效计划开始；","")&amp;IF(OR(F12="",F12&lt;DATE(2000,1,1)),"缺少有效计划完成；","")&amp;IF(项目总控台账!G11="","缺少总体状态；","")&amp;IF(AND(ISNUMBER(E12),ISNUMBER(F12),E12&gt;=DATE(2000,1,1),F12&gt;=DATE(2000,1,1),E12&gt;F12),"开始晚于完成；","")&amp;IF(AND(项目总控台账!G11="已完成",项目总控台账!AB11&lt;1),"已完成但进度不足100%；",""))</f>
        <v/>
      </c>
      <c r="H12" s="8" t="str">
        <f t="shared" si="0"/>
        <v>通过</v>
      </c>
      <c r="I12" s="8" t="str">
        <f t="shared" si="1"/>
        <v>无需处理</v>
      </c>
      <c r="J12" s="8">
        <v>11</v>
      </c>
    </row>
    <row r="13" spans="1:10">
      <c r="A13" s="8" t="s">
        <v>1623</v>
      </c>
      <c r="B13" s="8" t="str">
        <f>项目总控台账!A12</f>
        <v>T009</v>
      </c>
      <c r="C13" s="8" t="str">
        <f>IF(AND(项目总控台账!E12&lt;&gt;"",项目总控台账!E12&lt;&gt;"/"),项目总控台账!E12,IF(AND(项目总控台账!D12&lt;&gt;"",项目总控台账!D12&lt;&gt;"/"),项目总控台账!D12,项目总控台账!C12))</f>
        <v>优化采样方式新增</v>
      </c>
      <c r="D13" s="8" t="str">
        <f>项目总控台账!H12</f>
        <v>郑士旺</v>
      </c>
      <c r="E13" s="25">
        <f>项目总控台账!I12</f>
        <v>46202</v>
      </c>
      <c r="F13" s="25">
        <f>项目总控台账!J12</f>
        <v>46224</v>
      </c>
      <c r="G13" s="8" t="str">
        <f>IF(B13="","",IF(OR(C13="",C13="/"),"缺少任务名称；","")&amp;IF(OR(D13="",D13="/"),"缺少有效主责人；","")&amp;IF(OR(E13="",E13&lt;DATE(2000,1,1)),"缺少有效计划开始；","")&amp;IF(OR(F13="",F13&lt;DATE(2000,1,1)),"缺少有效计划完成；","")&amp;IF(项目总控台账!G12="","缺少总体状态；","")&amp;IF(AND(ISNUMBER(E13),ISNUMBER(F13),E13&gt;=DATE(2000,1,1),F13&gt;=DATE(2000,1,1),E13&gt;F13),"开始晚于完成；","")&amp;IF(AND(项目总控台账!G12="已完成",项目总控台账!AB12&lt;1),"已完成但进度不足100%；",""))</f>
        <v/>
      </c>
      <c r="H13" s="8" t="str">
        <f t="shared" si="0"/>
        <v>通过</v>
      </c>
      <c r="I13" s="8" t="str">
        <f t="shared" si="1"/>
        <v>无需处理</v>
      </c>
      <c r="J13" s="8">
        <v>12</v>
      </c>
    </row>
    <row r="14" spans="1:10">
      <c r="A14" s="8" t="s">
        <v>1623</v>
      </c>
      <c r="B14" s="8" t="str">
        <f>项目总控台账!A13</f>
        <v>T010</v>
      </c>
      <c r="C14" s="8" t="str">
        <f>IF(AND(项目总控台账!E13&lt;&gt;"",项目总控台账!E13&lt;&gt;"/"),项目总控台账!E13,IF(AND(项目总控台账!D13&lt;&gt;"",项目总控台账!D13&lt;&gt;"/"),项目总控台账!D13,项目总控台账!C13))</f>
        <v>优化采样方式编辑</v>
      </c>
      <c r="D14" s="8" t="str">
        <f>项目总控台账!H13</f>
        <v>郑士旺</v>
      </c>
      <c r="E14" s="25">
        <f>项目总控台账!I13</f>
        <v>46202</v>
      </c>
      <c r="F14" s="25">
        <f>项目总控台账!J13</f>
        <v>46224</v>
      </c>
      <c r="G14" s="8" t="str">
        <f>IF(B14="","",IF(OR(C14="",C14="/"),"缺少任务名称；","")&amp;IF(OR(D14="",D14="/"),"缺少有效主责人；","")&amp;IF(OR(E14="",E14&lt;DATE(2000,1,1)),"缺少有效计划开始；","")&amp;IF(OR(F14="",F14&lt;DATE(2000,1,1)),"缺少有效计划完成；","")&amp;IF(项目总控台账!G13="","缺少总体状态；","")&amp;IF(AND(ISNUMBER(E14),ISNUMBER(F14),E14&gt;=DATE(2000,1,1),F14&gt;=DATE(2000,1,1),E14&gt;F14),"开始晚于完成；","")&amp;IF(AND(项目总控台账!G13="已完成",项目总控台账!AB13&lt;1),"已完成但进度不足100%；",""))</f>
        <v/>
      </c>
      <c r="H14" s="8" t="str">
        <f t="shared" si="0"/>
        <v>通过</v>
      </c>
      <c r="I14" s="8" t="str">
        <f t="shared" si="1"/>
        <v>无需处理</v>
      </c>
      <c r="J14" s="8">
        <v>13</v>
      </c>
    </row>
    <row r="15" spans="1:10">
      <c r="A15" s="8" t="s">
        <v>1623</v>
      </c>
      <c r="B15" s="8" t="str">
        <f>项目总控台账!A14</f>
        <v>T011</v>
      </c>
      <c r="C15" s="8" t="str">
        <f>IF(AND(项目总控台账!E14&lt;&gt;"",项目总控台账!E14&lt;&gt;"/"),项目总控台账!E14,IF(AND(项目总控台账!D14&lt;&gt;"",项目总控台账!D14&lt;&gt;"/"),项目总控台账!D14,项目总控台账!C14))</f>
        <v>获取报单数据及展示</v>
      </c>
      <c r="D15" s="8" t="str">
        <f>项目总控台账!H14</f>
        <v>郑士旺</v>
      </c>
      <c r="E15" s="25">
        <f>项目总控台账!I14</f>
        <v>46202</v>
      </c>
      <c r="F15" s="25">
        <f>项目总控台账!J14</f>
        <v>46224</v>
      </c>
      <c r="G15" s="8" t="str">
        <f>IF(B15="","",IF(OR(C15="",C15="/"),"缺少任务名称；","")&amp;IF(OR(D15="",D15="/"),"缺少有效主责人；","")&amp;IF(OR(E15="",E15&lt;DATE(2000,1,1)),"缺少有效计划开始；","")&amp;IF(OR(F15="",F15&lt;DATE(2000,1,1)),"缺少有效计划完成；","")&amp;IF(项目总控台账!G14="","缺少总体状态；","")&amp;IF(AND(ISNUMBER(E15),ISNUMBER(F15),E15&gt;=DATE(2000,1,1),F15&gt;=DATE(2000,1,1),E15&gt;F15),"开始晚于完成；","")&amp;IF(AND(项目总控台账!G14="已完成",项目总控台账!AB14&lt;1),"已完成但进度不足100%；",""))</f>
        <v/>
      </c>
      <c r="H15" s="8" t="str">
        <f t="shared" si="0"/>
        <v>通过</v>
      </c>
      <c r="I15" s="8" t="str">
        <f t="shared" si="1"/>
        <v>无需处理</v>
      </c>
      <c r="J15" s="8">
        <v>14</v>
      </c>
    </row>
    <row r="16" spans="1:10">
      <c r="A16" s="8" t="s">
        <v>1623</v>
      </c>
      <c r="B16" s="8" t="str">
        <f>项目总控台账!A15</f>
        <v>T012</v>
      </c>
      <c r="C16" s="8" t="str">
        <f>IF(AND(项目总控台账!E15&lt;&gt;"",项目总控台账!E15&lt;&gt;"/"),项目总控台账!E15,IF(AND(项目总控台账!D15&lt;&gt;"",项目总控台账!D15&lt;&gt;"/"),项目总控台账!D15,项目总控台账!C15))</f>
        <v>应单入口</v>
      </c>
      <c r="D16" s="8" t="str">
        <f>项目总控台账!H15</f>
        <v>郑士旺</v>
      </c>
      <c r="E16" s="25">
        <f>项目总控台账!I15</f>
        <v>46202</v>
      </c>
      <c r="F16" s="25">
        <f>项目总控台账!J15</f>
        <v>46224</v>
      </c>
      <c r="G16" s="8" t="str">
        <f>IF(B16="","",IF(OR(C16="",C16="/"),"缺少任务名称；","")&amp;IF(OR(D16="",D16="/"),"缺少有效主责人；","")&amp;IF(OR(E16="",E16&lt;DATE(2000,1,1)),"缺少有效计划开始；","")&amp;IF(OR(F16="",F16&lt;DATE(2000,1,1)),"缺少有效计划完成；","")&amp;IF(项目总控台账!G15="","缺少总体状态；","")&amp;IF(AND(ISNUMBER(E16),ISNUMBER(F16),E16&gt;=DATE(2000,1,1),F16&gt;=DATE(2000,1,1),E16&gt;F16),"开始晚于完成；","")&amp;IF(AND(项目总控台账!G15="已完成",项目总控台账!AB15&lt;1),"已完成但进度不足100%；",""))</f>
        <v/>
      </c>
      <c r="H16" s="8" t="str">
        <f t="shared" si="0"/>
        <v>通过</v>
      </c>
      <c r="I16" s="8" t="str">
        <f t="shared" si="1"/>
        <v>无需处理</v>
      </c>
      <c r="J16" s="8">
        <v>15</v>
      </c>
    </row>
    <row r="17" spans="1:10">
      <c r="A17" s="8" t="s">
        <v>1623</v>
      </c>
      <c r="B17" s="8" t="str">
        <f>项目总控台账!A16</f>
        <v>T013</v>
      </c>
      <c r="C17" s="8" t="str">
        <f>IF(AND(项目总控台账!E16&lt;&gt;"",项目总控台账!E16&lt;&gt;"/"),项目总控台账!E16,IF(AND(项目总控台账!D16&lt;&gt;"",项目总控台账!D16&lt;&gt;"/"),项目总控台账!D16,项目总控台账!C16))</f>
        <v>新增结算条款</v>
      </c>
      <c r="D17" s="8" t="str">
        <f>项目总控台账!H16</f>
        <v>郑士旺</v>
      </c>
      <c r="E17" s="25">
        <f>项目总控台账!I16</f>
        <v>46223</v>
      </c>
      <c r="F17" s="25">
        <f>项目总控台账!J16</f>
        <v>46318</v>
      </c>
      <c r="G17" s="8" t="str">
        <f>IF(B17="","",IF(OR(C17="",C17="/"),"缺少任务名称；","")&amp;IF(OR(D17="",D17="/"),"缺少有效主责人；","")&amp;IF(OR(E17="",E17&lt;DATE(2000,1,1)),"缺少有效计划开始；","")&amp;IF(OR(F17="",F17&lt;DATE(2000,1,1)),"缺少有效计划完成；","")&amp;IF(项目总控台账!G16="","缺少总体状态；","")&amp;IF(AND(ISNUMBER(E17),ISNUMBER(F17),E17&gt;=DATE(2000,1,1),F17&gt;=DATE(2000,1,1),E17&gt;F17),"开始晚于完成；","")&amp;IF(AND(项目总控台账!G16="已完成",项目总控台账!AB16&lt;1),"已完成但进度不足100%；",""))</f>
        <v/>
      </c>
      <c r="H17" s="8" t="str">
        <f t="shared" si="0"/>
        <v>通过</v>
      </c>
      <c r="I17" s="8" t="str">
        <f t="shared" si="1"/>
        <v>无需处理</v>
      </c>
      <c r="J17" s="8">
        <v>16</v>
      </c>
    </row>
    <row r="18" spans="1:10">
      <c r="A18" s="8" t="s">
        <v>1623</v>
      </c>
      <c r="B18" s="8" t="str">
        <f>项目总控台账!A17</f>
        <v>T014</v>
      </c>
      <c r="C18" s="8" t="str">
        <f>IF(AND(项目总控台账!E17&lt;&gt;"",项目总控台账!E17&lt;&gt;"/"),项目总控台账!E17,IF(AND(项目总控台账!D17&lt;&gt;"",项目总控台账!D17&lt;&gt;"/"),项目总控台账!D17,项目总控台账!C17))</f>
        <v>结算条款审批</v>
      </c>
      <c r="D18" s="8" t="str">
        <f>项目总控台账!H17</f>
        <v>郑士旺</v>
      </c>
      <c r="E18" s="25">
        <f>项目总控台账!I17</f>
        <v>46223</v>
      </c>
      <c r="F18" s="25">
        <f>项目总控台账!J17</f>
        <v>46318</v>
      </c>
      <c r="G18" s="8" t="str">
        <f>IF(B18="","",IF(OR(C18="",C18="/"),"缺少任务名称；","")&amp;IF(OR(D18="",D18="/"),"缺少有效主责人；","")&amp;IF(OR(E18="",E18&lt;DATE(2000,1,1)),"缺少有效计划开始；","")&amp;IF(OR(F18="",F18&lt;DATE(2000,1,1)),"缺少有效计划完成；","")&amp;IF(项目总控台账!G17="","缺少总体状态；","")&amp;IF(AND(ISNUMBER(E18),ISNUMBER(F18),E18&gt;=DATE(2000,1,1),F18&gt;=DATE(2000,1,1),E18&gt;F18),"开始晚于完成；","")&amp;IF(AND(项目总控台账!G17="已完成",项目总控台账!AB17&lt;1),"已完成但进度不足100%；",""))</f>
        <v/>
      </c>
      <c r="H18" s="8" t="str">
        <f t="shared" si="0"/>
        <v>通过</v>
      </c>
      <c r="I18" s="8" t="str">
        <f t="shared" si="1"/>
        <v>无需处理</v>
      </c>
      <c r="J18" s="8">
        <v>17</v>
      </c>
    </row>
    <row r="19" spans="1:10">
      <c r="A19" s="8" t="s">
        <v>1623</v>
      </c>
      <c r="B19" s="8" t="str">
        <f>项目总控台账!A18</f>
        <v>T015</v>
      </c>
      <c r="C19" s="8" t="str">
        <f>IF(AND(项目总控台账!E18&lt;&gt;"",项目总控台账!E18&lt;&gt;"/"),项目总控台账!E18,IF(AND(项目总控台账!D18&lt;&gt;"",项目总控台账!D18&lt;&gt;"/"),项目总控台账!D18,项目总控台账!C18))</f>
        <v>修改结算条款</v>
      </c>
      <c r="D19" s="8" t="str">
        <f>项目总控台账!H18</f>
        <v>郑士旺</v>
      </c>
      <c r="E19" s="25">
        <f>项目总控台账!I18</f>
        <v>46223</v>
      </c>
      <c r="F19" s="25">
        <f>项目总控台账!J18</f>
        <v>46318</v>
      </c>
      <c r="G19" s="8" t="str">
        <f>IF(B19="","",IF(OR(C19="",C19="/"),"缺少任务名称；","")&amp;IF(OR(D19="",D19="/"),"缺少有效主责人；","")&amp;IF(OR(E19="",E19&lt;DATE(2000,1,1)),"缺少有效计划开始；","")&amp;IF(OR(F19="",F19&lt;DATE(2000,1,1)),"缺少有效计划完成；","")&amp;IF(项目总控台账!G18="","缺少总体状态；","")&amp;IF(AND(ISNUMBER(E19),ISNUMBER(F19),E19&gt;=DATE(2000,1,1),F19&gt;=DATE(2000,1,1),E19&gt;F19),"开始晚于完成；","")&amp;IF(AND(项目总控台账!G18="已完成",项目总控台账!AB18&lt;1),"已完成但进度不足100%；",""))</f>
        <v/>
      </c>
      <c r="H19" s="8" t="str">
        <f t="shared" si="0"/>
        <v>通过</v>
      </c>
      <c r="I19" s="8" t="str">
        <f t="shared" si="1"/>
        <v>无需处理</v>
      </c>
      <c r="J19" s="8">
        <v>18</v>
      </c>
    </row>
    <row r="20" spans="1:10">
      <c r="A20" s="8" t="s">
        <v>1623</v>
      </c>
      <c r="B20" s="8" t="str">
        <f>项目总控台账!A19</f>
        <v>T016</v>
      </c>
      <c r="C20" s="8" t="str">
        <f>IF(AND(项目总控台账!E19&lt;&gt;"",项目总控台账!E19&lt;&gt;"/"),项目总控台账!E19,IF(AND(项目总控台账!D19&lt;&gt;"",项目总控台账!D19&lt;&gt;"/"),项目总控台账!D19,项目总控台账!C19))</f>
        <v>删除结算条款</v>
      </c>
      <c r="D20" s="8" t="str">
        <f>项目总控台账!H19</f>
        <v>郑士旺</v>
      </c>
      <c r="E20" s="25">
        <f>项目总控台账!I19</f>
        <v>46223</v>
      </c>
      <c r="F20" s="25">
        <f>项目总控台账!J19</f>
        <v>46318</v>
      </c>
      <c r="G20" s="8" t="str">
        <f>IF(B20="","",IF(OR(C20="",C20="/"),"缺少任务名称；","")&amp;IF(OR(D20="",D20="/"),"缺少有效主责人；","")&amp;IF(OR(E20="",E20&lt;DATE(2000,1,1)),"缺少有效计划开始；","")&amp;IF(OR(F20="",F20&lt;DATE(2000,1,1)),"缺少有效计划完成；","")&amp;IF(项目总控台账!G19="","缺少总体状态；","")&amp;IF(AND(ISNUMBER(E20),ISNUMBER(F20),E20&gt;=DATE(2000,1,1),F20&gt;=DATE(2000,1,1),E20&gt;F20),"开始晚于完成；","")&amp;IF(AND(项目总控台账!G19="已完成",项目总控台账!AB19&lt;1),"已完成但进度不足100%；",""))</f>
        <v/>
      </c>
      <c r="H20" s="8" t="str">
        <f t="shared" si="0"/>
        <v>通过</v>
      </c>
      <c r="I20" s="8" t="str">
        <f t="shared" si="1"/>
        <v>无需处理</v>
      </c>
      <c r="J20" s="8">
        <v>19</v>
      </c>
    </row>
    <row r="21" spans="1:10">
      <c r="A21" s="8" t="s">
        <v>1623</v>
      </c>
      <c r="B21" s="8" t="str">
        <f>项目总控台账!A20</f>
        <v>T017</v>
      </c>
      <c r="C21" s="8" t="str">
        <f>IF(AND(项目总控台账!E20&lt;&gt;"",项目总控台账!E20&lt;&gt;"/"),项目总控台账!E20,IF(AND(项目总控台账!D20&lt;&gt;"",项目总控台账!D20&lt;&gt;"/"),项目总控台账!D20,项目总控台账!C20))</f>
        <v>查询展示结算条款</v>
      </c>
      <c r="D21" s="8" t="str">
        <f>项目总控台账!H20</f>
        <v>郑士旺</v>
      </c>
      <c r="E21" s="25">
        <f>项目总控台账!I20</f>
        <v>46223</v>
      </c>
      <c r="F21" s="25">
        <f>项目总控台账!J20</f>
        <v>46318</v>
      </c>
      <c r="G21" s="8" t="str">
        <f>IF(B21="","",IF(OR(C21="",C21="/"),"缺少任务名称；","")&amp;IF(OR(D21="",D21="/"),"缺少有效主责人；","")&amp;IF(OR(E21="",E21&lt;DATE(2000,1,1)),"缺少有效计划开始；","")&amp;IF(OR(F21="",F21&lt;DATE(2000,1,1)),"缺少有效计划完成；","")&amp;IF(项目总控台账!G20="","缺少总体状态；","")&amp;IF(AND(ISNUMBER(E21),ISNUMBER(F21),E21&gt;=DATE(2000,1,1),F21&gt;=DATE(2000,1,1),E21&gt;F21),"开始晚于完成；","")&amp;IF(AND(项目总控台账!G20="已完成",项目总控台账!AB20&lt;1),"已完成但进度不足100%；",""))</f>
        <v/>
      </c>
      <c r="H21" s="8" t="str">
        <f t="shared" si="0"/>
        <v>通过</v>
      </c>
      <c r="I21" s="8" t="str">
        <f t="shared" si="1"/>
        <v>无需处理</v>
      </c>
      <c r="J21" s="8">
        <v>20</v>
      </c>
    </row>
    <row r="22" spans="1:10">
      <c r="A22" s="8" t="s">
        <v>1623</v>
      </c>
      <c r="B22" s="8" t="str">
        <f>项目总控台账!A21</f>
        <v>T018</v>
      </c>
      <c r="C22" s="8" t="str">
        <f>IF(AND(项目总控台账!E21&lt;&gt;"",项目总控台账!E21&lt;&gt;"/"),项目总控台账!E21,IF(AND(项目总控台账!D21&lt;&gt;"",项目总控台账!D21&lt;&gt;"/"),项目总控台账!D21,项目总控台账!C21))</f>
        <v>结算条款推送法务系统</v>
      </c>
      <c r="D22" s="8" t="str">
        <f>项目总控台账!H21</f>
        <v>郑士旺</v>
      </c>
      <c r="E22" s="25">
        <f>项目总控台账!I21</f>
        <v>46223</v>
      </c>
      <c r="F22" s="25">
        <f>项目总控台账!J21</f>
        <v>46318</v>
      </c>
      <c r="G22" s="8" t="str">
        <f>IF(B22="","",IF(OR(C22="",C22="/"),"缺少任务名称；","")&amp;IF(OR(D22="",D22="/"),"缺少有效主责人；","")&amp;IF(OR(E22="",E22&lt;DATE(2000,1,1)),"缺少有效计划开始；","")&amp;IF(OR(F22="",F22&lt;DATE(2000,1,1)),"缺少有效计划完成；","")&amp;IF(项目总控台账!G21="","缺少总体状态；","")&amp;IF(AND(ISNUMBER(E22),ISNUMBER(F22),E22&gt;=DATE(2000,1,1),F22&gt;=DATE(2000,1,1),E22&gt;F22),"开始晚于完成；","")&amp;IF(AND(项目总控台账!G21="已完成",项目总控台账!AB21&lt;1),"已完成但进度不足100%；",""))</f>
        <v/>
      </c>
      <c r="H22" s="8" t="str">
        <f t="shared" si="0"/>
        <v>通过</v>
      </c>
      <c r="I22" s="8" t="str">
        <f t="shared" si="1"/>
        <v>无需处理</v>
      </c>
      <c r="J22" s="8">
        <v>21</v>
      </c>
    </row>
    <row r="23" spans="1:10">
      <c r="A23" s="8" t="s">
        <v>1623</v>
      </c>
      <c r="B23" s="8" t="str">
        <f>项目总控台账!A22</f>
        <v>T019</v>
      </c>
      <c r="C23" s="8" t="str">
        <f>IF(AND(项目总控台账!E22&lt;&gt;"",项目总控台账!E22&lt;&gt;"/"),项目总控台账!E22,IF(AND(项目总控台账!D22&lt;&gt;"",项目总控台账!D22&lt;&gt;"/"),项目总控台账!D22,项目总控台账!C22))</f>
        <v>对接卸船计划</v>
      </c>
      <c r="D23" s="8" t="str">
        <f>项目总控台账!H22</f>
        <v>郑士旺</v>
      </c>
      <c r="E23" s="25">
        <f>项目总控台账!I22</f>
        <v>46230</v>
      </c>
      <c r="F23" s="25">
        <f>项目总控台账!J22</f>
        <v>46353</v>
      </c>
      <c r="G23" s="8" t="str">
        <f>IF(B23="","",IF(OR(C23="",C23="/"),"缺少任务名称；","")&amp;IF(OR(D23="",D23="/"),"缺少有效主责人；","")&amp;IF(OR(E23="",E23&lt;DATE(2000,1,1)),"缺少有效计划开始；","")&amp;IF(OR(F23="",F23&lt;DATE(2000,1,1)),"缺少有效计划完成；","")&amp;IF(项目总控台账!G22="","缺少总体状态；","")&amp;IF(AND(ISNUMBER(E23),ISNUMBER(F23),E23&gt;=DATE(2000,1,1),F23&gt;=DATE(2000,1,1),E23&gt;F23),"开始晚于完成；","")&amp;IF(AND(项目总控台账!G22="已完成",项目总控台账!AB22&lt;1),"已完成但进度不足100%；",""))</f>
        <v/>
      </c>
      <c r="H23" s="8" t="str">
        <f t="shared" si="0"/>
        <v>通过</v>
      </c>
      <c r="I23" s="8" t="str">
        <f t="shared" si="1"/>
        <v>无需处理</v>
      </c>
      <c r="J23" s="8">
        <v>22</v>
      </c>
    </row>
    <row r="24" spans="1:10">
      <c r="A24" s="8" t="s">
        <v>1623</v>
      </c>
      <c r="B24" s="8" t="str">
        <f>项目总控台账!A23</f>
        <v>T020</v>
      </c>
      <c r="C24" s="8" t="str">
        <f>IF(AND(项目总控台账!E23&lt;&gt;"",项目总控台账!E23&lt;&gt;"/"),项目总控台账!E23,IF(AND(项目总控台账!D23&lt;&gt;"",项目总控台账!D23&lt;&gt;"/"),项目总控台账!D23,项目总控台账!C23))</f>
        <v>查询卸车计划</v>
      </c>
      <c r="D24" s="8" t="str">
        <f>项目总控台账!H23</f>
        <v>郑士旺</v>
      </c>
      <c r="E24" s="25">
        <f>项目总控台账!I23</f>
        <v>46230</v>
      </c>
      <c r="F24" s="25">
        <f>项目总控台账!J23</f>
        <v>46353</v>
      </c>
      <c r="G24" s="8" t="str">
        <f>IF(B24="","",IF(OR(C24="",C24="/"),"缺少任务名称；","")&amp;IF(OR(D24="",D24="/"),"缺少有效主责人；","")&amp;IF(OR(E24="",E24&lt;DATE(2000,1,1)),"缺少有效计划开始；","")&amp;IF(OR(F24="",F24&lt;DATE(2000,1,1)),"缺少有效计划完成；","")&amp;IF(项目总控台账!G23="","缺少总体状态；","")&amp;IF(AND(ISNUMBER(E24),ISNUMBER(F24),E24&gt;=DATE(2000,1,1),F24&gt;=DATE(2000,1,1),E24&gt;F24),"开始晚于完成；","")&amp;IF(AND(项目总控台账!G23="已完成",项目总控台账!AB23&lt;1),"已完成但进度不足100%；",""))</f>
        <v/>
      </c>
      <c r="H24" s="8" t="str">
        <f t="shared" si="0"/>
        <v>通过</v>
      </c>
      <c r="I24" s="8" t="str">
        <f t="shared" si="1"/>
        <v>无需处理</v>
      </c>
      <c r="J24" s="8">
        <v>23</v>
      </c>
    </row>
    <row r="25" spans="1:10">
      <c r="A25" s="8" t="s">
        <v>1623</v>
      </c>
      <c r="B25" s="8" t="str">
        <f>项目总控台账!A24</f>
        <v>T021</v>
      </c>
      <c r="C25" s="8" t="str">
        <f>IF(AND(项目总控台账!E24&lt;&gt;"",项目总控台账!E24&lt;&gt;"/"),项目总控台账!E24,IF(AND(项目总控台账!D24&lt;&gt;"",项目总控台账!D24&lt;&gt;"/"),项目总控台账!D24,项目总控台账!C24))</f>
        <v>外部客户确认</v>
      </c>
      <c r="D25" s="8" t="str">
        <f>项目总控台账!H24</f>
        <v>郑士旺</v>
      </c>
      <c r="E25" s="25">
        <f>项目总控台账!I24</f>
        <v>46230</v>
      </c>
      <c r="F25" s="25">
        <f>项目总控台账!J24</f>
        <v>46353</v>
      </c>
      <c r="G25" s="8" t="str">
        <f>IF(B25="","",IF(OR(C25="",C25="/"),"缺少任务名称；","")&amp;IF(OR(D25="",D25="/"),"缺少有效主责人；","")&amp;IF(OR(E25="",E25&lt;DATE(2000,1,1)),"缺少有效计划开始；","")&amp;IF(OR(F25="",F25&lt;DATE(2000,1,1)),"缺少有效计划完成；","")&amp;IF(项目总控台账!G24="","缺少总体状态；","")&amp;IF(AND(ISNUMBER(E25),ISNUMBER(F25),E25&gt;=DATE(2000,1,1),F25&gt;=DATE(2000,1,1),E25&gt;F25),"开始晚于完成；","")&amp;IF(AND(项目总控台账!G24="已完成",项目总控台账!AB24&lt;1),"已完成但进度不足100%；",""))</f>
        <v/>
      </c>
      <c r="H25" s="8" t="str">
        <f t="shared" si="0"/>
        <v>通过</v>
      </c>
      <c r="I25" s="8" t="str">
        <f t="shared" si="1"/>
        <v>无需处理</v>
      </c>
      <c r="J25" s="8">
        <v>24</v>
      </c>
    </row>
    <row r="26" spans="1:10">
      <c r="A26" s="8" t="s">
        <v>1623</v>
      </c>
      <c r="B26" s="8" t="str">
        <f>项目总控台账!A25</f>
        <v>T022</v>
      </c>
      <c r="C26" s="8" t="str">
        <f>IF(AND(项目总控台账!E25&lt;&gt;"",项目总控台账!E25&lt;&gt;"/"),项目总控台账!E25,IF(AND(项目总控台账!D25&lt;&gt;"",项目总控台账!D25&lt;&gt;"/"),项目总控台账!D25,项目总控台账!C25))</f>
        <v>对接卸船作业信息</v>
      </c>
      <c r="D26" s="8" t="str">
        <f>项目总控台账!H25</f>
        <v>郑士旺</v>
      </c>
      <c r="E26" s="25">
        <f>项目总控台账!I25</f>
        <v>46230</v>
      </c>
      <c r="F26" s="25">
        <f>项目总控台账!J25</f>
        <v>46353</v>
      </c>
      <c r="G26" s="8" t="str">
        <f>IF(B26="","",IF(OR(C26="",C26="/"),"缺少任务名称；","")&amp;IF(OR(D26="",D26="/"),"缺少有效主责人；","")&amp;IF(OR(E26="",E26&lt;DATE(2000,1,1)),"缺少有效计划开始；","")&amp;IF(OR(F26="",F26&lt;DATE(2000,1,1)),"缺少有效计划完成；","")&amp;IF(项目总控台账!G25="","缺少总体状态；","")&amp;IF(AND(ISNUMBER(E26),ISNUMBER(F26),E26&gt;=DATE(2000,1,1),F26&gt;=DATE(2000,1,1),E26&gt;F26),"开始晚于完成；","")&amp;IF(AND(项目总控台账!G25="已完成",项目总控台账!AB25&lt;1),"已完成但进度不足100%；",""))</f>
        <v/>
      </c>
      <c r="H26" s="8" t="str">
        <f t="shared" si="0"/>
        <v>通过</v>
      </c>
      <c r="I26" s="8" t="str">
        <f t="shared" si="1"/>
        <v>无需处理</v>
      </c>
      <c r="J26" s="8">
        <v>25</v>
      </c>
    </row>
    <row r="27" spans="1:10">
      <c r="A27" s="8" t="s">
        <v>1623</v>
      </c>
      <c r="B27" s="8" t="str">
        <f>项目总控台账!A26</f>
        <v>T023</v>
      </c>
      <c r="C27" s="8" t="str">
        <f>IF(AND(项目总控台账!E26&lt;&gt;"",项目总控台账!E26&lt;&gt;"/"),项目总控台账!E26,IF(AND(项目总控台账!D26&lt;&gt;"",项目总控台账!D26&lt;&gt;"/"),项目总控台账!D26,项目总控台账!C26))</f>
        <v>查询卸船作业信息</v>
      </c>
      <c r="D27" s="8" t="str">
        <f>项目总控台账!H26</f>
        <v>郑士旺</v>
      </c>
      <c r="E27" s="25">
        <f>项目总控台账!I26</f>
        <v>46230</v>
      </c>
      <c r="F27" s="25">
        <f>项目总控台账!J26</f>
        <v>46353</v>
      </c>
      <c r="G27" s="8" t="str">
        <f>IF(B27="","",IF(OR(C27="",C27="/"),"缺少任务名称；","")&amp;IF(OR(D27="",D27="/"),"缺少有效主责人；","")&amp;IF(OR(E27="",E27&lt;DATE(2000,1,1)),"缺少有效计划开始；","")&amp;IF(OR(F27="",F27&lt;DATE(2000,1,1)),"缺少有效计划完成；","")&amp;IF(项目总控台账!G26="","缺少总体状态；","")&amp;IF(AND(ISNUMBER(E27),ISNUMBER(F27),E27&gt;=DATE(2000,1,1),F27&gt;=DATE(2000,1,1),E27&gt;F27),"开始晚于完成；","")&amp;IF(AND(项目总控台账!G26="已完成",项目总控台账!AB26&lt;1),"已完成但进度不足100%；",""))</f>
        <v/>
      </c>
      <c r="H27" s="8" t="str">
        <f t="shared" si="0"/>
        <v>通过</v>
      </c>
      <c r="I27" s="8" t="str">
        <f t="shared" si="1"/>
        <v>无需处理</v>
      </c>
      <c r="J27" s="8">
        <v>26</v>
      </c>
    </row>
    <row r="28" spans="1:10">
      <c r="A28" s="8" t="s">
        <v>1623</v>
      </c>
      <c r="B28" s="8" t="str">
        <f>项目总控台账!A27</f>
        <v>T024</v>
      </c>
      <c r="C28" s="8" t="str">
        <f>IF(AND(项目总控台账!E27&lt;&gt;"",项目总控台账!E27&lt;&gt;"/"),项目总控台账!E27,IF(AND(项目总控台账!D27&lt;&gt;"",项目总控台账!D27&lt;&gt;"/"),项目总控台账!D27,项目总控台账!C27))</f>
        <v>卸船查询列表</v>
      </c>
      <c r="D28" s="8" t="str">
        <f>项目总控台账!H27</f>
        <v>郑士旺</v>
      </c>
      <c r="E28" s="25">
        <f>项目总控台账!I27</f>
        <v>46230</v>
      </c>
      <c r="F28" s="25">
        <f>项目总控台账!J27</f>
        <v>46353</v>
      </c>
      <c r="G28" s="8" t="str">
        <f>IF(B28="","",IF(OR(C28="",C28="/"),"缺少任务名称；","")&amp;IF(OR(D28="",D28="/"),"缺少有效主责人；","")&amp;IF(OR(E28="",E28&lt;DATE(2000,1,1)),"缺少有效计划开始；","")&amp;IF(OR(F28="",F28&lt;DATE(2000,1,1)),"缺少有效计划完成；","")&amp;IF(项目总控台账!G27="","缺少总体状态；","")&amp;IF(AND(ISNUMBER(E28),ISNUMBER(F28),E28&gt;=DATE(2000,1,1),F28&gt;=DATE(2000,1,1),E28&gt;F28),"开始晚于完成；","")&amp;IF(AND(项目总控台账!G27="已完成",项目总控台账!AB27&lt;1),"已完成但进度不足100%；",""))</f>
        <v/>
      </c>
      <c r="H28" s="8" t="str">
        <f t="shared" si="0"/>
        <v>通过</v>
      </c>
      <c r="I28" s="8" t="str">
        <f t="shared" si="1"/>
        <v>无需处理</v>
      </c>
      <c r="J28" s="8">
        <v>27</v>
      </c>
    </row>
    <row r="29" spans="1:10">
      <c r="A29" s="8" t="s">
        <v>1623</v>
      </c>
      <c r="B29" s="8" t="str">
        <f>项目总控台账!A28</f>
        <v>T025</v>
      </c>
      <c r="C29" s="8" t="str">
        <f>IF(AND(项目总控台账!E28&lt;&gt;"",项目总控台账!E28&lt;&gt;"/"),项目总控台账!E28,IF(AND(项目总控台账!D28&lt;&gt;"",项目总控台账!D28&lt;&gt;"/"),项目总控台账!D28,项目总控台账!C28))</f>
        <v>卸船查询详情</v>
      </c>
      <c r="D29" s="8" t="str">
        <f>项目总控台账!H28</f>
        <v>郑士旺</v>
      </c>
      <c r="E29" s="25">
        <f>项目总控台账!I28</f>
        <v>46230</v>
      </c>
      <c r="F29" s="25">
        <f>项目总控台账!J28</f>
        <v>46261</v>
      </c>
      <c r="G29" s="8" t="str">
        <f>IF(B29="","",IF(OR(C29="",C29="/"),"缺少任务名称；","")&amp;IF(OR(D29="",D29="/"),"缺少有效主责人；","")&amp;IF(OR(E29="",E29&lt;DATE(2000,1,1)),"缺少有效计划开始；","")&amp;IF(OR(F29="",F29&lt;DATE(2000,1,1)),"缺少有效计划完成；","")&amp;IF(项目总控台账!G28="","缺少总体状态；","")&amp;IF(AND(ISNUMBER(E29),ISNUMBER(F29),E29&gt;=DATE(2000,1,1),F29&gt;=DATE(2000,1,1),E29&gt;F29),"开始晚于完成；","")&amp;IF(AND(项目总控台账!G28="已完成",项目总控台账!AB28&lt;1),"已完成但进度不足100%；",""))</f>
        <v/>
      </c>
      <c r="H29" s="8" t="str">
        <f t="shared" si="0"/>
        <v>通过</v>
      </c>
      <c r="I29" s="8" t="str">
        <f t="shared" si="1"/>
        <v>无需处理</v>
      </c>
      <c r="J29" s="8">
        <v>28</v>
      </c>
    </row>
    <row r="30" spans="1:10">
      <c r="A30" s="8" t="s">
        <v>1623</v>
      </c>
      <c r="B30" s="8" t="str">
        <f>项目总控台账!A29</f>
        <v>T026</v>
      </c>
      <c r="C30" s="8" t="str">
        <f>IF(AND(项目总控台账!E29&lt;&gt;"",项目总控台账!E29&lt;&gt;"/"),项目总控台账!E29,IF(AND(项目总控台账!D29&lt;&gt;"",项目总控台账!D29&lt;&gt;"/"),项目总控台账!D29,项目总控台账!C29))</f>
        <v>创建卸船作业委托信息</v>
      </c>
      <c r="D30" s="8" t="str">
        <f>项目总控台账!H29</f>
        <v>郑士旺</v>
      </c>
      <c r="E30" s="25">
        <f>项目总控台账!I29</f>
        <v>46230</v>
      </c>
      <c r="F30" s="25">
        <f>项目总控台账!J29</f>
        <v>46261</v>
      </c>
      <c r="G30" s="8" t="str">
        <f>IF(B30="","",IF(OR(C30="",C30="/"),"缺少任务名称；","")&amp;IF(OR(D30="",D30="/"),"缺少有效主责人；","")&amp;IF(OR(E30="",E30&lt;DATE(2000,1,1)),"缺少有效计划开始；","")&amp;IF(OR(F30="",F30&lt;DATE(2000,1,1)),"缺少有效计划完成；","")&amp;IF(项目总控台账!G29="","缺少总体状态；","")&amp;IF(AND(ISNUMBER(E30),ISNUMBER(F30),E30&gt;=DATE(2000,1,1),F30&gt;=DATE(2000,1,1),E30&gt;F30),"开始晚于完成；","")&amp;IF(AND(项目总控台账!G29="已完成",项目总控台账!AB29&lt;1),"已完成但进度不足100%；",""))</f>
        <v/>
      </c>
      <c r="H30" s="8" t="str">
        <f t="shared" si="0"/>
        <v>通过</v>
      </c>
      <c r="I30" s="8" t="str">
        <f t="shared" si="1"/>
        <v>无需处理</v>
      </c>
      <c r="J30" s="8">
        <v>29</v>
      </c>
    </row>
    <row r="31" spans="1:10">
      <c r="A31" s="8" t="s">
        <v>1623</v>
      </c>
      <c r="B31" s="8" t="str">
        <f>项目总控台账!A30</f>
        <v>T027</v>
      </c>
      <c r="C31" s="8" t="str">
        <f>IF(AND(项目总控台账!E30&lt;&gt;"",项目总控台账!E30&lt;&gt;"/"),项目总控台账!E30,IF(AND(项目总控台账!D30&lt;&gt;"",项目总控台账!D30&lt;&gt;"/"),项目总控台账!D30,项目总控台账!C30))</f>
        <v>修改卸船作业委托信息</v>
      </c>
      <c r="D31" s="8" t="str">
        <f>项目总控台账!H30</f>
        <v>郑士旺</v>
      </c>
      <c r="E31" s="25">
        <f>项目总控台账!I30</f>
        <v>46230</v>
      </c>
      <c r="F31" s="25">
        <f>项目总控台账!J30</f>
        <v>46261</v>
      </c>
      <c r="G31" s="8" t="str">
        <f>IF(B31="","",IF(OR(C31="",C31="/"),"缺少任务名称；","")&amp;IF(OR(D31="",D31="/"),"缺少有效主责人；","")&amp;IF(OR(E31="",E31&lt;DATE(2000,1,1)),"缺少有效计划开始；","")&amp;IF(OR(F31="",F31&lt;DATE(2000,1,1)),"缺少有效计划完成；","")&amp;IF(项目总控台账!G30="","缺少总体状态；","")&amp;IF(AND(ISNUMBER(E31),ISNUMBER(F31),E31&gt;=DATE(2000,1,1),F31&gt;=DATE(2000,1,1),E31&gt;F31),"开始晚于完成；","")&amp;IF(AND(项目总控台账!G30="已完成",项目总控台账!AB30&lt;1),"已完成但进度不足100%；",""))</f>
        <v/>
      </c>
      <c r="H31" s="8" t="str">
        <f t="shared" si="0"/>
        <v>通过</v>
      </c>
      <c r="I31" s="8" t="str">
        <f t="shared" si="1"/>
        <v>无需处理</v>
      </c>
      <c r="J31" s="8">
        <v>30</v>
      </c>
    </row>
    <row r="32" spans="1:10">
      <c r="A32" s="8" t="s">
        <v>1623</v>
      </c>
      <c r="B32" s="8" t="str">
        <f>项目总控台账!A31</f>
        <v>T028</v>
      </c>
      <c r="C32" s="8" t="str">
        <f>IF(AND(项目总控台账!E31&lt;&gt;"",项目总控台账!E31&lt;&gt;"/"),项目总控台账!E31,IF(AND(项目总控台账!D31&lt;&gt;"",项目总控台账!D31&lt;&gt;"/"),项目总控台账!D31,项目总控台账!C31))</f>
        <v>作废卸船作业委托信息</v>
      </c>
      <c r="D32" s="8" t="str">
        <f>项目总控台账!H31</f>
        <v>郑士旺</v>
      </c>
      <c r="E32" s="25">
        <f>项目总控台账!I31</f>
        <v>46230</v>
      </c>
      <c r="F32" s="25">
        <f>项目总控台账!J31</f>
        <v>46261</v>
      </c>
      <c r="G32" s="8" t="str">
        <f>IF(B32="","",IF(OR(C32="",C32="/"),"缺少任务名称；","")&amp;IF(OR(D32="",D32="/"),"缺少有效主责人；","")&amp;IF(OR(E32="",E32&lt;DATE(2000,1,1)),"缺少有效计划开始；","")&amp;IF(OR(F32="",F32&lt;DATE(2000,1,1)),"缺少有效计划完成；","")&amp;IF(项目总控台账!G31="","缺少总体状态；","")&amp;IF(AND(ISNUMBER(E32),ISNUMBER(F32),E32&gt;=DATE(2000,1,1),F32&gt;=DATE(2000,1,1),E32&gt;F32),"开始晚于完成；","")&amp;IF(AND(项目总控台账!G31="已完成",项目总控台账!AB31&lt;1),"已完成但进度不足100%；",""))</f>
        <v/>
      </c>
      <c r="H32" s="8" t="str">
        <f t="shared" si="0"/>
        <v>通过</v>
      </c>
      <c r="I32" s="8" t="str">
        <f t="shared" si="1"/>
        <v>无需处理</v>
      </c>
      <c r="J32" s="8">
        <v>31</v>
      </c>
    </row>
    <row r="33" spans="1:10">
      <c r="A33" s="8" t="s">
        <v>1623</v>
      </c>
      <c r="B33" s="8" t="str">
        <f>项目总控台账!A32</f>
        <v>T029</v>
      </c>
      <c r="C33" s="8" t="str">
        <f>IF(AND(项目总控台账!E32&lt;&gt;"",项目总控台账!E32&lt;&gt;"/"),项目总控台账!E32,IF(AND(项目总控台账!D32&lt;&gt;"",项目总控台账!D32&lt;&gt;"/"),项目总控台账!D32,项目总控台账!C32))</f>
        <v>推送卸船作业委托信息</v>
      </c>
      <c r="D33" s="8" t="str">
        <f>项目总控台账!H32</f>
        <v>郑士旺</v>
      </c>
      <c r="E33" s="25">
        <f>项目总控台账!I32</f>
        <v>46230</v>
      </c>
      <c r="F33" s="25">
        <f>项目总控台账!J32</f>
        <v>46261</v>
      </c>
      <c r="G33" s="8" t="str">
        <f>IF(B33="","",IF(OR(C33="",C33="/"),"缺少任务名称；","")&amp;IF(OR(D33="",D33="/"),"缺少有效主责人；","")&amp;IF(OR(E33="",E33&lt;DATE(2000,1,1)),"缺少有效计划开始；","")&amp;IF(OR(F33="",F33&lt;DATE(2000,1,1)),"缺少有效计划完成；","")&amp;IF(项目总控台账!G32="","缺少总体状态；","")&amp;IF(AND(ISNUMBER(E33),ISNUMBER(F33),E33&gt;=DATE(2000,1,1),F33&gt;=DATE(2000,1,1),E33&gt;F33),"开始晚于完成；","")&amp;IF(AND(项目总控台账!G32="已完成",项目总控台账!AB32&lt;1),"已完成但进度不足100%；",""))</f>
        <v/>
      </c>
      <c r="H33" s="8" t="str">
        <f t="shared" si="0"/>
        <v>通过</v>
      </c>
      <c r="I33" s="8" t="str">
        <f t="shared" si="1"/>
        <v>无需处理</v>
      </c>
      <c r="J33" s="8">
        <v>32</v>
      </c>
    </row>
    <row r="34" spans="1:10">
      <c r="A34" s="8" t="s">
        <v>1623</v>
      </c>
      <c r="B34" s="8" t="str">
        <f>项目总控台账!A33</f>
        <v>T030</v>
      </c>
      <c r="C34" s="8" t="str">
        <f>IF(AND(项目总控台账!E33&lt;&gt;"",项目总控台账!E33&lt;&gt;"/"),项目总控台账!E33,IF(AND(项目总控台账!D33&lt;&gt;"",项目总控台账!D33&lt;&gt;"/"),项目总控台账!D33,项目总控台账!C33))</f>
        <v>查询卸船作业委托信息</v>
      </c>
      <c r="D34" s="8" t="str">
        <f>项目总控台账!H33</f>
        <v>郑士旺</v>
      </c>
      <c r="E34" s="25">
        <f>项目总控台账!I33</f>
        <v>46230</v>
      </c>
      <c r="F34" s="25">
        <f>项目总控台账!J33</f>
        <v>46261</v>
      </c>
      <c r="G34" s="8" t="str">
        <f>IF(B34="","",IF(OR(C34="",C34="/"),"缺少任务名称；","")&amp;IF(OR(D34="",D34="/"),"缺少有效主责人；","")&amp;IF(OR(E34="",E34&lt;DATE(2000,1,1)),"缺少有效计划开始；","")&amp;IF(OR(F34="",F34&lt;DATE(2000,1,1)),"缺少有效计划完成；","")&amp;IF(项目总控台账!G33="","缺少总体状态；","")&amp;IF(AND(ISNUMBER(E34),ISNUMBER(F34),E34&gt;=DATE(2000,1,1),F34&gt;=DATE(2000,1,1),E34&gt;F34),"开始晚于完成；","")&amp;IF(AND(项目总控台账!G33="已完成",项目总控台账!AB33&lt;1),"已完成但进度不足100%；",""))</f>
        <v/>
      </c>
      <c r="H34" s="8" t="str">
        <f t="shared" si="0"/>
        <v>通过</v>
      </c>
      <c r="I34" s="8" t="str">
        <f t="shared" si="1"/>
        <v>无需处理</v>
      </c>
      <c r="J34" s="8">
        <v>33</v>
      </c>
    </row>
    <row r="35" spans="1:10">
      <c r="A35" s="8" t="s">
        <v>1623</v>
      </c>
      <c r="B35" s="8" t="str">
        <f>项目总控台账!A34</f>
        <v>T031</v>
      </c>
      <c r="C35" s="8" t="str">
        <f>IF(AND(项目总控台账!E34&lt;&gt;"",项目总控台账!E34&lt;&gt;"/"),项目总控台账!E34,IF(AND(项目总控台账!D34&lt;&gt;"",项目总控台账!D34&lt;&gt;"/"),项目总控台账!D34,项目总控台账!C34))</f>
        <v>创建外轮转内贸业务信息</v>
      </c>
      <c r="D35" s="8" t="str">
        <f>项目总控台账!H34</f>
        <v>郑士旺</v>
      </c>
      <c r="E35" s="25">
        <f>项目总控台账!I34</f>
        <v>46230</v>
      </c>
      <c r="F35" s="25">
        <f>项目总控台账!J34</f>
        <v>46353</v>
      </c>
      <c r="G35" s="8" t="str">
        <f>IF(B35="","",IF(OR(C35="",C35="/"),"缺少任务名称；","")&amp;IF(OR(D35="",D35="/"),"缺少有效主责人；","")&amp;IF(OR(E35="",E35&lt;DATE(2000,1,1)),"缺少有效计划开始；","")&amp;IF(OR(F35="",F35&lt;DATE(2000,1,1)),"缺少有效计划完成；","")&amp;IF(项目总控台账!G34="","缺少总体状态；","")&amp;IF(AND(ISNUMBER(E35),ISNUMBER(F35),E35&gt;=DATE(2000,1,1),F35&gt;=DATE(2000,1,1),E35&gt;F35),"开始晚于完成；","")&amp;IF(AND(项目总控台账!G34="已完成",项目总控台账!AB34&lt;1),"已完成但进度不足100%；",""))</f>
        <v/>
      </c>
      <c r="H35" s="8" t="str">
        <f t="shared" si="0"/>
        <v>通过</v>
      </c>
      <c r="I35" s="8" t="str">
        <f t="shared" si="1"/>
        <v>无需处理</v>
      </c>
      <c r="J35" s="8">
        <v>34</v>
      </c>
    </row>
    <row r="36" spans="1:10">
      <c r="A36" s="8" t="s">
        <v>1623</v>
      </c>
      <c r="B36" s="8" t="str">
        <f>项目总控台账!A35</f>
        <v>T032</v>
      </c>
      <c r="C36" s="8" t="str">
        <f>IF(AND(项目总控台账!E35&lt;&gt;"",项目总控台账!E35&lt;&gt;"/"),项目总控台账!E35,IF(AND(项目总控台账!D35&lt;&gt;"",项目总控台账!D35&lt;&gt;"/"),项目总控台账!D35,项目总控台账!C35))</f>
        <v>作废外轮转内贸业务信息</v>
      </c>
      <c r="D36" s="8" t="str">
        <f>项目总控台账!H35</f>
        <v>郑士旺</v>
      </c>
      <c r="E36" s="25">
        <f>项目总控台账!I35</f>
        <v>46230</v>
      </c>
      <c r="F36" s="25">
        <f>项目总控台账!J35</f>
        <v>46353</v>
      </c>
      <c r="G36" s="8" t="str">
        <f>IF(B36="","",IF(OR(C36="",C36="/"),"缺少任务名称；","")&amp;IF(OR(D36="",D36="/"),"缺少有效主责人；","")&amp;IF(OR(E36="",E36&lt;DATE(2000,1,1)),"缺少有效计划开始；","")&amp;IF(OR(F36="",F36&lt;DATE(2000,1,1)),"缺少有效计划完成；","")&amp;IF(项目总控台账!G35="","缺少总体状态；","")&amp;IF(AND(ISNUMBER(E36),ISNUMBER(F36),E36&gt;=DATE(2000,1,1),F36&gt;=DATE(2000,1,1),E36&gt;F36),"开始晚于完成；","")&amp;IF(AND(项目总控台账!G35="已完成",项目总控台账!AB35&lt;1),"已完成但进度不足100%；",""))</f>
        <v/>
      </c>
      <c r="H36" s="8" t="str">
        <f t="shared" si="0"/>
        <v>通过</v>
      </c>
      <c r="I36" s="8" t="str">
        <f t="shared" si="1"/>
        <v>无需处理</v>
      </c>
      <c r="J36" s="8">
        <v>35</v>
      </c>
    </row>
    <row r="37" spans="1:10">
      <c r="A37" s="8" t="s">
        <v>1623</v>
      </c>
      <c r="B37" s="8" t="str">
        <f>项目总控台账!A36</f>
        <v>T033</v>
      </c>
      <c r="C37" s="8" t="str">
        <f>IF(AND(项目总控台账!E36&lt;&gt;"",项目总控台账!E36&lt;&gt;"/"),项目总控台账!E36,IF(AND(项目总控台账!D36&lt;&gt;"",项目总控台账!D36&lt;&gt;"/"),项目总控台账!D36,项目总控台账!C36))</f>
        <v>查询外轮转内贸业务信息</v>
      </c>
      <c r="D37" s="8" t="str">
        <f>项目总控台账!H36</f>
        <v>郑士旺</v>
      </c>
      <c r="E37" s="25">
        <f>项目总控台账!I36</f>
        <v>46230</v>
      </c>
      <c r="F37" s="25">
        <f>项目总控台账!J36</f>
        <v>46353</v>
      </c>
      <c r="G37" s="8" t="str">
        <f>IF(B37="","",IF(OR(C37="",C37="/"),"缺少任务名称；","")&amp;IF(OR(D37="",D37="/"),"缺少有效主责人；","")&amp;IF(OR(E37="",E37&lt;DATE(2000,1,1)),"缺少有效计划开始；","")&amp;IF(OR(F37="",F37&lt;DATE(2000,1,1)),"缺少有效计划完成；","")&amp;IF(项目总控台账!G36="","缺少总体状态；","")&amp;IF(AND(ISNUMBER(E37),ISNUMBER(F37),E37&gt;=DATE(2000,1,1),F37&gt;=DATE(2000,1,1),E37&gt;F37),"开始晚于完成；","")&amp;IF(AND(项目总控台账!G36="已完成",项目总控台账!AB36&lt;1),"已完成但进度不足100%；",""))</f>
        <v/>
      </c>
      <c r="H37" s="8" t="str">
        <f t="shared" si="0"/>
        <v>通过</v>
      </c>
      <c r="I37" s="8" t="str">
        <f t="shared" si="1"/>
        <v>无需处理</v>
      </c>
      <c r="J37" s="8">
        <v>36</v>
      </c>
    </row>
    <row r="38" spans="1:10">
      <c r="A38" s="8" t="s">
        <v>1623</v>
      </c>
      <c r="B38" s="8" t="str">
        <f>项目总控台账!A37</f>
        <v>T034</v>
      </c>
      <c r="C38" s="8" t="str">
        <f>IF(AND(项目总控台账!E37&lt;&gt;"",项目总控台账!E37&lt;&gt;"/"),项目总控台账!E37,IF(AND(项目总控台账!D37&lt;&gt;"",项目总控台账!D37&lt;&gt;"/"),项目总控台账!D37,项目总控台账!C37))</f>
        <v>新增船舶靠泊通知单</v>
      </c>
      <c r="D38" s="8" t="str">
        <f>项目总控台账!H37</f>
        <v>郑士旺</v>
      </c>
      <c r="E38" s="25">
        <f>项目总控台账!I37</f>
        <v>46230</v>
      </c>
      <c r="F38" s="25">
        <f>项目总控台账!J37</f>
        <v>46353</v>
      </c>
      <c r="G38" s="8" t="str">
        <f>IF(B38="","",IF(OR(C38="",C38="/"),"缺少任务名称；","")&amp;IF(OR(D38="",D38="/"),"缺少有效主责人；","")&amp;IF(OR(E38="",E38&lt;DATE(2000,1,1)),"缺少有效计划开始；","")&amp;IF(OR(F38="",F38&lt;DATE(2000,1,1)),"缺少有效计划完成；","")&amp;IF(项目总控台账!G37="","缺少总体状态；","")&amp;IF(AND(ISNUMBER(E38),ISNUMBER(F38),E38&gt;=DATE(2000,1,1),F38&gt;=DATE(2000,1,1),E38&gt;F38),"开始晚于完成；","")&amp;IF(AND(项目总控台账!G37="已完成",项目总控台账!AB37&lt;1),"已完成但进度不足100%；",""))</f>
        <v/>
      </c>
      <c r="H38" s="8" t="str">
        <f t="shared" si="0"/>
        <v>通过</v>
      </c>
      <c r="I38" s="8" t="str">
        <f t="shared" si="1"/>
        <v>无需处理</v>
      </c>
      <c r="J38" s="8">
        <v>37</v>
      </c>
    </row>
    <row r="39" spans="1:10">
      <c r="A39" s="8" t="s">
        <v>1623</v>
      </c>
      <c r="B39" s="8" t="str">
        <f>项目总控台账!A38</f>
        <v>T035</v>
      </c>
      <c r="C39" s="8" t="str">
        <f>IF(AND(项目总控台账!E38&lt;&gt;"",项目总控台账!E38&lt;&gt;"/"),项目总控台账!E38,IF(AND(项目总控台账!D38&lt;&gt;"",项目总控台账!D38&lt;&gt;"/"),项目总控台账!D38,项目总控台账!C38))</f>
        <v>审批船舶靠泊通知单</v>
      </c>
      <c r="D39" s="8" t="str">
        <f>项目总控台账!H38</f>
        <v>郑士旺</v>
      </c>
      <c r="E39" s="25">
        <f>项目总控台账!I38</f>
        <v>46230</v>
      </c>
      <c r="F39" s="25">
        <f>项目总控台账!J38</f>
        <v>46353</v>
      </c>
      <c r="G39" s="8" t="str">
        <f>IF(B39="","",IF(OR(C39="",C39="/"),"缺少任务名称；","")&amp;IF(OR(D39="",D39="/"),"缺少有效主责人；","")&amp;IF(OR(E39="",E39&lt;DATE(2000,1,1)),"缺少有效计划开始；","")&amp;IF(OR(F39="",F39&lt;DATE(2000,1,1)),"缺少有效计划完成；","")&amp;IF(项目总控台账!G38="","缺少总体状态；","")&amp;IF(AND(ISNUMBER(E39),ISNUMBER(F39),E39&gt;=DATE(2000,1,1),F39&gt;=DATE(2000,1,1),E39&gt;F39),"开始晚于完成；","")&amp;IF(AND(项目总控台账!G38="已完成",项目总控台账!AB38&lt;1),"已完成但进度不足100%；",""))</f>
        <v/>
      </c>
      <c r="H39" s="8" t="str">
        <f t="shared" si="0"/>
        <v>通过</v>
      </c>
      <c r="I39" s="8" t="str">
        <f t="shared" si="1"/>
        <v>无需处理</v>
      </c>
      <c r="J39" s="8">
        <v>38</v>
      </c>
    </row>
    <row r="40" spans="1:10">
      <c r="A40" s="8" t="s">
        <v>1623</v>
      </c>
      <c r="B40" s="8" t="str">
        <f>项目总控台账!A39</f>
        <v>T036</v>
      </c>
      <c r="C40" s="8" t="str">
        <f>IF(AND(项目总控台账!E39&lt;&gt;"",项目总控台账!E39&lt;&gt;"/"),项目总控台账!E39,IF(AND(项目总控台账!D39&lt;&gt;"",项目总控台账!D39&lt;&gt;"/"),项目总控台账!D39,项目总控台账!C39))</f>
        <v>查询船舶靠泊通知单</v>
      </c>
      <c r="D40" s="8" t="str">
        <f>项目总控台账!H39</f>
        <v>郑士旺</v>
      </c>
      <c r="E40" s="25">
        <f>项目总控台账!I39</f>
        <v>46230</v>
      </c>
      <c r="F40" s="25">
        <f>项目总控台账!J39</f>
        <v>46353</v>
      </c>
      <c r="G40" s="8" t="str">
        <f>IF(B40="","",IF(OR(C40="",C40="/"),"缺少任务名称；","")&amp;IF(OR(D40="",D40="/"),"缺少有效主责人；","")&amp;IF(OR(E40="",E40&lt;DATE(2000,1,1)),"缺少有效计划开始；","")&amp;IF(OR(F40="",F40&lt;DATE(2000,1,1)),"缺少有效计划完成；","")&amp;IF(项目总控台账!G39="","缺少总体状态；","")&amp;IF(AND(ISNUMBER(E40),ISNUMBER(F40),E40&gt;=DATE(2000,1,1),F40&gt;=DATE(2000,1,1),E40&gt;F40),"开始晚于完成；","")&amp;IF(AND(项目总控台账!G39="已完成",项目总控台账!AB39&lt;1),"已完成但进度不足100%；",""))</f>
        <v/>
      </c>
      <c r="H40" s="8" t="str">
        <f t="shared" si="0"/>
        <v>通过</v>
      </c>
      <c r="I40" s="8" t="str">
        <f t="shared" si="1"/>
        <v>无需处理</v>
      </c>
      <c r="J40" s="8">
        <v>39</v>
      </c>
    </row>
    <row r="41" spans="1:10">
      <c r="A41" s="8" t="s">
        <v>1623</v>
      </c>
      <c r="B41" s="8" t="str">
        <f>项目总控台账!A40</f>
        <v>T037</v>
      </c>
      <c r="C41" s="8" t="str">
        <f>IF(AND(项目总控台账!E40&lt;&gt;"",项目总控台账!E40&lt;&gt;"/"),项目总控台账!E40,IF(AND(项目总控台账!D40&lt;&gt;"",项目总控台账!D40&lt;&gt;"/"),项目总控台账!D40,项目总控台账!C40))</f>
        <v>创建卸车流程</v>
      </c>
      <c r="D41" s="8" t="str">
        <f>项目总控台账!H40</f>
        <v>郑士旺</v>
      </c>
      <c r="E41" s="25">
        <f>项目总控台账!I40</f>
        <v>46209</v>
      </c>
      <c r="F41" s="25">
        <f>项目总控台账!J40</f>
        <v>46261</v>
      </c>
      <c r="G41" s="8" t="str">
        <f>IF(B41="","",IF(OR(C41="",C41="/"),"缺少任务名称；","")&amp;IF(OR(D41="",D41="/"),"缺少有效主责人；","")&amp;IF(OR(E41="",E41&lt;DATE(2000,1,1)),"缺少有效计划开始；","")&amp;IF(OR(F41="",F41&lt;DATE(2000,1,1)),"缺少有效计划完成；","")&amp;IF(项目总控台账!G40="","缺少总体状态；","")&amp;IF(AND(ISNUMBER(E41),ISNUMBER(F41),E41&gt;=DATE(2000,1,1),F41&gt;=DATE(2000,1,1),E41&gt;F41),"开始晚于完成；","")&amp;IF(AND(项目总控台账!G40="已完成",项目总控台账!AB40&lt;1),"已完成但进度不足100%；",""))</f>
        <v/>
      </c>
      <c r="H41" s="8" t="str">
        <f t="shared" si="0"/>
        <v>通过</v>
      </c>
      <c r="I41" s="8" t="str">
        <f t="shared" si="1"/>
        <v>无需处理</v>
      </c>
      <c r="J41" s="8">
        <v>40</v>
      </c>
    </row>
    <row r="42" spans="1:10">
      <c r="A42" s="8" t="s">
        <v>1623</v>
      </c>
      <c r="B42" s="8" t="str">
        <f>项目总控台账!A41</f>
        <v>T038</v>
      </c>
      <c r="C42" s="8" t="str">
        <f>IF(AND(项目总控台账!E41&lt;&gt;"",项目总控台账!E41&lt;&gt;"/"),项目总控台账!E41,IF(AND(项目总控台账!D41&lt;&gt;"",项目总控台账!D41&lt;&gt;"/"),项目总控台账!D41,项目总控台账!C41))</f>
        <v>查询卸车流程</v>
      </c>
      <c r="D42" s="8" t="str">
        <f>项目总控台账!H41</f>
        <v>郑士旺</v>
      </c>
      <c r="E42" s="25">
        <f>项目总控台账!I41</f>
        <v>46209</v>
      </c>
      <c r="F42" s="25">
        <f>项目总控台账!J41</f>
        <v>46261</v>
      </c>
      <c r="G42" s="8" t="str">
        <f>IF(B42="","",IF(OR(C42="",C42="/"),"缺少任务名称；","")&amp;IF(OR(D42="",D42="/"),"缺少有效主责人；","")&amp;IF(OR(E42="",E42&lt;DATE(2000,1,1)),"缺少有效计划开始；","")&amp;IF(OR(F42="",F42&lt;DATE(2000,1,1)),"缺少有效计划完成；","")&amp;IF(项目总控台账!G41="","缺少总体状态；","")&amp;IF(AND(ISNUMBER(E42),ISNUMBER(F42),E42&gt;=DATE(2000,1,1),F42&gt;=DATE(2000,1,1),E42&gt;F42),"开始晚于完成；","")&amp;IF(AND(项目总控台账!G41="已完成",项目总控台账!AB41&lt;1),"已完成但进度不足100%；",""))</f>
        <v/>
      </c>
      <c r="H42" s="8" t="str">
        <f t="shared" si="0"/>
        <v>通过</v>
      </c>
      <c r="I42" s="8" t="str">
        <f t="shared" si="1"/>
        <v>无需处理</v>
      </c>
      <c r="J42" s="8">
        <v>41</v>
      </c>
    </row>
    <row r="43" spans="1:10">
      <c r="A43" s="8" t="s">
        <v>1623</v>
      </c>
      <c r="B43" s="8" t="str">
        <f>项目总控台账!A42</f>
        <v>T039</v>
      </c>
      <c r="C43" s="8" t="str">
        <f>IF(AND(项目总控台账!E42&lt;&gt;"",项目总控台账!E42&lt;&gt;"/"),项目总控台账!E42,IF(AND(项目总控台账!D42&lt;&gt;"",项目总控台账!D42&lt;&gt;"/"),项目总控台账!D42,项目总控台账!C42))</f>
        <v>修改卸车流程</v>
      </c>
      <c r="D43" s="8" t="str">
        <f>项目总控台账!H42</f>
        <v>郑士旺</v>
      </c>
      <c r="E43" s="25">
        <f>项目总控台账!I42</f>
        <v>46209</v>
      </c>
      <c r="F43" s="25">
        <f>项目总控台账!J42</f>
        <v>46261</v>
      </c>
      <c r="G43" s="8" t="str">
        <f>IF(B43="","",IF(OR(C43="",C43="/"),"缺少任务名称；","")&amp;IF(OR(D43="",D43="/"),"缺少有效主责人；","")&amp;IF(OR(E43="",E43&lt;DATE(2000,1,1)),"缺少有效计划开始；","")&amp;IF(OR(F43="",F43&lt;DATE(2000,1,1)),"缺少有效计划完成；","")&amp;IF(项目总控台账!G42="","缺少总体状态；","")&amp;IF(AND(ISNUMBER(E43),ISNUMBER(F43),E43&gt;=DATE(2000,1,1),F43&gt;=DATE(2000,1,1),E43&gt;F43),"开始晚于完成；","")&amp;IF(AND(项目总控台账!G42="已完成",项目总控台账!AB42&lt;1),"已完成但进度不足100%；",""))</f>
        <v/>
      </c>
      <c r="H43" s="8" t="str">
        <f t="shared" si="0"/>
        <v>通过</v>
      </c>
      <c r="I43" s="8" t="str">
        <f t="shared" si="1"/>
        <v>无需处理</v>
      </c>
      <c r="J43" s="8">
        <v>42</v>
      </c>
    </row>
    <row r="44" spans="1:10">
      <c r="A44" s="8" t="s">
        <v>1623</v>
      </c>
      <c r="B44" s="8" t="str">
        <f>项目总控台账!A43</f>
        <v>T040</v>
      </c>
      <c r="C44" s="8" t="str">
        <f>IF(AND(项目总控台账!E43&lt;&gt;"",项目总控台账!E43&lt;&gt;"/"),项目总控台账!E43,IF(AND(项目总控台账!D43&lt;&gt;"",项目总控台账!D43&lt;&gt;"/"),项目总控台账!D43,项目总控台账!C43))</f>
        <v>创建装船流程</v>
      </c>
      <c r="D44" s="8" t="str">
        <f>项目总控台账!H43</f>
        <v>郑士旺</v>
      </c>
      <c r="E44" s="25">
        <f>项目总控台账!I43</f>
        <v>46209</v>
      </c>
      <c r="F44" s="25">
        <f>项目总控台账!J43</f>
        <v>46261</v>
      </c>
      <c r="G44" s="8" t="str">
        <f>IF(B44="","",IF(OR(C44="",C44="/"),"缺少任务名称；","")&amp;IF(OR(D44="",D44="/"),"缺少有效主责人；","")&amp;IF(OR(E44="",E44&lt;DATE(2000,1,1)),"缺少有效计划开始；","")&amp;IF(OR(F44="",F44&lt;DATE(2000,1,1)),"缺少有效计划完成；","")&amp;IF(项目总控台账!G43="","缺少总体状态；","")&amp;IF(AND(ISNUMBER(E44),ISNUMBER(F44),E44&gt;=DATE(2000,1,1),F44&gt;=DATE(2000,1,1),E44&gt;F44),"开始晚于完成；","")&amp;IF(AND(项目总控台账!G43="已完成",项目总控台账!AB43&lt;1),"已完成但进度不足100%；",""))</f>
        <v/>
      </c>
      <c r="H44" s="8" t="str">
        <f t="shared" si="0"/>
        <v>通过</v>
      </c>
      <c r="I44" s="8" t="str">
        <f t="shared" si="1"/>
        <v>无需处理</v>
      </c>
      <c r="J44" s="8">
        <v>43</v>
      </c>
    </row>
    <row r="45" spans="1:10">
      <c r="A45" s="8" t="s">
        <v>1623</v>
      </c>
      <c r="B45" s="8" t="str">
        <f>项目总控台账!A44</f>
        <v>T041</v>
      </c>
      <c r="C45" s="8" t="str">
        <f>IF(AND(项目总控台账!E44&lt;&gt;"",项目总控台账!E44&lt;&gt;"/"),项目总控台账!E44,IF(AND(项目总控台账!D44&lt;&gt;"",项目总控台账!D44&lt;&gt;"/"),项目总控台账!D44,项目总控台账!C44))</f>
        <v>查询装船流程</v>
      </c>
      <c r="D45" s="8" t="str">
        <f>项目总控台账!H44</f>
        <v>郑士旺</v>
      </c>
      <c r="E45" s="25">
        <f>项目总控台账!I44</f>
        <v>46209</v>
      </c>
      <c r="F45" s="25">
        <f>项目总控台账!J44</f>
        <v>46261</v>
      </c>
      <c r="G45" s="8" t="str">
        <f>IF(B45="","",IF(OR(C45="",C45="/"),"缺少任务名称；","")&amp;IF(OR(D45="",D45="/"),"缺少有效主责人；","")&amp;IF(OR(E45="",E45&lt;DATE(2000,1,1)),"缺少有效计划开始；","")&amp;IF(OR(F45="",F45&lt;DATE(2000,1,1)),"缺少有效计划完成；","")&amp;IF(项目总控台账!G44="","缺少总体状态；","")&amp;IF(AND(ISNUMBER(E45),ISNUMBER(F45),E45&gt;=DATE(2000,1,1),F45&gt;=DATE(2000,1,1),E45&gt;F45),"开始晚于完成；","")&amp;IF(AND(项目总控台账!G44="已完成",项目总控台账!AB44&lt;1),"已完成但进度不足100%；",""))</f>
        <v/>
      </c>
      <c r="H45" s="8" t="str">
        <f t="shared" si="0"/>
        <v>通过</v>
      </c>
      <c r="I45" s="8" t="str">
        <f t="shared" si="1"/>
        <v>无需处理</v>
      </c>
      <c r="J45" s="8">
        <v>44</v>
      </c>
    </row>
    <row r="46" spans="1:10">
      <c r="A46" s="8" t="s">
        <v>1623</v>
      </c>
      <c r="B46" s="8" t="str">
        <f>项目总控台账!A45</f>
        <v>T042</v>
      </c>
      <c r="C46" s="8" t="str">
        <f>IF(AND(项目总控台账!E45&lt;&gt;"",项目总控台账!E45&lt;&gt;"/"),项目总控台账!E45,IF(AND(项目总控台账!D45&lt;&gt;"",项目总控台账!D45&lt;&gt;"/"),项目总控台账!D45,项目总控台账!C45))</f>
        <v>修改装船流程</v>
      </c>
      <c r="D46" s="8" t="str">
        <f>项目总控台账!H45</f>
        <v>郑士旺</v>
      </c>
      <c r="E46" s="25">
        <f>项目总控台账!I45</f>
        <v>46209</v>
      </c>
      <c r="F46" s="25">
        <f>项目总控台账!J45</f>
        <v>46261</v>
      </c>
      <c r="G46" s="8" t="str">
        <f>IF(B46="","",IF(OR(C46="",C46="/"),"缺少任务名称；","")&amp;IF(OR(D46="",D46="/"),"缺少有效主责人；","")&amp;IF(OR(E46="",E46&lt;DATE(2000,1,1)),"缺少有效计划开始；","")&amp;IF(OR(F46="",F46&lt;DATE(2000,1,1)),"缺少有效计划完成；","")&amp;IF(项目总控台账!G45="","缺少总体状态；","")&amp;IF(AND(ISNUMBER(E46),ISNUMBER(F46),E46&gt;=DATE(2000,1,1),F46&gt;=DATE(2000,1,1),E46&gt;F46),"开始晚于完成；","")&amp;IF(AND(项目总控台账!G45="已完成",项目总控台账!AB45&lt;1),"已完成但进度不足100%；",""))</f>
        <v/>
      </c>
      <c r="H46" s="8" t="str">
        <f t="shared" si="0"/>
        <v>通过</v>
      </c>
      <c r="I46" s="8" t="str">
        <f t="shared" si="1"/>
        <v>无需处理</v>
      </c>
      <c r="J46" s="8">
        <v>45</v>
      </c>
    </row>
    <row r="47" spans="1:10">
      <c r="A47" s="8" t="s">
        <v>1623</v>
      </c>
      <c r="B47" s="8" t="str">
        <f>项目总控台账!A46</f>
        <v>T043</v>
      </c>
      <c r="C47" s="8" t="str">
        <f>IF(AND(项目总控台账!E46&lt;&gt;"",项目总控台账!E46&lt;&gt;"/"),项目总控台账!E46,IF(AND(项目总控台账!D46&lt;&gt;"",项目总控台账!D46&lt;&gt;"/"),项目总控台账!D46,项目总控台账!C46))</f>
        <v>创建卸船流程</v>
      </c>
      <c r="D47" s="8" t="str">
        <f>项目总控台账!H46</f>
        <v>郑士旺</v>
      </c>
      <c r="E47" s="25">
        <f>项目总控台账!I46</f>
        <v>46209</v>
      </c>
      <c r="F47" s="25">
        <f>项目总控台账!J46</f>
        <v>46269</v>
      </c>
      <c r="G47" s="8" t="str">
        <f>IF(B47="","",IF(OR(C47="",C47="/"),"缺少任务名称；","")&amp;IF(OR(D47="",D47="/"),"缺少有效主责人；","")&amp;IF(OR(E47="",E47&lt;DATE(2000,1,1)),"缺少有效计划开始；","")&amp;IF(OR(F47="",F47&lt;DATE(2000,1,1)),"缺少有效计划完成；","")&amp;IF(项目总控台账!G46="","缺少总体状态；","")&amp;IF(AND(ISNUMBER(E47),ISNUMBER(F47),E47&gt;=DATE(2000,1,1),F47&gt;=DATE(2000,1,1),E47&gt;F47),"开始晚于完成；","")&amp;IF(AND(项目总控台账!G46="已完成",项目总控台账!AB46&lt;1),"已完成但进度不足100%；",""))</f>
        <v/>
      </c>
      <c r="H47" s="8" t="str">
        <f t="shared" si="0"/>
        <v>通过</v>
      </c>
      <c r="I47" s="8" t="str">
        <f t="shared" si="1"/>
        <v>无需处理</v>
      </c>
      <c r="J47" s="8">
        <v>46</v>
      </c>
    </row>
    <row r="48" spans="1:10">
      <c r="A48" s="8" t="s">
        <v>1623</v>
      </c>
      <c r="B48" s="8" t="str">
        <f>项目总控台账!A47</f>
        <v>T044</v>
      </c>
      <c r="C48" s="8" t="str">
        <f>IF(AND(项目总控台账!E47&lt;&gt;"",项目总控台账!E47&lt;&gt;"/"),项目总控台账!E47,IF(AND(项目总控台账!D47&lt;&gt;"",项目总控台账!D47&lt;&gt;"/"),项目总控台账!D47,项目总控台账!C47))</f>
        <v>查询卸船流程</v>
      </c>
      <c r="D48" s="8" t="str">
        <f>项目总控台账!H47</f>
        <v>郑士旺</v>
      </c>
      <c r="E48" s="25">
        <f>项目总控台账!I47</f>
        <v>46209</v>
      </c>
      <c r="F48" s="25">
        <f>项目总控台账!J47</f>
        <v>46269</v>
      </c>
      <c r="G48" s="8" t="str">
        <f>IF(B48="","",IF(OR(C48="",C48="/"),"缺少任务名称；","")&amp;IF(OR(D48="",D48="/"),"缺少有效主责人；","")&amp;IF(OR(E48="",E48&lt;DATE(2000,1,1)),"缺少有效计划开始；","")&amp;IF(OR(F48="",F48&lt;DATE(2000,1,1)),"缺少有效计划完成；","")&amp;IF(项目总控台账!G47="","缺少总体状态；","")&amp;IF(AND(ISNUMBER(E48),ISNUMBER(F48),E48&gt;=DATE(2000,1,1),F48&gt;=DATE(2000,1,1),E48&gt;F48),"开始晚于完成；","")&amp;IF(AND(项目总控台账!G47="已完成",项目总控台账!AB47&lt;1),"已完成但进度不足100%；",""))</f>
        <v/>
      </c>
      <c r="H48" s="8" t="str">
        <f t="shared" si="0"/>
        <v>通过</v>
      </c>
      <c r="I48" s="8" t="str">
        <f t="shared" si="1"/>
        <v>无需处理</v>
      </c>
      <c r="J48" s="8">
        <v>47</v>
      </c>
    </row>
    <row r="49" spans="1:10">
      <c r="A49" s="8" t="s">
        <v>1623</v>
      </c>
      <c r="B49" s="8" t="str">
        <f>项目总控台账!A48</f>
        <v>T045</v>
      </c>
      <c r="C49" s="8" t="str">
        <f>IF(AND(项目总控台账!E48&lt;&gt;"",项目总控台账!E48&lt;&gt;"/"),项目总控台账!E48,IF(AND(项目总控台账!D48&lt;&gt;"",项目总控台账!D48&lt;&gt;"/"),项目总控台账!D48,项目总控台账!C48))</f>
        <v>修改卸船流程</v>
      </c>
      <c r="D49" s="8" t="str">
        <f>项目总控台账!H48</f>
        <v>郑士旺</v>
      </c>
      <c r="E49" s="25">
        <f>项目总控台账!I48</f>
        <v>46209</v>
      </c>
      <c r="F49" s="25">
        <f>项目总控台账!J48</f>
        <v>46269</v>
      </c>
      <c r="G49" s="8" t="str">
        <f>IF(B49="","",IF(OR(C49="",C49="/"),"缺少任务名称；","")&amp;IF(OR(D49="",D49="/"),"缺少有效主责人；","")&amp;IF(OR(E49="",E49&lt;DATE(2000,1,1)),"缺少有效计划开始；","")&amp;IF(OR(F49="",F49&lt;DATE(2000,1,1)),"缺少有效计划完成；","")&amp;IF(项目总控台账!G48="","缺少总体状态；","")&amp;IF(AND(ISNUMBER(E49),ISNUMBER(F49),E49&gt;=DATE(2000,1,1),F49&gt;=DATE(2000,1,1),E49&gt;F49),"开始晚于完成；","")&amp;IF(AND(项目总控台账!G48="已完成",项目总控台账!AB48&lt;1),"已完成但进度不足100%；",""))</f>
        <v/>
      </c>
      <c r="H49" s="8" t="str">
        <f t="shared" si="0"/>
        <v>通过</v>
      </c>
      <c r="I49" s="8" t="str">
        <f t="shared" si="1"/>
        <v>无需处理</v>
      </c>
      <c r="J49" s="8">
        <v>48</v>
      </c>
    </row>
    <row r="50" spans="1:10">
      <c r="A50" s="8" t="s">
        <v>1623</v>
      </c>
      <c r="B50" s="8" t="str">
        <f>项目总控台账!A49</f>
        <v>T046</v>
      </c>
      <c r="C50" s="8" t="str">
        <f>IF(AND(项目总控台账!E49&lt;&gt;"",项目总控台账!E49&lt;&gt;"/"),项目总控台账!E49,IF(AND(项目总控台账!D49&lt;&gt;"",项目总控台账!D49&lt;&gt;"/"),项目总控台账!D49,项目总控台账!C49))</f>
        <v>新增船舶预到（外贸）</v>
      </c>
      <c r="D50" s="8" t="str">
        <f>项目总控台账!H49</f>
        <v>郑士旺</v>
      </c>
      <c r="E50" s="25">
        <f>项目总控台账!I49</f>
        <v>46230</v>
      </c>
      <c r="F50" s="25">
        <f>项目总控台账!J49</f>
        <v>46353</v>
      </c>
      <c r="G50" s="8" t="str">
        <f>IF(B50="","",IF(OR(C50="",C50="/"),"缺少任务名称；","")&amp;IF(OR(D50="",D50="/"),"缺少有效主责人；","")&amp;IF(OR(E50="",E50&lt;DATE(2000,1,1)),"缺少有效计划开始；","")&amp;IF(OR(F50="",F50&lt;DATE(2000,1,1)),"缺少有效计划完成；","")&amp;IF(项目总控台账!G49="","缺少总体状态；","")&amp;IF(AND(ISNUMBER(E50),ISNUMBER(F50),E50&gt;=DATE(2000,1,1),F50&gt;=DATE(2000,1,1),E50&gt;F50),"开始晚于完成；","")&amp;IF(AND(项目总控台账!G49="已完成",项目总控台账!AB49&lt;1),"已完成但进度不足100%；",""))</f>
        <v/>
      </c>
      <c r="H50" s="8" t="str">
        <f t="shared" si="0"/>
        <v>通过</v>
      </c>
      <c r="I50" s="8" t="str">
        <f t="shared" si="1"/>
        <v>无需处理</v>
      </c>
      <c r="J50" s="8">
        <v>49</v>
      </c>
    </row>
    <row r="51" spans="1:10">
      <c r="A51" s="8" t="s">
        <v>1623</v>
      </c>
      <c r="B51" s="8" t="str">
        <f>项目总控台账!A50</f>
        <v>T047</v>
      </c>
      <c r="C51" s="8" t="str">
        <f>IF(AND(项目总控台账!E50&lt;&gt;"",项目总控台账!E50&lt;&gt;"/"),项目总控台账!E50,IF(AND(项目总控台账!D50&lt;&gt;"",项目总控台账!D50&lt;&gt;"/"),项目总控台账!D50,项目总控台账!C50))</f>
        <v>退回船舶预到（外贸）</v>
      </c>
      <c r="D51" s="8" t="str">
        <f>项目总控台账!H50</f>
        <v>郑士旺</v>
      </c>
      <c r="E51" s="25">
        <f>项目总控台账!I50</f>
        <v>46230</v>
      </c>
      <c r="F51" s="25">
        <f>项目总控台账!J50</f>
        <v>46353</v>
      </c>
      <c r="G51" s="8" t="str">
        <f>IF(B51="","",IF(OR(C51="",C51="/"),"缺少任务名称；","")&amp;IF(OR(D51="",D51="/"),"缺少有效主责人；","")&amp;IF(OR(E51="",E51&lt;DATE(2000,1,1)),"缺少有效计划开始；","")&amp;IF(OR(F51="",F51&lt;DATE(2000,1,1)),"缺少有效计划完成；","")&amp;IF(项目总控台账!G50="","缺少总体状态；","")&amp;IF(AND(ISNUMBER(E51),ISNUMBER(F51),E51&gt;=DATE(2000,1,1),F51&gt;=DATE(2000,1,1),E51&gt;F51),"开始晚于完成；","")&amp;IF(AND(项目总控台账!G50="已完成",项目总控台账!AB50&lt;1),"已完成但进度不足100%；",""))</f>
        <v/>
      </c>
      <c r="H51" s="8" t="str">
        <f t="shared" si="0"/>
        <v>通过</v>
      </c>
      <c r="I51" s="8" t="str">
        <f t="shared" si="1"/>
        <v>无需处理</v>
      </c>
      <c r="J51" s="8">
        <v>50</v>
      </c>
    </row>
    <row r="52" spans="1:10">
      <c r="A52" s="8" t="s">
        <v>1623</v>
      </c>
      <c r="B52" s="8" t="str">
        <f>项目总控台账!A51</f>
        <v>T048</v>
      </c>
      <c r="C52" s="8" t="str">
        <f>IF(AND(项目总控台账!E51&lt;&gt;"",项目总控台账!E51&lt;&gt;"/"),项目总控台账!E51,IF(AND(项目总控台账!D51&lt;&gt;"",项目总控台账!D51&lt;&gt;"/"),项目总控台账!D51,项目总控台账!C51))</f>
        <v>退回船舶预到（外贸）</v>
      </c>
      <c r="D52" s="8" t="str">
        <f>项目总控台账!H51</f>
        <v>郑士旺</v>
      </c>
      <c r="E52" s="25">
        <f>项目总控台账!I51</f>
        <v>46230</v>
      </c>
      <c r="F52" s="25">
        <f>项目总控台账!J51</f>
        <v>46261</v>
      </c>
      <c r="G52" s="8" t="str">
        <f>IF(B52="","",IF(OR(C52="",C52="/"),"缺少任务名称；","")&amp;IF(OR(D52="",D52="/"),"缺少有效主责人；","")&amp;IF(OR(E52="",E52&lt;DATE(2000,1,1)),"缺少有效计划开始；","")&amp;IF(OR(F52="",F52&lt;DATE(2000,1,1)),"缺少有效计划完成；","")&amp;IF(项目总控台账!G51="","缺少总体状态；","")&amp;IF(AND(ISNUMBER(E52),ISNUMBER(F52),E52&gt;=DATE(2000,1,1),F52&gt;=DATE(2000,1,1),E52&gt;F52),"开始晚于完成；","")&amp;IF(AND(项目总控台账!G51="已完成",项目总控台账!AB51&lt;1),"已完成但进度不足100%；",""))</f>
        <v/>
      </c>
      <c r="H52" s="8" t="str">
        <f t="shared" si="0"/>
        <v>通过</v>
      </c>
      <c r="I52" s="8" t="str">
        <f t="shared" si="1"/>
        <v>无需处理</v>
      </c>
      <c r="J52" s="8">
        <v>51</v>
      </c>
    </row>
    <row r="53" spans="1:10">
      <c r="A53" s="8" t="s">
        <v>1623</v>
      </c>
      <c r="B53" s="8" t="str">
        <f>项目总控台账!A52</f>
        <v>T049</v>
      </c>
      <c r="C53" s="8" t="str">
        <f>IF(AND(项目总控台账!E52&lt;&gt;"",项目总控台账!E52&lt;&gt;"/"),项目总控台账!E52,IF(AND(项目总控台账!D52&lt;&gt;"",项目总控台账!D52&lt;&gt;"/"),项目总控台账!D52,项目总控台账!C52))</f>
        <v>申请采样申请（外贸）</v>
      </c>
      <c r="D53" s="8" t="str">
        <f>项目总控台账!H52</f>
        <v>郑士旺</v>
      </c>
      <c r="E53" s="25">
        <f>项目总控台账!I52</f>
        <v>46230</v>
      </c>
      <c r="F53" s="25">
        <f>项目总控台账!J52</f>
        <v>46261</v>
      </c>
      <c r="G53" s="8" t="str">
        <f>IF(B53="","",IF(OR(C53="",C53="/"),"缺少任务名称；","")&amp;IF(OR(D53="",D53="/"),"缺少有效主责人；","")&amp;IF(OR(E53="",E53&lt;DATE(2000,1,1)),"缺少有效计划开始；","")&amp;IF(OR(F53="",F53&lt;DATE(2000,1,1)),"缺少有效计划完成；","")&amp;IF(项目总控台账!G52="","缺少总体状态；","")&amp;IF(AND(ISNUMBER(E53),ISNUMBER(F53),E53&gt;=DATE(2000,1,1),F53&gt;=DATE(2000,1,1),E53&gt;F53),"开始晚于完成；","")&amp;IF(AND(项目总控台账!G52="已完成",项目总控台账!AB52&lt;1),"已完成但进度不足100%；",""))</f>
        <v/>
      </c>
      <c r="H53" s="8" t="str">
        <f t="shared" si="0"/>
        <v>通过</v>
      </c>
      <c r="I53" s="8" t="str">
        <f t="shared" si="1"/>
        <v>无需处理</v>
      </c>
      <c r="J53" s="8">
        <v>52</v>
      </c>
    </row>
    <row r="54" spans="1:10">
      <c r="A54" s="8" t="s">
        <v>1623</v>
      </c>
      <c r="B54" s="8" t="str">
        <f>项目总控台账!A53</f>
        <v>T050</v>
      </c>
      <c r="C54" s="8" t="str">
        <f>IF(AND(项目总控台账!E53&lt;&gt;"",项目总控台账!E53&lt;&gt;"/"),项目总控台账!E53,IF(AND(项目总控台账!D53&lt;&gt;"",项目总控台账!D53&lt;&gt;"/"),项目总控台账!D53,项目总控台账!C53))</f>
        <v>维护需跟踪船舶清单</v>
      </c>
      <c r="D54" s="8" t="str">
        <f>项目总控台账!H53</f>
        <v>郑士旺</v>
      </c>
      <c r="E54" s="25">
        <f>项目总控台账!I53</f>
        <v>46202</v>
      </c>
      <c r="F54" s="25">
        <f>项目总控台账!J53</f>
        <v>46265</v>
      </c>
      <c r="G54" s="8" t="str">
        <f>IF(B54="","",IF(OR(C54="",C54="/"),"缺少任务名称；","")&amp;IF(OR(D54="",D54="/"),"缺少有效主责人；","")&amp;IF(OR(E54="",E54&lt;DATE(2000,1,1)),"缺少有效计划开始；","")&amp;IF(OR(F54="",F54&lt;DATE(2000,1,1)),"缺少有效计划完成；","")&amp;IF(项目总控台账!G53="","缺少总体状态；","")&amp;IF(AND(ISNUMBER(E54),ISNUMBER(F54),E54&gt;=DATE(2000,1,1),F54&gt;=DATE(2000,1,1),E54&gt;F54),"开始晚于完成；","")&amp;IF(AND(项目总控台账!G53="已完成",项目总控台账!AB53&lt;1),"已完成但进度不足100%；",""))</f>
        <v/>
      </c>
      <c r="H54" s="8" t="str">
        <f t="shared" si="0"/>
        <v>通过</v>
      </c>
      <c r="I54" s="8" t="str">
        <f t="shared" si="1"/>
        <v>无需处理</v>
      </c>
      <c r="J54" s="8">
        <v>53</v>
      </c>
    </row>
    <row r="55" spans="1:10">
      <c r="A55" s="8" t="s">
        <v>1623</v>
      </c>
      <c r="B55" s="8" t="str">
        <f>项目总控台账!A54</f>
        <v>T051</v>
      </c>
      <c r="C55" s="8" t="str">
        <f>IF(AND(项目总控台账!E54&lt;&gt;"",项目总控台账!E54&lt;&gt;"/"),项目总控台账!E54,IF(AND(项目总控台账!D54&lt;&gt;"",项目总控台账!D54&lt;&gt;"/"),项目总控台账!D54,项目总控台账!C54))</f>
        <v>根据船舶清单更新第三方系统推送数据船舶清单</v>
      </c>
      <c r="D55" s="8" t="str">
        <f>项目总控台账!H54</f>
        <v>郑士旺</v>
      </c>
      <c r="E55" s="25">
        <f>项目总控台账!I54</f>
        <v>46202</v>
      </c>
      <c r="F55" s="25">
        <f>项目总控台账!J54</f>
        <v>46261</v>
      </c>
      <c r="G55" s="8" t="str">
        <f>IF(B55="","",IF(OR(C55="",C55="/"),"缺少任务名称；","")&amp;IF(OR(D55="",D55="/"),"缺少有效主责人；","")&amp;IF(OR(E55="",E55&lt;DATE(2000,1,1)),"缺少有效计划开始；","")&amp;IF(OR(F55="",F55&lt;DATE(2000,1,1)),"缺少有效计划完成；","")&amp;IF(项目总控台账!G54="","缺少总体状态；","")&amp;IF(AND(ISNUMBER(E55),ISNUMBER(F55),E55&gt;=DATE(2000,1,1),F55&gt;=DATE(2000,1,1),E55&gt;F55),"开始晚于完成；","")&amp;IF(AND(项目总控台账!G54="已完成",项目总控台账!AB54&lt;1),"已完成但进度不足100%；",""))</f>
        <v/>
      </c>
      <c r="H55" s="8" t="str">
        <f t="shared" si="0"/>
        <v>通过</v>
      </c>
      <c r="I55" s="8" t="str">
        <f t="shared" si="1"/>
        <v>无需处理</v>
      </c>
      <c r="J55" s="8">
        <v>54</v>
      </c>
    </row>
    <row r="56" spans="1:10">
      <c r="A56" s="8" t="s">
        <v>1623</v>
      </c>
      <c r="B56" s="8" t="str">
        <f>项目总控台账!A55</f>
        <v>T052</v>
      </c>
      <c r="C56" s="8" t="str">
        <f>IF(AND(项目总控台账!E55&lt;&gt;"",项目总控台账!E55&lt;&gt;"/"),项目总控台账!E55,IF(AND(项目总控台账!D55&lt;&gt;"",项目总控台账!D55&lt;&gt;"/"),项目总控台账!D55,项目总控台账!C55))</f>
        <v>船舶轨迹跟踪</v>
      </c>
      <c r="D56" s="8" t="str">
        <f>项目总控台账!H55</f>
        <v>郑士旺</v>
      </c>
      <c r="E56" s="25">
        <f>项目总控台账!I55</f>
        <v>46202</v>
      </c>
      <c r="F56" s="25">
        <f>项目总控台账!J55</f>
        <v>46261</v>
      </c>
      <c r="G56" s="8" t="str">
        <f>IF(B56="","",IF(OR(C56="",C56="/"),"缺少任务名称；","")&amp;IF(OR(D56="",D56="/"),"缺少有效主责人；","")&amp;IF(OR(E56="",E56&lt;DATE(2000,1,1)),"缺少有效计划开始；","")&amp;IF(OR(F56="",F56&lt;DATE(2000,1,1)),"缺少有效计划完成；","")&amp;IF(项目总控台账!G55="","缺少总体状态；","")&amp;IF(AND(ISNUMBER(E56),ISNUMBER(F56),E56&gt;=DATE(2000,1,1),F56&gt;=DATE(2000,1,1),E56&gt;F56),"开始晚于完成；","")&amp;IF(AND(项目总控台账!G55="已完成",项目总控台账!AB55&lt;1),"已完成但进度不足100%；",""))</f>
        <v/>
      </c>
      <c r="H56" s="8" t="str">
        <f t="shared" si="0"/>
        <v>通过</v>
      </c>
      <c r="I56" s="8" t="str">
        <f t="shared" si="1"/>
        <v>无需处理</v>
      </c>
      <c r="J56" s="8">
        <v>55</v>
      </c>
    </row>
    <row r="57" spans="1:10">
      <c r="A57" s="8" t="s">
        <v>1623</v>
      </c>
      <c r="B57" s="8" t="str">
        <f>项目总控台账!A56</f>
        <v>T053</v>
      </c>
      <c r="C57" s="8" t="str">
        <f>IF(AND(项目总控台账!E56&lt;&gt;"",项目总控台账!E56&lt;&gt;"/"),项目总控台账!E56,IF(AND(项目总控台账!D56&lt;&gt;"",项目总控台账!D56&lt;&gt;"/"),项目总控台账!D56,项目总控台账!C56))</f>
        <v>接入港口侧视频监控</v>
      </c>
      <c r="D57" s="8" t="str">
        <f>项目总控台账!H56</f>
        <v>郑士旺</v>
      </c>
      <c r="E57" s="25">
        <f>项目总控台账!I56</f>
        <v>46223</v>
      </c>
      <c r="F57" s="25">
        <f>项目总控台账!J56</f>
        <v>46224</v>
      </c>
      <c r="G57" s="8" t="str">
        <f>IF(B57="","",IF(OR(C57="",C57="/"),"缺少任务名称；","")&amp;IF(OR(D57="",D57="/"),"缺少有效主责人；","")&amp;IF(OR(E57="",E57&lt;DATE(2000,1,1)),"缺少有效计划开始；","")&amp;IF(OR(F57="",F57&lt;DATE(2000,1,1)),"缺少有效计划完成；","")&amp;IF(项目总控台账!G56="","缺少总体状态；","")&amp;IF(AND(ISNUMBER(E57),ISNUMBER(F57),E57&gt;=DATE(2000,1,1),F57&gt;=DATE(2000,1,1),E57&gt;F57),"开始晚于完成；","")&amp;IF(AND(项目总控台账!G56="已完成",项目总控台账!AB56&lt;1),"已完成但进度不足100%；",""))</f>
        <v/>
      </c>
      <c r="H57" s="8" t="str">
        <f t="shared" si="0"/>
        <v>通过</v>
      </c>
      <c r="I57" s="8" t="str">
        <f t="shared" si="1"/>
        <v>无需处理</v>
      </c>
      <c r="J57" s="8">
        <v>56</v>
      </c>
    </row>
    <row r="58" spans="1:10">
      <c r="A58" s="8" t="s">
        <v>1623</v>
      </c>
      <c r="B58" s="8" t="str">
        <f>项目总控台账!A57</f>
        <v>T054</v>
      </c>
      <c r="C58" s="8" t="str">
        <f>IF(AND(项目总控台账!E57&lt;&gt;"",项目总控台账!E57&lt;&gt;"/"),项目总控台账!E57,IF(AND(项目总控台账!D57&lt;&gt;"",项目总控台账!D57&lt;&gt;"/"),项目总控台账!D57,项目总控台账!C57))</f>
        <v>视频查看权限申请</v>
      </c>
      <c r="D58" s="8" t="str">
        <f>项目总控台账!H57</f>
        <v>郑士旺</v>
      </c>
      <c r="E58" s="25">
        <f>项目总控台账!I57</f>
        <v>46223</v>
      </c>
      <c r="F58" s="25">
        <f>项目总控台账!J57</f>
        <v>46224</v>
      </c>
      <c r="G58" s="8" t="str">
        <f>IF(B58="","",IF(OR(C58="",C58="/"),"缺少任务名称；","")&amp;IF(OR(D58="",D58="/"),"缺少有效主责人；","")&amp;IF(OR(E58="",E58&lt;DATE(2000,1,1)),"缺少有效计划开始；","")&amp;IF(OR(F58="",F58&lt;DATE(2000,1,1)),"缺少有效计划完成；","")&amp;IF(项目总控台账!G57="","缺少总体状态；","")&amp;IF(AND(ISNUMBER(E58),ISNUMBER(F58),E58&gt;=DATE(2000,1,1),F58&gt;=DATE(2000,1,1),E58&gt;F58),"开始晚于完成；","")&amp;IF(AND(项目总控台账!G57="已完成",项目总控台账!AB57&lt;1),"已完成但进度不足100%；",""))</f>
        <v/>
      </c>
      <c r="H58" s="8" t="str">
        <f t="shared" si="0"/>
        <v>通过</v>
      </c>
      <c r="I58" s="8" t="str">
        <f t="shared" si="1"/>
        <v>无需处理</v>
      </c>
      <c r="J58" s="8">
        <v>57</v>
      </c>
    </row>
    <row r="59" spans="1:10">
      <c r="A59" s="8" t="s">
        <v>1623</v>
      </c>
      <c r="B59" s="8" t="str">
        <f>项目总控台账!A58</f>
        <v>T055</v>
      </c>
      <c r="C59" s="8" t="str">
        <f>IF(AND(项目总控台账!E58&lt;&gt;"",项目总控台账!E58&lt;&gt;"/"),项目总控台账!E58,IF(AND(项目总控台账!D58&lt;&gt;"",项目总控台账!D58&lt;&gt;"/"),项目总控台账!D58,项目总控台账!C58))</f>
        <v>视频查看权限审批</v>
      </c>
      <c r="D59" s="8" t="str">
        <f>项目总控台账!H58</f>
        <v>郑士旺</v>
      </c>
      <c r="E59" s="25">
        <f>项目总控台账!I58</f>
        <v>46223</v>
      </c>
      <c r="F59" s="25">
        <f>项目总控台账!J58</f>
        <v>46224</v>
      </c>
      <c r="G59" s="8" t="str">
        <f>IF(B59="","",IF(OR(C59="",C59="/"),"缺少任务名称；","")&amp;IF(OR(D59="",D59="/"),"缺少有效主责人；","")&amp;IF(OR(E59="",E59&lt;DATE(2000,1,1)),"缺少有效计划开始；","")&amp;IF(OR(F59="",F59&lt;DATE(2000,1,1)),"缺少有效计划完成；","")&amp;IF(项目总控台账!G58="","缺少总体状态；","")&amp;IF(AND(ISNUMBER(E59),ISNUMBER(F59),E59&gt;=DATE(2000,1,1),F59&gt;=DATE(2000,1,1),E59&gt;F59),"开始晚于完成；","")&amp;IF(AND(项目总控台账!G58="已完成",项目总控台账!AB58&lt;1),"已完成但进度不足100%；",""))</f>
        <v/>
      </c>
      <c r="H59" s="8" t="str">
        <f t="shared" si="0"/>
        <v>通过</v>
      </c>
      <c r="I59" s="8" t="str">
        <f t="shared" si="1"/>
        <v>无需处理</v>
      </c>
      <c r="J59" s="8">
        <v>58</v>
      </c>
    </row>
    <row r="60" spans="1:10">
      <c r="A60" s="8" t="s">
        <v>1623</v>
      </c>
      <c r="B60" s="8" t="str">
        <f>项目总控台账!A59</f>
        <v>T056</v>
      </c>
      <c r="C60" s="8" t="str">
        <f>IF(AND(项目总控台账!E59&lt;&gt;"",项目总控台账!E59&lt;&gt;"/"),项目总控台账!E59,IF(AND(项目总控台账!D59&lt;&gt;"",项目总控台账!D59&lt;&gt;"/"),项目总控台账!D59,项目总控台账!C59))</f>
        <v>视频查看权限有效期控制</v>
      </c>
      <c r="D60" s="8" t="str">
        <f>项目总控台账!H59</f>
        <v>郑士旺</v>
      </c>
      <c r="E60" s="25">
        <f>项目总控台账!I59</f>
        <v>46223</v>
      </c>
      <c r="F60" s="25">
        <f>项目总控台账!J59</f>
        <v>46318</v>
      </c>
      <c r="G60" s="8" t="str">
        <f>IF(B60="","",IF(OR(C60="",C60="/"),"缺少任务名称；","")&amp;IF(OR(D60="",D60="/"),"缺少有效主责人；","")&amp;IF(OR(E60="",E60&lt;DATE(2000,1,1)),"缺少有效计划开始；","")&amp;IF(OR(F60="",F60&lt;DATE(2000,1,1)),"缺少有效计划完成；","")&amp;IF(项目总控台账!G59="","缺少总体状态；","")&amp;IF(AND(ISNUMBER(E60),ISNUMBER(F60),E60&gt;=DATE(2000,1,1),F60&gt;=DATE(2000,1,1),E60&gt;F60),"开始晚于完成；","")&amp;IF(AND(项目总控台账!G59="已完成",项目总控台账!AB59&lt;1),"已完成但进度不足100%；",""))</f>
        <v/>
      </c>
      <c r="H60" s="8" t="str">
        <f t="shared" si="0"/>
        <v>通过</v>
      </c>
      <c r="I60" s="8" t="str">
        <f t="shared" si="1"/>
        <v>无需处理</v>
      </c>
      <c r="J60" s="8">
        <v>59</v>
      </c>
    </row>
    <row r="61" spans="1:10">
      <c r="A61" s="8" t="s">
        <v>1623</v>
      </c>
      <c r="B61" s="8" t="str">
        <f>项目总控台账!A60</f>
        <v>T057</v>
      </c>
      <c r="C61" s="8" t="str">
        <f>IF(AND(项目总控台账!E60&lt;&gt;"",项目总控台账!E60&lt;&gt;"/"),项目总控台账!E60,IF(AND(项目总控台账!D60&lt;&gt;"",项目总控台账!D60&lt;&gt;"/"),项目总控台账!D60,项目总控台账!C60))</f>
        <v>外网PC端视频监控查询</v>
      </c>
      <c r="D61" s="8" t="str">
        <f>项目总控台账!H60</f>
        <v>郑士旺</v>
      </c>
      <c r="E61" s="25">
        <f>项目总控台账!I60</f>
        <v>46223</v>
      </c>
      <c r="F61" s="25">
        <f>项目总控台账!J60</f>
        <v>46224</v>
      </c>
      <c r="G61" s="8" t="str">
        <f>IF(B61="","",IF(OR(C61="",C61="/"),"缺少任务名称；","")&amp;IF(OR(D61="",D61="/"),"缺少有效主责人；","")&amp;IF(OR(E61="",E61&lt;DATE(2000,1,1)),"缺少有效计划开始；","")&amp;IF(OR(F61="",F61&lt;DATE(2000,1,1)),"缺少有效计划完成；","")&amp;IF(项目总控台账!G60="","缺少总体状态；","")&amp;IF(AND(ISNUMBER(E61),ISNUMBER(F61),E61&gt;=DATE(2000,1,1),F61&gt;=DATE(2000,1,1),E61&gt;F61),"开始晚于完成；","")&amp;IF(AND(项目总控台账!G60="已完成",项目总控台账!AB60&lt;1),"已完成但进度不足100%；",""))</f>
        <v/>
      </c>
      <c r="H61" s="8" t="str">
        <f t="shared" si="0"/>
        <v>通过</v>
      </c>
      <c r="I61" s="8" t="str">
        <f t="shared" si="1"/>
        <v>无需处理</v>
      </c>
      <c r="J61" s="8">
        <v>60</v>
      </c>
    </row>
    <row r="62" spans="1:10">
      <c r="A62" s="8" t="s">
        <v>1623</v>
      </c>
      <c r="B62" s="8" t="str">
        <f>项目总控台账!A61</f>
        <v>T058</v>
      </c>
      <c r="C62" s="8" t="str">
        <f>IF(AND(项目总控台账!E61&lt;&gt;"",项目总控台账!E61&lt;&gt;"/"),项目总控台账!E61,IF(AND(项目总控台账!D61&lt;&gt;"",项目总控台账!D61&lt;&gt;"/"),项目总控台账!D61,项目总控台账!C61))</f>
        <v>OCR识别及编辑</v>
      </c>
      <c r="D62" s="8" t="str">
        <f>项目总控台账!H61</f>
        <v>郑士旺</v>
      </c>
      <c r="E62" s="25">
        <f>项目总控台账!I61</f>
        <v>46195</v>
      </c>
      <c r="F62" s="25">
        <f>项目总控台账!J61</f>
        <v>46224</v>
      </c>
      <c r="G62" s="8" t="str">
        <f>IF(B62="","",IF(OR(C62="",C62="/"),"缺少任务名称；","")&amp;IF(OR(D62="",D62="/"),"缺少有效主责人；","")&amp;IF(OR(E62="",E62&lt;DATE(2000,1,1)),"缺少有效计划开始；","")&amp;IF(OR(F62="",F62&lt;DATE(2000,1,1)),"缺少有效计划完成；","")&amp;IF(项目总控台账!G61="","缺少总体状态；","")&amp;IF(AND(ISNUMBER(E62),ISNUMBER(F62),E62&gt;=DATE(2000,1,1),F62&gt;=DATE(2000,1,1),E62&gt;F62),"开始晚于完成；","")&amp;IF(AND(项目总控台账!G61="已完成",项目总控台账!AB61&lt;1),"已完成但进度不足100%；",""))</f>
        <v/>
      </c>
      <c r="H62" s="8" t="str">
        <f t="shared" si="0"/>
        <v>通过</v>
      </c>
      <c r="I62" s="8" t="str">
        <f t="shared" si="1"/>
        <v>无需处理</v>
      </c>
      <c r="J62" s="8">
        <v>61</v>
      </c>
    </row>
    <row r="63" spans="1:10">
      <c r="A63" s="8" t="s">
        <v>1623</v>
      </c>
      <c r="B63" s="8" t="str">
        <f>项目总控台账!A62</f>
        <v>T059</v>
      </c>
      <c r="C63" s="8" t="str">
        <f>IF(AND(项目总控台账!E62&lt;&gt;"",项目总控台账!E62&lt;&gt;"/"),项目总控台账!E62,IF(AND(项目总控台账!D62&lt;&gt;"",项目总控台账!D62&lt;&gt;"/"),项目总控台账!D62,项目总控台账!C62))</f>
        <v>优化新增装车作业信息</v>
      </c>
      <c r="D63" s="8" t="str">
        <f>项目总控台账!H62</f>
        <v>郑士旺</v>
      </c>
      <c r="E63" s="25">
        <f>项目总控台账!I62</f>
        <v>46230</v>
      </c>
      <c r="F63" s="25">
        <f>项目总控台账!J62</f>
        <v>46318</v>
      </c>
      <c r="G63" s="8" t="str">
        <f>IF(B63="","",IF(OR(C63="",C63="/"),"缺少任务名称；","")&amp;IF(OR(D63="",D63="/"),"缺少有效主责人；","")&amp;IF(OR(E63="",E63&lt;DATE(2000,1,1)),"缺少有效计划开始；","")&amp;IF(OR(F63="",F63&lt;DATE(2000,1,1)),"缺少有效计划完成；","")&amp;IF(项目总控台账!G62="","缺少总体状态；","")&amp;IF(AND(ISNUMBER(E63),ISNUMBER(F63),E63&gt;=DATE(2000,1,1),F63&gt;=DATE(2000,1,1),E63&gt;F63),"开始晚于完成；","")&amp;IF(AND(项目总控台账!G62="已完成",项目总控台账!AB62&lt;1),"已完成但进度不足100%；",""))</f>
        <v/>
      </c>
      <c r="H63" s="8" t="str">
        <f t="shared" si="0"/>
        <v>通过</v>
      </c>
      <c r="I63" s="8" t="str">
        <f t="shared" si="1"/>
        <v>无需处理</v>
      </c>
      <c r="J63" s="8">
        <v>62</v>
      </c>
    </row>
    <row r="64" spans="1:10">
      <c r="A64" s="8" t="s">
        <v>1623</v>
      </c>
      <c r="B64" s="8" t="str">
        <f>项目总控台账!A63</f>
        <v>T060</v>
      </c>
      <c r="C64" s="8" t="str">
        <f>IF(AND(项目总控台账!E63&lt;&gt;"",项目总控台账!E63&lt;&gt;"/"),项目总控台账!E63,IF(AND(项目总控台账!D63&lt;&gt;"",项目总控台账!D63&lt;&gt;"/"),项目总控台账!D63,项目总控台账!C63))</f>
        <v>货权录入</v>
      </c>
      <c r="D64" s="8" t="str">
        <f>项目总控台账!H63</f>
        <v>郑士旺</v>
      </c>
      <c r="E64" s="25">
        <f>项目总控台账!I63</f>
        <v>46202</v>
      </c>
      <c r="F64" s="25">
        <f>项目总控台账!J63</f>
        <v>46261</v>
      </c>
      <c r="G64" s="8" t="str">
        <f>IF(B64="","",IF(OR(C64="",C64="/"),"缺少任务名称；","")&amp;IF(OR(D64="",D64="/"),"缺少有效主责人；","")&amp;IF(OR(E64="",E64&lt;DATE(2000,1,1)),"缺少有效计划开始；","")&amp;IF(OR(F64="",F64&lt;DATE(2000,1,1)),"缺少有效计划完成；","")&amp;IF(项目总控台账!G63="","缺少总体状态；","")&amp;IF(AND(ISNUMBER(E64),ISNUMBER(F64),E64&gt;=DATE(2000,1,1),F64&gt;=DATE(2000,1,1),E64&gt;F64),"开始晚于完成；","")&amp;IF(AND(项目总控台账!G63="已完成",项目总控台账!AB63&lt;1),"已完成但进度不足100%；",""))</f>
        <v/>
      </c>
      <c r="H64" s="8" t="str">
        <f t="shared" si="0"/>
        <v>通过</v>
      </c>
      <c r="I64" s="8" t="str">
        <f t="shared" si="1"/>
        <v>无需处理</v>
      </c>
      <c r="J64" s="8">
        <v>63</v>
      </c>
    </row>
    <row r="65" spans="1:10">
      <c r="A65" s="8" t="s">
        <v>1623</v>
      </c>
      <c r="B65" s="8" t="str">
        <f>项目总控台账!A64</f>
        <v>T061</v>
      </c>
      <c r="C65" s="8" t="str">
        <f>IF(AND(项目总控台账!E64&lt;&gt;"",项目总控台账!E64&lt;&gt;"/"),项目总控台账!E64,IF(AND(项目总控台账!D64&lt;&gt;"",项目总控台账!D64&lt;&gt;"/"),项目总控台账!D64,项目总控台账!C64))</f>
        <v>货权修改</v>
      </c>
      <c r="D65" s="8" t="str">
        <f>项目总控台账!H64</f>
        <v>郑士旺</v>
      </c>
      <c r="E65" s="25">
        <f>项目总控台账!I64</f>
        <v>46202</v>
      </c>
      <c r="F65" s="25">
        <f>项目总控台账!J64</f>
        <v>46261</v>
      </c>
      <c r="G65" s="8" t="str">
        <f>IF(B65="","",IF(OR(C65="",C65="/"),"缺少任务名称；","")&amp;IF(OR(D65="",D65="/"),"缺少有效主责人；","")&amp;IF(OR(E65="",E65&lt;DATE(2000,1,1)),"缺少有效计划开始；","")&amp;IF(OR(F65="",F65&lt;DATE(2000,1,1)),"缺少有效计划完成；","")&amp;IF(项目总控台账!G64="","缺少总体状态；","")&amp;IF(AND(ISNUMBER(E65),ISNUMBER(F65),E65&gt;=DATE(2000,1,1),F65&gt;=DATE(2000,1,1),E65&gt;F65),"开始晚于完成；","")&amp;IF(AND(项目总控台账!G64="已完成",项目总控台账!AB64&lt;1),"已完成但进度不足100%；",""))</f>
        <v/>
      </c>
      <c r="H65" s="8" t="str">
        <f t="shared" si="0"/>
        <v>通过</v>
      </c>
      <c r="I65" s="8" t="str">
        <f t="shared" si="1"/>
        <v>无需处理</v>
      </c>
      <c r="J65" s="8">
        <v>64</v>
      </c>
    </row>
    <row r="66" spans="1:10">
      <c r="A66" s="8" t="s">
        <v>1623</v>
      </c>
      <c r="B66" s="8" t="str">
        <f>项目总控台账!A65</f>
        <v>T062</v>
      </c>
      <c r="C66" s="8" t="str">
        <f>IF(AND(项目总控台账!E65&lt;&gt;"",项目总控台账!E65&lt;&gt;"/"),项目总控台账!E65,IF(AND(项目总控台账!D65&lt;&gt;"",项目总控台账!D65&lt;&gt;"/"),项目总控台账!D65,项目总控台账!C65))</f>
        <v>获取查询</v>
      </c>
      <c r="D66" s="8" t="str">
        <f>项目总控台账!H65</f>
        <v>郑士旺</v>
      </c>
      <c r="E66" s="25">
        <f>项目总控台账!I65</f>
        <v>46202</v>
      </c>
      <c r="F66" s="25">
        <f>项目总控台账!J65</f>
        <v>46261</v>
      </c>
      <c r="G66" s="8" t="str">
        <f>IF(B66="","",IF(OR(C66="",C66="/"),"缺少任务名称；","")&amp;IF(OR(D66="",D66="/"),"缺少有效主责人；","")&amp;IF(OR(E66="",E66&lt;DATE(2000,1,1)),"缺少有效计划开始；","")&amp;IF(OR(F66="",F66&lt;DATE(2000,1,1)),"缺少有效计划完成；","")&amp;IF(项目总控台账!G65="","缺少总体状态；","")&amp;IF(AND(ISNUMBER(E66),ISNUMBER(F66),E66&gt;=DATE(2000,1,1),F66&gt;=DATE(2000,1,1),E66&gt;F66),"开始晚于完成；","")&amp;IF(AND(项目总控台账!G65="已完成",项目总控台账!AB65&lt;1),"已完成但进度不足100%；",""))</f>
        <v/>
      </c>
      <c r="H66" s="8" t="str">
        <f t="shared" si="0"/>
        <v>通过</v>
      </c>
      <c r="I66" s="8" t="str">
        <f t="shared" si="1"/>
        <v>无需处理</v>
      </c>
      <c r="J66" s="8">
        <v>65</v>
      </c>
    </row>
    <row r="67" spans="1:10">
      <c r="A67" s="8" t="s">
        <v>1623</v>
      </c>
      <c r="B67" s="8" t="str">
        <f>项目总控台账!A66</f>
        <v>T063</v>
      </c>
      <c r="C67" s="8" t="str">
        <f>IF(AND(项目总控台账!E66&lt;&gt;"",项目总控台账!E66&lt;&gt;"/"),项目总控台账!E66,IF(AND(项目总控台账!D66&lt;&gt;"",项目总控台账!D66&lt;&gt;"/"),项目总控台账!D66,项目总控台账!C66))</f>
        <v>卸船作业货权跟踪</v>
      </c>
      <c r="D67" s="8" t="str">
        <f>项目总控台账!H66</f>
        <v>郑士旺</v>
      </c>
      <c r="E67" s="25">
        <f>项目总控台账!I66</f>
        <v>46202</v>
      </c>
      <c r="F67" s="25">
        <f>项目总控台账!J66</f>
        <v>46261</v>
      </c>
      <c r="G67" s="8" t="str">
        <f>IF(B67="","",IF(OR(C67="",C67="/"),"缺少任务名称；","")&amp;IF(OR(D67="",D67="/"),"缺少有效主责人；","")&amp;IF(OR(E67="",E67&lt;DATE(2000,1,1)),"缺少有效计划开始；","")&amp;IF(OR(F67="",F67&lt;DATE(2000,1,1)),"缺少有效计划完成；","")&amp;IF(项目总控台账!G66="","缺少总体状态；","")&amp;IF(AND(ISNUMBER(E67),ISNUMBER(F67),E67&gt;=DATE(2000,1,1),F67&gt;=DATE(2000,1,1),E67&gt;F67),"开始晚于完成；","")&amp;IF(AND(项目总控台账!G66="已完成",项目总控台账!AB66&lt;1),"已完成但进度不足100%；",""))</f>
        <v/>
      </c>
      <c r="H67" s="8" t="str">
        <f t="shared" si="0"/>
        <v>通过</v>
      </c>
      <c r="I67" s="8" t="str">
        <f t="shared" si="1"/>
        <v>无需处理</v>
      </c>
      <c r="J67" s="8">
        <v>66</v>
      </c>
    </row>
    <row r="68" spans="1:10">
      <c r="A68" s="8" t="s">
        <v>1623</v>
      </c>
      <c r="B68" s="8" t="str">
        <f>项目总控台账!A67</f>
        <v>T064</v>
      </c>
      <c r="C68" s="8" t="str">
        <f>IF(AND(项目总控台账!E67&lt;&gt;"",项目总控台账!E67&lt;&gt;"/"),项目总控台账!E67,IF(AND(项目总控台账!D67&lt;&gt;"",项目总控台账!D67&lt;&gt;"/"),项目总控台账!D67,项目总控台账!C67))</f>
        <v>卸船作业货权跟踪</v>
      </c>
      <c r="D68" s="8" t="str">
        <f>项目总控台账!H67</f>
        <v>郑士旺</v>
      </c>
      <c r="E68" s="25">
        <f>项目总控台账!I67</f>
        <v>46202</v>
      </c>
      <c r="F68" s="25">
        <f>项目总控台账!J67</f>
        <v>46261</v>
      </c>
      <c r="G68" s="8" t="str">
        <f>IF(B68="","",IF(OR(C68="",C68="/"),"缺少任务名称；","")&amp;IF(OR(D68="",D68="/"),"缺少有效主责人；","")&amp;IF(OR(E68="",E68&lt;DATE(2000,1,1)),"缺少有效计划开始；","")&amp;IF(OR(F68="",F68&lt;DATE(2000,1,1)),"缺少有效计划完成；","")&amp;IF(项目总控台账!G67="","缺少总体状态；","")&amp;IF(AND(ISNUMBER(E68),ISNUMBER(F68),E68&gt;=DATE(2000,1,1),F68&gt;=DATE(2000,1,1),E68&gt;F68),"开始晚于完成；","")&amp;IF(AND(项目总控台账!G67="已完成",项目总控台账!AB67&lt;1),"已完成但进度不足100%；",""))</f>
        <v/>
      </c>
      <c r="H68" s="8" t="str">
        <f t="shared" si="0"/>
        <v>通过</v>
      </c>
      <c r="I68" s="8" t="str">
        <f t="shared" si="1"/>
        <v>无需处理</v>
      </c>
      <c r="J68" s="8">
        <v>67</v>
      </c>
    </row>
    <row r="69" spans="1:10">
      <c r="A69" s="8" t="s">
        <v>1623</v>
      </c>
      <c r="B69" s="8" t="str">
        <f>项目总控台账!A68</f>
        <v>T065</v>
      </c>
      <c r="C69" s="8" t="str">
        <f>IF(AND(项目总控台账!E68&lt;&gt;"",项目总控台账!E68&lt;&gt;"/"),项目总控台账!E68,IF(AND(项目总控台账!D68&lt;&gt;"",项目总控台账!D68&lt;&gt;"/"),项目总控台账!D68,项目总控台账!C68))</f>
        <v>装船作业货权跟踪</v>
      </c>
      <c r="D69" s="8" t="str">
        <f>项目总控台账!H68</f>
        <v>郑士旺</v>
      </c>
      <c r="E69" s="25">
        <f>项目总控台账!I68</f>
        <v>46202</v>
      </c>
      <c r="F69" s="25">
        <f>项目总控台账!J68</f>
        <v>46261</v>
      </c>
      <c r="G69" s="8" t="str">
        <f>IF(B69="","",IF(OR(C69="",C69="/"),"缺少任务名称；","")&amp;IF(OR(D69="",D69="/"),"缺少有效主责人；","")&amp;IF(OR(E69="",E69&lt;DATE(2000,1,1)),"缺少有效计划开始；","")&amp;IF(OR(F69="",F69&lt;DATE(2000,1,1)),"缺少有效计划完成；","")&amp;IF(项目总控台账!G68="","缺少总体状态；","")&amp;IF(AND(ISNUMBER(E69),ISNUMBER(F69),E69&gt;=DATE(2000,1,1),F69&gt;=DATE(2000,1,1),E69&gt;F69),"开始晚于完成；","")&amp;IF(AND(项目总控台账!G68="已完成",项目总控台账!AB68&lt;1),"已完成但进度不足100%；",""))</f>
        <v/>
      </c>
      <c r="H69" s="8" t="str">
        <f t="shared" ref="H69:H132" si="2">IF(B69="","",IF(G69="","通过","需整改"))</f>
        <v>通过</v>
      </c>
      <c r="I69" s="8" t="str">
        <f t="shared" ref="I69:I132" si="3">IF(H69="需整改","回到项目总控台账第"&amp;J69&amp;"行补齐或修正","无需处理")</f>
        <v>无需处理</v>
      </c>
      <c r="J69" s="8">
        <v>68</v>
      </c>
    </row>
    <row r="70" spans="1:10">
      <c r="A70" s="8" t="s">
        <v>1623</v>
      </c>
      <c r="B70" s="8" t="str">
        <f>项目总控台账!A69</f>
        <v>T066</v>
      </c>
      <c r="C70" s="8" t="str">
        <f>IF(AND(项目总控台账!E69&lt;&gt;"",项目总控台账!E69&lt;&gt;"/"),项目总控台账!E69,IF(AND(项目总控台账!D69&lt;&gt;"",项目总控台账!D69&lt;&gt;"/"),项目总控台账!D69,项目总控台账!C69))</f>
        <v>装船作业货权跟踪</v>
      </c>
      <c r="D70" s="8" t="str">
        <f>项目总控台账!H69</f>
        <v>郑士旺</v>
      </c>
      <c r="E70" s="25">
        <f>项目总控台账!I69</f>
        <v>46202</v>
      </c>
      <c r="F70" s="25">
        <f>项目总控台账!J69</f>
        <v>46261</v>
      </c>
      <c r="G70" s="8" t="str">
        <f>IF(B70="","",IF(OR(C70="",C70="/"),"缺少任务名称；","")&amp;IF(OR(D70="",D70="/"),"缺少有效主责人；","")&amp;IF(OR(E70="",E70&lt;DATE(2000,1,1)),"缺少有效计划开始；","")&amp;IF(OR(F70="",F70&lt;DATE(2000,1,1)),"缺少有效计划完成；","")&amp;IF(项目总控台账!G69="","缺少总体状态；","")&amp;IF(AND(ISNUMBER(E70),ISNUMBER(F70),E70&gt;=DATE(2000,1,1),F70&gt;=DATE(2000,1,1),E70&gt;F70),"开始晚于完成；","")&amp;IF(AND(项目总控台账!G69="已完成",项目总控台账!AB69&lt;1),"已完成但进度不足100%；",""))</f>
        <v/>
      </c>
      <c r="H70" s="8" t="str">
        <f t="shared" si="2"/>
        <v>通过</v>
      </c>
      <c r="I70" s="8" t="str">
        <f t="shared" si="3"/>
        <v>无需处理</v>
      </c>
      <c r="J70" s="8">
        <v>69</v>
      </c>
    </row>
    <row r="71" spans="1:10">
      <c r="A71" s="8" t="s">
        <v>1623</v>
      </c>
      <c r="B71" s="8" t="str">
        <f>项目总控台账!A70</f>
        <v>T067</v>
      </c>
      <c r="C71" s="8" t="str">
        <f>IF(AND(项目总控台账!E70&lt;&gt;"",项目总控台账!E70&lt;&gt;"/"),项目总控台账!E70,IF(AND(项目总控台账!D70&lt;&gt;"",项目总控台账!D70&lt;&gt;"/"),项目总控台账!D70,项目总控台账!C70))</f>
        <v>装船作业货权跟踪</v>
      </c>
      <c r="D71" s="8" t="str">
        <f>项目总控台账!H70</f>
        <v>郑士旺</v>
      </c>
      <c r="E71" s="25">
        <f>项目总控台账!I70</f>
        <v>46202</v>
      </c>
      <c r="F71" s="25">
        <f>项目总控台账!J70</f>
        <v>46261</v>
      </c>
      <c r="G71" s="8" t="str">
        <f>IF(B71="","",IF(OR(C71="",C71="/"),"缺少任务名称；","")&amp;IF(OR(D71="",D71="/"),"缺少有效主责人；","")&amp;IF(OR(E71="",E71&lt;DATE(2000,1,1)),"缺少有效计划开始；","")&amp;IF(OR(F71="",F71&lt;DATE(2000,1,1)),"缺少有效计划完成；","")&amp;IF(项目总控台账!G70="","缺少总体状态；","")&amp;IF(AND(ISNUMBER(E71),ISNUMBER(F71),E71&gt;=DATE(2000,1,1),F71&gt;=DATE(2000,1,1),E71&gt;F71),"开始晚于完成；","")&amp;IF(AND(项目总控台账!G70="已完成",项目总控台账!AB70&lt;1),"已完成但进度不足100%；",""))</f>
        <v/>
      </c>
      <c r="H71" s="8" t="str">
        <f t="shared" si="2"/>
        <v>通过</v>
      </c>
      <c r="I71" s="8" t="str">
        <f t="shared" si="3"/>
        <v>无需处理</v>
      </c>
      <c r="J71" s="8">
        <v>70</v>
      </c>
    </row>
    <row r="72" spans="1:10">
      <c r="A72" s="8" t="s">
        <v>1623</v>
      </c>
      <c r="B72" s="8" t="str">
        <f>项目总控台账!A71</f>
        <v>T068</v>
      </c>
      <c r="C72" s="8" t="str">
        <f>IF(AND(项目总控台账!E71&lt;&gt;"",项目总控台账!E71&lt;&gt;"/"),项目总控台账!E71,IF(AND(项目总控台账!D71&lt;&gt;"",项目总控台账!D71&lt;&gt;"/"),项目总控台账!D71,项目总控台账!C71))</f>
        <v>装船作业货权跟踪</v>
      </c>
      <c r="D72" s="8" t="str">
        <f>项目总控台账!H71</f>
        <v>郑士旺</v>
      </c>
      <c r="E72" s="25">
        <f>项目总控台账!I71</f>
        <v>46202</v>
      </c>
      <c r="F72" s="25">
        <f>项目总控台账!J71</f>
        <v>46261</v>
      </c>
      <c r="G72" s="8" t="str">
        <f>IF(B72="","",IF(OR(C72="",C72="/"),"缺少任务名称；","")&amp;IF(OR(D72="",D72="/"),"缺少有效主责人；","")&amp;IF(OR(E72="",E72&lt;DATE(2000,1,1)),"缺少有效计划开始；","")&amp;IF(OR(F72="",F72&lt;DATE(2000,1,1)),"缺少有效计划完成；","")&amp;IF(项目总控台账!G71="","缺少总体状态；","")&amp;IF(AND(ISNUMBER(E72),ISNUMBER(F72),E72&gt;=DATE(2000,1,1),F72&gt;=DATE(2000,1,1),E72&gt;F72),"开始晚于完成；","")&amp;IF(AND(项目总控台账!G71="已完成",项目总控台账!AB71&lt;1),"已完成但进度不足100%；",""))</f>
        <v/>
      </c>
      <c r="H72" s="8" t="str">
        <f t="shared" si="2"/>
        <v>通过</v>
      </c>
      <c r="I72" s="8" t="str">
        <f t="shared" si="3"/>
        <v>无需处理</v>
      </c>
      <c r="J72" s="8">
        <v>71</v>
      </c>
    </row>
    <row r="73" spans="1:10">
      <c r="A73" s="8" t="s">
        <v>1623</v>
      </c>
      <c r="B73" s="8" t="str">
        <f>项目总控台账!A72</f>
        <v>T069</v>
      </c>
      <c r="C73" s="8" t="str">
        <f>IF(AND(项目总控台账!E72&lt;&gt;"",项目总控台账!E72&lt;&gt;"/"),项目总控台账!E72,IF(AND(项目总控台账!D72&lt;&gt;"",项目总控台账!D72&lt;&gt;"/"),项目总控台账!D72,项目总控台账!C72))</f>
        <v>新增、详情、修改页内容调整</v>
      </c>
      <c r="D73" s="8" t="str">
        <f>项目总控台账!H72</f>
        <v>郑士旺</v>
      </c>
      <c r="E73" s="25">
        <f>项目总控台账!I72</f>
        <v>46195</v>
      </c>
      <c r="F73" s="25">
        <f>项目总控台账!J72</f>
        <v>46224</v>
      </c>
      <c r="G73" s="8" t="str">
        <f>IF(B73="","",IF(OR(C73="",C73="/"),"缺少任务名称；","")&amp;IF(OR(D73="",D73="/"),"缺少有效主责人；","")&amp;IF(OR(E73="",E73&lt;DATE(2000,1,1)),"缺少有效计划开始；","")&amp;IF(OR(F73="",F73&lt;DATE(2000,1,1)),"缺少有效计划完成；","")&amp;IF(项目总控台账!G72="","缺少总体状态；","")&amp;IF(AND(ISNUMBER(E73),ISNUMBER(F73),E73&gt;=DATE(2000,1,1),F73&gt;=DATE(2000,1,1),E73&gt;F73),"开始晚于完成；","")&amp;IF(AND(项目总控台账!G72="已完成",项目总控台账!AB72&lt;1),"已完成但进度不足100%；",""))</f>
        <v/>
      </c>
      <c r="H73" s="8" t="str">
        <f t="shared" si="2"/>
        <v>通过</v>
      </c>
      <c r="I73" s="8" t="str">
        <f t="shared" si="3"/>
        <v>无需处理</v>
      </c>
      <c r="J73" s="8">
        <v>72</v>
      </c>
    </row>
    <row r="74" spans="1:10">
      <c r="A74" s="8" t="s">
        <v>1623</v>
      </c>
      <c r="B74" s="8" t="str">
        <f>项目总控台账!A73</f>
        <v>T070</v>
      </c>
      <c r="C74" s="8" t="str">
        <f>IF(AND(项目总控台账!E73&lt;&gt;"",项目总控台账!E73&lt;&gt;"/"),项目总控台账!E73,IF(AND(项目总控台账!D73&lt;&gt;"",项目总控台账!D73&lt;&gt;"/"),项目总控台账!D73,项目总控台账!C73))</f>
        <v>生成报告</v>
      </c>
      <c r="D74" s="8" t="str">
        <f>项目总控台账!H73</f>
        <v>郑士旺</v>
      </c>
      <c r="E74" s="25">
        <f>项目总控台账!I73</f>
        <v>46195</v>
      </c>
      <c r="F74" s="25">
        <f>项目总控台账!J73</f>
        <v>46224</v>
      </c>
      <c r="G74" s="8" t="str">
        <f>IF(B74="","",IF(OR(C74="",C74="/"),"缺少任务名称；","")&amp;IF(OR(D74="",D74="/"),"缺少有效主责人；","")&amp;IF(OR(E74="",E74&lt;DATE(2000,1,1)),"缺少有效计划开始；","")&amp;IF(OR(F74="",F74&lt;DATE(2000,1,1)),"缺少有效计划完成；","")&amp;IF(项目总控台账!G73="","缺少总体状态；","")&amp;IF(AND(ISNUMBER(E74),ISNUMBER(F74),E74&gt;=DATE(2000,1,1),F74&gt;=DATE(2000,1,1),E74&gt;F74),"开始晚于完成；","")&amp;IF(AND(项目总控台账!G73="已完成",项目总控台账!AB73&lt;1),"已完成但进度不足100%；",""))</f>
        <v/>
      </c>
      <c r="H74" s="8" t="str">
        <f t="shared" si="2"/>
        <v>通过</v>
      </c>
      <c r="I74" s="8" t="str">
        <f t="shared" si="3"/>
        <v>无需处理</v>
      </c>
      <c r="J74" s="8">
        <v>73</v>
      </c>
    </row>
    <row r="75" spans="1:10">
      <c r="A75" s="8" t="s">
        <v>1623</v>
      </c>
      <c r="B75" s="8" t="str">
        <f>项目总控台账!A74</f>
        <v>T071</v>
      </c>
      <c r="C75" s="8" t="str">
        <f>IF(AND(项目总控台账!E74&lt;&gt;"",项目总控台账!E74&lt;&gt;"/"),项目总控台账!E74,IF(AND(项目总控台账!D74&lt;&gt;"",项目总控台账!D74&lt;&gt;"/"),项目总控台账!D74,项目总控台账!C74))</f>
        <v>装船作业信息录入优化（太仓）</v>
      </c>
      <c r="D75" s="8" t="str">
        <f>项目总控台账!H74</f>
        <v>郑士旺</v>
      </c>
      <c r="E75" s="25">
        <f>项目总控台账!I74</f>
        <v>46195</v>
      </c>
      <c r="F75" s="25">
        <f>项目总控台账!J74</f>
        <v>46224</v>
      </c>
      <c r="G75" s="8" t="str">
        <f>IF(B75="","",IF(OR(C75="",C75="/"),"缺少任务名称；","")&amp;IF(OR(D75="",D75="/"),"缺少有效主责人；","")&amp;IF(OR(E75="",E75&lt;DATE(2000,1,1)),"缺少有效计划开始；","")&amp;IF(OR(F75="",F75&lt;DATE(2000,1,1)),"缺少有效计划完成；","")&amp;IF(项目总控台账!G74="","缺少总体状态；","")&amp;IF(AND(ISNUMBER(E75),ISNUMBER(F75),E75&gt;=DATE(2000,1,1),F75&gt;=DATE(2000,1,1),E75&gt;F75),"开始晚于完成；","")&amp;IF(AND(项目总控台账!G74="已完成",项目总控台账!AB74&lt;1),"已完成但进度不足100%；",""))</f>
        <v/>
      </c>
      <c r="H75" s="8" t="str">
        <f t="shared" si="2"/>
        <v>通过</v>
      </c>
      <c r="I75" s="8" t="str">
        <f t="shared" si="3"/>
        <v>无需处理</v>
      </c>
      <c r="J75" s="8">
        <v>74</v>
      </c>
    </row>
    <row r="76" spans="1:10">
      <c r="A76" s="8" t="s">
        <v>1623</v>
      </c>
      <c r="B76" s="8" t="str">
        <f>项目总控台账!A75</f>
        <v>T072</v>
      </c>
      <c r="C76" s="8" t="str">
        <f>IF(AND(项目总控台账!E75&lt;&gt;"",项目总控台账!E75&lt;&gt;"/"),项目总控台账!E75,IF(AND(项目总控台账!D75&lt;&gt;"",项目总控台账!D75&lt;&gt;"/"),项目总控台账!D75,项目总控台账!C75))</f>
        <v>OCR识别</v>
      </c>
      <c r="D76" s="8" t="str">
        <f>项目总控台账!H75</f>
        <v>郑士旺</v>
      </c>
      <c r="E76" s="25">
        <f>项目总控台账!I75</f>
        <v>46202</v>
      </c>
      <c r="F76" s="25">
        <f>项目总控台账!J75</f>
        <v>46234</v>
      </c>
      <c r="G76" s="8" t="str">
        <f>IF(B76="","",IF(OR(C76="",C76="/"),"缺少任务名称；","")&amp;IF(OR(D76="",D76="/"),"缺少有效主责人；","")&amp;IF(OR(E76="",E76&lt;DATE(2000,1,1)),"缺少有效计划开始；","")&amp;IF(OR(F76="",F76&lt;DATE(2000,1,1)),"缺少有效计划完成；","")&amp;IF(项目总控台账!G75="","缺少总体状态；","")&amp;IF(AND(ISNUMBER(E76),ISNUMBER(F76),E76&gt;=DATE(2000,1,1),F76&gt;=DATE(2000,1,1),E76&gt;F76),"开始晚于完成；","")&amp;IF(AND(项目总控台账!G75="已完成",项目总控台账!AB75&lt;1),"已完成但进度不足100%；",""))</f>
        <v/>
      </c>
      <c r="H76" s="8" t="str">
        <f t="shared" si="2"/>
        <v>通过</v>
      </c>
      <c r="I76" s="8" t="str">
        <f t="shared" si="3"/>
        <v>无需处理</v>
      </c>
      <c r="J76" s="8">
        <v>75</v>
      </c>
    </row>
    <row r="77" spans="1:10">
      <c r="A77" s="8" t="s">
        <v>1623</v>
      </c>
      <c r="B77" s="8" t="str">
        <f>项目总控台账!A76</f>
        <v>T073</v>
      </c>
      <c r="C77" s="8" t="str">
        <f>IF(AND(项目总控台账!E76&lt;&gt;"",项目总控台账!E76&lt;&gt;"/"),项目总控台账!E76,IF(AND(项目总控台账!D76&lt;&gt;"",项目总控台账!D76&lt;&gt;"/"),项目总控台账!D76,项目总控台账!C76))</f>
        <v>采样作业信息录入新增</v>
      </c>
      <c r="D77" s="8" t="str">
        <f>项目总控台账!H76</f>
        <v>郑士旺</v>
      </c>
      <c r="E77" s="25">
        <f>项目总控台账!I76</f>
        <v>46202</v>
      </c>
      <c r="F77" s="25">
        <f>项目总控台账!J76</f>
        <v>46224</v>
      </c>
      <c r="G77" s="8" t="str">
        <f>IF(B77="","",IF(OR(C77="",C77="/"),"缺少任务名称；","")&amp;IF(OR(D77="",D77="/"),"缺少有效主责人；","")&amp;IF(OR(E77="",E77&lt;DATE(2000,1,1)),"缺少有效计划开始；","")&amp;IF(OR(F77="",F77&lt;DATE(2000,1,1)),"缺少有效计划完成；","")&amp;IF(项目总控台账!G76="","缺少总体状态；","")&amp;IF(AND(ISNUMBER(E77),ISNUMBER(F77),E77&gt;=DATE(2000,1,1),F77&gt;=DATE(2000,1,1),E77&gt;F77),"开始晚于完成；","")&amp;IF(AND(项目总控台账!G76="已完成",项目总控台账!AB76&lt;1),"已完成但进度不足100%；",""))</f>
        <v/>
      </c>
      <c r="H77" s="8" t="str">
        <f t="shared" si="2"/>
        <v>通过</v>
      </c>
      <c r="I77" s="8" t="str">
        <f t="shared" si="3"/>
        <v>无需处理</v>
      </c>
      <c r="J77" s="8">
        <v>76</v>
      </c>
    </row>
    <row r="78" spans="1:10">
      <c r="A78" s="8" t="s">
        <v>1623</v>
      </c>
      <c r="B78" s="8" t="str">
        <f>项目总控台账!A77</f>
        <v>T074</v>
      </c>
      <c r="C78" s="8" t="str">
        <f>IF(AND(项目总控台账!E77&lt;&gt;"",项目总控台账!E77&lt;&gt;"/"),项目总控台账!E77,IF(AND(项目总控台账!D77&lt;&gt;"",项目总控台账!D77&lt;&gt;"/"),项目总控台账!D77,项目总控台账!C77))</f>
        <v>采样作业信息录入编辑</v>
      </c>
      <c r="D78" s="8" t="str">
        <f>项目总控台账!H77</f>
        <v>郑士旺</v>
      </c>
      <c r="E78" s="25">
        <f>项目总控台账!I77</f>
        <v>46202</v>
      </c>
      <c r="F78" s="25">
        <f>项目总控台账!J77</f>
        <v>46224</v>
      </c>
      <c r="G78" s="8" t="str">
        <f>IF(B78="","",IF(OR(C78="",C78="/"),"缺少任务名称；","")&amp;IF(OR(D78="",D78="/"),"缺少有效主责人；","")&amp;IF(OR(E78="",E78&lt;DATE(2000,1,1)),"缺少有效计划开始；","")&amp;IF(OR(F78="",F78&lt;DATE(2000,1,1)),"缺少有效计划完成；","")&amp;IF(项目总控台账!G77="","缺少总体状态；","")&amp;IF(AND(ISNUMBER(E78),ISNUMBER(F78),E78&gt;=DATE(2000,1,1),F78&gt;=DATE(2000,1,1),E78&gt;F78),"开始晚于完成；","")&amp;IF(AND(项目总控台账!G77="已完成",项目总控台账!AB77&lt;1),"已完成但进度不足100%；",""))</f>
        <v/>
      </c>
      <c r="H78" s="8" t="str">
        <f t="shared" si="2"/>
        <v>通过</v>
      </c>
      <c r="I78" s="8" t="str">
        <f t="shared" si="3"/>
        <v>无需处理</v>
      </c>
      <c r="J78" s="8">
        <v>77</v>
      </c>
    </row>
    <row r="79" spans="1:10">
      <c r="A79" s="8" t="s">
        <v>1623</v>
      </c>
      <c r="B79" s="8" t="str">
        <f>项目总控台账!A78</f>
        <v>T075</v>
      </c>
      <c r="C79" s="8" t="str">
        <f>IF(AND(项目总控台账!E78&lt;&gt;"",项目总控台账!E78&lt;&gt;"/"),项目总控台账!E78,IF(AND(项目总控台账!D78&lt;&gt;"",项目总控台账!D78&lt;&gt;"/"),项目总控台账!D78,项目总控台账!C78))</f>
        <v>采样作业信息录入详情</v>
      </c>
      <c r="D79" s="8" t="str">
        <f>项目总控台账!H78</f>
        <v>郑士旺</v>
      </c>
      <c r="E79" s="25">
        <f>项目总控台账!I78</f>
        <v>46202</v>
      </c>
      <c r="F79" s="25">
        <f>项目总控台账!J78</f>
        <v>46224</v>
      </c>
      <c r="G79" s="8" t="str">
        <f>IF(B79="","",IF(OR(C79="",C79="/"),"缺少任务名称；","")&amp;IF(OR(D79="",D79="/"),"缺少有效主责人；","")&amp;IF(OR(E79="",E79&lt;DATE(2000,1,1)),"缺少有效计划开始；","")&amp;IF(OR(F79="",F79&lt;DATE(2000,1,1)),"缺少有效计划完成；","")&amp;IF(项目总控台账!G78="","缺少总体状态；","")&amp;IF(AND(ISNUMBER(E79),ISNUMBER(F79),E79&gt;=DATE(2000,1,1),F79&gt;=DATE(2000,1,1),E79&gt;F79),"开始晚于完成；","")&amp;IF(AND(项目总控台账!G78="已完成",项目总控台账!AB78&lt;1),"已完成但进度不足100%；",""))</f>
        <v/>
      </c>
      <c r="H79" s="8" t="str">
        <f t="shared" si="2"/>
        <v>通过</v>
      </c>
      <c r="I79" s="8" t="str">
        <f t="shared" si="3"/>
        <v>无需处理</v>
      </c>
      <c r="J79" s="8">
        <v>78</v>
      </c>
    </row>
    <row r="80" spans="1:10">
      <c r="A80" s="8" t="s">
        <v>1623</v>
      </c>
      <c r="B80" s="8" t="str">
        <f>项目总控台账!A79</f>
        <v>T076</v>
      </c>
      <c r="C80" s="8" t="str">
        <f>IF(AND(项目总控台账!E79&lt;&gt;"",项目总控台账!E79&lt;&gt;"/"),项目总控台账!E79,IF(AND(项目总控台账!D79&lt;&gt;"",项目总控台账!D79&lt;&gt;"/"),项目总控台账!D79,项目总控台账!C79))</f>
        <v>采样作业信息录入删除</v>
      </c>
      <c r="D80" s="8" t="str">
        <f>项目总控台账!H79</f>
        <v>郑士旺</v>
      </c>
      <c r="E80" s="25">
        <f>项目总控台账!I79</f>
        <v>46202</v>
      </c>
      <c r="F80" s="25">
        <f>项目总控台账!J79</f>
        <v>46224</v>
      </c>
      <c r="G80" s="8" t="str">
        <f>IF(B80="","",IF(OR(C80="",C80="/"),"缺少任务名称；","")&amp;IF(OR(D80="",D80="/"),"缺少有效主责人；","")&amp;IF(OR(E80="",E80&lt;DATE(2000,1,1)),"缺少有效计划开始；","")&amp;IF(OR(F80="",F80&lt;DATE(2000,1,1)),"缺少有效计划完成；","")&amp;IF(项目总控台账!G79="","缺少总体状态；","")&amp;IF(AND(ISNUMBER(E80),ISNUMBER(F80),E80&gt;=DATE(2000,1,1),F80&gt;=DATE(2000,1,1),E80&gt;F80),"开始晚于完成；","")&amp;IF(AND(项目总控台账!G79="已完成",项目总控台账!AB79&lt;1),"已完成但进度不足100%；",""))</f>
        <v/>
      </c>
      <c r="H80" s="8" t="str">
        <f t="shared" si="2"/>
        <v>通过</v>
      </c>
      <c r="I80" s="8" t="str">
        <f t="shared" si="3"/>
        <v>无需处理</v>
      </c>
      <c r="J80" s="8">
        <v>79</v>
      </c>
    </row>
    <row r="81" spans="1:10">
      <c r="A81" s="8" t="s">
        <v>1623</v>
      </c>
      <c r="B81" s="8" t="str">
        <f>项目总控台账!A80</f>
        <v>T077</v>
      </c>
      <c r="C81" s="8" t="str">
        <f>IF(AND(项目总控台账!E80&lt;&gt;"",项目总控台账!E80&lt;&gt;"/"),项目总控台账!E80,IF(AND(项目总控台账!D80&lt;&gt;"",项目总控台账!D80&lt;&gt;"/"),项目总控台账!D80,项目总控台账!C80))</f>
        <v>采样作业信息录入列表</v>
      </c>
      <c r="D81" s="8" t="str">
        <f>项目总控台账!H80</f>
        <v>郑士旺</v>
      </c>
      <c r="E81" s="25">
        <f>项目总控台账!I80</f>
        <v>46202</v>
      </c>
      <c r="F81" s="25">
        <f>项目总控台账!J80</f>
        <v>46224</v>
      </c>
      <c r="G81" s="8" t="str">
        <f>IF(B81="","",IF(OR(C81="",C81="/"),"缺少任务名称；","")&amp;IF(OR(D81="",D81="/"),"缺少有效主责人；","")&amp;IF(OR(E81="",E81&lt;DATE(2000,1,1)),"缺少有效计划开始；","")&amp;IF(OR(F81="",F81&lt;DATE(2000,1,1)),"缺少有效计划完成；","")&amp;IF(项目总控台账!G80="","缺少总体状态；","")&amp;IF(AND(ISNUMBER(E81),ISNUMBER(F81),E81&gt;=DATE(2000,1,1),F81&gt;=DATE(2000,1,1),E81&gt;F81),"开始晚于完成；","")&amp;IF(AND(项目总控台账!G80="已完成",项目总控台账!AB80&lt;1),"已完成但进度不足100%；",""))</f>
        <v/>
      </c>
      <c r="H81" s="8" t="str">
        <f t="shared" si="2"/>
        <v>通过</v>
      </c>
      <c r="I81" s="8" t="str">
        <f t="shared" si="3"/>
        <v>无需处理</v>
      </c>
      <c r="J81" s="8">
        <v>80</v>
      </c>
    </row>
    <row r="82" spans="1:10">
      <c r="A82" s="8" t="s">
        <v>1623</v>
      </c>
      <c r="B82" s="8" t="str">
        <f>项目总控台账!A81</f>
        <v>T078</v>
      </c>
      <c r="C82" s="8" t="str">
        <f>IF(AND(项目总控台账!E81&lt;&gt;"",项目总控台账!E81&lt;&gt;"/"),项目总控台账!E81,IF(AND(项目总控台账!D81&lt;&gt;"",项目总控台账!D81&lt;&gt;"/"),项目总控台账!D81,项目总控台账!C81))</f>
        <v>业务数据合同签订校验</v>
      </c>
      <c r="D82" s="8" t="str">
        <f>项目总控台账!H81</f>
        <v>郑士旺</v>
      </c>
      <c r="E82" s="25">
        <f>项目总控台账!I81</f>
        <v>46223</v>
      </c>
      <c r="F82" s="25">
        <f>项目总控台账!J81</f>
        <v>46318</v>
      </c>
      <c r="G82" s="8" t="str">
        <f>IF(B82="","",IF(OR(C82="",C82="/"),"缺少任务名称；","")&amp;IF(OR(D82="",D82="/"),"缺少有效主责人；","")&amp;IF(OR(E82="",E82&lt;DATE(2000,1,1)),"缺少有效计划开始；","")&amp;IF(OR(F82="",F82&lt;DATE(2000,1,1)),"缺少有效计划完成；","")&amp;IF(项目总控台账!G81="","缺少总体状态；","")&amp;IF(AND(ISNUMBER(E82),ISNUMBER(F82),E82&gt;=DATE(2000,1,1),F82&gt;=DATE(2000,1,1),E82&gt;F82),"开始晚于完成；","")&amp;IF(AND(项目总控台账!G81="已完成",项目总控台账!AB81&lt;1),"已完成但进度不足100%；",""))</f>
        <v/>
      </c>
      <c r="H82" s="8" t="str">
        <f t="shared" si="2"/>
        <v>通过</v>
      </c>
      <c r="I82" s="8" t="str">
        <f t="shared" si="3"/>
        <v>无需处理</v>
      </c>
      <c r="J82" s="8">
        <v>81</v>
      </c>
    </row>
    <row r="83" spans="1:10">
      <c r="A83" s="8" t="s">
        <v>1623</v>
      </c>
      <c r="B83" s="8" t="str">
        <f>项目总控台账!A82</f>
        <v>T079</v>
      </c>
      <c r="C83" s="8" t="str">
        <f>IF(AND(项目总控台账!E82&lt;&gt;"",项目总控台账!E82&lt;&gt;"/"),项目总控台账!E82,IF(AND(项目总控台账!D82&lt;&gt;"",项目总控台账!D82&lt;&gt;"/"),项目总控台账!D82,项目总控台账!C82))</f>
        <v>结算数据合同签订校验</v>
      </c>
      <c r="D83" s="8" t="str">
        <f>项目总控台账!H82</f>
        <v>郑士旺</v>
      </c>
      <c r="E83" s="25">
        <f>项目总控台账!I82</f>
        <v>46223</v>
      </c>
      <c r="F83" s="25">
        <f>项目总控台账!J82</f>
        <v>46318</v>
      </c>
      <c r="G83" s="8" t="str">
        <f>IF(B83="","",IF(OR(C83="",C83="/"),"缺少任务名称；","")&amp;IF(OR(D83="",D83="/"),"缺少有效主责人；","")&amp;IF(OR(E83="",E83&lt;DATE(2000,1,1)),"缺少有效计划开始；","")&amp;IF(OR(F83="",F83&lt;DATE(2000,1,1)),"缺少有效计划完成；","")&amp;IF(项目总控台账!G82="","缺少总体状态；","")&amp;IF(AND(ISNUMBER(E83),ISNUMBER(F83),E83&gt;=DATE(2000,1,1),F83&gt;=DATE(2000,1,1),E83&gt;F83),"开始晚于完成；","")&amp;IF(AND(项目总控台账!G82="已完成",项目总控台账!AB82&lt;1),"已完成但进度不足100%；",""))</f>
        <v/>
      </c>
      <c r="H83" s="8" t="str">
        <f t="shared" si="2"/>
        <v>通过</v>
      </c>
      <c r="I83" s="8" t="str">
        <f t="shared" si="3"/>
        <v>无需处理</v>
      </c>
      <c r="J83" s="8">
        <v>82</v>
      </c>
    </row>
    <row r="84" spans="1:10">
      <c r="A84" s="8" t="s">
        <v>1623</v>
      </c>
      <c r="B84" s="8" t="str">
        <f>项目总控台账!A83</f>
        <v>T080</v>
      </c>
      <c r="C84" s="8" t="str">
        <f>IF(AND(项目总控台账!E83&lt;&gt;"",项目总控台账!E83&lt;&gt;"/"),项目总控台账!E83,IF(AND(项目总控台账!D83&lt;&gt;"",项目总控台账!D83&lt;&gt;"/"),项目总控台账!D83,项目总控台账!C83))</f>
        <v>合同校验结果查询</v>
      </c>
      <c r="D84" s="8" t="str">
        <f>项目总控台账!H83</f>
        <v>郑士旺</v>
      </c>
      <c r="E84" s="25">
        <f>项目总控台账!I83</f>
        <v>46223</v>
      </c>
      <c r="F84" s="25">
        <f>项目总控台账!J83</f>
        <v>46261</v>
      </c>
      <c r="G84" s="8" t="str">
        <f>IF(B84="","",IF(OR(C84="",C84="/"),"缺少任务名称；","")&amp;IF(OR(D84="",D84="/"),"缺少有效主责人；","")&amp;IF(OR(E84="",E84&lt;DATE(2000,1,1)),"缺少有效计划开始；","")&amp;IF(OR(F84="",F84&lt;DATE(2000,1,1)),"缺少有效计划完成；","")&amp;IF(项目总控台账!G83="","缺少总体状态；","")&amp;IF(AND(ISNUMBER(E84),ISNUMBER(F84),E84&gt;=DATE(2000,1,1),F84&gt;=DATE(2000,1,1),E84&gt;F84),"开始晚于完成；","")&amp;IF(AND(项目总控台账!G83="已完成",项目总控台账!AB83&lt;1),"已完成但进度不足100%；",""))</f>
        <v/>
      </c>
      <c r="H84" s="8" t="str">
        <f t="shared" si="2"/>
        <v>通过</v>
      </c>
      <c r="I84" s="8" t="str">
        <f t="shared" si="3"/>
        <v>无需处理</v>
      </c>
      <c r="J84" s="8">
        <v>83</v>
      </c>
    </row>
    <row r="85" spans="1:10">
      <c r="A85" s="8" t="s">
        <v>1623</v>
      </c>
      <c r="B85" s="8" t="str">
        <f>项目总控台账!A84</f>
        <v>T081</v>
      </c>
      <c r="C85" s="8" t="str">
        <f>IF(AND(项目总控台账!E84&lt;&gt;"",项目总控台账!E84&lt;&gt;"/"),项目总控台账!E84,IF(AND(项目总控台账!D84&lt;&gt;"",项目总控台账!D84&lt;&gt;"/"),项目总控台账!D84,项目总控台账!C84))</f>
        <v>数据对接</v>
      </c>
      <c r="D85" s="8" t="str">
        <f>项目总控台账!H84</f>
        <v>郑士旺</v>
      </c>
      <c r="E85" s="25">
        <f>项目总控台账!I84</f>
        <v>46230</v>
      </c>
      <c r="F85" s="25">
        <f>项目总控台账!J84</f>
        <v>46353</v>
      </c>
      <c r="G85" s="8" t="str">
        <f>IF(B85="","",IF(OR(C85="",C85="/"),"缺少任务名称；","")&amp;IF(OR(D85="",D85="/"),"缺少有效主责人；","")&amp;IF(OR(E85="",E85&lt;DATE(2000,1,1)),"缺少有效计划开始；","")&amp;IF(OR(F85="",F85&lt;DATE(2000,1,1)),"缺少有效计划完成；","")&amp;IF(项目总控台账!G84="","缺少总体状态；","")&amp;IF(AND(ISNUMBER(E85),ISNUMBER(F85),E85&gt;=DATE(2000,1,1),F85&gt;=DATE(2000,1,1),E85&gt;F85),"开始晚于完成；","")&amp;IF(AND(项目总控台账!G84="已完成",项目总控台账!AB84&lt;1),"已完成但进度不足100%；",""))</f>
        <v/>
      </c>
      <c r="H85" s="8" t="str">
        <f t="shared" si="2"/>
        <v>通过</v>
      </c>
      <c r="I85" s="8" t="str">
        <f t="shared" si="3"/>
        <v>无需处理</v>
      </c>
      <c r="J85" s="8">
        <v>84</v>
      </c>
    </row>
    <row r="86" spans="1:10">
      <c r="A86" s="8" t="s">
        <v>1623</v>
      </c>
      <c r="B86" s="8" t="str">
        <f>项目总控台账!A85</f>
        <v>T082</v>
      </c>
      <c r="C86" s="8" t="str">
        <f>IF(AND(项目总控台账!E85&lt;&gt;"",项目总控台账!E85&lt;&gt;"/"),项目总控台账!E85,IF(AND(项目总控台账!D85&lt;&gt;"",项目总控台账!D85&lt;&gt;"/"),项目总控台账!D85,项目总控台账!C85))</f>
        <v>数据展示</v>
      </c>
      <c r="D86" s="8" t="str">
        <f>项目总控台账!H85</f>
        <v>郑士旺</v>
      </c>
      <c r="E86" s="25">
        <f>项目总控台账!I85</f>
        <v>46230</v>
      </c>
      <c r="F86" s="25">
        <f>项目总控台账!J85</f>
        <v>46224</v>
      </c>
      <c r="G86" s="8" t="str">
        <f>IF(B86="","",IF(OR(C86="",C86="/"),"缺少任务名称；","")&amp;IF(OR(D86="",D86="/"),"缺少有效主责人；","")&amp;IF(OR(E86="",E86&lt;DATE(2000,1,1)),"缺少有效计划开始；","")&amp;IF(OR(F86="",F86&lt;DATE(2000,1,1)),"缺少有效计划完成；","")&amp;IF(项目总控台账!G85="","缺少总体状态；","")&amp;IF(AND(ISNUMBER(E86),ISNUMBER(F86),E86&gt;=DATE(2000,1,1),F86&gt;=DATE(2000,1,1),E86&gt;F86),"开始晚于完成；","")&amp;IF(AND(项目总控台账!G85="已完成",项目总控台账!AB85&lt;1),"已完成但进度不足100%；",""))</f>
        <v>开始晚于完成；</v>
      </c>
      <c r="H86" s="8" t="str">
        <f t="shared" si="2"/>
        <v>需整改</v>
      </c>
      <c r="I86" s="8" t="str">
        <f t="shared" si="3"/>
        <v>回到项目总控台账第85行补齐或修正</v>
      </c>
      <c r="J86" s="8">
        <v>85</v>
      </c>
    </row>
    <row r="87" spans="1:10">
      <c r="A87" s="8" t="s">
        <v>1623</v>
      </c>
      <c r="B87" s="8" t="str">
        <f>项目总控台账!A86</f>
        <v>T083</v>
      </c>
      <c r="C87" s="8" t="str">
        <f>IF(AND(项目总控台账!E86&lt;&gt;"",项目总控台账!E86&lt;&gt;"/"),项目总控台账!E86,IF(AND(项目总控台账!D86&lt;&gt;"",项目总控台账!D86&lt;&gt;"/"),项目总控台账!D86,项目总控台账!C86))</f>
        <v>数据对接</v>
      </c>
      <c r="D87" s="8" t="str">
        <f>项目总控台账!H86</f>
        <v>郑士旺</v>
      </c>
      <c r="E87" s="25">
        <f>项目总控台账!I86</f>
        <v>46230</v>
      </c>
      <c r="F87" s="25">
        <f>项目总控台账!J86</f>
        <v>46224</v>
      </c>
      <c r="G87" s="8" t="str">
        <f>IF(B87="","",IF(OR(C87="",C87="/"),"缺少任务名称；","")&amp;IF(OR(D87="",D87="/"),"缺少有效主责人；","")&amp;IF(OR(E87="",E87&lt;DATE(2000,1,1)),"缺少有效计划开始；","")&amp;IF(OR(F87="",F87&lt;DATE(2000,1,1)),"缺少有效计划完成；","")&amp;IF(项目总控台账!G86="","缺少总体状态；","")&amp;IF(AND(ISNUMBER(E87),ISNUMBER(F87),E87&gt;=DATE(2000,1,1),F87&gt;=DATE(2000,1,1),E87&gt;F87),"开始晚于完成；","")&amp;IF(AND(项目总控台账!G86="已完成",项目总控台账!AB86&lt;1),"已完成但进度不足100%；",""))</f>
        <v>开始晚于完成；</v>
      </c>
      <c r="H87" s="8" t="str">
        <f t="shared" si="2"/>
        <v>需整改</v>
      </c>
      <c r="I87" s="8" t="str">
        <f t="shared" si="3"/>
        <v>回到项目总控台账第86行补齐或修正</v>
      </c>
      <c r="J87" s="8">
        <v>86</v>
      </c>
    </row>
    <row r="88" spans="1:10">
      <c r="A88" s="8" t="s">
        <v>1623</v>
      </c>
      <c r="B88" s="8" t="str">
        <f>项目总控台账!A87</f>
        <v>T084</v>
      </c>
      <c r="C88" s="8" t="str">
        <f>IF(AND(项目总控台账!E87&lt;&gt;"",项目总控台账!E87&lt;&gt;"/"),项目总控台账!E87,IF(AND(项目总控台账!D87&lt;&gt;"",项目总控台账!D87&lt;&gt;"/"),项目总控台账!D87,项目总控台账!C87))</f>
        <v>数据产生</v>
      </c>
      <c r="D88" s="8" t="str">
        <f>项目总控台账!H87</f>
        <v>郑士旺</v>
      </c>
      <c r="E88" s="25">
        <f>项目总控台账!I87</f>
        <v>46230</v>
      </c>
      <c r="F88" s="25">
        <f>项目总控台账!J87</f>
        <v>46224</v>
      </c>
      <c r="G88" s="8" t="str">
        <f>IF(B88="","",IF(OR(C88="",C88="/"),"缺少任务名称；","")&amp;IF(OR(D88="",D88="/"),"缺少有效主责人；","")&amp;IF(OR(E88="",E88&lt;DATE(2000,1,1)),"缺少有效计划开始；","")&amp;IF(OR(F88="",F88&lt;DATE(2000,1,1)),"缺少有效计划完成；","")&amp;IF(项目总控台账!G87="","缺少总体状态；","")&amp;IF(AND(ISNUMBER(E88),ISNUMBER(F88),E88&gt;=DATE(2000,1,1),F88&gt;=DATE(2000,1,1),E88&gt;F88),"开始晚于完成；","")&amp;IF(AND(项目总控台账!G87="已完成",项目总控台账!AB87&lt;1),"已完成但进度不足100%；",""))</f>
        <v>开始晚于完成；</v>
      </c>
      <c r="H88" s="8" t="str">
        <f t="shared" si="2"/>
        <v>需整改</v>
      </c>
      <c r="I88" s="8" t="str">
        <f t="shared" si="3"/>
        <v>回到项目总控台账第87行补齐或修正</v>
      </c>
      <c r="J88" s="8">
        <v>87</v>
      </c>
    </row>
    <row r="89" spans="1:10">
      <c r="A89" s="8" t="s">
        <v>1623</v>
      </c>
      <c r="B89" s="8" t="str">
        <f>项目总控台账!A88</f>
        <v>T085</v>
      </c>
      <c r="C89" s="8" t="str">
        <f>IF(AND(项目总控台账!E88&lt;&gt;"",项目总控台账!E88&lt;&gt;"/"),项目总控台账!E88,IF(AND(项目总控台账!D88&lt;&gt;"",项目总控台账!D88&lt;&gt;"/"),项目总控台账!D88,项目总控台账!C88))</f>
        <v>数据对接</v>
      </c>
      <c r="D89" s="8" t="str">
        <f>项目总控台账!H88</f>
        <v>郑士旺</v>
      </c>
      <c r="E89" s="25">
        <f>项目总控台账!I88</f>
        <v>46230</v>
      </c>
      <c r="F89" s="25">
        <f>项目总控台账!J88</f>
        <v>46224</v>
      </c>
      <c r="G89" s="8" t="str">
        <f>IF(B89="","",IF(OR(C89="",C89="/"),"缺少任务名称；","")&amp;IF(OR(D89="",D89="/"),"缺少有效主责人；","")&amp;IF(OR(E89="",E89&lt;DATE(2000,1,1)),"缺少有效计划开始；","")&amp;IF(OR(F89="",F89&lt;DATE(2000,1,1)),"缺少有效计划完成；","")&amp;IF(项目总控台账!G88="","缺少总体状态；","")&amp;IF(AND(ISNUMBER(E89),ISNUMBER(F89),E89&gt;=DATE(2000,1,1),F89&gt;=DATE(2000,1,1),E89&gt;F89),"开始晚于完成；","")&amp;IF(AND(项目总控台账!G88="已完成",项目总控台账!AB88&lt;1),"已完成但进度不足100%；",""))</f>
        <v>开始晚于完成；</v>
      </c>
      <c r="H89" s="8" t="str">
        <f t="shared" si="2"/>
        <v>需整改</v>
      </c>
      <c r="I89" s="8" t="str">
        <f t="shared" si="3"/>
        <v>回到项目总控台账第88行补齐或修正</v>
      </c>
      <c r="J89" s="8">
        <v>88</v>
      </c>
    </row>
    <row r="90" spans="1:10">
      <c r="A90" s="8" t="s">
        <v>1623</v>
      </c>
      <c r="B90" s="8" t="str">
        <f>项目总控台账!A89</f>
        <v>T086</v>
      </c>
      <c r="C90" s="8" t="str">
        <f>IF(AND(项目总控台账!E89&lt;&gt;"",项目总控台账!E89&lt;&gt;"/"),项目总控台账!E89,IF(AND(项目总控台账!D89&lt;&gt;"",项目总控台账!D89&lt;&gt;"/"),项目总控台账!D89,项目总控台账!C89))</f>
        <v>数据展示</v>
      </c>
      <c r="D90" s="8" t="str">
        <f>项目总控台账!H89</f>
        <v>郑士旺</v>
      </c>
      <c r="E90" s="25">
        <f>项目总控台账!I89</f>
        <v>46230</v>
      </c>
      <c r="F90" s="25">
        <f>项目总控台账!J89</f>
        <v>46224</v>
      </c>
      <c r="G90" s="8" t="str">
        <f>IF(B90="","",IF(OR(C90="",C90="/"),"缺少任务名称；","")&amp;IF(OR(D90="",D90="/"),"缺少有效主责人；","")&amp;IF(OR(E90="",E90&lt;DATE(2000,1,1)),"缺少有效计划开始；","")&amp;IF(OR(F90="",F90&lt;DATE(2000,1,1)),"缺少有效计划完成；","")&amp;IF(项目总控台账!G89="","缺少总体状态；","")&amp;IF(AND(ISNUMBER(E90),ISNUMBER(F90),E90&gt;=DATE(2000,1,1),F90&gt;=DATE(2000,1,1),E90&gt;F90),"开始晚于完成；","")&amp;IF(AND(项目总控台账!G89="已完成",项目总控台账!AB89&lt;1),"已完成但进度不足100%；",""))</f>
        <v>开始晚于完成；</v>
      </c>
      <c r="H90" s="8" t="str">
        <f t="shared" si="2"/>
        <v>需整改</v>
      </c>
      <c r="I90" s="8" t="str">
        <f t="shared" si="3"/>
        <v>回到项目总控台账第89行补齐或修正</v>
      </c>
      <c r="J90" s="8">
        <v>89</v>
      </c>
    </row>
    <row r="91" spans="1:10">
      <c r="A91" s="8" t="s">
        <v>1623</v>
      </c>
      <c r="B91" s="8" t="str">
        <f>项目总控台账!A90</f>
        <v>T087</v>
      </c>
      <c r="C91" s="8" t="str">
        <f>IF(AND(项目总控台账!E90&lt;&gt;"",项目总控台账!E90&lt;&gt;"/"),项目总控台账!E90,IF(AND(项目总控台账!D90&lt;&gt;"",项目总控台账!D90&lt;&gt;"/"),项目总控台账!D90,项目总控台账!C90))</f>
        <v>数据对接</v>
      </c>
      <c r="D91" s="8" t="str">
        <f>项目总控台账!H90</f>
        <v>郑士旺</v>
      </c>
      <c r="E91" s="25">
        <f>项目总控台账!I90</f>
        <v>46230</v>
      </c>
      <c r="F91" s="25">
        <f>项目总控台账!J90</f>
        <v>46224</v>
      </c>
      <c r="G91" s="8" t="str">
        <f>IF(B91="","",IF(OR(C91="",C91="/"),"缺少任务名称；","")&amp;IF(OR(D91="",D91="/"),"缺少有效主责人；","")&amp;IF(OR(E91="",E91&lt;DATE(2000,1,1)),"缺少有效计划开始；","")&amp;IF(OR(F91="",F91&lt;DATE(2000,1,1)),"缺少有效计划完成；","")&amp;IF(项目总控台账!G90="","缺少总体状态；","")&amp;IF(AND(ISNUMBER(E91),ISNUMBER(F91),E91&gt;=DATE(2000,1,1),F91&gt;=DATE(2000,1,1),E91&gt;F91),"开始晚于完成；","")&amp;IF(AND(项目总控台账!G90="已完成",项目总控台账!AB90&lt;1),"已完成但进度不足100%；",""))</f>
        <v>开始晚于完成；</v>
      </c>
      <c r="H91" s="8" t="str">
        <f t="shared" si="2"/>
        <v>需整改</v>
      </c>
      <c r="I91" s="8" t="str">
        <f t="shared" si="3"/>
        <v>回到项目总控台账第90行补齐或修正</v>
      </c>
      <c r="J91" s="8">
        <v>90</v>
      </c>
    </row>
    <row r="92" spans="1:10">
      <c r="A92" s="8" t="s">
        <v>1623</v>
      </c>
      <c r="B92" s="8" t="str">
        <f>项目总控台账!A91</f>
        <v>T088</v>
      </c>
      <c r="C92" s="8" t="str">
        <f>IF(AND(项目总控台账!E91&lt;&gt;"",项目总控台账!E91&lt;&gt;"/"),项目总控台账!E91,IF(AND(项目总控台账!D91&lt;&gt;"",项目总控台账!D91&lt;&gt;"/"),项目总控台账!D91,项目总控台账!C91))</f>
        <v>数据展示</v>
      </c>
      <c r="D92" s="8" t="str">
        <f>项目总控台账!H91</f>
        <v>郑士旺</v>
      </c>
      <c r="E92" s="25">
        <f>项目总控台账!I91</f>
        <v>46230</v>
      </c>
      <c r="F92" s="25">
        <f>项目总控台账!J91</f>
        <v>46353</v>
      </c>
      <c r="G92" s="8" t="str">
        <f>IF(B92="","",IF(OR(C92="",C92="/"),"缺少任务名称；","")&amp;IF(OR(D92="",D92="/"),"缺少有效主责人；","")&amp;IF(OR(E92="",E92&lt;DATE(2000,1,1)),"缺少有效计划开始；","")&amp;IF(OR(F92="",F92&lt;DATE(2000,1,1)),"缺少有效计划完成；","")&amp;IF(项目总控台账!G91="","缺少总体状态；","")&amp;IF(AND(ISNUMBER(E92),ISNUMBER(F92),E92&gt;=DATE(2000,1,1),F92&gt;=DATE(2000,1,1),E92&gt;F92),"开始晚于完成；","")&amp;IF(AND(项目总控台账!G91="已完成",项目总控台账!AB91&lt;1),"已完成但进度不足100%；",""))</f>
        <v/>
      </c>
      <c r="H92" s="8" t="str">
        <f t="shared" si="2"/>
        <v>通过</v>
      </c>
      <c r="I92" s="8" t="str">
        <f t="shared" si="3"/>
        <v>无需处理</v>
      </c>
      <c r="J92" s="8">
        <v>91</v>
      </c>
    </row>
    <row r="93" spans="1:10">
      <c r="A93" s="8" t="s">
        <v>1623</v>
      </c>
      <c r="B93" s="8" t="str">
        <f>项目总控台账!A92</f>
        <v>T089</v>
      </c>
      <c r="C93" s="8" t="str">
        <f>IF(AND(项目总控台账!E92&lt;&gt;"",项目总控台账!E92&lt;&gt;"/"),项目总控台账!E92,IF(AND(项目总控台账!D92&lt;&gt;"",项目总控台账!D92&lt;&gt;"/"),项目总控台账!D92,项目总控台账!C92))</f>
        <v>新增采样服务费（外贸）</v>
      </c>
      <c r="D93" s="8" t="str">
        <f>项目总控台账!H92</f>
        <v>郑士旺</v>
      </c>
      <c r="E93" s="25">
        <f>项目总控台账!I92</f>
        <v>46230</v>
      </c>
      <c r="F93" s="25">
        <f>项目总控台账!J92</f>
        <v>46353</v>
      </c>
      <c r="G93" s="8" t="str">
        <f>IF(B93="","",IF(OR(C93="",C93="/"),"缺少任务名称；","")&amp;IF(OR(D93="",D93="/"),"缺少有效主责人；","")&amp;IF(OR(E93="",E93&lt;DATE(2000,1,1)),"缺少有效计划开始；","")&amp;IF(OR(F93="",F93&lt;DATE(2000,1,1)),"缺少有效计划完成；","")&amp;IF(项目总控台账!G92="","缺少总体状态；","")&amp;IF(AND(ISNUMBER(E93),ISNUMBER(F93),E93&gt;=DATE(2000,1,1),F93&gt;=DATE(2000,1,1),E93&gt;F93),"开始晚于完成；","")&amp;IF(AND(项目总控台账!G92="已完成",项目总控台账!AB92&lt;1),"已完成但进度不足100%；",""))</f>
        <v/>
      </c>
      <c r="H93" s="8" t="str">
        <f t="shared" si="2"/>
        <v>通过</v>
      </c>
      <c r="I93" s="8" t="str">
        <f t="shared" si="3"/>
        <v>无需处理</v>
      </c>
      <c r="J93" s="8">
        <v>92</v>
      </c>
    </row>
    <row r="94" spans="1:10">
      <c r="A94" s="8" t="s">
        <v>1623</v>
      </c>
      <c r="B94" s="8" t="str">
        <f>项目总控台账!A93</f>
        <v>T090</v>
      </c>
      <c r="C94" s="8" t="str">
        <f>IF(AND(项目总控台账!E93&lt;&gt;"",项目总控台账!E93&lt;&gt;"/"),项目总控台账!E93,IF(AND(项目总控台账!D93&lt;&gt;"",项目总控台账!D93&lt;&gt;"/"),项目总控台账!D93,项目总控台账!C93))</f>
        <v>审批采样服务费（外贸）</v>
      </c>
      <c r="D94" s="8" t="str">
        <f>项目总控台账!H93</f>
        <v>郑士旺</v>
      </c>
      <c r="E94" s="25">
        <f>项目总控台账!I93</f>
        <v>46230</v>
      </c>
      <c r="F94" s="25">
        <f>项目总控台账!J93</f>
        <v>46353</v>
      </c>
      <c r="G94" s="8" t="str">
        <f>IF(B94="","",IF(OR(C94="",C94="/"),"缺少任务名称；","")&amp;IF(OR(D94="",D94="/"),"缺少有效主责人；","")&amp;IF(OR(E94="",E94&lt;DATE(2000,1,1)),"缺少有效计划开始；","")&amp;IF(OR(F94="",F94&lt;DATE(2000,1,1)),"缺少有效计划完成；","")&amp;IF(项目总控台账!G93="","缺少总体状态；","")&amp;IF(AND(ISNUMBER(E94),ISNUMBER(F94),E94&gt;=DATE(2000,1,1),F94&gt;=DATE(2000,1,1),E94&gt;F94),"开始晚于完成；","")&amp;IF(AND(项目总控台账!G93="已完成",项目总控台账!AB93&lt;1),"已完成但进度不足100%；",""))</f>
        <v/>
      </c>
      <c r="H94" s="8" t="str">
        <f t="shared" si="2"/>
        <v>通过</v>
      </c>
      <c r="I94" s="8" t="str">
        <f t="shared" si="3"/>
        <v>无需处理</v>
      </c>
      <c r="J94" s="8">
        <v>93</v>
      </c>
    </row>
    <row r="95" spans="1:10">
      <c r="A95" s="8" t="s">
        <v>1623</v>
      </c>
      <c r="B95" s="8" t="str">
        <f>项目总控台账!A94</f>
        <v>T091</v>
      </c>
      <c r="C95" s="8" t="str">
        <f>IF(AND(项目总控台账!E94&lt;&gt;"",项目总控台账!E94&lt;&gt;"/"),项目总控台账!E94,IF(AND(项目总控台账!D94&lt;&gt;"",项目总控台账!D94&lt;&gt;"/"),项目总控台账!D94,项目总控台账!C94))</f>
        <v>单据签章</v>
      </c>
      <c r="D95" s="8" t="str">
        <f>项目总控台账!H94</f>
        <v>郑士旺</v>
      </c>
      <c r="E95" s="25">
        <f>项目总控台账!I94</f>
        <v>46230</v>
      </c>
      <c r="F95" s="25">
        <f>项目总控台账!J94</f>
        <v>46353</v>
      </c>
      <c r="G95" s="8" t="str">
        <f>IF(B95="","",IF(OR(C95="",C95="/"),"缺少任务名称；","")&amp;IF(OR(D95="",D95="/"),"缺少有效主责人；","")&amp;IF(OR(E95="",E95&lt;DATE(2000,1,1)),"缺少有效计划开始；","")&amp;IF(OR(F95="",F95&lt;DATE(2000,1,1)),"缺少有效计划完成；","")&amp;IF(项目总控台账!G94="","缺少总体状态；","")&amp;IF(AND(ISNUMBER(E95),ISNUMBER(F95),E95&gt;=DATE(2000,1,1),F95&gt;=DATE(2000,1,1),E95&gt;F95),"开始晚于完成；","")&amp;IF(AND(项目总控台账!G94="已完成",项目总控台账!AB94&lt;1),"已完成但进度不足100%；",""))</f>
        <v/>
      </c>
      <c r="H95" s="8" t="str">
        <f t="shared" si="2"/>
        <v>通过</v>
      </c>
      <c r="I95" s="8" t="str">
        <f t="shared" si="3"/>
        <v>无需处理</v>
      </c>
      <c r="J95" s="8">
        <v>94</v>
      </c>
    </row>
    <row r="96" spans="1:10">
      <c r="A96" s="8" t="s">
        <v>1623</v>
      </c>
      <c r="B96" s="8" t="str">
        <f>项目总控台账!A95</f>
        <v>T092</v>
      </c>
      <c r="C96" s="8" t="str">
        <f>IF(AND(项目总控台账!E95&lt;&gt;"",项目总控台账!E95&lt;&gt;"/"),项目总控台账!E95,IF(AND(项目总控台账!D95&lt;&gt;"",项目总控台账!D95&lt;&gt;"/"),项目总控台账!D95,项目总控台账!C95))</f>
        <v>数据推送</v>
      </c>
      <c r="D96" s="8" t="str">
        <f>项目总控台账!H95</f>
        <v>郑士旺</v>
      </c>
      <c r="E96" s="25">
        <f>项目总控台账!I95</f>
        <v>46230</v>
      </c>
      <c r="F96" s="25">
        <f>项目总控台账!J95</f>
        <v>46353</v>
      </c>
      <c r="G96" s="8" t="str">
        <f>IF(B96="","",IF(OR(C96="",C96="/"),"缺少任务名称；","")&amp;IF(OR(D96="",D96="/"),"缺少有效主责人；","")&amp;IF(OR(E96="",E96&lt;DATE(2000,1,1)),"缺少有效计划开始；","")&amp;IF(OR(F96="",F96&lt;DATE(2000,1,1)),"缺少有效计划完成；","")&amp;IF(项目总控台账!G95="","缺少总体状态；","")&amp;IF(AND(ISNUMBER(E96),ISNUMBER(F96),E96&gt;=DATE(2000,1,1),F96&gt;=DATE(2000,1,1),E96&gt;F96),"开始晚于完成；","")&amp;IF(AND(项目总控台账!G95="已完成",项目总控台账!AB95&lt;1),"已完成但进度不足100%；",""))</f>
        <v/>
      </c>
      <c r="H96" s="8" t="str">
        <f t="shared" si="2"/>
        <v>通过</v>
      </c>
      <c r="I96" s="8" t="str">
        <f t="shared" si="3"/>
        <v>无需处理</v>
      </c>
      <c r="J96" s="8">
        <v>95</v>
      </c>
    </row>
    <row r="97" spans="1:10">
      <c r="A97" s="8" t="s">
        <v>1623</v>
      </c>
      <c r="B97" s="8" t="str">
        <f>项目总控台账!A96</f>
        <v>T093</v>
      </c>
      <c r="C97" s="8" t="str">
        <f>IF(AND(项目总控台账!E96&lt;&gt;"",项目总控台账!E96&lt;&gt;"/"),项目总控台账!E96,IF(AND(项目总控台账!D96&lt;&gt;"",项目总控台账!D96&lt;&gt;"/"),项目总控台账!D96,项目总控台账!C96))</f>
        <v>数据对接</v>
      </c>
      <c r="D97" s="8" t="str">
        <f>项目总控台账!H96</f>
        <v>郑士旺</v>
      </c>
      <c r="E97" s="25">
        <f>项目总控台账!I96</f>
        <v>46230</v>
      </c>
      <c r="F97" s="25">
        <f>项目总控台账!J96</f>
        <v>46353</v>
      </c>
      <c r="G97" s="8" t="str">
        <f>IF(B97="","",IF(OR(C97="",C97="/"),"缺少任务名称；","")&amp;IF(OR(D97="",D97="/"),"缺少有效主责人；","")&amp;IF(OR(E97="",E97&lt;DATE(2000,1,1)),"缺少有效计划开始；","")&amp;IF(OR(F97="",F97&lt;DATE(2000,1,1)),"缺少有效计划完成；","")&amp;IF(项目总控台账!G96="","缺少总体状态；","")&amp;IF(AND(ISNUMBER(E97),ISNUMBER(F97),E97&gt;=DATE(2000,1,1),F97&gt;=DATE(2000,1,1),E97&gt;F97),"开始晚于完成；","")&amp;IF(AND(项目总控台账!G96="已完成",项目总控台账!AB96&lt;1),"已完成但进度不足100%；",""))</f>
        <v/>
      </c>
      <c r="H97" s="8" t="str">
        <f t="shared" si="2"/>
        <v>通过</v>
      </c>
      <c r="I97" s="8" t="str">
        <f t="shared" si="3"/>
        <v>无需处理</v>
      </c>
      <c r="J97" s="8">
        <v>96</v>
      </c>
    </row>
    <row r="98" spans="1:10">
      <c r="A98" s="8" t="s">
        <v>1623</v>
      </c>
      <c r="B98" s="8" t="str">
        <f>项目总控台账!A97</f>
        <v>T094</v>
      </c>
      <c r="C98" s="8" t="str">
        <f>IF(AND(项目总控台账!E97&lt;&gt;"",项目总控台账!E97&lt;&gt;"/"),项目总控台账!E97,IF(AND(项目总控台账!D97&lt;&gt;"",项目总控台账!D97&lt;&gt;"/"),项目总控台账!D97,项目总控台账!C97))</f>
        <v>数据展示</v>
      </c>
      <c r="D98" s="8" t="str">
        <f>项目总控台账!H97</f>
        <v>郑士旺</v>
      </c>
      <c r="E98" s="25">
        <f>项目总控台账!I97</f>
        <v>46230</v>
      </c>
      <c r="F98" s="25">
        <f>项目总控台账!J97</f>
        <v>46353</v>
      </c>
      <c r="G98" s="8" t="str">
        <f>IF(B98="","",IF(OR(C98="",C98="/"),"缺少任务名称；","")&amp;IF(OR(D98="",D98="/"),"缺少有效主责人；","")&amp;IF(OR(E98="",E98&lt;DATE(2000,1,1)),"缺少有效计划开始；","")&amp;IF(OR(F98="",F98&lt;DATE(2000,1,1)),"缺少有效计划完成；","")&amp;IF(项目总控台账!G97="","缺少总体状态；","")&amp;IF(AND(ISNUMBER(E98),ISNUMBER(F98),E98&gt;=DATE(2000,1,1),F98&gt;=DATE(2000,1,1),E98&gt;F98),"开始晚于完成；","")&amp;IF(AND(项目总控台账!G97="已完成",项目总控台账!AB97&lt;1),"已完成但进度不足100%；",""))</f>
        <v/>
      </c>
      <c r="H98" s="8" t="str">
        <f t="shared" si="2"/>
        <v>通过</v>
      </c>
      <c r="I98" s="8" t="str">
        <f t="shared" si="3"/>
        <v>无需处理</v>
      </c>
      <c r="J98" s="8">
        <v>97</v>
      </c>
    </row>
    <row r="99" spans="1:10">
      <c r="A99" s="8" t="s">
        <v>1623</v>
      </c>
      <c r="B99" s="8" t="str">
        <f>项目总控台账!A98</f>
        <v>T095</v>
      </c>
      <c r="C99" s="8" t="str">
        <f>IF(AND(项目总控台账!E98&lt;&gt;"",项目总控台账!E98&lt;&gt;"/"),项目总控台账!E98,IF(AND(项目总控台账!D98&lt;&gt;"",项目总控台账!D98&lt;&gt;"/"),项目总控台账!D98,项目总控台账!C98))</f>
        <v>自动生成堆存费</v>
      </c>
      <c r="D99" s="8" t="str">
        <f>项目总控台账!H98</f>
        <v>郑士旺</v>
      </c>
      <c r="E99" s="25">
        <f>项目总控台账!I98</f>
        <v>46202</v>
      </c>
      <c r="F99" s="25">
        <f>项目总控台账!J98</f>
        <v>46273</v>
      </c>
      <c r="G99" s="8" t="str">
        <f>IF(B99="","",IF(OR(C99="",C99="/"),"缺少任务名称；","")&amp;IF(OR(D99="",D99="/"),"缺少有效主责人；","")&amp;IF(OR(E99="",E99&lt;DATE(2000,1,1)),"缺少有效计划开始；","")&amp;IF(OR(F99="",F99&lt;DATE(2000,1,1)),"缺少有效计划完成；","")&amp;IF(项目总控台账!G98="","缺少总体状态；","")&amp;IF(AND(ISNUMBER(E99),ISNUMBER(F99),E99&gt;=DATE(2000,1,1),F99&gt;=DATE(2000,1,1),E99&gt;F99),"开始晚于完成；","")&amp;IF(AND(项目总控台账!G98="已完成",项目总控台账!AB98&lt;1),"已完成但进度不足100%；",""))</f>
        <v/>
      </c>
      <c r="H99" s="8" t="str">
        <f t="shared" si="2"/>
        <v>通过</v>
      </c>
      <c r="I99" s="8" t="str">
        <f t="shared" si="3"/>
        <v>无需处理</v>
      </c>
      <c r="J99" s="8">
        <v>98</v>
      </c>
    </row>
    <row r="100" spans="1:10">
      <c r="A100" s="8" t="s">
        <v>1623</v>
      </c>
      <c r="B100" s="8" t="str">
        <f>项目总控台账!A99</f>
        <v>T096</v>
      </c>
      <c r="C100" s="8" t="str">
        <f>IF(AND(项目总控台账!E99&lt;&gt;"",项目总控台账!E99&lt;&gt;"/"),项目总控台账!E99,IF(AND(项目总控台账!D99&lt;&gt;"",项目总控台账!D99&lt;&gt;"/"),项目总控台账!D99,项目总控台账!C99))</f>
        <v>自动生成装船港杂费</v>
      </c>
      <c r="D100" s="8" t="str">
        <f>项目总控台账!H99</f>
        <v>郑士旺</v>
      </c>
      <c r="E100" s="25">
        <f>项目总控台账!I99</f>
        <v>46202</v>
      </c>
      <c r="F100" s="25">
        <f>项目总控台账!J99</f>
        <v>46261</v>
      </c>
      <c r="G100" s="8" t="str">
        <f>IF(B100="","",IF(OR(C100="",C100="/"),"缺少任务名称；","")&amp;IF(OR(D100="",D100="/"),"缺少有效主责人；","")&amp;IF(OR(E100="",E100&lt;DATE(2000,1,1)),"缺少有效计划开始；","")&amp;IF(OR(F100="",F100&lt;DATE(2000,1,1)),"缺少有效计划完成；","")&amp;IF(项目总控台账!G99="","缺少总体状态；","")&amp;IF(AND(ISNUMBER(E100),ISNUMBER(F100),E100&gt;=DATE(2000,1,1),F100&gt;=DATE(2000,1,1),E100&gt;F100),"开始晚于完成；","")&amp;IF(AND(项目总控台账!G99="已完成",项目总控台账!AB99&lt;1),"已完成但进度不足100%；",""))</f>
        <v/>
      </c>
      <c r="H100" s="8" t="str">
        <f t="shared" si="2"/>
        <v>通过</v>
      </c>
      <c r="I100" s="8" t="str">
        <f t="shared" si="3"/>
        <v>无需处理</v>
      </c>
      <c r="J100" s="8">
        <v>99</v>
      </c>
    </row>
    <row r="101" spans="1:10">
      <c r="A101" s="8" t="s">
        <v>1623</v>
      </c>
      <c r="B101" s="8" t="str">
        <f>项目总控台账!A100</f>
        <v>T097</v>
      </c>
      <c r="C101" s="8" t="str">
        <f>IF(AND(项目总控台账!E100&lt;&gt;"",项目总控台账!E100&lt;&gt;"/"),项目总控台账!E100,IF(AND(项目总控台账!D100&lt;&gt;"",项目总控台账!D100&lt;&gt;"/"),项目总控台账!D100,项目总控台账!C100))</f>
        <v>自动生成租赁费</v>
      </c>
      <c r="D101" s="8" t="str">
        <f>项目总控台账!H100</f>
        <v>郑士旺</v>
      </c>
      <c r="E101" s="25">
        <f>项目总控台账!I100</f>
        <v>46202</v>
      </c>
      <c r="F101" s="25">
        <f>项目总控台账!J100</f>
        <v>46234</v>
      </c>
      <c r="G101" s="8" t="str">
        <f>IF(B101="","",IF(OR(C101="",C101="/"),"缺少任务名称；","")&amp;IF(OR(D101="",D101="/"),"缺少有效主责人；","")&amp;IF(OR(E101="",E101&lt;DATE(2000,1,1)),"缺少有效计划开始；","")&amp;IF(OR(F101="",F101&lt;DATE(2000,1,1)),"缺少有效计划完成；","")&amp;IF(项目总控台账!G100="","缺少总体状态；","")&amp;IF(AND(ISNUMBER(E101),ISNUMBER(F101),E101&gt;=DATE(2000,1,1),F101&gt;=DATE(2000,1,1),E101&gt;F101),"开始晚于完成；","")&amp;IF(AND(项目总控台账!G100="已完成",项目总控台账!AB100&lt;1),"已完成但进度不足100%；",""))</f>
        <v/>
      </c>
      <c r="H101" s="8" t="str">
        <f t="shared" si="2"/>
        <v>通过</v>
      </c>
      <c r="I101" s="8" t="str">
        <f t="shared" si="3"/>
        <v>无需处理</v>
      </c>
      <c r="J101" s="8">
        <v>100</v>
      </c>
    </row>
    <row r="102" spans="1:10">
      <c r="A102" s="8" t="s">
        <v>1623</v>
      </c>
      <c r="B102" s="8" t="str">
        <f>项目总控台账!A101</f>
        <v>T098</v>
      </c>
      <c r="C102" s="8" t="str">
        <f>IF(AND(项目总控台账!E101&lt;&gt;"",项目总控台账!E101&lt;&gt;"/"),项目总控台账!E101,IF(AND(项目总控台账!D101&lt;&gt;"",项目总控台账!D101&lt;&gt;"/"),项目总控台账!D101,项目总控台账!C101))</f>
        <v>优化装卸费新增</v>
      </c>
      <c r="D102" s="8" t="str">
        <f>项目总控台账!H101</f>
        <v>郑士旺</v>
      </c>
      <c r="E102" s="25">
        <f>项目总控台账!I101</f>
        <v>46202</v>
      </c>
      <c r="F102" s="25">
        <f>项目总控台账!J101</f>
        <v>46224</v>
      </c>
      <c r="G102" s="8" t="str">
        <f>IF(B102="","",IF(OR(C102="",C102="/"),"缺少任务名称；","")&amp;IF(OR(D102="",D102="/"),"缺少有效主责人；","")&amp;IF(OR(E102="",E102&lt;DATE(2000,1,1)),"缺少有效计划开始；","")&amp;IF(OR(F102="",F102&lt;DATE(2000,1,1)),"缺少有效计划完成；","")&amp;IF(项目总控台账!G101="","缺少总体状态；","")&amp;IF(AND(ISNUMBER(E102),ISNUMBER(F102),E102&gt;=DATE(2000,1,1),F102&gt;=DATE(2000,1,1),E102&gt;F102),"开始晚于完成；","")&amp;IF(AND(项目总控台账!G101="已完成",项目总控台账!AB101&lt;1),"已完成但进度不足100%；",""))</f>
        <v/>
      </c>
      <c r="H102" s="8" t="str">
        <f t="shared" si="2"/>
        <v>通过</v>
      </c>
      <c r="I102" s="8" t="str">
        <f t="shared" si="3"/>
        <v>无需处理</v>
      </c>
      <c r="J102" s="8">
        <v>101</v>
      </c>
    </row>
    <row r="103" spans="1:10">
      <c r="A103" s="8" t="s">
        <v>1623</v>
      </c>
      <c r="B103" s="8" t="str">
        <f>项目总控台账!A102</f>
        <v>T099</v>
      </c>
      <c r="C103" s="8" t="str">
        <f>IF(AND(项目总控台账!E102&lt;&gt;"",项目总控台账!E102&lt;&gt;"/"),项目总控台账!E102,IF(AND(项目总控台账!D102&lt;&gt;"",项目总控台账!D102&lt;&gt;"/"),项目总控台账!D102,项目总控台账!C102))</f>
        <v>优化装卸费编辑</v>
      </c>
      <c r="D103" s="8" t="str">
        <f>项目总控台账!H102</f>
        <v>郑士旺</v>
      </c>
      <c r="E103" s="25">
        <f>项目总控台账!I102</f>
        <v>46202</v>
      </c>
      <c r="F103" s="25">
        <f>项目总控台账!J102</f>
        <v>46224</v>
      </c>
      <c r="G103" s="8" t="str">
        <f>IF(B103="","",IF(OR(C103="",C103="/"),"缺少任务名称；","")&amp;IF(OR(D103="",D103="/"),"缺少有效主责人；","")&amp;IF(OR(E103="",E103&lt;DATE(2000,1,1)),"缺少有效计划开始；","")&amp;IF(OR(F103="",F103&lt;DATE(2000,1,1)),"缺少有效计划完成；","")&amp;IF(项目总控台账!G102="","缺少总体状态；","")&amp;IF(AND(ISNUMBER(E103),ISNUMBER(F103),E103&gt;=DATE(2000,1,1),F103&gt;=DATE(2000,1,1),E103&gt;F103),"开始晚于完成；","")&amp;IF(AND(项目总控台账!G102="已完成",项目总控台账!AB102&lt;1),"已完成但进度不足100%；",""))</f>
        <v/>
      </c>
      <c r="H103" s="8" t="str">
        <f t="shared" si="2"/>
        <v>通过</v>
      </c>
      <c r="I103" s="8" t="str">
        <f t="shared" si="3"/>
        <v>无需处理</v>
      </c>
      <c r="J103" s="8">
        <v>102</v>
      </c>
    </row>
    <row r="104" spans="1:10">
      <c r="A104" s="8" t="s">
        <v>1623</v>
      </c>
      <c r="B104" s="8" t="str">
        <f>项目总控台账!A103</f>
        <v>T100</v>
      </c>
      <c r="C104" s="8" t="str">
        <f>IF(AND(项目总控台账!E103&lt;&gt;"",项目总控台账!E103&lt;&gt;"/"),项目总控台账!E103,IF(AND(项目总控台账!D103&lt;&gt;"",项目总控台账!D103&lt;&gt;"/"),项目总控台账!D103,项目总控台账!C103))</f>
        <v>创建行业资讯数据</v>
      </c>
      <c r="D104" s="8" t="str">
        <f>项目总控台账!H103</f>
        <v>郑士旺</v>
      </c>
      <c r="E104" s="25">
        <f>项目总控台账!I103</f>
        <v>46209</v>
      </c>
      <c r="F104" s="25">
        <f>项目总控台账!J103</f>
        <v>46224</v>
      </c>
      <c r="G104" s="8" t="str">
        <f>IF(B104="","",IF(OR(C104="",C104="/"),"缺少任务名称；","")&amp;IF(OR(D104="",D104="/"),"缺少有效主责人；","")&amp;IF(OR(E104="",E104&lt;DATE(2000,1,1)),"缺少有效计划开始；","")&amp;IF(OR(F104="",F104&lt;DATE(2000,1,1)),"缺少有效计划完成；","")&amp;IF(项目总控台账!G103="","缺少总体状态；","")&amp;IF(AND(ISNUMBER(E104),ISNUMBER(F104),E104&gt;=DATE(2000,1,1),F104&gt;=DATE(2000,1,1),E104&gt;F104),"开始晚于完成；","")&amp;IF(AND(项目总控台账!G103="已完成",项目总控台账!AB103&lt;1),"已完成但进度不足100%；",""))</f>
        <v/>
      </c>
      <c r="H104" s="8" t="str">
        <f t="shared" si="2"/>
        <v>通过</v>
      </c>
      <c r="I104" s="8" t="str">
        <f t="shared" si="3"/>
        <v>无需处理</v>
      </c>
      <c r="J104" s="8">
        <v>103</v>
      </c>
    </row>
    <row r="105" spans="1:10">
      <c r="A105" s="8" t="s">
        <v>1623</v>
      </c>
      <c r="B105" s="8" t="str">
        <f>项目总控台账!A104</f>
        <v>T101</v>
      </c>
      <c r="C105" s="8" t="str">
        <f>IF(AND(项目总控台账!E104&lt;&gt;"",项目总控台账!E104&lt;&gt;"/"),项目总控台账!E104,IF(AND(项目总控台账!D104&lt;&gt;"",项目总控台账!D104&lt;&gt;"/"),项目总控台账!D104,项目总控台账!C104))</f>
        <v>修改行业资讯数据</v>
      </c>
      <c r="D105" s="8" t="str">
        <f>项目总控台账!H104</f>
        <v>郑士旺</v>
      </c>
      <c r="E105" s="25">
        <f>项目总控台账!I104</f>
        <v>46209</v>
      </c>
      <c r="F105" s="25">
        <f>项目总控台账!J104</f>
        <v>46224</v>
      </c>
      <c r="G105" s="8" t="str">
        <f>IF(B105="","",IF(OR(C105="",C105="/"),"缺少任务名称；","")&amp;IF(OR(D105="",D105="/"),"缺少有效主责人；","")&amp;IF(OR(E105="",E105&lt;DATE(2000,1,1)),"缺少有效计划开始；","")&amp;IF(OR(F105="",F105&lt;DATE(2000,1,1)),"缺少有效计划完成；","")&amp;IF(项目总控台账!G104="","缺少总体状态；","")&amp;IF(AND(ISNUMBER(E105),ISNUMBER(F105),E105&gt;=DATE(2000,1,1),F105&gt;=DATE(2000,1,1),E105&gt;F105),"开始晚于完成；","")&amp;IF(AND(项目总控台账!G104="已完成",项目总控台账!AB104&lt;1),"已完成但进度不足100%；",""))</f>
        <v/>
      </c>
      <c r="H105" s="8" t="str">
        <f t="shared" si="2"/>
        <v>通过</v>
      </c>
      <c r="I105" s="8" t="str">
        <f t="shared" si="3"/>
        <v>无需处理</v>
      </c>
      <c r="J105" s="8">
        <v>104</v>
      </c>
    </row>
    <row r="106" spans="1:10">
      <c r="A106" s="8" t="s">
        <v>1623</v>
      </c>
      <c r="B106" s="8" t="str">
        <f>项目总控台账!A105</f>
        <v>T102</v>
      </c>
      <c r="C106" s="8" t="str">
        <f>IF(AND(项目总控台账!E105&lt;&gt;"",项目总控台账!E105&lt;&gt;"/"),项目总控台账!E105,IF(AND(项目总控台账!D105&lt;&gt;"",项目总控台账!D105&lt;&gt;"/"),项目总控台账!D105,项目总控台账!C105))</f>
        <v>删除行业资讯数据</v>
      </c>
      <c r="D106" s="8" t="str">
        <f>项目总控台账!H105</f>
        <v>郑士旺</v>
      </c>
      <c r="E106" s="25">
        <f>项目总控台账!I105</f>
        <v>46209</v>
      </c>
      <c r="F106" s="25">
        <f>项目总控台账!J105</f>
        <v>46224</v>
      </c>
      <c r="G106" s="8" t="str">
        <f>IF(B106="","",IF(OR(C106="",C106="/"),"缺少任务名称；","")&amp;IF(OR(D106="",D106="/"),"缺少有效主责人；","")&amp;IF(OR(E106="",E106&lt;DATE(2000,1,1)),"缺少有效计划开始；","")&amp;IF(OR(F106="",F106&lt;DATE(2000,1,1)),"缺少有效计划完成；","")&amp;IF(项目总控台账!G105="","缺少总体状态；","")&amp;IF(AND(ISNUMBER(E106),ISNUMBER(F106),E106&gt;=DATE(2000,1,1),F106&gt;=DATE(2000,1,1),E106&gt;F106),"开始晚于完成；","")&amp;IF(AND(项目总控台账!G105="已完成",项目总控台账!AB105&lt;1),"已完成但进度不足100%；",""))</f>
        <v/>
      </c>
      <c r="H106" s="8" t="str">
        <f t="shared" si="2"/>
        <v>通过</v>
      </c>
      <c r="I106" s="8" t="str">
        <f t="shared" si="3"/>
        <v>无需处理</v>
      </c>
      <c r="J106" s="8">
        <v>105</v>
      </c>
    </row>
    <row r="107" spans="1:10">
      <c r="A107" s="8" t="s">
        <v>1623</v>
      </c>
      <c r="B107" s="8" t="str">
        <f>项目总控台账!A106</f>
        <v>T103</v>
      </c>
      <c r="C107" s="8" t="str">
        <f>IF(AND(项目总控台账!E106&lt;&gt;"",项目总控台账!E106&lt;&gt;"/"),项目总控台账!E106,IF(AND(项目总控台账!D106&lt;&gt;"",项目总控台账!D106&lt;&gt;"/"),项目总控台账!D106,项目总控台账!C106))</f>
        <v>展示行业资讯数据</v>
      </c>
      <c r="D107" s="8" t="str">
        <f>项目总控台账!H106</f>
        <v>郑士旺</v>
      </c>
      <c r="E107" s="25">
        <f>项目总控台账!I106</f>
        <v>46209</v>
      </c>
      <c r="F107" s="25">
        <f>项目总控台账!J106</f>
        <v>46224</v>
      </c>
      <c r="G107" s="8" t="str">
        <f>IF(B107="","",IF(OR(C107="",C107="/"),"缺少任务名称；","")&amp;IF(OR(D107="",D107="/"),"缺少有效主责人；","")&amp;IF(OR(E107="",E107&lt;DATE(2000,1,1)),"缺少有效计划开始；","")&amp;IF(OR(F107="",F107&lt;DATE(2000,1,1)),"缺少有效计划完成；","")&amp;IF(项目总控台账!G106="","缺少总体状态；","")&amp;IF(AND(ISNUMBER(E107),ISNUMBER(F107),E107&gt;=DATE(2000,1,1),F107&gt;=DATE(2000,1,1),E107&gt;F107),"开始晚于完成；","")&amp;IF(AND(项目总控台账!G106="已完成",项目总控台账!AB106&lt;1),"已完成但进度不足100%；",""))</f>
        <v/>
      </c>
      <c r="H107" s="8" t="str">
        <f t="shared" si="2"/>
        <v>通过</v>
      </c>
      <c r="I107" s="8" t="str">
        <f t="shared" si="3"/>
        <v>无需处理</v>
      </c>
      <c r="J107" s="8">
        <v>106</v>
      </c>
    </row>
    <row r="108" spans="1:10">
      <c r="A108" s="8" t="s">
        <v>1623</v>
      </c>
      <c r="B108" s="8" t="str">
        <f>项目总控台账!A107</f>
        <v>T104</v>
      </c>
      <c r="C108" s="8" t="str">
        <f>IF(AND(项目总控台账!E107&lt;&gt;"",项目总控台账!E107&lt;&gt;"/"),项目总控台账!E107,IF(AND(项目总控台账!D107&lt;&gt;"",项目总控台账!D107&lt;&gt;"/"),项目总控台账!D107,项目总控台账!C107))</f>
        <v>吞吐量统计（曹妃甸）</v>
      </c>
      <c r="D108" s="8" t="str">
        <f>项目总控台账!H107</f>
        <v>郑士旺</v>
      </c>
      <c r="E108" s="25">
        <f>项目总控台账!I107</f>
        <v>46209</v>
      </c>
      <c r="F108" s="25">
        <f>项目总控台账!J107</f>
        <v>46269</v>
      </c>
      <c r="G108" s="8" t="str">
        <f>IF(B108="","",IF(OR(C108="",C108="/"),"缺少任务名称；","")&amp;IF(OR(D108="",D108="/"),"缺少有效主责人；","")&amp;IF(OR(E108="",E108&lt;DATE(2000,1,1)),"缺少有效计划开始；","")&amp;IF(OR(F108="",F108&lt;DATE(2000,1,1)),"缺少有效计划完成；","")&amp;IF(项目总控台账!G107="","缺少总体状态；","")&amp;IF(AND(ISNUMBER(E108),ISNUMBER(F108),E108&gt;=DATE(2000,1,1),F108&gt;=DATE(2000,1,1),E108&gt;F108),"开始晚于完成；","")&amp;IF(AND(项目总控台账!G107="已完成",项目总控台账!AB107&lt;1),"已完成但进度不足100%；",""))</f>
        <v/>
      </c>
      <c r="H108" s="8" t="str">
        <f t="shared" si="2"/>
        <v>通过</v>
      </c>
      <c r="I108" s="8" t="str">
        <f t="shared" si="3"/>
        <v>无需处理</v>
      </c>
      <c r="J108" s="8">
        <v>107</v>
      </c>
    </row>
    <row r="109" spans="1:10">
      <c r="A109" s="8" t="s">
        <v>1623</v>
      </c>
      <c r="B109" s="8" t="str">
        <f>项目总控台账!A108</f>
        <v>T105</v>
      </c>
      <c r="C109" s="8" t="str">
        <f>IF(AND(项目总控台账!E108&lt;&gt;"",项目总控台账!E108&lt;&gt;"/"),项目总控台账!E108,IF(AND(项目总控台账!D108&lt;&gt;"",项目总控台账!D108&lt;&gt;"/"),项目总控台账!D108,项目总控台账!C108))</f>
        <v>泊位占用率分析（曹妃甸）</v>
      </c>
      <c r="D109" s="8" t="str">
        <f>项目总控台账!H108</f>
        <v>郑士旺</v>
      </c>
      <c r="E109" s="25">
        <f>项目总控台账!I108</f>
        <v>46209</v>
      </c>
      <c r="F109" s="25">
        <f>项目总控台账!J108</f>
        <v>46269</v>
      </c>
      <c r="G109" s="8" t="str">
        <f>IF(B109="","",IF(OR(C109="",C109="/"),"缺少任务名称；","")&amp;IF(OR(D109="",D109="/"),"缺少有效主责人；","")&amp;IF(OR(E109="",E109&lt;DATE(2000,1,1)),"缺少有效计划开始；","")&amp;IF(OR(F109="",F109&lt;DATE(2000,1,1)),"缺少有效计划完成；","")&amp;IF(项目总控台账!G108="","缺少总体状态；","")&amp;IF(AND(ISNUMBER(E109),ISNUMBER(F109),E109&gt;=DATE(2000,1,1),F109&gt;=DATE(2000,1,1),E109&gt;F109),"开始晚于完成；","")&amp;IF(AND(项目总控台账!G108="已完成",项目总控台账!AB108&lt;1),"已完成但进度不足100%；",""))</f>
        <v/>
      </c>
      <c r="H109" s="8" t="str">
        <f t="shared" si="2"/>
        <v>通过</v>
      </c>
      <c r="I109" s="8" t="str">
        <f t="shared" si="3"/>
        <v>无需处理</v>
      </c>
      <c r="J109" s="8">
        <v>108</v>
      </c>
    </row>
    <row r="110" spans="1:10">
      <c r="A110" s="8" t="s">
        <v>1623</v>
      </c>
      <c r="B110" s="8" t="str">
        <f>项目总控台账!A109</f>
        <v>T106</v>
      </c>
      <c r="C110" s="8" t="str">
        <f>IF(AND(项目总控台账!E109&lt;&gt;"",项目总控台账!E109&lt;&gt;"/"),项目总控台账!E109,IF(AND(项目总控台账!D109&lt;&gt;"",项目总控台账!D109&lt;&gt;"/"),项目总控台账!D109,项目总控台账!C109))</f>
        <v>堆存库存统计（曹妃甸）</v>
      </c>
      <c r="D110" s="8" t="str">
        <f>项目总控台账!H109</f>
        <v>郑士旺</v>
      </c>
      <c r="E110" s="25">
        <f>项目总控台账!I109</f>
        <v>46209</v>
      </c>
      <c r="F110" s="25">
        <f>项目总控台账!J109</f>
        <v>46269</v>
      </c>
      <c r="G110" s="8" t="str">
        <f>IF(B110="","",IF(OR(C110="",C110="/"),"缺少任务名称；","")&amp;IF(OR(D110="",D110="/"),"缺少有效主责人；","")&amp;IF(OR(E110="",E110&lt;DATE(2000,1,1)),"缺少有效计划开始；","")&amp;IF(OR(F110="",F110&lt;DATE(2000,1,1)),"缺少有效计划完成；","")&amp;IF(项目总控台账!G109="","缺少总体状态；","")&amp;IF(AND(ISNUMBER(E110),ISNUMBER(F110),E110&gt;=DATE(2000,1,1),F110&gt;=DATE(2000,1,1),E110&gt;F110),"开始晚于完成；","")&amp;IF(AND(项目总控台账!G109="已完成",项目总控台账!AB109&lt;1),"已完成但进度不足100%；",""))</f>
        <v/>
      </c>
      <c r="H110" s="8" t="str">
        <f t="shared" si="2"/>
        <v>通过</v>
      </c>
      <c r="I110" s="8" t="str">
        <f t="shared" si="3"/>
        <v>无需处理</v>
      </c>
      <c r="J110" s="8">
        <v>109</v>
      </c>
    </row>
    <row r="111" spans="1:10">
      <c r="A111" s="8" t="s">
        <v>1623</v>
      </c>
      <c r="B111" s="8" t="str">
        <f>项目总控台账!A110</f>
        <v>T107</v>
      </c>
      <c r="C111" s="8" t="str">
        <f>IF(AND(项目总控台账!E110&lt;&gt;"",项目总控台账!E110&lt;&gt;"/"),项目总控台账!E110,IF(AND(项目总控台账!D110&lt;&gt;"",项目总控台账!D110&lt;&gt;"/"),项目总控台账!D110,项目总控台账!C110))</f>
        <v>分货主实时统计表（曹妃甸）</v>
      </c>
      <c r="D111" s="8" t="str">
        <f>项目总控台账!H110</f>
        <v>郑士旺</v>
      </c>
      <c r="E111" s="25">
        <f>项目总控台账!I110</f>
        <v>46209</v>
      </c>
      <c r="F111" s="25">
        <f>项目总控台账!J110</f>
        <v>46269</v>
      </c>
      <c r="G111" s="8" t="str">
        <f>IF(B111="","",IF(OR(C111="",C111="/"),"缺少任务名称；","")&amp;IF(OR(D111="",D111="/"),"缺少有效主责人；","")&amp;IF(OR(E111="",E111&lt;DATE(2000,1,1)),"缺少有效计划开始；","")&amp;IF(OR(F111="",F111&lt;DATE(2000,1,1)),"缺少有效计划完成；","")&amp;IF(项目总控台账!G110="","缺少总体状态；","")&amp;IF(AND(ISNUMBER(E111),ISNUMBER(F111),E111&gt;=DATE(2000,1,1),F111&gt;=DATE(2000,1,1),E111&gt;F111),"开始晚于完成；","")&amp;IF(AND(项目总控台账!G110="已完成",项目总控台账!AB110&lt;1),"已完成但进度不足100%；",""))</f>
        <v/>
      </c>
      <c r="H111" s="8" t="str">
        <f t="shared" si="2"/>
        <v>通过</v>
      </c>
      <c r="I111" s="8" t="str">
        <f t="shared" si="3"/>
        <v>无需处理</v>
      </c>
      <c r="J111" s="8">
        <v>110</v>
      </c>
    </row>
    <row r="112" spans="1:10">
      <c r="A112" s="8" t="s">
        <v>1623</v>
      </c>
      <c r="B112" s="8" t="str">
        <f>项目总控台账!A111</f>
        <v>T108</v>
      </c>
      <c r="C112" s="8" t="str">
        <f>IF(AND(项目总控台账!E111&lt;&gt;"",项目总控台账!E111&lt;&gt;"/"),项目总控台账!E111,IF(AND(项目总控台账!D111&lt;&gt;"",项目总控台账!D111&lt;&gt;"/"),项目总控台账!D111,项目总控台账!C111))</f>
        <v>综合装船效率分析（曹妃甸）</v>
      </c>
      <c r="D112" s="8" t="str">
        <f>项目总控台账!H111</f>
        <v>郑士旺</v>
      </c>
      <c r="E112" s="25">
        <f>项目总控台账!I111</f>
        <v>46209</v>
      </c>
      <c r="F112" s="25">
        <f>项目总控台账!J111</f>
        <v>46269</v>
      </c>
      <c r="G112" s="8" t="str">
        <f>IF(B112="","",IF(OR(C112="",C112="/"),"缺少任务名称；","")&amp;IF(OR(D112="",D112="/"),"缺少有效主责人；","")&amp;IF(OR(E112="",E112&lt;DATE(2000,1,1)),"缺少有效计划开始；","")&amp;IF(OR(F112="",F112&lt;DATE(2000,1,1)),"缺少有效计划完成；","")&amp;IF(项目总控台账!G111="","缺少总体状态；","")&amp;IF(AND(ISNUMBER(E112),ISNUMBER(F112),E112&gt;=DATE(2000,1,1),F112&gt;=DATE(2000,1,1),E112&gt;F112),"开始晚于完成；","")&amp;IF(AND(项目总控台账!G111="已完成",项目总控台账!AB111&lt;1),"已完成但进度不足100%；",""))</f>
        <v/>
      </c>
      <c r="H112" s="8" t="str">
        <f t="shared" si="2"/>
        <v>通过</v>
      </c>
      <c r="I112" s="8" t="str">
        <f t="shared" si="3"/>
        <v>无需处理</v>
      </c>
      <c r="J112" s="8">
        <v>111</v>
      </c>
    </row>
    <row r="113" spans="1:10">
      <c r="A113" s="8" t="s">
        <v>1623</v>
      </c>
      <c r="B113" s="8" t="str">
        <f>项目总控台账!A112</f>
        <v>T109</v>
      </c>
      <c r="C113" s="8" t="str">
        <f>IF(AND(项目总控台账!E112&lt;&gt;"",项目总控台账!E112&lt;&gt;"/"),项目总控台账!E112,IF(AND(项目总控台账!D112&lt;&gt;"",项目总控台账!D112&lt;&gt;"/"),项目总控台账!D112,项目总控台账!C112))</f>
        <v>综合卸车效率分析（曹妃甸）</v>
      </c>
      <c r="D113" s="8" t="str">
        <f>项目总控台账!H112</f>
        <v>郑士旺</v>
      </c>
      <c r="E113" s="25">
        <f>项目总控台账!I112</f>
        <v>46209</v>
      </c>
      <c r="F113" s="25">
        <f>项目总控台账!J112</f>
        <v>46269</v>
      </c>
      <c r="G113" s="8" t="str">
        <f>IF(B113="","",IF(OR(C113="",C113="/"),"缺少任务名称；","")&amp;IF(OR(D113="",D113="/"),"缺少有效主责人；","")&amp;IF(OR(E113="",E113&lt;DATE(2000,1,1)),"缺少有效计划开始；","")&amp;IF(OR(F113="",F113&lt;DATE(2000,1,1)),"缺少有效计划完成；","")&amp;IF(项目总控台账!G112="","缺少总体状态；","")&amp;IF(AND(ISNUMBER(E113),ISNUMBER(F113),E113&gt;=DATE(2000,1,1),F113&gt;=DATE(2000,1,1),E113&gt;F113),"开始晚于完成；","")&amp;IF(AND(项目总控台账!G112="已完成",项目总控台账!AB112&lt;1),"已完成但进度不足100%；",""))</f>
        <v/>
      </c>
      <c r="H113" s="8" t="str">
        <f t="shared" si="2"/>
        <v>通过</v>
      </c>
      <c r="I113" s="8" t="str">
        <f t="shared" si="3"/>
        <v>无需处理</v>
      </c>
      <c r="J113" s="8">
        <v>112</v>
      </c>
    </row>
    <row r="114" spans="1:10">
      <c r="A114" s="8" t="s">
        <v>1623</v>
      </c>
      <c r="B114" s="8" t="str">
        <f>项目总控台账!A113</f>
        <v>T110</v>
      </c>
      <c r="C114" s="8" t="str">
        <f>IF(AND(项目总控台账!E113&lt;&gt;"",项目总控台账!E113&lt;&gt;"/"),项目总控台账!E113,IF(AND(项目总控台账!D113&lt;&gt;"",项目总控台账!D113&lt;&gt;"/"),项目总控台账!D113,项目总控台账!C113))</f>
        <v>综合卸船效率分析（曹妃甸）</v>
      </c>
      <c r="D114" s="8" t="str">
        <f>项目总控台账!H113</f>
        <v>郑士旺</v>
      </c>
      <c r="E114" s="25">
        <f>项目总控台账!I113</f>
        <v>46209</v>
      </c>
      <c r="F114" s="25">
        <f>项目总控台账!J113</f>
        <v>46269</v>
      </c>
      <c r="G114" s="8" t="str">
        <f>IF(B114="","",IF(OR(C114="",C114="/"),"缺少任务名称；","")&amp;IF(OR(D114="",D114="/"),"缺少有效主责人；","")&amp;IF(OR(E114="",E114&lt;DATE(2000,1,1)),"缺少有效计划开始；","")&amp;IF(OR(F114="",F114&lt;DATE(2000,1,1)),"缺少有效计划完成；","")&amp;IF(项目总控台账!G113="","缺少总体状态；","")&amp;IF(AND(ISNUMBER(E114),ISNUMBER(F114),E114&gt;=DATE(2000,1,1),F114&gt;=DATE(2000,1,1),E114&gt;F114),"开始晚于完成；","")&amp;IF(AND(项目总控台账!G113="已完成",项目总控台账!AB113&lt;1),"已完成但进度不足100%；",""))</f>
        <v/>
      </c>
      <c r="H114" s="8" t="str">
        <f t="shared" si="2"/>
        <v>通过</v>
      </c>
      <c r="I114" s="8" t="str">
        <f t="shared" si="3"/>
        <v>无需处理</v>
      </c>
      <c r="J114" s="8">
        <v>113</v>
      </c>
    </row>
    <row r="115" spans="1:10">
      <c r="A115" s="8" t="s">
        <v>1623</v>
      </c>
      <c r="B115" s="8" t="str">
        <f>项目总控台账!A114</f>
        <v>T111</v>
      </c>
      <c r="C115" s="8" t="str">
        <f>IF(AND(项目总控台账!E114&lt;&gt;"",项目总控台账!E114&lt;&gt;"/"),项目总控台账!E114,IF(AND(项目总控台账!D114&lt;&gt;"",项目总控台账!D114&lt;&gt;"/"),项目总控台账!D114,项目总控台账!C114))</f>
        <v>吞吐量统计（太仓）</v>
      </c>
      <c r="D115" s="8" t="str">
        <f>项目总控台账!H114</f>
        <v>/</v>
      </c>
      <c r="E115" s="25" t="str">
        <f>项目总控台账!I114</f>
        <v/>
      </c>
      <c r="F115" s="25" t="str">
        <f>项目总控台账!J114</f>
        <v/>
      </c>
      <c r="G115" s="8" t="str">
        <f>IF(B115="","",IF(OR(C115="",C115="/"),"缺少任务名称；","")&amp;IF(OR(D115="",D115="/"),"缺少有效主责人；","")&amp;IF(OR(E115="",E115&lt;DATE(2000,1,1)),"缺少有效计划开始；","")&amp;IF(OR(F115="",F115&lt;DATE(2000,1,1)),"缺少有效计划完成；","")&amp;IF(项目总控台账!G114="","缺少总体状态；","")&amp;IF(AND(ISNUMBER(E115),ISNUMBER(F115),E115&gt;=DATE(2000,1,1),F115&gt;=DATE(2000,1,1),E115&gt;F115),"开始晚于完成；","")&amp;IF(AND(项目总控台账!G114="已完成",项目总控台账!AB114&lt;1),"已完成但进度不足100%；",""))</f>
        <v>缺少有效主责人；缺少有效计划开始；缺少有效计划完成；</v>
      </c>
      <c r="H115" s="8" t="str">
        <f t="shared" si="2"/>
        <v>需整改</v>
      </c>
      <c r="I115" s="8" t="str">
        <f t="shared" si="3"/>
        <v>回到项目总控台账第114行补齐或修正</v>
      </c>
      <c r="J115" s="8">
        <v>114</v>
      </c>
    </row>
    <row r="116" spans="1:10">
      <c r="A116" s="8" t="s">
        <v>1623</v>
      </c>
      <c r="B116" s="8" t="str">
        <f>项目总控台账!A115</f>
        <v>T112</v>
      </c>
      <c r="C116" s="8" t="str">
        <f>IF(AND(项目总控台账!E115&lt;&gt;"",项目总控台账!E115&lt;&gt;"/"),项目总控台账!E115,IF(AND(项目总控台账!D115&lt;&gt;"",项目总控台账!D115&lt;&gt;"/"),项目总控台账!D115,项目总控台账!C115))</f>
        <v>泊位占用率分析（太仓）</v>
      </c>
      <c r="D116" s="8" t="str">
        <f>项目总控台账!H115</f>
        <v>/</v>
      </c>
      <c r="E116" s="25" t="str">
        <f>项目总控台账!I115</f>
        <v/>
      </c>
      <c r="F116" s="25" t="str">
        <f>项目总控台账!J115</f>
        <v/>
      </c>
      <c r="G116" s="8" t="str">
        <f>IF(B116="","",IF(OR(C116="",C116="/"),"缺少任务名称；","")&amp;IF(OR(D116="",D116="/"),"缺少有效主责人；","")&amp;IF(OR(E116="",E116&lt;DATE(2000,1,1)),"缺少有效计划开始；","")&amp;IF(OR(F116="",F116&lt;DATE(2000,1,1)),"缺少有效计划完成；","")&amp;IF(项目总控台账!G115="","缺少总体状态；","")&amp;IF(AND(ISNUMBER(E116),ISNUMBER(F116),E116&gt;=DATE(2000,1,1),F116&gt;=DATE(2000,1,1),E116&gt;F116),"开始晚于完成；","")&amp;IF(AND(项目总控台账!G115="已完成",项目总控台账!AB115&lt;1),"已完成但进度不足100%；",""))</f>
        <v>缺少有效主责人；缺少有效计划开始；缺少有效计划完成；</v>
      </c>
      <c r="H116" s="8" t="str">
        <f t="shared" si="2"/>
        <v>需整改</v>
      </c>
      <c r="I116" s="8" t="str">
        <f t="shared" si="3"/>
        <v>回到项目总控台账第115行补齐或修正</v>
      </c>
      <c r="J116" s="8">
        <v>115</v>
      </c>
    </row>
    <row r="117" spans="1:10">
      <c r="A117" s="8" t="s">
        <v>1623</v>
      </c>
      <c r="B117" s="8" t="str">
        <f>项目总控台账!A116</f>
        <v>T113</v>
      </c>
      <c r="C117" s="8" t="str">
        <f>IF(AND(项目总控台账!E116&lt;&gt;"",项目总控台账!E116&lt;&gt;"/"),项目总控台账!E116,IF(AND(项目总控台账!D116&lt;&gt;"",项目总控台账!D116&lt;&gt;"/"),项目总控台账!D116,项目总控台账!C116))</f>
        <v>堆存库存统计（太仓）</v>
      </c>
      <c r="D117" s="8" t="str">
        <f>项目总控台账!H116</f>
        <v>/</v>
      </c>
      <c r="E117" s="25" t="str">
        <f>项目总控台账!I116</f>
        <v/>
      </c>
      <c r="F117" s="25" t="str">
        <f>项目总控台账!J116</f>
        <v/>
      </c>
      <c r="G117" s="8" t="str">
        <f>IF(B117="","",IF(OR(C117="",C117="/"),"缺少任务名称；","")&amp;IF(OR(D117="",D117="/"),"缺少有效主责人；","")&amp;IF(OR(E117="",E117&lt;DATE(2000,1,1)),"缺少有效计划开始；","")&amp;IF(OR(F117="",F117&lt;DATE(2000,1,1)),"缺少有效计划完成；","")&amp;IF(项目总控台账!G116="","缺少总体状态；","")&amp;IF(AND(ISNUMBER(E117),ISNUMBER(F117),E117&gt;=DATE(2000,1,1),F117&gt;=DATE(2000,1,1),E117&gt;F117),"开始晚于完成；","")&amp;IF(AND(项目总控台账!G116="已完成",项目总控台账!AB116&lt;1),"已完成但进度不足100%；",""))</f>
        <v>缺少有效主责人；缺少有效计划开始；缺少有效计划完成；</v>
      </c>
      <c r="H117" s="8" t="str">
        <f t="shared" si="2"/>
        <v>需整改</v>
      </c>
      <c r="I117" s="8" t="str">
        <f t="shared" si="3"/>
        <v>回到项目总控台账第116行补齐或修正</v>
      </c>
      <c r="J117" s="8">
        <v>116</v>
      </c>
    </row>
    <row r="118" spans="1:10">
      <c r="A118" s="8" t="s">
        <v>1623</v>
      </c>
      <c r="B118" s="8" t="str">
        <f>项目总控台账!A117</f>
        <v>T114</v>
      </c>
      <c r="C118" s="8" t="str">
        <f>IF(AND(项目总控台账!E117&lt;&gt;"",项目总控台账!E117&lt;&gt;"/"),项目总控台账!E117,IF(AND(项目总控台账!D117&lt;&gt;"",项目总控台账!D117&lt;&gt;"/"),项目总控台账!D117,项目总控台账!C117))</f>
        <v>分货主实时统计表（太仓）</v>
      </c>
      <c r="D118" s="8" t="str">
        <f>项目总控台账!H117</f>
        <v>/</v>
      </c>
      <c r="E118" s="25" t="str">
        <f>项目总控台账!I117</f>
        <v/>
      </c>
      <c r="F118" s="25" t="str">
        <f>项目总控台账!J117</f>
        <v/>
      </c>
      <c r="G118" s="8" t="str">
        <f>IF(B118="","",IF(OR(C118="",C118="/"),"缺少任务名称；","")&amp;IF(OR(D118="",D118="/"),"缺少有效主责人；","")&amp;IF(OR(E118="",E118&lt;DATE(2000,1,1)),"缺少有效计划开始；","")&amp;IF(OR(F118="",F118&lt;DATE(2000,1,1)),"缺少有效计划完成；","")&amp;IF(项目总控台账!G117="","缺少总体状态；","")&amp;IF(AND(ISNUMBER(E118),ISNUMBER(F118),E118&gt;=DATE(2000,1,1),F118&gt;=DATE(2000,1,1),E118&gt;F118),"开始晚于完成；","")&amp;IF(AND(项目总控台账!G117="已完成",项目总控台账!AB117&lt;1),"已完成但进度不足100%；",""))</f>
        <v>缺少有效主责人；缺少有效计划开始；缺少有效计划完成；</v>
      </c>
      <c r="H118" s="8" t="str">
        <f t="shared" si="2"/>
        <v>需整改</v>
      </c>
      <c r="I118" s="8" t="str">
        <f t="shared" si="3"/>
        <v>回到项目总控台账第117行补齐或修正</v>
      </c>
      <c r="J118" s="8">
        <v>117</v>
      </c>
    </row>
    <row r="119" spans="1:10">
      <c r="A119" s="8" t="s">
        <v>1623</v>
      </c>
      <c r="B119" s="8" t="str">
        <f>项目总控台账!A118</f>
        <v>T115</v>
      </c>
      <c r="C119" s="8" t="str">
        <f>IF(AND(项目总控台账!E118&lt;&gt;"",项目总控台账!E118&lt;&gt;"/"),项目总控台账!E118,IF(AND(项目总控台账!D118&lt;&gt;"",项目总控台账!D118&lt;&gt;"/"),项目总控台账!D118,项目总控台账!C118))</f>
        <v>综合卸船效率分析（太仓）</v>
      </c>
      <c r="D119" s="8" t="str">
        <f>项目总控台账!H118</f>
        <v>/</v>
      </c>
      <c r="E119" s="25" t="str">
        <f>项目总控台账!I118</f>
        <v/>
      </c>
      <c r="F119" s="25" t="str">
        <f>项目总控台账!J118</f>
        <v/>
      </c>
      <c r="G119" s="8" t="str">
        <f>IF(B119="","",IF(OR(C119="",C119="/"),"缺少任务名称；","")&amp;IF(OR(D119="",D119="/"),"缺少有效主责人；","")&amp;IF(OR(E119="",E119&lt;DATE(2000,1,1)),"缺少有效计划开始；","")&amp;IF(OR(F119="",F119&lt;DATE(2000,1,1)),"缺少有效计划完成；","")&amp;IF(项目总控台账!G118="","缺少总体状态；","")&amp;IF(AND(ISNUMBER(E119),ISNUMBER(F119),E119&gt;=DATE(2000,1,1),F119&gt;=DATE(2000,1,1),E119&gt;F119),"开始晚于完成；","")&amp;IF(AND(项目总控台账!G118="已完成",项目总控台账!AB118&lt;1),"已完成但进度不足100%；",""))</f>
        <v>缺少有效主责人；缺少有效计划开始；缺少有效计划完成；</v>
      </c>
      <c r="H119" s="8" t="str">
        <f t="shared" si="2"/>
        <v>需整改</v>
      </c>
      <c r="I119" s="8" t="str">
        <f t="shared" si="3"/>
        <v>回到项目总控台账第118行补齐或修正</v>
      </c>
      <c r="J119" s="8">
        <v>118</v>
      </c>
    </row>
    <row r="120" spans="1:10">
      <c r="A120" s="8" t="s">
        <v>1623</v>
      </c>
      <c r="B120" s="8" t="str">
        <f>项目总控台账!A119</f>
        <v>T116</v>
      </c>
      <c r="C120" s="8" t="str">
        <f>IF(AND(项目总控台账!E119&lt;&gt;"",项目总控台账!E119&lt;&gt;"/"),项目总控台账!E119,IF(AND(项目总控台账!D119&lt;&gt;"",项目总控台账!D119&lt;&gt;"/"),项目总控台账!D119,项目总控台账!C119))</f>
        <v>堆垛雨布苫盖情况表（太仓）</v>
      </c>
      <c r="D120" s="8" t="str">
        <f>项目总控台账!H119</f>
        <v>/</v>
      </c>
      <c r="E120" s="25" t="str">
        <f>项目总控台账!I119</f>
        <v/>
      </c>
      <c r="F120" s="25" t="str">
        <f>项目总控台账!J119</f>
        <v/>
      </c>
      <c r="G120" s="8" t="str">
        <f>IF(B120="","",IF(OR(C120="",C120="/"),"缺少任务名称；","")&amp;IF(OR(D120="",D120="/"),"缺少有效主责人；","")&amp;IF(OR(E120="",E120&lt;DATE(2000,1,1)),"缺少有效计划开始；","")&amp;IF(OR(F120="",F120&lt;DATE(2000,1,1)),"缺少有效计划完成；","")&amp;IF(项目总控台账!G119="","缺少总体状态；","")&amp;IF(AND(ISNUMBER(E120),ISNUMBER(F120),E120&gt;=DATE(2000,1,1),F120&gt;=DATE(2000,1,1),E120&gt;F120),"开始晚于完成；","")&amp;IF(AND(项目总控台账!G119="已完成",项目总控台账!AB119&lt;1),"已完成但进度不足100%；",""))</f>
        <v>缺少有效主责人；缺少有效计划开始；缺少有效计划完成；</v>
      </c>
      <c r="H120" s="8" t="str">
        <f t="shared" si="2"/>
        <v>需整改</v>
      </c>
      <c r="I120" s="8" t="str">
        <f t="shared" si="3"/>
        <v>回到项目总控台账第119行补齐或修正</v>
      </c>
      <c r="J120" s="8">
        <v>119</v>
      </c>
    </row>
    <row r="121" spans="1:10">
      <c r="A121" s="8" t="s">
        <v>1623</v>
      </c>
      <c r="B121" s="8" t="str">
        <f>项目总控台账!A120</f>
        <v>T117</v>
      </c>
      <c r="C121" s="8" t="str">
        <f>IF(AND(项目总控台账!E120&lt;&gt;"",项目总控台账!E120&lt;&gt;"/"),项目总控台账!E120,IF(AND(项目总控台账!D120&lt;&gt;"",项目总控台账!D120&lt;&gt;"/"),项目总控台账!D120,项目总控台账!C120))</f>
        <v>经营任务情况分析报告</v>
      </c>
      <c r="D121" s="8" t="str">
        <f>项目总控台账!H120</f>
        <v>郑士旺</v>
      </c>
      <c r="E121" s="25">
        <f>项目总控台账!I120</f>
        <v>46230</v>
      </c>
      <c r="F121" s="25">
        <f>项目总控台账!J120</f>
        <v>46269</v>
      </c>
      <c r="G121" s="8" t="str">
        <f>IF(B121="","",IF(OR(C121="",C121="/"),"缺少任务名称；","")&amp;IF(OR(D121="",D121="/"),"缺少有效主责人；","")&amp;IF(OR(E121="",E121&lt;DATE(2000,1,1)),"缺少有效计划开始；","")&amp;IF(OR(F121="",F121&lt;DATE(2000,1,1)),"缺少有效计划完成；","")&amp;IF(项目总控台账!G120="","缺少总体状态；","")&amp;IF(AND(ISNUMBER(E121),ISNUMBER(F121),E121&gt;=DATE(2000,1,1),F121&gt;=DATE(2000,1,1),E121&gt;F121),"开始晚于完成；","")&amp;IF(AND(项目总控台账!G120="已完成",项目总控台账!AB120&lt;1),"已完成但进度不足100%；",""))</f>
        <v/>
      </c>
      <c r="H121" s="8" t="str">
        <f t="shared" si="2"/>
        <v>通过</v>
      </c>
      <c r="I121" s="8" t="str">
        <f t="shared" si="3"/>
        <v>无需处理</v>
      </c>
      <c r="J121" s="8">
        <v>120</v>
      </c>
    </row>
    <row r="122" spans="1:10">
      <c r="A122" s="8" t="s">
        <v>1623</v>
      </c>
      <c r="B122" s="8" t="str">
        <f>项目总控台账!A121</f>
        <v>T118</v>
      </c>
      <c r="C122" s="8" t="str">
        <f>IF(AND(项目总控台账!E121&lt;&gt;"",项目总控台账!E121&lt;&gt;"/"),项目总控台账!E121,IF(AND(项目总控台账!D121&lt;&gt;"",项目总控台账!D121&lt;&gt;"/"),项目总控台账!D121,项目总控台账!C121))</f>
        <v>客户月报报告</v>
      </c>
      <c r="D122" s="8" t="str">
        <f>项目总控台账!H121</f>
        <v>郑士旺</v>
      </c>
      <c r="E122" s="25">
        <f>项目总控台账!I121</f>
        <v>46230</v>
      </c>
      <c r="F122" s="25">
        <f>项目总控台账!J121</f>
        <v>46269</v>
      </c>
      <c r="G122" s="8" t="str">
        <f>IF(B122="","",IF(OR(C122="",C122="/"),"缺少任务名称；","")&amp;IF(OR(D122="",D122="/"),"缺少有效主责人；","")&amp;IF(OR(E122="",E122&lt;DATE(2000,1,1)),"缺少有效计划开始；","")&amp;IF(OR(F122="",F122&lt;DATE(2000,1,1)),"缺少有效计划完成；","")&amp;IF(项目总控台账!G121="","缺少总体状态；","")&amp;IF(AND(ISNUMBER(E122),ISNUMBER(F122),E122&gt;=DATE(2000,1,1),F122&gt;=DATE(2000,1,1),E122&gt;F122),"开始晚于完成；","")&amp;IF(AND(项目总控台账!G121="已完成",项目总控台账!AB121&lt;1),"已完成但进度不足100%；",""))</f>
        <v/>
      </c>
      <c r="H122" s="8" t="str">
        <f t="shared" si="2"/>
        <v>通过</v>
      </c>
      <c r="I122" s="8" t="str">
        <f t="shared" si="3"/>
        <v>无需处理</v>
      </c>
      <c r="J122" s="8">
        <v>121</v>
      </c>
    </row>
    <row r="123" spans="1:10">
      <c r="A123" s="8" t="s">
        <v>1623</v>
      </c>
      <c r="B123" s="8" t="str">
        <f>项目总控台账!A122</f>
        <v>T119</v>
      </c>
      <c r="C123" s="8" t="str">
        <f>IF(AND(项目总控台账!E122&lt;&gt;"",项目总控台账!E122&lt;&gt;"/"),项目总控台账!E122,IF(AND(项目总控台账!D122&lt;&gt;"",项目总控台账!D122&lt;&gt;"/"),项目总控台账!D122,项目总控台账!C122))</f>
        <v>月度客户情况报告</v>
      </c>
      <c r="D123" s="8" t="str">
        <f>项目总控台账!H122</f>
        <v>郑士旺</v>
      </c>
      <c r="E123" s="25">
        <f>项目总控台账!I122</f>
        <v>46230</v>
      </c>
      <c r="F123" s="25">
        <f>项目总控台账!J122</f>
        <v>46269</v>
      </c>
      <c r="G123" s="8" t="str">
        <f>IF(B123="","",IF(OR(C123="",C123="/"),"缺少任务名称；","")&amp;IF(OR(D123="",D123="/"),"缺少有效主责人；","")&amp;IF(OR(E123="",E123&lt;DATE(2000,1,1)),"缺少有效计划开始；","")&amp;IF(OR(F123="",F123&lt;DATE(2000,1,1)),"缺少有效计划完成；","")&amp;IF(项目总控台账!G122="","缺少总体状态；","")&amp;IF(AND(ISNUMBER(E123),ISNUMBER(F123),E123&gt;=DATE(2000,1,1),F123&gt;=DATE(2000,1,1),E123&gt;F123),"开始晚于完成；","")&amp;IF(AND(项目总控台账!G122="已完成",项目总控台账!AB122&lt;1),"已完成但进度不足100%；",""))</f>
        <v/>
      </c>
      <c r="H123" s="8" t="str">
        <f t="shared" si="2"/>
        <v>通过</v>
      </c>
      <c r="I123" s="8" t="str">
        <f t="shared" si="3"/>
        <v>无需处理</v>
      </c>
      <c r="J123" s="8">
        <v>122</v>
      </c>
    </row>
    <row r="124" spans="1:10">
      <c r="A124" s="8" t="s">
        <v>1623</v>
      </c>
      <c r="B124" s="8" t="str">
        <f>项目总控台账!A123</f>
        <v>T120</v>
      </c>
      <c r="C124" s="8" t="str">
        <f>IF(AND(项目总控台账!E123&lt;&gt;"",项目总控台账!E123&lt;&gt;"/"),项目总控台账!E123,IF(AND(项目总控台账!D123&lt;&gt;"",项目总控台账!D123&lt;&gt;"/"),项目总控台账!D123,项目总控台账!C123))</f>
        <v>商务计划周报</v>
      </c>
      <c r="D124" s="8" t="str">
        <f>项目总控台账!H123</f>
        <v>郑士旺</v>
      </c>
      <c r="E124" s="25">
        <f>项目总控台账!I123</f>
        <v>46230</v>
      </c>
      <c r="F124" s="25">
        <f>项目总控台账!J123</f>
        <v>46269</v>
      </c>
      <c r="G124" s="8" t="str">
        <f>IF(B124="","",IF(OR(C124="",C124="/"),"缺少任务名称；","")&amp;IF(OR(D124="",D124="/"),"缺少有效主责人；","")&amp;IF(OR(E124="",E124&lt;DATE(2000,1,1)),"缺少有效计划开始；","")&amp;IF(OR(F124="",F124&lt;DATE(2000,1,1)),"缺少有效计划完成；","")&amp;IF(项目总控台账!G123="","缺少总体状态；","")&amp;IF(AND(ISNUMBER(E124),ISNUMBER(F124),E124&gt;=DATE(2000,1,1),F124&gt;=DATE(2000,1,1),E124&gt;F124),"开始晚于完成；","")&amp;IF(AND(项目总控台账!G123="已完成",项目总控台账!AB123&lt;1),"已完成但进度不足100%；",""))</f>
        <v/>
      </c>
      <c r="H124" s="8" t="str">
        <f t="shared" si="2"/>
        <v>通过</v>
      </c>
      <c r="I124" s="8" t="str">
        <f t="shared" si="3"/>
        <v>无需处理</v>
      </c>
      <c r="J124" s="8">
        <v>123</v>
      </c>
    </row>
    <row r="125" spans="1:10">
      <c r="A125" s="8" t="s">
        <v>1623</v>
      </c>
      <c r="B125" s="8" t="str">
        <f>项目总控台账!A124</f>
        <v>T121</v>
      </c>
      <c r="C125" s="8" t="str">
        <f>IF(AND(项目总控台账!E124&lt;&gt;"",项目总控台账!E124&lt;&gt;"/"),项目总控台账!E124,IF(AND(项目总控台账!D124&lt;&gt;"",项目总控台账!D124&lt;&gt;"/"),项目总控台账!D124,项目总控台账!C124))</f>
        <v>船舶供应服务查询</v>
      </c>
      <c r="D125" s="8" t="str">
        <f>项目总控台账!H124</f>
        <v>郑士旺</v>
      </c>
      <c r="E125" s="25">
        <f>项目总控台账!I124</f>
        <v>46216</v>
      </c>
      <c r="F125" s="25">
        <f>项目总控台账!J124</f>
        <v>46261</v>
      </c>
      <c r="G125" s="8" t="str">
        <f>IF(B125="","",IF(OR(C125="",C125="/"),"缺少任务名称；","")&amp;IF(OR(D125="",D125="/"),"缺少有效主责人；","")&amp;IF(OR(E125="",E125&lt;DATE(2000,1,1)),"缺少有效计划开始；","")&amp;IF(OR(F125="",F125&lt;DATE(2000,1,1)),"缺少有效计划完成；","")&amp;IF(项目总控台账!G124="","缺少总体状态；","")&amp;IF(AND(ISNUMBER(E125),ISNUMBER(F125),E125&gt;=DATE(2000,1,1),F125&gt;=DATE(2000,1,1),E125&gt;F125),"开始晚于完成；","")&amp;IF(AND(项目总控台账!G124="已完成",项目总控台账!AB124&lt;1),"已完成但进度不足100%；",""))</f>
        <v/>
      </c>
      <c r="H125" s="8" t="str">
        <f t="shared" si="2"/>
        <v>通过</v>
      </c>
      <c r="I125" s="8" t="str">
        <f t="shared" si="3"/>
        <v>无需处理</v>
      </c>
      <c r="J125" s="8">
        <v>124</v>
      </c>
    </row>
    <row r="126" spans="1:10">
      <c r="A126" s="8" t="s">
        <v>1623</v>
      </c>
      <c r="B126" s="8" t="str">
        <f>项目总控台账!A125</f>
        <v>T122</v>
      </c>
      <c r="C126" s="8" t="str">
        <f>IF(AND(项目总控台账!E125&lt;&gt;"",项目总控台账!E125&lt;&gt;"/"),项目总控台账!E125,IF(AND(项目总控台账!D125&lt;&gt;"",项目总控台账!D125&lt;&gt;"/"),项目总控台账!D125,项目总控台账!C125))</f>
        <v>船舶预到（内贸）查询</v>
      </c>
      <c r="D126" s="8" t="str">
        <f>项目总控台账!H125</f>
        <v>郑士旺</v>
      </c>
      <c r="E126" s="25">
        <f>项目总控台账!I125</f>
        <v>46216</v>
      </c>
      <c r="F126" s="25">
        <f>项目总控台账!J125</f>
        <v>46261</v>
      </c>
      <c r="G126" s="8" t="str">
        <f>IF(B126="","",IF(OR(C126="",C126="/"),"缺少任务名称；","")&amp;IF(OR(D126="",D126="/"),"缺少有效主责人；","")&amp;IF(OR(E126="",E126&lt;DATE(2000,1,1)),"缺少有效计划开始；","")&amp;IF(OR(F126="",F126&lt;DATE(2000,1,1)),"缺少有效计划完成；","")&amp;IF(项目总控台账!G125="","缺少总体状态；","")&amp;IF(AND(ISNUMBER(E126),ISNUMBER(F126),E126&gt;=DATE(2000,1,1),F126&gt;=DATE(2000,1,1),E126&gt;F126),"开始晚于完成；","")&amp;IF(AND(项目总控台账!G125="已完成",项目总控台账!AB125&lt;1),"已完成但进度不足100%；",""))</f>
        <v/>
      </c>
      <c r="H126" s="8" t="str">
        <f t="shared" si="2"/>
        <v>通过</v>
      </c>
      <c r="I126" s="8" t="str">
        <f t="shared" si="3"/>
        <v>无需处理</v>
      </c>
      <c r="J126" s="8">
        <v>125</v>
      </c>
    </row>
    <row r="127" spans="1:10">
      <c r="A127" s="8" t="s">
        <v>1623</v>
      </c>
      <c r="B127" s="8" t="str">
        <f>项目总控台账!A126</f>
        <v>T123</v>
      </c>
      <c r="C127" s="8" t="str">
        <f>IF(AND(项目总控台账!E126&lt;&gt;"",项目总控台账!E126&lt;&gt;"/"),项目总控台账!E126,IF(AND(项目总控台账!D126&lt;&gt;"",项目总控台账!D126&lt;&gt;"/"),项目总控台账!D126,项目总控台账!C126))</f>
        <v>台账查询</v>
      </c>
      <c r="D127" s="8" t="str">
        <f>项目总控台账!H126</f>
        <v>郑士旺</v>
      </c>
      <c r="E127" s="25">
        <f>项目总控台账!I126</f>
        <v>46216</v>
      </c>
      <c r="F127" s="25">
        <f>项目总控台账!J126</f>
        <v>46261</v>
      </c>
      <c r="G127" s="8" t="str">
        <f>IF(B127="","",IF(OR(C127="",C127="/"),"缺少任务名称；","")&amp;IF(OR(D127="",D127="/"),"缺少有效主责人；","")&amp;IF(OR(E127="",E127&lt;DATE(2000,1,1)),"缺少有效计划开始；","")&amp;IF(OR(F127="",F127&lt;DATE(2000,1,1)),"缺少有效计划完成；","")&amp;IF(项目总控台账!G126="","缺少总体状态；","")&amp;IF(AND(ISNUMBER(E127),ISNUMBER(F127),E127&gt;=DATE(2000,1,1),F127&gt;=DATE(2000,1,1),E127&gt;F127),"开始晚于完成；","")&amp;IF(AND(项目总控台账!G126="已完成",项目总控台账!AB126&lt;1),"已完成但进度不足100%；",""))</f>
        <v/>
      </c>
      <c r="H127" s="8" t="str">
        <f t="shared" si="2"/>
        <v>通过</v>
      </c>
      <c r="I127" s="8" t="str">
        <f t="shared" si="3"/>
        <v>无需处理</v>
      </c>
      <c r="J127" s="8">
        <v>126</v>
      </c>
    </row>
    <row r="128" spans="1:10">
      <c r="A128" s="8" t="s">
        <v>1623</v>
      </c>
      <c r="B128" s="8" t="str">
        <f>项目总控台账!A127</f>
        <v>T124</v>
      </c>
      <c r="C128" s="8" t="str">
        <f>IF(AND(项目总控台账!E127&lt;&gt;"",项目总控台账!E127&lt;&gt;"/"),项目总控台账!E127,IF(AND(项目总控台账!D127&lt;&gt;"",项目总控台账!D127&lt;&gt;"/"),项目总控台账!D127,项目总控台账!C127))</f>
        <v>停泊费（内贸）查询</v>
      </c>
      <c r="D128" s="8" t="str">
        <f>项目总控台账!H127</f>
        <v>郑士旺</v>
      </c>
      <c r="E128" s="25">
        <f>项目总控台账!I127</f>
        <v>46216</v>
      </c>
      <c r="F128" s="25">
        <f>项目总控台账!J127</f>
        <v>46261</v>
      </c>
      <c r="G128" s="8" t="str">
        <f>IF(B128="","",IF(OR(C128="",C128="/"),"缺少任务名称；","")&amp;IF(OR(D128="",D128="/"),"缺少有效主责人；","")&amp;IF(OR(E128="",E128&lt;DATE(2000,1,1)),"缺少有效计划开始；","")&amp;IF(OR(F128="",F128&lt;DATE(2000,1,1)),"缺少有效计划完成；","")&amp;IF(项目总控台账!G127="","缺少总体状态；","")&amp;IF(AND(ISNUMBER(E128),ISNUMBER(F128),E128&gt;=DATE(2000,1,1),F128&gt;=DATE(2000,1,1),E128&gt;F128),"开始晚于完成；","")&amp;IF(AND(项目总控台账!G127="已完成",项目总控台账!AB127&lt;1),"已完成但进度不足100%；",""))</f>
        <v/>
      </c>
      <c r="H128" s="8" t="str">
        <f t="shared" si="2"/>
        <v>通过</v>
      </c>
      <c r="I128" s="8" t="str">
        <f t="shared" si="3"/>
        <v>无需处理</v>
      </c>
      <c r="J128" s="8">
        <v>127</v>
      </c>
    </row>
    <row r="129" spans="1:10">
      <c r="A129" s="8" t="s">
        <v>1623</v>
      </c>
      <c r="B129" s="8" t="str">
        <f>项目总控台账!A128</f>
        <v>T125</v>
      </c>
      <c r="C129" s="8" t="str">
        <f>IF(AND(项目总控台账!E128&lt;&gt;"",项目总控台账!E128&lt;&gt;"/"),项目总控台账!E128,IF(AND(项目总控台账!D128&lt;&gt;"",项目总控台账!D128&lt;&gt;"/"),项目总控台账!D128,项目总控台账!C128))</f>
        <v>船舶供应服务费（内贸）查询</v>
      </c>
      <c r="D129" s="8" t="str">
        <f>项目总控台账!H128</f>
        <v>郑士旺</v>
      </c>
      <c r="E129" s="25">
        <f>项目总控台账!I128</f>
        <v>46216</v>
      </c>
      <c r="F129" s="25">
        <f>项目总控台账!J128</f>
        <v>46261</v>
      </c>
      <c r="G129" s="8" t="str">
        <f>IF(B129="","",IF(OR(C129="",C129="/"),"缺少任务名称；","")&amp;IF(OR(D129="",D129="/"),"缺少有效主责人；","")&amp;IF(OR(E129="",E129&lt;DATE(2000,1,1)),"缺少有效计划开始；","")&amp;IF(OR(F129="",F129&lt;DATE(2000,1,1)),"缺少有效计划完成；","")&amp;IF(项目总控台账!G128="","缺少总体状态；","")&amp;IF(AND(ISNUMBER(E129),ISNUMBER(F129),E129&gt;=DATE(2000,1,1),F129&gt;=DATE(2000,1,1),E129&gt;F129),"开始晚于完成；","")&amp;IF(AND(项目总控台账!G128="已完成",项目总控台账!AB128&lt;1),"已完成但进度不足100%；",""))</f>
        <v/>
      </c>
      <c r="H129" s="8" t="str">
        <f t="shared" si="2"/>
        <v>通过</v>
      </c>
      <c r="I129" s="8" t="str">
        <f t="shared" si="3"/>
        <v>无需处理</v>
      </c>
      <c r="J129" s="8">
        <v>128</v>
      </c>
    </row>
    <row r="130" spans="1:10">
      <c r="A130" s="8" t="s">
        <v>1623</v>
      </c>
      <c r="B130" s="8" t="str">
        <f>项目总控台账!A129</f>
        <v>T126</v>
      </c>
      <c r="C130" s="8" t="str">
        <f>IF(AND(项目总控台账!E129&lt;&gt;"",项目总控台账!E129&lt;&gt;"/"),项目总控台账!E129,IF(AND(项目总控台账!D129&lt;&gt;"",项目总控台账!D129&lt;&gt;"/"),项目总控台账!D129,项目总控台账!C129))</f>
        <v>停泊费（外贸）查询</v>
      </c>
      <c r="D130" s="8" t="str">
        <f>项目总控台账!H129</f>
        <v>郑士旺</v>
      </c>
      <c r="E130" s="25">
        <f>项目总控台账!I129</f>
        <v>46230</v>
      </c>
      <c r="F130" s="25">
        <f>项目总控台账!J129</f>
        <v>46353</v>
      </c>
      <c r="G130" s="8" t="str">
        <f>IF(B130="","",IF(OR(C130="",C130="/"),"缺少任务名称；","")&amp;IF(OR(D130="",D130="/"),"缺少有效主责人；","")&amp;IF(OR(E130="",E130&lt;DATE(2000,1,1)),"缺少有效计划开始；","")&amp;IF(OR(F130="",F130&lt;DATE(2000,1,1)),"缺少有效计划完成；","")&amp;IF(项目总控台账!G129="","缺少总体状态；","")&amp;IF(AND(ISNUMBER(E130),ISNUMBER(F130),E130&gt;=DATE(2000,1,1),F130&gt;=DATE(2000,1,1),E130&gt;F130),"开始晚于完成；","")&amp;IF(AND(项目总控台账!G129="已完成",项目总控台账!AB129&lt;1),"已完成但进度不足100%；",""))</f>
        <v/>
      </c>
      <c r="H130" s="8" t="str">
        <f t="shared" si="2"/>
        <v>通过</v>
      </c>
      <c r="I130" s="8" t="str">
        <f t="shared" si="3"/>
        <v>无需处理</v>
      </c>
      <c r="J130" s="8">
        <v>129</v>
      </c>
    </row>
    <row r="131" spans="1:10">
      <c r="A131" s="8" t="s">
        <v>1623</v>
      </c>
      <c r="B131" s="8" t="str">
        <f>项目总控台账!A130</f>
        <v>T127</v>
      </c>
      <c r="C131" s="8" t="str">
        <f>IF(AND(项目总控台账!E130&lt;&gt;"",项目总控台账!E130&lt;&gt;"/"),项目总控台账!E130,IF(AND(项目总控台账!D130&lt;&gt;"",项目总控台账!D130&lt;&gt;"/"),项目总控台账!D130,项目总控台账!C130))</f>
        <v>锚泊费（外贸）查询</v>
      </c>
      <c r="D131" s="8" t="str">
        <f>项目总控台账!H130</f>
        <v>郑士旺</v>
      </c>
      <c r="E131" s="25">
        <f>项目总控台账!I130</f>
        <v>46230</v>
      </c>
      <c r="F131" s="25">
        <f>项目总控台账!J130</f>
        <v>46261</v>
      </c>
      <c r="G131" s="8" t="str">
        <f>IF(B131="","",IF(OR(C131="",C131="/"),"缺少任务名称；","")&amp;IF(OR(D131="",D131="/"),"缺少有效主责人；","")&amp;IF(OR(E131="",E131&lt;DATE(2000,1,1)),"缺少有效计划开始；","")&amp;IF(OR(F131="",F131&lt;DATE(2000,1,1)),"缺少有效计划完成；","")&amp;IF(项目总控台账!G130="","缺少总体状态；","")&amp;IF(AND(ISNUMBER(E131),ISNUMBER(F131),E131&gt;=DATE(2000,1,1),F131&gt;=DATE(2000,1,1),E131&gt;F131),"开始晚于完成；","")&amp;IF(AND(项目总控台账!G130="已完成",项目总控台账!AB130&lt;1),"已完成但进度不足100%；",""))</f>
        <v/>
      </c>
      <c r="H131" s="8" t="str">
        <f t="shared" si="2"/>
        <v>通过</v>
      </c>
      <c r="I131" s="8" t="str">
        <f t="shared" si="3"/>
        <v>无需处理</v>
      </c>
      <c r="J131" s="8">
        <v>130</v>
      </c>
    </row>
    <row r="132" spans="1:10">
      <c r="A132" s="8" t="s">
        <v>1623</v>
      </c>
      <c r="B132" s="8" t="str">
        <f>项目总控台账!A131</f>
        <v>T128</v>
      </c>
      <c r="C132" s="8" t="str">
        <f>IF(AND(项目总控台账!E131&lt;&gt;"",项目总控台账!E131&lt;&gt;"/"),项目总控台账!E131,IF(AND(项目总控台账!D131&lt;&gt;"",项目总控台账!D131&lt;&gt;"/"),项目总控台账!D131,项目总控台账!C131))</f>
        <v>堆存费（外贸）查询</v>
      </c>
      <c r="D132" s="8" t="str">
        <f>项目总控台账!H131</f>
        <v>郑士旺</v>
      </c>
      <c r="E132" s="25">
        <f>项目总控台账!I131</f>
        <v>46230</v>
      </c>
      <c r="F132" s="25">
        <f>项目总控台账!J131</f>
        <v>46261</v>
      </c>
      <c r="G132" s="8" t="str">
        <f>IF(B132="","",IF(OR(C132="",C132="/"),"缺少任务名称；","")&amp;IF(OR(D132="",D132="/"),"缺少有效主责人；","")&amp;IF(OR(E132="",E132&lt;DATE(2000,1,1)),"缺少有效计划开始；","")&amp;IF(OR(F132="",F132&lt;DATE(2000,1,1)),"缺少有效计划完成；","")&amp;IF(项目总控台账!G131="","缺少总体状态；","")&amp;IF(AND(ISNUMBER(E132),ISNUMBER(F132),E132&gt;=DATE(2000,1,1),F132&gt;=DATE(2000,1,1),E132&gt;F132),"开始晚于完成；","")&amp;IF(AND(项目总控台账!G131="已完成",项目总控台账!AB131&lt;1),"已完成但进度不足100%；",""))</f>
        <v/>
      </c>
      <c r="H132" s="8" t="str">
        <f t="shared" si="2"/>
        <v>通过</v>
      </c>
      <c r="I132" s="8" t="str">
        <f t="shared" si="3"/>
        <v>无需处理</v>
      </c>
      <c r="J132" s="8">
        <v>131</v>
      </c>
    </row>
    <row r="133" spans="1:10">
      <c r="A133" s="8" t="s">
        <v>1623</v>
      </c>
      <c r="B133" s="8" t="str">
        <f>项目总控台账!A132</f>
        <v>T129</v>
      </c>
      <c r="C133" s="8" t="str">
        <f>IF(AND(项目总控台账!E132&lt;&gt;"",项目总控台账!E132&lt;&gt;"/"),项目总控台账!E132,IF(AND(项目总控台账!D132&lt;&gt;"",项目总控台账!D132&lt;&gt;"/"),项目总控台账!D132,项目总控台账!C132))</f>
        <v>卸船费（外贸）查询</v>
      </c>
      <c r="D133" s="8" t="str">
        <f>项目总控台账!H132</f>
        <v>郑士旺</v>
      </c>
      <c r="E133" s="25">
        <f>项目总控台账!I132</f>
        <v>46230</v>
      </c>
      <c r="F133" s="25">
        <f>项目总控台账!J132</f>
        <v>46353</v>
      </c>
      <c r="G133" s="8" t="str">
        <f>IF(B133="","",IF(OR(C133="",C133="/"),"缺少任务名称；","")&amp;IF(OR(D133="",D133="/"),"缺少有效主责人；","")&amp;IF(OR(E133="",E133&lt;DATE(2000,1,1)),"缺少有效计划开始；","")&amp;IF(OR(F133="",F133&lt;DATE(2000,1,1)),"缺少有效计划完成；","")&amp;IF(项目总控台账!G132="","缺少总体状态；","")&amp;IF(AND(ISNUMBER(E133),ISNUMBER(F133),E133&gt;=DATE(2000,1,1),F133&gt;=DATE(2000,1,1),E133&gt;F133),"开始晚于完成；","")&amp;IF(AND(项目总控台账!G132="已完成",项目总控台账!AB132&lt;1),"已完成但进度不足100%；",""))</f>
        <v/>
      </c>
      <c r="H133" s="8" t="str">
        <f t="shared" ref="H133:H149" si="4">IF(B133="","",IF(G133="","通过","需整改"))</f>
        <v>通过</v>
      </c>
      <c r="I133" s="8" t="str">
        <f t="shared" ref="I133:I149" si="5">IF(H133="需整改","回到项目总控台账第"&amp;J133&amp;"行补齐或修正","无需处理")</f>
        <v>无需处理</v>
      </c>
      <c r="J133" s="8">
        <v>132</v>
      </c>
    </row>
    <row r="134" spans="1:10">
      <c r="A134" s="8" t="s">
        <v>1623</v>
      </c>
      <c r="B134" s="8" t="str">
        <f>项目总控台账!A133</f>
        <v>T130</v>
      </c>
      <c r="C134" s="8" t="str">
        <f>IF(AND(项目总控台账!E133&lt;&gt;"",项目总控台账!E133&lt;&gt;"/"),项目总控台账!E133,IF(AND(项目总控台账!D133&lt;&gt;"",项目总控台账!D133&lt;&gt;"/"),项目总控台账!D133,项目总控台账!C133))</f>
        <v>采样服务费（外贸）查询</v>
      </c>
      <c r="D134" s="8" t="str">
        <f>项目总控台账!H133</f>
        <v>郑士旺</v>
      </c>
      <c r="E134" s="25">
        <f>项目总控台账!I133</f>
        <v>46230</v>
      </c>
      <c r="F134" s="25">
        <f>项目总控台账!J133</f>
        <v>46353</v>
      </c>
      <c r="G134" s="8" t="str">
        <f>IF(B134="","",IF(OR(C134="",C134="/"),"缺少任务名称；","")&amp;IF(OR(D134="",D134="/"),"缺少有效主责人；","")&amp;IF(OR(E134="",E134&lt;DATE(2000,1,1)),"缺少有效计划开始；","")&amp;IF(OR(F134="",F134&lt;DATE(2000,1,1)),"缺少有效计划完成；","")&amp;IF(项目总控台账!G133="","缺少总体状态；","")&amp;IF(AND(ISNUMBER(E134),ISNUMBER(F134),E134&gt;=DATE(2000,1,1),F134&gt;=DATE(2000,1,1),E134&gt;F134),"开始晚于完成；","")&amp;IF(AND(项目总控台账!G133="已完成",项目总控台账!AB133&lt;1),"已完成但进度不足100%；",""))</f>
        <v/>
      </c>
      <c r="H134" s="8" t="str">
        <f t="shared" si="4"/>
        <v>通过</v>
      </c>
      <c r="I134" s="8" t="str">
        <f t="shared" si="5"/>
        <v>无需处理</v>
      </c>
      <c r="J134" s="8">
        <v>133</v>
      </c>
    </row>
    <row r="135" spans="1:10">
      <c r="A135" s="8" t="s">
        <v>1623</v>
      </c>
      <c r="B135" s="8" t="str">
        <f>项目总控台账!A134</f>
        <v>T131</v>
      </c>
      <c r="C135" s="8" t="str">
        <f>IF(AND(项目总控台账!E134&lt;&gt;"",项目总控台账!E134&lt;&gt;"/"),项目总控台账!E134,IF(AND(项目总控台账!D134&lt;&gt;"",项目总控台账!D134&lt;&gt;"/"),项目总控台账!D134,项目总控台账!C134))</f>
        <v>船舶供应服务费（外贸）查询</v>
      </c>
      <c r="D135" s="8" t="str">
        <f>项目总控台账!H134</f>
        <v>郑士旺</v>
      </c>
      <c r="E135" s="25">
        <f>项目总控台账!I134</f>
        <v>46230</v>
      </c>
      <c r="F135" s="25">
        <f>项目总控台账!J134</f>
        <v>46353</v>
      </c>
      <c r="G135" s="8" t="str">
        <f>IF(B135="","",IF(OR(C135="",C135="/"),"缺少任务名称；","")&amp;IF(OR(D135="",D135="/"),"缺少有效主责人；","")&amp;IF(OR(E135="",E135&lt;DATE(2000,1,1)),"缺少有效计划开始；","")&amp;IF(OR(F135="",F135&lt;DATE(2000,1,1)),"缺少有效计划完成；","")&amp;IF(项目总控台账!G134="","缺少总体状态；","")&amp;IF(AND(ISNUMBER(E135),ISNUMBER(F135),E135&gt;=DATE(2000,1,1),F135&gt;=DATE(2000,1,1),E135&gt;F135),"开始晚于完成；","")&amp;IF(AND(项目总控台账!G134="已完成",项目总控台账!AB134&lt;1),"已完成但进度不足100%；",""))</f>
        <v/>
      </c>
      <c r="H135" s="8" t="str">
        <f t="shared" si="4"/>
        <v>通过</v>
      </c>
      <c r="I135" s="8" t="str">
        <f t="shared" si="5"/>
        <v>无需处理</v>
      </c>
      <c r="J135" s="8">
        <v>134</v>
      </c>
    </row>
    <row r="136" spans="1:10">
      <c r="A136" s="8" t="s">
        <v>1623</v>
      </c>
      <c r="B136" s="8" t="str">
        <f>项目总控台账!A135</f>
        <v>T132</v>
      </c>
      <c r="C136" s="8" t="str">
        <f>IF(AND(项目总控台账!E135&lt;&gt;"",项目总控台账!E135&lt;&gt;"/"),项目总控台账!E135,IF(AND(项目总控台账!D135&lt;&gt;"",项目总控台账!D135&lt;&gt;"/"),项目总控台账!D135,项目总控台账!C135))</f>
        <v>新增船舶靠泊通知单</v>
      </c>
      <c r="D136" s="8" t="str">
        <f>项目总控台账!H135</f>
        <v>郑士旺</v>
      </c>
      <c r="E136" s="25">
        <f>项目总控台账!I135</f>
        <v>46230</v>
      </c>
      <c r="F136" s="25">
        <f>项目总控台账!J135</f>
        <v>46353</v>
      </c>
      <c r="G136" s="8" t="str">
        <f>IF(B136="","",IF(OR(C136="",C136="/"),"缺少任务名称；","")&amp;IF(OR(D136="",D136="/"),"缺少有效主责人；","")&amp;IF(OR(E136="",E136&lt;DATE(2000,1,1)),"缺少有效计划开始；","")&amp;IF(OR(F136="",F136&lt;DATE(2000,1,1)),"缺少有效计划完成；","")&amp;IF(项目总控台账!G135="","缺少总体状态；","")&amp;IF(AND(ISNUMBER(E136),ISNUMBER(F136),E136&gt;=DATE(2000,1,1),F136&gt;=DATE(2000,1,1),E136&gt;F136),"开始晚于完成；","")&amp;IF(AND(项目总控台账!G135="已完成",项目总控台账!AB135&lt;1),"已完成但进度不足100%；",""))</f>
        <v/>
      </c>
      <c r="H136" s="8" t="str">
        <f t="shared" si="4"/>
        <v>通过</v>
      </c>
      <c r="I136" s="8" t="str">
        <f t="shared" si="5"/>
        <v>无需处理</v>
      </c>
      <c r="J136" s="8">
        <v>135</v>
      </c>
    </row>
    <row r="137" spans="1:10">
      <c r="A137" s="8" t="s">
        <v>1623</v>
      </c>
      <c r="B137" s="8" t="str">
        <f>项目总控台账!A136</f>
        <v>T133</v>
      </c>
      <c r="C137" s="8" t="str">
        <f>IF(AND(项目总控台账!E136&lt;&gt;"",项目总控台账!E136&lt;&gt;"/"),项目总控台账!E136,IF(AND(项目总控台账!D136&lt;&gt;"",项目总控台账!D136&lt;&gt;"/"),项目总控台账!D136,项目总控台账!C136))</f>
        <v>查询船舶靠泊通知单</v>
      </c>
      <c r="D137" s="8" t="str">
        <f>项目总控台账!H136</f>
        <v>郑士旺</v>
      </c>
      <c r="E137" s="25">
        <f>项目总控台账!I136</f>
        <v>46230</v>
      </c>
      <c r="F137" s="25">
        <f>项目总控台账!J136</f>
        <v>46353</v>
      </c>
      <c r="G137" s="8" t="str">
        <f>IF(B137="","",IF(OR(C137="",C137="/"),"缺少任务名称；","")&amp;IF(OR(D137="",D137="/"),"缺少有效主责人；","")&amp;IF(OR(E137="",E137&lt;DATE(2000,1,1)),"缺少有效计划开始；","")&amp;IF(OR(F137="",F137&lt;DATE(2000,1,1)),"缺少有效计划完成；","")&amp;IF(项目总控台账!G136="","缺少总体状态；","")&amp;IF(AND(ISNUMBER(E137),ISNUMBER(F137),E137&gt;=DATE(2000,1,1),F137&gt;=DATE(2000,1,1),E137&gt;F137),"开始晚于完成；","")&amp;IF(AND(项目总控台账!G136="已完成",项目总控台账!AB136&lt;1),"已完成但进度不足100%；",""))</f>
        <v/>
      </c>
      <c r="H137" s="8" t="str">
        <f t="shared" si="4"/>
        <v>通过</v>
      </c>
      <c r="I137" s="8" t="str">
        <f t="shared" si="5"/>
        <v>无需处理</v>
      </c>
      <c r="J137" s="8">
        <v>136</v>
      </c>
    </row>
    <row r="138" spans="1:10">
      <c r="A138" s="8" t="s">
        <v>1623</v>
      </c>
      <c r="B138" s="8" t="str">
        <f>项目总控台账!A137</f>
        <v>T134</v>
      </c>
      <c r="C138" s="8" t="str">
        <f>IF(AND(项目总控台账!E137&lt;&gt;"",项目总控台账!E137&lt;&gt;"/"),项目总控台账!E137,IF(AND(项目总控台账!D137&lt;&gt;"",项目总控台账!D137&lt;&gt;"/"),项目总控台账!D137,项目总控台账!C137))</f>
        <v>卸船计划查询</v>
      </c>
      <c r="D138" s="8" t="str">
        <f>项目总控台账!H137</f>
        <v>郑士旺</v>
      </c>
      <c r="E138" s="25">
        <f>项目总控台账!I137</f>
        <v>46230</v>
      </c>
      <c r="F138" s="25">
        <f>项目总控台账!J137</f>
        <v>46353</v>
      </c>
      <c r="G138" s="8" t="str">
        <f>IF(B138="","",IF(OR(C138="",C138="/"),"缺少任务名称；","")&amp;IF(OR(D138="",D138="/"),"缺少有效主责人；","")&amp;IF(OR(E138="",E138&lt;DATE(2000,1,1)),"缺少有效计划开始；","")&amp;IF(OR(F138="",F138&lt;DATE(2000,1,1)),"缺少有效计划完成；","")&amp;IF(项目总控台账!G137="","缺少总体状态；","")&amp;IF(AND(ISNUMBER(E138),ISNUMBER(F138),E138&gt;=DATE(2000,1,1),F138&gt;=DATE(2000,1,1),E138&gt;F138),"开始晚于完成；","")&amp;IF(AND(项目总控台账!G137="已完成",项目总控台账!AB137&lt;1),"已完成但进度不足100%；",""))</f>
        <v/>
      </c>
      <c r="H138" s="8" t="str">
        <f t="shared" si="4"/>
        <v>通过</v>
      </c>
      <c r="I138" s="8" t="str">
        <f t="shared" si="5"/>
        <v>无需处理</v>
      </c>
      <c r="J138" s="8">
        <v>137</v>
      </c>
    </row>
    <row r="139" spans="1:10">
      <c r="A139" s="8" t="s">
        <v>1623</v>
      </c>
      <c r="B139" s="8" t="str">
        <f>项目总控台账!A138</f>
        <v>T135</v>
      </c>
      <c r="C139" s="8" t="str">
        <f>IF(AND(项目总控台账!E138&lt;&gt;"",项目总控台账!E138&lt;&gt;"/"),项目总控台账!E138,IF(AND(项目总控台账!D138&lt;&gt;"",项目总控台账!D138&lt;&gt;"/"),项目总控台账!D138,项目总控台账!C138))</f>
        <v>卸船查询</v>
      </c>
      <c r="D139" s="8" t="str">
        <f>项目总控台账!H138</f>
        <v>郑士旺</v>
      </c>
      <c r="E139" s="25">
        <f>项目总控台账!I138</f>
        <v>46230</v>
      </c>
      <c r="F139" s="25">
        <f>项目总控台账!J138</f>
        <v>46353</v>
      </c>
      <c r="G139" s="8" t="str">
        <f>IF(B139="","",IF(OR(C139="",C139="/"),"缺少任务名称；","")&amp;IF(OR(D139="",D139="/"),"缺少有效主责人；","")&amp;IF(OR(E139="",E139&lt;DATE(2000,1,1)),"缺少有效计划开始；","")&amp;IF(OR(F139="",F139&lt;DATE(2000,1,1)),"缺少有效计划完成；","")&amp;IF(项目总控台账!G138="","缺少总体状态；","")&amp;IF(AND(ISNUMBER(E139),ISNUMBER(F139),E139&gt;=DATE(2000,1,1),F139&gt;=DATE(2000,1,1),E139&gt;F139),"开始晚于完成；","")&amp;IF(AND(项目总控台账!G138="已完成",项目总控台账!AB138&lt;1),"已完成但进度不足100%；",""))</f>
        <v/>
      </c>
      <c r="H139" s="8" t="str">
        <f t="shared" si="4"/>
        <v>通过</v>
      </c>
      <c r="I139" s="8" t="str">
        <f t="shared" si="5"/>
        <v>无需处理</v>
      </c>
      <c r="J139" s="8">
        <v>138</v>
      </c>
    </row>
    <row r="140" spans="1:10">
      <c r="A140" s="8" t="s">
        <v>1623</v>
      </c>
      <c r="B140" s="8" t="str">
        <f>项目总控台账!A139</f>
        <v>T136</v>
      </c>
      <c r="C140" s="8" t="str">
        <f>IF(AND(项目总控台账!E139&lt;&gt;"",项目总控台账!E139&lt;&gt;"/"),项目总控台账!E139,IF(AND(项目总控台账!D139&lt;&gt;"",项目总控台账!D139&lt;&gt;"/"),项目总控台账!D139,项目总控台账!C139))</f>
        <v>卸船作业委托</v>
      </c>
      <c r="D140" s="8" t="str">
        <f>项目总控台账!H139</f>
        <v>郑士旺</v>
      </c>
      <c r="E140" s="25">
        <f>项目总控台账!I139</f>
        <v>46230</v>
      </c>
      <c r="F140" s="25">
        <f>项目总控台账!J139</f>
        <v>46353</v>
      </c>
      <c r="G140" s="8" t="str">
        <f>IF(B140="","",IF(OR(C140="",C140="/"),"缺少任务名称；","")&amp;IF(OR(D140="",D140="/"),"缺少有效主责人；","")&amp;IF(OR(E140="",E140&lt;DATE(2000,1,1)),"缺少有效计划开始；","")&amp;IF(OR(F140="",F140&lt;DATE(2000,1,1)),"缺少有效计划完成；","")&amp;IF(项目总控台账!G139="","缺少总体状态；","")&amp;IF(AND(ISNUMBER(E140),ISNUMBER(F140),E140&gt;=DATE(2000,1,1),F140&gt;=DATE(2000,1,1),E140&gt;F140),"开始晚于完成；","")&amp;IF(AND(项目总控台账!G139="已完成",项目总控台账!AB139&lt;1),"已完成但进度不足100%；",""))</f>
        <v/>
      </c>
      <c r="H140" s="8" t="str">
        <f t="shared" si="4"/>
        <v>通过</v>
      </c>
      <c r="I140" s="8" t="str">
        <f t="shared" si="5"/>
        <v>无需处理</v>
      </c>
      <c r="J140" s="8">
        <v>139</v>
      </c>
    </row>
    <row r="141" spans="1:10">
      <c r="A141" s="8" t="s">
        <v>1623</v>
      </c>
      <c r="B141" s="8" t="str">
        <f>项目总控台账!A140</f>
        <v>T137</v>
      </c>
      <c r="C141" s="8" t="str">
        <f>IF(AND(项目总控台账!E140&lt;&gt;"",项目总控台账!E140&lt;&gt;"/"),项目总控台账!E140,IF(AND(项目总控台账!D140&lt;&gt;"",项目总控台账!D140&lt;&gt;"/"),项目总控台账!D140,项目总控台账!C140))</f>
        <v>外轮转内贸业务查询</v>
      </c>
      <c r="D141" s="8" t="str">
        <f>项目总控台账!H140</f>
        <v>郑士旺</v>
      </c>
      <c r="E141" s="25">
        <f>项目总控台账!I140</f>
        <v>46230</v>
      </c>
      <c r="F141" s="25">
        <f>项目总控台账!J140</f>
        <v>46353</v>
      </c>
      <c r="G141" s="8" t="str">
        <f>IF(B141="","",IF(OR(C141="",C141="/"),"缺少任务名称；","")&amp;IF(OR(D141="",D141="/"),"缺少有效主责人；","")&amp;IF(OR(E141="",E141&lt;DATE(2000,1,1)),"缺少有效计划开始；","")&amp;IF(OR(F141="",F141&lt;DATE(2000,1,1)),"缺少有效计划完成；","")&amp;IF(项目总控台账!G140="","缺少总体状态；","")&amp;IF(AND(ISNUMBER(E141),ISNUMBER(F141),E141&gt;=DATE(2000,1,1),F141&gt;=DATE(2000,1,1),E141&gt;F141),"开始晚于完成；","")&amp;IF(AND(项目总控台账!G140="已完成",项目总控台账!AB140&lt;1),"已完成但进度不足100%；",""))</f>
        <v/>
      </c>
      <c r="H141" s="8" t="str">
        <f t="shared" si="4"/>
        <v>通过</v>
      </c>
      <c r="I141" s="8" t="str">
        <f t="shared" si="5"/>
        <v>无需处理</v>
      </c>
      <c r="J141" s="8">
        <v>140</v>
      </c>
    </row>
    <row r="142" spans="1:10">
      <c r="A142" s="8" t="s">
        <v>1623</v>
      </c>
      <c r="B142" s="8" t="str">
        <f>项目总控台账!A141</f>
        <v>T138</v>
      </c>
      <c r="C142" s="8" t="str">
        <f>IF(AND(项目总控台账!E141&lt;&gt;"",项目总控台账!E141&lt;&gt;"/"),项目总控台账!E141,IF(AND(项目总控台账!D141&lt;&gt;"",项目总控台账!D141&lt;&gt;"/"),项目总控台账!D141,项目总控台账!C141))</f>
        <v>查询卸车流程</v>
      </c>
      <c r="D142" s="8" t="str">
        <f>项目总控台账!H141</f>
        <v>郑士旺</v>
      </c>
      <c r="E142" s="25">
        <f>项目总控台账!I141</f>
        <v>46209</v>
      </c>
      <c r="F142" s="25">
        <f>项目总控台账!J141</f>
        <v>46261</v>
      </c>
      <c r="G142" s="8" t="str">
        <f>IF(B142="","",IF(OR(C142="",C142="/"),"缺少任务名称；","")&amp;IF(OR(D142="",D142="/"),"缺少有效主责人；","")&amp;IF(OR(E142="",E142&lt;DATE(2000,1,1)),"缺少有效计划开始；","")&amp;IF(OR(F142="",F142&lt;DATE(2000,1,1)),"缺少有效计划完成；","")&amp;IF(项目总控台账!G141="","缺少总体状态；","")&amp;IF(AND(ISNUMBER(E142),ISNUMBER(F142),E142&gt;=DATE(2000,1,1),F142&gt;=DATE(2000,1,1),E142&gt;F142),"开始晚于完成；","")&amp;IF(AND(项目总控台账!G141="已完成",项目总控台账!AB141&lt;1),"已完成但进度不足100%；",""))</f>
        <v/>
      </c>
      <c r="H142" s="8" t="str">
        <f t="shared" si="4"/>
        <v>通过</v>
      </c>
      <c r="I142" s="8" t="str">
        <f t="shared" si="5"/>
        <v>无需处理</v>
      </c>
      <c r="J142" s="8">
        <v>141</v>
      </c>
    </row>
    <row r="143" spans="1:10">
      <c r="A143" s="8" t="s">
        <v>1623</v>
      </c>
      <c r="B143" s="8" t="str">
        <f>项目总控台账!A142</f>
        <v>T139</v>
      </c>
      <c r="C143" s="8" t="str">
        <f>IF(AND(项目总控台账!E142&lt;&gt;"",项目总控台账!E142&lt;&gt;"/"),项目总控台账!E142,IF(AND(项目总控台账!D142&lt;&gt;"",项目总控台账!D142&lt;&gt;"/"),项目总控台账!D142,项目总控台账!C142))</f>
        <v>查询装船流程</v>
      </c>
      <c r="D143" s="8" t="str">
        <f>项目总控台账!H142</f>
        <v>郑士旺</v>
      </c>
      <c r="E143" s="25">
        <f>项目总控台账!I142</f>
        <v>46209</v>
      </c>
      <c r="F143" s="25">
        <f>项目总控台账!J142</f>
        <v>46261</v>
      </c>
      <c r="G143" s="8" t="str">
        <f>IF(B143="","",IF(OR(C143="",C143="/"),"缺少任务名称；","")&amp;IF(OR(D143="",D143="/"),"缺少有效主责人；","")&amp;IF(OR(E143="",E143&lt;DATE(2000,1,1)),"缺少有效计划开始；","")&amp;IF(OR(F143="",F143&lt;DATE(2000,1,1)),"缺少有效计划完成；","")&amp;IF(项目总控台账!G142="","缺少总体状态；","")&amp;IF(AND(ISNUMBER(E143),ISNUMBER(F143),E143&gt;=DATE(2000,1,1),F143&gt;=DATE(2000,1,1),E143&gt;F143),"开始晚于完成；","")&amp;IF(AND(项目总控台账!G142="已完成",项目总控台账!AB142&lt;1),"已完成但进度不足100%；",""))</f>
        <v/>
      </c>
      <c r="H143" s="8" t="str">
        <f t="shared" si="4"/>
        <v>通过</v>
      </c>
      <c r="I143" s="8" t="str">
        <f t="shared" si="5"/>
        <v>无需处理</v>
      </c>
      <c r="J143" s="8">
        <v>142</v>
      </c>
    </row>
    <row r="144" spans="1:10">
      <c r="A144" s="8" t="s">
        <v>1623</v>
      </c>
      <c r="B144" s="8" t="str">
        <f>项目总控台账!A143</f>
        <v>T140</v>
      </c>
      <c r="C144" s="8" t="str">
        <f>IF(AND(项目总控台账!E143&lt;&gt;"",项目总控台账!E143&lt;&gt;"/"),项目总控台账!E143,IF(AND(项目总控台账!D143&lt;&gt;"",项目总控台账!D143&lt;&gt;"/"),项目总控台账!D143,项目总控台账!C143))</f>
        <v>查询卸船流程</v>
      </c>
      <c r="D144" s="8" t="str">
        <f>项目总控台账!H143</f>
        <v>郑士旺</v>
      </c>
      <c r="E144" s="25">
        <f>项目总控台账!I143</f>
        <v>46209</v>
      </c>
      <c r="F144" s="25">
        <f>项目总控台账!J143</f>
        <v>46353</v>
      </c>
      <c r="G144" s="8" t="str">
        <f>IF(B144="","",IF(OR(C144="",C144="/"),"缺少任务名称；","")&amp;IF(OR(D144="",D144="/"),"缺少有效主责人；","")&amp;IF(OR(E144="",E144&lt;DATE(2000,1,1)),"缺少有效计划开始；","")&amp;IF(OR(F144="",F144&lt;DATE(2000,1,1)),"缺少有效计划完成；","")&amp;IF(项目总控台账!G143="","缺少总体状态；","")&amp;IF(AND(ISNUMBER(E144),ISNUMBER(F144),E144&gt;=DATE(2000,1,1),F144&gt;=DATE(2000,1,1),E144&gt;F144),"开始晚于完成；","")&amp;IF(AND(项目总控台账!G143="已完成",项目总控台账!AB143&lt;1),"已完成但进度不足100%；",""))</f>
        <v/>
      </c>
      <c r="H144" s="8" t="str">
        <f t="shared" si="4"/>
        <v>通过</v>
      </c>
      <c r="I144" s="8" t="str">
        <f t="shared" si="5"/>
        <v>无需处理</v>
      </c>
      <c r="J144" s="8">
        <v>143</v>
      </c>
    </row>
    <row r="145" spans="1:10">
      <c r="A145" s="8" t="s">
        <v>1623</v>
      </c>
      <c r="B145" s="8" t="str">
        <f>项目总控台账!A144</f>
        <v>T141</v>
      </c>
      <c r="C145" s="8" t="str">
        <f>IF(AND(项目总控台账!E144&lt;&gt;"",项目总控台账!E144&lt;&gt;"/"),项目总控台账!E144,IF(AND(项目总控台账!D144&lt;&gt;"",项目总控台账!D144&lt;&gt;"/"),项目总控台账!D144,项目总控台账!C144))</f>
        <v>视频监控查询</v>
      </c>
      <c r="D145" s="8" t="str">
        <f>项目总控台账!H144</f>
        <v>郑士旺</v>
      </c>
      <c r="E145" s="25">
        <f>项目总控台账!I144</f>
        <v>46223</v>
      </c>
      <c r="F145" s="25">
        <f>项目总控台账!J144</f>
        <v>46318</v>
      </c>
      <c r="G145" s="8" t="str">
        <f>IF(B145="","",IF(OR(C145="",C145="/"),"缺少任务名称；","")&amp;IF(OR(D145="",D145="/"),"缺少有效主责人；","")&amp;IF(OR(E145="",E145&lt;DATE(2000,1,1)),"缺少有效计划开始；","")&amp;IF(OR(F145="",F145&lt;DATE(2000,1,1)),"缺少有效计划完成；","")&amp;IF(项目总控台账!G144="","缺少总体状态；","")&amp;IF(AND(ISNUMBER(E145),ISNUMBER(F145),E145&gt;=DATE(2000,1,1),F145&gt;=DATE(2000,1,1),E145&gt;F145),"开始晚于完成；","")&amp;IF(AND(项目总控台账!G144="已完成",项目总控台账!AB144&lt;1),"已完成但进度不足100%；",""))</f>
        <v/>
      </c>
      <c r="H145" s="8" t="str">
        <f t="shared" si="4"/>
        <v>通过</v>
      </c>
      <c r="I145" s="8" t="str">
        <f t="shared" si="5"/>
        <v>无需处理</v>
      </c>
      <c r="J145" s="8">
        <v>144</v>
      </c>
    </row>
    <row r="146" spans="1:10">
      <c r="A146" s="8" t="s">
        <v>1623</v>
      </c>
      <c r="B146" s="8" t="str">
        <f>项目总控台账!A145</f>
        <v>T142</v>
      </c>
      <c r="C146" s="8" t="str">
        <f>IF(AND(项目总控台账!E145&lt;&gt;"",项目总控台账!E145&lt;&gt;"/"),项目总控台账!E145,IF(AND(项目总控台账!D145&lt;&gt;"",项目总控台账!D145&lt;&gt;"/"),项目总控台账!D145,项目总控台账!C145))</f>
        <v>审批船舶靠泊通知单</v>
      </c>
      <c r="D146" s="8" t="str">
        <f>项目总控台账!H145</f>
        <v>郑士旺</v>
      </c>
      <c r="E146" s="25">
        <f>项目总控台账!I145</f>
        <v>46230</v>
      </c>
      <c r="F146" s="25">
        <f>项目总控台账!J145</f>
        <v>46353</v>
      </c>
      <c r="G146" s="8" t="str">
        <f>IF(B146="","",IF(OR(C146="",C146="/"),"缺少任务名称；","")&amp;IF(OR(D146="",D146="/"),"缺少有效主责人；","")&amp;IF(OR(E146="",E146&lt;DATE(2000,1,1)),"缺少有效计划开始；","")&amp;IF(OR(F146="",F146&lt;DATE(2000,1,1)),"缺少有效计划完成；","")&amp;IF(项目总控台账!G145="","缺少总体状态；","")&amp;IF(AND(ISNUMBER(E146),ISNUMBER(F146),E146&gt;=DATE(2000,1,1),F146&gt;=DATE(2000,1,1),E146&gt;F146),"开始晚于完成；","")&amp;IF(AND(项目总控台账!G145="已完成",项目总控台账!AB145&lt;1),"已完成但进度不足100%；",""))</f>
        <v/>
      </c>
      <c r="H146" s="8" t="str">
        <f t="shared" si="4"/>
        <v>通过</v>
      </c>
      <c r="I146" s="8" t="str">
        <f t="shared" si="5"/>
        <v>无需处理</v>
      </c>
      <c r="J146" s="8">
        <v>145</v>
      </c>
    </row>
    <row r="147" spans="1:10">
      <c r="A147" s="8" t="s">
        <v>1623</v>
      </c>
      <c r="B147" s="8" t="str">
        <f>项目总控台账!A146</f>
        <v>T143</v>
      </c>
      <c r="C147" s="8" t="str">
        <f>IF(AND(项目总控台账!E146&lt;&gt;"",项目总控台账!E146&lt;&gt;"/"),项目总控台账!E146,IF(AND(项目总控台账!D146&lt;&gt;"",项目总控台账!D146&lt;&gt;"/"),项目总控台账!D146,项目总控台账!C146))</f>
        <v>图片上传</v>
      </c>
      <c r="D147" s="8" t="str">
        <f>项目总控台账!H146</f>
        <v>郑士旺</v>
      </c>
      <c r="E147" s="25">
        <f>项目总控台账!I146</f>
        <v>46209</v>
      </c>
      <c r="F147" s="25">
        <f>项目总控台账!J146</f>
        <v>46261</v>
      </c>
      <c r="G147" s="8" t="str">
        <f>IF(B147="","",IF(OR(C147="",C147="/"),"缺少任务名称；","")&amp;IF(OR(D147="",D147="/"),"缺少有效主责人；","")&amp;IF(OR(E147="",E147&lt;DATE(2000,1,1)),"缺少有效计划开始；","")&amp;IF(OR(F147="",F147&lt;DATE(2000,1,1)),"缺少有效计划完成；","")&amp;IF(项目总控台账!G146="","缺少总体状态；","")&amp;IF(AND(ISNUMBER(E147),ISNUMBER(F147),E147&gt;=DATE(2000,1,1),F147&gt;=DATE(2000,1,1),E147&gt;F147),"开始晚于完成；","")&amp;IF(AND(项目总控台账!G146="已完成",项目总控台账!AB146&lt;1),"已完成但进度不足100%；",""))</f>
        <v/>
      </c>
      <c r="H147" s="8" t="str">
        <f t="shared" si="4"/>
        <v>通过</v>
      </c>
      <c r="I147" s="8" t="str">
        <f t="shared" si="5"/>
        <v>无需处理</v>
      </c>
      <c r="J147" s="8">
        <v>146</v>
      </c>
    </row>
    <row r="148" spans="1:10">
      <c r="A148" s="8" t="s">
        <v>1623</v>
      </c>
      <c r="B148" s="8" t="str">
        <f>项目总控台账!A147</f>
        <v>T144</v>
      </c>
      <c r="C148" s="8" t="str">
        <f>IF(AND(项目总控台账!E147&lt;&gt;"",项目总控台账!E147&lt;&gt;"/"),项目总控台账!E147,IF(AND(项目总控台账!D147&lt;&gt;"",项目总控台账!D147&lt;&gt;"/"),项目总控台账!D147,项目总控台账!C147))</f>
        <v>图片上传</v>
      </c>
      <c r="D148" s="8" t="str">
        <f>项目总控台账!H147</f>
        <v>郑士旺</v>
      </c>
      <c r="E148" s="25">
        <f>项目总控台账!I147</f>
        <v>46209</v>
      </c>
      <c r="F148" s="25">
        <f>项目总控台账!J147</f>
        <v>46261</v>
      </c>
      <c r="G148" s="8" t="str">
        <f>IF(B148="","",IF(OR(C148="",C148="/"),"缺少任务名称；","")&amp;IF(OR(D148="",D148="/"),"缺少有效主责人；","")&amp;IF(OR(E148="",E148&lt;DATE(2000,1,1)),"缺少有效计划开始；","")&amp;IF(OR(F148="",F148&lt;DATE(2000,1,1)),"缺少有效计划完成；","")&amp;IF(项目总控台账!G147="","缺少总体状态；","")&amp;IF(AND(ISNUMBER(E148),ISNUMBER(F148),E148&gt;=DATE(2000,1,1),F148&gt;=DATE(2000,1,1),E148&gt;F148),"开始晚于完成；","")&amp;IF(AND(项目总控台账!G147="已完成",项目总控台账!AB147&lt;1),"已完成但进度不足100%；",""))</f>
        <v/>
      </c>
      <c r="H148" s="8" t="str">
        <f t="shared" si="4"/>
        <v>通过</v>
      </c>
      <c r="I148" s="8" t="str">
        <f t="shared" si="5"/>
        <v>无需处理</v>
      </c>
      <c r="J148" s="8">
        <v>147</v>
      </c>
    </row>
    <row r="149" spans="1:10">
      <c r="A149" s="8" t="s">
        <v>1623</v>
      </c>
      <c r="B149" s="8" t="str">
        <f>项目总控台账!A148</f>
        <v>T145</v>
      </c>
      <c r="C149" s="8" t="str">
        <f>IF(AND(项目总控台账!E148&lt;&gt;"",项目总控台账!E148&lt;&gt;"/"),项目总控台账!E148,IF(AND(项目总控台账!D148&lt;&gt;"",项目总控台账!D148&lt;&gt;"/"),项目总控台账!D148,项目总控台账!C148))</f>
        <v>图片上传</v>
      </c>
      <c r="D149" s="8" t="str">
        <f>项目总控台账!H148</f>
        <v>郑士旺</v>
      </c>
      <c r="E149" s="25">
        <f>项目总控台账!I148</f>
        <v>46209</v>
      </c>
      <c r="F149" s="25">
        <f>项目总控台账!J148</f>
        <v>46269</v>
      </c>
      <c r="G149" s="8" t="str">
        <f>IF(B149="","",IF(OR(C149="",C149="/"),"缺少任务名称；","")&amp;IF(OR(D149="",D149="/"),"缺少有效主责人；","")&amp;IF(OR(E149="",E149&lt;DATE(2000,1,1)),"缺少有效计划开始；","")&amp;IF(OR(F149="",F149&lt;DATE(2000,1,1)),"缺少有效计划完成；","")&amp;IF(项目总控台账!G148="","缺少总体状态；","")&amp;IF(AND(ISNUMBER(E149),ISNUMBER(F149),E149&gt;=DATE(2000,1,1),F149&gt;=DATE(2000,1,1),E149&gt;F149),"开始晚于完成；","")&amp;IF(AND(项目总控台账!G148="已完成",项目总控台账!AB148&lt;1),"已完成但进度不足100%；",""))</f>
        <v/>
      </c>
      <c r="H149" s="8" t="str">
        <f t="shared" si="4"/>
        <v>通过</v>
      </c>
      <c r="I149" s="8" t="str">
        <f t="shared" si="5"/>
        <v>无需处理</v>
      </c>
      <c r="J149" s="8">
        <v>148</v>
      </c>
    </row>
  </sheetData>
  <autoFilter xmlns:etc="http://www.wps.cn/officeDocument/2017/etCustomData" ref="A4:J149" etc:filterBottomFollowUsedRange="0">
    <extLst/>
  </autoFilter>
  <mergeCells count="2">
    <mergeCell ref="A1:J1"/>
    <mergeCell ref="A2:J2"/>
  </mergeCells>
  <conditionalFormatting sqref="H5:H149">
    <cfRule type="expression" dxfId="6" priority="1">
      <formula>$H5="需整改"</formula>
    </cfRule>
    <cfRule type="expression" dxfId="8" priority="2">
      <formula>$H5="通过"</formula>
    </cfRule>
  </conditionalFormatting>
  <pageMargins left="0.75" right="0.75" top="1" bottom="1" header="0.5" footer="0.5"/>
  <pageSetup paperSize="1" fitToHeight="0"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A1:M54"/>
  <sheetViews>
    <sheetView showGridLines="0" zoomScale="85" zoomScaleNormal="85" workbookViewId="0">
      <pane ySplit="4" topLeftCell="A5" activePane="bottomLeft" state="frozen"/>
      <selection/>
      <selection pane="bottomLeft" activeCell="A1" sqref="A1:M1"/>
    </sheetView>
  </sheetViews>
  <sheetFormatPr defaultColWidth="9" defaultRowHeight="16.8"/>
  <cols>
    <col min="1" max="1" width="11" style="1" customWidth="1"/>
    <col min="2" max="2" width="13" style="1" customWidth="1"/>
    <col min="3" max="3" width="24" style="1" customWidth="1"/>
    <col min="4" max="5" width="34" style="1" customWidth="1"/>
    <col min="6" max="6" width="28" style="1" customWidth="1"/>
    <col min="7" max="7" width="14" style="1" customWidth="1"/>
    <col min="8" max="8" width="13" style="1" customWidth="1"/>
    <col min="9" max="9" width="12" style="1" customWidth="1"/>
    <col min="10" max="10" width="11" style="1" customWidth="1"/>
    <col min="11" max="11" width="22" style="1" customWidth="1"/>
    <col min="12" max="12" width="28" style="1" customWidth="1"/>
    <col min="13" max="13" width="13" style="1" customWidth="1"/>
  </cols>
  <sheetData>
    <row r="1" ht="28" customHeight="1" spans="1:13">
      <c r="A1" s="2" t="s">
        <v>1624</v>
      </c>
      <c r="B1" s="3"/>
      <c r="C1" s="3"/>
      <c r="D1" s="3"/>
      <c r="E1" s="3"/>
      <c r="F1" s="3"/>
      <c r="G1" s="3"/>
      <c r="H1" s="3"/>
      <c r="I1" s="3"/>
      <c r="J1" s="3"/>
      <c r="K1" s="3"/>
      <c r="L1" s="3"/>
      <c r="M1" s="4"/>
    </row>
    <row r="2" ht="22" customHeight="1" spans="1:13">
      <c r="A2" s="5" t="s">
        <v>1625</v>
      </c>
      <c r="B2" s="3"/>
      <c r="C2" s="3"/>
      <c r="D2" s="3"/>
      <c r="E2" s="3"/>
      <c r="F2" s="3"/>
      <c r="G2" s="3"/>
      <c r="H2" s="3"/>
      <c r="I2" s="3"/>
      <c r="J2" s="3"/>
      <c r="K2" s="3"/>
      <c r="L2" s="3"/>
      <c r="M2" s="4"/>
    </row>
    <row r="3" spans="1:13">
      <c r="A3" s="6"/>
      <c r="B3" s="6"/>
      <c r="C3" s="6"/>
      <c r="D3" s="6"/>
      <c r="E3" s="6"/>
      <c r="F3" s="6"/>
      <c r="G3" s="6"/>
      <c r="H3" s="6"/>
      <c r="I3" s="6"/>
      <c r="J3" s="6"/>
      <c r="K3" s="6"/>
      <c r="L3" s="6"/>
      <c r="M3" s="6"/>
    </row>
    <row r="4" ht="28" customHeight="1" spans="1:13">
      <c r="A4" s="7" t="s">
        <v>1626</v>
      </c>
      <c r="B4" s="7" t="s">
        <v>1481</v>
      </c>
      <c r="C4" s="7" t="s">
        <v>1627</v>
      </c>
      <c r="D4" s="7" t="s">
        <v>1628</v>
      </c>
      <c r="E4" s="7" t="s">
        <v>1629</v>
      </c>
      <c r="F4" s="7" t="s">
        <v>1630</v>
      </c>
      <c r="G4" s="7" t="s">
        <v>1631</v>
      </c>
      <c r="H4" s="7" t="s">
        <v>1632</v>
      </c>
      <c r="I4" s="7" t="s">
        <v>659</v>
      </c>
      <c r="J4" s="7" t="s">
        <v>1538</v>
      </c>
      <c r="K4" s="7" t="s">
        <v>1438</v>
      </c>
      <c r="L4" s="7" t="s">
        <v>1633</v>
      </c>
      <c r="M4" s="7" t="s">
        <v>640</v>
      </c>
    </row>
    <row r="5" spans="1:13">
      <c r="A5" s="8" t="str">
        <f t="shared" ref="A5:A54" si="0">IF(C5="","","D-"&amp;TEXT(ROW()-4,"000"))</f>
        <v/>
      </c>
      <c r="B5" s="11"/>
      <c r="C5" s="10"/>
      <c r="D5" s="10"/>
      <c r="E5" s="10"/>
      <c r="F5" s="10"/>
      <c r="G5" s="10"/>
      <c r="H5" s="11"/>
      <c r="I5" s="10"/>
      <c r="J5" s="8">
        <f>IF(OR(H5="",I5="已决策"),0,MAX(0,项目驾驶舱!$B$3-H5))</f>
        <v>0</v>
      </c>
      <c r="K5" s="10"/>
      <c r="L5" s="10"/>
      <c r="M5" s="11"/>
    </row>
    <row r="6" spans="1:13">
      <c r="A6" s="8" t="str">
        <f t="shared" si="0"/>
        <v/>
      </c>
      <c r="B6" s="11"/>
      <c r="C6" s="10"/>
      <c r="D6" s="10"/>
      <c r="E6" s="10"/>
      <c r="F6" s="10"/>
      <c r="G6" s="10"/>
      <c r="H6" s="11"/>
      <c r="I6" s="10"/>
      <c r="J6" s="8">
        <f>IF(OR(H6="",I6="已决策"),0,MAX(0,项目驾驶舱!$B$3-H6))</f>
        <v>0</v>
      </c>
      <c r="K6" s="10"/>
      <c r="L6" s="10"/>
      <c r="M6" s="11"/>
    </row>
    <row r="7" spans="1:13">
      <c r="A7" s="8" t="str">
        <f t="shared" si="0"/>
        <v/>
      </c>
      <c r="B7" s="11"/>
      <c r="C7" s="10"/>
      <c r="D7" s="10"/>
      <c r="E7" s="10"/>
      <c r="F7" s="10"/>
      <c r="G7" s="10"/>
      <c r="H7" s="11"/>
      <c r="I7" s="10"/>
      <c r="J7" s="8">
        <f>IF(OR(H7="",I7="已决策"),0,MAX(0,项目驾驶舱!$B$3-H7))</f>
        <v>0</v>
      </c>
      <c r="K7" s="10"/>
      <c r="L7" s="10"/>
      <c r="M7" s="11"/>
    </row>
    <row r="8" spans="1:13">
      <c r="A8" s="8" t="str">
        <f t="shared" si="0"/>
        <v/>
      </c>
      <c r="B8" s="11"/>
      <c r="C8" s="10"/>
      <c r="D8" s="10"/>
      <c r="E8" s="10"/>
      <c r="F8" s="10"/>
      <c r="G8" s="10"/>
      <c r="H8" s="11"/>
      <c r="I8" s="10"/>
      <c r="J8" s="8">
        <f>IF(OR(H8="",I8="已决策"),0,MAX(0,项目驾驶舱!$B$3-H8))</f>
        <v>0</v>
      </c>
      <c r="K8" s="10"/>
      <c r="L8" s="10"/>
      <c r="M8" s="11"/>
    </row>
    <row r="9" spans="1:13">
      <c r="A9" s="8" t="str">
        <f t="shared" si="0"/>
        <v/>
      </c>
      <c r="B9" s="11"/>
      <c r="C9" s="10"/>
      <c r="D9" s="10"/>
      <c r="E9" s="10"/>
      <c r="F9" s="10"/>
      <c r="G9" s="10"/>
      <c r="H9" s="11"/>
      <c r="I9" s="10"/>
      <c r="J9" s="8">
        <f>IF(OR(H9="",I9="已决策"),0,MAX(0,项目驾驶舱!$B$3-H9))</f>
        <v>0</v>
      </c>
      <c r="K9" s="10"/>
      <c r="L9" s="10"/>
      <c r="M9" s="11"/>
    </row>
    <row r="10" spans="1:13">
      <c r="A10" s="8" t="str">
        <f t="shared" si="0"/>
        <v/>
      </c>
      <c r="B10" s="11"/>
      <c r="C10" s="10"/>
      <c r="D10" s="10"/>
      <c r="E10" s="10"/>
      <c r="F10" s="10"/>
      <c r="G10" s="10"/>
      <c r="H10" s="11"/>
      <c r="I10" s="10"/>
      <c r="J10" s="8">
        <f>IF(OR(H10="",I10="已决策"),0,MAX(0,项目驾驶舱!$B$3-H10))</f>
        <v>0</v>
      </c>
      <c r="K10" s="10"/>
      <c r="L10" s="10"/>
      <c r="M10" s="11"/>
    </row>
    <row r="11" spans="1:13">
      <c r="A11" s="8" t="str">
        <f t="shared" si="0"/>
        <v/>
      </c>
      <c r="B11" s="11"/>
      <c r="C11" s="10"/>
      <c r="D11" s="10"/>
      <c r="E11" s="10"/>
      <c r="F11" s="10"/>
      <c r="G11" s="10"/>
      <c r="H11" s="11"/>
      <c r="I11" s="10"/>
      <c r="J11" s="8">
        <f>IF(OR(H11="",I11="已决策"),0,MAX(0,项目驾驶舱!$B$3-H11))</f>
        <v>0</v>
      </c>
      <c r="K11" s="10"/>
      <c r="L11" s="10"/>
      <c r="M11" s="11"/>
    </row>
    <row r="12" spans="1:13">
      <c r="A12" s="8" t="str">
        <f t="shared" si="0"/>
        <v/>
      </c>
      <c r="B12" s="11"/>
      <c r="C12" s="10"/>
      <c r="D12" s="10"/>
      <c r="E12" s="10"/>
      <c r="F12" s="10"/>
      <c r="G12" s="10"/>
      <c r="H12" s="11"/>
      <c r="I12" s="10"/>
      <c r="J12" s="8">
        <f>IF(OR(H12="",I12="已决策"),0,MAX(0,项目驾驶舱!$B$3-H12))</f>
        <v>0</v>
      </c>
      <c r="K12" s="10"/>
      <c r="L12" s="10"/>
      <c r="M12" s="11"/>
    </row>
    <row r="13" spans="1:13">
      <c r="A13" s="8" t="str">
        <f t="shared" si="0"/>
        <v/>
      </c>
      <c r="B13" s="11"/>
      <c r="C13" s="10"/>
      <c r="D13" s="10"/>
      <c r="E13" s="10"/>
      <c r="F13" s="10"/>
      <c r="G13" s="10"/>
      <c r="H13" s="11"/>
      <c r="I13" s="10"/>
      <c r="J13" s="8">
        <f>IF(OR(H13="",I13="已决策"),0,MAX(0,项目驾驶舱!$B$3-H13))</f>
        <v>0</v>
      </c>
      <c r="K13" s="10"/>
      <c r="L13" s="10"/>
      <c r="M13" s="11"/>
    </row>
    <row r="14" spans="1:13">
      <c r="A14" s="8" t="str">
        <f t="shared" si="0"/>
        <v/>
      </c>
      <c r="B14" s="11"/>
      <c r="C14" s="10"/>
      <c r="D14" s="10"/>
      <c r="E14" s="10"/>
      <c r="F14" s="10"/>
      <c r="G14" s="10"/>
      <c r="H14" s="11"/>
      <c r="I14" s="10"/>
      <c r="J14" s="8">
        <f>IF(OR(H14="",I14="已决策"),0,MAX(0,项目驾驶舱!$B$3-H14))</f>
        <v>0</v>
      </c>
      <c r="K14" s="10"/>
      <c r="L14" s="10"/>
      <c r="M14" s="11"/>
    </row>
    <row r="15" spans="1:13">
      <c r="A15" s="8" t="str">
        <f t="shared" si="0"/>
        <v/>
      </c>
      <c r="B15" s="11"/>
      <c r="C15" s="10"/>
      <c r="D15" s="10"/>
      <c r="E15" s="10"/>
      <c r="F15" s="10"/>
      <c r="G15" s="10"/>
      <c r="H15" s="11"/>
      <c r="I15" s="10"/>
      <c r="J15" s="8">
        <f>IF(OR(H15="",I15="已决策"),0,MAX(0,项目驾驶舱!$B$3-H15))</f>
        <v>0</v>
      </c>
      <c r="K15" s="10"/>
      <c r="L15" s="10"/>
      <c r="M15" s="11"/>
    </row>
    <row r="16" spans="1:13">
      <c r="A16" s="8" t="str">
        <f t="shared" si="0"/>
        <v/>
      </c>
      <c r="B16" s="11"/>
      <c r="C16" s="10"/>
      <c r="D16" s="10"/>
      <c r="E16" s="10"/>
      <c r="F16" s="10"/>
      <c r="G16" s="10"/>
      <c r="H16" s="11"/>
      <c r="I16" s="10"/>
      <c r="J16" s="8">
        <f>IF(OR(H16="",I16="已决策"),0,MAX(0,项目驾驶舱!$B$3-H16))</f>
        <v>0</v>
      </c>
      <c r="K16" s="10"/>
      <c r="L16" s="10"/>
      <c r="M16" s="11"/>
    </row>
    <row r="17" spans="1:13">
      <c r="A17" s="8" t="str">
        <f t="shared" si="0"/>
        <v/>
      </c>
      <c r="B17" s="11"/>
      <c r="C17" s="10"/>
      <c r="D17" s="10"/>
      <c r="E17" s="10"/>
      <c r="F17" s="10"/>
      <c r="G17" s="10"/>
      <c r="H17" s="11"/>
      <c r="I17" s="10"/>
      <c r="J17" s="8">
        <f>IF(OR(H17="",I17="已决策"),0,MAX(0,项目驾驶舱!$B$3-H17))</f>
        <v>0</v>
      </c>
      <c r="K17" s="10"/>
      <c r="L17" s="10"/>
      <c r="M17" s="11"/>
    </row>
    <row r="18" spans="1:13">
      <c r="A18" s="8" t="str">
        <f t="shared" si="0"/>
        <v/>
      </c>
      <c r="B18" s="11"/>
      <c r="C18" s="10"/>
      <c r="D18" s="10"/>
      <c r="E18" s="10"/>
      <c r="F18" s="10"/>
      <c r="G18" s="10"/>
      <c r="H18" s="11"/>
      <c r="I18" s="10"/>
      <c r="J18" s="8">
        <f>IF(OR(H18="",I18="已决策"),0,MAX(0,项目驾驶舱!$B$3-H18))</f>
        <v>0</v>
      </c>
      <c r="K18" s="10"/>
      <c r="L18" s="10"/>
      <c r="M18" s="11"/>
    </row>
    <row r="19" spans="1:13">
      <c r="A19" s="8" t="str">
        <f t="shared" si="0"/>
        <v/>
      </c>
      <c r="B19" s="11"/>
      <c r="C19" s="10"/>
      <c r="D19" s="10"/>
      <c r="E19" s="10"/>
      <c r="F19" s="10"/>
      <c r="G19" s="10"/>
      <c r="H19" s="11"/>
      <c r="I19" s="10"/>
      <c r="J19" s="8">
        <f>IF(OR(H19="",I19="已决策"),0,MAX(0,项目驾驶舱!$B$3-H19))</f>
        <v>0</v>
      </c>
      <c r="K19" s="10"/>
      <c r="L19" s="10"/>
      <c r="M19" s="11"/>
    </row>
    <row r="20" spans="1:13">
      <c r="A20" s="8" t="str">
        <f t="shared" si="0"/>
        <v/>
      </c>
      <c r="B20" s="11"/>
      <c r="C20" s="10"/>
      <c r="D20" s="10"/>
      <c r="E20" s="10"/>
      <c r="F20" s="10"/>
      <c r="G20" s="10"/>
      <c r="H20" s="11"/>
      <c r="I20" s="10"/>
      <c r="J20" s="8">
        <f>IF(OR(H20="",I20="已决策"),0,MAX(0,项目驾驶舱!$B$3-H20))</f>
        <v>0</v>
      </c>
      <c r="K20" s="10"/>
      <c r="L20" s="10"/>
      <c r="M20" s="11"/>
    </row>
    <row r="21" spans="1:13">
      <c r="A21" s="8" t="str">
        <f t="shared" si="0"/>
        <v/>
      </c>
      <c r="B21" s="11"/>
      <c r="C21" s="10"/>
      <c r="D21" s="10"/>
      <c r="E21" s="10"/>
      <c r="F21" s="10"/>
      <c r="G21" s="10"/>
      <c r="H21" s="11"/>
      <c r="I21" s="10"/>
      <c r="J21" s="8">
        <f>IF(OR(H21="",I21="已决策"),0,MAX(0,项目驾驶舱!$B$3-H21))</f>
        <v>0</v>
      </c>
      <c r="K21" s="10"/>
      <c r="L21" s="10"/>
      <c r="M21" s="11"/>
    </row>
    <row r="22" spans="1:13">
      <c r="A22" s="8" t="str">
        <f t="shared" si="0"/>
        <v/>
      </c>
      <c r="B22" s="11"/>
      <c r="C22" s="10"/>
      <c r="D22" s="10"/>
      <c r="E22" s="10"/>
      <c r="F22" s="10"/>
      <c r="G22" s="10"/>
      <c r="H22" s="11"/>
      <c r="I22" s="10"/>
      <c r="J22" s="8">
        <f>IF(OR(H22="",I22="已决策"),0,MAX(0,项目驾驶舱!$B$3-H22))</f>
        <v>0</v>
      </c>
      <c r="K22" s="10"/>
      <c r="L22" s="10"/>
      <c r="M22" s="11"/>
    </row>
    <row r="23" spans="1:13">
      <c r="A23" s="8" t="str">
        <f t="shared" si="0"/>
        <v/>
      </c>
      <c r="B23" s="11"/>
      <c r="C23" s="10"/>
      <c r="D23" s="10"/>
      <c r="E23" s="10"/>
      <c r="F23" s="10"/>
      <c r="G23" s="10"/>
      <c r="H23" s="11"/>
      <c r="I23" s="10"/>
      <c r="J23" s="8">
        <f>IF(OR(H23="",I23="已决策"),0,MAX(0,项目驾驶舱!$B$3-H23))</f>
        <v>0</v>
      </c>
      <c r="K23" s="10"/>
      <c r="L23" s="10"/>
      <c r="M23" s="11"/>
    </row>
    <row r="24" spans="1:13">
      <c r="A24" s="8" t="str">
        <f t="shared" si="0"/>
        <v/>
      </c>
      <c r="B24" s="11"/>
      <c r="C24" s="10"/>
      <c r="D24" s="10"/>
      <c r="E24" s="10"/>
      <c r="F24" s="10"/>
      <c r="G24" s="10"/>
      <c r="H24" s="11"/>
      <c r="I24" s="10"/>
      <c r="J24" s="8">
        <f>IF(OR(H24="",I24="已决策"),0,MAX(0,项目驾驶舱!$B$3-H24))</f>
        <v>0</v>
      </c>
      <c r="K24" s="10"/>
      <c r="L24" s="10"/>
      <c r="M24" s="11"/>
    </row>
    <row r="25" spans="1:13">
      <c r="A25" s="8" t="str">
        <f t="shared" si="0"/>
        <v/>
      </c>
      <c r="B25" s="11"/>
      <c r="C25" s="10"/>
      <c r="D25" s="10"/>
      <c r="E25" s="10"/>
      <c r="F25" s="10"/>
      <c r="G25" s="10"/>
      <c r="H25" s="11"/>
      <c r="I25" s="10"/>
      <c r="J25" s="8">
        <f>IF(OR(H25="",I25="已决策"),0,MAX(0,项目驾驶舱!$B$3-H25))</f>
        <v>0</v>
      </c>
      <c r="K25" s="10"/>
      <c r="L25" s="10"/>
      <c r="M25" s="11"/>
    </row>
    <row r="26" spans="1:13">
      <c r="A26" s="8" t="str">
        <f t="shared" si="0"/>
        <v/>
      </c>
      <c r="B26" s="11"/>
      <c r="C26" s="10"/>
      <c r="D26" s="10"/>
      <c r="E26" s="10"/>
      <c r="F26" s="10"/>
      <c r="G26" s="10"/>
      <c r="H26" s="11"/>
      <c r="I26" s="10"/>
      <c r="J26" s="8">
        <f>IF(OR(H26="",I26="已决策"),0,MAX(0,项目驾驶舱!$B$3-H26))</f>
        <v>0</v>
      </c>
      <c r="K26" s="10"/>
      <c r="L26" s="10"/>
      <c r="M26" s="11"/>
    </row>
    <row r="27" spans="1:13">
      <c r="A27" s="8" t="str">
        <f t="shared" si="0"/>
        <v/>
      </c>
      <c r="B27" s="11"/>
      <c r="C27" s="10"/>
      <c r="D27" s="10"/>
      <c r="E27" s="10"/>
      <c r="F27" s="10"/>
      <c r="G27" s="10"/>
      <c r="H27" s="11"/>
      <c r="I27" s="10"/>
      <c r="J27" s="8">
        <f>IF(OR(H27="",I27="已决策"),0,MAX(0,项目驾驶舱!$B$3-H27))</f>
        <v>0</v>
      </c>
      <c r="K27" s="10"/>
      <c r="L27" s="10"/>
      <c r="M27" s="11"/>
    </row>
    <row r="28" spans="1:13">
      <c r="A28" s="8" t="str">
        <f t="shared" si="0"/>
        <v/>
      </c>
      <c r="B28" s="11"/>
      <c r="C28" s="10"/>
      <c r="D28" s="10"/>
      <c r="E28" s="10"/>
      <c r="F28" s="10"/>
      <c r="G28" s="10"/>
      <c r="H28" s="11"/>
      <c r="I28" s="10"/>
      <c r="J28" s="8">
        <f>IF(OR(H28="",I28="已决策"),0,MAX(0,项目驾驶舱!$B$3-H28))</f>
        <v>0</v>
      </c>
      <c r="K28" s="10"/>
      <c r="L28" s="10"/>
      <c r="M28" s="11"/>
    </row>
    <row r="29" spans="1:13">
      <c r="A29" s="8" t="str">
        <f t="shared" si="0"/>
        <v/>
      </c>
      <c r="B29" s="11"/>
      <c r="C29" s="10"/>
      <c r="D29" s="10"/>
      <c r="E29" s="10"/>
      <c r="F29" s="10"/>
      <c r="G29" s="10"/>
      <c r="H29" s="11"/>
      <c r="I29" s="10"/>
      <c r="J29" s="8">
        <f>IF(OR(H29="",I29="已决策"),0,MAX(0,项目驾驶舱!$B$3-H29))</f>
        <v>0</v>
      </c>
      <c r="K29" s="10"/>
      <c r="L29" s="10"/>
      <c r="M29" s="11"/>
    </row>
    <row r="30" spans="1:13">
      <c r="A30" s="8" t="str">
        <f t="shared" si="0"/>
        <v/>
      </c>
      <c r="B30" s="11"/>
      <c r="C30" s="10"/>
      <c r="D30" s="10"/>
      <c r="E30" s="10"/>
      <c r="F30" s="10"/>
      <c r="G30" s="10"/>
      <c r="H30" s="11"/>
      <c r="I30" s="10"/>
      <c r="J30" s="8">
        <f>IF(OR(H30="",I30="已决策"),0,MAX(0,项目驾驶舱!$B$3-H30))</f>
        <v>0</v>
      </c>
      <c r="K30" s="10"/>
      <c r="L30" s="10"/>
      <c r="M30" s="11"/>
    </row>
    <row r="31" spans="1:13">
      <c r="A31" s="8" t="str">
        <f t="shared" si="0"/>
        <v/>
      </c>
      <c r="B31" s="11"/>
      <c r="C31" s="10"/>
      <c r="D31" s="10"/>
      <c r="E31" s="10"/>
      <c r="F31" s="10"/>
      <c r="G31" s="10"/>
      <c r="H31" s="11"/>
      <c r="I31" s="10"/>
      <c r="J31" s="8">
        <f>IF(OR(H31="",I31="已决策"),0,MAX(0,项目驾驶舱!$B$3-H31))</f>
        <v>0</v>
      </c>
      <c r="K31" s="10"/>
      <c r="L31" s="10"/>
      <c r="M31" s="11"/>
    </row>
    <row r="32" spans="1:13">
      <c r="A32" s="8" t="str">
        <f t="shared" si="0"/>
        <v/>
      </c>
      <c r="B32" s="11"/>
      <c r="C32" s="10"/>
      <c r="D32" s="10"/>
      <c r="E32" s="10"/>
      <c r="F32" s="10"/>
      <c r="G32" s="10"/>
      <c r="H32" s="11"/>
      <c r="I32" s="10"/>
      <c r="J32" s="8">
        <f>IF(OR(H32="",I32="已决策"),0,MAX(0,项目驾驶舱!$B$3-H32))</f>
        <v>0</v>
      </c>
      <c r="K32" s="10"/>
      <c r="L32" s="10"/>
      <c r="M32" s="11"/>
    </row>
    <row r="33" spans="1:13">
      <c r="A33" s="8" t="str">
        <f t="shared" si="0"/>
        <v/>
      </c>
      <c r="B33" s="11"/>
      <c r="C33" s="10"/>
      <c r="D33" s="10"/>
      <c r="E33" s="10"/>
      <c r="F33" s="10"/>
      <c r="G33" s="10"/>
      <c r="H33" s="11"/>
      <c r="I33" s="10"/>
      <c r="J33" s="8">
        <f>IF(OR(H33="",I33="已决策"),0,MAX(0,项目驾驶舱!$B$3-H33))</f>
        <v>0</v>
      </c>
      <c r="K33" s="10"/>
      <c r="L33" s="10"/>
      <c r="M33" s="11"/>
    </row>
    <row r="34" spans="1:13">
      <c r="A34" s="8" t="str">
        <f t="shared" si="0"/>
        <v/>
      </c>
      <c r="B34" s="11"/>
      <c r="C34" s="10"/>
      <c r="D34" s="10"/>
      <c r="E34" s="10"/>
      <c r="F34" s="10"/>
      <c r="G34" s="10"/>
      <c r="H34" s="11"/>
      <c r="I34" s="10"/>
      <c r="J34" s="8">
        <f>IF(OR(H34="",I34="已决策"),0,MAX(0,项目驾驶舱!$B$3-H34))</f>
        <v>0</v>
      </c>
      <c r="K34" s="10"/>
      <c r="L34" s="10"/>
      <c r="M34" s="11"/>
    </row>
    <row r="35" spans="1:13">
      <c r="A35" s="8" t="str">
        <f t="shared" si="0"/>
        <v/>
      </c>
      <c r="B35" s="11"/>
      <c r="C35" s="10"/>
      <c r="D35" s="10"/>
      <c r="E35" s="10"/>
      <c r="F35" s="10"/>
      <c r="G35" s="10"/>
      <c r="H35" s="11"/>
      <c r="I35" s="10"/>
      <c r="J35" s="8">
        <f>IF(OR(H35="",I35="已决策"),0,MAX(0,项目驾驶舱!$B$3-H35))</f>
        <v>0</v>
      </c>
      <c r="K35" s="10"/>
      <c r="L35" s="10"/>
      <c r="M35" s="11"/>
    </row>
    <row r="36" spans="1:13">
      <c r="A36" s="8" t="str">
        <f t="shared" si="0"/>
        <v/>
      </c>
      <c r="B36" s="11"/>
      <c r="C36" s="10"/>
      <c r="D36" s="10"/>
      <c r="E36" s="10"/>
      <c r="F36" s="10"/>
      <c r="G36" s="10"/>
      <c r="H36" s="11"/>
      <c r="I36" s="10"/>
      <c r="J36" s="8">
        <f>IF(OR(H36="",I36="已决策"),0,MAX(0,项目驾驶舱!$B$3-H36))</f>
        <v>0</v>
      </c>
      <c r="K36" s="10"/>
      <c r="L36" s="10"/>
      <c r="M36" s="11"/>
    </row>
    <row r="37" spans="1:13">
      <c r="A37" s="8" t="str">
        <f t="shared" si="0"/>
        <v/>
      </c>
      <c r="B37" s="11"/>
      <c r="C37" s="10"/>
      <c r="D37" s="10"/>
      <c r="E37" s="10"/>
      <c r="F37" s="10"/>
      <c r="G37" s="10"/>
      <c r="H37" s="11"/>
      <c r="I37" s="10"/>
      <c r="J37" s="8">
        <f>IF(OR(H37="",I37="已决策"),0,MAX(0,项目驾驶舱!$B$3-H37))</f>
        <v>0</v>
      </c>
      <c r="K37" s="10"/>
      <c r="L37" s="10"/>
      <c r="M37" s="11"/>
    </row>
    <row r="38" spans="1:13">
      <c r="A38" s="8" t="str">
        <f t="shared" si="0"/>
        <v/>
      </c>
      <c r="B38" s="11"/>
      <c r="C38" s="10"/>
      <c r="D38" s="10"/>
      <c r="E38" s="10"/>
      <c r="F38" s="10"/>
      <c r="G38" s="10"/>
      <c r="H38" s="11"/>
      <c r="I38" s="10"/>
      <c r="J38" s="8">
        <f>IF(OR(H38="",I38="已决策"),0,MAX(0,项目驾驶舱!$B$3-H38))</f>
        <v>0</v>
      </c>
      <c r="K38" s="10"/>
      <c r="L38" s="10"/>
      <c r="M38" s="11"/>
    </row>
    <row r="39" spans="1:13">
      <c r="A39" s="8" t="str">
        <f t="shared" si="0"/>
        <v/>
      </c>
      <c r="B39" s="11"/>
      <c r="C39" s="10"/>
      <c r="D39" s="10"/>
      <c r="E39" s="10"/>
      <c r="F39" s="10"/>
      <c r="G39" s="10"/>
      <c r="H39" s="11"/>
      <c r="I39" s="10"/>
      <c r="J39" s="8">
        <f>IF(OR(H39="",I39="已决策"),0,MAX(0,项目驾驶舱!$B$3-H39))</f>
        <v>0</v>
      </c>
      <c r="K39" s="10"/>
      <c r="L39" s="10"/>
      <c r="M39" s="11"/>
    </row>
    <row r="40" spans="1:13">
      <c r="A40" s="8" t="str">
        <f t="shared" si="0"/>
        <v/>
      </c>
      <c r="B40" s="11"/>
      <c r="C40" s="10"/>
      <c r="D40" s="10"/>
      <c r="E40" s="10"/>
      <c r="F40" s="10"/>
      <c r="G40" s="10"/>
      <c r="H40" s="11"/>
      <c r="I40" s="10"/>
      <c r="J40" s="8">
        <f>IF(OR(H40="",I40="已决策"),0,MAX(0,项目驾驶舱!$B$3-H40))</f>
        <v>0</v>
      </c>
      <c r="K40" s="10"/>
      <c r="L40" s="10"/>
      <c r="M40" s="11"/>
    </row>
    <row r="41" spans="1:13">
      <c r="A41" s="8" t="str">
        <f t="shared" si="0"/>
        <v/>
      </c>
      <c r="B41" s="11"/>
      <c r="C41" s="10"/>
      <c r="D41" s="10"/>
      <c r="E41" s="10"/>
      <c r="F41" s="10"/>
      <c r="G41" s="10"/>
      <c r="H41" s="11"/>
      <c r="I41" s="10"/>
      <c r="J41" s="8">
        <f>IF(OR(H41="",I41="已决策"),0,MAX(0,项目驾驶舱!$B$3-H41))</f>
        <v>0</v>
      </c>
      <c r="K41" s="10"/>
      <c r="L41" s="10"/>
      <c r="M41" s="11"/>
    </row>
    <row r="42" spans="1:13">
      <c r="A42" s="8" t="str">
        <f t="shared" si="0"/>
        <v/>
      </c>
      <c r="B42" s="11"/>
      <c r="C42" s="10"/>
      <c r="D42" s="10"/>
      <c r="E42" s="10"/>
      <c r="F42" s="10"/>
      <c r="G42" s="10"/>
      <c r="H42" s="11"/>
      <c r="I42" s="10"/>
      <c r="J42" s="8">
        <f>IF(OR(H42="",I42="已决策"),0,MAX(0,项目驾驶舱!$B$3-H42))</f>
        <v>0</v>
      </c>
      <c r="K42" s="10"/>
      <c r="L42" s="10"/>
      <c r="M42" s="11"/>
    </row>
    <row r="43" spans="1:13">
      <c r="A43" s="8" t="str">
        <f t="shared" si="0"/>
        <v/>
      </c>
      <c r="B43" s="11"/>
      <c r="C43" s="10"/>
      <c r="D43" s="10"/>
      <c r="E43" s="10"/>
      <c r="F43" s="10"/>
      <c r="G43" s="10"/>
      <c r="H43" s="11"/>
      <c r="I43" s="10"/>
      <c r="J43" s="8">
        <f>IF(OR(H43="",I43="已决策"),0,MAX(0,项目驾驶舱!$B$3-H43))</f>
        <v>0</v>
      </c>
      <c r="K43" s="10"/>
      <c r="L43" s="10"/>
      <c r="M43" s="11"/>
    </row>
    <row r="44" spans="1:13">
      <c r="A44" s="8" t="str">
        <f t="shared" si="0"/>
        <v/>
      </c>
      <c r="B44" s="11"/>
      <c r="C44" s="10"/>
      <c r="D44" s="10"/>
      <c r="E44" s="10"/>
      <c r="F44" s="10"/>
      <c r="G44" s="10"/>
      <c r="H44" s="11"/>
      <c r="I44" s="10"/>
      <c r="J44" s="8">
        <f>IF(OR(H44="",I44="已决策"),0,MAX(0,项目驾驶舱!$B$3-H44))</f>
        <v>0</v>
      </c>
      <c r="K44" s="10"/>
      <c r="L44" s="10"/>
      <c r="M44" s="11"/>
    </row>
    <row r="45" spans="1:13">
      <c r="A45" s="8" t="str">
        <f t="shared" si="0"/>
        <v/>
      </c>
      <c r="B45" s="11"/>
      <c r="C45" s="10"/>
      <c r="D45" s="10"/>
      <c r="E45" s="10"/>
      <c r="F45" s="10"/>
      <c r="G45" s="10"/>
      <c r="H45" s="11"/>
      <c r="I45" s="10"/>
      <c r="J45" s="8">
        <f>IF(OR(H45="",I45="已决策"),0,MAX(0,项目驾驶舱!$B$3-H45))</f>
        <v>0</v>
      </c>
      <c r="K45" s="10"/>
      <c r="L45" s="10"/>
      <c r="M45" s="11"/>
    </row>
    <row r="46" spans="1:13">
      <c r="A46" s="8" t="str">
        <f t="shared" si="0"/>
        <v/>
      </c>
      <c r="B46" s="11"/>
      <c r="C46" s="10"/>
      <c r="D46" s="10"/>
      <c r="E46" s="10"/>
      <c r="F46" s="10"/>
      <c r="G46" s="10"/>
      <c r="H46" s="11"/>
      <c r="I46" s="10"/>
      <c r="J46" s="8">
        <f>IF(OR(H46="",I46="已决策"),0,MAX(0,项目驾驶舱!$B$3-H46))</f>
        <v>0</v>
      </c>
      <c r="K46" s="10"/>
      <c r="L46" s="10"/>
      <c r="M46" s="11"/>
    </row>
    <row r="47" spans="1:13">
      <c r="A47" s="8" t="str">
        <f t="shared" si="0"/>
        <v/>
      </c>
      <c r="B47" s="11"/>
      <c r="C47" s="10"/>
      <c r="D47" s="10"/>
      <c r="E47" s="10"/>
      <c r="F47" s="10"/>
      <c r="G47" s="10"/>
      <c r="H47" s="11"/>
      <c r="I47" s="10"/>
      <c r="J47" s="8">
        <f>IF(OR(H47="",I47="已决策"),0,MAX(0,项目驾驶舱!$B$3-H47))</f>
        <v>0</v>
      </c>
      <c r="K47" s="10"/>
      <c r="L47" s="10"/>
      <c r="M47" s="11"/>
    </row>
    <row r="48" spans="1:13">
      <c r="A48" s="8" t="str">
        <f t="shared" si="0"/>
        <v/>
      </c>
      <c r="B48" s="11"/>
      <c r="C48" s="10"/>
      <c r="D48" s="10"/>
      <c r="E48" s="10"/>
      <c r="F48" s="10"/>
      <c r="G48" s="10"/>
      <c r="H48" s="11"/>
      <c r="I48" s="10"/>
      <c r="J48" s="8">
        <f>IF(OR(H48="",I48="已决策"),0,MAX(0,项目驾驶舱!$B$3-H48))</f>
        <v>0</v>
      </c>
      <c r="K48" s="10"/>
      <c r="L48" s="10"/>
      <c r="M48" s="11"/>
    </row>
    <row r="49" spans="1:13">
      <c r="A49" s="8" t="str">
        <f t="shared" si="0"/>
        <v/>
      </c>
      <c r="B49" s="11"/>
      <c r="C49" s="10"/>
      <c r="D49" s="10"/>
      <c r="E49" s="10"/>
      <c r="F49" s="10"/>
      <c r="G49" s="10"/>
      <c r="H49" s="11"/>
      <c r="I49" s="10"/>
      <c r="J49" s="8">
        <f>IF(OR(H49="",I49="已决策"),0,MAX(0,项目驾驶舱!$B$3-H49))</f>
        <v>0</v>
      </c>
      <c r="K49" s="10"/>
      <c r="L49" s="10"/>
      <c r="M49" s="11"/>
    </row>
    <row r="50" spans="1:13">
      <c r="A50" s="8" t="str">
        <f t="shared" si="0"/>
        <v/>
      </c>
      <c r="B50" s="11"/>
      <c r="C50" s="10"/>
      <c r="D50" s="10"/>
      <c r="E50" s="10"/>
      <c r="F50" s="10"/>
      <c r="G50" s="10"/>
      <c r="H50" s="11"/>
      <c r="I50" s="10"/>
      <c r="J50" s="8">
        <f>IF(OR(H50="",I50="已决策"),0,MAX(0,项目驾驶舱!$B$3-H50))</f>
        <v>0</v>
      </c>
      <c r="K50" s="10"/>
      <c r="L50" s="10"/>
      <c r="M50" s="11"/>
    </row>
    <row r="51" spans="1:13">
      <c r="A51" s="8" t="str">
        <f t="shared" si="0"/>
        <v/>
      </c>
      <c r="B51" s="11"/>
      <c r="C51" s="10"/>
      <c r="D51" s="10"/>
      <c r="E51" s="10"/>
      <c r="F51" s="10"/>
      <c r="G51" s="10"/>
      <c r="H51" s="11"/>
      <c r="I51" s="10"/>
      <c r="J51" s="8">
        <f>IF(OR(H51="",I51="已决策"),0,MAX(0,项目驾驶舱!$B$3-H51))</f>
        <v>0</v>
      </c>
      <c r="K51" s="10"/>
      <c r="L51" s="10"/>
      <c r="M51" s="11"/>
    </row>
    <row r="52" spans="1:13">
      <c r="A52" s="8" t="str">
        <f t="shared" si="0"/>
        <v/>
      </c>
      <c r="B52" s="11"/>
      <c r="C52" s="10"/>
      <c r="D52" s="10"/>
      <c r="E52" s="10"/>
      <c r="F52" s="10"/>
      <c r="G52" s="10"/>
      <c r="H52" s="11"/>
      <c r="I52" s="10"/>
      <c r="J52" s="8">
        <f>IF(OR(H52="",I52="已决策"),0,MAX(0,项目驾驶舱!$B$3-H52))</f>
        <v>0</v>
      </c>
      <c r="K52" s="10"/>
      <c r="L52" s="10"/>
      <c r="M52" s="11"/>
    </row>
    <row r="53" spans="1:13">
      <c r="A53" s="8" t="str">
        <f t="shared" si="0"/>
        <v/>
      </c>
      <c r="B53" s="11"/>
      <c r="C53" s="10"/>
      <c r="D53" s="10"/>
      <c r="E53" s="10"/>
      <c r="F53" s="10"/>
      <c r="G53" s="10"/>
      <c r="H53" s="11"/>
      <c r="I53" s="10"/>
      <c r="J53" s="8">
        <f>IF(OR(H53="",I53="已决策"),0,MAX(0,项目驾驶舱!$B$3-H53))</f>
        <v>0</v>
      </c>
      <c r="K53" s="10"/>
      <c r="L53" s="10"/>
      <c r="M53" s="11"/>
    </row>
    <row r="54" spans="1:13">
      <c r="A54" s="8" t="str">
        <f t="shared" si="0"/>
        <v/>
      </c>
      <c r="B54" s="11"/>
      <c r="C54" s="10"/>
      <c r="D54" s="10"/>
      <c r="E54" s="10"/>
      <c r="F54" s="10"/>
      <c r="G54" s="10"/>
      <c r="H54" s="11"/>
      <c r="I54" s="10"/>
      <c r="J54" s="8">
        <f>IF(OR(H54="",I54="已决策"),0,MAX(0,项目驾驶舱!$B$3-H54))</f>
        <v>0</v>
      </c>
      <c r="K54" s="10"/>
      <c r="L54" s="10"/>
      <c r="M54" s="11"/>
    </row>
  </sheetData>
  <autoFilter xmlns:etc="http://www.wps.cn/officeDocument/2017/etCustomData" ref="A4:M54" etc:filterBottomFollowUsedRange="0">
    <extLst/>
  </autoFilter>
  <mergeCells count="2">
    <mergeCell ref="A1:M1"/>
    <mergeCell ref="A2:M2"/>
  </mergeCells>
  <conditionalFormatting sqref="J5:J54">
    <cfRule type="expression" dxfId="6" priority="1">
      <formula>$J5&gt;0</formula>
    </cfRule>
  </conditionalFormatting>
  <dataValidations count="1">
    <dataValidation type="list" allowBlank="1" sqref="I5:I54">
      <formula1>"待提出,待决策,已决策,已关闭"</formula1>
    </dataValidation>
  </dataValidations>
  <pageMargins left="0.75" right="0.75" top="1" bottom="1" header="0.5" footer="0.5"/>
  <pageSetup paperSize="1" fitToHeight="0" orientation="landscape"/>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pageSetUpPr fitToPage="1"/>
  </sheetPr>
  <dimension ref="A1:M149"/>
  <sheetViews>
    <sheetView showGridLines="0" zoomScale="85" zoomScaleNormal="85" workbookViewId="0">
      <pane ySplit="4" topLeftCell="A5" activePane="bottomLeft" state="frozen"/>
      <selection/>
      <selection pane="bottomLeft" activeCell="A1" sqref="A1:M1"/>
    </sheetView>
  </sheetViews>
  <sheetFormatPr defaultColWidth="9" defaultRowHeight="16.8"/>
  <cols>
    <col min="1" max="2" width="11" style="1" customWidth="1"/>
    <col min="3" max="3" width="28" style="1" customWidth="1"/>
    <col min="4" max="5" width="13" style="1" customWidth="1"/>
    <col min="6" max="6" width="16" style="1" customWidth="1"/>
    <col min="7" max="7" width="13" style="1" customWidth="1"/>
    <col min="8" max="8" width="12" style="1" customWidth="1"/>
    <col min="9" max="9" width="13" style="1" customWidth="1"/>
    <col min="10" max="10" width="30" style="1" customWidth="1"/>
    <col min="11" max="11" width="34" style="1" customWidth="1"/>
    <col min="12" max="12" width="13" style="1" customWidth="1"/>
    <col min="13" max="13" width="24" style="1" customWidth="1"/>
  </cols>
  <sheetData>
    <row r="1" ht="28" customHeight="1" spans="1:13">
      <c r="A1" s="2" t="s">
        <v>1634</v>
      </c>
      <c r="B1" s="3"/>
      <c r="C1" s="3"/>
      <c r="D1" s="3"/>
      <c r="E1" s="3"/>
      <c r="F1" s="3"/>
      <c r="G1" s="3"/>
      <c r="H1" s="3"/>
      <c r="I1" s="3"/>
      <c r="J1" s="3"/>
      <c r="K1" s="3"/>
      <c r="L1" s="3"/>
      <c r="M1" s="4"/>
    </row>
    <row r="2" ht="22" customHeight="1" spans="1:13">
      <c r="A2" s="5" t="s">
        <v>1635</v>
      </c>
      <c r="B2" s="3"/>
      <c r="C2" s="3"/>
      <c r="D2" s="3"/>
      <c r="E2" s="3"/>
      <c r="F2" s="3"/>
      <c r="G2" s="3"/>
      <c r="H2" s="3"/>
      <c r="I2" s="3"/>
      <c r="J2" s="3"/>
      <c r="K2" s="3"/>
      <c r="L2" s="3"/>
      <c r="M2" s="4"/>
    </row>
    <row r="3" spans="1:13">
      <c r="A3" s="6"/>
      <c r="B3" s="6"/>
      <c r="C3" s="6"/>
      <c r="D3" s="6"/>
      <c r="E3" s="6"/>
      <c r="F3" s="6"/>
      <c r="G3" s="6"/>
      <c r="H3" s="6"/>
      <c r="I3" s="6"/>
      <c r="J3" s="6"/>
      <c r="K3" s="6"/>
      <c r="L3" s="6"/>
      <c r="M3" s="6"/>
    </row>
    <row r="4" ht="28" customHeight="1" spans="1:13">
      <c r="A4" s="7" t="s">
        <v>1636</v>
      </c>
      <c r="B4" s="7" t="s">
        <v>41</v>
      </c>
      <c r="C4" s="7" t="s">
        <v>799</v>
      </c>
      <c r="D4" s="7" t="s">
        <v>23</v>
      </c>
      <c r="E4" s="7" t="s">
        <v>46</v>
      </c>
      <c r="F4" s="7" t="s">
        <v>47</v>
      </c>
      <c r="G4" s="7" t="s">
        <v>49</v>
      </c>
      <c r="H4" s="7" t="s">
        <v>1637</v>
      </c>
      <c r="I4" s="7" t="s">
        <v>67</v>
      </c>
      <c r="J4" s="7" t="s">
        <v>68</v>
      </c>
      <c r="K4" s="7" t="s">
        <v>1591</v>
      </c>
      <c r="L4" s="7" t="s">
        <v>1638</v>
      </c>
      <c r="M4" s="7" t="s">
        <v>541</v>
      </c>
    </row>
    <row r="5" spans="1:13">
      <c r="A5" s="8" t="str">
        <f>IF(B5="","",IF(AND(E5&lt;&gt;"已完成",ISNUMBER(G5),G5&lt;=项目驾驶舱!$B$3+14),"是","否"))</f>
        <v>否</v>
      </c>
      <c r="B5" s="8" t="str">
        <f>项目总控台账!A4</f>
        <v>T001</v>
      </c>
      <c r="C5" s="8" t="str">
        <f>IF(AND(项目总控台账!E4&lt;&gt;"",项目总控台账!E4&lt;&gt;"/"),项目总控台账!E4,IF(AND(项目总控台账!D4&lt;&gt;"",项目总控台账!D4&lt;&gt;"/"),项目总控台账!D4,项目总控台账!C4))</f>
        <v>新增车辆信息</v>
      </c>
      <c r="D5" s="8" t="str">
        <f>项目总控台账!F4</f>
        <v>第一批次</v>
      </c>
      <c r="E5" s="8" t="str">
        <f>项目总控台账!G4</f>
        <v>已完成</v>
      </c>
      <c r="F5" s="8" t="str">
        <f>项目总控台账!H4</f>
        <v>郑士旺</v>
      </c>
      <c r="G5" s="25">
        <f>项目总控台账!J4</f>
        <v>46234</v>
      </c>
      <c r="H5" s="8">
        <f>IF(G5="","",G5-项目驾驶舱!$B$3)</f>
        <v>-42</v>
      </c>
      <c r="I5" s="8" t="str">
        <f>项目总控台账!AC4</f>
        <v>正常</v>
      </c>
      <c r="J5" s="8" t="str">
        <f>项目总控台账!AD4</f>
        <v>69</v>
      </c>
      <c r="K5" s="8" t="str">
        <f t="shared" ref="K5:K68" si="0">IF(A5&lt;&gt;"是","",IF(OR(E5="暂停",E5="挂起"),"确认暂停原因、恢复条件和责任人",IF(H5&lt;0,"立即确认延期原因、影响及补救计划",IF(H5&lt;=7,"本周确认交付承诺和完成证据","提前检查依赖与风险"))))</f>
        <v/>
      </c>
      <c r="L5" s="11"/>
      <c r="M5" s="10"/>
    </row>
    <row r="6" spans="1:13">
      <c r="A6" s="8" t="str">
        <f>IF(B6="","",IF(AND(E6&lt;&gt;"已完成",ISNUMBER(G6),G6&lt;=项目驾驶舱!$B$3+14),"是","否"))</f>
        <v>否</v>
      </c>
      <c r="B6" s="8" t="str">
        <f>项目总控台账!A5</f>
        <v>T002</v>
      </c>
      <c r="C6" s="8" t="str">
        <f>IF(AND(项目总控台账!E5&lt;&gt;"",项目总控台账!E5&lt;&gt;"/"),项目总控台账!E5,IF(AND(项目总控台账!D5&lt;&gt;"",项目总控台账!D5&lt;&gt;"/"),项目总控台账!D5,项目总控台账!C5))</f>
        <v>修改车辆信息</v>
      </c>
      <c r="D6" s="8" t="str">
        <f>项目总控台账!F5</f>
        <v>第一批次</v>
      </c>
      <c r="E6" s="8" t="str">
        <f>项目总控台账!G5</f>
        <v>已完成</v>
      </c>
      <c r="F6" s="8" t="str">
        <f>项目总控台账!H5</f>
        <v>郑士旺</v>
      </c>
      <c r="G6" s="25">
        <f>项目总控台账!J5</f>
        <v>46234</v>
      </c>
      <c r="H6" s="8">
        <f>IF(G6="","",G6-项目驾驶舱!$B$3)</f>
        <v>-42</v>
      </c>
      <c r="I6" s="8" t="str">
        <f>项目总控台账!AC5</f>
        <v>正常</v>
      </c>
      <c r="J6" s="8" t="str">
        <f>项目总控台账!AD5</f>
        <v>69</v>
      </c>
      <c r="K6" s="8" t="str">
        <f t="shared" si="0"/>
        <v/>
      </c>
      <c r="L6" s="11"/>
      <c r="M6" s="10"/>
    </row>
    <row r="7" spans="1:13">
      <c r="A7" s="8" t="str">
        <f>IF(B7="","",IF(AND(E7&lt;&gt;"已完成",ISNUMBER(G7),G7&lt;=项目驾驶舱!$B$3+14),"是","否"))</f>
        <v>否</v>
      </c>
      <c r="B7" s="8" t="str">
        <f>项目总控台账!A6</f>
        <v>T003</v>
      </c>
      <c r="C7" s="8" t="str">
        <f>IF(AND(项目总控台账!E6&lt;&gt;"",项目总控台账!E6&lt;&gt;"/"),项目总控台账!E6,IF(AND(项目总控台账!D6&lt;&gt;"",项目总控台账!D6&lt;&gt;"/"),项目总控台账!D6,项目总控台账!C6))</f>
        <v>删除车辆信息</v>
      </c>
      <c r="D7" s="8" t="str">
        <f>项目总控台账!F6</f>
        <v>第一批次</v>
      </c>
      <c r="E7" s="8" t="str">
        <f>项目总控台账!G6</f>
        <v>已完成</v>
      </c>
      <c r="F7" s="8" t="str">
        <f>项目总控台账!H6</f>
        <v>郑士旺</v>
      </c>
      <c r="G7" s="25">
        <f>项目总控台账!J6</f>
        <v>46234</v>
      </c>
      <c r="H7" s="8">
        <f>IF(G7="","",G7-项目驾驶舱!$B$3)</f>
        <v>-42</v>
      </c>
      <c r="I7" s="8" t="str">
        <f>项目总控台账!AC6</f>
        <v>正常</v>
      </c>
      <c r="J7" s="8" t="str">
        <f>项目总控台账!AD6</f>
        <v>69</v>
      </c>
      <c r="K7" s="8" t="str">
        <f t="shared" si="0"/>
        <v/>
      </c>
      <c r="L7" s="11"/>
      <c r="M7" s="10"/>
    </row>
    <row r="8" spans="1:13">
      <c r="A8" s="8" t="str">
        <f>IF(B8="","",IF(AND(E8&lt;&gt;"已完成",ISNUMBER(G8),G8&lt;=项目驾驶舱!$B$3+14),"是","否"))</f>
        <v>否</v>
      </c>
      <c r="B8" s="8" t="str">
        <f>项目总控台账!A7</f>
        <v>T004</v>
      </c>
      <c r="C8" s="8" t="str">
        <f>IF(AND(项目总控台账!E7&lt;&gt;"",项目总控台账!E7&lt;&gt;"/"),项目总控台账!E7,IF(AND(项目总控台账!D7&lt;&gt;"",项目总控台账!D7&lt;&gt;"/"),项目总控台账!D7,项目总控台账!C7))</f>
        <v>查询展示车辆信息</v>
      </c>
      <c r="D8" s="8" t="str">
        <f>项目总控台账!F7</f>
        <v>第一批次</v>
      </c>
      <c r="E8" s="8" t="str">
        <f>项目总控台账!G7</f>
        <v>已完成</v>
      </c>
      <c r="F8" s="8" t="str">
        <f>项目总控台账!H7</f>
        <v>郑士旺</v>
      </c>
      <c r="G8" s="25">
        <f>项目总控台账!J7</f>
        <v>46234</v>
      </c>
      <c r="H8" s="8">
        <f>IF(G8="","",G8-项目驾驶舱!$B$3)</f>
        <v>-42</v>
      </c>
      <c r="I8" s="8" t="str">
        <f>项目总控台账!AC7</f>
        <v>正常</v>
      </c>
      <c r="J8" s="8" t="str">
        <f>项目总控台账!AD7</f>
        <v>69</v>
      </c>
      <c r="K8" s="8" t="str">
        <f t="shared" si="0"/>
        <v/>
      </c>
      <c r="L8" s="11"/>
      <c r="M8" s="10"/>
    </row>
    <row r="9" spans="1:13">
      <c r="A9" s="8" t="str">
        <f>IF(B9="","",IF(AND(E9&lt;&gt;"已完成",ISNUMBER(G9),G9&lt;=项目驾驶舱!$B$3+14),"是","否"))</f>
        <v>否</v>
      </c>
      <c r="B9" s="8" t="str">
        <f>项目总控台账!A8</f>
        <v>T005</v>
      </c>
      <c r="C9" s="8" t="str">
        <f>IF(AND(项目总控台账!E8&lt;&gt;"",项目总控台账!E8&lt;&gt;"/"),项目总控台账!E8,IF(AND(项目总控台账!D8&lt;&gt;"",项目总控台账!D8&lt;&gt;"/"),项目总控台账!D8,项目总控台账!C8))</f>
        <v>船舶唯一性校验</v>
      </c>
      <c r="D9" s="8" t="str">
        <f>项目总控台账!F8</f>
        <v>第二批次</v>
      </c>
      <c r="E9" s="8" t="str">
        <f>项目总控台账!G8</f>
        <v>已完成</v>
      </c>
      <c r="F9" s="8" t="str">
        <f>项目总控台账!H8</f>
        <v>郑士旺</v>
      </c>
      <c r="G9" s="25">
        <f>项目总控台账!J8</f>
        <v>46353</v>
      </c>
      <c r="H9" s="8">
        <f>IF(G9="","",G9-项目驾驶舱!$B$3)</f>
        <v>77</v>
      </c>
      <c r="I9" s="8" t="str">
        <f>项目总控台账!AC8</f>
        <v>正常</v>
      </c>
      <c r="J9" s="8" t="str">
        <f>项目总控台账!AD8</f>
        <v>69</v>
      </c>
      <c r="K9" s="8" t="str">
        <f t="shared" si="0"/>
        <v/>
      </c>
      <c r="L9" s="11"/>
      <c r="M9" s="10"/>
    </row>
    <row r="10" spans="1:13">
      <c r="A10" s="8" t="str">
        <f>IF(B10="","",IF(AND(E10&lt;&gt;"已完成",ISNUMBER(G10),G10&lt;=项目驾驶舱!$B$3+14),"是","否"))</f>
        <v>否</v>
      </c>
      <c r="B10" s="8" t="str">
        <f>项目总控台账!A9</f>
        <v>T006</v>
      </c>
      <c r="C10" s="8" t="str">
        <f>IF(AND(项目总控台账!E9&lt;&gt;"",项目总控台账!E9&lt;&gt;"/"),项目总控台账!E9,IF(AND(项目总控台账!D9&lt;&gt;"",项目总控台账!D9&lt;&gt;"/"),项目总控台账!D9,项目总控台账!C9))</f>
        <v>优化收费标准（装卸费）新增</v>
      </c>
      <c r="D10" s="8" t="str">
        <f>项目总控台账!F9</f>
        <v>第一批次</v>
      </c>
      <c r="E10" s="8" t="str">
        <f>项目总控台账!G9</f>
        <v>已完成</v>
      </c>
      <c r="F10" s="8" t="str">
        <f>项目总控台账!H9</f>
        <v>郑士旺</v>
      </c>
      <c r="G10" s="25">
        <f>项目总控台账!J9</f>
        <v>46224</v>
      </c>
      <c r="H10" s="8">
        <f>IF(G10="","",G10-项目驾驶舱!$B$3)</f>
        <v>-52</v>
      </c>
      <c r="I10" s="8" t="str">
        <f>项目总控台账!AC9</f>
        <v>正常</v>
      </c>
      <c r="J10" s="8" t="str">
        <f>项目总控台账!AD9</f>
        <v>69</v>
      </c>
      <c r="K10" s="8" t="str">
        <f t="shared" si="0"/>
        <v/>
      </c>
      <c r="L10" s="11"/>
      <c r="M10" s="10"/>
    </row>
    <row r="11" spans="1:13">
      <c r="A11" s="8" t="str">
        <f>IF(B11="","",IF(AND(E11&lt;&gt;"已完成",ISNUMBER(G11),G11&lt;=项目驾驶舱!$B$3+14),"是","否"))</f>
        <v>否</v>
      </c>
      <c r="B11" s="8" t="str">
        <f>项目总控台账!A10</f>
        <v>T007</v>
      </c>
      <c r="C11" s="8" t="str">
        <f>IF(AND(项目总控台账!E10&lt;&gt;"",项目总控台账!E10&lt;&gt;"/"),项目总控台账!E10,IF(AND(项目总控台账!D10&lt;&gt;"",项目总控台账!D10&lt;&gt;"/"),项目总控台账!D10,项目总控台账!C10))</f>
        <v>优化收费标准（装卸费）编辑</v>
      </c>
      <c r="D11" s="8" t="str">
        <f>项目总控台账!F10</f>
        <v>第一批次</v>
      </c>
      <c r="E11" s="8" t="str">
        <f>项目总控台账!G10</f>
        <v>已完成</v>
      </c>
      <c r="F11" s="8" t="str">
        <f>项目总控台账!H10</f>
        <v>郑士旺</v>
      </c>
      <c r="G11" s="25">
        <f>项目总控台账!J10</f>
        <v>46224</v>
      </c>
      <c r="H11" s="8">
        <f>IF(G11="","",G11-项目驾驶舱!$B$3)</f>
        <v>-52</v>
      </c>
      <c r="I11" s="8" t="str">
        <f>项目总控台账!AC10</f>
        <v>正常</v>
      </c>
      <c r="J11" s="8" t="str">
        <f>项目总控台账!AD10</f>
        <v>69</v>
      </c>
      <c r="K11" s="8" t="str">
        <f t="shared" si="0"/>
        <v/>
      </c>
      <c r="L11" s="11"/>
      <c r="M11" s="10"/>
    </row>
    <row r="12" spans="1:13">
      <c r="A12" s="8" t="str">
        <f>IF(B12="","",IF(AND(E12&lt;&gt;"已完成",ISNUMBER(G12),G12&lt;=项目驾驶舱!$B$3+14),"是","否"))</f>
        <v>否</v>
      </c>
      <c r="B12" s="8" t="str">
        <f>项目总控台账!A11</f>
        <v>T008</v>
      </c>
      <c r="C12" s="8" t="str">
        <f>IF(AND(项目总控台账!E11&lt;&gt;"",项目总控台账!E11&lt;&gt;"/"),项目总控台账!E11,IF(AND(项目总控台账!D11&lt;&gt;"",项目总控台账!D11&lt;&gt;"/"),项目总控台账!D11,项目总控台账!C11))</f>
        <v>优化收费标准（装卸费）详情</v>
      </c>
      <c r="D12" s="8" t="str">
        <f>项目总控台账!F11</f>
        <v>第一批次</v>
      </c>
      <c r="E12" s="8" t="str">
        <f>项目总控台账!G11</f>
        <v>已完成</v>
      </c>
      <c r="F12" s="8" t="str">
        <f>项目总控台账!H11</f>
        <v>郑士旺</v>
      </c>
      <c r="G12" s="25">
        <f>项目总控台账!J11</f>
        <v>46224</v>
      </c>
      <c r="H12" s="8">
        <f>IF(G12="","",G12-项目驾驶舱!$B$3)</f>
        <v>-52</v>
      </c>
      <c r="I12" s="8" t="str">
        <f>项目总控台账!AC11</f>
        <v>正常</v>
      </c>
      <c r="J12" s="8" t="str">
        <f>项目总控台账!AD11</f>
        <v>69</v>
      </c>
      <c r="K12" s="8" t="str">
        <f t="shared" si="0"/>
        <v/>
      </c>
      <c r="L12" s="11"/>
      <c r="M12" s="10"/>
    </row>
    <row r="13" spans="1:13">
      <c r="A13" s="8" t="str">
        <f>IF(B13="","",IF(AND(E13&lt;&gt;"已完成",ISNUMBER(G13),G13&lt;=项目驾驶舱!$B$3+14),"是","否"))</f>
        <v>否</v>
      </c>
      <c r="B13" s="8" t="str">
        <f>项目总控台账!A12</f>
        <v>T009</v>
      </c>
      <c r="C13" s="8" t="str">
        <f>IF(AND(项目总控台账!E12&lt;&gt;"",项目总控台账!E12&lt;&gt;"/"),项目总控台账!E12,IF(AND(项目总控台账!D12&lt;&gt;"",项目总控台账!D12&lt;&gt;"/"),项目总控台账!D12,项目总控台账!C12))</f>
        <v>优化采样方式新增</v>
      </c>
      <c r="D13" s="8" t="str">
        <f>项目总控台账!F12</f>
        <v>第一批次</v>
      </c>
      <c r="E13" s="8" t="str">
        <f>项目总控台账!G12</f>
        <v>已完成</v>
      </c>
      <c r="F13" s="8" t="str">
        <f>项目总控台账!H12</f>
        <v>郑士旺</v>
      </c>
      <c r="G13" s="25">
        <f>项目总控台账!J12</f>
        <v>46224</v>
      </c>
      <c r="H13" s="8">
        <f>IF(G13="","",G13-项目驾驶舱!$B$3)</f>
        <v>-52</v>
      </c>
      <c r="I13" s="8" t="str">
        <f>项目总控台账!AC12</f>
        <v>正常</v>
      </c>
      <c r="J13" s="8" t="str">
        <f>项目总控台账!AD12</f>
        <v>69</v>
      </c>
      <c r="K13" s="8" t="str">
        <f t="shared" si="0"/>
        <v/>
      </c>
      <c r="L13" s="11"/>
      <c r="M13" s="10"/>
    </row>
    <row r="14" spans="1:13">
      <c r="A14" s="8" t="str">
        <f>IF(B14="","",IF(AND(E14&lt;&gt;"已完成",ISNUMBER(G14),G14&lt;=项目驾驶舱!$B$3+14),"是","否"))</f>
        <v>否</v>
      </c>
      <c r="B14" s="8" t="str">
        <f>项目总控台账!A13</f>
        <v>T010</v>
      </c>
      <c r="C14" s="8" t="str">
        <f>IF(AND(项目总控台账!E13&lt;&gt;"",项目总控台账!E13&lt;&gt;"/"),项目总控台账!E13,IF(AND(项目总控台账!D13&lt;&gt;"",项目总控台账!D13&lt;&gt;"/"),项目总控台账!D13,项目总控台账!C13))</f>
        <v>优化采样方式编辑</v>
      </c>
      <c r="D14" s="8" t="str">
        <f>项目总控台账!F13</f>
        <v>第一批次</v>
      </c>
      <c r="E14" s="8" t="str">
        <f>项目总控台账!G13</f>
        <v>已完成</v>
      </c>
      <c r="F14" s="8" t="str">
        <f>项目总控台账!H13</f>
        <v>郑士旺</v>
      </c>
      <c r="G14" s="25">
        <f>项目总控台账!J13</f>
        <v>46224</v>
      </c>
      <c r="H14" s="8">
        <f>IF(G14="","",G14-项目驾驶舱!$B$3)</f>
        <v>-52</v>
      </c>
      <c r="I14" s="8" t="str">
        <f>项目总控台账!AC13</f>
        <v>正常</v>
      </c>
      <c r="J14" s="8" t="str">
        <f>项目总控台账!AD13</f>
        <v>69</v>
      </c>
      <c r="K14" s="8" t="str">
        <f t="shared" si="0"/>
        <v/>
      </c>
      <c r="L14" s="11"/>
      <c r="M14" s="10"/>
    </row>
    <row r="15" spans="1:13">
      <c r="A15" s="8" t="str">
        <f>IF(B15="","",IF(AND(E15&lt;&gt;"已完成",ISNUMBER(G15),G15&lt;=项目驾驶舱!$B$3+14),"是","否"))</f>
        <v>否</v>
      </c>
      <c r="B15" s="8" t="str">
        <f>项目总控台账!A14</f>
        <v>T011</v>
      </c>
      <c r="C15" s="8" t="str">
        <f>IF(AND(项目总控台账!E14&lt;&gt;"",项目总控台账!E14&lt;&gt;"/"),项目总控台账!E14,IF(AND(项目总控台账!D14&lt;&gt;"",项目总控台账!D14&lt;&gt;"/"),项目总控台账!D14,项目总控台账!C14))</f>
        <v>获取报单数据及展示</v>
      </c>
      <c r="D15" s="8" t="str">
        <f>项目总控台账!F14</f>
        <v>第一批次</v>
      </c>
      <c r="E15" s="8" t="str">
        <f>项目总控台账!G14</f>
        <v>已完成</v>
      </c>
      <c r="F15" s="8" t="str">
        <f>项目总控台账!H14</f>
        <v>郑士旺</v>
      </c>
      <c r="G15" s="25">
        <f>项目总控台账!J14</f>
        <v>46224</v>
      </c>
      <c r="H15" s="8">
        <f>IF(G15="","",G15-项目驾驶舱!$B$3)</f>
        <v>-52</v>
      </c>
      <c r="I15" s="8" t="str">
        <f>项目总控台账!AC14</f>
        <v>正常</v>
      </c>
      <c r="J15" s="8" t="str">
        <f>项目总控台账!AD14</f>
        <v>69</v>
      </c>
      <c r="K15" s="8" t="str">
        <f t="shared" si="0"/>
        <v/>
      </c>
      <c r="L15" s="11"/>
      <c r="M15" s="10"/>
    </row>
    <row r="16" spans="1:13">
      <c r="A16" s="8" t="str">
        <f>IF(B16="","",IF(AND(E16&lt;&gt;"已完成",ISNUMBER(G16),G16&lt;=项目驾驶舱!$B$3+14),"是","否"))</f>
        <v>否</v>
      </c>
      <c r="B16" s="8" t="str">
        <f>项目总控台账!A15</f>
        <v>T012</v>
      </c>
      <c r="C16" s="8" t="str">
        <f>IF(AND(项目总控台账!E15&lt;&gt;"",项目总控台账!E15&lt;&gt;"/"),项目总控台账!E15,IF(AND(项目总控台账!D15&lt;&gt;"",项目总控台账!D15&lt;&gt;"/"),项目总控台账!D15,项目总控台账!C15))</f>
        <v>应单入口</v>
      </c>
      <c r="D16" s="8" t="str">
        <f>项目总控台账!F15</f>
        <v>第一批次</v>
      </c>
      <c r="E16" s="8" t="str">
        <f>项目总控台账!G15</f>
        <v>已完成</v>
      </c>
      <c r="F16" s="8" t="str">
        <f>项目总控台账!H15</f>
        <v>郑士旺</v>
      </c>
      <c r="G16" s="25">
        <f>项目总控台账!J15</f>
        <v>46224</v>
      </c>
      <c r="H16" s="8">
        <f>IF(G16="","",G16-项目驾驶舱!$B$3)</f>
        <v>-52</v>
      </c>
      <c r="I16" s="8" t="str">
        <f>项目总控台账!AC15</f>
        <v>正常</v>
      </c>
      <c r="J16" s="8" t="str">
        <f>项目总控台账!AD15</f>
        <v>69</v>
      </c>
      <c r="K16" s="8" t="str">
        <f t="shared" si="0"/>
        <v/>
      </c>
      <c r="L16" s="11"/>
      <c r="M16" s="10"/>
    </row>
    <row r="17" spans="1:13">
      <c r="A17" s="8" t="str">
        <f>IF(B17="","",IF(AND(E17&lt;&gt;"已完成",ISNUMBER(G17),G17&lt;=项目驾驶舱!$B$3+14),"是","否"))</f>
        <v>否</v>
      </c>
      <c r="B17" s="8" t="str">
        <f>项目总控台账!A16</f>
        <v>T013</v>
      </c>
      <c r="C17" s="8" t="str">
        <f>IF(AND(项目总控台账!E16&lt;&gt;"",项目总控台账!E16&lt;&gt;"/"),项目总控台账!E16,IF(AND(项目总控台账!D16&lt;&gt;"",项目总控台账!D16&lt;&gt;"/"),项目总控台账!D16,项目总控台账!C16))</f>
        <v>新增结算条款</v>
      </c>
      <c r="D17" s="8" t="str">
        <f>项目总控台账!F16</f>
        <v>第二批次</v>
      </c>
      <c r="E17" s="8" t="str">
        <f>项目总控台账!G16</f>
        <v>进行中</v>
      </c>
      <c r="F17" s="8" t="str">
        <f>项目总控台账!H16</f>
        <v>郑士旺</v>
      </c>
      <c r="G17" s="25">
        <f>项目总控台账!J16</f>
        <v>46318</v>
      </c>
      <c r="H17" s="8">
        <f>IF(G17="","",G17-项目驾驶舱!$B$3)</f>
        <v>42</v>
      </c>
      <c r="I17" s="8" t="str">
        <f>项目总控台账!AC16</f>
        <v>正常</v>
      </c>
      <c r="J17" s="8" t="str">
        <f>项目总控台账!AD16</f>
        <v>69</v>
      </c>
      <c r="K17" s="8" t="str">
        <f t="shared" si="0"/>
        <v/>
      </c>
      <c r="L17" s="11"/>
      <c r="M17" s="10"/>
    </row>
    <row r="18" spans="1:13">
      <c r="A18" s="8" t="str">
        <f>IF(B18="","",IF(AND(E18&lt;&gt;"已完成",ISNUMBER(G18),G18&lt;=项目驾驶舱!$B$3+14),"是","否"))</f>
        <v>否</v>
      </c>
      <c r="B18" s="8" t="str">
        <f>项目总控台账!A17</f>
        <v>T014</v>
      </c>
      <c r="C18" s="8" t="str">
        <f>IF(AND(项目总控台账!E17&lt;&gt;"",项目总控台账!E17&lt;&gt;"/"),项目总控台账!E17,IF(AND(项目总控台账!D17&lt;&gt;"",项目总控台账!D17&lt;&gt;"/"),项目总控台账!D17,项目总控台账!C17))</f>
        <v>结算条款审批</v>
      </c>
      <c r="D18" s="8" t="str">
        <f>项目总控台账!F17</f>
        <v>第二批次</v>
      </c>
      <c r="E18" s="8" t="str">
        <f>项目总控台账!G17</f>
        <v>进行中</v>
      </c>
      <c r="F18" s="8" t="str">
        <f>项目总控台账!H17</f>
        <v>郑士旺</v>
      </c>
      <c r="G18" s="25">
        <f>项目总控台账!J17</f>
        <v>46318</v>
      </c>
      <c r="H18" s="8">
        <f>IF(G18="","",G18-项目驾驶舱!$B$3)</f>
        <v>42</v>
      </c>
      <c r="I18" s="8" t="str">
        <f>项目总控台账!AC17</f>
        <v>正常</v>
      </c>
      <c r="J18" s="8" t="str">
        <f>项目总控台账!AD17</f>
        <v>69</v>
      </c>
      <c r="K18" s="8" t="str">
        <f t="shared" si="0"/>
        <v/>
      </c>
      <c r="L18" s="11"/>
      <c r="M18" s="10"/>
    </row>
    <row r="19" spans="1:13">
      <c r="A19" s="8" t="str">
        <f>IF(B19="","",IF(AND(E19&lt;&gt;"已完成",ISNUMBER(G19),G19&lt;=项目驾驶舱!$B$3+14),"是","否"))</f>
        <v>否</v>
      </c>
      <c r="B19" s="8" t="str">
        <f>项目总控台账!A18</f>
        <v>T015</v>
      </c>
      <c r="C19" s="8" t="str">
        <f>IF(AND(项目总控台账!E18&lt;&gt;"",项目总控台账!E18&lt;&gt;"/"),项目总控台账!E18,IF(AND(项目总控台账!D18&lt;&gt;"",项目总控台账!D18&lt;&gt;"/"),项目总控台账!D18,项目总控台账!C18))</f>
        <v>修改结算条款</v>
      </c>
      <c r="D19" s="8" t="str">
        <f>项目总控台账!F18</f>
        <v>第二批次</v>
      </c>
      <c r="E19" s="8" t="str">
        <f>项目总控台账!G18</f>
        <v>进行中</v>
      </c>
      <c r="F19" s="8" t="str">
        <f>项目总控台账!H18</f>
        <v>郑士旺</v>
      </c>
      <c r="G19" s="25">
        <f>项目总控台账!J18</f>
        <v>46318</v>
      </c>
      <c r="H19" s="8">
        <f>IF(G19="","",G19-项目驾驶舱!$B$3)</f>
        <v>42</v>
      </c>
      <c r="I19" s="8" t="str">
        <f>项目总控台账!AC18</f>
        <v>正常</v>
      </c>
      <c r="J19" s="8" t="str">
        <f>项目总控台账!AD18</f>
        <v>69</v>
      </c>
      <c r="K19" s="8" t="str">
        <f t="shared" si="0"/>
        <v/>
      </c>
      <c r="L19" s="11"/>
      <c r="M19" s="10"/>
    </row>
    <row r="20" spans="1:13">
      <c r="A20" s="8" t="str">
        <f>IF(B20="","",IF(AND(E20&lt;&gt;"已完成",ISNUMBER(G20),G20&lt;=项目驾驶舱!$B$3+14),"是","否"))</f>
        <v>否</v>
      </c>
      <c r="B20" s="8" t="str">
        <f>项目总控台账!A19</f>
        <v>T016</v>
      </c>
      <c r="C20" s="8" t="str">
        <f>IF(AND(项目总控台账!E19&lt;&gt;"",项目总控台账!E19&lt;&gt;"/"),项目总控台账!E19,IF(AND(项目总控台账!D19&lt;&gt;"",项目总控台账!D19&lt;&gt;"/"),项目总控台账!D19,项目总控台账!C19))</f>
        <v>删除结算条款</v>
      </c>
      <c r="D20" s="8" t="str">
        <f>项目总控台账!F19</f>
        <v>第二批次</v>
      </c>
      <c r="E20" s="8" t="str">
        <f>项目总控台账!G19</f>
        <v>进行中</v>
      </c>
      <c r="F20" s="8" t="str">
        <f>项目总控台账!H19</f>
        <v>郑士旺</v>
      </c>
      <c r="G20" s="25">
        <f>项目总控台账!J19</f>
        <v>46318</v>
      </c>
      <c r="H20" s="8">
        <f>IF(G20="","",G20-项目驾驶舱!$B$3)</f>
        <v>42</v>
      </c>
      <c r="I20" s="8" t="str">
        <f>项目总控台账!AC19</f>
        <v>正常</v>
      </c>
      <c r="J20" s="8" t="str">
        <f>项目总控台账!AD19</f>
        <v>69</v>
      </c>
      <c r="K20" s="8" t="str">
        <f t="shared" si="0"/>
        <v/>
      </c>
      <c r="L20" s="11"/>
      <c r="M20" s="10"/>
    </row>
    <row r="21" spans="1:13">
      <c r="A21" s="8" t="str">
        <f>IF(B21="","",IF(AND(E21&lt;&gt;"已完成",ISNUMBER(G21),G21&lt;=项目驾驶舱!$B$3+14),"是","否"))</f>
        <v>否</v>
      </c>
      <c r="B21" s="8" t="str">
        <f>项目总控台账!A20</f>
        <v>T017</v>
      </c>
      <c r="C21" s="8" t="str">
        <f>IF(AND(项目总控台账!E20&lt;&gt;"",项目总控台账!E20&lt;&gt;"/"),项目总控台账!E20,IF(AND(项目总控台账!D20&lt;&gt;"",项目总控台账!D20&lt;&gt;"/"),项目总控台账!D20,项目总控台账!C20))</f>
        <v>查询展示结算条款</v>
      </c>
      <c r="D21" s="8" t="str">
        <f>项目总控台账!F20</f>
        <v>第二批次</v>
      </c>
      <c r="E21" s="8" t="str">
        <f>项目总控台账!G20</f>
        <v>进行中</v>
      </c>
      <c r="F21" s="8" t="str">
        <f>项目总控台账!H20</f>
        <v>郑士旺</v>
      </c>
      <c r="G21" s="25">
        <f>项目总控台账!J20</f>
        <v>46318</v>
      </c>
      <c r="H21" s="8">
        <f>IF(G21="","",G21-项目驾驶舱!$B$3)</f>
        <v>42</v>
      </c>
      <c r="I21" s="8" t="str">
        <f>项目总控台账!AC20</f>
        <v>正常</v>
      </c>
      <c r="J21" s="8" t="str">
        <f>项目总控台账!AD20</f>
        <v>69</v>
      </c>
      <c r="K21" s="8" t="str">
        <f t="shared" si="0"/>
        <v/>
      </c>
      <c r="L21" s="11"/>
      <c r="M21" s="10"/>
    </row>
    <row r="22" spans="1:13">
      <c r="A22" s="8" t="str">
        <f>IF(B22="","",IF(AND(E22&lt;&gt;"已完成",ISNUMBER(G22),G22&lt;=项目驾驶舱!$B$3+14),"是","否"))</f>
        <v>否</v>
      </c>
      <c r="B22" s="8" t="str">
        <f>项目总控台账!A21</f>
        <v>T018</v>
      </c>
      <c r="C22" s="8" t="str">
        <f>IF(AND(项目总控台账!E21&lt;&gt;"",项目总控台账!E21&lt;&gt;"/"),项目总控台账!E21,IF(AND(项目总控台账!D21&lt;&gt;"",项目总控台账!D21&lt;&gt;"/"),项目总控台账!D21,项目总控台账!C21))</f>
        <v>结算条款推送法务系统</v>
      </c>
      <c r="D22" s="8" t="str">
        <f>项目总控台账!F21</f>
        <v>第二批次</v>
      </c>
      <c r="E22" s="8" t="str">
        <f>项目总控台账!G21</f>
        <v>未开始</v>
      </c>
      <c r="F22" s="8" t="str">
        <f>项目总控台账!H21</f>
        <v>郑士旺</v>
      </c>
      <c r="G22" s="25">
        <f>项目总控台账!J21</f>
        <v>46318</v>
      </c>
      <c r="H22" s="8">
        <f>IF(G22="","",G22-项目驾驶舱!$B$3)</f>
        <v>42</v>
      </c>
      <c r="I22" s="8" t="str">
        <f>项目总控台账!AC21</f>
        <v>正常</v>
      </c>
      <c r="J22" s="8" t="str">
        <f>项目总控台账!AD21</f>
        <v>69</v>
      </c>
      <c r="K22" s="8" t="str">
        <f t="shared" si="0"/>
        <v/>
      </c>
      <c r="L22" s="11"/>
      <c r="M22" s="10"/>
    </row>
    <row r="23" spans="1:13">
      <c r="A23" s="8" t="str">
        <f>IF(B23="","",IF(AND(E23&lt;&gt;"已完成",ISNUMBER(G23),G23&lt;=项目驾驶舱!$B$3+14),"是","否"))</f>
        <v>否</v>
      </c>
      <c r="B23" s="8" t="str">
        <f>项目总控台账!A22</f>
        <v>T019</v>
      </c>
      <c r="C23" s="8" t="str">
        <f>IF(AND(项目总控台账!E22&lt;&gt;"",项目总控台账!E22&lt;&gt;"/"),项目总控台账!E22,IF(AND(项目总控台账!D22&lt;&gt;"",项目总控台账!D22&lt;&gt;"/"),项目总控台账!D22,项目总控台账!C22))</f>
        <v>对接卸船计划</v>
      </c>
      <c r="D23" s="8" t="str">
        <f>项目总控台账!F22</f>
        <v>第二批次</v>
      </c>
      <c r="E23" s="8" t="str">
        <f>项目总控台账!G22</f>
        <v>进行中</v>
      </c>
      <c r="F23" s="8" t="str">
        <f>项目总控台账!H22</f>
        <v>郑士旺</v>
      </c>
      <c r="G23" s="25">
        <f>项目总控台账!J22</f>
        <v>46353</v>
      </c>
      <c r="H23" s="8">
        <f>IF(G23="","",G23-项目驾驶舱!$B$3)</f>
        <v>77</v>
      </c>
      <c r="I23" s="8" t="str">
        <f>项目总控台账!AC22</f>
        <v>正常</v>
      </c>
      <c r="J23" s="8" t="str">
        <f>项目总控台账!AD22</f>
        <v>69</v>
      </c>
      <c r="K23" s="8" t="str">
        <f t="shared" si="0"/>
        <v/>
      </c>
      <c r="L23" s="11"/>
      <c r="M23" s="10"/>
    </row>
    <row r="24" spans="1:13">
      <c r="A24" s="8" t="str">
        <f>IF(B24="","",IF(AND(E24&lt;&gt;"已完成",ISNUMBER(G24),G24&lt;=项目驾驶舱!$B$3+14),"是","否"))</f>
        <v>否</v>
      </c>
      <c r="B24" s="8" t="str">
        <f>项目总控台账!A23</f>
        <v>T020</v>
      </c>
      <c r="C24" s="8" t="str">
        <f>IF(AND(项目总控台账!E23&lt;&gt;"",项目总控台账!E23&lt;&gt;"/"),项目总控台账!E23,IF(AND(项目总控台账!D23&lt;&gt;"",项目总控台账!D23&lt;&gt;"/"),项目总控台账!D23,项目总控台账!C23))</f>
        <v>查询卸车计划</v>
      </c>
      <c r="D24" s="8" t="str">
        <f>项目总控台账!F23</f>
        <v>第二批次</v>
      </c>
      <c r="E24" s="8" t="str">
        <f>项目总控台账!G23</f>
        <v>进行中</v>
      </c>
      <c r="F24" s="8" t="str">
        <f>项目总控台账!H23</f>
        <v>郑士旺</v>
      </c>
      <c r="G24" s="25">
        <f>项目总控台账!J23</f>
        <v>46353</v>
      </c>
      <c r="H24" s="8">
        <f>IF(G24="","",G24-项目驾驶舱!$B$3)</f>
        <v>77</v>
      </c>
      <c r="I24" s="8" t="str">
        <f>项目总控台账!AC23</f>
        <v>正常</v>
      </c>
      <c r="J24" s="8" t="str">
        <f>项目总控台账!AD23</f>
        <v>69</v>
      </c>
      <c r="K24" s="8" t="str">
        <f t="shared" si="0"/>
        <v/>
      </c>
      <c r="L24" s="11"/>
      <c r="M24" s="10"/>
    </row>
    <row r="25" spans="1:13">
      <c r="A25" s="8" t="str">
        <f>IF(B25="","",IF(AND(E25&lt;&gt;"已完成",ISNUMBER(G25),G25&lt;=项目驾驶舱!$B$3+14),"是","否"))</f>
        <v>否</v>
      </c>
      <c r="B25" s="8" t="str">
        <f>项目总控台账!A24</f>
        <v>T021</v>
      </c>
      <c r="C25" s="8" t="str">
        <f>IF(AND(项目总控台账!E24&lt;&gt;"",项目总控台账!E24&lt;&gt;"/"),项目总控台账!E24,IF(AND(项目总控台账!D24&lt;&gt;"",项目总控台账!D24&lt;&gt;"/"),项目总控台账!D24,项目总控台账!C24))</f>
        <v>外部客户确认</v>
      </c>
      <c r="D25" s="8" t="str">
        <f>项目总控台账!F24</f>
        <v>第二批次</v>
      </c>
      <c r="E25" s="8" t="str">
        <f>项目总控台账!G24</f>
        <v>进行中</v>
      </c>
      <c r="F25" s="8" t="str">
        <f>项目总控台账!H24</f>
        <v>郑士旺</v>
      </c>
      <c r="G25" s="25">
        <f>项目总控台账!J24</f>
        <v>46353</v>
      </c>
      <c r="H25" s="8">
        <f>IF(G25="","",G25-项目驾驶舱!$B$3)</f>
        <v>77</v>
      </c>
      <c r="I25" s="8" t="str">
        <f>项目总控台账!AC24</f>
        <v>正常</v>
      </c>
      <c r="J25" s="8" t="str">
        <f>项目总控台账!AD24</f>
        <v>69</v>
      </c>
      <c r="K25" s="8" t="str">
        <f t="shared" si="0"/>
        <v/>
      </c>
      <c r="L25" s="11"/>
      <c r="M25" s="10"/>
    </row>
    <row r="26" spans="1:13">
      <c r="A26" s="8" t="str">
        <f>IF(B26="","",IF(AND(E26&lt;&gt;"已完成",ISNUMBER(G26),G26&lt;=项目驾驶舱!$B$3+14),"是","否"))</f>
        <v>否</v>
      </c>
      <c r="B26" s="8" t="str">
        <f>项目总控台账!A25</f>
        <v>T022</v>
      </c>
      <c r="C26" s="8" t="str">
        <f>IF(AND(项目总控台账!E25&lt;&gt;"",项目总控台账!E25&lt;&gt;"/"),项目总控台账!E25,IF(AND(项目总控台账!D25&lt;&gt;"",项目总控台账!D25&lt;&gt;"/"),项目总控台账!D25,项目总控台账!C25))</f>
        <v>对接卸船作业信息</v>
      </c>
      <c r="D26" s="8" t="str">
        <f>项目总控台账!F25</f>
        <v>第二批次</v>
      </c>
      <c r="E26" s="8" t="str">
        <f>项目总控台账!G25</f>
        <v>未开始</v>
      </c>
      <c r="F26" s="8" t="str">
        <f>项目总控台账!H25</f>
        <v>郑士旺</v>
      </c>
      <c r="G26" s="25">
        <f>项目总控台账!J25</f>
        <v>46353</v>
      </c>
      <c r="H26" s="8">
        <f>IF(G26="","",G26-项目驾驶舱!$B$3)</f>
        <v>77</v>
      </c>
      <c r="I26" s="8" t="str">
        <f>项目总控台账!AC25</f>
        <v>正常</v>
      </c>
      <c r="J26" s="8" t="str">
        <f>项目总控台账!AD25</f>
        <v>69</v>
      </c>
      <c r="K26" s="8" t="str">
        <f t="shared" si="0"/>
        <v/>
      </c>
      <c r="L26" s="11"/>
      <c r="M26" s="10"/>
    </row>
    <row r="27" spans="1:13">
      <c r="A27" s="8" t="str">
        <f>IF(B27="","",IF(AND(E27&lt;&gt;"已完成",ISNUMBER(G27),G27&lt;=项目驾驶舱!$B$3+14),"是","否"))</f>
        <v>否</v>
      </c>
      <c r="B27" s="8" t="str">
        <f>项目总控台账!A26</f>
        <v>T023</v>
      </c>
      <c r="C27" s="8" t="str">
        <f>IF(AND(项目总控台账!E26&lt;&gt;"",项目总控台账!E26&lt;&gt;"/"),项目总控台账!E26,IF(AND(项目总控台账!D26&lt;&gt;"",项目总控台账!D26&lt;&gt;"/"),项目总控台账!D26,项目总控台账!C26))</f>
        <v>查询卸船作业信息</v>
      </c>
      <c r="D27" s="8" t="str">
        <f>项目总控台账!F26</f>
        <v>第二批次</v>
      </c>
      <c r="E27" s="8" t="str">
        <f>项目总控台账!G26</f>
        <v>未开始</v>
      </c>
      <c r="F27" s="8" t="str">
        <f>项目总控台账!H26</f>
        <v>郑士旺</v>
      </c>
      <c r="G27" s="25">
        <f>项目总控台账!J26</f>
        <v>46353</v>
      </c>
      <c r="H27" s="8">
        <f>IF(G27="","",G27-项目驾驶舱!$B$3)</f>
        <v>77</v>
      </c>
      <c r="I27" s="8" t="str">
        <f>项目总控台账!AC26</f>
        <v>正常</v>
      </c>
      <c r="J27" s="8" t="str">
        <f>项目总控台账!AD26</f>
        <v>69</v>
      </c>
      <c r="K27" s="8" t="str">
        <f t="shared" si="0"/>
        <v/>
      </c>
      <c r="L27" s="11"/>
      <c r="M27" s="10"/>
    </row>
    <row r="28" spans="1:13">
      <c r="A28" s="8" t="str">
        <f>IF(B28="","",IF(AND(E28&lt;&gt;"已完成",ISNUMBER(G28),G28&lt;=项目驾驶舱!$B$3+14),"是","否"))</f>
        <v>否</v>
      </c>
      <c r="B28" s="8" t="str">
        <f>项目总控台账!A27</f>
        <v>T024</v>
      </c>
      <c r="C28" s="8" t="str">
        <f>IF(AND(项目总控台账!E27&lt;&gt;"",项目总控台账!E27&lt;&gt;"/"),项目总控台账!E27,IF(AND(项目总控台账!D27&lt;&gt;"",项目总控台账!D27&lt;&gt;"/"),项目总控台账!D27,项目总控台账!C27))</f>
        <v>卸船查询列表</v>
      </c>
      <c r="D28" s="8" t="str">
        <f>项目总控台账!F27</f>
        <v>第二批次</v>
      </c>
      <c r="E28" s="8" t="str">
        <f>项目总控台账!G27</f>
        <v>未开始</v>
      </c>
      <c r="F28" s="8" t="str">
        <f>项目总控台账!H27</f>
        <v>郑士旺</v>
      </c>
      <c r="G28" s="25">
        <f>项目总控台账!J27</f>
        <v>46353</v>
      </c>
      <c r="H28" s="8">
        <f>IF(G28="","",G28-项目驾驶舱!$B$3)</f>
        <v>77</v>
      </c>
      <c r="I28" s="8" t="str">
        <f>项目总控台账!AC27</f>
        <v>正常</v>
      </c>
      <c r="J28" s="8" t="str">
        <f>项目总控台账!AD27</f>
        <v>69</v>
      </c>
      <c r="K28" s="8" t="str">
        <f t="shared" si="0"/>
        <v/>
      </c>
      <c r="L28" s="11"/>
      <c r="M28" s="10"/>
    </row>
    <row r="29" spans="1:13">
      <c r="A29" s="8" t="str">
        <f>IF(B29="","",IF(AND(E29&lt;&gt;"已完成",ISNUMBER(G29),G29&lt;=项目驾驶舱!$B$3+14),"是","否"))</f>
        <v>是</v>
      </c>
      <c r="B29" s="8" t="str">
        <f>项目总控台账!A28</f>
        <v>T025</v>
      </c>
      <c r="C29" s="8" t="str">
        <f>IF(AND(项目总控台账!E28&lt;&gt;"",项目总控台账!E28&lt;&gt;"/"),项目总控台账!E28,IF(AND(项目总控台账!D28&lt;&gt;"",项目总控台账!D28&lt;&gt;"/"),项目总控台账!D28,项目总控台账!C28))</f>
        <v>卸船查询详情</v>
      </c>
      <c r="D29" s="8" t="str">
        <f>项目总控台账!F28</f>
        <v>第二批次</v>
      </c>
      <c r="E29" s="8" t="str">
        <f>项目总控台账!G28</f>
        <v>未开始</v>
      </c>
      <c r="F29" s="8" t="str">
        <f>项目总控台账!H28</f>
        <v>郑士旺</v>
      </c>
      <c r="G29" s="25">
        <f>项目总控台账!J28</f>
        <v>46261</v>
      </c>
      <c r="H29" s="8">
        <f>IF(G29="","",G29-项目驾驶舱!$B$3)</f>
        <v>-15</v>
      </c>
      <c r="I29" s="8" t="str">
        <f>项目总控台账!AC28</f>
        <v>已延期</v>
      </c>
      <c r="J29" s="8" t="str">
        <f>项目总控台账!AD28</f>
        <v>69</v>
      </c>
      <c r="K29" s="8" t="str">
        <f t="shared" si="0"/>
        <v>立即确认延期原因、影响及补救计划</v>
      </c>
      <c r="L29" s="11"/>
      <c r="M29" s="10"/>
    </row>
    <row r="30" spans="1:13">
      <c r="A30" s="8" t="str">
        <f>IF(B30="","",IF(AND(E30&lt;&gt;"已完成",ISNUMBER(G30),G30&lt;=项目驾驶舱!$B$3+14),"是","否"))</f>
        <v>是</v>
      </c>
      <c r="B30" s="8" t="str">
        <f>项目总控台账!A29</f>
        <v>T026</v>
      </c>
      <c r="C30" s="8" t="str">
        <f>IF(AND(项目总控台账!E29&lt;&gt;"",项目总控台账!E29&lt;&gt;"/"),项目总控台账!E29,IF(AND(项目总控台账!D29&lt;&gt;"",项目总控台账!D29&lt;&gt;"/"),项目总控台账!D29,项目总控台账!C29))</f>
        <v>创建卸船作业委托信息</v>
      </c>
      <c r="D30" s="8" t="str">
        <f>项目总控台账!F29</f>
        <v>第二批次</v>
      </c>
      <c r="E30" s="8" t="str">
        <f>项目总控台账!G29</f>
        <v>进行中</v>
      </c>
      <c r="F30" s="8" t="str">
        <f>项目总控台账!H29</f>
        <v>郑士旺</v>
      </c>
      <c r="G30" s="25">
        <f>项目总控台账!J29</f>
        <v>46261</v>
      </c>
      <c r="H30" s="8">
        <f>IF(G30="","",G30-项目驾驶舱!$B$3)</f>
        <v>-15</v>
      </c>
      <c r="I30" s="8" t="str">
        <f>项目总控台账!AC29</f>
        <v>已延期</v>
      </c>
      <c r="J30" s="8" t="str">
        <f>项目总控台账!AD29</f>
        <v>69</v>
      </c>
      <c r="K30" s="8" t="str">
        <f t="shared" si="0"/>
        <v>立即确认延期原因、影响及补救计划</v>
      </c>
      <c r="L30" s="11"/>
      <c r="M30" s="10"/>
    </row>
    <row r="31" spans="1:13">
      <c r="A31" s="8" t="str">
        <f>IF(B31="","",IF(AND(E31&lt;&gt;"已完成",ISNUMBER(G31),G31&lt;=项目驾驶舱!$B$3+14),"是","否"))</f>
        <v>是</v>
      </c>
      <c r="B31" s="8" t="str">
        <f>项目总控台账!A30</f>
        <v>T027</v>
      </c>
      <c r="C31" s="8" t="str">
        <f>IF(AND(项目总控台账!E30&lt;&gt;"",项目总控台账!E30&lt;&gt;"/"),项目总控台账!E30,IF(AND(项目总控台账!D30&lt;&gt;"",项目总控台账!D30&lt;&gt;"/"),项目总控台账!D30,项目总控台账!C30))</f>
        <v>修改卸船作业委托信息</v>
      </c>
      <c r="D31" s="8" t="str">
        <f>项目总控台账!F30</f>
        <v>第二批次</v>
      </c>
      <c r="E31" s="8" t="str">
        <f>项目总控台账!G30</f>
        <v>进行中</v>
      </c>
      <c r="F31" s="8" t="str">
        <f>项目总控台账!H30</f>
        <v>郑士旺</v>
      </c>
      <c r="G31" s="25">
        <f>项目总控台账!J30</f>
        <v>46261</v>
      </c>
      <c r="H31" s="8">
        <f>IF(G31="","",G31-项目驾驶舱!$B$3)</f>
        <v>-15</v>
      </c>
      <c r="I31" s="8" t="str">
        <f>项目总控台账!AC30</f>
        <v>已延期</v>
      </c>
      <c r="J31" s="8" t="str">
        <f>项目总控台账!AD30</f>
        <v>69</v>
      </c>
      <c r="K31" s="8" t="str">
        <f t="shared" si="0"/>
        <v>立即确认延期原因、影响及补救计划</v>
      </c>
      <c r="L31" s="11"/>
      <c r="M31" s="10"/>
    </row>
    <row r="32" spans="1:13">
      <c r="A32" s="8" t="str">
        <f>IF(B32="","",IF(AND(E32&lt;&gt;"已完成",ISNUMBER(G32),G32&lt;=项目驾驶舱!$B$3+14),"是","否"))</f>
        <v>是</v>
      </c>
      <c r="B32" s="8" t="str">
        <f>项目总控台账!A31</f>
        <v>T028</v>
      </c>
      <c r="C32" s="8" t="str">
        <f>IF(AND(项目总控台账!E31&lt;&gt;"",项目总控台账!E31&lt;&gt;"/"),项目总控台账!E31,IF(AND(项目总控台账!D31&lt;&gt;"",项目总控台账!D31&lt;&gt;"/"),项目总控台账!D31,项目总控台账!C31))</f>
        <v>作废卸船作业委托信息</v>
      </c>
      <c r="D32" s="8" t="str">
        <f>项目总控台账!F31</f>
        <v>第二批次</v>
      </c>
      <c r="E32" s="8" t="str">
        <f>项目总控台账!G31</f>
        <v>进行中</v>
      </c>
      <c r="F32" s="8" t="str">
        <f>项目总控台账!H31</f>
        <v>郑士旺</v>
      </c>
      <c r="G32" s="25">
        <f>项目总控台账!J31</f>
        <v>46261</v>
      </c>
      <c r="H32" s="8">
        <f>IF(G32="","",G32-项目驾驶舱!$B$3)</f>
        <v>-15</v>
      </c>
      <c r="I32" s="8" t="str">
        <f>项目总控台账!AC31</f>
        <v>已延期</v>
      </c>
      <c r="J32" s="8" t="str">
        <f>项目总控台账!AD31</f>
        <v>69</v>
      </c>
      <c r="K32" s="8" t="str">
        <f t="shared" si="0"/>
        <v>立即确认延期原因、影响及补救计划</v>
      </c>
      <c r="L32" s="11"/>
      <c r="M32" s="10"/>
    </row>
    <row r="33" spans="1:13">
      <c r="A33" s="8" t="str">
        <f>IF(B33="","",IF(AND(E33&lt;&gt;"已完成",ISNUMBER(G33),G33&lt;=项目驾驶舱!$B$3+14),"是","否"))</f>
        <v>是</v>
      </c>
      <c r="B33" s="8" t="str">
        <f>项目总控台账!A32</f>
        <v>T029</v>
      </c>
      <c r="C33" s="8" t="str">
        <f>IF(AND(项目总控台账!E32&lt;&gt;"",项目总控台账!E32&lt;&gt;"/"),项目总控台账!E32,IF(AND(项目总控台账!D32&lt;&gt;"",项目总控台账!D32&lt;&gt;"/"),项目总控台账!D32,项目总控台账!C32))</f>
        <v>推送卸船作业委托信息</v>
      </c>
      <c r="D33" s="8" t="str">
        <f>项目总控台账!F32</f>
        <v>第二批次</v>
      </c>
      <c r="E33" s="8" t="str">
        <f>项目总控台账!G32</f>
        <v>进行中</v>
      </c>
      <c r="F33" s="8" t="str">
        <f>项目总控台账!H32</f>
        <v>郑士旺</v>
      </c>
      <c r="G33" s="25">
        <f>项目总控台账!J32</f>
        <v>46261</v>
      </c>
      <c r="H33" s="8">
        <f>IF(G33="","",G33-项目驾驶舱!$B$3)</f>
        <v>-15</v>
      </c>
      <c r="I33" s="8" t="str">
        <f>项目总控台账!AC32</f>
        <v>已延期</v>
      </c>
      <c r="J33" s="8" t="str">
        <f>项目总控台账!AD32</f>
        <v>69</v>
      </c>
      <c r="K33" s="8" t="str">
        <f t="shared" si="0"/>
        <v>立即确认延期原因、影响及补救计划</v>
      </c>
      <c r="L33" s="11"/>
      <c r="M33" s="10"/>
    </row>
    <row r="34" spans="1:13">
      <c r="A34" s="8" t="str">
        <f>IF(B34="","",IF(AND(E34&lt;&gt;"已完成",ISNUMBER(G34),G34&lt;=项目驾驶舱!$B$3+14),"是","否"))</f>
        <v>是</v>
      </c>
      <c r="B34" s="8" t="str">
        <f>项目总控台账!A33</f>
        <v>T030</v>
      </c>
      <c r="C34" s="8" t="str">
        <f>IF(AND(项目总控台账!E33&lt;&gt;"",项目总控台账!E33&lt;&gt;"/"),项目总控台账!E33,IF(AND(项目总控台账!D33&lt;&gt;"",项目总控台账!D33&lt;&gt;"/"),项目总控台账!D33,项目总控台账!C33))</f>
        <v>查询卸船作业委托信息</v>
      </c>
      <c r="D34" s="8" t="str">
        <f>项目总控台账!F33</f>
        <v>第二批次</v>
      </c>
      <c r="E34" s="8" t="str">
        <f>项目总控台账!G33</f>
        <v>进行中</v>
      </c>
      <c r="F34" s="8" t="str">
        <f>项目总控台账!H33</f>
        <v>郑士旺</v>
      </c>
      <c r="G34" s="25">
        <f>项目总控台账!J33</f>
        <v>46261</v>
      </c>
      <c r="H34" s="8">
        <f>IF(G34="","",G34-项目驾驶舱!$B$3)</f>
        <v>-15</v>
      </c>
      <c r="I34" s="8" t="str">
        <f>项目总控台账!AC33</f>
        <v>已延期</v>
      </c>
      <c r="J34" s="8" t="str">
        <f>项目总控台账!AD33</f>
        <v>69</v>
      </c>
      <c r="K34" s="8" t="str">
        <f t="shared" si="0"/>
        <v>立即确认延期原因、影响及补救计划</v>
      </c>
      <c r="L34" s="11"/>
      <c r="M34" s="10"/>
    </row>
    <row r="35" spans="1:13">
      <c r="A35" s="8" t="str">
        <f>IF(B35="","",IF(AND(E35&lt;&gt;"已完成",ISNUMBER(G35),G35&lt;=项目驾驶舱!$B$3+14),"是","否"))</f>
        <v>否</v>
      </c>
      <c r="B35" s="8" t="str">
        <f>项目总控台账!A34</f>
        <v>T031</v>
      </c>
      <c r="C35" s="8" t="str">
        <f>IF(AND(项目总控台账!E34&lt;&gt;"",项目总控台账!E34&lt;&gt;"/"),项目总控台账!E34,IF(AND(项目总控台账!D34&lt;&gt;"",项目总控台账!D34&lt;&gt;"/"),项目总控台账!D34,项目总控台账!C34))</f>
        <v>创建外轮转内贸业务信息</v>
      </c>
      <c r="D35" s="8" t="str">
        <f>项目总控台账!F34</f>
        <v>第二批次</v>
      </c>
      <c r="E35" s="8" t="str">
        <f>项目总控台账!G34</f>
        <v>未开始</v>
      </c>
      <c r="F35" s="8" t="str">
        <f>项目总控台账!H34</f>
        <v>郑士旺</v>
      </c>
      <c r="G35" s="25">
        <f>项目总控台账!J34</f>
        <v>46353</v>
      </c>
      <c r="H35" s="8">
        <f>IF(G35="","",G35-项目驾驶舱!$B$3)</f>
        <v>77</v>
      </c>
      <c r="I35" s="8" t="str">
        <f>项目总控台账!AC34</f>
        <v>正常</v>
      </c>
      <c r="J35" s="8" t="str">
        <f>项目总控台账!AD34</f>
        <v>69</v>
      </c>
      <c r="K35" s="8" t="str">
        <f t="shared" si="0"/>
        <v/>
      </c>
      <c r="L35" s="11"/>
      <c r="M35" s="10"/>
    </row>
    <row r="36" spans="1:13">
      <c r="A36" s="8" t="str">
        <f>IF(B36="","",IF(AND(E36&lt;&gt;"已完成",ISNUMBER(G36),G36&lt;=项目驾驶舱!$B$3+14),"是","否"))</f>
        <v>否</v>
      </c>
      <c r="B36" s="8" t="str">
        <f>项目总控台账!A35</f>
        <v>T032</v>
      </c>
      <c r="C36" s="8" t="str">
        <f>IF(AND(项目总控台账!E35&lt;&gt;"",项目总控台账!E35&lt;&gt;"/"),项目总控台账!E35,IF(AND(项目总控台账!D35&lt;&gt;"",项目总控台账!D35&lt;&gt;"/"),项目总控台账!D35,项目总控台账!C35))</f>
        <v>作废外轮转内贸业务信息</v>
      </c>
      <c r="D36" s="8" t="str">
        <f>项目总控台账!F35</f>
        <v>第二批次</v>
      </c>
      <c r="E36" s="8" t="str">
        <f>项目总控台账!G35</f>
        <v>未开始</v>
      </c>
      <c r="F36" s="8" t="str">
        <f>项目总控台账!H35</f>
        <v>郑士旺</v>
      </c>
      <c r="G36" s="25">
        <f>项目总控台账!J35</f>
        <v>46353</v>
      </c>
      <c r="H36" s="8">
        <f>IF(G36="","",G36-项目驾驶舱!$B$3)</f>
        <v>77</v>
      </c>
      <c r="I36" s="8" t="str">
        <f>项目总控台账!AC35</f>
        <v>正常</v>
      </c>
      <c r="J36" s="8" t="str">
        <f>项目总控台账!AD35</f>
        <v>69</v>
      </c>
      <c r="K36" s="8" t="str">
        <f t="shared" si="0"/>
        <v/>
      </c>
      <c r="L36" s="11"/>
      <c r="M36" s="10"/>
    </row>
    <row r="37" spans="1:13">
      <c r="A37" s="8" t="str">
        <f>IF(B37="","",IF(AND(E37&lt;&gt;"已完成",ISNUMBER(G37),G37&lt;=项目驾驶舱!$B$3+14),"是","否"))</f>
        <v>否</v>
      </c>
      <c r="B37" s="8" t="str">
        <f>项目总控台账!A36</f>
        <v>T033</v>
      </c>
      <c r="C37" s="8" t="str">
        <f>IF(AND(项目总控台账!E36&lt;&gt;"",项目总控台账!E36&lt;&gt;"/"),项目总控台账!E36,IF(AND(项目总控台账!D36&lt;&gt;"",项目总控台账!D36&lt;&gt;"/"),项目总控台账!D36,项目总控台账!C36))</f>
        <v>查询外轮转内贸业务信息</v>
      </c>
      <c r="D37" s="8" t="str">
        <f>项目总控台账!F36</f>
        <v>第二批次</v>
      </c>
      <c r="E37" s="8" t="str">
        <f>项目总控台账!G36</f>
        <v>未开始</v>
      </c>
      <c r="F37" s="8" t="str">
        <f>项目总控台账!H36</f>
        <v>郑士旺</v>
      </c>
      <c r="G37" s="25">
        <f>项目总控台账!J36</f>
        <v>46353</v>
      </c>
      <c r="H37" s="8">
        <f>IF(G37="","",G37-项目驾驶舱!$B$3)</f>
        <v>77</v>
      </c>
      <c r="I37" s="8" t="str">
        <f>项目总控台账!AC36</f>
        <v>正常</v>
      </c>
      <c r="J37" s="8" t="str">
        <f>项目总控台账!AD36</f>
        <v>69</v>
      </c>
      <c r="K37" s="8" t="str">
        <f t="shared" si="0"/>
        <v/>
      </c>
      <c r="L37" s="11"/>
      <c r="M37" s="10"/>
    </row>
    <row r="38" spans="1:13">
      <c r="A38" s="8" t="str">
        <f>IF(B38="","",IF(AND(E38&lt;&gt;"已完成",ISNUMBER(G38),G38&lt;=项目驾驶舱!$B$3+14),"是","否"))</f>
        <v>否</v>
      </c>
      <c r="B38" s="8" t="str">
        <f>项目总控台账!A37</f>
        <v>T034</v>
      </c>
      <c r="C38" s="8" t="str">
        <f>IF(AND(项目总控台账!E37&lt;&gt;"",项目总控台账!E37&lt;&gt;"/"),项目总控台账!E37,IF(AND(项目总控台账!D37&lt;&gt;"",项目总控台账!D37&lt;&gt;"/"),项目总控台账!D37,项目总控台账!C37))</f>
        <v>新增船舶靠泊通知单</v>
      </c>
      <c r="D38" s="8" t="str">
        <f>项目总控台账!F37</f>
        <v>第二批次</v>
      </c>
      <c r="E38" s="8" t="str">
        <f>项目总控台账!G37</f>
        <v>进行中</v>
      </c>
      <c r="F38" s="8" t="str">
        <f>项目总控台账!H37</f>
        <v>郑士旺</v>
      </c>
      <c r="G38" s="25">
        <f>项目总控台账!J37</f>
        <v>46353</v>
      </c>
      <c r="H38" s="8">
        <f>IF(G38="","",G38-项目驾驶舱!$B$3)</f>
        <v>77</v>
      </c>
      <c r="I38" s="8" t="str">
        <f>项目总控台账!AC37</f>
        <v>正常</v>
      </c>
      <c r="J38" s="8" t="str">
        <f>项目总控台账!AD37</f>
        <v>69</v>
      </c>
      <c r="K38" s="8" t="str">
        <f t="shared" si="0"/>
        <v/>
      </c>
      <c r="L38" s="11"/>
      <c r="M38" s="10"/>
    </row>
    <row r="39" spans="1:13">
      <c r="A39" s="8" t="str">
        <f>IF(B39="","",IF(AND(E39&lt;&gt;"已完成",ISNUMBER(G39),G39&lt;=项目驾驶舱!$B$3+14),"是","否"))</f>
        <v>否</v>
      </c>
      <c r="B39" s="8" t="str">
        <f>项目总控台账!A38</f>
        <v>T035</v>
      </c>
      <c r="C39" s="8" t="str">
        <f>IF(AND(项目总控台账!E38&lt;&gt;"",项目总控台账!E38&lt;&gt;"/"),项目总控台账!E38,IF(AND(项目总控台账!D38&lt;&gt;"",项目总控台账!D38&lt;&gt;"/"),项目总控台账!D38,项目总控台账!C38))</f>
        <v>审批船舶靠泊通知单</v>
      </c>
      <c r="D39" s="8" t="str">
        <f>项目总控台账!F38</f>
        <v>第二批次</v>
      </c>
      <c r="E39" s="8" t="str">
        <f>项目总控台账!G38</f>
        <v>进行中</v>
      </c>
      <c r="F39" s="8" t="str">
        <f>项目总控台账!H38</f>
        <v>郑士旺</v>
      </c>
      <c r="G39" s="25">
        <f>项目总控台账!J38</f>
        <v>46353</v>
      </c>
      <c r="H39" s="8">
        <f>IF(G39="","",G39-项目驾驶舱!$B$3)</f>
        <v>77</v>
      </c>
      <c r="I39" s="8" t="str">
        <f>项目总控台账!AC38</f>
        <v>正常</v>
      </c>
      <c r="J39" s="8" t="str">
        <f>项目总控台账!AD38</f>
        <v>69</v>
      </c>
      <c r="K39" s="8" t="str">
        <f t="shared" si="0"/>
        <v/>
      </c>
      <c r="L39" s="11"/>
      <c r="M39" s="10"/>
    </row>
    <row r="40" spans="1:13">
      <c r="A40" s="8" t="str">
        <f>IF(B40="","",IF(AND(E40&lt;&gt;"已完成",ISNUMBER(G40),G40&lt;=项目驾驶舱!$B$3+14),"是","否"))</f>
        <v>否</v>
      </c>
      <c r="B40" s="8" t="str">
        <f>项目总控台账!A39</f>
        <v>T036</v>
      </c>
      <c r="C40" s="8" t="str">
        <f>IF(AND(项目总控台账!E39&lt;&gt;"",项目总控台账!E39&lt;&gt;"/"),项目总控台账!E39,IF(AND(项目总控台账!D39&lt;&gt;"",项目总控台账!D39&lt;&gt;"/"),项目总控台账!D39,项目总控台账!C39))</f>
        <v>查询船舶靠泊通知单</v>
      </c>
      <c r="D40" s="8" t="str">
        <f>项目总控台账!F39</f>
        <v>第二批次</v>
      </c>
      <c r="E40" s="8" t="str">
        <f>项目总控台账!G39</f>
        <v>进行中</v>
      </c>
      <c r="F40" s="8" t="str">
        <f>项目总控台账!H39</f>
        <v>郑士旺</v>
      </c>
      <c r="G40" s="25">
        <f>项目总控台账!J39</f>
        <v>46353</v>
      </c>
      <c r="H40" s="8">
        <f>IF(G40="","",G40-项目驾驶舱!$B$3)</f>
        <v>77</v>
      </c>
      <c r="I40" s="8" t="str">
        <f>项目总控台账!AC39</f>
        <v>正常</v>
      </c>
      <c r="J40" s="8" t="str">
        <f>项目总控台账!AD39</f>
        <v>69</v>
      </c>
      <c r="K40" s="8" t="str">
        <f t="shared" si="0"/>
        <v/>
      </c>
      <c r="L40" s="11"/>
      <c r="M40" s="10"/>
    </row>
    <row r="41" spans="1:13">
      <c r="A41" s="8" t="str">
        <f>IF(B41="","",IF(AND(E41&lt;&gt;"已完成",ISNUMBER(G41),G41&lt;=项目驾驶舱!$B$3+14),"是","否"))</f>
        <v>否</v>
      </c>
      <c r="B41" s="8" t="str">
        <f>项目总控台账!A40</f>
        <v>T037</v>
      </c>
      <c r="C41" s="8" t="str">
        <f>IF(AND(项目总控台账!E40&lt;&gt;"",项目总控台账!E40&lt;&gt;"/"),项目总控台账!E40,IF(AND(项目总控台账!D40&lt;&gt;"",项目总控台账!D40&lt;&gt;"/"),项目总控台账!D40,项目总控台账!C40))</f>
        <v>创建卸车流程</v>
      </c>
      <c r="D41" s="8" t="str">
        <f>项目总控台账!F40</f>
        <v>第一批次</v>
      </c>
      <c r="E41" s="8" t="str">
        <f>项目总控台账!G40</f>
        <v>已完成</v>
      </c>
      <c r="F41" s="8" t="str">
        <f>项目总控台账!H40</f>
        <v>郑士旺</v>
      </c>
      <c r="G41" s="25">
        <f>项目总控台账!J40</f>
        <v>46261</v>
      </c>
      <c r="H41" s="8">
        <f>IF(G41="","",G41-项目驾驶舱!$B$3)</f>
        <v>-15</v>
      </c>
      <c r="I41" s="8" t="str">
        <f>项目总控台账!AC40</f>
        <v>正常</v>
      </c>
      <c r="J41" s="8" t="str">
        <f>项目总控台账!AD40</f>
        <v>69</v>
      </c>
      <c r="K41" s="8" t="str">
        <f t="shared" si="0"/>
        <v/>
      </c>
      <c r="L41" s="11"/>
      <c r="M41" s="10"/>
    </row>
    <row r="42" spans="1:13">
      <c r="A42" s="8" t="str">
        <f>IF(B42="","",IF(AND(E42&lt;&gt;"已完成",ISNUMBER(G42),G42&lt;=项目驾驶舱!$B$3+14),"是","否"))</f>
        <v>否</v>
      </c>
      <c r="B42" s="8" t="str">
        <f>项目总控台账!A41</f>
        <v>T038</v>
      </c>
      <c r="C42" s="8" t="str">
        <f>IF(AND(项目总控台账!E41&lt;&gt;"",项目总控台账!E41&lt;&gt;"/"),项目总控台账!E41,IF(AND(项目总控台账!D41&lt;&gt;"",项目总控台账!D41&lt;&gt;"/"),项目总控台账!D41,项目总控台账!C41))</f>
        <v>查询卸车流程</v>
      </c>
      <c r="D42" s="8" t="str">
        <f>项目总控台账!F41</f>
        <v>第一批次</v>
      </c>
      <c r="E42" s="8" t="str">
        <f>项目总控台账!G41</f>
        <v>已完成</v>
      </c>
      <c r="F42" s="8" t="str">
        <f>项目总控台账!H41</f>
        <v>郑士旺</v>
      </c>
      <c r="G42" s="25">
        <f>项目总控台账!J41</f>
        <v>46261</v>
      </c>
      <c r="H42" s="8">
        <f>IF(G42="","",G42-项目驾驶舱!$B$3)</f>
        <v>-15</v>
      </c>
      <c r="I42" s="8" t="str">
        <f>项目总控台账!AC41</f>
        <v>正常</v>
      </c>
      <c r="J42" s="8" t="str">
        <f>项目总控台账!AD41</f>
        <v>69</v>
      </c>
      <c r="K42" s="8" t="str">
        <f t="shared" si="0"/>
        <v/>
      </c>
      <c r="L42" s="11"/>
      <c r="M42" s="10"/>
    </row>
    <row r="43" spans="1:13">
      <c r="A43" s="8" t="str">
        <f>IF(B43="","",IF(AND(E43&lt;&gt;"已完成",ISNUMBER(G43),G43&lt;=项目驾驶舱!$B$3+14),"是","否"))</f>
        <v>否</v>
      </c>
      <c r="B43" s="8" t="str">
        <f>项目总控台账!A42</f>
        <v>T039</v>
      </c>
      <c r="C43" s="8" t="str">
        <f>IF(AND(项目总控台账!E42&lt;&gt;"",项目总控台账!E42&lt;&gt;"/"),项目总控台账!E42,IF(AND(项目总控台账!D42&lt;&gt;"",项目总控台账!D42&lt;&gt;"/"),项目总控台账!D42,项目总控台账!C42))</f>
        <v>修改卸车流程</v>
      </c>
      <c r="D43" s="8" t="str">
        <f>项目总控台账!F42</f>
        <v>第一批次</v>
      </c>
      <c r="E43" s="8" t="str">
        <f>项目总控台账!G42</f>
        <v>已完成</v>
      </c>
      <c r="F43" s="8" t="str">
        <f>项目总控台账!H42</f>
        <v>郑士旺</v>
      </c>
      <c r="G43" s="25">
        <f>项目总控台账!J42</f>
        <v>46261</v>
      </c>
      <c r="H43" s="8">
        <f>IF(G43="","",G43-项目驾驶舱!$B$3)</f>
        <v>-15</v>
      </c>
      <c r="I43" s="8" t="str">
        <f>项目总控台账!AC42</f>
        <v>正常</v>
      </c>
      <c r="J43" s="8" t="str">
        <f>项目总控台账!AD42</f>
        <v>69</v>
      </c>
      <c r="K43" s="8" t="str">
        <f t="shared" si="0"/>
        <v/>
      </c>
      <c r="L43" s="11"/>
      <c r="M43" s="10"/>
    </row>
    <row r="44" spans="1:13">
      <c r="A44" s="8" t="str">
        <f>IF(B44="","",IF(AND(E44&lt;&gt;"已完成",ISNUMBER(G44),G44&lt;=项目驾驶舱!$B$3+14),"是","否"))</f>
        <v>否</v>
      </c>
      <c r="B44" s="8" t="str">
        <f>项目总控台账!A43</f>
        <v>T040</v>
      </c>
      <c r="C44" s="8" t="str">
        <f>IF(AND(项目总控台账!E43&lt;&gt;"",项目总控台账!E43&lt;&gt;"/"),项目总控台账!E43,IF(AND(项目总控台账!D43&lt;&gt;"",项目总控台账!D43&lt;&gt;"/"),项目总控台账!D43,项目总控台账!C43))</f>
        <v>创建装船流程</v>
      </c>
      <c r="D44" s="8" t="str">
        <f>项目总控台账!F43</f>
        <v>第一批次</v>
      </c>
      <c r="E44" s="8" t="str">
        <f>项目总控台账!G43</f>
        <v>已完成</v>
      </c>
      <c r="F44" s="8" t="str">
        <f>项目总控台账!H43</f>
        <v>郑士旺</v>
      </c>
      <c r="G44" s="25">
        <f>项目总控台账!J43</f>
        <v>46261</v>
      </c>
      <c r="H44" s="8">
        <f>IF(G44="","",G44-项目驾驶舱!$B$3)</f>
        <v>-15</v>
      </c>
      <c r="I44" s="8" t="str">
        <f>项目总控台账!AC43</f>
        <v>正常</v>
      </c>
      <c r="J44" s="8" t="str">
        <f>项目总控台账!AD43</f>
        <v>69</v>
      </c>
      <c r="K44" s="8" t="str">
        <f t="shared" si="0"/>
        <v/>
      </c>
      <c r="L44" s="11"/>
      <c r="M44" s="10"/>
    </row>
    <row r="45" spans="1:13">
      <c r="A45" s="8" t="str">
        <f>IF(B45="","",IF(AND(E45&lt;&gt;"已完成",ISNUMBER(G45),G45&lt;=项目驾驶舱!$B$3+14),"是","否"))</f>
        <v>否</v>
      </c>
      <c r="B45" s="8" t="str">
        <f>项目总控台账!A44</f>
        <v>T041</v>
      </c>
      <c r="C45" s="8" t="str">
        <f>IF(AND(项目总控台账!E44&lt;&gt;"",项目总控台账!E44&lt;&gt;"/"),项目总控台账!E44,IF(AND(项目总控台账!D44&lt;&gt;"",项目总控台账!D44&lt;&gt;"/"),项目总控台账!D44,项目总控台账!C44))</f>
        <v>查询装船流程</v>
      </c>
      <c r="D45" s="8" t="str">
        <f>项目总控台账!F44</f>
        <v>第一批次</v>
      </c>
      <c r="E45" s="8" t="str">
        <f>项目总控台账!G44</f>
        <v>已完成</v>
      </c>
      <c r="F45" s="8" t="str">
        <f>项目总控台账!H44</f>
        <v>郑士旺</v>
      </c>
      <c r="G45" s="25">
        <f>项目总控台账!J44</f>
        <v>46261</v>
      </c>
      <c r="H45" s="8">
        <f>IF(G45="","",G45-项目驾驶舱!$B$3)</f>
        <v>-15</v>
      </c>
      <c r="I45" s="8" t="str">
        <f>项目总控台账!AC44</f>
        <v>正常</v>
      </c>
      <c r="J45" s="8" t="str">
        <f>项目总控台账!AD44</f>
        <v>69</v>
      </c>
      <c r="K45" s="8" t="str">
        <f t="shared" si="0"/>
        <v/>
      </c>
      <c r="L45" s="11"/>
      <c r="M45" s="10"/>
    </row>
    <row r="46" spans="1:13">
      <c r="A46" s="8" t="str">
        <f>IF(B46="","",IF(AND(E46&lt;&gt;"已完成",ISNUMBER(G46),G46&lt;=项目驾驶舱!$B$3+14),"是","否"))</f>
        <v>否</v>
      </c>
      <c r="B46" s="8" t="str">
        <f>项目总控台账!A45</f>
        <v>T042</v>
      </c>
      <c r="C46" s="8" t="str">
        <f>IF(AND(项目总控台账!E45&lt;&gt;"",项目总控台账!E45&lt;&gt;"/"),项目总控台账!E45,IF(AND(项目总控台账!D45&lt;&gt;"",项目总控台账!D45&lt;&gt;"/"),项目总控台账!D45,项目总控台账!C45))</f>
        <v>修改装船流程</v>
      </c>
      <c r="D46" s="8" t="str">
        <f>项目总控台账!F45</f>
        <v>第一批次</v>
      </c>
      <c r="E46" s="8" t="str">
        <f>项目总控台账!G45</f>
        <v>已完成</v>
      </c>
      <c r="F46" s="8" t="str">
        <f>项目总控台账!H45</f>
        <v>郑士旺</v>
      </c>
      <c r="G46" s="25">
        <f>项目总控台账!J45</f>
        <v>46261</v>
      </c>
      <c r="H46" s="8">
        <f>IF(G46="","",G46-项目驾驶舱!$B$3)</f>
        <v>-15</v>
      </c>
      <c r="I46" s="8" t="str">
        <f>项目总控台账!AC45</f>
        <v>正常</v>
      </c>
      <c r="J46" s="8" t="str">
        <f>项目总控台账!AD45</f>
        <v>69</v>
      </c>
      <c r="K46" s="8" t="str">
        <f t="shared" si="0"/>
        <v/>
      </c>
      <c r="L46" s="11"/>
      <c r="M46" s="10"/>
    </row>
    <row r="47" spans="1:13">
      <c r="A47" s="8" t="str">
        <f>IF(B47="","",IF(AND(E47&lt;&gt;"已完成",ISNUMBER(G47),G47&lt;=项目驾驶舱!$B$3+14),"是","否"))</f>
        <v>否</v>
      </c>
      <c r="B47" s="8" t="str">
        <f>项目总控台账!A46</f>
        <v>T043</v>
      </c>
      <c r="C47" s="8" t="str">
        <f>IF(AND(项目总控台账!E46&lt;&gt;"",项目总控台账!E46&lt;&gt;"/"),项目总控台账!E46,IF(AND(项目总控台账!D46&lt;&gt;"",项目总控台账!D46&lt;&gt;"/"),项目总控台账!D46,项目总控台账!C46))</f>
        <v>创建卸船流程</v>
      </c>
      <c r="D47" s="8" t="str">
        <f>项目总控台账!F46</f>
        <v>第二批次</v>
      </c>
      <c r="E47" s="8" t="str">
        <f>项目总控台账!G46</f>
        <v>已完成</v>
      </c>
      <c r="F47" s="8" t="str">
        <f>项目总控台账!H46</f>
        <v>郑士旺</v>
      </c>
      <c r="G47" s="25">
        <f>项目总控台账!J46</f>
        <v>46269</v>
      </c>
      <c r="H47" s="8">
        <f>IF(G47="","",G47-项目驾驶舱!$B$3)</f>
        <v>-7</v>
      </c>
      <c r="I47" s="8" t="str">
        <f>项目总控台账!AC46</f>
        <v>正常</v>
      </c>
      <c r="J47" s="8" t="str">
        <f>项目总控台账!AD46</f>
        <v>69</v>
      </c>
      <c r="K47" s="8" t="str">
        <f t="shared" si="0"/>
        <v/>
      </c>
      <c r="L47" s="11"/>
      <c r="M47" s="10"/>
    </row>
    <row r="48" spans="1:13">
      <c r="A48" s="8" t="str">
        <f>IF(B48="","",IF(AND(E48&lt;&gt;"已完成",ISNUMBER(G48),G48&lt;=项目驾驶舱!$B$3+14),"是","否"))</f>
        <v>否</v>
      </c>
      <c r="B48" s="8" t="str">
        <f>项目总控台账!A47</f>
        <v>T044</v>
      </c>
      <c r="C48" s="8" t="str">
        <f>IF(AND(项目总控台账!E47&lt;&gt;"",项目总控台账!E47&lt;&gt;"/"),项目总控台账!E47,IF(AND(项目总控台账!D47&lt;&gt;"",项目总控台账!D47&lt;&gt;"/"),项目总控台账!D47,项目总控台账!C47))</f>
        <v>查询卸船流程</v>
      </c>
      <c r="D48" s="8" t="str">
        <f>项目总控台账!F47</f>
        <v>第二批次</v>
      </c>
      <c r="E48" s="8" t="str">
        <f>项目总控台账!G47</f>
        <v>已完成</v>
      </c>
      <c r="F48" s="8" t="str">
        <f>项目总控台账!H47</f>
        <v>郑士旺</v>
      </c>
      <c r="G48" s="25">
        <f>项目总控台账!J47</f>
        <v>46269</v>
      </c>
      <c r="H48" s="8">
        <f>IF(G48="","",G48-项目驾驶舱!$B$3)</f>
        <v>-7</v>
      </c>
      <c r="I48" s="8" t="str">
        <f>项目总控台账!AC47</f>
        <v>正常</v>
      </c>
      <c r="J48" s="8" t="str">
        <f>项目总控台账!AD47</f>
        <v>69</v>
      </c>
      <c r="K48" s="8" t="str">
        <f t="shared" si="0"/>
        <v/>
      </c>
      <c r="L48" s="11"/>
      <c r="M48" s="10"/>
    </row>
    <row r="49" spans="1:13">
      <c r="A49" s="8" t="str">
        <f>IF(B49="","",IF(AND(E49&lt;&gt;"已完成",ISNUMBER(G49),G49&lt;=项目驾驶舱!$B$3+14),"是","否"))</f>
        <v>否</v>
      </c>
      <c r="B49" s="8" t="str">
        <f>项目总控台账!A48</f>
        <v>T045</v>
      </c>
      <c r="C49" s="8" t="str">
        <f>IF(AND(项目总控台账!E48&lt;&gt;"",项目总控台账!E48&lt;&gt;"/"),项目总控台账!E48,IF(AND(项目总控台账!D48&lt;&gt;"",项目总控台账!D48&lt;&gt;"/"),项目总控台账!D48,项目总控台账!C48))</f>
        <v>修改卸船流程</v>
      </c>
      <c r="D49" s="8" t="str">
        <f>项目总控台账!F48</f>
        <v>第二批次</v>
      </c>
      <c r="E49" s="8" t="str">
        <f>项目总控台账!G48</f>
        <v>已完成</v>
      </c>
      <c r="F49" s="8" t="str">
        <f>项目总控台账!H48</f>
        <v>郑士旺</v>
      </c>
      <c r="G49" s="25">
        <f>项目总控台账!J48</f>
        <v>46269</v>
      </c>
      <c r="H49" s="8">
        <f>IF(G49="","",G49-项目驾驶舱!$B$3)</f>
        <v>-7</v>
      </c>
      <c r="I49" s="8" t="str">
        <f>项目总控台账!AC48</f>
        <v>正常</v>
      </c>
      <c r="J49" s="8" t="str">
        <f>项目总控台账!AD48</f>
        <v>69</v>
      </c>
      <c r="K49" s="8" t="str">
        <f t="shared" si="0"/>
        <v/>
      </c>
      <c r="L49" s="11"/>
      <c r="M49" s="10"/>
    </row>
    <row r="50" spans="1:13">
      <c r="A50" s="8" t="str">
        <f>IF(B50="","",IF(AND(E50&lt;&gt;"已完成",ISNUMBER(G50),G50&lt;=项目驾驶舱!$B$3+14),"是","否"))</f>
        <v>否</v>
      </c>
      <c r="B50" s="8" t="str">
        <f>项目总控台账!A49</f>
        <v>T046</v>
      </c>
      <c r="C50" s="8" t="str">
        <f>IF(AND(项目总控台账!E49&lt;&gt;"",项目总控台账!E49&lt;&gt;"/"),项目总控台账!E49,IF(AND(项目总控台账!D49&lt;&gt;"",项目总控台账!D49&lt;&gt;"/"),项目总控台账!D49,项目总控台账!C49))</f>
        <v>新增船舶预到（外贸）</v>
      </c>
      <c r="D50" s="8" t="str">
        <f>项目总控台账!F49</f>
        <v>第二批次</v>
      </c>
      <c r="E50" s="8" t="str">
        <f>项目总控台账!G49</f>
        <v>已完成</v>
      </c>
      <c r="F50" s="8" t="str">
        <f>项目总控台账!H49</f>
        <v>郑士旺</v>
      </c>
      <c r="G50" s="25">
        <f>项目总控台账!J49</f>
        <v>46353</v>
      </c>
      <c r="H50" s="8">
        <f>IF(G50="","",G50-项目驾驶舱!$B$3)</f>
        <v>77</v>
      </c>
      <c r="I50" s="8" t="str">
        <f>项目总控台账!AC49</f>
        <v>正常</v>
      </c>
      <c r="J50" s="8" t="str">
        <f>项目总控台账!AD49</f>
        <v>69</v>
      </c>
      <c r="K50" s="8" t="str">
        <f t="shared" si="0"/>
        <v/>
      </c>
      <c r="L50" s="11"/>
      <c r="M50" s="10"/>
    </row>
    <row r="51" spans="1:13">
      <c r="A51" s="8" t="str">
        <f>IF(B51="","",IF(AND(E51&lt;&gt;"已完成",ISNUMBER(G51),G51&lt;=项目驾驶舱!$B$3+14),"是","否"))</f>
        <v>否</v>
      </c>
      <c r="B51" s="8" t="str">
        <f>项目总控台账!A50</f>
        <v>T047</v>
      </c>
      <c r="C51" s="8" t="str">
        <f>IF(AND(项目总控台账!E50&lt;&gt;"",项目总控台账!E50&lt;&gt;"/"),项目总控台账!E50,IF(AND(项目总控台账!D50&lt;&gt;"",项目总控台账!D50&lt;&gt;"/"),项目总控台账!D50,项目总控台账!C50))</f>
        <v>退回船舶预到（外贸）</v>
      </c>
      <c r="D51" s="8" t="str">
        <f>项目总控台账!F50</f>
        <v>第二批次</v>
      </c>
      <c r="E51" s="8" t="str">
        <f>项目总控台账!G50</f>
        <v>未开始</v>
      </c>
      <c r="F51" s="8" t="str">
        <f>项目总控台账!H50</f>
        <v>郑士旺</v>
      </c>
      <c r="G51" s="25">
        <f>项目总控台账!J50</f>
        <v>46353</v>
      </c>
      <c r="H51" s="8">
        <f>IF(G51="","",G51-项目驾驶舱!$B$3)</f>
        <v>77</v>
      </c>
      <c r="I51" s="8" t="str">
        <f>项目总控台账!AC50</f>
        <v>正常</v>
      </c>
      <c r="J51" s="8" t="str">
        <f>项目总控台账!AD50</f>
        <v>69</v>
      </c>
      <c r="K51" s="8" t="str">
        <f t="shared" si="0"/>
        <v/>
      </c>
      <c r="L51" s="11"/>
      <c r="M51" s="10"/>
    </row>
    <row r="52" spans="1:13">
      <c r="A52" s="8" t="str">
        <f>IF(B52="","",IF(AND(E52&lt;&gt;"已完成",ISNUMBER(G52),G52&lt;=项目驾驶舱!$B$3+14),"是","否"))</f>
        <v>是</v>
      </c>
      <c r="B52" s="8" t="str">
        <f>项目总控台账!A51</f>
        <v>T048</v>
      </c>
      <c r="C52" s="8" t="str">
        <f>IF(AND(项目总控台账!E51&lt;&gt;"",项目总控台账!E51&lt;&gt;"/"),项目总控台账!E51,IF(AND(项目总控台账!D51&lt;&gt;"",项目总控台账!D51&lt;&gt;"/"),项目总控台账!D51,项目总控台账!C51))</f>
        <v>退回船舶预到（外贸）</v>
      </c>
      <c r="D52" s="8" t="str">
        <f>项目总控台账!F51</f>
        <v>第二批次</v>
      </c>
      <c r="E52" s="8" t="str">
        <f>项目总控台账!G51</f>
        <v>未开始</v>
      </c>
      <c r="F52" s="8" t="str">
        <f>项目总控台账!H51</f>
        <v>郑士旺</v>
      </c>
      <c r="G52" s="25">
        <f>项目总控台账!J51</f>
        <v>46261</v>
      </c>
      <c r="H52" s="8">
        <f>IF(G52="","",G52-项目驾驶舱!$B$3)</f>
        <v>-15</v>
      </c>
      <c r="I52" s="8" t="str">
        <f>项目总控台账!AC51</f>
        <v>已延期</v>
      </c>
      <c r="J52" s="8" t="str">
        <f>项目总控台账!AD51</f>
        <v>69</v>
      </c>
      <c r="K52" s="8" t="str">
        <f t="shared" si="0"/>
        <v>立即确认延期原因、影响及补救计划</v>
      </c>
      <c r="L52" s="11"/>
      <c r="M52" s="10"/>
    </row>
    <row r="53" spans="1:13">
      <c r="A53" s="8" t="str">
        <f>IF(B53="","",IF(AND(E53&lt;&gt;"已完成",ISNUMBER(G53),G53&lt;=项目驾驶舱!$B$3+14),"是","否"))</f>
        <v>否</v>
      </c>
      <c r="B53" s="8" t="str">
        <f>项目总控台账!A52</f>
        <v>T049</v>
      </c>
      <c r="C53" s="8" t="str">
        <f>IF(AND(项目总控台账!E52&lt;&gt;"",项目总控台账!E52&lt;&gt;"/"),项目总控台账!E52,IF(AND(项目总控台账!D52&lt;&gt;"",项目总控台账!D52&lt;&gt;"/"),项目总控台账!D52,项目总控台账!C52))</f>
        <v>申请采样申请（外贸）</v>
      </c>
      <c r="D53" s="8" t="str">
        <f>项目总控台账!F52</f>
        <v>第二批次</v>
      </c>
      <c r="E53" s="8" t="str">
        <f>项目总控台账!G52</f>
        <v>已完成</v>
      </c>
      <c r="F53" s="8" t="str">
        <f>项目总控台账!H52</f>
        <v>郑士旺</v>
      </c>
      <c r="G53" s="25">
        <f>项目总控台账!J52</f>
        <v>46261</v>
      </c>
      <c r="H53" s="8">
        <f>IF(G53="","",G53-项目驾驶舱!$B$3)</f>
        <v>-15</v>
      </c>
      <c r="I53" s="8" t="str">
        <f>项目总控台账!AC52</f>
        <v>正常</v>
      </c>
      <c r="J53" s="8" t="str">
        <f>项目总控台账!AD52</f>
        <v>69</v>
      </c>
      <c r="K53" s="8" t="str">
        <f t="shared" si="0"/>
        <v/>
      </c>
      <c r="L53" s="11"/>
      <c r="M53" s="10"/>
    </row>
    <row r="54" spans="1:13">
      <c r="A54" s="8" t="str">
        <f>IF(B54="","",IF(AND(E54&lt;&gt;"已完成",ISNUMBER(G54),G54&lt;=项目驾驶舱!$B$3+14),"是","否"))</f>
        <v>是</v>
      </c>
      <c r="B54" s="8" t="str">
        <f>项目总控台账!A53</f>
        <v>T050</v>
      </c>
      <c r="C54" s="8" t="str">
        <f>IF(AND(项目总控台账!E53&lt;&gt;"",项目总控台账!E53&lt;&gt;"/"),项目总控台账!E53,IF(AND(项目总控台账!D53&lt;&gt;"",项目总控台账!D53&lt;&gt;"/"),项目总控台账!D53,项目总控台账!C53))</f>
        <v>维护需跟踪船舶清单</v>
      </c>
      <c r="D54" s="8" t="str">
        <f>项目总控台账!F53</f>
        <v>第一批次</v>
      </c>
      <c r="E54" s="8" t="str">
        <f>项目总控台账!G53</f>
        <v>进行中</v>
      </c>
      <c r="F54" s="8" t="str">
        <f>项目总控台账!H53</f>
        <v>郑士旺</v>
      </c>
      <c r="G54" s="25">
        <f>项目总控台账!J53</f>
        <v>46265</v>
      </c>
      <c r="H54" s="8">
        <f>IF(G54="","",G54-项目驾驶舱!$B$3)</f>
        <v>-11</v>
      </c>
      <c r="I54" s="8" t="str">
        <f>项目总控台账!AC53</f>
        <v>已延期</v>
      </c>
      <c r="J54" s="8" t="str">
        <f>项目总控台账!AD53</f>
        <v>69</v>
      </c>
      <c r="K54" s="8" t="str">
        <f t="shared" si="0"/>
        <v>立即确认延期原因、影响及补救计划</v>
      </c>
      <c r="L54" s="11"/>
      <c r="M54" s="10"/>
    </row>
    <row r="55" spans="1:13">
      <c r="A55" s="8" t="str">
        <f>IF(B55="","",IF(AND(E55&lt;&gt;"已完成",ISNUMBER(G55),G55&lt;=项目驾驶舱!$B$3+14),"是","否"))</f>
        <v>是</v>
      </c>
      <c r="B55" s="8" t="str">
        <f>项目总控台账!A54</f>
        <v>T051</v>
      </c>
      <c r="C55" s="8" t="str">
        <f>IF(AND(项目总控台账!E54&lt;&gt;"",项目总控台账!E54&lt;&gt;"/"),项目总控台账!E54,IF(AND(项目总控台账!D54&lt;&gt;"",项目总控台账!D54&lt;&gt;"/"),项目总控台账!D54,项目总控台账!C54))</f>
        <v>根据船舶清单更新第三方系统推送数据船舶清单</v>
      </c>
      <c r="D55" s="8" t="str">
        <f>项目总控台账!F54</f>
        <v>第一批次</v>
      </c>
      <c r="E55" s="8" t="str">
        <f>项目总控台账!G54</f>
        <v>进行中</v>
      </c>
      <c r="F55" s="8" t="str">
        <f>项目总控台账!H54</f>
        <v>郑士旺</v>
      </c>
      <c r="G55" s="25">
        <f>项目总控台账!J54</f>
        <v>46261</v>
      </c>
      <c r="H55" s="8">
        <f>IF(G55="","",G55-项目驾驶舱!$B$3)</f>
        <v>-15</v>
      </c>
      <c r="I55" s="8" t="str">
        <f>项目总控台账!AC54</f>
        <v>已延期</v>
      </c>
      <c r="J55" s="8" t="str">
        <f>项目总控台账!AD54</f>
        <v>69</v>
      </c>
      <c r="K55" s="8" t="str">
        <f t="shared" si="0"/>
        <v>立即确认延期原因、影响及补救计划</v>
      </c>
      <c r="L55" s="11"/>
      <c r="M55" s="10"/>
    </row>
    <row r="56" spans="1:13">
      <c r="A56" s="8" t="str">
        <f>IF(B56="","",IF(AND(E56&lt;&gt;"已完成",ISNUMBER(G56),G56&lt;=项目驾驶舱!$B$3+14),"是","否"))</f>
        <v>是</v>
      </c>
      <c r="B56" s="8" t="str">
        <f>项目总控台账!A55</f>
        <v>T052</v>
      </c>
      <c r="C56" s="8" t="str">
        <f>IF(AND(项目总控台账!E55&lt;&gt;"",项目总控台账!E55&lt;&gt;"/"),项目总控台账!E55,IF(AND(项目总控台账!D55&lt;&gt;"",项目总控台账!D55&lt;&gt;"/"),项目总控台账!D55,项目总控台账!C55))</f>
        <v>船舶轨迹跟踪</v>
      </c>
      <c r="D56" s="8" t="str">
        <f>项目总控台账!F55</f>
        <v>第一批次</v>
      </c>
      <c r="E56" s="8" t="str">
        <f>项目总控台账!G55</f>
        <v>进行中</v>
      </c>
      <c r="F56" s="8" t="str">
        <f>项目总控台账!H55</f>
        <v>郑士旺</v>
      </c>
      <c r="G56" s="25">
        <f>项目总控台账!J55</f>
        <v>46261</v>
      </c>
      <c r="H56" s="8">
        <f>IF(G56="","",G56-项目驾驶舱!$B$3)</f>
        <v>-15</v>
      </c>
      <c r="I56" s="8" t="str">
        <f>项目总控台账!AC55</f>
        <v>已延期</v>
      </c>
      <c r="J56" s="8" t="str">
        <f>项目总控台账!AD55</f>
        <v>69</v>
      </c>
      <c r="K56" s="8" t="str">
        <f t="shared" si="0"/>
        <v>立即确认延期原因、影响及补救计划</v>
      </c>
      <c r="L56" s="11"/>
      <c r="M56" s="10"/>
    </row>
    <row r="57" spans="1:13">
      <c r="A57" s="8" t="str">
        <f>IF(B57="","",IF(AND(E57&lt;&gt;"已完成",ISNUMBER(G57),G57&lt;=项目驾驶舱!$B$3+14),"是","否"))</f>
        <v>是</v>
      </c>
      <c r="B57" s="8" t="str">
        <f>项目总控台账!A56</f>
        <v>T053</v>
      </c>
      <c r="C57" s="8" t="str">
        <f>IF(AND(项目总控台账!E56&lt;&gt;"",项目总控台账!E56&lt;&gt;"/"),项目总控台账!E56,IF(AND(项目总控台账!D56&lt;&gt;"",项目总控台账!D56&lt;&gt;"/"),项目总控台账!D56,项目总控台账!C56))</f>
        <v>接入港口侧视频监控</v>
      </c>
      <c r="D57" s="8" t="str">
        <f>项目总控台账!F56</f>
        <v>第二批次</v>
      </c>
      <c r="E57" s="8" t="str">
        <f>项目总控台账!G56</f>
        <v>未开始</v>
      </c>
      <c r="F57" s="8" t="str">
        <f>项目总控台账!H56</f>
        <v>郑士旺</v>
      </c>
      <c r="G57" s="25">
        <f>项目总控台账!J56</f>
        <v>46224</v>
      </c>
      <c r="H57" s="8">
        <f>IF(G57="","",G57-项目驾驶舱!$B$3)</f>
        <v>-52</v>
      </c>
      <c r="I57" s="8" t="str">
        <f>项目总控台账!AC56</f>
        <v>已延期</v>
      </c>
      <c r="J57" s="8" t="str">
        <f>项目总控台账!AD56</f>
        <v>69</v>
      </c>
      <c r="K57" s="8" t="str">
        <f t="shared" si="0"/>
        <v>立即确认延期原因、影响及补救计划</v>
      </c>
      <c r="L57" s="11"/>
      <c r="M57" s="10"/>
    </row>
    <row r="58" spans="1:13">
      <c r="A58" s="8" t="str">
        <f>IF(B58="","",IF(AND(E58&lt;&gt;"已完成",ISNUMBER(G58),G58&lt;=项目驾驶舱!$B$3+14),"是","否"))</f>
        <v>是</v>
      </c>
      <c r="B58" s="8" t="str">
        <f>项目总控台账!A57</f>
        <v>T054</v>
      </c>
      <c r="C58" s="8" t="str">
        <f>IF(AND(项目总控台账!E57&lt;&gt;"",项目总控台账!E57&lt;&gt;"/"),项目总控台账!E57,IF(AND(项目总控台账!D57&lt;&gt;"",项目总控台账!D57&lt;&gt;"/"),项目总控台账!D57,项目总控台账!C57))</f>
        <v>视频查看权限申请</v>
      </c>
      <c r="D58" s="8" t="str">
        <f>项目总控台账!F57</f>
        <v>第二批次</v>
      </c>
      <c r="E58" s="8" t="str">
        <f>项目总控台账!G57</f>
        <v>未开始</v>
      </c>
      <c r="F58" s="8" t="str">
        <f>项目总控台账!H57</f>
        <v>郑士旺</v>
      </c>
      <c r="G58" s="25">
        <f>项目总控台账!J57</f>
        <v>46224</v>
      </c>
      <c r="H58" s="8">
        <f>IF(G58="","",G58-项目驾驶舱!$B$3)</f>
        <v>-52</v>
      </c>
      <c r="I58" s="8" t="str">
        <f>项目总控台账!AC57</f>
        <v>已延期</v>
      </c>
      <c r="J58" s="8" t="str">
        <f>项目总控台账!AD57</f>
        <v>69</v>
      </c>
      <c r="K58" s="8" t="str">
        <f t="shared" si="0"/>
        <v>立即确认延期原因、影响及补救计划</v>
      </c>
      <c r="L58" s="11"/>
      <c r="M58" s="10"/>
    </row>
    <row r="59" spans="1:13">
      <c r="A59" s="8" t="str">
        <f>IF(B59="","",IF(AND(E59&lt;&gt;"已完成",ISNUMBER(G59),G59&lt;=项目驾驶舱!$B$3+14),"是","否"))</f>
        <v>是</v>
      </c>
      <c r="B59" s="8" t="str">
        <f>项目总控台账!A58</f>
        <v>T055</v>
      </c>
      <c r="C59" s="8" t="str">
        <f>IF(AND(项目总控台账!E58&lt;&gt;"",项目总控台账!E58&lt;&gt;"/"),项目总控台账!E58,IF(AND(项目总控台账!D58&lt;&gt;"",项目总控台账!D58&lt;&gt;"/"),项目总控台账!D58,项目总控台账!C58))</f>
        <v>视频查看权限审批</v>
      </c>
      <c r="D59" s="8" t="str">
        <f>项目总控台账!F58</f>
        <v>第二批次</v>
      </c>
      <c r="E59" s="8" t="str">
        <f>项目总控台账!G58</f>
        <v>未开始</v>
      </c>
      <c r="F59" s="8" t="str">
        <f>项目总控台账!H58</f>
        <v>郑士旺</v>
      </c>
      <c r="G59" s="25">
        <f>项目总控台账!J58</f>
        <v>46224</v>
      </c>
      <c r="H59" s="8">
        <f>IF(G59="","",G59-项目驾驶舱!$B$3)</f>
        <v>-52</v>
      </c>
      <c r="I59" s="8" t="str">
        <f>项目总控台账!AC58</f>
        <v>已延期</v>
      </c>
      <c r="J59" s="8" t="str">
        <f>项目总控台账!AD58</f>
        <v>69</v>
      </c>
      <c r="K59" s="8" t="str">
        <f t="shared" si="0"/>
        <v>立即确认延期原因、影响及补救计划</v>
      </c>
      <c r="L59" s="11"/>
      <c r="M59" s="10"/>
    </row>
    <row r="60" spans="1:13">
      <c r="A60" s="8" t="str">
        <f>IF(B60="","",IF(AND(E60&lt;&gt;"已完成",ISNUMBER(G60),G60&lt;=项目驾驶舱!$B$3+14),"是","否"))</f>
        <v>否</v>
      </c>
      <c r="B60" s="8" t="str">
        <f>项目总控台账!A59</f>
        <v>T056</v>
      </c>
      <c r="C60" s="8" t="str">
        <f>IF(AND(项目总控台账!E59&lt;&gt;"",项目总控台账!E59&lt;&gt;"/"),项目总控台账!E59,IF(AND(项目总控台账!D59&lt;&gt;"",项目总控台账!D59&lt;&gt;"/"),项目总控台账!D59,项目总控台账!C59))</f>
        <v>视频查看权限有效期控制</v>
      </c>
      <c r="D60" s="8" t="str">
        <f>项目总控台账!F59</f>
        <v>第二批次</v>
      </c>
      <c r="E60" s="8" t="str">
        <f>项目总控台账!G59</f>
        <v>未开始</v>
      </c>
      <c r="F60" s="8" t="str">
        <f>项目总控台账!H59</f>
        <v>郑士旺</v>
      </c>
      <c r="G60" s="25">
        <f>项目总控台账!J59</f>
        <v>46318</v>
      </c>
      <c r="H60" s="8">
        <f>IF(G60="","",G60-项目驾驶舱!$B$3)</f>
        <v>42</v>
      </c>
      <c r="I60" s="8" t="str">
        <f>项目总控台账!AC59</f>
        <v>正常</v>
      </c>
      <c r="J60" s="8" t="str">
        <f>项目总控台账!AD59</f>
        <v>69</v>
      </c>
      <c r="K60" s="8" t="str">
        <f t="shared" si="0"/>
        <v/>
      </c>
      <c r="L60" s="11"/>
      <c r="M60" s="10"/>
    </row>
    <row r="61" spans="1:13">
      <c r="A61" s="8" t="str">
        <f>IF(B61="","",IF(AND(E61&lt;&gt;"已完成",ISNUMBER(G61),G61&lt;=项目驾驶舱!$B$3+14),"是","否"))</f>
        <v>是</v>
      </c>
      <c r="B61" s="8" t="str">
        <f>项目总控台账!A60</f>
        <v>T057</v>
      </c>
      <c r="C61" s="8" t="str">
        <f>IF(AND(项目总控台账!E60&lt;&gt;"",项目总控台账!E60&lt;&gt;"/"),项目总控台账!E60,IF(AND(项目总控台账!D60&lt;&gt;"",项目总控台账!D60&lt;&gt;"/"),项目总控台账!D60,项目总控台账!C60))</f>
        <v>外网PC端视频监控查询</v>
      </c>
      <c r="D61" s="8" t="str">
        <f>项目总控台账!F60</f>
        <v>第二批次</v>
      </c>
      <c r="E61" s="8" t="str">
        <f>项目总控台账!G60</f>
        <v>未开始</v>
      </c>
      <c r="F61" s="8" t="str">
        <f>项目总控台账!H60</f>
        <v>郑士旺</v>
      </c>
      <c r="G61" s="25">
        <f>项目总控台账!J60</f>
        <v>46224</v>
      </c>
      <c r="H61" s="8">
        <f>IF(G61="","",G61-项目驾驶舱!$B$3)</f>
        <v>-52</v>
      </c>
      <c r="I61" s="8" t="str">
        <f>项目总控台账!AC60</f>
        <v>已延期</v>
      </c>
      <c r="J61" s="8" t="str">
        <f>项目总控台账!AD60</f>
        <v>69</v>
      </c>
      <c r="K61" s="8" t="str">
        <f t="shared" si="0"/>
        <v>立即确认延期原因、影响及补救计划</v>
      </c>
      <c r="L61" s="11"/>
      <c r="M61" s="10"/>
    </row>
    <row r="62" spans="1:13">
      <c r="A62" s="8" t="str">
        <f>IF(B62="","",IF(AND(E62&lt;&gt;"已完成",ISNUMBER(G62),G62&lt;=项目驾驶舱!$B$3+14),"是","否"))</f>
        <v>否</v>
      </c>
      <c r="B62" s="8" t="str">
        <f>项目总控台账!A61</f>
        <v>T058</v>
      </c>
      <c r="C62" s="8" t="str">
        <f>IF(AND(项目总控台账!E61&lt;&gt;"",项目总控台账!E61&lt;&gt;"/"),项目总控台账!E61,IF(AND(项目总控台账!D61&lt;&gt;"",项目总控台账!D61&lt;&gt;"/"),项目总控台账!D61,项目总控台账!C61))</f>
        <v>OCR识别及编辑</v>
      </c>
      <c r="D62" s="8" t="str">
        <f>项目总控台账!F61</f>
        <v>第一批次</v>
      </c>
      <c r="E62" s="8" t="str">
        <f>项目总控台账!G61</f>
        <v>已完成</v>
      </c>
      <c r="F62" s="8" t="str">
        <f>项目总控台账!H61</f>
        <v>郑士旺</v>
      </c>
      <c r="G62" s="25">
        <f>项目总控台账!J61</f>
        <v>46224</v>
      </c>
      <c r="H62" s="8">
        <f>IF(G62="","",G62-项目驾驶舱!$B$3)</f>
        <v>-52</v>
      </c>
      <c r="I62" s="8" t="str">
        <f>项目总控台账!AC61</f>
        <v>正常</v>
      </c>
      <c r="J62" s="8" t="str">
        <f>项目总控台账!AD61</f>
        <v>69</v>
      </c>
      <c r="K62" s="8" t="str">
        <f t="shared" si="0"/>
        <v/>
      </c>
      <c r="L62" s="11"/>
      <c r="M62" s="10"/>
    </row>
    <row r="63" spans="1:13">
      <c r="A63" s="8" t="str">
        <f>IF(B63="","",IF(AND(E63&lt;&gt;"已完成",ISNUMBER(G63),G63&lt;=项目驾驶舱!$B$3+14),"是","否"))</f>
        <v>否</v>
      </c>
      <c r="B63" s="8" t="str">
        <f>项目总控台账!A62</f>
        <v>T059</v>
      </c>
      <c r="C63" s="8" t="str">
        <f>IF(AND(项目总控台账!E62&lt;&gt;"",项目总控台账!E62&lt;&gt;"/"),项目总控台账!E62,IF(AND(项目总控台账!D62&lt;&gt;"",项目总控台账!D62&lt;&gt;"/"),项目总控台账!D62,项目总控台账!C62))</f>
        <v>优化新增装车作业信息</v>
      </c>
      <c r="D63" s="8" t="str">
        <f>项目总控台账!F62</f>
        <v>第一批次</v>
      </c>
      <c r="E63" s="8" t="str">
        <f>项目总控台账!G62</f>
        <v>已完成</v>
      </c>
      <c r="F63" s="8" t="str">
        <f>项目总控台账!H62</f>
        <v>郑士旺</v>
      </c>
      <c r="G63" s="25">
        <f>项目总控台账!J62</f>
        <v>46318</v>
      </c>
      <c r="H63" s="8">
        <f>IF(G63="","",G63-项目驾驶舱!$B$3)</f>
        <v>42</v>
      </c>
      <c r="I63" s="8" t="str">
        <f>项目总控台账!AC62</f>
        <v>正常</v>
      </c>
      <c r="J63" s="8" t="str">
        <f>项目总控台账!AD62</f>
        <v>69</v>
      </c>
      <c r="K63" s="8" t="str">
        <f t="shared" si="0"/>
        <v/>
      </c>
      <c r="L63" s="11"/>
      <c r="M63" s="10"/>
    </row>
    <row r="64" spans="1:13">
      <c r="A64" s="8" t="str">
        <f>IF(B64="","",IF(AND(E64&lt;&gt;"已完成",ISNUMBER(G64),G64&lt;=项目驾驶舱!$B$3+14),"是","否"))</f>
        <v>否</v>
      </c>
      <c r="B64" s="8" t="str">
        <f>项目总控台账!A63</f>
        <v>T060</v>
      </c>
      <c r="C64" s="8" t="str">
        <f>IF(AND(项目总控台账!E63&lt;&gt;"",项目总控台账!E63&lt;&gt;"/"),项目总控台账!E63,IF(AND(项目总控台账!D63&lt;&gt;"",项目总控台账!D63&lt;&gt;"/"),项目总控台账!D63,项目总控台账!C63))</f>
        <v>货权录入</v>
      </c>
      <c r="D64" s="8" t="str">
        <f>项目总控台账!F63</f>
        <v>第一批次</v>
      </c>
      <c r="E64" s="8" t="str">
        <f>项目总控台账!G63</f>
        <v>已完成</v>
      </c>
      <c r="F64" s="8" t="str">
        <f>项目总控台账!H63</f>
        <v>郑士旺</v>
      </c>
      <c r="G64" s="25">
        <f>项目总控台账!J63</f>
        <v>46261</v>
      </c>
      <c r="H64" s="8">
        <f>IF(G64="","",G64-项目驾驶舱!$B$3)</f>
        <v>-15</v>
      </c>
      <c r="I64" s="8" t="str">
        <f>项目总控台账!AC63</f>
        <v>正常</v>
      </c>
      <c r="J64" s="8" t="str">
        <f>项目总控台账!AD63</f>
        <v>69</v>
      </c>
      <c r="K64" s="8" t="str">
        <f t="shared" si="0"/>
        <v/>
      </c>
      <c r="L64" s="11"/>
      <c r="M64" s="10"/>
    </row>
    <row r="65" spans="1:13">
      <c r="A65" s="8" t="str">
        <f>IF(B65="","",IF(AND(E65&lt;&gt;"已完成",ISNUMBER(G65),G65&lt;=项目驾驶舱!$B$3+14),"是","否"))</f>
        <v>否</v>
      </c>
      <c r="B65" s="8" t="str">
        <f>项目总控台账!A64</f>
        <v>T061</v>
      </c>
      <c r="C65" s="8" t="str">
        <f>IF(AND(项目总控台账!E64&lt;&gt;"",项目总控台账!E64&lt;&gt;"/"),项目总控台账!E64,IF(AND(项目总控台账!D64&lt;&gt;"",项目总控台账!D64&lt;&gt;"/"),项目总控台账!D64,项目总控台账!C64))</f>
        <v>货权修改</v>
      </c>
      <c r="D65" s="8" t="str">
        <f>项目总控台账!F64</f>
        <v>第一批次</v>
      </c>
      <c r="E65" s="8" t="str">
        <f>项目总控台账!G64</f>
        <v>已完成</v>
      </c>
      <c r="F65" s="8" t="str">
        <f>项目总控台账!H64</f>
        <v>郑士旺</v>
      </c>
      <c r="G65" s="25">
        <f>项目总控台账!J64</f>
        <v>46261</v>
      </c>
      <c r="H65" s="8">
        <f>IF(G65="","",G65-项目驾驶舱!$B$3)</f>
        <v>-15</v>
      </c>
      <c r="I65" s="8" t="str">
        <f>项目总控台账!AC64</f>
        <v>正常</v>
      </c>
      <c r="J65" s="8" t="str">
        <f>项目总控台账!AD64</f>
        <v>69</v>
      </c>
      <c r="K65" s="8" t="str">
        <f t="shared" si="0"/>
        <v/>
      </c>
      <c r="L65" s="11"/>
      <c r="M65" s="10"/>
    </row>
    <row r="66" spans="1:13">
      <c r="A66" s="8" t="str">
        <f>IF(B66="","",IF(AND(E66&lt;&gt;"已完成",ISNUMBER(G66),G66&lt;=项目驾驶舱!$B$3+14),"是","否"))</f>
        <v>否</v>
      </c>
      <c r="B66" s="8" t="str">
        <f>项目总控台账!A65</f>
        <v>T062</v>
      </c>
      <c r="C66" s="8" t="str">
        <f>IF(AND(项目总控台账!E65&lt;&gt;"",项目总控台账!E65&lt;&gt;"/"),项目总控台账!E65,IF(AND(项目总控台账!D65&lt;&gt;"",项目总控台账!D65&lt;&gt;"/"),项目总控台账!D65,项目总控台账!C65))</f>
        <v>获取查询</v>
      </c>
      <c r="D66" s="8" t="str">
        <f>项目总控台账!F65</f>
        <v>第一批次</v>
      </c>
      <c r="E66" s="8" t="str">
        <f>项目总控台账!G65</f>
        <v>已完成</v>
      </c>
      <c r="F66" s="8" t="str">
        <f>项目总控台账!H65</f>
        <v>郑士旺</v>
      </c>
      <c r="G66" s="25">
        <f>项目总控台账!J65</f>
        <v>46261</v>
      </c>
      <c r="H66" s="8">
        <f>IF(G66="","",G66-项目驾驶舱!$B$3)</f>
        <v>-15</v>
      </c>
      <c r="I66" s="8" t="str">
        <f>项目总控台账!AC65</f>
        <v>正常</v>
      </c>
      <c r="J66" s="8" t="str">
        <f>项目总控台账!AD65</f>
        <v>69</v>
      </c>
      <c r="K66" s="8" t="str">
        <f t="shared" si="0"/>
        <v/>
      </c>
      <c r="L66" s="11"/>
      <c r="M66" s="10"/>
    </row>
    <row r="67" spans="1:13">
      <c r="A67" s="8" t="str">
        <f>IF(B67="","",IF(AND(E67&lt;&gt;"已完成",ISNUMBER(G67),G67&lt;=项目驾驶舱!$B$3+14),"是","否"))</f>
        <v>否</v>
      </c>
      <c r="B67" s="8" t="str">
        <f>项目总控台账!A66</f>
        <v>T063</v>
      </c>
      <c r="C67" s="8" t="str">
        <f>IF(AND(项目总控台账!E66&lt;&gt;"",项目总控台账!E66&lt;&gt;"/"),项目总控台账!E66,IF(AND(项目总控台账!D66&lt;&gt;"",项目总控台账!D66&lt;&gt;"/"),项目总控台账!D66,项目总控台账!C66))</f>
        <v>卸船作业货权跟踪</v>
      </c>
      <c r="D67" s="8" t="str">
        <f>项目总控台账!F66</f>
        <v>第一批次</v>
      </c>
      <c r="E67" s="8" t="str">
        <f>项目总控台账!G66</f>
        <v>已完成</v>
      </c>
      <c r="F67" s="8" t="str">
        <f>项目总控台账!H66</f>
        <v>郑士旺</v>
      </c>
      <c r="G67" s="25">
        <f>项目总控台账!J66</f>
        <v>46261</v>
      </c>
      <c r="H67" s="8">
        <f>IF(G67="","",G67-项目驾驶舱!$B$3)</f>
        <v>-15</v>
      </c>
      <c r="I67" s="8" t="str">
        <f>项目总控台账!AC66</f>
        <v>正常</v>
      </c>
      <c r="J67" s="8" t="str">
        <f>项目总控台账!AD66</f>
        <v>69</v>
      </c>
      <c r="K67" s="8" t="str">
        <f t="shared" si="0"/>
        <v/>
      </c>
      <c r="L67" s="11"/>
      <c r="M67" s="10"/>
    </row>
    <row r="68" spans="1:13">
      <c r="A68" s="8" t="str">
        <f>IF(B68="","",IF(AND(E68&lt;&gt;"已完成",ISNUMBER(G68),G68&lt;=项目驾驶舱!$B$3+14),"是","否"))</f>
        <v>否</v>
      </c>
      <c r="B68" s="8" t="str">
        <f>项目总控台账!A67</f>
        <v>T064</v>
      </c>
      <c r="C68" s="8" t="str">
        <f>IF(AND(项目总控台账!E67&lt;&gt;"",项目总控台账!E67&lt;&gt;"/"),项目总控台账!E67,IF(AND(项目总控台账!D67&lt;&gt;"",项目总控台账!D67&lt;&gt;"/"),项目总控台账!D67,项目总控台账!C67))</f>
        <v>卸船作业货权跟踪</v>
      </c>
      <c r="D68" s="8" t="str">
        <f>项目总控台账!F67</f>
        <v>第一批次</v>
      </c>
      <c r="E68" s="8" t="str">
        <f>项目总控台账!G67</f>
        <v>已完成</v>
      </c>
      <c r="F68" s="8" t="str">
        <f>项目总控台账!H67</f>
        <v>郑士旺</v>
      </c>
      <c r="G68" s="25">
        <f>项目总控台账!J67</f>
        <v>46261</v>
      </c>
      <c r="H68" s="8">
        <f>IF(G68="","",G68-项目驾驶舱!$B$3)</f>
        <v>-15</v>
      </c>
      <c r="I68" s="8" t="str">
        <f>项目总控台账!AC67</f>
        <v>正常</v>
      </c>
      <c r="J68" s="8" t="str">
        <f>项目总控台账!AD67</f>
        <v>69</v>
      </c>
      <c r="K68" s="8" t="str">
        <f t="shared" si="0"/>
        <v/>
      </c>
      <c r="L68" s="11"/>
      <c r="M68" s="10"/>
    </row>
    <row r="69" spans="1:13">
      <c r="A69" s="8" t="str">
        <f>IF(B69="","",IF(AND(E69&lt;&gt;"已完成",ISNUMBER(G69),G69&lt;=项目驾驶舱!$B$3+14),"是","否"))</f>
        <v>否</v>
      </c>
      <c r="B69" s="8" t="str">
        <f>项目总控台账!A68</f>
        <v>T065</v>
      </c>
      <c r="C69" s="8" t="str">
        <f>IF(AND(项目总控台账!E68&lt;&gt;"",项目总控台账!E68&lt;&gt;"/"),项目总控台账!E68,IF(AND(项目总控台账!D68&lt;&gt;"",项目总控台账!D68&lt;&gt;"/"),项目总控台账!D68,项目总控台账!C68))</f>
        <v>装船作业货权跟踪</v>
      </c>
      <c r="D69" s="8" t="str">
        <f>项目总控台账!F68</f>
        <v>第一批次</v>
      </c>
      <c r="E69" s="8" t="str">
        <f>项目总控台账!G68</f>
        <v>已完成</v>
      </c>
      <c r="F69" s="8" t="str">
        <f>项目总控台账!H68</f>
        <v>郑士旺</v>
      </c>
      <c r="G69" s="25">
        <f>项目总控台账!J68</f>
        <v>46261</v>
      </c>
      <c r="H69" s="8">
        <f>IF(G69="","",G69-项目驾驶舱!$B$3)</f>
        <v>-15</v>
      </c>
      <c r="I69" s="8" t="str">
        <f>项目总控台账!AC68</f>
        <v>正常</v>
      </c>
      <c r="J69" s="8" t="str">
        <f>项目总控台账!AD68</f>
        <v>69</v>
      </c>
      <c r="K69" s="8" t="str">
        <f t="shared" ref="K69:K132" si="1">IF(A69&lt;&gt;"是","",IF(OR(E69="暂停",E69="挂起"),"确认暂停原因、恢复条件和责任人",IF(H69&lt;0,"立即确认延期原因、影响及补救计划",IF(H69&lt;=7,"本周确认交付承诺和完成证据","提前检查依赖与风险"))))</f>
        <v/>
      </c>
      <c r="L69" s="11"/>
      <c r="M69" s="10"/>
    </row>
    <row r="70" spans="1:13">
      <c r="A70" s="8" t="str">
        <f>IF(B70="","",IF(AND(E70&lt;&gt;"已完成",ISNUMBER(G70),G70&lt;=项目驾驶舱!$B$3+14),"是","否"))</f>
        <v>否</v>
      </c>
      <c r="B70" s="8" t="str">
        <f>项目总控台账!A69</f>
        <v>T066</v>
      </c>
      <c r="C70" s="8" t="str">
        <f>IF(AND(项目总控台账!E69&lt;&gt;"",项目总控台账!E69&lt;&gt;"/"),项目总控台账!E69,IF(AND(项目总控台账!D69&lt;&gt;"",项目总控台账!D69&lt;&gt;"/"),项目总控台账!D69,项目总控台账!C69))</f>
        <v>装船作业货权跟踪</v>
      </c>
      <c r="D70" s="8" t="str">
        <f>项目总控台账!F69</f>
        <v>第一批次</v>
      </c>
      <c r="E70" s="8" t="str">
        <f>项目总控台账!G69</f>
        <v>已完成</v>
      </c>
      <c r="F70" s="8" t="str">
        <f>项目总控台账!H69</f>
        <v>郑士旺</v>
      </c>
      <c r="G70" s="25">
        <f>项目总控台账!J69</f>
        <v>46261</v>
      </c>
      <c r="H70" s="8">
        <f>IF(G70="","",G70-项目驾驶舱!$B$3)</f>
        <v>-15</v>
      </c>
      <c r="I70" s="8" t="str">
        <f>项目总控台账!AC69</f>
        <v>正常</v>
      </c>
      <c r="J70" s="8" t="str">
        <f>项目总控台账!AD69</f>
        <v>69</v>
      </c>
      <c r="K70" s="8" t="str">
        <f t="shared" si="1"/>
        <v/>
      </c>
      <c r="L70" s="11"/>
      <c r="M70" s="10"/>
    </row>
    <row r="71" spans="1:13">
      <c r="A71" s="8" t="str">
        <f>IF(B71="","",IF(AND(E71&lt;&gt;"已完成",ISNUMBER(G71),G71&lt;=项目驾驶舱!$B$3+14),"是","否"))</f>
        <v>否</v>
      </c>
      <c r="B71" s="8" t="str">
        <f>项目总控台账!A70</f>
        <v>T067</v>
      </c>
      <c r="C71" s="8" t="str">
        <f>IF(AND(项目总控台账!E70&lt;&gt;"",项目总控台账!E70&lt;&gt;"/"),项目总控台账!E70,IF(AND(项目总控台账!D70&lt;&gt;"",项目总控台账!D70&lt;&gt;"/"),项目总控台账!D70,项目总控台账!C70))</f>
        <v>装船作业货权跟踪</v>
      </c>
      <c r="D71" s="8" t="str">
        <f>项目总控台账!F70</f>
        <v>第一批次</v>
      </c>
      <c r="E71" s="8" t="str">
        <f>项目总控台账!G70</f>
        <v>已完成</v>
      </c>
      <c r="F71" s="8" t="str">
        <f>项目总控台账!H70</f>
        <v>郑士旺</v>
      </c>
      <c r="G71" s="25">
        <f>项目总控台账!J70</f>
        <v>46261</v>
      </c>
      <c r="H71" s="8">
        <f>IF(G71="","",G71-项目驾驶舱!$B$3)</f>
        <v>-15</v>
      </c>
      <c r="I71" s="8" t="str">
        <f>项目总控台账!AC70</f>
        <v>正常</v>
      </c>
      <c r="J71" s="8" t="str">
        <f>项目总控台账!AD70</f>
        <v>69</v>
      </c>
      <c r="K71" s="8" t="str">
        <f t="shared" si="1"/>
        <v/>
      </c>
      <c r="L71" s="11"/>
      <c r="M71" s="10"/>
    </row>
    <row r="72" spans="1:13">
      <c r="A72" s="8" t="str">
        <f>IF(B72="","",IF(AND(E72&lt;&gt;"已完成",ISNUMBER(G72),G72&lt;=项目驾驶舱!$B$3+14),"是","否"))</f>
        <v>否</v>
      </c>
      <c r="B72" s="8" t="str">
        <f>项目总控台账!A71</f>
        <v>T068</v>
      </c>
      <c r="C72" s="8" t="str">
        <f>IF(AND(项目总控台账!E71&lt;&gt;"",项目总控台账!E71&lt;&gt;"/"),项目总控台账!E71,IF(AND(项目总控台账!D71&lt;&gt;"",项目总控台账!D71&lt;&gt;"/"),项目总控台账!D71,项目总控台账!C71))</f>
        <v>装船作业货权跟踪</v>
      </c>
      <c r="D72" s="8" t="str">
        <f>项目总控台账!F71</f>
        <v>第一批次</v>
      </c>
      <c r="E72" s="8" t="str">
        <f>项目总控台账!G71</f>
        <v>已完成</v>
      </c>
      <c r="F72" s="8" t="str">
        <f>项目总控台账!H71</f>
        <v>郑士旺</v>
      </c>
      <c r="G72" s="25">
        <f>项目总控台账!J71</f>
        <v>46261</v>
      </c>
      <c r="H72" s="8">
        <f>IF(G72="","",G72-项目驾驶舱!$B$3)</f>
        <v>-15</v>
      </c>
      <c r="I72" s="8" t="str">
        <f>项目总控台账!AC71</f>
        <v>正常</v>
      </c>
      <c r="J72" s="8" t="str">
        <f>项目总控台账!AD71</f>
        <v>69</v>
      </c>
      <c r="K72" s="8" t="str">
        <f t="shared" si="1"/>
        <v/>
      </c>
      <c r="L72" s="11"/>
      <c r="M72" s="10"/>
    </row>
    <row r="73" spans="1:13">
      <c r="A73" s="8" t="str">
        <f>IF(B73="","",IF(AND(E73&lt;&gt;"已完成",ISNUMBER(G73),G73&lt;=项目驾驶舱!$B$3+14),"是","否"))</f>
        <v>否</v>
      </c>
      <c r="B73" s="8" t="str">
        <f>项目总控台账!A72</f>
        <v>T069</v>
      </c>
      <c r="C73" s="8" t="str">
        <f>IF(AND(项目总控台账!E72&lt;&gt;"",项目总控台账!E72&lt;&gt;"/"),项目总控台账!E72,IF(AND(项目总控台账!D72&lt;&gt;"",项目总控台账!D72&lt;&gt;"/"),项目总控台账!D72,项目总控台账!C72))</f>
        <v>新增、详情、修改页内容调整</v>
      </c>
      <c r="D73" s="8" t="str">
        <f>项目总控台账!F72</f>
        <v>第一批次</v>
      </c>
      <c r="E73" s="8" t="str">
        <f>项目总控台账!G72</f>
        <v>已完成</v>
      </c>
      <c r="F73" s="8" t="str">
        <f>项目总控台账!H72</f>
        <v>郑士旺</v>
      </c>
      <c r="G73" s="25">
        <f>项目总控台账!J72</f>
        <v>46224</v>
      </c>
      <c r="H73" s="8">
        <f>IF(G73="","",G73-项目驾驶舱!$B$3)</f>
        <v>-52</v>
      </c>
      <c r="I73" s="8" t="str">
        <f>项目总控台账!AC72</f>
        <v>正常</v>
      </c>
      <c r="J73" s="8" t="str">
        <f>项目总控台账!AD72</f>
        <v>69</v>
      </c>
      <c r="K73" s="8" t="str">
        <f t="shared" si="1"/>
        <v/>
      </c>
      <c r="L73" s="11"/>
      <c r="M73" s="10"/>
    </row>
    <row r="74" spans="1:13">
      <c r="A74" s="8" t="str">
        <f>IF(B74="","",IF(AND(E74&lt;&gt;"已完成",ISNUMBER(G74),G74&lt;=项目驾驶舱!$B$3+14),"是","否"))</f>
        <v>否</v>
      </c>
      <c r="B74" s="8" t="str">
        <f>项目总控台账!A73</f>
        <v>T070</v>
      </c>
      <c r="C74" s="8" t="str">
        <f>IF(AND(项目总控台账!E73&lt;&gt;"",项目总控台账!E73&lt;&gt;"/"),项目总控台账!E73,IF(AND(项目总控台账!D73&lt;&gt;"",项目总控台账!D73&lt;&gt;"/"),项目总控台账!D73,项目总控台账!C73))</f>
        <v>生成报告</v>
      </c>
      <c r="D74" s="8" t="str">
        <f>项目总控台账!F73</f>
        <v>第一批次</v>
      </c>
      <c r="E74" s="8" t="str">
        <f>项目总控台账!G73</f>
        <v>已完成</v>
      </c>
      <c r="F74" s="8" t="str">
        <f>项目总控台账!H73</f>
        <v>郑士旺</v>
      </c>
      <c r="G74" s="25">
        <f>项目总控台账!J73</f>
        <v>46224</v>
      </c>
      <c r="H74" s="8">
        <f>IF(G74="","",G74-项目驾驶舱!$B$3)</f>
        <v>-52</v>
      </c>
      <c r="I74" s="8" t="str">
        <f>项目总控台账!AC73</f>
        <v>正常</v>
      </c>
      <c r="J74" s="8" t="str">
        <f>项目总控台账!AD73</f>
        <v>69</v>
      </c>
      <c r="K74" s="8" t="str">
        <f t="shared" si="1"/>
        <v/>
      </c>
      <c r="L74" s="11"/>
      <c r="M74" s="10"/>
    </row>
    <row r="75" spans="1:13">
      <c r="A75" s="8" t="str">
        <f>IF(B75="","",IF(AND(E75&lt;&gt;"已完成",ISNUMBER(G75),G75&lt;=项目驾驶舱!$B$3+14),"是","否"))</f>
        <v>否</v>
      </c>
      <c r="B75" s="8" t="str">
        <f>项目总控台账!A74</f>
        <v>T071</v>
      </c>
      <c r="C75" s="8" t="str">
        <f>IF(AND(项目总控台账!E74&lt;&gt;"",项目总控台账!E74&lt;&gt;"/"),项目总控台账!E74,IF(AND(项目总控台账!D74&lt;&gt;"",项目总控台账!D74&lt;&gt;"/"),项目总控台账!D74,项目总控台账!C74))</f>
        <v>装船作业信息录入优化（太仓）</v>
      </c>
      <c r="D75" s="8" t="str">
        <f>项目总控台账!F74</f>
        <v>第一批次</v>
      </c>
      <c r="E75" s="8" t="str">
        <f>项目总控台账!G74</f>
        <v>已完成</v>
      </c>
      <c r="F75" s="8" t="str">
        <f>项目总控台账!H74</f>
        <v>郑士旺</v>
      </c>
      <c r="G75" s="25">
        <f>项目总控台账!J74</f>
        <v>46224</v>
      </c>
      <c r="H75" s="8">
        <f>IF(G75="","",G75-项目驾驶舱!$B$3)</f>
        <v>-52</v>
      </c>
      <c r="I75" s="8" t="str">
        <f>项目总控台账!AC74</f>
        <v>正常</v>
      </c>
      <c r="J75" s="8" t="str">
        <f>项目总控台账!AD74</f>
        <v>69</v>
      </c>
      <c r="K75" s="8" t="str">
        <f t="shared" si="1"/>
        <v/>
      </c>
      <c r="L75" s="11"/>
      <c r="M75" s="10"/>
    </row>
    <row r="76" spans="1:13">
      <c r="A76" s="8" t="str">
        <f>IF(B76="","",IF(AND(E76&lt;&gt;"已完成",ISNUMBER(G76),G76&lt;=项目驾驶舱!$B$3+14),"是","否"))</f>
        <v>否</v>
      </c>
      <c r="B76" s="8" t="str">
        <f>项目总控台账!A75</f>
        <v>T072</v>
      </c>
      <c r="C76" s="8" t="str">
        <f>IF(AND(项目总控台账!E75&lt;&gt;"",项目总控台账!E75&lt;&gt;"/"),项目总控台账!E75,IF(AND(项目总控台账!D75&lt;&gt;"",项目总控台账!D75&lt;&gt;"/"),项目总控台账!D75,项目总控台账!C75))</f>
        <v>OCR识别</v>
      </c>
      <c r="D76" s="8" t="str">
        <f>项目总控台账!F75</f>
        <v>第一批次</v>
      </c>
      <c r="E76" s="8" t="str">
        <f>项目总控台账!G75</f>
        <v>已完成</v>
      </c>
      <c r="F76" s="8" t="str">
        <f>项目总控台账!H75</f>
        <v>郑士旺</v>
      </c>
      <c r="G76" s="25">
        <f>项目总控台账!J75</f>
        <v>46234</v>
      </c>
      <c r="H76" s="8">
        <f>IF(G76="","",G76-项目驾驶舱!$B$3)</f>
        <v>-42</v>
      </c>
      <c r="I76" s="8" t="str">
        <f>项目总控台账!AC75</f>
        <v>正常</v>
      </c>
      <c r="J76" s="8" t="str">
        <f>项目总控台账!AD75</f>
        <v>69</v>
      </c>
      <c r="K76" s="8" t="str">
        <f t="shared" si="1"/>
        <v/>
      </c>
      <c r="L76" s="11"/>
      <c r="M76" s="10"/>
    </row>
    <row r="77" spans="1:13">
      <c r="A77" s="8" t="str">
        <f>IF(B77="","",IF(AND(E77&lt;&gt;"已完成",ISNUMBER(G77),G77&lt;=项目驾驶舱!$B$3+14),"是","否"))</f>
        <v>否</v>
      </c>
      <c r="B77" s="8" t="str">
        <f>项目总控台账!A76</f>
        <v>T073</v>
      </c>
      <c r="C77" s="8" t="str">
        <f>IF(AND(项目总控台账!E76&lt;&gt;"",项目总控台账!E76&lt;&gt;"/"),项目总控台账!E76,IF(AND(项目总控台账!D76&lt;&gt;"",项目总控台账!D76&lt;&gt;"/"),项目总控台账!D76,项目总控台账!C76))</f>
        <v>采样作业信息录入新增</v>
      </c>
      <c r="D77" s="8" t="str">
        <f>项目总控台账!F76</f>
        <v>第一批次</v>
      </c>
      <c r="E77" s="8" t="str">
        <f>项目总控台账!G76</f>
        <v>已完成</v>
      </c>
      <c r="F77" s="8" t="str">
        <f>项目总控台账!H76</f>
        <v>郑士旺</v>
      </c>
      <c r="G77" s="25">
        <f>项目总控台账!J76</f>
        <v>46224</v>
      </c>
      <c r="H77" s="8">
        <f>IF(G77="","",G77-项目驾驶舱!$B$3)</f>
        <v>-52</v>
      </c>
      <c r="I77" s="8" t="str">
        <f>项目总控台账!AC76</f>
        <v>正常</v>
      </c>
      <c r="J77" s="8" t="str">
        <f>项目总控台账!AD76</f>
        <v>69</v>
      </c>
      <c r="K77" s="8" t="str">
        <f t="shared" si="1"/>
        <v/>
      </c>
      <c r="L77" s="11"/>
      <c r="M77" s="10"/>
    </row>
    <row r="78" spans="1:13">
      <c r="A78" s="8" t="str">
        <f>IF(B78="","",IF(AND(E78&lt;&gt;"已完成",ISNUMBER(G78),G78&lt;=项目驾驶舱!$B$3+14),"是","否"))</f>
        <v>否</v>
      </c>
      <c r="B78" s="8" t="str">
        <f>项目总控台账!A77</f>
        <v>T074</v>
      </c>
      <c r="C78" s="8" t="str">
        <f>IF(AND(项目总控台账!E77&lt;&gt;"",项目总控台账!E77&lt;&gt;"/"),项目总控台账!E77,IF(AND(项目总控台账!D77&lt;&gt;"",项目总控台账!D77&lt;&gt;"/"),项目总控台账!D77,项目总控台账!C77))</f>
        <v>采样作业信息录入编辑</v>
      </c>
      <c r="D78" s="8" t="str">
        <f>项目总控台账!F77</f>
        <v>第一批次</v>
      </c>
      <c r="E78" s="8" t="str">
        <f>项目总控台账!G77</f>
        <v>已完成</v>
      </c>
      <c r="F78" s="8" t="str">
        <f>项目总控台账!H77</f>
        <v>郑士旺</v>
      </c>
      <c r="G78" s="25">
        <f>项目总控台账!J77</f>
        <v>46224</v>
      </c>
      <c r="H78" s="8">
        <f>IF(G78="","",G78-项目驾驶舱!$B$3)</f>
        <v>-52</v>
      </c>
      <c r="I78" s="8" t="str">
        <f>项目总控台账!AC77</f>
        <v>正常</v>
      </c>
      <c r="J78" s="8" t="str">
        <f>项目总控台账!AD77</f>
        <v>69</v>
      </c>
      <c r="K78" s="8" t="str">
        <f t="shared" si="1"/>
        <v/>
      </c>
      <c r="L78" s="11"/>
      <c r="M78" s="10"/>
    </row>
    <row r="79" spans="1:13">
      <c r="A79" s="8" t="str">
        <f>IF(B79="","",IF(AND(E79&lt;&gt;"已完成",ISNUMBER(G79),G79&lt;=项目驾驶舱!$B$3+14),"是","否"))</f>
        <v>否</v>
      </c>
      <c r="B79" s="8" t="str">
        <f>项目总控台账!A78</f>
        <v>T075</v>
      </c>
      <c r="C79" s="8" t="str">
        <f>IF(AND(项目总控台账!E78&lt;&gt;"",项目总控台账!E78&lt;&gt;"/"),项目总控台账!E78,IF(AND(项目总控台账!D78&lt;&gt;"",项目总控台账!D78&lt;&gt;"/"),项目总控台账!D78,项目总控台账!C78))</f>
        <v>采样作业信息录入详情</v>
      </c>
      <c r="D79" s="8" t="str">
        <f>项目总控台账!F78</f>
        <v>第一批次</v>
      </c>
      <c r="E79" s="8" t="str">
        <f>项目总控台账!G78</f>
        <v>已完成</v>
      </c>
      <c r="F79" s="8" t="str">
        <f>项目总控台账!H78</f>
        <v>郑士旺</v>
      </c>
      <c r="G79" s="25">
        <f>项目总控台账!J78</f>
        <v>46224</v>
      </c>
      <c r="H79" s="8">
        <f>IF(G79="","",G79-项目驾驶舱!$B$3)</f>
        <v>-52</v>
      </c>
      <c r="I79" s="8" t="str">
        <f>项目总控台账!AC78</f>
        <v>正常</v>
      </c>
      <c r="J79" s="8" t="str">
        <f>项目总控台账!AD78</f>
        <v>69</v>
      </c>
      <c r="K79" s="8" t="str">
        <f t="shared" si="1"/>
        <v/>
      </c>
      <c r="L79" s="11"/>
      <c r="M79" s="10"/>
    </row>
    <row r="80" spans="1:13">
      <c r="A80" s="8" t="str">
        <f>IF(B80="","",IF(AND(E80&lt;&gt;"已完成",ISNUMBER(G80),G80&lt;=项目驾驶舱!$B$3+14),"是","否"))</f>
        <v>否</v>
      </c>
      <c r="B80" s="8" t="str">
        <f>项目总控台账!A79</f>
        <v>T076</v>
      </c>
      <c r="C80" s="8" t="str">
        <f>IF(AND(项目总控台账!E79&lt;&gt;"",项目总控台账!E79&lt;&gt;"/"),项目总控台账!E79,IF(AND(项目总控台账!D79&lt;&gt;"",项目总控台账!D79&lt;&gt;"/"),项目总控台账!D79,项目总控台账!C79))</f>
        <v>采样作业信息录入删除</v>
      </c>
      <c r="D80" s="8" t="str">
        <f>项目总控台账!F79</f>
        <v>第一批次</v>
      </c>
      <c r="E80" s="8" t="str">
        <f>项目总控台账!G79</f>
        <v>已完成</v>
      </c>
      <c r="F80" s="8" t="str">
        <f>项目总控台账!H79</f>
        <v>郑士旺</v>
      </c>
      <c r="G80" s="25">
        <f>项目总控台账!J79</f>
        <v>46224</v>
      </c>
      <c r="H80" s="8">
        <f>IF(G80="","",G80-项目驾驶舱!$B$3)</f>
        <v>-52</v>
      </c>
      <c r="I80" s="8" t="str">
        <f>项目总控台账!AC79</f>
        <v>正常</v>
      </c>
      <c r="J80" s="8" t="str">
        <f>项目总控台账!AD79</f>
        <v>69</v>
      </c>
      <c r="K80" s="8" t="str">
        <f t="shared" si="1"/>
        <v/>
      </c>
      <c r="L80" s="11"/>
      <c r="M80" s="10"/>
    </row>
    <row r="81" spans="1:13">
      <c r="A81" s="8" t="str">
        <f>IF(B81="","",IF(AND(E81&lt;&gt;"已完成",ISNUMBER(G81),G81&lt;=项目驾驶舱!$B$3+14),"是","否"))</f>
        <v>否</v>
      </c>
      <c r="B81" s="8" t="str">
        <f>项目总控台账!A80</f>
        <v>T077</v>
      </c>
      <c r="C81" s="8" t="str">
        <f>IF(AND(项目总控台账!E80&lt;&gt;"",项目总控台账!E80&lt;&gt;"/"),项目总控台账!E80,IF(AND(项目总控台账!D80&lt;&gt;"",项目总控台账!D80&lt;&gt;"/"),项目总控台账!D80,项目总控台账!C80))</f>
        <v>采样作业信息录入列表</v>
      </c>
      <c r="D81" s="8" t="str">
        <f>项目总控台账!F80</f>
        <v>第一批次</v>
      </c>
      <c r="E81" s="8" t="str">
        <f>项目总控台账!G80</f>
        <v>已完成</v>
      </c>
      <c r="F81" s="8" t="str">
        <f>项目总控台账!H80</f>
        <v>郑士旺</v>
      </c>
      <c r="G81" s="25">
        <f>项目总控台账!J80</f>
        <v>46224</v>
      </c>
      <c r="H81" s="8">
        <f>IF(G81="","",G81-项目驾驶舱!$B$3)</f>
        <v>-52</v>
      </c>
      <c r="I81" s="8" t="str">
        <f>项目总控台账!AC80</f>
        <v>正常</v>
      </c>
      <c r="J81" s="8" t="str">
        <f>项目总控台账!AD80</f>
        <v>69</v>
      </c>
      <c r="K81" s="8" t="str">
        <f t="shared" si="1"/>
        <v/>
      </c>
      <c r="L81" s="11"/>
      <c r="M81" s="10"/>
    </row>
    <row r="82" spans="1:13">
      <c r="A82" s="8" t="str">
        <f>IF(B82="","",IF(AND(E82&lt;&gt;"已完成",ISNUMBER(G82),G82&lt;=项目驾驶舱!$B$3+14),"是","否"))</f>
        <v>否</v>
      </c>
      <c r="B82" s="8" t="str">
        <f>项目总控台账!A81</f>
        <v>T078</v>
      </c>
      <c r="C82" s="8" t="str">
        <f>IF(AND(项目总控台账!E81&lt;&gt;"",项目总控台账!E81&lt;&gt;"/"),项目总控台账!E81,IF(AND(项目总控台账!D81&lt;&gt;"",项目总控台账!D81&lt;&gt;"/"),项目总控台账!D81,项目总控台账!C81))</f>
        <v>业务数据合同签订校验</v>
      </c>
      <c r="D82" s="8" t="str">
        <f>项目总控台账!F81</f>
        <v>第二批次</v>
      </c>
      <c r="E82" s="8" t="str">
        <f>项目总控台账!G81</f>
        <v>进行中</v>
      </c>
      <c r="F82" s="8" t="str">
        <f>项目总控台账!H81</f>
        <v>郑士旺</v>
      </c>
      <c r="G82" s="25">
        <f>项目总控台账!J81</f>
        <v>46318</v>
      </c>
      <c r="H82" s="8">
        <f>IF(G82="","",G82-项目驾驶舱!$B$3)</f>
        <v>42</v>
      </c>
      <c r="I82" s="8" t="str">
        <f>项目总控台账!AC81</f>
        <v>正常</v>
      </c>
      <c r="J82" s="8" t="str">
        <f>项目总控台账!AD81</f>
        <v>69</v>
      </c>
      <c r="K82" s="8" t="str">
        <f t="shared" si="1"/>
        <v/>
      </c>
      <c r="L82" s="11"/>
      <c r="M82" s="10"/>
    </row>
    <row r="83" spans="1:13">
      <c r="A83" s="8" t="str">
        <f>IF(B83="","",IF(AND(E83&lt;&gt;"已完成",ISNUMBER(G83),G83&lt;=项目驾驶舱!$B$3+14),"是","否"))</f>
        <v>否</v>
      </c>
      <c r="B83" s="8" t="str">
        <f>项目总控台账!A82</f>
        <v>T079</v>
      </c>
      <c r="C83" s="8" t="str">
        <f>IF(AND(项目总控台账!E82&lt;&gt;"",项目总控台账!E82&lt;&gt;"/"),项目总控台账!E82,IF(AND(项目总控台账!D82&lt;&gt;"",项目总控台账!D82&lt;&gt;"/"),项目总控台账!D82,项目总控台账!C82))</f>
        <v>结算数据合同签订校验</v>
      </c>
      <c r="D83" s="8" t="str">
        <f>项目总控台账!F82</f>
        <v>第二批次</v>
      </c>
      <c r="E83" s="8" t="str">
        <f>项目总控台账!G82</f>
        <v>进行中</v>
      </c>
      <c r="F83" s="8" t="str">
        <f>项目总控台账!H82</f>
        <v>郑士旺</v>
      </c>
      <c r="G83" s="25">
        <f>项目总控台账!J82</f>
        <v>46318</v>
      </c>
      <c r="H83" s="8">
        <f>IF(G83="","",G83-项目驾驶舱!$B$3)</f>
        <v>42</v>
      </c>
      <c r="I83" s="8" t="str">
        <f>项目总控台账!AC82</f>
        <v>正常</v>
      </c>
      <c r="J83" s="8" t="str">
        <f>项目总控台账!AD82</f>
        <v>69</v>
      </c>
      <c r="K83" s="8" t="str">
        <f t="shared" si="1"/>
        <v/>
      </c>
      <c r="L83" s="11"/>
      <c r="M83" s="10"/>
    </row>
    <row r="84" spans="1:13">
      <c r="A84" s="8" t="str">
        <f>IF(B84="","",IF(AND(E84&lt;&gt;"已完成",ISNUMBER(G84),G84&lt;=项目驾驶舱!$B$3+14),"是","否"))</f>
        <v>是</v>
      </c>
      <c r="B84" s="8" t="str">
        <f>项目总控台账!A83</f>
        <v>T080</v>
      </c>
      <c r="C84" s="8" t="str">
        <f>IF(AND(项目总控台账!E83&lt;&gt;"",项目总控台账!E83&lt;&gt;"/"),项目总控台账!E83,IF(AND(项目总控台账!D83&lt;&gt;"",项目总控台账!D83&lt;&gt;"/"),项目总控台账!D83,项目总控台账!C83))</f>
        <v>合同校验结果查询</v>
      </c>
      <c r="D84" s="8" t="str">
        <f>项目总控台账!F83</f>
        <v>第二批次</v>
      </c>
      <c r="E84" s="8" t="str">
        <f>项目总控台账!G83</f>
        <v>进行中</v>
      </c>
      <c r="F84" s="8" t="str">
        <f>项目总控台账!H83</f>
        <v>郑士旺</v>
      </c>
      <c r="G84" s="25">
        <f>项目总控台账!J83</f>
        <v>46261</v>
      </c>
      <c r="H84" s="8">
        <f>IF(G84="","",G84-项目驾驶舱!$B$3)</f>
        <v>-15</v>
      </c>
      <c r="I84" s="8" t="str">
        <f>项目总控台账!AC83</f>
        <v>已延期</v>
      </c>
      <c r="J84" s="8" t="str">
        <f>项目总控台账!AD83</f>
        <v>69</v>
      </c>
      <c r="K84" s="8" t="str">
        <f t="shared" si="1"/>
        <v>立即确认延期原因、影响及补救计划</v>
      </c>
      <c r="L84" s="11"/>
      <c r="M84" s="10"/>
    </row>
    <row r="85" spans="1:13">
      <c r="A85" s="8" t="str">
        <f>IF(B85="","",IF(AND(E85&lt;&gt;"已完成",ISNUMBER(G85),G85&lt;=项目驾驶舱!$B$3+14),"是","否"))</f>
        <v>否</v>
      </c>
      <c r="B85" s="8" t="str">
        <f>项目总控台账!A84</f>
        <v>T081</v>
      </c>
      <c r="C85" s="8" t="str">
        <f>IF(AND(项目总控台账!E84&lt;&gt;"",项目总控台账!E84&lt;&gt;"/"),项目总控台账!E84,IF(AND(项目总控台账!D84&lt;&gt;"",项目总控台账!D84&lt;&gt;"/"),项目总控台账!D84,项目总控台账!C84))</f>
        <v>数据对接</v>
      </c>
      <c r="D85" s="8" t="str">
        <f>项目总控台账!F84</f>
        <v>第二批次</v>
      </c>
      <c r="E85" s="8" t="str">
        <f>项目总控台账!G84</f>
        <v>未开始</v>
      </c>
      <c r="F85" s="8" t="str">
        <f>项目总控台账!H84</f>
        <v>郑士旺</v>
      </c>
      <c r="G85" s="25">
        <f>项目总控台账!J84</f>
        <v>46353</v>
      </c>
      <c r="H85" s="8">
        <f>IF(G85="","",G85-项目驾驶舱!$B$3)</f>
        <v>77</v>
      </c>
      <c r="I85" s="8" t="str">
        <f>项目总控台账!AC84</f>
        <v>正常</v>
      </c>
      <c r="J85" s="8" t="str">
        <f>项目总控台账!AD84</f>
        <v>69</v>
      </c>
      <c r="K85" s="8" t="str">
        <f t="shared" si="1"/>
        <v/>
      </c>
      <c r="L85" s="11"/>
      <c r="M85" s="10"/>
    </row>
    <row r="86" spans="1:13">
      <c r="A86" s="8" t="str">
        <f>IF(B86="","",IF(AND(E86&lt;&gt;"已完成",ISNUMBER(G86),G86&lt;=项目驾驶舱!$B$3+14),"是","否"))</f>
        <v>是</v>
      </c>
      <c r="B86" s="8" t="str">
        <f>项目总控台账!A85</f>
        <v>T082</v>
      </c>
      <c r="C86" s="8" t="str">
        <f>IF(AND(项目总控台账!E85&lt;&gt;"",项目总控台账!E85&lt;&gt;"/"),项目总控台账!E85,IF(AND(项目总控台账!D85&lt;&gt;"",项目总控台账!D85&lt;&gt;"/"),项目总控台账!D85,项目总控台账!C85))</f>
        <v>数据展示</v>
      </c>
      <c r="D86" s="8" t="str">
        <f>项目总控台账!F85</f>
        <v>第二批次</v>
      </c>
      <c r="E86" s="8" t="str">
        <f>项目总控台账!G85</f>
        <v>未开始</v>
      </c>
      <c r="F86" s="8" t="str">
        <f>项目总控台账!H85</f>
        <v>郑士旺</v>
      </c>
      <c r="G86" s="25">
        <f>项目总控台账!J85</f>
        <v>46224</v>
      </c>
      <c r="H86" s="8">
        <f>IF(G86="","",G86-项目驾驶舱!$B$3)</f>
        <v>-52</v>
      </c>
      <c r="I86" s="8" t="str">
        <f>项目总控台账!AC85</f>
        <v>已延期</v>
      </c>
      <c r="J86" s="8" t="str">
        <f>项目总控台账!AD85</f>
        <v>69</v>
      </c>
      <c r="K86" s="8" t="str">
        <f t="shared" si="1"/>
        <v>立即确认延期原因、影响及补救计划</v>
      </c>
      <c r="L86" s="11"/>
      <c r="M86" s="10"/>
    </row>
    <row r="87" spans="1:13">
      <c r="A87" s="8" t="str">
        <f>IF(B87="","",IF(AND(E87&lt;&gt;"已完成",ISNUMBER(G87),G87&lt;=项目驾驶舱!$B$3+14),"是","否"))</f>
        <v>是</v>
      </c>
      <c r="B87" s="8" t="str">
        <f>项目总控台账!A86</f>
        <v>T083</v>
      </c>
      <c r="C87" s="8" t="str">
        <f>IF(AND(项目总控台账!E86&lt;&gt;"",项目总控台账!E86&lt;&gt;"/"),项目总控台账!E86,IF(AND(项目总控台账!D86&lt;&gt;"",项目总控台账!D86&lt;&gt;"/"),项目总控台账!D86,项目总控台账!C86))</f>
        <v>数据对接</v>
      </c>
      <c r="D87" s="8" t="str">
        <f>项目总控台账!F86</f>
        <v>第二批次</v>
      </c>
      <c r="E87" s="8" t="str">
        <f>项目总控台账!G86</f>
        <v>未开始</v>
      </c>
      <c r="F87" s="8" t="str">
        <f>项目总控台账!H86</f>
        <v>郑士旺</v>
      </c>
      <c r="G87" s="25">
        <f>项目总控台账!J86</f>
        <v>46224</v>
      </c>
      <c r="H87" s="8">
        <f>IF(G87="","",G87-项目驾驶舱!$B$3)</f>
        <v>-52</v>
      </c>
      <c r="I87" s="8" t="str">
        <f>项目总控台账!AC86</f>
        <v>已延期</v>
      </c>
      <c r="J87" s="8" t="str">
        <f>项目总控台账!AD86</f>
        <v>69</v>
      </c>
      <c r="K87" s="8" t="str">
        <f t="shared" si="1"/>
        <v>立即确认延期原因、影响及补救计划</v>
      </c>
      <c r="L87" s="11"/>
      <c r="M87" s="10"/>
    </row>
    <row r="88" spans="1:13">
      <c r="A88" s="8" t="str">
        <f>IF(B88="","",IF(AND(E88&lt;&gt;"已完成",ISNUMBER(G88),G88&lt;=项目驾驶舱!$B$3+14),"是","否"))</f>
        <v>是</v>
      </c>
      <c r="B88" s="8" t="str">
        <f>项目总控台账!A87</f>
        <v>T084</v>
      </c>
      <c r="C88" s="8" t="str">
        <f>IF(AND(项目总控台账!E87&lt;&gt;"",项目总控台账!E87&lt;&gt;"/"),项目总控台账!E87,IF(AND(项目总控台账!D87&lt;&gt;"",项目总控台账!D87&lt;&gt;"/"),项目总控台账!D87,项目总控台账!C87))</f>
        <v>数据产生</v>
      </c>
      <c r="D88" s="8" t="str">
        <f>项目总控台账!F87</f>
        <v>第二批次</v>
      </c>
      <c r="E88" s="8" t="str">
        <f>项目总控台账!G87</f>
        <v>未开始</v>
      </c>
      <c r="F88" s="8" t="str">
        <f>项目总控台账!H87</f>
        <v>郑士旺</v>
      </c>
      <c r="G88" s="25">
        <f>项目总控台账!J87</f>
        <v>46224</v>
      </c>
      <c r="H88" s="8">
        <f>IF(G88="","",G88-项目驾驶舱!$B$3)</f>
        <v>-52</v>
      </c>
      <c r="I88" s="8" t="str">
        <f>项目总控台账!AC87</f>
        <v>已延期</v>
      </c>
      <c r="J88" s="8" t="str">
        <f>项目总控台账!AD87</f>
        <v>69</v>
      </c>
      <c r="K88" s="8" t="str">
        <f t="shared" si="1"/>
        <v>立即确认延期原因、影响及补救计划</v>
      </c>
      <c r="L88" s="11"/>
      <c r="M88" s="10"/>
    </row>
    <row r="89" spans="1:13">
      <c r="A89" s="8" t="str">
        <f>IF(B89="","",IF(AND(E89&lt;&gt;"已完成",ISNUMBER(G89),G89&lt;=项目驾驶舱!$B$3+14),"是","否"))</f>
        <v>是</v>
      </c>
      <c r="B89" s="8" t="str">
        <f>项目总控台账!A88</f>
        <v>T085</v>
      </c>
      <c r="C89" s="8" t="str">
        <f>IF(AND(项目总控台账!E88&lt;&gt;"",项目总控台账!E88&lt;&gt;"/"),项目总控台账!E88,IF(AND(项目总控台账!D88&lt;&gt;"",项目总控台账!D88&lt;&gt;"/"),项目总控台账!D88,项目总控台账!C88))</f>
        <v>数据对接</v>
      </c>
      <c r="D89" s="8" t="str">
        <f>项目总控台账!F88</f>
        <v>第二批次</v>
      </c>
      <c r="E89" s="8" t="str">
        <f>项目总控台账!G88</f>
        <v>未开始</v>
      </c>
      <c r="F89" s="8" t="str">
        <f>项目总控台账!H88</f>
        <v>郑士旺</v>
      </c>
      <c r="G89" s="25">
        <f>项目总控台账!J88</f>
        <v>46224</v>
      </c>
      <c r="H89" s="8">
        <f>IF(G89="","",G89-项目驾驶舱!$B$3)</f>
        <v>-52</v>
      </c>
      <c r="I89" s="8" t="str">
        <f>项目总控台账!AC88</f>
        <v>已延期</v>
      </c>
      <c r="J89" s="8" t="str">
        <f>项目总控台账!AD88</f>
        <v>69</v>
      </c>
      <c r="K89" s="8" t="str">
        <f t="shared" si="1"/>
        <v>立即确认延期原因、影响及补救计划</v>
      </c>
      <c r="L89" s="11"/>
      <c r="M89" s="10"/>
    </row>
    <row r="90" spans="1:13">
      <c r="A90" s="8" t="str">
        <f>IF(B90="","",IF(AND(E90&lt;&gt;"已完成",ISNUMBER(G90),G90&lt;=项目驾驶舱!$B$3+14),"是","否"))</f>
        <v>是</v>
      </c>
      <c r="B90" s="8" t="str">
        <f>项目总控台账!A89</f>
        <v>T086</v>
      </c>
      <c r="C90" s="8" t="str">
        <f>IF(AND(项目总控台账!E89&lt;&gt;"",项目总控台账!E89&lt;&gt;"/"),项目总控台账!E89,IF(AND(项目总控台账!D89&lt;&gt;"",项目总控台账!D89&lt;&gt;"/"),项目总控台账!D89,项目总控台账!C89))</f>
        <v>数据展示</v>
      </c>
      <c r="D90" s="8" t="str">
        <f>项目总控台账!F89</f>
        <v>第二批次</v>
      </c>
      <c r="E90" s="8" t="str">
        <f>项目总控台账!G89</f>
        <v>未开始</v>
      </c>
      <c r="F90" s="8" t="str">
        <f>项目总控台账!H89</f>
        <v>郑士旺</v>
      </c>
      <c r="G90" s="25">
        <f>项目总控台账!J89</f>
        <v>46224</v>
      </c>
      <c r="H90" s="8">
        <f>IF(G90="","",G90-项目驾驶舱!$B$3)</f>
        <v>-52</v>
      </c>
      <c r="I90" s="8" t="str">
        <f>项目总控台账!AC89</f>
        <v>已延期</v>
      </c>
      <c r="J90" s="8" t="str">
        <f>项目总控台账!AD89</f>
        <v>69</v>
      </c>
      <c r="K90" s="8" t="str">
        <f t="shared" si="1"/>
        <v>立即确认延期原因、影响及补救计划</v>
      </c>
      <c r="L90" s="11"/>
      <c r="M90" s="10"/>
    </row>
    <row r="91" spans="1:13">
      <c r="A91" s="8" t="str">
        <f>IF(B91="","",IF(AND(E91&lt;&gt;"已完成",ISNUMBER(G91),G91&lt;=项目驾驶舱!$B$3+14),"是","否"))</f>
        <v>是</v>
      </c>
      <c r="B91" s="8" t="str">
        <f>项目总控台账!A90</f>
        <v>T087</v>
      </c>
      <c r="C91" s="8" t="str">
        <f>IF(AND(项目总控台账!E90&lt;&gt;"",项目总控台账!E90&lt;&gt;"/"),项目总控台账!E90,IF(AND(项目总控台账!D90&lt;&gt;"",项目总控台账!D90&lt;&gt;"/"),项目总控台账!D90,项目总控台账!C90))</f>
        <v>数据对接</v>
      </c>
      <c r="D91" s="8" t="str">
        <f>项目总控台账!F90</f>
        <v>第二批次</v>
      </c>
      <c r="E91" s="8" t="str">
        <f>项目总控台账!G90</f>
        <v>未开始</v>
      </c>
      <c r="F91" s="8" t="str">
        <f>项目总控台账!H90</f>
        <v>郑士旺</v>
      </c>
      <c r="G91" s="25">
        <f>项目总控台账!J90</f>
        <v>46224</v>
      </c>
      <c r="H91" s="8">
        <f>IF(G91="","",G91-项目驾驶舱!$B$3)</f>
        <v>-52</v>
      </c>
      <c r="I91" s="8" t="str">
        <f>项目总控台账!AC90</f>
        <v>已延期</v>
      </c>
      <c r="J91" s="8" t="str">
        <f>项目总控台账!AD90</f>
        <v>69</v>
      </c>
      <c r="K91" s="8" t="str">
        <f t="shared" si="1"/>
        <v>立即确认延期原因、影响及补救计划</v>
      </c>
      <c r="L91" s="11"/>
      <c r="M91" s="10"/>
    </row>
    <row r="92" spans="1:13">
      <c r="A92" s="8" t="str">
        <f>IF(B92="","",IF(AND(E92&lt;&gt;"已完成",ISNUMBER(G92),G92&lt;=项目驾驶舱!$B$3+14),"是","否"))</f>
        <v>否</v>
      </c>
      <c r="B92" s="8" t="str">
        <f>项目总控台账!A91</f>
        <v>T088</v>
      </c>
      <c r="C92" s="8" t="str">
        <f>IF(AND(项目总控台账!E91&lt;&gt;"",项目总控台账!E91&lt;&gt;"/"),项目总控台账!E91,IF(AND(项目总控台账!D91&lt;&gt;"",项目总控台账!D91&lt;&gt;"/"),项目总控台账!D91,项目总控台账!C91))</f>
        <v>数据展示</v>
      </c>
      <c r="D92" s="8" t="str">
        <f>项目总控台账!F91</f>
        <v>第二批次</v>
      </c>
      <c r="E92" s="8" t="str">
        <f>项目总控台账!G91</f>
        <v>未开始</v>
      </c>
      <c r="F92" s="8" t="str">
        <f>项目总控台账!H91</f>
        <v>郑士旺</v>
      </c>
      <c r="G92" s="25">
        <f>项目总控台账!J91</f>
        <v>46353</v>
      </c>
      <c r="H92" s="8">
        <f>IF(G92="","",G92-项目驾驶舱!$B$3)</f>
        <v>77</v>
      </c>
      <c r="I92" s="8" t="str">
        <f>项目总控台账!AC91</f>
        <v>正常</v>
      </c>
      <c r="J92" s="8" t="str">
        <f>项目总控台账!AD91</f>
        <v>69</v>
      </c>
      <c r="K92" s="8" t="str">
        <f t="shared" si="1"/>
        <v/>
      </c>
      <c r="L92" s="11"/>
      <c r="M92" s="10"/>
    </row>
    <row r="93" spans="1:13">
      <c r="A93" s="8" t="str">
        <f>IF(B93="","",IF(AND(E93&lt;&gt;"已完成",ISNUMBER(G93),G93&lt;=项目驾驶舱!$B$3+14),"是","否"))</f>
        <v>否</v>
      </c>
      <c r="B93" s="8" t="str">
        <f>项目总控台账!A92</f>
        <v>T089</v>
      </c>
      <c r="C93" s="8" t="str">
        <f>IF(AND(项目总控台账!E92&lt;&gt;"",项目总控台账!E92&lt;&gt;"/"),项目总控台账!E92,IF(AND(项目总控台账!D92&lt;&gt;"",项目总控台账!D92&lt;&gt;"/"),项目总控台账!D92,项目总控台账!C92))</f>
        <v>新增采样服务费（外贸）</v>
      </c>
      <c r="D93" s="8" t="str">
        <f>项目总控台账!F92</f>
        <v>第二批次</v>
      </c>
      <c r="E93" s="8" t="str">
        <f>项目总控台账!G92</f>
        <v>未开始</v>
      </c>
      <c r="F93" s="8" t="str">
        <f>项目总控台账!H92</f>
        <v>郑士旺</v>
      </c>
      <c r="G93" s="25">
        <f>项目总控台账!J92</f>
        <v>46353</v>
      </c>
      <c r="H93" s="8">
        <f>IF(G93="","",G93-项目驾驶舱!$B$3)</f>
        <v>77</v>
      </c>
      <c r="I93" s="8" t="str">
        <f>项目总控台账!AC92</f>
        <v>正常</v>
      </c>
      <c r="J93" s="8" t="str">
        <f>项目总控台账!AD92</f>
        <v>69</v>
      </c>
      <c r="K93" s="8" t="str">
        <f t="shared" si="1"/>
        <v/>
      </c>
      <c r="L93" s="11"/>
      <c r="M93" s="10"/>
    </row>
    <row r="94" spans="1:13">
      <c r="A94" s="8" t="str">
        <f>IF(B94="","",IF(AND(E94&lt;&gt;"已完成",ISNUMBER(G94),G94&lt;=项目驾驶舱!$B$3+14),"是","否"))</f>
        <v>否</v>
      </c>
      <c r="B94" s="8" t="str">
        <f>项目总控台账!A93</f>
        <v>T090</v>
      </c>
      <c r="C94" s="8" t="str">
        <f>IF(AND(项目总控台账!E93&lt;&gt;"",项目总控台账!E93&lt;&gt;"/"),项目总控台账!E93,IF(AND(项目总控台账!D93&lt;&gt;"",项目总控台账!D93&lt;&gt;"/"),项目总控台账!D93,项目总控台账!C93))</f>
        <v>审批采样服务费（外贸）</v>
      </c>
      <c r="D94" s="8" t="str">
        <f>项目总控台账!F93</f>
        <v>第二批次</v>
      </c>
      <c r="E94" s="8" t="str">
        <f>项目总控台账!G93</f>
        <v>未开始</v>
      </c>
      <c r="F94" s="8" t="str">
        <f>项目总控台账!H93</f>
        <v>郑士旺</v>
      </c>
      <c r="G94" s="25">
        <f>项目总控台账!J93</f>
        <v>46353</v>
      </c>
      <c r="H94" s="8">
        <f>IF(G94="","",G94-项目驾驶舱!$B$3)</f>
        <v>77</v>
      </c>
      <c r="I94" s="8" t="str">
        <f>项目总控台账!AC93</f>
        <v>正常</v>
      </c>
      <c r="J94" s="8" t="str">
        <f>项目总控台账!AD93</f>
        <v>69</v>
      </c>
      <c r="K94" s="8" t="str">
        <f t="shared" si="1"/>
        <v/>
      </c>
      <c r="L94" s="11"/>
      <c r="M94" s="10"/>
    </row>
    <row r="95" spans="1:13">
      <c r="A95" s="8" t="str">
        <f>IF(B95="","",IF(AND(E95&lt;&gt;"已完成",ISNUMBER(G95),G95&lt;=项目驾驶舱!$B$3+14),"是","否"))</f>
        <v>否</v>
      </c>
      <c r="B95" s="8" t="str">
        <f>项目总控台账!A94</f>
        <v>T091</v>
      </c>
      <c r="C95" s="8" t="str">
        <f>IF(AND(项目总控台账!E94&lt;&gt;"",项目总控台账!E94&lt;&gt;"/"),项目总控台账!E94,IF(AND(项目总控台账!D94&lt;&gt;"",项目总控台账!D94&lt;&gt;"/"),项目总控台账!D94,项目总控台账!C94))</f>
        <v>单据签章</v>
      </c>
      <c r="D95" s="8" t="str">
        <f>项目总控台账!F94</f>
        <v>第二批次</v>
      </c>
      <c r="E95" s="8" t="str">
        <f>项目总控台账!G94</f>
        <v>未开始</v>
      </c>
      <c r="F95" s="8" t="str">
        <f>项目总控台账!H94</f>
        <v>郑士旺</v>
      </c>
      <c r="G95" s="25">
        <f>项目总控台账!J94</f>
        <v>46353</v>
      </c>
      <c r="H95" s="8">
        <f>IF(G95="","",G95-项目驾驶舱!$B$3)</f>
        <v>77</v>
      </c>
      <c r="I95" s="8" t="str">
        <f>项目总控台账!AC94</f>
        <v>正常</v>
      </c>
      <c r="J95" s="8" t="str">
        <f>项目总控台账!AD94</f>
        <v>69</v>
      </c>
      <c r="K95" s="8" t="str">
        <f t="shared" si="1"/>
        <v/>
      </c>
      <c r="L95" s="11"/>
      <c r="M95" s="10"/>
    </row>
    <row r="96" spans="1:13">
      <c r="A96" s="8" t="str">
        <f>IF(B96="","",IF(AND(E96&lt;&gt;"已完成",ISNUMBER(G96),G96&lt;=项目驾驶舱!$B$3+14),"是","否"))</f>
        <v>否</v>
      </c>
      <c r="B96" s="8" t="str">
        <f>项目总控台账!A95</f>
        <v>T092</v>
      </c>
      <c r="C96" s="8" t="str">
        <f>IF(AND(项目总控台账!E95&lt;&gt;"",项目总控台账!E95&lt;&gt;"/"),项目总控台账!E95,IF(AND(项目总控台账!D95&lt;&gt;"",项目总控台账!D95&lt;&gt;"/"),项目总控台账!D95,项目总控台账!C95))</f>
        <v>数据推送</v>
      </c>
      <c r="D96" s="8" t="str">
        <f>项目总控台账!F95</f>
        <v>第二批次</v>
      </c>
      <c r="E96" s="8" t="str">
        <f>项目总控台账!G95</f>
        <v>未开始</v>
      </c>
      <c r="F96" s="8" t="str">
        <f>项目总控台账!H95</f>
        <v>郑士旺</v>
      </c>
      <c r="G96" s="25">
        <f>项目总控台账!J95</f>
        <v>46353</v>
      </c>
      <c r="H96" s="8">
        <f>IF(G96="","",G96-项目驾驶舱!$B$3)</f>
        <v>77</v>
      </c>
      <c r="I96" s="8" t="str">
        <f>项目总控台账!AC95</f>
        <v>正常</v>
      </c>
      <c r="J96" s="8" t="str">
        <f>项目总控台账!AD95</f>
        <v>69</v>
      </c>
      <c r="K96" s="8" t="str">
        <f t="shared" si="1"/>
        <v/>
      </c>
      <c r="L96" s="11"/>
      <c r="M96" s="10"/>
    </row>
    <row r="97" spans="1:13">
      <c r="A97" s="8" t="str">
        <f>IF(B97="","",IF(AND(E97&lt;&gt;"已完成",ISNUMBER(G97),G97&lt;=项目驾驶舱!$B$3+14),"是","否"))</f>
        <v>否</v>
      </c>
      <c r="B97" s="8" t="str">
        <f>项目总控台账!A96</f>
        <v>T093</v>
      </c>
      <c r="C97" s="8" t="str">
        <f>IF(AND(项目总控台账!E96&lt;&gt;"",项目总控台账!E96&lt;&gt;"/"),项目总控台账!E96,IF(AND(项目总控台账!D96&lt;&gt;"",项目总控台账!D96&lt;&gt;"/"),项目总控台账!D96,项目总控台账!C96))</f>
        <v>数据对接</v>
      </c>
      <c r="D97" s="8" t="str">
        <f>项目总控台账!F96</f>
        <v>第二批次</v>
      </c>
      <c r="E97" s="8" t="str">
        <f>项目总控台账!G96</f>
        <v>未开始</v>
      </c>
      <c r="F97" s="8" t="str">
        <f>项目总控台账!H96</f>
        <v>郑士旺</v>
      </c>
      <c r="G97" s="25">
        <f>项目总控台账!J96</f>
        <v>46353</v>
      </c>
      <c r="H97" s="8">
        <f>IF(G97="","",G97-项目驾驶舱!$B$3)</f>
        <v>77</v>
      </c>
      <c r="I97" s="8" t="str">
        <f>项目总控台账!AC96</f>
        <v>正常</v>
      </c>
      <c r="J97" s="8" t="str">
        <f>项目总控台账!AD96</f>
        <v>69</v>
      </c>
      <c r="K97" s="8" t="str">
        <f t="shared" si="1"/>
        <v/>
      </c>
      <c r="L97" s="11"/>
      <c r="M97" s="10"/>
    </row>
    <row r="98" spans="1:13">
      <c r="A98" s="8" t="str">
        <f>IF(B98="","",IF(AND(E98&lt;&gt;"已完成",ISNUMBER(G98),G98&lt;=项目驾驶舱!$B$3+14),"是","否"))</f>
        <v>否</v>
      </c>
      <c r="B98" s="8" t="str">
        <f>项目总控台账!A97</f>
        <v>T094</v>
      </c>
      <c r="C98" s="8" t="str">
        <f>IF(AND(项目总控台账!E97&lt;&gt;"",项目总控台账!E97&lt;&gt;"/"),项目总控台账!E97,IF(AND(项目总控台账!D97&lt;&gt;"",项目总控台账!D97&lt;&gt;"/"),项目总控台账!D97,项目总控台账!C97))</f>
        <v>数据展示</v>
      </c>
      <c r="D98" s="8" t="str">
        <f>项目总控台账!F97</f>
        <v>第二批次</v>
      </c>
      <c r="E98" s="8" t="str">
        <f>项目总控台账!G97</f>
        <v>未开始</v>
      </c>
      <c r="F98" s="8" t="str">
        <f>项目总控台账!H97</f>
        <v>郑士旺</v>
      </c>
      <c r="G98" s="25">
        <f>项目总控台账!J97</f>
        <v>46353</v>
      </c>
      <c r="H98" s="8">
        <f>IF(G98="","",G98-项目驾驶舱!$B$3)</f>
        <v>77</v>
      </c>
      <c r="I98" s="8" t="str">
        <f>项目总控台账!AC97</f>
        <v>正常</v>
      </c>
      <c r="J98" s="8" t="str">
        <f>项目总控台账!AD97</f>
        <v>69</v>
      </c>
      <c r="K98" s="8" t="str">
        <f t="shared" si="1"/>
        <v/>
      </c>
      <c r="L98" s="11"/>
      <c r="M98" s="10"/>
    </row>
    <row r="99" spans="1:13">
      <c r="A99" s="8" t="str">
        <f>IF(B99="","",IF(AND(E99&lt;&gt;"已完成",ISNUMBER(G99),G99&lt;=项目驾驶舱!$B$3+14),"是","否"))</f>
        <v>是</v>
      </c>
      <c r="B99" s="8" t="str">
        <f>项目总控台账!A98</f>
        <v>T095</v>
      </c>
      <c r="C99" s="8" t="str">
        <f>IF(AND(项目总控台账!E98&lt;&gt;"",项目总控台账!E98&lt;&gt;"/"),项目总控台账!E98,IF(AND(项目总控台账!D98&lt;&gt;"",项目总控台账!D98&lt;&gt;"/"),项目总控台账!D98,项目总控台账!C98))</f>
        <v>自动生成堆存费</v>
      </c>
      <c r="D99" s="8" t="str">
        <f>项目总控台账!F98</f>
        <v>第一批次</v>
      </c>
      <c r="E99" s="8" t="str">
        <f>项目总控台账!G98</f>
        <v>进行中</v>
      </c>
      <c r="F99" s="8" t="str">
        <f>项目总控台账!H98</f>
        <v>郑士旺</v>
      </c>
      <c r="G99" s="25">
        <f>项目总控台账!J98</f>
        <v>46273</v>
      </c>
      <c r="H99" s="8">
        <f>IF(G99="","",G99-项目驾驶舱!$B$3)</f>
        <v>-3</v>
      </c>
      <c r="I99" s="8" t="str">
        <f>项目总控台账!AC98</f>
        <v>已延期</v>
      </c>
      <c r="J99" s="8" t="str">
        <f>项目总控台账!AD98</f>
        <v>69</v>
      </c>
      <c r="K99" s="8" t="str">
        <f t="shared" si="1"/>
        <v>立即确认延期原因、影响及补救计划</v>
      </c>
      <c r="L99" s="11"/>
      <c r="M99" s="10"/>
    </row>
    <row r="100" spans="1:13">
      <c r="A100" s="8" t="str">
        <f>IF(B100="","",IF(AND(E100&lt;&gt;"已完成",ISNUMBER(G100),G100&lt;=项目驾驶舱!$B$3+14),"是","否"))</f>
        <v>否</v>
      </c>
      <c r="B100" s="8" t="str">
        <f>项目总控台账!A99</f>
        <v>T096</v>
      </c>
      <c r="C100" s="8" t="str">
        <f>IF(AND(项目总控台账!E99&lt;&gt;"",项目总控台账!E99&lt;&gt;"/"),项目总控台账!E99,IF(AND(项目总控台账!D99&lt;&gt;"",项目总控台账!D99&lt;&gt;"/"),项目总控台账!D99,项目总控台账!C99))</f>
        <v>自动生成装船港杂费</v>
      </c>
      <c r="D100" s="8" t="str">
        <f>项目总控台账!F99</f>
        <v>第一批次</v>
      </c>
      <c r="E100" s="8" t="str">
        <f>项目总控台账!G99</f>
        <v>已完成</v>
      </c>
      <c r="F100" s="8" t="str">
        <f>项目总控台账!H99</f>
        <v>郑士旺</v>
      </c>
      <c r="G100" s="25">
        <f>项目总控台账!J99</f>
        <v>46261</v>
      </c>
      <c r="H100" s="8">
        <f>IF(G100="","",G100-项目驾驶舱!$B$3)</f>
        <v>-15</v>
      </c>
      <c r="I100" s="8" t="str">
        <f>项目总控台账!AC99</f>
        <v>正常</v>
      </c>
      <c r="J100" s="8" t="str">
        <f>项目总控台账!AD99</f>
        <v>69</v>
      </c>
      <c r="K100" s="8" t="str">
        <f t="shared" si="1"/>
        <v/>
      </c>
      <c r="L100" s="11"/>
      <c r="M100" s="10"/>
    </row>
    <row r="101" spans="1:13">
      <c r="A101" s="8" t="str">
        <f>IF(B101="","",IF(AND(E101&lt;&gt;"已完成",ISNUMBER(G101),G101&lt;=项目驾驶舱!$B$3+14),"是","否"))</f>
        <v>否</v>
      </c>
      <c r="B101" s="8" t="str">
        <f>项目总控台账!A100</f>
        <v>T097</v>
      </c>
      <c r="C101" s="8" t="str">
        <f>IF(AND(项目总控台账!E100&lt;&gt;"",项目总控台账!E100&lt;&gt;"/"),项目总控台账!E100,IF(AND(项目总控台账!D100&lt;&gt;"",项目总控台账!D100&lt;&gt;"/"),项目总控台账!D100,项目总控台账!C100))</f>
        <v>自动生成租赁费</v>
      </c>
      <c r="D101" s="8" t="str">
        <f>项目总控台账!F100</f>
        <v>第一批次</v>
      </c>
      <c r="E101" s="8" t="str">
        <f>项目总控台账!G100</f>
        <v>已完成</v>
      </c>
      <c r="F101" s="8" t="str">
        <f>项目总控台账!H100</f>
        <v>郑士旺</v>
      </c>
      <c r="G101" s="25">
        <f>项目总控台账!J100</f>
        <v>46234</v>
      </c>
      <c r="H101" s="8">
        <f>IF(G101="","",G101-项目驾驶舱!$B$3)</f>
        <v>-42</v>
      </c>
      <c r="I101" s="8" t="str">
        <f>项目总控台账!AC100</f>
        <v>正常</v>
      </c>
      <c r="J101" s="8" t="str">
        <f>项目总控台账!AD100</f>
        <v>69</v>
      </c>
      <c r="K101" s="8" t="str">
        <f t="shared" si="1"/>
        <v/>
      </c>
      <c r="L101" s="11"/>
      <c r="M101" s="10"/>
    </row>
    <row r="102" spans="1:13">
      <c r="A102" s="8" t="str">
        <f>IF(B102="","",IF(AND(E102&lt;&gt;"已完成",ISNUMBER(G102),G102&lt;=项目驾驶舱!$B$3+14),"是","否"))</f>
        <v>否</v>
      </c>
      <c r="B102" s="8" t="str">
        <f>项目总控台账!A101</f>
        <v>T098</v>
      </c>
      <c r="C102" s="8" t="str">
        <f>IF(AND(项目总控台账!E101&lt;&gt;"",项目总控台账!E101&lt;&gt;"/"),项目总控台账!E101,IF(AND(项目总控台账!D101&lt;&gt;"",项目总控台账!D101&lt;&gt;"/"),项目总控台账!D101,项目总控台账!C101))</f>
        <v>优化装卸费新增</v>
      </c>
      <c r="D102" s="8" t="str">
        <f>项目总控台账!F101</f>
        <v>第一批次</v>
      </c>
      <c r="E102" s="8" t="str">
        <f>项目总控台账!G101</f>
        <v>已完成</v>
      </c>
      <c r="F102" s="8" t="str">
        <f>项目总控台账!H101</f>
        <v>郑士旺</v>
      </c>
      <c r="G102" s="25">
        <f>项目总控台账!J101</f>
        <v>46224</v>
      </c>
      <c r="H102" s="8">
        <f>IF(G102="","",G102-项目驾驶舱!$B$3)</f>
        <v>-52</v>
      </c>
      <c r="I102" s="8" t="str">
        <f>项目总控台账!AC101</f>
        <v>正常</v>
      </c>
      <c r="J102" s="8" t="str">
        <f>项目总控台账!AD101</f>
        <v>69</v>
      </c>
      <c r="K102" s="8" t="str">
        <f t="shared" si="1"/>
        <v/>
      </c>
      <c r="L102" s="11"/>
      <c r="M102" s="10"/>
    </row>
    <row r="103" spans="1:13">
      <c r="A103" s="8" t="str">
        <f>IF(B103="","",IF(AND(E103&lt;&gt;"已完成",ISNUMBER(G103),G103&lt;=项目驾驶舱!$B$3+14),"是","否"))</f>
        <v>否</v>
      </c>
      <c r="B103" s="8" t="str">
        <f>项目总控台账!A102</f>
        <v>T099</v>
      </c>
      <c r="C103" s="8" t="str">
        <f>IF(AND(项目总控台账!E102&lt;&gt;"",项目总控台账!E102&lt;&gt;"/"),项目总控台账!E102,IF(AND(项目总控台账!D102&lt;&gt;"",项目总控台账!D102&lt;&gt;"/"),项目总控台账!D102,项目总控台账!C102))</f>
        <v>优化装卸费编辑</v>
      </c>
      <c r="D103" s="8" t="str">
        <f>项目总控台账!F102</f>
        <v>第一批次</v>
      </c>
      <c r="E103" s="8" t="str">
        <f>项目总控台账!G102</f>
        <v>已完成</v>
      </c>
      <c r="F103" s="8" t="str">
        <f>项目总控台账!H102</f>
        <v>郑士旺</v>
      </c>
      <c r="G103" s="25">
        <f>项目总控台账!J102</f>
        <v>46224</v>
      </c>
      <c r="H103" s="8">
        <f>IF(G103="","",G103-项目驾驶舱!$B$3)</f>
        <v>-52</v>
      </c>
      <c r="I103" s="8" t="str">
        <f>项目总控台账!AC102</f>
        <v>正常</v>
      </c>
      <c r="J103" s="8" t="str">
        <f>项目总控台账!AD102</f>
        <v>69</v>
      </c>
      <c r="K103" s="8" t="str">
        <f t="shared" si="1"/>
        <v/>
      </c>
      <c r="L103" s="11"/>
      <c r="M103" s="10"/>
    </row>
    <row r="104" spans="1:13">
      <c r="A104" s="8" t="str">
        <f>IF(B104="","",IF(AND(E104&lt;&gt;"已完成",ISNUMBER(G104),G104&lt;=项目驾驶舱!$B$3+14),"是","否"))</f>
        <v>否</v>
      </c>
      <c r="B104" s="8" t="str">
        <f>项目总控台账!A103</f>
        <v>T100</v>
      </c>
      <c r="C104" s="8" t="str">
        <f>IF(AND(项目总控台账!E103&lt;&gt;"",项目总控台账!E103&lt;&gt;"/"),项目总控台账!E103,IF(AND(项目总控台账!D103&lt;&gt;"",项目总控台账!D103&lt;&gt;"/"),项目总控台账!D103,项目总控台账!C103))</f>
        <v>创建行业资讯数据</v>
      </c>
      <c r="D104" s="8" t="str">
        <f>项目总控台账!F103</f>
        <v>第一批次</v>
      </c>
      <c r="E104" s="8" t="str">
        <f>项目总控台账!G103</f>
        <v>已完成</v>
      </c>
      <c r="F104" s="8" t="str">
        <f>项目总控台账!H103</f>
        <v>郑士旺</v>
      </c>
      <c r="G104" s="25">
        <f>项目总控台账!J103</f>
        <v>46224</v>
      </c>
      <c r="H104" s="8">
        <f>IF(G104="","",G104-项目驾驶舱!$B$3)</f>
        <v>-52</v>
      </c>
      <c r="I104" s="8" t="str">
        <f>项目总控台账!AC103</f>
        <v>正常</v>
      </c>
      <c r="J104" s="8" t="str">
        <f>项目总控台账!AD103</f>
        <v>69</v>
      </c>
      <c r="K104" s="8" t="str">
        <f t="shared" si="1"/>
        <v/>
      </c>
      <c r="L104" s="11"/>
      <c r="M104" s="10"/>
    </row>
    <row r="105" spans="1:13">
      <c r="A105" s="8" t="str">
        <f>IF(B105="","",IF(AND(E105&lt;&gt;"已完成",ISNUMBER(G105),G105&lt;=项目驾驶舱!$B$3+14),"是","否"))</f>
        <v>否</v>
      </c>
      <c r="B105" s="8" t="str">
        <f>项目总控台账!A104</f>
        <v>T101</v>
      </c>
      <c r="C105" s="8" t="str">
        <f>IF(AND(项目总控台账!E104&lt;&gt;"",项目总控台账!E104&lt;&gt;"/"),项目总控台账!E104,IF(AND(项目总控台账!D104&lt;&gt;"",项目总控台账!D104&lt;&gt;"/"),项目总控台账!D104,项目总控台账!C104))</f>
        <v>修改行业资讯数据</v>
      </c>
      <c r="D105" s="8" t="str">
        <f>项目总控台账!F104</f>
        <v>第一批次</v>
      </c>
      <c r="E105" s="8" t="str">
        <f>项目总控台账!G104</f>
        <v>已完成</v>
      </c>
      <c r="F105" s="8" t="str">
        <f>项目总控台账!H104</f>
        <v>郑士旺</v>
      </c>
      <c r="G105" s="25">
        <f>项目总控台账!J104</f>
        <v>46224</v>
      </c>
      <c r="H105" s="8">
        <f>IF(G105="","",G105-项目驾驶舱!$B$3)</f>
        <v>-52</v>
      </c>
      <c r="I105" s="8" t="str">
        <f>项目总控台账!AC104</f>
        <v>正常</v>
      </c>
      <c r="J105" s="8" t="str">
        <f>项目总控台账!AD104</f>
        <v>69</v>
      </c>
      <c r="K105" s="8" t="str">
        <f t="shared" si="1"/>
        <v/>
      </c>
      <c r="L105" s="11"/>
      <c r="M105" s="10"/>
    </row>
    <row r="106" spans="1:13">
      <c r="A106" s="8" t="str">
        <f>IF(B106="","",IF(AND(E106&lt;&gt;"已完成",ISNUMBER(G106),G106&lt;=项目驾驶舱!$B$3+14),"是","否"))</f>
        <v>否</v>
      </c>
      <c r="B106" s="8" t="str">
        <f>项目总控台账!A105</f>
        <v>T102</v>
      </c>
      <c r="C106" s="8" t="str">
        <f>IF(AND(项目总控台账!E105&lt;&gt;"",项目总控台账!E105&lt;&gt;"/"),项目总控台账!E105,IF(AND(项目总控台账!D105&lt;&gt;"",项目总控台账!D105&lt;&gt;"/"),项目总控台账!D105,项目总控台账!C105))</f>
        <v>删除行业资讯数据</v>
      </c>
      <c r="D106" s="8" t="str">
        <f>项目总控台账!F105</f>
        <v>第一批次</v>
      </c>
      <c r="E106" s="8" t="str">
        <f>项目总控台账!G105</f>
        <v>已完成</v>
      </c>
      <c r="F106" s="8" t="str">
        <f>项目总控台账!H105</f>
        <v>郑士旺</v>
      </c>
      <c r="G106" s="25">
        <f>项目总控台账!J105</f>
        <v>46224</v>
      </c>
      <c r="H106" s="8">
        <f>IF(G106="","",G106-项目驾驶舱!$B$3)</f>
        <v>-52</v>
      </c>
      <c r="I106" s="8" t="str">
        <f>项目总控台账!AC105</f>
        <v>正常</v>
      </c>
      <c r="J106" s="8" t="str">
        <f>项目总控台账!AD105</f>
        <v>69</v>
      </c>
      <c r="K106" s="8" t="str">
        <f t="shared" si="1"/>
        <v/>
      </c>
      <c r="L106" s="11"/>
      <c r="M106" s="10"/>
    </row>
    <row r="107" spans="1:13">
      <c r="A107" s="8" t="str">
        <f>IF(B107="","",IF(AND(E107&lt;&gt;"已完成",ISNUMBER(G107),G107&lt;=项目驾驶舱!$B$3+14),"是","否"))</f>
        <v>否</v>
      </c>
      <c r="B107" s="8" t="str">
        <f>项目总控台账!A106</f>
        <v>T103</v>
      </c>
      <c r="C107" s="8" t="str">
        <f>IF(AND(项目总控台账!E106&lt;&gt;"",项目总控台账!E106&lt;&gt;"/"),项目总控台账!E106,IF(AND(项目总控台账!D106&lt;&gt;"",项目总控台账!D106&lt;&gt;"/"),项目总控台账!D106,项目总控台账!C106))</f>
        <v>展示行业资讯数据</v>
      </c>
      <c r="D107" s="8" t="str">
        <f>项目总控台账!F106</f>
        <v>第一批次</v>
      </c>
      <c r="E107" s="8" t="str">
        <f>项目总控台账!G106</f>
        <v>已完成</v>
      </c>
      <c r="F107" s="8" t="str">
        <f>项目总控台账!H106</f>
        <v>郑士旺</v>
      </c>
      <c r="G107" s="25">
        <f>项目总控台账!J106</f>
        <v>46224</v>
      </c>
      <c r="H107" s="8">
        <f>IF(G107="","",G107-项目驾驶舱!$B$3)</f>
        <v>-52</v>
      </c>
      <c r="I107" s="8" t="str">
        <f>项目总控台账!AC106</f>
        <v>正常</v>
      </c>
      <c r="J107" s="8" t="str">
        <f>项目总控台账!AD106</f>
        <v>69</v>
      </c>
      <c r="K107" s="8" t="str">
        <f t="shared" si="1"/>
        <v/>
      </c>
      <c r="L107" s="11"/>
      <c r="M107" s="10"/>
    </row>
    <row r="108" spans="1:13">
      <c r="A108" s="8" t="str">
        <f>IF(B108="","",IF(AND(E108&lt;&gt;"已完成",ISNUMBER(G108),G108&lt;=项目驾驶舱!$B$3+14),"是","否"))</f>
        <v>否</v>
      </c>
      <c r="B108" s="8" t="str">
        <f>项目总控台账!A107</f>
        <v>T104</v>
      </c>
      <c r="C108" s="8" t="str">
        <f>IF(AND(项目总控台账!E107&lt;&gt;"",项目总控台账!E107&lt;&gt;"/"),项目总控台账!E107,IF(AND(项目总控台账!D107&lt;&gt;"",项目总控台账!D107&lt;&gt;"/"),项目总控台账!D107,项目总控台账!C107))</f>
        <v>吞吐量统计（曹妃甸）</v>
      </c>
      <c r="D108" s="8" t="str">
        <f>项目总控台账!F107</f>
        <v>第一批次</v>
      </c>
      <c r="E108" s="8" t="str">
        <f>项目总控台账!G107</f>
        <v>已完成</v>
      </c>
      <c r="F108" s="8" t="str">
        <f>项目总控台账!H107</f>
        <v>郑士旺</v>
      </c>
      <c r="G108" s="25">
        <f>项目总控台账!J107</f>
        <v>46269</v>
      </c>
      <c r="H108" s="8">
        <f>IF(G108="","",G108-项目驾驶舱!$B$3)</f>
        <v>-7</v>
      </c>
      <c r="I108" s="8" t="str">
        <f>项目总控台账!AC107</f>
        <v>正常</v>
      </c>
      <c r="J108" s="8" t="str">
        <f>项目总控台账!AD107</f>
        <v>69</v>
      </c>
      <c r="K108" s="8" t="str">
        <f t="shared" si="1"/>
        <v/>
      </c>
      <c r="L108" s="11"/>
      <c r="M108" s="10"/>
    </row>
    <row r="109" spans="1:13">
      <c r="A109" s="8" t="str">
        <f>IF(B109="","",IF(AND(E109&lt;&gt;"已完成",ISNUMBER(G109),G109&lt;=项目驾驶舱!$B$3+14),"是","否"))</f>
        <v>否</v>
      </c>
      <c r="B109" s="8" t="str">
        <f>项目总控台账!A108</f>
        <v>T105</v>
      </c>
      <c r="C109" s="8" t="str">
        <f>IF(AND(项目总控台账!E108&lt;&gt;"",项目总控台账!E108&lt;&gt;"/"),项目总控台账!E108,IF(AND(项目总控台账!D108&lt;&gt;"",项目总控台账!D108&lt;&gt;"/"),项目总控台账!D108,项目总控台账!C108))</f>
        <v>泊位占用率分析（曹妃甸）</v>
      </c>
      <c r="D109" s="8" t="str">
        <f>项目总控台账!F108</f>
        <v>第一批次</v>
      </c>
      <c r="E109" s="8" t="str">
        <f>项目总控台账!G108</f>
        <v>已完成</v>
      </c>
      <c r="F109" s="8" t="str">
        <f>项目总控台账!H108</f>
        <v>郑士旺</v>
      </c>
      <c r="G109" s="25">
        <f>项目总控台账!J108</f>
        <v>46269</v>
      </c>
      <c r="H109" s="8">
        <f>IF(G109="","",G109-项目驾驶舱!$B$3)</f>
        <v>-7</v>
      </c>
      <c r="I109" s="8" t="str">
        <f>项目总控台账!AC108</f>
        <v>正常</v>
      </c>
      <c r="J109" s="8" t="str">
        <f>项目总控台账!AD108</f>
        <v>69</v>
      </c>
      <c r="K109" s="8" t="str">
        <f t="shared" si="1"/>
        <v/>
      </c>
      <c r="L109" s="11"/>
      <c r="M109" s="10"/>
    </row>
    <row r="110" spans="1:13">
      <c r="A110" s="8" t="str">
        <f>IF(B110="","",IF(AND(E110&lt;&gt;"已完成",ISNUMBER(G110),G110&lt;=项目驾驶舱!$B$3+14),"是","否"))</f>
        <v>否</v>
      </c>
      <c r="B110" s="8" t="str">
        <f>项目总控台账!A109</f>
        <v>T106</v>
      </c>
      <c r="C110" s="8" t="str">
        <f>IF(AND(项目总控台账!E109&lt;&gt;"",项目总控台账!E109&lt;&gt;"/"),项目总控台账!E109,IF(AND(项目总控台账!D109&lt;&gt;"",项目总控台账!D109&lt;&gt;"/"),项目总控台账!D109,项目总控台账!C109))</f>
        <v>堆存库存统计（曹妃甸）</v>
      </c>
      <c r="D110" s="8" t="str">
        <f>项目总控台账!F109</f>
        <v>第一批次</v>
      </c>
      <c r="E110" s="8" t="str">
        <f>项目总控台账!G109</f>
        <v>已完成</v>
      </c>
      <c r="F110" s="8" t="str">
        <f>项目总控台账!H109</f>
        <v>郑士旺</v>
      </c>
      <c r="G110" s="25">
        <f>项目总控台账!J109</f>
        <v>46269</v>
      </c>
      <c r="H110" s="8">
        <f>IF(G110="","",G110-项目驾驶舱!$B$3)</f>
        <v>-7</v>
      </c>
      <c r="I110" s="8" t="str">
        <f>项目总控台账!AC109</f>
        <v>正常</v>
      </c>
      <c r="J110" s="8" t="str">
        <f>项目总控台账!AD109</f>
        <v>69</v>
      </c>
      <c r="K110" s="8" t="str">
        <f t="shared" si="1"/>
        <v/>
      </c>
      <c r="L110" s="11"/>
      <c r="M110" s="10"/>
    </row>
    <row r="111" spans="1:13">
      <c r="A111" s="8" t="str">
        <f>IF(B111="","",IF(AND(E111&lt;&gt;"已完成",ISNUMBER(G111),G111&lt;=项目驾驶舱!$B$3+14),"是","否"))</f>
        <v>否</v>
      </c>
      <c r="B111" s="8" t="str">
        <f>项目总控台账!A110</f>
        <v>T107</v>
      </c>
      <c r="C111" s="8" t="str">
        <f>IF(AND(项目总控台账!E110&lt;&gt;"",项目总控台账!E110&lt;&gt;"/"),项目总控台账!E110,IF(AND(项目总控台账!D110&lt;&gt;"",项目总控台账!D110&lt;&gt;"/"),项目总控台账!D110,项目总控台账!C110))</f>
        <v>分货主实时统计表（曹妃甸）</v>
      </c>
      <c r="D111" s="8" t="str">
        <f>项目总控台账!F110</f>
        <v>第一批次</v>
      </c>
      <c r="E111" s="8" t="str">
        <f>项目总控台账!G110</f>
        <v>已完成</v>
      </c>
      <c r="F111" s="8" t="str">
        <f>项目总控台账!H110</f>
        <v>郑士旺</v>
      </c>
      <c r="G111" s="25">
        <f>项目总控台账!J110</f>
        <v>46269</v>
      </c>
      <c r="H111" s="8">
        <f>IF(G111="","",G111-项目驾驶舱!$B$3)</f>
        <v>-7</v>
      </c>
      <c r="I111" s="8" t="str">
        <f>项目总控台账!AC110</f>
        <v>正常</v>
      </c>
      <c r="J111" s="8" t="str">
        <f>项目总控台账!AD110</f>
        <v>69</v>
      </c>
      <c r="K111" s="8" t="str">
        <f t="shared" si="1"/>
        <v/>
      </c>
      <c r="L111" s="11"/>
      <c r="M111" s="10"/>
    </row>
    <row r="112" spans="1:13">
      <c r="A112" s="8" t="str">
        <f>IF(B112="","",IF(AND(E112&lt;&gt;"已完成",ISNUMBER(G112),G112&lt;=项目驾驶舱!$B$3+14),"是","否"))</f>
        <v>否</v>
      </c>
      <c r="B112" s="8" t="str">
        <f>项目总控台账!A111</f>
        <v>T108</v>
      </c>
      <c r="C112" s="8" t="str">
        <f>IF(AND(项目总控台账!E111&lt;&gt;"",项目总控台账!E111&lt;&gt;"/"),项目总控台账!E111,IF(AND(项目总控台账!D111&lt;&gt;"",项目总控台账!D111&lt;&gt;"/"),项目总控台账!D111,项目总控台账!C111))</f>
        <v>综合装船效率分析（曹妃甸）</v>
      </c>
      <c r="D112" s="8" t="str">
        <f>项目总控台账!F111</f>
        <v>第一批次</v>
      </c>
      <c r="E112" s="8" t="str">
        <f>项目总控台账!G111</f>
        <v>已完成</v>
      </c>
      <c r="F112" s="8" t="str">
        <f>项目总控台账!H111</f>
        <v>郑士旺</v>
      </c>
      <c r="G112" s="25">
        <f>项目总控台账!J111</f>
        <v>46269</v>
      </c>
      <c r="H112" s="8">
        <f>IF(G112="","",G112-项目驾驶舱!$B$3)</f>
        <v>-7</v>
      </c>
      <c r="I112" s="8" t="str">
        <f>项目总控台账!AC111</f>
        <v>正常</v>
      </c>
      <c r="J112" s="8" t="str">
        <f>项目总控台账!AD111</f>
        <v>69</v>
      </c>
      <c r="K112" s="8" t="str">
        <f t="shared" si="1"/>
        <v/>
      </c>
      <c r="L112" s="11"/>
      <c r="M112" s="10"/>
    </row>
    <row r="113" spans="1:13">
      <c r="A113" s="8" t="str">
        <f>IF(B113="","",IF(AND(E113&lt;&gt;"已完成",ISNUMBER(G113),G113&lt;=项目驾驶舱!$B$3+14),"是","否"))</f>
        <v>否</v>
      </c>
      <c r="B113" s="8" t="str">
        <f>项目总控台账!A112</f>
        <v>T109</v>
      </c>
      <c r="C113" s="8" t="str">
        <f>IF(AND(项目总控台账!E112&lt;&gt;"",项目总控台账!E112&lt;&gt;"/"),项目总控台账!E112,IF(AND(项目总控台账!D112&lt;&gt;"",项目总控台账!D112&lt;&gt;"/"),项目总控台账!D112,项目总控台账!C112))</f>
        <v>综合卸车效率分析（曹妃甸）</v>
      </c>
      <c r="D113" s="8" t="str">
        <f>项目总控台账!F112</f>
        <v>第一批次</v>
      </c>
      <c r="E113" s="8" t="str">
        <f>项目总控台账!G112</f>
        <v>已完成</v>
      </c>
      <c r="F113" s="8" t="str">
        <f>项目总控台账!H112</f>
        <v>郑士旺</v>
      </c>
      <c r="G113" s="25">
        <f>项目总控台账!J112</f>
        <v>46269</v>
      </c>
      <c r="H113" s="8">
        <f>IF(G113="","",G113-项目驾驶舱!$B$3)</f>
        <v>-7</v>
      </c>
      <c r="I113" s="8" t="str">
        <f>项目总控台账!AC112</f>
        <v>正常</v>
      </c>
      <c r="J113" s="8" t="str">
        <f>项目总控台账!AD112</f>
        <v>69</v>
      </c>
      <c r="K113" s="8" t="str">
        <f t="shared" si="1"/>
        <v/>
      </c>
      <c r="L113" s="11"/>
      <c r="M113" s="10"/>
    </row>
    <row r="114" spans="1:13">
      <c r="A114" s="8" t="str">
        <f>IF(B114="","",IF(AND(E114&lt;&gt;"已完成",ISNUMBER(G114),G114&lt;=项目驾驶舱!$B$3+14),"是","否"))</f>
        <v>否</v>
      </c>
      <c r="B114" s="8" t="str">
        <f>项目总控台账!A113</f>
        <v>T110</v>
      </c>
      <c r="C114" s="8" t="str">
        <f>IF(AND(项目总控台账!E113&lt;&gt;"",项目总控台账!E113&lt;&gt;"/"),项目总控台账!E113,IF(AND(项目总控台账!D113&lt;&gt;"",项目总控台账!D113&lt;&gt;"/"),项目总控台账!D113,项目总控台账!C113))</f>
        <v>综合卸船效率分析（曹妃甸）</v>
      </c>
      <c r="D114" s="8" t="str">
        <f>项目总控台账!F113</f>
        <v>第二批次</v>
      </c>
      <c r="E114" s="8" t="str">
        <f>项目总控台账!G113</f>
        <v>已完成</v>
      </c>
      <c r="F114" s="8" t="str">
        <f>项目总控台账!H113</f>
        <v>郑士旺</v>
      </c>
      <c r="G114" s="25">
        <f>项目总控台账!J113</f>
        <v>46269</v>
      </c>
      <c r="H114" s="8">
        <f>IF(G114="","",G114-项目驾驶舱!$B$3)</f>
        <v>-7</v>
      </c>
      <c r="I114" s="8" t="str">
        <f>项目总控台账!AC113</f>
        <v>正常</v>
      </c>
      <c r="J114" s="8" t="str">
        <f>项目总控台账!AD113</f>
        <v>69</v>
      </c>
      <c r="K114" s="8" t="str">
        <f t="shared" si="1"/>
        <v/>
      </c>
      <c r="L114" s="11"/>
      <c r="M114" s="10"/>
    </row>
    <row r="115" spans="1:13">
      <c r="A115" s="8" t="str">
        <f>IF(B115="","",IF(AND(E115&lt;&gt;"已完成",ISNUMBER(G115),G115&lt;=项目驾驶舱!$B$3+14),"是","否"))</f>
        <v>否</v>
      </c>
      <c r="B115" s="8" t="str">
        <f>项目总控台账!A114</f>
        <v>T111</v>
      </c>
      <c r="C115" s="8" t="str">
        <f>IF(AND(项目总控台账!E114&lt;&gt;"",项目总控台账!E114&lt;&gt;"/"),项目总控台账!E114,IF(AND(项目总控台账!D114&lt;&gt;"",项目总控台账!D114&lt;&gt;"/"),项目总控台账!D114,项目总控台账!C114))</f>
        <v>吞吐量统计（太仓）</v>
      </c>
      <c r="D115" s="8" t="str">
        <f>项目总控台账!F114</f>
        <v>/</v>
      </c>
      <c r="E115" s="8" t="str">
        <f>项目总控台账!G114</f>
        <v>暂停</v>
      </c>
      <c r="F115" s="8" t="str">
        <f>项目总控台账!H114</f>
        <v>/</v>
      </c>
      <c r="G115" s="25" t="str">
        <f>项目总控台账!J114</f>
        <v/>
      </c>
      <c r="H115" s="8" t="str">
        <f>IF(G115="","",G115-项目驾驶舱!$B$3)</f>
        <v/>
      </c>
      <c r="I115" s="8" t="str">
        <f>项目总控台账!AC114</f>
        <v>暂停</v>
      </c>
      <c r="J115" s="8" t="str">
        <f>项目总控台账!AD114</f>
        <v>69</v>
      </c>
      <c r="K115" s="8" t="str">
        <f t="shared" si="1"/>
        <v/>
      </c>
      <c r="L115" s="11"/>
      <c r="M115" s="10"/>
    </row>
    <row r="116" spans="1:13">
      <c r="A116" s="8" t="str">
        <f>IF(B116="","",IF(AND(E116&lt;&gt;"已完成",ISNUMBER(G116),G116&lt;=项目驾驶舱!$B$3+14),"是","否"))</f>
        <v>否</v>
      </c>
      <c r="B116" s="8" t="str">
        <f>项目总控台账!A115</f>
        <v>T112</v>
      </c>
      <c r="C116" s="8" t="str">
        <f>IF(AND(项目总控台账!E115&lt;&gt;"",项目总控台账!E115&lt;&gt;"/"),项目总控台账!E115,IF(AND(项目总控台账!D115&lt;&gt;"",项目总控台账!D115&lt;&gt;"/"),项目总控台账!D115,项目总控台账!C115))</f>
        <v>泊位占用率分析（太仓）</v>
      </c>
      <c r="D116" s="8" t="str">
        <f>项目总控台账!F115</f>
        <v>/</v>
      </c>
      <c r="E116" s="8" t="str">
        <f>项目总控台账!G115</f>
        <v>暂停</v>
      </c>
      <c r="F116" s="8" t="str">
        <f>项目总控台账!H115</f>
        <v>/</v>
      </c>
      <c r="G116" s="25" t="str">
        <f>项目总控台账!J115</f>
        <v/>
      </c>
      <c r="H116" s="8" t="str">
        <f>IF(G116="","",G116-项目驾驶舱!$B$3)</f>
        <v/>
      </c>
      <c r="I116" s="8" t="str">
        <f>项目总控台账!AC115</f>
        <v>暂停</v>
      </c>
      <c r="J116" s="8" t="str">
        <f>项目总控台账!AD115</f>
        <v>69</v>
      </c>
      <c r="K116" s="8" t="str">
        <f t="shared" si="1"/>
        <v/>
      </c>
      <c r="L116" s="11"/>
      <c r="M116" s="10"/>
    </row>
    <row r="117" spans="1:13">
      <c r="A117" s="8" t="str">
        <f>IF(B117="","",IF(AND(E117&lt;&gt;"已完成",ISNUMBER(G117),G117&lt;=项目驾驶舱!$B$3+14),"是","否"))</f>
        <v>否</v>
      </c>
      <c r="B117" s="8" t="str">
        <f>项目总控台账!A116</f>
        <v>T113</v>
      </c>
      <c r="C117" s="8" t="str">
        <f>IF(AND(项目总控台账!E116&lt;&gt;"",项目总控台账!E116&lt;&gt;"/"),项目总控台账!E116,IF(AND(项目总控台账!D116&lt;&gt;"",项目总控台账!D116&lt;&gt;"/"),项目总控台账!D116,项目总控台账!C116))</f>
        <v>堆存库存统计（太仓）</v>
      </c>
      <c r="D117" s="8" t="str">
        <f>项目总控台账!F116</f>
        <v>/</v>
      </c>
      <c r="E117" s="8" t="str">
        <f>项目总控台账!G116</f>
        <v>暂停</v>
      </c>
      <c r="F117" s="8" t="str">
        <f>项目总控台账!H116</f>
        <v>/</v>
      </c>
      <c r="G117" s="25" t="str">
        <f>项目总控台账!J116</f>
        <v/>
      </c>
      <c r="H117" s="8" t="str">
        <f>IF(G117="","",G117-项目驾驶舱!$B$3)</f>
        <v/>
      </c>
      <c r="I117" s="8" t="str">
        <f>项目总控台账!AC116</f>
        <v>暂停</v>
      </c>
      <c r="J117" s="8" t="str">
        <f>项目总控台账!AD116</f>
        <v>69</v>
      </c>
      <c r="K117" s="8" t="str">
        <f t="shared" si="1"/>
        <v/>
      </c>
      <c r="L117" s="11"/>
      <c r="M117" s="10"/>
    </row>
    <row r="118" spans="1:13">
      <c r="A118" s="8" t="str">
        <f>IF(B118="","",IF(AND(E118&lt;&gt;"已完成",ISNUMBER(G118),G118&lt;=项目驾驶舱!$B$3+14),"是","否"))</f>
        <v>否</v>
      </c>
      <c r="B118" s="8" t="str">
        <f>项目总控台账!A117</f>
        <v>T114</v>
      </c>
      <c r="C118" s="8" t="str">
        <f>IF(AND(项目总控台账!E117&lt;&gt;"",项目总控台账!E117&lt;&gt;"/"),项目总控台账!E117,IF(AND(项目总控台账!D117&lt;&gt;"",项目总控台账!D117&lt;&gt;"/"),项目总控台账!D117,项目总控台账!C117))</f>
        <v>分货主实时统计表（太仓）</v>
      </c>
      <c r="D118" s="8" t="str">
        <f>项目总控台账!F117</f>
        <v>/</v>
      </c>
      <c r="E118" s="8" t="str">
        <f>项目总控台账!G117</f>
        <v>暂停</v>
      </c>
      <c r="F118" s="8" t="str">
        <f>项目总控台账!H117</f>
        <v>/</v>
      </c>
      <c r="G118" s="25" t="str">
        <f>项目总控台账!J117</f>
        <v/>
      </c>
      <c r="H118" s="8" t="str">
        <f>IF(G118="","",G118-项目驾驶舱!$B$3)</f>
        <v/>
      </c>
      <c r="I118" s="8" t="str">
        <f>项目总控台账!AC117</f>
        <v>暂停</v>
      </c>
      <c r="J118" s="8" t="str">
        <f>项目总控台账!AD117</f>
        <v>69</v>
      </c>
      <c r="K118" s="8" t="str">
        <f t="shared" si="1"/>
        <v/>
      </c>
      <c r="L118" s="11"/>
      <c r="M118" s="10"/>
    </row>
    <row r="119" spans="1:13">
      <c r="A119" s="8" t="str">
        <f>IF(B119="","",IF(AND(E119&lt;&gt;"已完成",ISNUMBER(G119),G119&lt;=项目驾驶舱!$B$3+14),"是","否"))</f>
        <v>否</v>
      </c>
      <c r="B119" s="8" t="str">
        <f>项目总控台账!A118</f>
        <v>T115</v>
      </c>
      <c r="C119" s="8" t="str">
        <f>IF(AND(项目总控台账!E118&lt;&gt;"",项目总控台账!E118&lt;&gt;"/"),项目总控台账!E118,IF(AND(项目总控台账!D118&lt;&gt;"",项目总控台账!D118&lt;&gt;"/"),项目总控台账!D118,项目总控台账!C118))</f>
        <v>综合卸船效率分析（太仓）</v>
      </c>
      <c r="D119" s="8" t="str">
        <f>项目总控台账!F118</f>
        <v>/</v>
      </c>
      <c r="E119" s="8" t="str">
        <f>项目总控台账!G118</f>
        <v>暂停</v>
      </c>
      <c r="F119" s="8" t="str">
        <f>项目总控台账!H118</f>
        <v>/</v>
      </c>
      <c r="G119" s="25" t="str">
        <f>项目总控台账!J118</f>
        <v/>
      </c>
      <c r="H119" s="8" t="str">
        <f>IF(G119="","",G119-项目驾驶舱!$B$3)</f>
        <v/>
      </c>
      <c r="I119" s="8" t="str">
        <f>项目总控台账!AC118</f>
        <v>暂停</v>
      </c>
      <c r="J119" s="8" t="str">
        <f>项目总控台账!AD118</f>
        <v>69</v>
      </c>
      <c r="K119" s="8" t="str">
        <f t="shared" si="1"/>
        <v/>
      </c>
      <c r="L119" s="11"/>
      <c r="M119" s="10"/>
    </row>
    <row r="120" spans="1:13">
      <c r="A120" s="8" t="str">
        <f>IF(B120="","",IF(AND(E120&lt;&gt;"已完成",ISNUMBER(G120),G120&lt;=项目驾驶舱!$B$3+14),"是","否"))</f>
        <v>否</v>
      </c>
      <c r="B120" s="8" t="str">
        <f>项目总控台账!A119</f>
        <v>T116</v>
      </c>
      <c r="C120" s="8" t="str">
        <f>IF(AND(项目总控台账!E119&lt;&gt;"",项目总控台账!E119&lt;&gt;"/"),项目总控台账!E119,IF(AND(项目总控台账!D119&lt;&gt;"",项目总控台账!D119&lt;&gt;"/"),项目总控台账!D119,项目总控台账!C119))</f>
        <v>堆垛雨布苫盖情况表（太仓）</v>
      </c>
      <c r="D120" s="8" t="str">
        <f>项目总控台账!F119</f>
        <v>/</v>
      </c>
      <c r="E120" s="8" t="str">
        <f>项目总控台账!G119</f>
        <v>暂停</v>
      </c>
      <c r="F120" s="8" t="str">
        <f>项目总控台账!H119</f>
        <v>/</v>
      </c>
      <c r="G120" s="25" t="str">
        <f>项目总控台账!J119</f>
        <v/>
      </c>
      <c r="H120" s="8" t="str">
        <f>IF(G120="","",G120-项目驾驶舱!$B$3)</f>
        <v/>
      </c>
      <c r="I120" s="8" t="str">
        <f>项目总控台账!AC119</f>
        <v>暂停</v>
      </c>
      <c r="J120" s="8" t="str">
        <f>项目总控台账!AD119</f>
        <v>69</v>
      </c>
      <c r="K120" s="8" t="str">
        <f t="shared" si="1"/>
        <v/>
      </c>
      <c r="L120" s="11"/>
      <c r="M120" s="10"/>
    </row>
    <row r="121" spans="1:13">
      <c r="A121" s="8" t="str">
        <f>IF(B121="","",IF(AND(E121&lt;&gt;"已完成",ISNUMBER(G121),G121&lt;=项目驾驶舱!$B$3+14),"是","否"))</f>
        <v>否</v>
      </c>
      <c r="B121" s="8" t="str">
        <f>项目总控台账!A120</f>
        <v>T117</v>
      </c>
      <c r="C121" s="8" t="str">
        <f>IF(AND(项目总控台账!E120&lt;&gt;"",项目总控台账!E120&lt;&gt;"/"),项目总控台账!E120,IF(AND(项目总控台账!D120&lt;&gt;"",项目总控台账!D120&lt;&gt;"/"),项目总控台账!D120,项目总控台账!C120))</f>
        <v>经营任务情况分析报告</v>
      </c>
      <c r="D121" s="8" t="str">
        <f>项目总控台账!F120</f>
        <v>第一批次</v>
      </c>
      <c r="E121" s="8" t="str">
        <f>项目总控台账!G120</f>
        <v>已完成</v>
      </c>
      <c r="F121" s="8" t="str">
        <f>项目总控台账!H120</f>
        <v>郑士旺</v>
      </c>
      <c r="G121" s="25">
        <f>项目总控台账!J120</f>
        <v>46269</v>
      </c>
      <c r="H121" s="8">
        <f>IF(G121="","",G121-项目驾驶舱!$B$3)</f>
        <v>-7</v>
      </c>
      <c r="I121" s="8" t="str">
        <f>项目总控台账!AC120</f>
        <v>正常</v>
      </c>
      <c r="J121" s="8" t="str">
        <f>项目总控台账!AD120</f>
        <v>69</v>
      </c>
      <c r="K121" s="8" t="str">
        <f t="shared" si="1"/>
        <v/>
      </c>
      <c r="L121" s="11"/>
      <c r="M121" s="10"/>
    </row>
    <row r="122" spans="1:13">
      <c r="A122" s="8" t="str">
        <f>IF(B122="","",IF(AND(E122&lt;&gt;"已完成",ISNUMBER(G122),G122&lt;=项目驾驶舱!$B$3+14),"是","否"))</f>
        <v>否</v>
      </c>
      <c r="B122" s="8" t="str">
        <f>项目总控台账!A121</f>
        <v>T118</v>
      </c>
      <c r="C122" s="8" t="str">
        <f>IF(AND(项目总控台账!E121&lt;&gt;"",项目总控台账!E121&lt;&gt;"/"),项目总控台账!E121,IF(AND(项目总控台账!D121&lt;&gt;"",项目总控台账!D121&lt;&gt;"/"),项目总控台账!D121,项目总控台账!C121))</f>
        <v>客户月报报告</v>
      </c>
      <c r="D122" s="8" t="str">
        <f>项目总控台账!F121</f>
        <v>第一批次</v>
      </c>
      <c r="E122" s="8" t="str">
        <f>项目总控台账!G121</f>
        <v>已完成</v>
      </c>
      <c r="F122" s="8" t="str">
        <f>项目总控台账!H121</f>
        <v>郑士旺</v>
      </c>
      <c r="G122" s="25">
        <f>项目总控台账!J121</f>
        <v>46269</v>
      </c>
      <c r="H122" s="8">
        <f>IF(G122="","",G122-项目驾驶舱!$B$3)</f>
        <v>-7</v>
      </c>
      <c r="I122" s="8" t="str">
        <f>项目总控台账!AC121</f>
        <v>正常</v>
      </c>
      <c r="J122" s="8" t="str">
        <f>项目总控台账!AD121</f>
        <v>69</v>
      </c>
      <c r="K122" s="8" t="str">
        <f t="shared" si="1"/>
        <v/>
      </c>
      <c r="L122" s="11"/>
      <c r="M122" s="10"/>
    </row>
    <row r="123" spans="1:13">
      <c r="A123" s="8" t="str">
        <f>IF(B123="","",IF(AND(E123&lt;&gt;"已完成",ISNUMBER(G123),G123&lt;=项目驾驶舱!$B$3+14),"是","否"))</f>
        <v>否</v>
      </c>
      <c r="B123" s="8" t="str">
        <f>项目总控台账!A122</f>
        <v>T119</v>
      </c>
      <c r="C123" s="8" t="str">
        <f>IF(AND(项目总控台账!E122&lt;&gt;"",项目总控台账!E122&lt;&gt;"/"),项目总控台账!E122,IF(AND(项目总控台账!D122&lt;&gt;"",项目总控台账!D122&lt;&gt;"/"),项目总控台账!D122,项目总控台账!C122))</f>
        <v>月度客户情况报告</v>
      </c>
      <c r="D123" s="8" t="str">
        <f>项目总控台账!F122</f>
        <v>第一批次</v>
      </c>
      <c r="E123" s="8" t="str">
        <f>项目总控台账!G122</f>
        <v>已完成</v>
      </c>
      <c r="F123" s="8" t="str">
        <f>项目总控台账!H122</f>
        <v>郑士旺</v>
      </c>
      <c r="G123" s="25">
        <f>项目总控台账!J122</f>
        <v>46269</v>
      </c>
      <c r="H123" s="8">
        <f>IF(G123="","",G123-项目驾驶舱!$B$3)</f>
        <v>-7</v>
      </c>
      <c r="I123" s="8" t="str">
        <f>项目总控台账!AC122</f>
        <v>正常</v>
      </c>
      <c r="J123" s="8" t="str">
        <f>项目总控台账!AD122</f>
        <v>69</v>
      </c>
      <c r="K123" s="8" t="str">
        <f t="shared" si="1"/>
        <v/>
      </c>
      <c r="L123" s="11"/>
      <c r="M123" s="10"/>
    </row>
    <row r="124" spans="1:13">
      <c r="A124" s="8" t="str">
        <f>IF(B124="","",IF(AND(E124&lt;&gt;"已完成",ISNUMBER(G124),G124&lt;=项目驾驶舱!$B$3+14),"是","否"))</f>
        <v>否</v>
      </c>
      <c r="B124" s="8" t="str">
        <f>项目总控台账!A123</f>
        <v>T120</v>
      </c>
      <c r="C124" s="8" t="str">
        <f>IF(AND(项目总控台账!E123&lt;&gt;"",项目总控台账!E123&lt;&gt;"/"),项目总控台账!E123,IF(AND(项目总控台账!D123&lt;&gt;"",项目总控台账!D123&lt;&gt;"/"),项目总控台账!D123,项目总控台账!C123))</f>
        <v>商务计划周报</v>
      </c>
      <c r="D124" s="8" t="str">
        <f>项目总控台账!F123</f>
        <v>第一批次</v>
      </c>
      <c r="E124" s="8" t="str">
        <f>项目总控台账!G123</f>
        <v>已完成</v>
      </c>
      <c r="F124" s="8" t="str">
        <f>项目总控台账!H123</f>
        <v>郑士旺</v>
      </c>
      <c r="G124" s="25">
        <f>项目总控台账!J123</f>
        <v>46269</v>
      </c>
      <c r="H124" s="8">
        <f>IF(G124="","",G124-项目驾驶舱!$B$3)</f>
        <v>-7</v>
      </c>
      <c r="I124" s="8" t="str">
        <f>项目总控台账!AC123</f>
        <v>正常</v>
      </c>
      <c r="J124" s="8" t="str">
        <f>项目总控台账!AD123</f>
        <v>69</v>
      </c>
      <c r="K124" s="8" t="str">
        <f t="shared" si="1"/>
        <v/>
      </c>
      <c r="L124" s="11"/>
      <c r="M124" s="10"/>
    </row>
    <row r="125" spans="1:13">
      <c r="A125" s="8" t="str">
        <f>IF(B125="","",IF(AND(E125&lt;&gt;"已完成",ISNUMBER(G125),G125&lt;=项目驾驶舱!$B$3+14),"是","否"))</f>
        <v>否</v>
      </c>
      <c r="B125" s="8" t="str">
        <f>项目总控台账!A124</f>
        <v>T121</v>
      </c>
      <c r="C125" s="8" t="str">
        <f>IF(AND(项目总控台账!E124&lt;&gt;"",项目总控台账!E124&lt;&gt;"/"),项目总控台账!E124,IF(AND(项目总控台账!D124&lt;&gt;"",项目总控台账!D124&lt;&gt;"/"),项目总控台账!D124,项目总控台账!C124))</f>
        <v>船舶供应服务查询</v>
      </c>
      <c r="D125" s="8" t="str">
        <f>项目总控台账!F124</f>
        <v>第二批次</v>
      </c>
      <c r="E125" s="8" t="str">
        <f>项目总控台账!G124</f>
        <v>已完成</v>
      </c>
      <c r="F125" s="8" t="str">
        <f>项目总控台账!H124</f>
        <v>郑士旺</v>
      </c>
      <c r="G125" s="25">
        <f>项目总控台账!J124</f>
        <v>46261</v>
      </c>
      <c r="H125" s="8">
        <f>IF(G125="","",G125-项目驾驶舱!$B$3)</f>
        <v>-15</v>
      </c>
      <c r="I125" s="8" t="str">
        <f>项目总控台账!AC124</f>
        <v>正常</v>
      </c>
      <c r="J125" s="8" t="str">
        <f>项目总控台账!AD124</f>
        <v>69</v>
      </c>
      <c r="K125" s="8" t="str">
        <f t="shared" si="1"/>
        <v/>
      </c>
      <c r="L125" s="11"/>
      <c r="M125" s="10"/>
    </row>
    <row r="126" spans="1:13">
      <c r="A126" s="8" t="str">
        <f>IF(B126="","",IF(AND(E126&lt;&gt;"已完成",ISNUMBER(G126),G126&lt;=项目驾驶舱!$B$3+14),"是","否"))</f>
        <v>否</v>
      </c>
      <c r="B126" s="8" t="str">
        <f>项目总控台账!A125</f>
        <v>T122</v>
      </c>
      <c r="C126" s="8" t="str">
        <f>IF(AND(项目总控台账!E125&lt;&gt;"",项目总控台账!E125&lt;&gt;"/"),项目总控台账!E125,IF(AND(项目总控台账!D125&lt;&gt;"",项目总控台账!D125&lt;&gt;"/"),项目总控台账!D125,项目总控台账!C125))</f>
        <v>船舶预到（内贸）查询</v>
      </c>
      <c r="D126" s="8" t="str">
        <f>项目总控台账!F125</f>
        <v>第二批次</v>
      </c>
      <c r="E126" s="8" t="str">
        <f>项目总控台账!G125</f>
        <v>已完成</v>
      </c>
      <c r="F126" s="8" t="str">
        <f>项目总控台账!H125</f>
        <v>郑士旺</v>
      </c>
      <c r="G126" s="25">
        <f>项目总控台账!J125</f>
        <v>46261</v>
      </c>
      <c r="H126" s="8">
        <f>IF(G126="","",G126-项目驾驶舱!$B$3)</f>
        <v>-15</v>
      </c>
      <c r="I126" s="8" t="str">
        <f>项目总控台账!AC125</f>
        <v>正常</v>
      </c>
      <c r="J126" s="8" t="str">
        <f>项目总控台账!AD125</f>
        <v>69</v>
      </c>
      <c r="K126" s="8" t="str">
        <f t="shared" si="1"/>
        <v/>
      </c>
      <c r="L126" s="11"/>
      <c r="M126" s="10"/>
    </row>
    <row r="127" spans="1:13">
      <c r="A127" s="8" t="str">
        <f>IF(B127="","",IF(AND(E127&lt;&gt;"已完成",ISNUMBER(G127),G127&lt;=项目驾驶舱!$B$3+14),"是","否"))</f>
        <v>否</v>
      </c>
      <c r="B127" s="8" t="str">
        <f>项目总控台账!A126</f>
        <v>T123</v>
      </c>
      <c r="C127" s="8" t="str">
        <f>IF(AND(项目总控台账!E126&lt;&gt;"",项目总控台账!E126&lt;&gt;"/"),项目总控台账!E126,IF(AND(项目总控台账!D126&lt;&gt;"",项目总控台账!D126&lt;&gt;"/"),项目总控台账!D126,项目总控台账!C126))</f>
        <v>台账查询</v>
      </c>
      <c r="D127" s="8" t="str">
        <f>项目总控台账!F126</f>
        <v>第二批次</v>
      </c>
      <c r="E127" s="8" t="str">
        <f>项目总控台账!G126</f>
        <v>已完成</v>
      </c>
      <c r="F127" s="8" t="str">
        <f>项目总控台账!H126</f>
        <v>郑士旺</v>
      </c>
      <c r="G127" s="25">
        <f>项目总控台账!J126</f>
        <v>46261</v>
      </c>
      <c r="H127" s="8">
        <f>IF(G127="","",G127-项目驾驶舱!$B$3)</f>
        <v>-15</v>
      </c>
      <c r="I127" s="8" t="str">
        <f>项目总控台账!AC126</f>
        <v>正常</v>
      </c>
      <c r="J127" s="8" t="str">
        <f>项目总控台账!AD126</f>
        <v>69</v>
      </c>
      <c r="K127" s="8" t="str">
        <f t="shared" si="1"/>
        <v/>
      </c>
      <c r="L127" s="11"/>
      <c r="M127" s="10"/>
    </row>
    <row r="128" spans="1:13">
      <c r="A128" s="8" t="str">
        <f>IF(B128="","",IF(AND(E128&lt;&gt;"已完成",ISNUMBER(G128),G128&lt;=项目驾驶舱!$B$3+14),"是","否"))</f>
        <v>否</v>
      </c>
      <c r="B128" s="8" t="str">
        <f>项目总控台账!A127</f>
        <v>T124</v>
      </c>
      <c r="C128" s="8" t="str">
        <f>IF(AND(项目总控台账!E127&lt;&gt;"",项目总控台账!E127&lt;&gt;"/"),项目总控台账!E127,IF(AND(项目总控台账!D127&lt;&gt;"",项目总控台账!D127&lt;&gt;"/"),项目总控台账!D127,项目总控台账!C127))</f>
        <v>停泊费（内贸）查询</v>
      </c>
      <c r="D128" s="8" t="str">
        <f>项目总控台账!F127</f>
        <v>第二批次</v>
      </c>
      <c r="E128" s="8" t="str">
        <f>项目总控台账!G127</f>
        <v>已完成</v>
      </c>
      <c r="F128" s="8" t="str">
        <f>项目总控台账!H127</f>
        <v>郑士旺</v>
      </c>
      <c r="G128" s="25">
        <f>项目总控台账!J127</f>
        <v>46261</v>
      </c>
      <c r="H128" s="8">
        <f>IF(G128="","",G128-项目驾驶舱!$B$3)</f>
        <v>-15</v>
      </c>
      <c r="I128" s="8" t="str">
        <f>项目总控台账!AC127</f>
        <v>正常</v>
      </c>
      <c r="J128" s="8" t="str">
        <f>项目总控台账!AD127</f>
        <v>69</v>
      </c>
      <c r="K128" s="8" t="str">
        <f t="shared" si="1"/>
        <v/>
      </c>
      <c r="L128" s="11"/>
      <c r="M128" s="10"/>
    </row>
    <row r="129" spans="1:13">
      <c r="A129" s="8" t="str">
        <f>IF(B129="","",IF(AND(E129&lt;&gt;"已完成",ISNUMBER(G129),G129&lt;=项目驾驶舱!$B$3+14),"是","否"))</f>
        <v>否</v>
      </c>
      <c r="B129" s="8" t="str">
        <f>项目总控台账!A128</f>
        <v>T125</v>
      </c>
      <c r="C129" s="8" t="str">
        <f>IF(AND(项目总控台账!E128&lt;&gt;"",项目总控台账!E128&lt;&gt;"/"),项目总控台账!E128,IF(AND(项目总控台账!D128&lt;&gt;"",项目总控台账!D128&lt;&gt;"/"),项目总控台账!D128,项目总控台账!C128))</f>
        <v>船舶供应服务费（内贸）查询</v>
      </c>
      <c r="D129" s="8" t="str">
        <f>项目总控台账!F128</f>
        <v>第二批次</v>
      </c>
      <c r="E129" s="8" t="str">
        <f>项目总控台账!G128</f>
        <v>已完成</v>
      </c>
      <c r="F129" s="8" t="str">
        <f>项目总控台账!H128</f>
        <v>郑士旺</v>
      </c>
      <c r="G129" s="25">
        <f>项目总控台账!J128</f>
        <v>46261</v>
      </c>
      <c r="H129" s="8">
        <f>IF(G129="","",G129-项目驾驶舱!$B$3)</f>
        <v>-15</v>
      </c>
      <c r="I129" s="8" t="str">
        <f>项目总控台账!AC128</f>
        <v>正常</v>
      </c>
      <c r="J129" s="8" t="str">
        <f>项目总控台账!AD128</f>
        <v>69</v>
      </c>
      <c r="K129" s="8" t="str">
        <f t="shared" si="1"/>
        <v/>
      </c>
      <c r="L129" s="11"/>
      <c r="M129" s="10"/>
    </row>
    <row r="130" spans="1:13">
      <c r="A130" s="8" t="str">
        <f>IF(B130="","",IF(AND(E130&lt;&gt;"已完成",ISNUMBER(G130),G130&lt;=项目驾驶舱!$B$3+14),"是","否"))</f>
        <v>否</v>
      </c>
      <c r="B130" s="8" t="str">
        <f>项目总控台账!A129</f>
        <v>T126</v>
      </c>
      <c r="C130" s="8" t="str">
        <f>IF(AND(项目总控台账!E129&lt;&gt;"",项目总控台账!E129&lt;&gt;"/"),项目总控台账!E129,IF(AND(项目总控台账!D129&lt;&gt;"",项目总控台账!D129&lt;&gt;"/"),项目总控台账!D129,项目总控台账!C129))</f>
        <v>停泊费（外贸）查询</v>
      </c>
      <c r="D130" s="8" t="str">
        <f>项目总控台账!F129</f>
        <v>第二批次</v>
      </c>
      <c r="E130" s="8" t="str">
        <f>项目总控台账!G129</f>
        <v>未开始</v>
      </c>
      <c r="F130" s="8" t="str">
        <f>项目总控台账!H129</f>
        <v>郑士旺</v>
      </c>
      <c r="G130" s="25">
        <f>项目总控台账!J129</f>
        <v>46353</v>
      </c>
      <c r="H130" s="8">
        <f>IF(G130="","",G130-项目驾驶舱!$B$3)</f>
        <v>77</v>
      </c>
      <c r="I130" s="8" t="str">
        <f>项目总控台账!AC129</f>
        <v>正常</v>
      </c>
      <c r="J130" s="8" t="str">
        <f>项目总控台账!AD129</f>
        <v>69</v>
      </c>
      <c r="K130" s="8" t="str">
        <f t="shared" si="1"/>
        <v/>
      </c>
      <c r="L130" s="11"/>
      <c r="M130" s="10"/>
    </row>
    <row r="131" spans="1:13">
      <c r="A131" s="8" t="str">
        <f>IF(B131="","",IF(AND(E131&lt;&gt;"已完成",ISNUMBER(G131),G131&lt;=项目驾驶舱!$B$3+14),"是","否"))</f>
        <v>是</v>
      </c>
      <c r="B131" s="8" t="str">
        <f>项目总控台账!A130</f>
        <v>T127</v>
      </c>
      <c r="C131" s="8" t="str">
        <f>IF(AND(项目总控台账!E130&lt;&gt;"",项目总控台账!E130&lt;&gt;"/"),项目总控台账!E130,IF(AND(项目总控台账!D130&lt;&gt;"",项目总控台账!D130&lt;&gt;"/"),项目总控台账!D130,项目总控台账!C130))</f>
        <v>锚泊费（外贸）查询</v>
      </c>
      <c r="D131" s="8" t="str">
        <f>项目总控台账!F130</f>
        <v>第二批次</v>
      </c>
      <c r="E131" s="8" t="str">
        <f>项目总控台账!G130</f>
        <v>未开始</v>
      </c>
      <c r="F131" s="8" t="str">
        <f>项目总控台账!H130</f>
        <v>郑士旺</v>
      </c>
      <c r="G131" s="25">
        <f>项目总控台账!J130</f>
        <v>46261</v>
      </c>
      <c r="H131" s="8">
        <f>IF(G131="","",G131-项目驾驶舱!$B$3)</f>
        <v>-15</v>
      </c>
      <c r="I131" s="8" t="str">
        <f>项目总控台账!AC130</f>
        <v>已延期</v>
      </c>
      <c r="J131" s="8" t="str">
        <f>项目总控台账!AD130</f>
        <v>69</v>
      </c>
      <c r="K131" s="8" t="str">
        <f t="shared" si="1"/>
        <v>立即确认延期原因、影响及补救计划</v>
      </c>
      <c r="L131" s="11"/>
      <c r="M131" s="10"/>
    </row>
    <row r="132" spans="1:13">
      <c r="A132" s="8" t="str">
        <f>IF(B132="","",IF(AND(E132&lt;&gt;"已完成",ISNUMBER(G132),G132&lt;=项目驾驶舱!$B$3+14),"是","否"))</f>
        <v>是</v>
      </c>
      <c r="B132" s="8" t="str">
        <f>项目总控台账!A131</f>
        <v>T128</v>
      </c>
      <c r="C132" s="8" t="str">
        <f>IF(AND(项目总控台账!E131&lt;&gt;"",项目总控台账!E131&lt;&gt;"/"),项目总控台账!E131,IF(AND(项目总控台账!D131&lt;&gt;"",项目总控台账!D131&lt;&gt;"/"),项目总控台账!D131,项目总控台账!C131))</f>
        <v>堆存费（外贸）查询</v>
      </c>
      <c r="D132" s="8" t="str">
        <f>项目总控台账!F131</f>
        <v>第二批次</v>
      </c>
      <c r="E132" s="8" t="str">
        <f>项目总控台账!G131</f>
        <v>未开始</v>
      </c>
      <c r="F132" s="8" t="str">
        <f>项目总控台账!H131</f>
        <v>郑士旺</v>
      </c>
      <c r="G132" s="25">
        <f>项目总控台账!J131</f>
        <v>46261</v>
      </c>
      <c r="H132" s="8">
        <f>IF(G132="","",G132-项目驾驶舱!$B$3)</f>
        <v>-15</v>
      </c>
      <c r="I132" s="8" t="str">
        <f>项目总控台账!AC131</f>
        <v>已延期</v>
      </c>
      <c r="J132" s="8" t="str">
        <f>项目总控台账!AD131</f>
        <v>69</v>
      </c>
      <c r="K132" s="8" t="str">
        <f t="shared" si="1"/>
        <v>立即确认延期原因、影响及补救计划</v>
      </c>
      <c r="L132" s="11"/>
      <c r="M132" s="10"/>
    </row>
    <row r="133" spans="1:13">
      <c r="A133" s="8" t="str">
        <f>IF(B133="","",IF(AND(E133&lt;&gt;"已完成",ISNUMBER(G133),G133&lt;=项目驾驶舱!$B$3+14),"是","否"))</f>
        <v>否</v>
      </c>
      <c r="B133" s="8" t="str">
        <f>项目总控台账!A132</f>
        <v>T129</v>
      </c>
      <c r="C133" s="8" t="str">
        <f>IF(AND(项目总控台账!E132&lt;&gt;"",项目总控台账!E132&lt;&gt;"/"),项目总控台账!E132,IF(AND(项目总控台账!D132&lt;&gt;"",项目总控台账!D132&lt;&gt;"/"),项目总控台账!D132,项目总控台账!C132))</f>
        <v>卸船费（外贸）查询</v>
      </c>
      <c r="D133" s="8" t="str">
        <f>项目总控台账!F132</f>
        <v>第二批次</v>
      </c>
      <c r="E133" s="8" t="str">
        <f>项目总控台账!G132</f>
        <v>未开始</v>
      </c>
      <c r="F133" s="8" t="str">
        <f>项目总控台账!H132</f>
        <v>郑士旺</v>
      </c>
      <c r="G133" s="25">
        <f>项目总控台账!J132</f>
        <v>46353</v>
      </c>
      <c r="H133" s="8">
        <f>IF(G133="","",G133-项目驾驶舱!$B$3)</f>
        <v>77</v>
      </c>
      <c r="I133" s="8" t="str">
        <f>项目总控台账!AC132</f>
        <v>正常</v>
      </c>
      <c r="J133" s="8" t="str">
        <f>项目总控台账!AD132</f>
        <v>69</v>
      </c>
      <c r="K133" s="8" t="str">
        <f t="shared" ref="K133:K149" si="2">IF(A133&lt;&gt;"是","",IF(OR(E133="暂停",E133="挂起"),"确认暂停原因、恢复条件和责任人",IF(H133&lt;0,"立即确认延期原因、影响及补救计划",IF(H133&lt;=7,"本周确认交付承诺和完成证据","提前检查依赖与风险"))))</f>
        <v/>
      </c>
      <c r="L133" s="11"/>
      <c r="M133" s="10"/>
    </row>
    <row r="134" spans="1:13">
      <c r="A134" s="8" t="str">
        <f>IF(B134="","",IF(AND(E134&lt;&gt;"已完成",ISNUMBER(G134),G134&lt;=项目驾驶舱!$B$3+14),"是","否"))</f>
        <v>否</v>
      </c>
      <c r="B134" s="8" t="str">
        <f>项目总控台账!A133</f>
        <v>T130</v>
      </c>
      <c r="C134" s="8" t="str">
        <f>IF(AND(项目总控台账!E133&lt;&gt;"",项目总控台账!E133&lt;&gt;"/"),项目总控台账!E133,IF(AND(项目总控台账!D133&lt;&gt;"",项目总控台账!D133&lt;&gt;"/"),项目总控台账!D133,项目总控台账!C133))</f>
        <v>采样服务费（外贸）查询</v>
      </c>
      <c r="D134" s="8" t="str">
        <f>项目总控台账!F133</f>
        <v>第二批次</v>
      </c>
      <c r="E134" s="8" t="str">
        <f>项目总控台账!G133</f>
        <v>未开始</v>
      </c>
      <c r="F134" s="8" t="str">
        <f>项目总控台账!H133</f>
        <v>郑士旺</v>
      </c>
      <c r="G134" s="25">
        <f>项目总控台账!J133</f>
        <v>46353</v>
      </c>
      <c r="H134" s="8">
        <f>IF(G134="","",G134-项目驾驶舱!$B$3)</f>
        <v>77</v>
      </c>
      <c r="I134" s="8" t="str">
        <f>项目总控台账!AC133</f>
        <v>正常</v>
      </c>
      <c r="J134" s="8" t="str">
        <f>项目总控台账!AD133</f>
        <v>69</v>
      </c>
      <c r="K134" s="8" t="str">
        <f t="shared" si="2"/>
        <v/>
      </c>
      <c r="L134" s="11"/>
      <c r="M134" s="10"/>
    </row>
    <row r="135" spans="1:13">
      <c r="A135" s="8" t="str">
        <f>IF(B135="","",IF(AND(E135&lt;&gt;"已完成",ISNUMBER(G135),G135&lt;=项目驾驶舱!$B$3+14),"是","否"))</f>
        <v>否</v>
      </c>
      <c r="B135" s="8" t="str">
        <f>项目总控台账!A134</f>
        <v>T131</v>
      </c>
      <c r="C135" s="8" t="str">
        <f>IF(AND(项目总控台账!E134&lt;&gt;"",项目总控台账!E134&lt;&gt;"/"),项目总控台账!E134,IF(AND(项目总控台账!D134&lt;&gt;"",项目总控台账!D134&lt;&gt;"/"),项目总控台账!D134,项目总控台账!C134))</f>
        <v>船舶供应服务费（外贸）查询</v>
      </c>
      <c r="D135" s="8" t="str">
        <f>项目总控台账!F134</f>
        <v>第二批次</v>
      </c>
      <c r="E135" s="8" t="str">
        <f>项目总控台账!G134</f>
        <v>未开始</v>
      </c>
      <c r="F135" s="8" t="str">
        <f>项目总控台账!H134</f>
        <v>郑士旺</v>
      </c>
      <c r="G135" s="25">
        <f>项目总控台账!J134</f>
        <v>46353</v>
      </c>
      <c r="H135" s="8">
        <f>IF(G135="","",G135-项目驾驶舱!$B$3)</f>
        <v>77</v>
      </c>
      <c r="I135" s="8" t="str">
        <f>项目总控台账!AC134</f>
        <v>正常</v>
      </c>
      <c r="J135" s="8" t="str">
        <f>项目总控台账!AD134</f>
        <v>69</v>
      </c>
      <c r="K135" s="8" t="str">
        <f t="shared" si="2"/>
        <v/>
      </c>
      <c r="L135" s="11"/>
      <c r="M135" s="10"/>
    </row>
    <row r="136" spans="1:13">
      <c r="A136" s="8" t="str">
        <f>IF(B136="","",IF(AND(E136&lt;&gt;"已完成",ISNUMBER(G136),G136&lt;=项目驾驶舱!$B$3+14),"是","否"))</f>
        <v>否</v>
      </c>
      <c r="B136" s="8" t="str">
        <f>项目总控台账!A135</f>
        <v>T132</v>
      </c>
      <c r="C136" s="8" t="str">
        <f>IF(AND(项目总控台账!E135&lt;&gt;"",项目总控台账!E135&lt;&gt;"/"),项目总控台账!E135,IF(AND(项目总控台账!D135&lt;&gt;"",项目总控台账!D135&lt;&gt;"/"),项目总控台账!D135,项目总控台账!C135))</f>
        <v>新增船舶靠泊通知单</v>
      </c>
      <c r="D136" s="8" t="str">
        <f>项目总控台账!F135</f>
        <v>第二批次</v>
      </c>
      <c r="E136" s="8" t="str">
        <f>项目总控台账!G135</f>
        <v>未开始</v>
      </c>
      <c r="F136" s="8" t="str">
        <f>项目总控台账!H135</f>
        <v>郑士旺</v>
      </c>
      <c r="G136" s="25">
        <f>项目总控台账!J135</f>
        <v>46353</v>
      </c>
      <c r="H136" s="8">
        <f>IF(G136="","",G136-项目驾驶舱!$B$3)</f>
        <v>77</v>
      </c>
      <c r="I136" s="8" t="str">
        <f>项目总控台账!AC135</f>
        <v>正常</v>
      </c>
      <c r="J136" s="8" t="str">
        <f>项目总控台账!AD135</f>
        <v>69</v>
      </c>
      <c r="K136" s="8" t="str">
        <f t="shared" si="2"/>
        <v/>
      </c>
      <c r="L136" s="11"/>
      <c r="M136" s="10"/>
    </row>
    <row r="137" spans="1:13">
      <c r="A137" s="8" t="str">
        <f>IF(B137="","",IF(AND(E137&lt;&gt;"已完成",ISNUMBER(G137),G137&lt;=项目驾驶舱!$B$3+14),"是","否"))</f>
        <v>否</v>
      </c>
      <c r="B137" s="8" t="str">
        <f>项目总控台账!A136</f>
        <v>T133</v>
      </c>
      <c r="C137" s="8" t="str">
        <f>IF(AND(项目总控台账!E136&lt;&gt;"",项目总控台账!E136&lt;&gt;"/"),项目总控台账!E136,IF(AND(项目总控台账!D136&lt;&gt;"",项目总控台账!D136&lt;&gt;"/"),项目总控台账!D136,项目总控台账!C136))</f>
        <v>查询船舶靠泊通知单</v>
      </c>
      <c r="D137" s="8" t="str">
        <f>项目总控台账!F136</f>
        <v>第二批次</v>
      </c>
      <c r="E137" s="8" t="str">
        <f>项目总控台账!G136</f>
        <v>未开始</v>
      </c>
      <c r="F137" s="8" t="str">
        <f>项目总控台账!H136</f>
        <v>郑士旺</v>
      </c>
      <c r="G137" s="25">
        <f>项目总控台账!J136</f>
        <v>46353</v>
      </c>
      <c r="H137" s="8">
        <f>IF(G137="","",G137-项目驾驶舱!$B$3)</f>
        <v>77</v>
      </c>
      <c r="I137" s="8" t="str">
        <f>项目总控台账!AC136</f>
        <v>正常</v>
      </c>
      <c r="J137" s="8" t="str">
        <f>项目总控台账!AD136</f>
        <v>69</v>
      </c>
      <c r="K137" s="8" t="str">
        <f t="shared" si="2"/>
        <v/>
      </c>
      <c r="L137" s="11"/>
      <c r="M137" s="10"/>
    </row>
    <row r="138" spans="1:13">
      <c r="A138" s="8" t="str">
        <f>IF(B138="","",IF(AND(E138&lt;&gt;"已完成",ISNUMBER(G138),G138&lt;=项目驾驶舱!$B$3+14),"是","否"))</f>
        <v>否</v>
      </c>
      <c r="B138" s="8" t="str">
        <f>项目总控台账!A137</f>
        <v>T134</v>
      </c>
      <c r="C138" s="8" t="str">
        <f>IF(AND(项目总控台账!E137&lt;&gt;"",项目总控台账!E137&lt;&gt;"/"),项目总控台账!E137,IF(AND(项目总控台账!D137&lt;&gt;"",项目总控台账!D137&lt;&gt;"/"),项目总控台账!D137,项目总控台账!C137))</f>
        <v>卸船计划查询</v>
      </c>
      <c r="D138" s="8" t="str">
        <f>项目总控台账!F137</f>
        <v>第二批次</v>
      </c>
      <c r="E138" s="8" t="str">
        <f>项目总控台账!G137</f>
        <v>未开始</v>
      </c>
      <c r="F138" s="8" t="str">
        <f>项目总控台账!H137</f>
        <v>郑士旺</v>
      </c>
      <c r="G138" s="25">
        <f>项目总控台账!J137</f>
        <v>46353</v>
      </c>
      <c r="H138" s="8">
        <f>IF(G138="","",G138-项目驾驶舱!$B$3)</f>
        <v>77</v>
      </c>
      <c r="I138" s="8" t="str">
        <f>项目总控台账!AC137</f>
        <v>正常</v>
      </c>
      <c r="J138" s="8" t="str">
        <f>项目总控台账!AD137</f>
        <v>69</v>
      </c>
      <c r="K138" s="8" t="str">
        <f t="shared" si="2"/>
        <v/>
      </c>
      <c r="L138" s="11"/>
      <c r="M138" s="10"/>
    </row>
    <row r="139" spans="1:13">
      <c r="A139" s="8" t="str">
        <f>IF(B139="","",IF(AND(E139&lt;&gt;"已完成",ISNUMBER(G139),G139&lt;=项目驾驶舱!$B$3+14),"是","否"))</f>
        <v>否</v>
      </c>
      <c r="B139" s="8" t="str">
        <f>项目总控台账!A138</f>
        <v>T135</v>
      </c>
      <c r="C139" s="8" t="str">
        <f>IF(AND(项目总控台账!E138&lt;&gt;"",项目总控台账!E138&lt;&gt;"/"),项目总控台账!E138,IF(AND(项目总控台账!D138&lt;&gt;"",项目总控台账!D138&lt;&gt;"/"),项目总控台账!D138,项目总控台账!C138))</f>
        <v>卸船查询</v>
      </c>
      <c r="D139" s="8" t="str">
        <f>项目总控台账!F138</f>
        <v>第二批次</v>
      </c>
      <c r="E139" s="8" t="str">
        <f>项目总控台账!G138</f>
        <v>未开始</v>
      </c>
      <c r="F139" s="8" t="str">
        <f>项目总控台账!H138</f>
        <v>郑士旺</v>
      </c>
      <c r="G139" s="25">
        <f>项目总控台账!J138</f>
        <v>46353</v>
      </c>
      <c r="H139" s="8">
        <f>IF(G139="","",G139-项目驾驶舱!$B$3)</f>
        <v>77</v>
      </c>
      <c r="I139" s="8" t="str">
        <f>项目总控台账!AC138</f>
        <v>正常</v>
      </c>
      <c r="J139" s="8" t="str">
        <f>项目总控台账!AD138</f>
        <v>69</v>
      </c>
      <c r="K139" s="8" t="str">
        <f t="shared" si="2"/>
        <v/>
      </c>
      <c r="L139" s="11"/>
      <c r="M139" s="10"/>
    </row>
    <row r="140" spans="1:13">
      <c r="A140" s="8" t="str">
        <f>IF(B140="","",IF(AND(E140&lt;&gt;"已完成",ISNUMBER(G140),G140&lt;=项目驾驶舱!$B$3+14),"是","否"))</f>
        <v>否</v>
      </c>
      <c r="B140" s="8" t="str">
        <f>项目总控台账!A139</f>
        <v>T136</v>
      </c>
      <c r="C140" s="8" t="str">
        <f>IF(AND(项目总控台账!E139&lt;&gt;"",项目总控台账!E139&lt;&gt;"/"),项目总控台账!E139,IF(AND(项目总控台账!D139&lt;&gt;"",项目总控台账!D139&lt;&gt;"/"),项目总控台账!D139,项目总控台账!C139))</f>
        <v>卸船作业委托</v>
      </c>
      <c r="D140" s="8" t="str">
        <f>项目总控台账!F139</f>
        <v>第二批次</v>
      </c>
      <c r="E140" s="8" t="str">
        <f>项目总控台账!G139</f>
        <v>未开始</v>
      </c>
      <c r="F140" s="8" t="str">
        <f>项目总控台账!H139</f>
        <v>郑士旺</v>
      </c>
      <c r="G140" s="25">
        <f>项目总控台账!J139</f>
        <v>46353</v>
      </c>
      <c r="H140" s="8">
        <f>IF(G140="","",G140-项目驾驶舱!$B$3)</f>
        <v>77</v>
      </c>
      <c r="I140" s="8" t="str">
        <f>项目总控台账!AC139</f>
        <v>正常</v>
      </c>
      <c r="J140" s="8" t="str">
        <f>项目总控台账!AD139</f>
        <v>69</v>
      </c>
      <c r="K140" s="8" t="str">
        <f t="shared" si="2"/>
        <v/>
      </c>
      <c r="L140" s="11"/>
      <c r="M140" s="10"/>
    </row>
    <row r="141" spans="1:13">
      <c r="A141" s="8" t="str">
        <f>IF(B141="","",IF(AND(E141&lt;&gt;"已完成",ISNUMBER(G141),G141&lt;=项目驾驶舱!$B$3+14),"是","否"))</f>
        <v>否</v>
      </c>
      <c r="B141" s="8" t="str">
        <f>项目总控台账!A140</f>
        <v>T137</v>
      </c>
      <c r="C141" s="8" t="str">
        <f>IF(AND(项目总控台账!E140&lt;&gt;"",项目总控台账!E140&lt;&gt;"/"),项目总控台账!E140,IF(AND(项目总控台账!D140&lt;&gt;"",项目总控台账!D140&lt;&gt;"/"),项目总控台账!D140,项目总控台账!C140))</f>
        <v>外轮转内贸业务查询</v>
      </c>
      <c r="D141" s="8" t="str">
        <f>项目总控台账!F140</f>
        <v>第二批次</v>
      </c>
      <c r="E141" s="8" t="str">
        <f>项目总控台账!G140</f>
        <v>未开始</v>
      </c>
      <c r="F141" s="8" t="str">
        <f>项目总控台账!H140</f>
        <v>郑士旺</v>
      </c>
      <c r="G141" s="25">
        <f>项目总控台账!J140</f>
        <v>46353</v>
      </c>
      <c r="H141" s="8">
        <f>IF(G141="","",G141-项目驾驶舱!$B$3)</f>
        <v>77</v>
      </c>
      <c r="I141" s="8" t="str">
        <f>项目总控台账!AC140</f>
        <v>正常</v>
      </c>
      <c r="J141" s="8" t="str">
        <f>项目总控台账!AD140</f>
        <v>69</v>
      </c>
      <c r="K141" s="8" t="str">
        <f t="shared" si="2"/>
        <v/>
      </c>
      <c r="L141" s="11"/>
      <c r="M141" s="10"/>
    </row>
    <row r="142" spans="1:13">
      <c r="A142" s="8" t="str">
        <f>IF(B142="","",IF(AND(E142&lt;&gt;"已完成",ISNUMBER(G142),G142&lt;=项目驾驶舱!$B$3+14),"是","否"))</f>
        <v>否</v>
      </c>
      <c r="B142" s="8" t="str">
        <f>项目总控台账!A141</f>
        <v>T138</v>
      </c>
      <c r="C142" s="8" t="str">
        <f>IF(AND(项目总控台账!E141&lt;&gt;"",项目总控台账!E141&lt;&gt;"/"),项目总控台账!E141,IF(AND(项目总控台账!D141&lt;&gt;"",项目总控台账!D141&lt;&gt;"/"),项目总控台账!D141,项目总控台账!C141))</f>
        <v>查询卸车流程</v>
      </c>
      <c r="D142" s="8" t="str">
        <f>项目总控台账!F141</f>
        <v>第二批次</v>
      </c>
      <c r="E142" s="8" t="str">
        <f>项目总控台账!G141</f>
        <v>已完成</v>
      </c>
      <c r="F142" s="8" t="str">
        <f>项目总控台账!H141</f>
        <v>郑士旺</v>
      </c>
      <c r="G142" s="25">
        <f>项目总控台账!J141</f>
        <v>46261</v>
      </c>
      <c r="H142" s="8">
        <f>IF(G142="","",G142-项目驾驶舱!$B$3)</f>
        <v>-15</v>
      </c>
      <c r="I142" s="8" t="str">
        <f>项目总控台账!AC141</f>
        <v>正常</v>
      </c>
      <c r="J142" s="8" t="str">
        <f>项目总控台账!AD141</f>
        <v>69</v>
      </c>
      <c r="K142" s="8" t="str">
        <f t="shared" si="2"/>
        <v/>
      </c>
      <c r="L142" s="11"/>
      <c r="M142" s="10"/>
    </row>
    <row r="143" spans="1:13">
      <c r="A143" s="8" t="str">
        <f>IF(B143="","",IF(AND(E143&lt;&gt;"已完成",ISNUMBER(G143),G143&lt;=项目驾驶舱!$B$3+14),"是","否"))</f>
        <v>否</v>
      </c>
      <c r="B143" s="8" t="str">
        <f>项目总控台账!A142</f>
        <v>T139</v>
      </c>
      <c r="C143" s="8" t="str">
        <f>IF(AND(项目总控台账!E142&lt;&gt;"",项目总控台账!E142&lt;&gt;"/"),项目总控台账!E142,IF(AND(项目总控台账!D142&lt;&gt;"",项目总控台账!D142&lt;&gt;"/"),项目总控台账!D142,项目总控台账!C142))</f>
        <v>查询装船流程</v>
      </c>
      <c r="D143" s="8" t="str">
        <f>项目总控台账!F142</f>
        <v>第二批次</v>
      </c>
      <c r="E143" s="8" t="str">
        <f>项目总控台账!G142</f>
        <v>已完成</v>
      </c>
      <c r="F143" s="8" t="str">
        <f>项目总控台账!H142</f>
        <v>郑士旺</v>
      </c>
      <c r="G143" s="25">
        <f>项目总控台账!J142</f>
        <v>46261</v>
      </c>
      <c r="H143" s="8">
        <f>IF(G143="","",G143-项目驾驶舱!$B$3)</f>
        <v>-15</v>
      </c>
      <c r="I143" s="8" t="str">
        <f>项目总控台账!AC142</f>
        <v>正常</v>
      </c>
      <c r="J143" s="8" t="str">
        <f>项目总控台账!AD142</f>
        <v>69</v>
      </c>
      <c r="K143" s="8" t="str">
        <f t="shared" si="2"/>
        <v/>
      </c>
      <c r="L143" s="11"/>
      <c r="M143" s="10"/>
    </row>
    <row r="144" spans="1:13">
      <c r="A144" s="8" t="str">
        <f>IF(B144="","",IF(AND(E144&lt;&gt;"已完成",ISNUMBER(G144),G144&lt;=项目驾驶舱!$B$3+14),"是","否"))</f>
        <v>否</v>
      </c>
      <c r="B144" s="8" t="str">
        <f>项目总控台账!A143</f>
        <v>T140</v>
      </c>
      <c r="C144" s="8" t="str">
        <f>IF(AND(项目总控台账!E143&lt;&gt;"",项目总控台账!E143&lt;&gt;"/"),项目总控台账!E143,IF(AND(项目总控台账!D143&lt;&gt;"",项目总控台账!D143&lt;&gt;"/"),项目总控台账!D143,项目总控台账!C143))</f>
        <v>查询卸船流程</v>
      </c>
      <c r="D144" s="8" t="str">
        <f>项目总控台账!F143</f>
        <v>第二批次</v>
      </c>
      <c r="E144" s="8" t="str">
        <f>项目总控台账!G143</f>
        <v>已完成</v>
      </c>
      <c r="F144" s="8" t="str">
        <f>项目总控台账!H143</f>
        <v>郑士旺</v>
      </c>
      <c r="G144" s="25">
        <f>项目总控台账!J143</f>
        <v>46353</v>
      </c>
      <c r="H144" s="8">
        <f>IF(G144="","",G144-项目驾驶舱!$B$3)</f>
        <v>77</v>
      </c>
      <c r="I144" s="8" t="str">
        <f>项目总控台账!AC143</f>
        <v>正常</v>
      </c>
      <c r="J144" s="8" t="str">
        <f>项目总控台账!AD143</f>
        <v>69</v>
      </c>
      <c r="K144" s="8" t="str">
        <f t="shared" si="2"/>
        <v/>
      </c>
      <c r="L144" s="11"/>
      <c r="M144" s="10"/>
    </row>
    <row r="145" spans="1:13">
      <c r="A145" s="8" t="str">
        <f>IF(B145="","",IF(AND(E145&lt;&gt;"已完成",ISNUMBER(G145),G145&lt;=项目驾驶舱!$B$3+14),"是","否"))</f>
        <v>否</v>
      </c>
      <c r="B145" s="8" t="str">
        <f>项目总控台账!A144</f>
        <v>T141</v>
      </c>
      <c r="C145" s="8" t="str">
        <f>IF(AND(项目总控台账!E144&lt;&gt;"",项目总控台账!E144&lt;&gt;"/"),项目总控台账!E144,IF(AND(项目总控台账!D144&lt;&gt;"",项目总控台账!D144&lt;&gt;"/"),项目总控台账!D144,项目总控台账!C144))</f>
        <v>视频监控查询</v>
      </c>
      <c r="D145" s="8" t="str">
        <f>项目总控台账!F144</f>
        <v>第二批次</v>
      </c>
      <c r="E145" s="8" t="str">
        <f>项目总控台账!G144</f>
        <v>未开始</v>
      </c>
      <c r="F145" s="8" t="str">
        <f>项目总控台账!H144</f>
        <v>郑士旺</v>
      </c>
      <c r="G145" s="25">
        <f>项目总控台账!J144</f>
        <v>46318</v>
      </c>
      <c r="H145" s="8">
        <f>IF(G145="","",G145-项目驾驶舱!$B$3)</f>
        <v>42</v>
      </c>
      <c r="I145" s="8" t="str">
        <f>项目总控台账!AC144</f>
        <v>正常</v>
      </c>
      <c r="J145" s="8" t="str">
        <f>项目总控台账!AD144</f>
        <v>69</v>
      </c>
      <c r="K145" s="8" t="str">
        <f t="shared" si="2"/>
        <v/>
      </c>
      <c r="L145" s="11"/>
      <c r="M145" s="10"/>
    </row>
    <row r="146" spans="1:13">
      <c r="A146" s="8" t="str">
        <f>IF(B146="","",IF(AND(E146&lt;&gt;"已完成",ISNUMBER(G146),G146&lt;=项目驾驶舱!$B$3+14),"是","否"))</f>
        <v>否</v>
      </c>
      <c r="B146" s="8" t="str">
        <f>项目总控台账!A145</f>
        <v>T142</v>
      </c>
      <c r="C146" s="8" t="str">
        <f>IF(AND(项目总控台账!E145&lt;&gt;"",项目总控台账!E145&lt;&gt;"/"),项目总控台账!E145,IF(AND(项目总控台账!D145&lt;&gt;"",项目总控台账!D145&lt;&gt;"/"),项目总控台账!D145,项目总控台账!C145))</f>
        <v>审批船舶靠泊通知单</v>
      </c>
      <c r="D146" s="8" t="str">
        <f>项目总控台账!F145</f>
        <v>第二批次</v>
      </c>
      <c r="E146" s="8" t="str">
        <f>项目总控台账!G145</f>
        <v>未开始</v>
      </c>
      <c r="F146" s="8" t="str">
        <f>项目总控台账!H145</f>
        <v>郑士旺</v>
      </c>
      <c r="G146" s="25">
        <f>项目总控台账!J145</f>
        <v>46353</v>
      </c>
      <c r="H146" s="8">
        <f>IF(G146="","",G146-项目驾驶舱!$B$3)</f>
        <v>77</v>
      </c>
      <c r="I146" s="8" t="str">
        <f>项目总控台账!AC145</f>
        <v>正常</v>
      </c>
      <c r="J146" s="8" t="str">
        <f>项目总控台账!AD145</f>
        <v>69</v>
      </c>
      <c r="K146" s="8" t="str">
        <f t="shared" si="2"/>
        <v/>
      </c>
      <c r="L146" s="11"/>
      <c r="M146" s="10"/>
    </row>
    <row r="147" spans="1:13">
      <c r="A147" s="8" t="str">
        <f>IF(B147="","",IF(AND(E147&lt;&gt;"已完成",ISNUMBER(G147),G147&lt;=项目驾驶舱!$B$3+14),"是","否"))</f>
        <v>否</v>
      </c>
      <c r="B147" s="8" t="str">
        <f>项目总控台账!A146</f>
        <v>T143</v>
      </c>
      <c r="C147" s="8" t="str">
        <f>IF(AND(项目总控台账!E146&lt;&gt;"",项目总控台账!E146&lt;&gt;"/"),项目总控台账!E146,IF(AND(项目总控台账!D146&lt;&gt;"",项目总控台账!D146&lt;&gt;"/"),项目总控台账!D146,项目总控台账!C146))</f>
        <v>图片上传</v>
      </c>
      <c r="D147" s="8" t="str">
        <f>项目总控台账!F146</f>
        <v>第一批次</v>
      </c>
      <c r="E147" s="8" t="str">
        <f>项目总控台账!G146</f>
        <v>已完成</v>
      </c>
      <c r="F147" s="8" t="str">
        <f>项目总控台账!H146</f>
        <v>郑士旺</v>
      </c>
      <c r="G147" s="25">
        <f>项目总控台账!J146</f>
        <v>46261</v>
      </c>
      <c r="H147" s="8">
        <f>IF(G147="","",G147-项目驾驶舱!$B$3)</f>
        <v>-15</v>
      </c>
      <c r="I147" s="8" t="str">
        <f>项目总控台账!AC146</f>
        <v>正常</v>
      </c>
      <c r="J147" s="8" t="str">
        <f>项目总控台账!AD146</f>
        <v>69</v>
      </c>
      <c r="K147" s="8" t="str">
        <f t="shared" si="2"/>
        <v/>
      </c>
      <c r="L147" s="11"/>
      <c r="M147" s="10"/>
    </row>
    <row r="148" spans="1:13">
      <c r="A148" s="8" t="str">
        <f>IF(B148="","",IF(AND(E148&lt;&gt;"已完成",ISNUMBER(G148),G148&lt;=项目驾驶舱!$B$3+14),"是","否"))</f>
        <v>否</v>
      </c>
      <c r="B148" s="8" t="str">
        <f>项目总控台账!A147</f>
        <v>T144</v>
      </c>
      <c r="C148" s="8" t="str">
        <f>IF(AND(项目总控台账!E147&lt;&gt;"",项目总控台账!E147&lt;&gt;"/"),项目总控台账!E147,IF(AND(项目总控台账!D147&lt;&gt;"",项目总控台账!D147&lt;&gt;"/"),项目总控台账!D147,项目总控台账!C147))</f>
        <v>图片上传</v>
      </c>
      <c r="D148" s="8" t="str">
        <f>项目总控台账!F147</f>
        <v>第一批次</v>
      </c>
      <c r="E148" s="8" t="str">
        <f>项目总控台账!G147</f>
        <v>已完成</v>
      </c>
      <c r="F148" s="8" t="str">
        <f>项目总控台账!H147</f>
        <v>郑士旺</v>
      </c>
      <c r="G148" s="25">
        <f>项目总控台账!J147</f>
        <v>46261</v>
      </c>
      <c r="H148" s="8">
        <f>IF(G148="","",G148-项目驾驶舱!$B$3)</f>
        <v>-15</v>
      </c>
      <c r="I148" s="8" t="str">
        <f>项目总控台账!AC147</f>
        <v>正常</v>
      </c>
      <c r="J148" s="8" t="str">
        <f>项目总控台账!AD147</f>
        <v>69</v>
      </c>
      <c r="K148" s="8" t="str">
        <f t="shared" si="2"/>
        <v/>
      </c>
      <c r="L148" s="11"/>
      <c r="M148" s="10"/>
    </row>
    <row r="149" spans="1:13">
      <c r="A149" s="8" t="str">
        <f>IF(B149="","",IF(AND(E149&lt;&gt;"已完成",ISNUMBER(G149),G149&lt;=项目驾驶舱!$B$3+14),"是","否"))</f>
        <v>否</v>
      </c>
      <c r="B149" s="8" t="str">
        <f>项目总控台账!A148</f>
        <v>T145</v>
      </c>
      <c r="C149" s="8" t="str">
        <f>IF(AND(项目总控台账!E148&lt;&gt;"",项目总控台账!E148&lt;&gt;"/"),项目总控台账!E148,IF(AND(项目总控台账!D148&lt;&gt;"",项目总控台账!D148&lt;&gt;"/"),项目总控台账!D148,项目总控台账!C148))</f>
        <v>图片上传</v>
      </c>
      <c r="D149" s="8" t="str">
        <f>项目总控台账!F148</f>
        <v>第二批次</v>
      </c>
      <c r="E149" s="8" t="str">
        <f>项目总控台账!G148</f>
        <v>已完成</v>
      </c>
      <c r="F149" s="8" t="str">
        <f>项目总控台账!H148</f>
        <v>郑士旺</v>
      </c>
      <c r="G149" s="25">
        <f>项目总控台账!J148</f>
        <v>46269</v>
      </c>
      <c r="H149" s="8">
        <f>IF(G149="","",G149-项目驾驶舱!$B$3)</f>
        <v>-7</v>
      </c>
      <c r="I149" s="8" t="str">
        <f>项目总控台账!AC148</f>
        <v>正常</v>
      </c>
      <c r="J149" s="8">
        <f>项目总控台账!AD148</f>
        <v>0</v>
      </c>
      <c r="K149" s="8" t="str">
        <f t="shared" si="2"/>
        <v/>
      </c>
      <c r="L149" s="11"/>
      <c r="M149" s="10"/>
    </row>
  </sheetData>
  <autoFilter xmlns:etc="http://www.wps.cn/officeDocument/2017/etCustomData" ref="A4:M149" etc:filterBottomFollowUsedRange="0">
    <extLst/>
  </autoFilter>
  <mergeCells count="2">
    <mergeCell ref="A1:M1"/>
    <mergeCell ref="A2:M2"/>
  </mergeCells>
  <conditionalFormatting sqref="A5:A149">
    <cfRule type="expression" dxfId="7" priority="1">
      <formula>$A5="是"</formula>
    </cfRule>
  </conditionalFormatting>
  <conditionalFormatting sqref="H5:H149">
    <cfRule type="expression" dxfId="6" priority="2">
      <formula>$H5&lt;0</formula>
    </cfRule>
  </conditionalFormatting>
  <pageMargins left="0.75" right="0.75" top="1" bottom="1" header="0.5" footer="0.5"/>
  <pageSetup paperSize="1" fitToHeight="0" orientation="landscape"/>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65D"/>
    <pageSetUpPr fitToPage="1"/>
  </sheetPr>
  <dimension ref="A1:J39"/>
  <sheetViews>
    <sheetView showGridLines="0" zoomScale="85" zoomScaleNormal="85" topLeftCell="A17" workbookViewId="0">
      <selection activeCell="A1" sqref="A1:J1"/>
    </sheetView>
  </sheetViews>
  <sheetFormatPr defaultColWidth="9" defaultRowHeight="16.8"/>
  <cols>
    <col min="1" max="1" width="22" style="1" customWidth="1"/>
    <col min="2" max="2" width="16" style="1" customWidth="1"/>
    <col min="3" max="3" width="34" style="1" customWidth="1"/>
    <col min="4" max="4" width="4" style="1" customWidth="1"/>
    <col min="5" max="10" width="14" style="1" customWidth="1"/>
  </cols>
  <sheetData>
    <row r="1" ht="28" customHeight="1" spans="1:10">
      <c r="A1" s="2" t="s">
        <v>1639</v>
      </c>
      <c r="B1" s="3"/>
      <c r="C1" s="3"/>
      <c r="D1" s="3"/>
      <c r="E1" s="3"/>
      <c r="F1" s="3"/>
      <c r="G1" s="3"/>
      <c r="H1" s="3"/>
      <c r="I1" s="3"/>
      <c r="J1" s="4"/>
    </row>
    <row r="2" ht="22" customHeight="1" spans="1:10">
      <c r="A2" s="5" t="s">
        <v>1640</v>
      </c>
      <c r="B2" s="3"/>
      <c r="C2" s="3"/>
      <c r="D2" s="3"/>
      <c r="E2" s="3"/>
      <c r="F2" s="3"/>
      <c r="G2" s="3"/>
      <c r="H2" s="3"/>
      <c r="I2" s="3"/>
      <c r="J2" s="4"/>
    </row>
    <row r="3" spans="1:10">
      <c r="A3" s="6"/>
      <c r="B3" s="6"/>
      <c r="C3" s="6"/>
      <c r="D3" s="6"/>
      <c r="E3" s="6"/>
      <c r="F3" s="6"/>
      <c r="G3" s="6"/>
      <c r="H3" s="6"/>
      <c r="I3" s="6"/>
      <c r="J3" s="6"/>
    </row>
    <row r="4" spans="1:10">
      <c r="A4" s="12" t="s">
        <v>1641</v>
      </c>
      <c r="B4" s="13">
        <f>项目驾驶舱!B3</f>
        <v>46276</v>
      </c>
      <c r="C4" s="3"/>
      <c r="D4" s="3"/>
      <c r="E4" s="3"/>
      <c r="F4" s="3"/>
      <c r="G4" s="3"/>
      <c r="H4" s="3"/>
      <c r="I4" s="3"/>
      <c r="J4" s="4"/>
    </row>
    <row r="5" spans="1:10">
      <c r="A5" s="12" t="s">
        <v>1642</v>
      </c>
      <c r="B5" s="14" t="str">
        <f>AI项目诊断!E4</f>
        <v>待确认</v>
      </c>
      <c r="C5" s="3"/>
      <c r="D5" s="3"/>
      <c r="E5" s="3"/>
      <c r="F5" s="3"/>
      <c r="G5" s="3"/>
      <c r="H5" s="3"/>
      <c r="I5" s="3"/>
      <c r="J5" s="4"/>
    </row>
    <row r="6" spans="1:10">
      <c r="A6" s="12" t="s">
        <v>1643</v>
      </c>
      <c r="B6" s="14" t="str">
        <f>AI项目诊断!H4</f>
        <v>根据诊断指标补充总体判断、最大失控点和需要的支持。</v>
      </c>
      <c r="C6" s="3"/>
      <c r="D6" s="3"/>
      <c r="E6" s="3"/>
      <c r="F6" s="3"/>
      <c r="G6" s="3"/>
      <c r="H6" s="3"/>
      <c r="I6" s="3"/>
      <c r="J6" s="4"/>
    </row>
    <row r="8" spans="1:10">
      <c r="A8" s="15" t="s">
        <v>1644</v>
      </c>
      <c r="B8" s="3"/>
      <c r="C8" s="3"/>
      <c r="D8" s="3"/>
      <c r="E8" s="3"/>
      <c r="F8" s="3"/>
      <c r="G8" s="3"/>
      <c r="H8" s="3"/>
      <c r="I8" s="3"/>
      <c r="J8" s="4"/>
    </row>
    <row r="9" ht="36" customHeight="1" spans="1:10">
      <c r="A9" s="10" t="s">
        <v>1645</v>
      </c>
      <c r="B9" s="16"/>
      <c r="C9" s="16"/>
      <c r="D9" s="16"/>
      <c r="E9" s="16"/>
      <c r="F9" s="16"/>
      <c r="G9" s="16"/>
      <c r="H9" s="16"/>
      <c r="I9" s="16"/>
      <c r="J9" s="17"/>
    </row>
    <row r="10" spans="1:10">
      <c r="A10" s="18"/>
      <c r="J10" s="19"/>
    </row>
    <row r="11" spans="1:10">
      <c r="A11" s="20"/>
      <c r="B11" s="21"/>
      <c r="C11" s="21"/>
      <c r="D11" s="21"/>
      <c r="E11" s="21"/>
      <c r="F11" s="21"/>
      <c r="G11" s="21"/>
      <c r="H11" s="21"/>
      <c r="I11" s="21"/>
      <c r="J11" s="22"/>
    </row>
    <row r="12" spans="1:10">
      <c r="A12" s="15" t="s">
        <v>1646</v>
      </c>
      <c r="B12" s="3"/>
      <c r="C12" s="3"/>
      <c r="D12" s="3"/>
      <c r="E12" s="3"/>
      <c r="F12" s="3"/>
      <c r="G12" s="3"/>
      <c r="H12" s="3"/>
      <c r="I12" s="3"/>
      <c r="J12" s="4"/>
    </row>
    <row r="13" ht="36" customHeight="1" spans="1:10">
      <c r="A13" s="10" t="s">
        <v>1647</v>
      </c>
      <c r="B13" s="16"/>
      <c r="C13" s="16"/>
      <c r="D13" s="16"/>
      <c r="E13" s="16"/>
      <c r="F13" s="16"/>
      <c r="G13" s="16"/>
      <c r="H13" s="16"/>
      <c r="I13" s="16"/>
      <c r="J13" s="17"/>
    </row>
    <row r="14" spans="1:10">
      <c r="A14" s="18"/>
      <c r="J14" s="19"/>
    </row>
    <row r="15" spans="1:10">
      <c r="A15" s="20"/>
      <c r="B15" s="21"/>
      <c r="C15" s="21"/>
      <c r="D15" s="21"/>
      <c r="E15" s="21"/>
      <c r="F15" s="21"/>
      <c r="G15" s="21"/>
      <c r="H15" s="21"/>
      <c r="I15" s="21"/>
      <c r="J15" s="22"/>
    </row>
    <row r="17" spans="1:10">
      <c r="A17" s="15" t="s">
        <v>1648</v>
      </c>
      <c r="B17" s="3"/>
      <c r="C17" s="3"/>
      <c r="D17" s="3"/>
      <c r="E17" s="3"/>
      <c r="F17" s="3"/>
      <c r="G17" s="3"/>
      <c r="H17" s="3"/>
      <c r="I17" s="3"/>
      <c r="J17" s="4"/>
    </row>
    <row r="18" ht="36" customHeight="1" spans="1:10">
      <c r="A18" s="10" t="s">
        <v>1649</v>
      </c>
      <c r="B18" s="16"/>
      <c r="C18" s="16"/>
      <c r="D18" s="16"/>
      <c r="E18" s="16"/>
      <c r="F18" s="16"/>
      <c r="G18" s="16"/>
      <c r="H18" s="16"/>
      <c r="I18" s="16"/>
      <c r="J18" s="17"/>
    </row>
    <row r="19" spans="1:10">
      <c r="A19" s="18"/>
      <c r="J19" s="19"/>
    </row>
    <row r="20" spans="1:10">
      <c r="A20" s="20"/>
      <c r="B20" s="21"/>
      <c r="C20" s="21"/>
      <c r="D20" s="21"/>
      <c r="E20" s="21"/>
      <c r="F20" s="21"/>
      <c r="G20" s="21"/>
      <c r="H20" s="21"/>
      <c r="I20" s="21"/>
      <c r="J20" s="22"/>
    </row>
    <row r="22" spans="1:10">
      <c r="A22" s="15" t="s">
        <v>1650</v>
      </c>
      <c r="B22" s="3"/>
      <c r="C22" s="3"/>
      <c r="D22" s="3"/>
      <c r="E22" s="3"/>
      <c r="F22" s="3"/>
      <c r="G22" s="3"/>
      <c r="H22" s="3"/>
      <c r="I22" s="3"/>
      <c r="J22" s="4"/>
    </row>
    <row r="23" ht="36" customHeight="1" spans="1:10">
      <c r="A23" s="10" t="s">
        <v>1651</v>
      </c>
      <c r="B23" s="16"/>
      <c r="C23" s="16"/>
      <c r="D23" s="16"/>
      <c r="E23" s="16"/>
      <c r="F23" s="16"/>
      <c r="G23" s="16"/>
      <c r="H23" s="16"/>
      <c r="I23" s="16"/>
      <c r="J23" s="17"/>
    </row>
    <row r="24" spans="1:10">
      <c r="A24" s="18"/>
      <c r="J24" s="19"/>
    </row>
    <row r="25" spans="1:10">
      <c r="A25" s="20"/>
      <c r="B25" s="21"/>
      <c r="C25" s="21"/>
      <c r="D25" s="21"/>
      <c r="E25" s="21"/>
      <c r="F25" s="21"/>
      <c r="G25" s="21"/>
      <c r="H25" s="21"/>
      <c r="I25" s="21"/>
      <c r="J25" s="22"/>
    </row>
    <row r="27" spans="1:10">
      <c r="A27" s="15" t="s">
        <v>1652</v>
      </c>
      <c r="B27" s="3"/>
      <c r="C27" s="3"/>
      <c r="D27" s="3"/>
      <c r="E27" s="3"/>
      <c r="F27" s="3"/>
      <c r="G27" s="3"/>
      <c r="H27" s="3"/>
      <c r="I27" s="3"/>
      <c r="J27" s="4"/>
    </row>
    <row r="28" ht="36" customHeight="1" spans="1:10">
      <c r="A28" s="10" t="s">
        <v>1653</v>
      </c>
      <c r="B28" s="16"/>
      <c r="C28" s="16"/>
      <c r="D28" s="16"/>
      <c r="E28" s="16"/>
      <c r="F28" s="16"/>
      <c r="G28" s="16"/>
      <c r="H28" s="16"/>
      <c r="I28" s="16"/>
      <c r="J28" s="17"/>
    </row>
    <row r="29" spans="1:10">
      <c r="A29" s="18"/>
      <c r="J29" s="19"/>
    </row>
    <row r="30" spans="1:10">
      <c r="A30" s="20"/>
      <c r="B30" s="21"/>
      <c r="C30" s="21"/>
      <c r="D30" s="21"/>
      <c r="E30" s="21"/>
      <c r="F30" s="21"/>
      <c r="G30" s="21"/>
      <c r="H30" s="21"/>
      <c r="I30" s="21"/>
      <c r="J30" s="22"/>
    </row>
    <row r="32" ht="17.6" customHeight="1" spans="1:10">
      <c r="A32" s="23" t="s">
        <v>1654</v>
      </c>
    </row>
    <row r="33" ht="28" customHeight="1" spans="1:3">
      <c r="A33" s="7" t="s">
        <v>1655</v>
      </c>
      <c r="B33" s="7" t="s">
        <v>1656</v>
      </c>
      <c r="C33" s="7" t="s">
        <v>1657</v>
      </c>
    </row>
    <row r="34" spans="1:3">
      <c r="A34" s="8" t="s">
        <v>17</v>
      </c>
      <c r="B34" s="24">
        <f>IFERROR(COUNTIF(项目总控台账!$G$4:$G$148,"已完成")/COUNTIF(项目总控台账!$A$4:$A$148,"&lt;&gt;"),0)</f>
        <v>0.503448275862069</v>
      </c>
      <c r="C34" s="8" t="s">
        <v>1658</v>
      </c>
    </row>
    <row r="35" spans="1:3">
      <c r="A35" s="8" t="s">
        <v>1659</v>
      </c>
      <c r="B35" s="8">
        <f>COUNTIF(项目总控台账!$AC$4:$AC$148,"*延期*")</f>
        <v>24</v>
      </c>
      <c r="C35" s="8" t="s">
        <v>1660</v>
      </c>
    </row>
    <row r="36" spans="1:3">
      <c r="A36" s="8" t="s">
        <v>1582</v>
      </c>
      <c r="B36" s="8">
        <f>COUNTIFS(风险问题台账!$D$4:$D$102,"高",风险问题台账!$K$4:$K$102,"&lt;&gt;已关闭")</f>
        <v>5</v>
      </c>
      <c r="C36" s="8" t="s">
        <v>1661</v>
      </c>
    </row>
    <row r="37" spans="1:3">
      <c r="A37" s="8" t="s">
        <v>1584</v>
      </c>
      <c r="B37" s="8">
        <f>COUNTIFS(会议行动项!$J$4:$J$102,"&gt;0",会议行动项!$H$4:$H$102,"&lt;&gt;已完成")</f>
        <v>0</v>
      </c>
      <c r="C37" s="8" t="s">
        <v>1662</v>
      </c>
    </row>
    <row r="38" spans="1:3">
      <c r="A38" s="8" t="s">
        <v>1624</v>
      </c>
      <c r="B38" s="8">
        <f>COUNTIFS(待决策事项!$C$5:$C$54,"&lt;&gt;",待决策事项!$I$5:$I$54,"&lt;&gt;已决策",待决策事项!$I$5:$I$54,"&lt;&gt;已关闭")</f>
        <v>0</v>
      </c>
      <c r="C38" s="8" t="s">
        <v>1663</v>
      </c>
    </row>
    <row r="39" spans="1:3">
      <c r="A39" s="8" t="s">
        <v>1585</v>
      </c>
      <c r="B39" s="8">
        <f>COUNTIF(数据质量检查!$H$5:$H$149,"需整改")</f>
        <v>12</v>
      </c>
      <c r="C39" s="8" t="s">
        <v>1664</v>
      </c>
    </row>
  </sheetData>
  <mergeCells count="15">
    <mergeCell ref="A1:J1"/>
    <mergeCell ref="A2:J2"/>
    <mergeCell ref="B4:J4"/>
    <mergeCell ref="B5:J5"/>
    <mergeCell ref="B6:J6"/>
    <mergeCell ref="A8:J8"/>
    <mergeCell ref="A12:J12"/>
    <mergeCell ref="A17:J17"/>
    <mergeCell ref="A22:J22"/>
    <mergeCell ref="A27:J27"/>
    <mergeCell ref="A9:J11"/>
    <mergeCell ref="A13:J15"/>
    <mergeCell ref="A18:J20"/>
    <mergeCell ref="A28:J30"/>
    <mergeCell ref="A23:J25"/>
  </mergeCells>
  <pageMargins left="0.75" right="0.75" top="1" bottom="1" header="0.5" footer="0.5"/>
  <pageSetup paperSize="1" fitToHeight="0" orientation="landscape"/>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7F7F"/>
    <pageSetUpPr fitToPage="1"/>
  </sheetPr>
  <dimension ref="A1:L104"/>
  <sheetViews>
    <sheetView showGridLines="0" zoomScale="85" zoomScaleNormal="85" workbookViewId="0">
      <pane ySplit="4" topLeftCell="A5" activePane="bottomLeft" state="frozen"/>
      <selection/>
      <selection pane="bottomLeft" activeCell="A1" sqref="A1:L1"/>
    </sheetView>
  </sheetViews>
  <sheetFormatPr defaultColWidth="9" defaultRowHeight="16.8"/>
  <cols>
    <col min="1" max="1" width="12" style="1" customWidth="1"/>
    <col min="2" max="2" width="18" style="1" customWidth="1"/>
    <col min="3" max="3" width="15" style="1" customWidth="1"/>
    <col min="4" max="4" width="13" style="1" customWidth="1"/>
    <col min="5" max="5" width="22" style="1" customWidth="1"/>
    <col min="6" max="6" width="36" style="1" customWidth="1"/>
    <col min="7" max="7" width="12" style="1" customWidth="1"/>
    <col min="8" max="8" width="36" style="1" customWidth="1"/>
    <col min="9" max="9" width="30" style="1" customWidth="1"/>
    <col min="10" max="10" width="14" style="1" customWidth="1"/>
    <col min="11" max="12" width="13" style="1" customWidth="1"/>
  </cols>
  <sheetData>
    <row r="1" ht="28" customHeight="1" spans="1:12">
      <c r="A1" s="2" t="s">
        <v>1665</v>
      </c>
      <c r="B1" s="3"/>
      <c r="C1" s="3"/>
      <c r="D1" s="3"/>
      <c r="E1" s="3"/>
      <c r="F1" s="3"/>
      <c r="G1" s="3"/>
      <c r="H1" s="3"/>
      <c r="I1" s="3"/>
      <c r="J1" s="3"/>
      <c r="K1" s="3"/>
      <c r="L1" s="4"/>
    </row>
    <row r="2" ht="22" customHeight="1" spans="1:12">
      <c r="A2" s="5" t="s">
        <v>1666</v>
      </c>
      <c r="B2" s="3"/>
      <c r="C2" s="3"/>
      <c r="D2" s="3"/>
      <c r="E2" s="3"/>
      <c r="F2" s="3"/>
      <c r="G2" s="3"/>
      <c r="H2" s="3"/>
      <c r="I2" s="3"/>
      <c r="J2" s="3"/>
      <c r="K2" s="3"/>
      <c r="L2" s="4"/>
    </row>
    <row r="3" spans="1:12">
      <c r="A3" s="6"/>
      <c r="B3" s="6"/>
      <c r="C3" s="6"/>
      <c r="D3" s="6"/>
      <c r="E3" s="6"/>
      <c r="F3" s="6"/>
      <c r="G3" s="6"/>
      <c r="H3" s="6"/>
      <c r="I3" s="6"/>
      <c r="J3" s="6"/>
      <c r="K3" s="6"/>
      <c r="L3" s="6"/>
    </row>
    <row r="4" ht="28" customHeight="1" spans="1:12">
      <c r="A4" s="7" t="s">
        <v>1667</v>
      </c>
      <c r="B4" s="7" t="s">
        <v>1668</v>
      </c>
      <c r="C4" s="7" t="s">
        <v>1669</v>
      </c>
      <c r="D4" s="7" t="s">
        <v>1573</v>
      </c>
      <c r="E4" s="7" t="s">
        <v>1670</v>
      </c>
      <c r="F4" s="7" t="s">
        <v>1671</v>
      </c>
      <c r="G4" s="7" t="s">
        <v>570</v>
      </c>
      <c r="H4" s="7" t="s">
        <v>1672</v>
      </c>
      <c r="I4" s="7" t="s">
        <v>1673</v>
      </c>
      <c r="J4" s="7" t="s">
        <v>1674</v>
      </c>
      <c r="K4" s="7" t="s">
        <v>1675</v>
      </c>
      <c r="L4" s="7" t="s">
        <v>1676</v>
      </c>
    </row>
    <row r="5" spans="1:12">
      <c r="A5" s="8" t="str">
        <f t="shared" ref="A5:A68" si="0">IF(B5="","","AI-"&amp;TEXT(ROW()-4,"0000"))</f>
        <v/>
      </c>
      <c r="B5" s="9"/>
      <c r="C5" s="10"/>
      <c r="D5" s="11"/>
      <c r="E5" s="10"/>
      <c r="F5" s="10"/>
      <c r="G5" s="10"/>
      <c r="H5" s="10"/>
      <c r="I5" s="10"/>
      <c r="J5" s="10"/>
      <c r="K5" s="10"/>
      <c r="L5" s="11"/>
    </row>
    <row r="6" spans="1:12">
      <c r="A6" s="8" t="str">
        <f t="shared" si="0"/>
        <v/>
      </c>
      <c r="B6" s="9"/>
      <c r="C6" s="10"/>
      <c r="D6" s="11"/>
      <c r="E6" s="10"/>
      <c r="F6" s="10"/>
      <c r="G6" s="10"/>
      <c r="H6" s="10"/>
      <c r="I6" s="10"/>
      <c r="J6" s="10"/>
      <c r="K6" s="10"/>
      <c r="L6" s="11"/>
    </row>
    <row r="7" spans="1:12">
      <c r="A7" s="8" t="str">
        <f t="shared" si="0"/>
        <v/>
      </c>
      <c r="B7" s="9"/>
      <c r="C7" s="10"/>
      <c r="D7" s="11"/>
      <c r="E7" s="10"/>
      <c r="F7" s="10"/>
      <c r="G7" s="10"/>
      <c r="H7" s="10"/>
      <c r="I7" s="10"/>
      <c r="J7" s="10"/>
      <c r="K7" s="10"/>
      <c r="L7" s="11"/>
    </row>
    <row r="8" spans="1:12">
      <c r="A8" s="8" t="str">
        <f t="shared" si="0"/>
        <v/>
      </c>
      <c r="B8" s="9"/>
      <c r="C8" s="10"/>
      <c r="D8" s="11"/>
      <c r="E8" s="10"/>
      <c r="F8" s="10"/>
      <c r="G8" s="10"/>
      <c r="H8" s="10"/>
      <c r="I8" s="10"/>
      <c r="J8" s="10"/>
      <c r="K8" s="10"/>
      <c r="L8" s="11"/>
    </row>
    <row r="9" spans="1:12">
      <c r="A9" s="8" t="str">
        <f t="shared" si="0"/>
        <v/>
      </c>
      <c r="B9" s="9"/>
      <c r="C9" s="10"/>
      <c r="D9" s="11"/>
      <c r="E9" s="10"/>
      <c r="F9" s="10"/>
      <c r="G9" s="10"/>
      <c r="H9" s="10"/>
      <c r="I9" s="10"/>
      <c r="J9" s="10"/>
      <c r="K9" s="10"/>
      <c r="L9" s="11"/>
    </row>
    <row r="10" spans="1:12">
      <c r="A10" s="8" t="str">
        <f t="shared" si="0"/>
        <v/>
      </c>
      <c r="B10" s="9"/>
      <c r="C10" s="10"/>
      <c r="D10" s="11"/>
      <c r="E10" s="10"/>
      <c r="F10" s="10"/>
      <c r="G10" s="10"/>
      <c r="H10" s="10"/>
      <c r="I10" s="10"/>
      <c r="J10" s="10"/>
      <c r="K10" s="10"/>
      <c r="L10" s="11"/>
    </row>
    <row r="11" spans="1:12">
      <c r="A11" s="8" t="str">
        <f t="shared" si="0"/>
        <v/>
      </c>
      <c r="B11" s="9"/>
      <c r="C11" s="10"/>
      <c r="D11" s="11"/>
      <c r="E11" s="10"/>
      <c r="F11" s="10"/>
      <c r="G11" s="10"/>
      <c r="H11" s="10"/>
      <c r="I11" s="10"/>
      <c r="J11" s="10"/>
      <c r="K11" s="10"/>
      <c r="L11" s="11"/>
    </row>
    <row r="12" spans="1:12">
      <c r="A12" s="8" t="str">
        <f t="shared" si="0"/>
        <v/>
      </c>
      <c r="B12" s="9"/>
      <c r="C12" s="10"/>
      <c r="D12" s="11"/>
      <c r="E12" s="10"/>
      <c r="F12" s="10"/>
      <c r="G12" s="10"/>
      <c r="H12" s="10"/>
      <c r="I12" s="10"/>
      <c r="J12" s="10"/>
      <c r="K12" s="10"/>
      <c r="L12" s="11"/>
    </row>
    <row r="13" spans="1:12">
      <c r="A13" s="8" t="str">
        <f t="shared" si="0"/>
        <v/>
      </c>
      <c r="B13" s="9"/>
      <c r="C13" s="10"/>
      <c r="D13" s="11"/>
      <c r="E13" s="10"/>
      <c r="F13" s="10"/>
      <c r="G13" s="10"/>
      <c r="H13" s="10"/>
      <c r="I13" s="10"/>
      <c r="J13" s="10"/>
      <c r="K13" s="10"/>
      <c r="L13" s="11"/>
    </row>
    <row r="14" spans="1:12">
      <c r="A14" s="8" t="str">
        <f t="shared" si="0"/>
        <v/>
      </c>
      <c r="B14" s="9"/>
      <c r="C14" s="10"/>
      <c r="D14" s="11"/>
      <c r="E14" s="10"/>
      <c r="F14" s="10"/>
      <c r="G14" s="10"/>
      <c r="H14" s="10"/>
      <c r="I14" s="10"/>
      <c r="J14" s="10"/>
      <c r="K14" s="10"/>
      <c r="L14" s="11"/>
    </row>
    <row r="15" spans="1:12">
      <c r="A15" s="8" t="str">
        <f t="shared" si="0"/>
        <v/>
      </c>
      <c r="B15" s="9"/>
      <c r="C15" s="10"/>
      <c r="D15" s="11"/>
      <c r="E15" s="10"/>
      <c r="F15" s="10"/>
      <c r="G15" s="10"/>
      <c r="H15" s="10"/>
      <c r="I15" s="10"/>
      <c r="J15" s="10"/>
      <c r="K15" s="10"/>
      <c r="L15" s="11"/>
    </row>
    <row r="16" spans="1:12">
      <c r="A16" s="8" t="str">
        <f t="shared" si="0"/>
        <v/>
      </c>
      <c r="B16" s="9"/>
      <c r="C16" s="10"/>
      <c r="D16" s="11"/>
      <c r="E16" s="10"/>
      <c r="F16" s="10"/>
      <c r="G16" s="10"/>
      <c r="H16" s="10"/>
      <c r="I16" s="10"/>
      <c r="J16" s="10"/>
      <c r="K16" s="10"/>
      <c r="L16" s="11"/>
    </row>
    <row r="17" spans="1:12">
      <c r="A17" s="8" t="str">
        <f t="shared" si="0"/>
        <v/>
      </c>
      <c r="B17" s="9"/>
      <c r="C17" s="10"/>
      <c r="D17" s="11"/>
      <c r="E17" s="10"/>
      <c r="F17" s="10"/>
      <c r="G17" s="10"/>
      <c r="H17" s="10"/>
      <c r="I17" s="10"/>
      <c r="J17" s="10"/>
      <c r="K17" s="10"/>
      <c r="L17" s="11"/>
    </row>
    <row r="18" spans="1:12">
      <c r="A18" s="8" t="str">
        <f t="shared" si="0"/>
        <v/>
      </c>
      <c r="B18" s="9"/>
      <c r="C18" s="10"/>
      <c r="D18" s="11"/>
      <c r="E18" s="10"/>
      <c r="F18" s="10"/>
      <c r="G18" s="10"/>
      <c r="H18" s="10"/>
      <c r="I18" s="10"/>
      <c r="J18" s="10"/>
      <c r="K18" s="10"/>
      <c r="L18" s="11"/>
    </row>
    <row r="19" spans="1:12">
      <c r="A19" s="8" t="str">
        <f t="shared" si="0"/>
        <v/>
      </c>
      <c r="B19" s="9"/>
      <c r="C19" s="10"/>
      <c r="D19" s="11"/>
      <c r="E19" s="10"/>
      <c r="F19" s="10"/>
      <c r="G19" s="10"/>
      <c r="H19" s="10"/>
      <c r="I19" s="10"/>
      <c r="J19" s="10"/>
      <c r="K19" s="10"/>
      <c r="L19" s="11"/>
    </row>
    <row r="20" spans="1:12">
      <c r="A20" s="8" t="str">
        <f t="shared" si="0"/>
        <v/>
      </c>
      <c r="B20" s="9"/>
      <c r="C20" s="10"/>
      <c r="D20" s="11"/>
      <c r="E20" s="10"/>
      <c r="F20" s="10"/>
      <c r="G20" s="10"/>
      <c r="H20" s="10"/>
      <c r="I20" s="10"/>
      <c r="J20" s="10"/>
      <c r="K20" s="10"/>
      <c r="L20" s="11"/>
    </row>
    <row r="21" spans="1:12">
      <c r="A21" s="8" t="str">
        <f t="shared" si="0"/>
        <v/>
      </c>
      <c r="B21" s="9"/>
      <c r="C21" s="10"/>
      <c r="D21" s="11"/>
      <c r="E21" s="10"/>
      <c r="F21" s="10"/>
      <c r="G21" s="10"/>
      <c r="H21" s="10"/>
      <c r="I21" s="10"/>
      <c r="J21" s="10"/>
      <c r="K21" s="10"/>
      <c r="L21" s="11"/>
    </row>
    <row r="22" spans="1:12">
      <c r="A22" s="8" t="str">
        <f t="shared" si="0"/>
        <v/>
      </c>
      <c r="B22" s="9"/>
      <c r="C22" s="10"/>
      <c r="D22" s="11"/>
      <c r="E22" s="10"/>
      <c r="F22" s="10"/>
      <c r="G22" s="10"/>
      <c r="H22" s="10"/>
      <c r="I22" s="10"/>
      <c r="J22" s="10"/>
      <c r="K22" s="10"/>
      <c r="L22" s="11"/>
    </row>
    <row r="23" spans="1:12">
      <c r="A23" s="8" t="str">
        <f t="shared" si="0"/>
        <v/>
      </c>
      <c r="B23" s="9"/>
      <c r="C23" s="10"/>
      <c r="D23" s="11"/>
      <c r="E23" s="10"/>
      <c r="F23" s="10"/>
      <c r="G23" s="10"/>
      <c r="H23" s="10"/>
      <c r="I23" s="10"/>
      <c r="J23" s="10"/>
      <c r="K23" s="10"/>
      <c r="L23" s="11"/>
    </row>
    <row r="24" spans="1:12">
      <c r="A24" s="8" t="str">
        <f t="shared" si="0"/>
        <v/>
      </c>
      <c r="B24" s="9"/>
      <c r="C24" s="10"/>
      <c r="D24" s="11"/>
      <c r="E24" s="10"/>
      <c r="F24" s="10"/>
      <c r="G24" s="10"/>
      <c r="H24" s="10"/>
      <c r="I24" s="10"/>
      <c r="J24" s="10"/>
      <c r="K24" s="10"/>
      <c r="L24" s="11"/>
    </row>
    <row r="25" spans="1:12">
      <c r="A25" s="8" t="str">
        <f t="shared" si="0"/>
        <v/>
      </c>
      <c r="B25" s="9"/>
      <c r="C25" s="10"/>
      <c r="D25" s="11"/>
      <c r="E25" s="10"/>
      <c r="F25" s="10"/>
      <c r="G25" s="10"/>
      <c r="H25" s="10"/>
      <c r="I25" s="10"/>
      <c r="J25" s="10"/>
      <c r="K25" s="10"/>
      <c r="L25" s="11"/>
    </row>
    <row r="26" spans="1:12">
      <c r="A26" s="8" t="str">
        <f t="shared" si="0"/>
        <v/>
      </c>
      <c r="B26" s="9"/>
      <c r="C26" s="10"/>
      <c r="D26" s="11"/>
      <c r="E26" s="10"/>
      <c r="F26" s="10"/>
      <c r="G26" s="10"/>
      <c r="H26" s="10"/>
      <c r="I26" s="10"/>
      <c r="J26" s="10"/>
      <c r="K26" s="10"/>
      <c r="L26" s="11"/>
    </row>
    <row r="27" spans="1:12">
      <c r="A27" s="8" t="str">
        <f t="shared" si="0"/>
        <v/>
      </c>
      <c r="B27" s="9"/>
      <c r="C27" s="10"/>
      <c r="D27" s="11"/>
      <c r="E27" s="10"/>
      <c r="F27" s="10"/>
      <c r="G27" s="10"/>
      <c r="H27" s="10"/>
      <c r="I27" s="10"/>
      <c r="J27" s="10"/>
      <c r="K27" s="10"/>
      <c r="L27" s="11"/>
    </row>
    <row r="28" spans="1:12">
      <c r="A28" s="8" t="str">
        <f t="shared" si="0"/>
        <v/>
      </c>
      <c r="B28" s="9"/>
      <c r="C28" s="10"/>
      <c r="D28" s="11"/>
      <c r="E28" s="10"/>
      <c r="F28" s="10"/>
      <c r="G28" s="10"/>
      <c r="H28" s="10"/>
      <c r="I28" s="10"/>
      <c r="J28" s="10"/>
      <c r="K28" s="10"/>
      <c r="L28" s="11"/>
    </row>
    <row r="29" spans="1:12">
      <c r="A29" s="8" t="str">
        <f t="shared" si="0"/>
        <v/>
      </c>
      <c r="B29" s="9"/>
      <c r="C29" s="10"/>
      <c r="D29" s="11"/>
      <c r="E29" s="10"/>
      <c r="F29" s="10"/>
      <c r="G29" s="10"/>
      <c r="H29" s="10"/>
      <c r="I29" s="10"/>
      <c r="J29" s="10"/>
      <c r="K29" s="10"/>
      <c r="L29" s="11"/>
    </row>
    <row r="30" spans="1:12">
      <c r="A30" s="8" t="str">
        <f t="shared" si="0"/>
        <v/>
      </c>
      <c r="B30" s="9"/>
      <c r="C30" s="10"/>
      <c r="D30" s="11"/>
      <c r="E30" s="10"/>
      <c r="F30" s="10"/>
      <c r="G30" s="10"/>
      <c r="H30" s="10"/>
      <c r="I30" s="10"/>
      <c r="J30" s="10"/>
      <c r="K30" s="10"/>
      <c r="L30" s="11"/>
    </row>
    <row r="31" spans="1:12">
      <c r="A31" s="8" t="str">
        <f t="shared" si="0"/>
        <v/>
      </c>
      <c r="B31" s="9"/>
      <c r="C31" s="10"/>
      <c r="D31" s="11"/>
      <c r="E31" s="10"/>
      <c r="F31" s="10"/>
      <c r="G31" s="10"/>
      <c r="H31" s="10"/>
      <c r="I31" s="10"/>
      <c r="J31" s="10"/>
      <c r="K31" s="10"/>
      <c r="L31" s="11"/>
    </row>
    <row r="32" spans="1:12">
      <c r="A32" s="8" t="str">
        <f t="shared" si="0"/>
        <v/>
      </c>
      <c r="B32" s="9"/>
      <c r="C32" s="10"/>
      <c r="D32" s="11"/>
      <c r="E32" s="10"/>
      <c r="F32" s="10"/>
      <c r="G32" s="10"/>
      <c r="H32" s="10"/>
      <c r="I32" s="10"/>
      <c r="J32" s="10"/>
      <c r="K32" s="10"/>
      <c r="L32" s="11"/>
    </row>
    <row r="33" spans="1:12">
      <c r="A33" s="8" t="str">
        <f t="shared" si="0"/>
        <v/>
      </c>
      <c r="B33" s="9"/>
      <c r="C33" s="10"/>
      <c r="D33" s="11"/>
      <c r="E33" s="10"/>
      <c r="F33" s="10"/>
      <c r="G33" s="10"/>
      <c r="H33" s="10"/>
      <c r="I33" s="10"/>
      <c r="J33" s="10"/>
      <c r="K33" s="10"/>
      <c r="L33" s="11"/>
    </row>
    <row r="34" spans="1:12">
      <c r="A34" s="8" t="str">
        <f t="shared" si="0"/>
        <v/>
      </c>
      <c r="B34" s="9"/>
      <c r="C34" s="10"/>
      <c r="D34" s="11"/>
      <c r="E34" s="10"/>
      <c r="F34" s="10"/>
      <c r="G34" s="10"/>
      <c r="H34" s="10"/>
      <c r="I34" s="10"/>
      <c r="J34" s="10"/>
      <c r="K34" s="10"/>
      <c r="L34" s="11"/>
    </row>
    <row r="35" spans="1:12">
      <c r="A35" s="8" t="str">
        <f t="shared" si="0"/>
        <v/>
      </c>
      <c r="B35" s="9"/>
      <c r="C35" s="10"/>
      <c r="D35" s="11"/>
      <c r="E35" s="10"/>
      <c r="F35" s="10"/>
      <c r="G35" s="10"/>
      <c r="H35" s="10"/>
      <c r="I35" s="10"/>
      <c r="J35" s="10"/>
      <c r="K35" s="10"/>
      <c r="L35" s="11"/>
    </row>
    <row r="36" spans="1:12">
      <c r="A36" s="8" t="str">
        <f t="shared" si="0"/>
        <v/>
      </c>
      <c r="B36" s="9"/>
      <c r="C36" s="10"/>
      <c r="D36" s="11"/>
      <c r="E36" s="10"/>
      <c r="F36" s="10"/>
      <c r="G36" s="10"/>
      <c r="H36" s="10"/>
      <c r="I36" s="10"/>
      <c r="J36" s="10"/>
      <c r="K36" s="10"/>
      <c r="L36" s="11"/>
    </row>
    <row r="37" spans="1:12">
      <c r="A37" s="8" t="str">
        <f t="shared" si="0"/>
        <v/>
      </c>
      <c r="B37" s="9"/>
      <c r="C37" s="10"/>
      <c r="D37" s="11"/>
      <c r="E37" s="10"/>
      <c r="F37" s="10"/>
      <c r="G37" s="10"/>
      <c r="H37" s="10"/>
      <c r="I37" s="10"/>
      <c r="J37" s="10"/>
      <c r="K37" s="10"/>
      <c r="L37" s="11"/>
    </row>
    <row r="38" spans="1:12">
      <c r="A38" s="8" t="str">
        <f t="shared" si="0"/>
        <v/>
      </c>
      <c r="B38" s="9"/>
      <c r="C38" s="10"/>
      <c r="D38" s="11"/>
      <c r="E38" s="10"/>
      <c r="F38" s="10"/>
      <c r="G38" s="10"/>
      <c r="H38" s="10"/>
      <c r="I38" s="10"/>
      <c r="J38" s="10"/>
      <c r="K38" s="10"/>
      <c r="L38" s="11"/>
    </row>
    <row r="39" spans="1:12">
      <c r="A39" s="8" t="str">
        <f t="shared" si="0"/>
        <v/>
      </c>
      <c r="B39" s="9"/>
      <c r="C39" s="10"/>
      <c r="D39" s="11"/>
      <c r="E39" s="10"/>
      <c r="F39" s="10"/>
      <c r="G39" s="10"/>
      <c r="H39" s="10"/>
      <c r="I39" s="10"/>
      <c r="J39" s="10"/>
      <c r="K39" s="10"/>
      <c r="L39" s="11"/>
    </row>
    <row r="40" spans="1:12">
      <c r="A40" s="8" t="str">
        <f t="shared" si="0"/>
        <v/>
      </c>
      <c r="B40" s="9"/>
      <c r="C40" s="10"/>
      <c r="D40" s="11"/>
      <c r="E40" s="10"/>
      <c r="F40" s="10"/>
      <c r="G40" s="10"/>
      <c r="H40" s="10"/>
      <c r="I40" s="10"/>
      <c r="J40" s="10"/>
      <c r="K40" s="10"/>
      <c r="L40" s="11"/>
    </row>
    <row r="41" spans="1:12">
      <c r="A41" s="8" t="str">
        <f t="shared" si="0"/>
        <v/>
      </c>
      <c r="B41" s="9"/>
      <c r="C41" s="10"/>
      <c r="D41" s="11"/>
      <c r="E41" s="10"/>
      <c r="F41" s="10"/>
      <c r="G41" s="10"/>
      <c r="H41" s="10"/>
      <c r="I41" s="10"/>
      <c r="J41" s="10"/>
      <c r="K41" s="10"/>
      <c r="L41" s="11"/>
    </row>
    <row r="42" spans="1:12">
      <c r="A42" s="8" t="str">
        <f t="shared" si="0"/>
        <v/>
      </c>
      <c r="B42" s="9"/>
      <c r="C42" s="10"/>
      <c r="D42" s="11"/>
      <c r="E42" s="10"/>
      <c r="F42" s="10"/>
      <c r="G42" s="10"/>
      <c r="H42" s="10"/>
      <c r="I42" s="10"/>
      <c r="J42" s="10"/>
      <c r="K42" s="10"/>
      <c r="L42" s="11"/>
    </row>
    <row r="43" spans="1:12">
      <c r="A43" s="8" t="str">
        <f t="shared" si="0"/>
        <v/>
      </c>
      <c r="B43" s="9"/>
      <c r="C43" s="10"/>
      <c r="D43" s="11"/>
      <c r="E43" s="10"/>
      <c r="F43" s="10"/>
      <c r="G43" s="10"/>
      <c r="H43" s="10"/>
      <c r="I43" s="10"/>
      <c r="J43" s="10"/>
      <c r="K43" s="10"/>
      <c r="L43" s="11"/>
    </row>
    <row r="44" spans="1:12">
      <c r="A44" s="8" t="str">
        <f t="shared" si="0"/>
        <v/>
      </c>
      <c r="B44" s="9"/>
      <c r="C44" s="10"/>
      <c r="D44" s="11"/>
      <c r="E44" s="10"/>
      <c r="F44" s="10"/>
      <c r="G44" s="10"/>
      <c r="H44" s="10"/>
      <c r="I44" s="10"/>
      <c r="J44" s="10"/>
      <c r="K44" s="10"/>
      <c r="L44" s="11"/>
    </row>
    <row r="45" spans="1:12">
      <c r="A45" s="8" t="str">
        <f t="shared" si="0"/>
        <v/>
      </c>
      <c r="B45" s="9"/>
      <c r="C45" s="10"/>
      <c r="D45" s="11"/>
      <c r="E45" s="10"/>
      <c r="F45" s="10"/>
      <c r="G45" s="10"/>
      <c r="H45" s="10"/>
      <c r="I45" s="10"/>
      <c r="J45" s="10"/>
      <c r="K45" s="10"/>
      <c r="L45" s="11"/>
    </row>
    <row r="46" spans="1:12">
      <c r="A46" s="8" t="str">
        <f t="shared" si="0"/>
        <v/>
      </c>
      <c r="B46" s="9"/>
      <c r="C46" s="10"/>
      <c r="D46" s="11"/>
      <c r="E46" s="10"/>
      <c r="F46" s="10"/>
      <c r="G46" s="10"/>
      <c r="H46" s="10"/>
      <c r="I46" s="10"/>
      <c r="J46" s="10"/>
      <c r="K46" s="10"/>
      <c r="L46" s="11"/>
    </row>
    <row r="47" spans="1:12">
      <c r="A47" s="8" t="str">
        <f t="shared" si="0"/>
        <v/>
      </c>
      <c r="B47" s="9"/>
      <c r="C47" s="10"/>
      <c r="D47" s="11"/>
      <c r="E47" s="10"/>
      <c r="F47" s="10"/>
      <c r="G47" s="10"/>
      <c r="H47" s="10"/>
      <c r="I47" s="10"/>
      <c r="J47" s="10"/>
      <c r="K47" s="10"/>
      <c r="L47" s="11"/>
    </row>
    <row r="48" spans="1:12">
      <c r="A48" s="8" t="str">
        <f t="shared" si="0"/>
        <v/>
      </c>
      <c r="B48" s="9"/>
      <c r="C48" s="10"/>
      <c r="D48" s="11"/>
      <c r="E48" s="10"/>
      <c r="F48" s="10"/>
      <c r="G48" s="10"/>
      <c r="H48" s="10"/>
      <c r="I48" s="10"/>
      <c r="J48" s="10"/>
      <c r="K48" s="10"/>
      <c r="L48" s="11"/>
    </row>
    <row r="49" spans="1:12">
      <c r="A49" s="8" t="str">
        <f t="shared" si="0"/>
        <v/>
      </c>
      <c r="B49" s="9"/>
      <c r="C49" s="10"/>
      <c r="D49" s="11"/>
      <c r="E49" s="10"/>
      <c r="F49" s="10"/>
      <c r="G49" s="10"/>
      <c r="H49" s="10"/>
      <c r="I49" s="10"/>
      <c r="J49" s="10"/>
      <c r="K49" s="10"/>
      <c r="L49" s="11"/>
    </row>
    <row r="50" spans="1:12">
      <c r="A50" s="8" t="str">
        <f t="shared" si="0"/>
        <v/>
      </c>
      <c r="B50" s="9"/>
      <c r="C50" s="10"/>
      <c r="D50" s="11"/>
      <c r="E50" s="10"/>
      <c r="F50" s="10"/>
      <c r="G50" s="10"/>
      <c r="H50" s="10"/>
      <c r="I50" s="10"/>
      <c r="J50" s="10"/>
      <c r="K50" s="10"/>
      <c r="L50" s="11"/>
    </row>
    <row r="51" spans="1:12">
      <c r="A51" s="8" t="str">
        <f t="shared" si="0"/>
        <v/>
      </c>
      <c r="B51" s="9"/>
      <c r="C51" s="10"/>
      <c r="D51" s="11"/>
      <c r="E51" s="10"/>
      <c r="F51" s="10"/>
      <c r="G51" s="10"/>
      <c r="H51" s="10"/>
      <c r="I51" s="10"/>
      <c r="J51" s="10"/>
      <c r="K51" s="10"/>
      <c r="L51" s="11"/>
    </row>
    <row r="52" spans="1:12">
      <c r="A52" s="8" t="str">
        <f t="shared" si="0"/>
        <v/>
      </c>
      <c r="B52" s="9"/>
      <c r="C52" s="10"/>
      <c r="D52" s="11"/>
      <c r="E52" s="10"/>
      <c r="F52" s="10"/>
      <c r="G52" s="10"/>
      <c r="H52" s="10"/>
      <c r="I52" s="10"/>
      <c r="J52" s="10"/>
      <c r="K52" s="10"/>
      <c r="L52" s="11"/>
    </row>
    <row r="53" spans="1:12">
      <c r="A53" s="8" t="str">
        <f t="shared" si="0"/>
        <v/>
      </c>
      <c r="B53" s="9"/>
      <c r="C53" s="10"/>
      <c r="D53" s="11"/>
      <c r="E53" s="10"/>
      <c r="F53" s="10"/>
      <c r="G53" s="10"/>
      <c r="H53" s="10"/>
      <c r="I53" s="10"/>
      <c r="J53" s="10"/>
      <c r="K53" s="10"/>
      <c r="L53" s="11"/>
    </row>
    <row r="54" spans="1:12">
      <c r="A54" s="8" t="str">
        <f t="shared" si="0"/>
        <v/>
      </c>
      <c r="B54" s="9"/>
      <c r="C54" s="10"/>
      <c r="D54" s="11"/>
      <c r="E54" s="10"/>
      <c r="F54" s="10"/>
      <c r="G54" s="10"/>
      <c r="H54" s="10"/>
      <c r="I54" s="10"/>
      <c r="J54" s="10"/>
      <c r="K54" s="10"/>
      <c r="L54" s="11"/>
    </row>
    <row r="55" spans="1:12">
      <c r="A55" s="8" t="str">
        <f t="shared" si="0"/>
        <v/>
      </c>
      <c r="B55" s="9"/>
      <c r="C55" s="10"/>
      <c r="D55" s="11"/>
      <c r="E55" s="10"/>
      <c r="F55" s="10"/>
      <c r="G55" s="10"/>
      <c r="H55" s="10"/>
      <c r="I55" s="10"/>
      <c r="J55" s="10"/>
      <c r="K55" s="10"/>
      <c r="L55" s="11"/>
    </row>
    <row r="56" spans="1:12">
      <c r="A56" s="8" t="str">
        <f t="shared" si="0"/>
        <v/>
      </c>
      <c r="B56" s="9"/>
      <c r="C56" s="10"/>
      <c r="D56" s="11"/>
      <c r="E56" s="10"/>
      <c r="F56" s="10"/>
      <c r="G56" s="10"/>
      <c r="H56" s="10"/>
      <c r="I56" s="10"/>
      <c r="J56" s="10"/>
      <c r="K56" s="10"/>
      <c r="L56" s="11"/>
    </row>
    <row r="57" spans="1:12">
      <c r="A57" s="8" t="str">
        <f t="shared" si="0"/>
        <v/>
      </c>
      <c r="B57" s="9"/>
      <c r="C57" s="10"/>
      <c r="D57" s="11"/>
      <c r="E57" s="10"/>
      <c r="F57" s="10"/>
      <c r="G57" s="10"/>
      <c r="H57" s="10"/>
      <c r="I57" s="10"/>
      <c r="J57" s="10"/>
      <c r="K57" s="10"/>
      <c r="L57" s="11"/>
    </row>
    <row r="58" spans="1:12">
      <c r="A58" s="8" t="str">
        <f t="shared" si="0"/>
        <v/>
      </c>
      <c r="B58" s="9"/>
      <c r="C58" s="10"/>
      <c r="D58" s="11"/>
      <c r="E58" s="10"/>
      <c r="F58" s="10"/>
      <c r="G58" s="10"/>
      <c r="H58" s="10"/>
      <c r="I58" s="10"/>
      <c r="J58" s="10"/>
      <c r="K58" s="10"/>
      <c r="L58" s="11"/>
    </row>
    <row r="59" spans="1:12">
      <c r="A59" s="8" t="str">
        <f t="shared" si="0"/>
        <v/>
      </c>
      <c r="B59" s="9"/>
      <c r="C59" s="10"/>
      <c r="D59" s="11"/>
      <c r="E59" s="10"/>
      <c r="F59" s="10"/>
      <c r="G59" s="10"/>
      <c r="H59" s="10"/>
      <c r="I59" s="10"/>
      <c r="J59" s="10"/>
      <c r="K59" s="10"/>
      <c r="L59" s="11"/>
    </row>
    <row r="60" spans="1:12">
      <c r="A60" s="8" t="str">
        <f t="shared" si="0"/>
        <v/>
      </c>
      <c r="B60" s="9"/>
      <c r="C60" s="10"/>
      <c r="D60" s="11"/>
      <c r="E60" s="10"/>
      <c r="F60" s="10"/>
      <c r="G60" s="10"/>
      <c r="H60" s="10"/>
      <c r="I60" s="10"/>
      <c r="J60" s="10"/>
      <c r="K60" s="10"/>
      <c r="L60" s="11"/>
    </row>
    <row r="61" spans="1:12">
      <c r="A61" s="8" t="str">
        <f t="shared" si="0"/>
        <v/>
      </c>
      <c r="B61" s="9"/>
      <c r="C61" s="10"/>
      <c r="D61" s="11"/>
      <c r="E61" s="10"/>
      <c r="F61" s="10"/>
      <c r="G61" s="10"/>
      <c r="H61" s="10"/>
      <c r="I61" s="10"/>
      <c r="J61" s="10"/>
      <c r="K61" s="10"/>
      <c r="L61" s="11"/>
    </row>
    <row r="62" spans="1:12">
      <c r="A62" s="8" t="str">
        <f t="shared" si="0"/>
        <v/>
      </c>
      <c r="B62" s="9"/>
      <c r="C62" s="10"/>
      <c r="D62" s="11"/>
      <c r="E62" s="10"/>
      <c r="F62" s="10"/>
      <c r="G62" s="10"/>
      <c r="H62" s="10"/>
      <c r="I62" s="10"/>
      <c r="J62" s="10"/>
      <c r="K62" s="10"/>
      <c r="L62" s="11"/>
    </row>
    <row r="63" spans="1:12">
      <c r="A63" s="8" t="str">
        <f t="shared" si="0"/>
        <v/>
      </c>
      <c r="B63" s="9"/>
      <c r="C63" s="10"/>
      <c r="D63" s="11"/>
      <c r="E63" s="10"/>
      <c r="F63" s="10"/>
      <c r="G63" s="10"/>
      <c r="H63" s="10"/>
      <c r="I63" s="10"/>
      <c r="J63" s="10"/>
      <c r="K63" s="10"/>
      <c r="L63" s="11"/>
    </row>
    <row r="64" spans="1:12">
      <c r="A64" s="8" t="str">
        <f t="shared" si="0"/>
        <v/>
      </c>
      <c r="B64" s="9"/>
      <c r="C64" s="10"/>
      <c r="D64" s="11"/>
      <c r="E64" s="10"/>
      <c r="F64" s="10"/>
      <c r="G64" s="10"/>
      <c r="H64" s="10"/>
      <c r="I64" s="10"/>
      <c r="J64" s="10"/>
      <c r="K64" s="10"/>
      <c r="L64" s="11"/>
    </row>
    <row r="65" spans="1:12">
      <c r="A65" s="8" t="str">
        <f t="shared" si="0"/>
        <v/>
      </c>
      <c r="B65" s="9"/>
      <c r="C65" s="10"/>
      <c r="D65" s="11"/>
      <c r="E65" s="10"/>
      <c r="F65" s="10"/>
      <c r="G65" s="10"/>
      <c r="H65" s="10"/>
      <c r="I65" s="10"/>
      <c r="J65" s="10"/>
      <c r="K65" s="10"/>
      <c r="L65" s="11"/>
    </row>
    <row r="66" spans="1:12">
      <c r="A66" s="8" t="str">
        <f t="shared" si="0"/>
        <v/>
      </c>
      <c r="B66" s="9"/>
      <c r="C66" s="10"/>
      <c r="D66" s="11"/>
      <c r="E66" s="10"/>
      <c r="F66" s="10"/>
      <c r="G66" s="10"/>
      <c r="H66" s="10"/>
      <c r="I66" s="10"/>
      <c r="J66" s="10"/>
      <c r="K66" s="10"/>
      <c r="L66" s="11"/>
    </row>
    <row r="67" spans="1:12">
      <c r="A67" s="8" t="str">
        <f t="shared" si="0"/>
        <v/>
      </c>
      <c r="B67" s="9"/>
      <c r="C67" s="10"/>
      <c r="D67" s="11"/>
      <c r="E67" s="10"/>
      <c r="F67" s="10"/>
      <c r="G67" s="10"/>
      <c r="H67" s="10"/>
      <c r="I67" s="10"/>
      <c r="J67" s="10"/>
      <c r="K67" s="10"/>
      <c r="L67" s="11"/>
    </row>
    <row r="68" spans="1:12">
      <c r="A68" s="8" t="str">
        <f t="shared" si="0"/>
        <v/>
      </c>
      <c r="B68" s="9"/>
      <c r="C68" s="10"/>
      <c r="D68" s="11"/>
      <c r="E68" s="10"/>
      <c r="F68" s="10"/>
      <c r="G68" s="10"/>
      <c r="H68" s="10"/>
      <c r="I68" s="10"/>
      <c r="J68" s="10"/>
      <c r="K68" s="10"/>
      <c r="L68" s="11"/>
    </row>
    <row r="69" spans="1:12">
      <c r="A69" s="8" t="str">
        <f t="shared" ref="A69:A104" si="1">IF(B69="","","AI-"&amp;TEXT(ROW()-4,"0000"))</f>
        <v/>
      </c>
      <c r="B69" s="9"/>
      <c r="C69" s="10"/>
      <c r="D69" s="11"/>
      <c r="E69" s="10"/>
      <c r="F69" s="10"/>
      <c r="G69" s="10"/>
      <c r="H69" s="10"/>
      <c r="I69" s="10"/>
      <c r="J69" s="10"/>
      <c r="K69" s="10"/>
      <c r="L69" s="11"/>
    </row>
    <row r="70" spans="1:12">
      <c r="A70" s="8" t="str">
        <f t="shared" si="1"/>
        <v/>
      </c>
      <c r="B70" s="9"/>
      <c r="C70" s="10"/>
      <c r="D70" s="11"/>
      <c r="E70" s="10"/>
      <c r="F70" s="10"/>
      <c r="G70" s="10"/>
      <c r="H70" s="10"/>
      <c r="I70" s="10"/>
      <c r="J70" s="10"/>
      <c r="K70" s="10"/>
      <c r="L70" s="11"/>
    </row>
    <row r="71" spans="1:12">
      <c r="A71" s="8" t="str">
        <f t="shared" si="1"/>
        <v/>
      </c>
      <c r="B71" s="9"/>
      <c r="C71" s="10"/>
      <c r="D71" s="11"/>
      <c r="E71" s="10"/>
      <c r="F71" s="10"/>
      <c r="G71" s="10"/>
      <c r="H71" s="10"/>
      <c r="I71" s="10"/>
      <c r="J71" s="10"/>
      <c r="K71" s="10"/>
      <c r="L71" s="11"/>
    </row>
    <row r="72" spans="1:12">
      <c r="A72" s="8" t="str">
        <f t="shared" si="1"/>
        <v/>
      </c>
      <c r="B72" s="9"/>
      <c r="C72" s="10"/>
      <c r="D72" s="11"/>
      <c r="E72" s="10"/>
      <c r="F72" s="10"/>
      <c r="G72" s="10"/>
      <c r="H72" s="10"/>
      <c r="I72" s="10"/>
      <c r="J72" s="10"/>
      <c r="K72" s="10"/>
      <c r="L72" s="11"/>
    </row>
    <row r="73" spans="1:12">
      <c r="A73" s="8" t="str">
        <f t="shared" si="1"/>
        <v/>
      </c>
      <c r="B73" s="9"/>
      <c r="C73" s="10"/>
      <c r="D73" s="11"/>
      <c r="E73" s="10"/>
      <c r="F73" s="10"/>
      <c r="G73" s="10"/>
      <c r="H73" s="10"/>
      <c r="I73" s="10"/>
      <c r="J73" s="10"/>
      <c r="K73" s="10"/>
      <c r="L73" s="11"/>
    </row>
    <row r="74" spans="1:12">
      <c r="A74" s="8" t="str">
        <f t="shared" si="1"/>
        <v/>
      </c>
      <c r="B74" s="9"/>
      <c r="C74" s="10"/>
      <c r="D74" s="11"/>
      <c r="E74" s="10"/>
      <c r="F74" s="10"/>
      <c r="G74" s="10"/>
      <c r="H74" s="10"/>
      <c r="I74" s="10"/>
      <c r="J74" s="10"/>
      <c r="K74" s="10"/>
      <c r="L74" s="11"/>
    </row>
    <row r="75" spans="1:12">
      <c r="A75" s="8" t="str">
        <f t="shared" si="1"/>
        <v/>
      </c>
      <c r="B75" s="9"/>
      <c r="C75" s="10"/>
      <c r="D75" s="11"/>
      <c r="E75" s="10"/>
      <c r="F75" s="10"/>
      <c r="G75" s="10"/>
      <c r="H75" s="10"/>
      <c r="I75" s="10"/>
      <c r="J75" s="10"/>
      <c r="K75" s="10"/>
      <c r="L75" s="11"/>
    </row>
    <row r="76" spans="1:12">
      <c r="A76" s="8" t="str">
        <f t="shared" si="1"/>
        <v/>
      </c>
      <c r="B76" s="9"/>
      <c r="C76" s="10"/>
      <c r="D76" s="11"/>
      <c r="E76" s="10"/>
      <c r="F76" s="10"/>
      <c r="G76" s="10"/>
      <c r="H76" s="10"/>
      <c r="I76" s="10"/>
      <c r="J76" s="10"/>
      <c r="K76" s="10"/>
      <c r="L76" s="11"/>
    </row>
    <row r="77" spans="1:12">
      <c r="A77" s="8" t="str">
        <f t="shared" si="1"/>
        <v/>
      </c>
      <c r="B77" s="9"/>
      <c r="C77" s="10"/>
      <c r="D77" s="11"/>
      <c r="E77" s="10"/>
      <c r="F77" s="10"/>
      <c r="G77" s="10"/>
      <c r="H77" s="10"/>
      <c r="I77" s="10"/>
      <c r="J77" s="10"/>
      <c r="K77" s="10"/>
      <c r="L77" s="11"/>
    </row>
    <row r="78" spans="1:12">
      <c r="A78" s="8" t="str">
        <f t="shared" si="1"/>
        <v/>
      </c>
      <c r="B78" s="9"/>
      <c r="C78" s="10"/>
      <c r="D78" s="11"/>
      <c r="E78" s="10"/>
      <c r="F78" s="10"/>
      <c r="G78" s="10"/>
      <c r="H78" s="10"/>
      <c r="I78" s="10"/>
      <c r="J78" s="10"/>
      <c r="K78" s="10"/>
      <c r="L78" s="11"/>
    </row>
    <row r="79" spans="1:12">
      <c r="A79" s="8" t="str">
        <f t="shared" si="1"/>
        <v/>
      </c>
      <c r="B79" s="9"/>
      <c r="C79" s="10"/>
      <c r="D79" s="11"/>
      <c r="E79" s="10"/>
      <c r="F79" s="10"/>
      <c r="G79" s="10"/>
      <c r="H79" s="10"/>
      <c r="I79" s="10"/>
      <c r="J79" s="10"/>
      <c r="K79" s="10"/>
      <c r="L79" s="11"/>
    </row>
    <row r="80" spans="1:12">
      <c r="A80" s="8" t="str">
        <f t="shared" si="1"/>
        <v/>
      </c>
      <c r="B80" s="9"/>
      <c r="C80" s="10"/>
      <c r="D80" s="11"/>
      <c r="E80" s="10"/>
      <c r="F80" s="10"/>
      <c r="G80" s="10"/>
      <c r="H80" s="10"/>
      <c r="I80" s="10"/>
      <c r="J80" s="10"/>
      <c r="K80" s="10"/>
      <c r="L80" s="11"/>
    </row>
    <row r="81" spans="1:12">
      <c r="A81" s="8" t="str">
        <f t="shared" si="1"/>
        <v/>
      </c>
      <c r="B81" s="9"/>
      <c r="C81" s="10"/>
      <c r="D81" s="11"/>
      <c r="E81" s="10"/>
      <c r="F81" s="10"/>
      <c r="G81" s="10"/>
      <c r="H81" s="10"/>
      <c r="I81" s="10"/>
      <c r="J81" s="10"/>
      <c r="K81" s="10"/>
      <c r="L81" s="11"/>
    </row>
    <row r="82" spans="1:12">
      <c r="A82" s="8" t="str">
        <f t="shared" si="1"/>
        <v/>
      </c>
      <c r="B82" s="9"/>
      <c r="C82" s="10"/>
      <c r="D82" s="11"/>
      <c r="E82" s="10"/>
      <c r="F82" s="10"/>
      <c r="G82" s="10"/>
      <c r="H82" s="10"/>
      <c r="I82" s="10"/>
      <c r="J82" s="10"/>
      <c r="K82" s="10"/>
      <c r="L82" s="11"/>
    </row>
    <row r="83" spans="1:12">
      <c r="A83" s="8" t="str">
        <f t="shared" si="1"/>
        <v/>
      </c>
      <c r="B83" s="9"/>
      <c r="C83" s="10"/>
      <c r="D83" s="11"/>
      <c r="E83" s="10"/>
      <c r="F83" s="10"/>
      <c r="G83" s="10"/>
      <c r="H83" s="10"/>
      <c r="I83" s="10"/>
      <c r="J83" s="10"/>
      <c r="K83" s="10"/>
      <c r="L83" s="11"/>
    </row>
    <row r="84" spans="1:12">
      <c r="A84" s="8" t="str">
        <f t="shared" si="1"/>
        <v/>
      </c>
      <c r="B84" s="9"/>
      <c r="C84" s="10"/>
      <c r="D84" s="11"/>
      <c r="E84" s="10"/>
      <c r="F84" s="10"/>
      <c r="G84" s="10"/>
      <c r="H84" s="10"/>
      <c r="I84" s="10"/>
      <c r="J84" s="10"/>
      <c r="K84" s="10"/>
      <c r="L84" s="11"/>
    </row>
    <row r="85" spans="1:12">
      <c r="A85" s="8" t="str">
        <f t="shared" si="1"/>
        <v/>
      </c>
      <c r="B85" s="9"/>
      <c r="C85" s="10"/>
      <c r="D85" s="11"/>
      <c r="E85" s="10"/>
      <c r="F85" s="10"/>
      <c r="G85" s="10"/>
      <c r="H85" s="10"/>
      <c r="I85" s="10"/>
      <c r="J85" s="10"/>
      <c r="K85" s="10"/>
      <c r="L85" s="11"/>
    </row>
    <row r="86" spans="1:12">
      <c r="A86" s="8" t="str">
        <f t="shared" si="1"/>
        <v/>
      </c>
      <c r="B86" s="9"/>
      <c r="C86" s="10"/>
      <c r="D86" s="11"/>
      <c r="E86" s="10"/>
      <c r="F86" s="10"/>
      <c r="G86" s="10"/>
      <c r="H86" s="10"/>
      <c r="I86" s="10"/>
      <c r="J86" s="10"/>
      <c r="K86" s="10"/>
      <c r="L86" s="11"/>
    </row>
    <row r="87" spans="1:12">
      <c r="A87" s="8" t="str">
        <f t="shared" si="1"/>
        <v/>
      </c>
      <c r="B87" s="9"/>
      <c r="C87" s="10"/>
      <c r="D87" s="11"/>
      <c r="E87" s="10"/>
      <c r="F87" s="10"/>
      <c r="G87" s="10"/>
      <c r="H87" s="10"/>
      <c r="I87" s="10"/>
      <c r="J87" s="10"/>
      <c r="K87" s="10"/>
      <c r="L87" s="11"/>
    </row>
    <row r="88" spans="1:12">
      <c r="A88" s="8" t="str">
        <f t="shared" si="1"/>
        <v/>
      </c>
      <c r="B88" s="9"/>
      <c r="C88" s="10"/>
      <c r="D88" s="11"/>
      <c r="E88" s="10"/>
      <c r="F88" s="10"/>
      <c r="G88" s="10"/>
      <c r="H88" s="10"/>
      <c r="I88" s="10"/>
      <c r="J88" s="10"/>
      <c r="K88" s="10"/>
      <c r="L88" s="11"/>
    </row>
    <row r="89" spans="1:12">
      <c r="A89" s="8" t="str">
        <f t="shared" si="1"/>
        <v/>
      </c>
      <c r="B89" s="9"/>
      <c r="C89" s="10"/>
      <c r="D89" s="11"/>
      <c r="E89" s="10"/>
      <c r="F89" s="10"/>
      <c r="G89" s="10"/>
      <c r="H89" s="10"/>
      <c r="I89" s="10"/>
      <c r="J89" s="10"/>
      <c r="K89" s="10"/>
      <c r="L89" s="11"/>
    </row>
    <row r="90" spans="1:12">
      <c r="A90" s="8" t="str">
        <f t="shared" si="1"/>
        <v/>
      </c>
      <c r="B90" s="9"/>
      <c r="C90" s="10"/>
      <c r="D90" s="11"/>
      <c r="E90" s="10"/>
      <c r="F90" s="10"/>
      <c r="G90" s="10"/>
      <c r="H90" s="10"/>
      <c r="I90" s="10"/>
      <c r="J90" s="10"/>
      <c r="K90" s="10"/>
      <c r="L90" s="11"/>
    </row>
    <row r="91" spans="1:12">
      <c r="A91" s="8" t="str">
        <f t="shared" si="1"/>
        <v/>
      </c>
      <c r="B91" s="9"/>
      <c r="C91" s="10"/>
      <c r="D91" s="11"/>
      <c r="E91" s="10"/>
      <c r="F91" s="10"/>
      <c r="G91" s="10"/>
      <c r="H91" s="10"/>
      <c r="I91" s="10"/>
      <c r="J91" s="10"/>
      <c r="K91" s="10"/>
      <c r="L91" s="11"/>
    </row>
    <row r="92" spans="1:12">
      <c r="A92" s="8" t="str">
        <f t="shared" si="1"/>
        <v/>
      </c>
      <c r="B92" s="9"/>
      <c r="C92" s="10"/>
      <c r="D92" s="11"/>
      <c r="E92" s="10"/>
      <c r="F92" s="10"/>
      <c r="G92" s="10"/>
      <c r="H92" s="10"/>
      <c r="I92" s="10"/>
      <c r="J92" s="10"/>
      <c r="K92" s="10"/>
      <c r="L92" s="11"/>
    </row>
    <row r="93" spans="1:12">
      <c r="A93" s="8" t="str">
        <f t="shared" si="1"/>
        <v/>
      </c>
      <c r="B93" s="9"/>
      <c r="C93" s="10"/>
      <c r="D93" s="11"/>
      <c r="E93" s="10"/>
      <c r="F93" s="10"/>
      <c r="G93" s="10"/>
      <c r="H93" s="10"/>
      <c r="I93" s="10"/>
      <c r="J93" s="10"/>
      <c r="K93" s="10"/>
      <c r="L93" s="11"/>
    </row>
    <row r="94" spans="1:12">
      <c r="A94" s="8" t="str">
        <f t="shared" si="1"/>
        <v/>
      </c>
      <c r="B94" s="9"/>
      <c r="C94" s="10"/>
      <c r="D94" s="11"/>
      <c r="E94" s="10"/>
      <c r="F94" s="10"/>
      <c r="G94" s="10"/>
      <c r="H94" s="10"/>
      <c r="I94" s="10"/>
      <c r="J94" s="10"/>
      <c r="K94" s="10"/>
      <c r="L94" s="11"/>
    </row>
    <row r="95" spans="1:12">
      <c r="A95" s="8" t="str">
        <f t="shared" si="1"/>
        <v/>
      </c>
      <c r="B95" s="9"/>
      <c r="C95" s="10"/>
      <c r="D95" s="11"/>
      <c r="E95" s="10"/>
      <c r="F95" s="10"/>
      <c r="G95" s="10"/>
      <c r="H95" s="10"/>
      <c r="I95" s="10"/>
      <c r="J95" s="10"/>
      <c r="K95" s="10"/>
      <c r="L95" s="11"/>
    </row>
    <row r="96" spans="1:12">
      <c r="A96" s="8" t="str">
        <f t="shared" si="1"/>
        <v/>
      </c>
      <c r="B96" s="9"/>
      <c r="C96" s="10"/>
      <c r="D96" s="11"/>
      <c r="E96" s="10"/>
      <c r="F96" s="10"/>
      <c r="G96" s="10"/>
      <c r="H96" s="10"/>
      <c r="I96" s="10"/>
      <c r="J96" s="10"/>
      <c r="K96" s="10"/>
      <c r="L96" s="11"/>
    </row>
    <row r="97" spans="1:12">
      <c r="A97" s="8" t="str">
        <f t="shared" si="1"/>
        <v/>
      </c>
      <c r="B97" s="9"/>
      <c r="C97" s="10"/>
      <c r="D97" s="11"/>
      <c r="E97" s="10"/>
      <c r="F97" s="10"/>
      <c r="G97" s="10"/>
      <c r="H97" s="10"/>
      <c r="I97" s="10"/>
      <c r="J97" s="10"/>
      <c r="K97" s="10"/>
      <c r="L97" s="11"/>
    </row>
    <row r="98" spans="1:12">
      <c r="A98" s="8" t="str">
        <f t="shared" si="1"/>
        <v/>
      </c>
      <c r="B98" s="9"/>
      <c r="C98" s="10"/>
      <c r="D98" s="11"/>
      <c r="E98" s="10"/>
      <c r="F98" s="10"/>
      <c r="G98" s="10"/>
      <c r="H98" s="10"/>
      <c r="I98" s="10"/>
      <c r="J98" s="10"/>
      <c r="K98" s="10"/>
      <c r="L98" s="11"/>
    </row>
    <row r="99" spans="1:12">
      <c r="A99" s="8" t="str">
        <f t="shared" si="1"/>
        <v/>
      </c>
      <c r="B99" s="9"/>
      <c r="C99" s="10"/>
      <c r="D99" s="11"/>
      <c r="E99" s="10"/>
      <c r="F99" s="10"/>
      <c r="G99" s="10"/>
      <c r="H99" s="10"/>
      <c r="I99" s="10"/>
      <c r="J99" s="10"/>
      <c r="K99" s="10"/>
      <c r="L99" s="11"/>
    </row>
    <row r="100" spans="1:12">
      <c r="A100" s="8" t="str">
        <f t="shared" si="1"/>
        <v/>
      </c>
      <c r="B100" s="9"/>
      <c r="C100" s="10"/>
      <c r="D100" s="11"/>
      <c r="E100" s="10"/>
      <c r="F100" s="10"/>
      <c r="G100" s="10"/>
      <c r="H100" s="10"/>
      <c r="I100" s="10"/>
      <c r="J100" s="10"/>
      <c r="K100" s="10"/>
      <c r="L100" s="11"/>
    </row>
    <row r="101" spans="1:12">
      <c r="A101" s="8" t="str">
        <f t="shared" si="1"/>
        <v/>
      </c>
      <c r="B101" s="9"/>
      <c r="C101" s="10"/>
      <c r="D101" s="11"/>
      <c r="E101" s="10"/>
      <c r="F101" s="10"/>
      <c r="G101" s="10"/>
      <c r="H101" s="10"/>
      <c r="I101" s="10"/>
      <c r="J101" s="10"/>
      <c r="K101" s="10"/>
      <c r="L101" s="11"/>
    </row>
    <row r="102" spans="1:12">
      <c r="A102" s="8" t="str">
        <f t="shared" si="1"/>
        <v/>
      </c>
      <c r="B102" s="9"/>
      <c r="C102" s="10"/>
      <c r="D102" s="11"/>
      <c r="E102" s="10"/>
      <c r="F102" s="10"/>
      <c r="G102" s="10"/>
      <c r="H102" s="10"/>
      <c r="I102" s="10"/>
      <c r="J102" s="10"/>
      <c r="K102" s="10"/>
      <c r="L102" s="11"/>
    </row>
    <row r="103" spans="1:12">
      <c r="A103" s="8" t="str">
        <f t="shared" si="1"/>
        <v/>
      </c>
      <c r="B103" s="9"/>
      <c r="C103" s="10"/>
      <c r="D103" s="11"/>
      <c r="E103" s="10"/>
      <c r="F103" s="10"/>
      <c r="G103" s="10"/>
      <c r="H103" s="10"/>
      <c r="I103" s="10"/>
      <c r="J103" s="10"/>
      <c r="K103" s="10"/>
      <c r="L103" s="11"/>
    </row>
    <row r="104" spans="1:12">
      <c r="A104" s="8" t="str">
        <f t="shared" si="1"/>
        <v/>
      </c>
      <c r="B104" s="9"/>
      <c r="C104" s="10"/>
      <c r="D104" s="11"/>
      <c r="E104" s="10"/>
      <c r="F104" s="10"/>
      <c r="G104" s="10"/>
      <c r="H104" s="10"/>
      <c r="I104" s="10"/>
      <c r="J104" s="10"/>
      <c r="K104" s="10"/>
      <c r="L104" s="11"/>
    </row>
  </sheetData>
  <autoFilter xmlns:etc="http://www.wps.cn/officeDocument/2017/etCustomData" ref="A4:L104" etc:filterBottomFollowUsedRange="0">
    <extLst/>
  </autoFilter>
  <mergeCells count="2">
    <mergeCell ref="A1:L1"/>
    <mergeCell ref="A2:L2"/>
  </mergeCells>
  <dataValidations count="3">
    <dataValidation type="list" allowBlank="1" sqref="C5:C104">
      <formula1>"健康扫描,周报生成,风险分析,变更分析,会议提取,专项诊断"</formula1>
    </dataValidation>
    <dataValidation type="list" allowBlank="1" sqref="G5:G104">
      <formula1>"低,中,高"</formula1>
    </dataValidation>
    <dataValidation type="list" allowBlank="1" sqref="K5:K104">
      <formula1>"待确认,已采纳,部分采纳,不采纳,已完成"</formula1>
    </dataValidation>
  </dataValidations>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24</vt:i4>
      </vt:variant>
    </vt:vector>
  </HeadingPairs>
  <TitlesOfParts>
    <vt:vector size="24" baseType="lpstr">
      <vt:lpstr>项目驾驶舱</vt:lpstr>
      <vt:lpstr>项目总控台账</vt:lpstr>
      <vt:lpstr>资源计划</vt:lpstr>
      <vt:lpstr>相关方管理</vt:lpstr>
      <vt:lpstr>风险管理计划</vt:lpstr>
      <vt:lpstr>风险登记册</vt:lpstr>
      <vt:lpstr>风险热力图</vt:lpstr>
      <vt:lpstr>重点风险清单</vt:lpstr>
      <vt:lpstr>重大风险应对</vt:lpstr>
      <vt:lpstr>风险应对计划</vt:lpstr>
      <vt:lpstr>里程碑计划</vt:lpstr>
      <vt:lpstr>周迭代计划</vt:lpstr>
      <vt:lpstr>集成管理</vt:lpstr>
      <vt:lpstr>风险问题台账</vt:lpstr>
      <vt:lpstr>变更台账</vt:lpstr>
      <vt:lpstr>交付物台账</vt:lpstr>
      <vt:lpstr>会议行动项</vt:lpstr>
      <vt:lpstr>使用说明</vt:lpstr>
      <vt:lpstr>AI项目诊断</vt:lpstr>
      <vt:lpstr>数据质量检查</vt:lpstr>
      <vt:lpstr>待决策事项</vt:lpstr>
      <vt:lpstr>两周督办</vt:lpstr>
      <vt:lpstr>PMO周报</vt:lpstr>
      <vt:lpstr>AI运行日志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zlyyh</cp:lastModifiedBy>
  <dcterms:created xsi:type="dcterms:W3CDTF">2026-09-11T06:21:00Z</dcterms:created>
  <dcterms:modified xsi:type="dcterms:W3CDTF">2026-09-15T11:35:13Z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A0F8346B1D50975F3CFAA06A6D3F1619_42</vt:lpwstr>
  </property>
  <property fmtid="{D5CDD505-2E9C-101B-9397-08002B2CF9AE}" pid="3" name="KSOProductBuildVer">
    <vt:lpwstr>2052-12.1.25869.25869</vt:lpwstr>
  </property>
  <property fmtid="{D5CDD505-2E9C-101B-9397-08002B2CF9AE}" pid="4" name="CalculationRule">
    <vt:i4>0</vt:i4>
  </property>
</Properties>
</file>
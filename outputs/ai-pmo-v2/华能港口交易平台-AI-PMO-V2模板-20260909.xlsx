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840" firstSheet="10" activeTab="10"/>
  </bookViews>
  <sheets>
    <sheet name="项目驾驶舱" sheetId="1" r:id="rId1"/>
    <sheet name="项目总控台账" sheetId="2" r:id="rId2"/>
    <sheet name="资源计划" sheetId="3" r:id="rId3"/>
    <sheet name="里程碑计划" sheetId="4" r:id="rId4"/>
    <sheet name="周迭代计划" sheetId="5" r:id="rId5"/>
    <sheet name="集成管理" sheetId="6" r:id="rId6"/>
    <sheet name="风险问题台账" sheetId="7" r:id="rId7"/>
    <sheet name="变更台账" sheetId="8" r:id="rId8"/>
    <sheet name="交付物台账" sheetId="9" r:id="rId9"/>
    <sheet name="会议行动项" sheetId="10" r:id="rId10"/>
    <sheet name="使用说明" sheetId="11" r:id="rId11"/>
    <sheet name="AI项目诊断" sheetId="12" r:id="rId12"/>
    <sheet name="数据质量检查" sheetId="13" r:id="rId13"/>
    <sheet name="待决策事项" sheetId="14" r:id="rId14"/>
    <sheet name="两周督办" sheetId="15" r:id="rId15"/>
    <sheet name="PMO周报" sheetId="16" r:id="rId16"/>
    <sheet name="AI运行日志" sheetId="17" r:id="rId17"/>
  </sheets>
  <definedNames>
    <definedName name="_xlnm._FilterDatabase" localSheetId="1" hidden="1">项目总控台账!$A$3:$AE$148</definedName>
    <definedName name="_xlnm._FilterDatabase" localSheetId="2" hidden="1">资源计划!$A$15:$L$153</definedName>
    <definedName name="_xlnm._FilterDatabase" localSheetId="12" hidden="1">数据质量检查!$A$4:$J$149</definedName>
    <definedName name="_xlnm._FilterDatabase" localSheetId="13" hidden="1">待决策事项!$A$4:$M$54</definedName>
    <definedName name="_xlnm._FilterDatabase" localSheetId="14" hidden="1">两周督办!$A$4:$M$149</definedName>
    <definedName name="_xlnm._FilterDatabase" localSheetId="16" hidden="1">AI运行日志!$A$4:$L$104</definedName>
    <definedName name="_xlnm.Print_Titles" localSheetId="2">资源计划!$1:$4</definedName>
    <definedName name="_xlnm.Print_Titles" localSheetId="11">AI项目诊断!$1:$4</definedName>
    <definedName name="_xlnm.Print_Titles" localSheetId="12">数据质量检查!$1:$4</definedName>
    <definedName name="_xlnm.Print_Titles" localSheetId="13">待决策事项!$1:$4</definedName>
    <definedName name="_xlnm.Print_Titles" localSheetId="14">两周督办!$1:$4</definedName>
    <definedName name="_xlnm.Print_Titles" localSheetId="15">PMO周报!$1:$4</definedName>
    <definedName name="_xlnm.Print_Titles" localSheetId="16">AI运行日志!$1:$4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<sst xmlns="http://schemas.openxmlformats.org/spreadsheetml/2006/main" count="3772" uniqueCount="796">
  <si>
    <t>华能交易中心港口交易平台｜项目管理驾驶舱</t>
  </si>
  <si>
    <t>统计日期</t>
  </si>
  <si>
    <t>总任务数</t>
  </si>
  <si>
    <t>已完成</t>
  </si>
  <si>
    <t>进行中</t>
  </si>
  <si>
    <t>未开始</t>
  </si>
  <si>
    <t>暂停</t>
  </si>
  <si>
    <t>平均进度</t>
  </si>
  <si>
    <t>已延期</t>
  </si>
  <si>
    <t>临近到期</t>
  </si>
  <si>
    <t>高风险</t>
  </si>
  <si>
    <t>未关闭问题</t>
  </si>
  <si>
    <t>待决变更</t>
  </si>
  <si>
    <t>里程碑达成</t>
  </si>
  <si>
    <t>集成完成</t>
  </si>
  <si>
    <t>交付物完成</t>
  </si>
  <si>
    <t>综合进度</t>
  </si>
  <si>
    <t>任务完成率</t>
  </si>
  <si>
    <t>计划投入人天</t>
  </si>
  <si>
    <t>计划人工成本</t>
  </si>
  <si>
    <t>人日单价</t>
  </si>
  <si>
    <t>状态</t>
  </si>
  <si>
    <t>任务数</t>
  </si>
  <si>
    <t>批次</t>
  </si>
  <si>
    <t>完成率</t>
  </si>
  <si>
    <t>第一批次</t>
  </si>
  <si>
    <t>第二批次</t>
  </si>
  <si>
    <t>其他</t>
  </si>
  <si>
    <t>管理关注点</t>
  </si>
  <si>
    <t>华能交易中心港口交易平台｜项目总控台账</t>
  </si>
  <si>
    <t>蓝色字段来自原开发计划；黄色字段为管理补充项；进度与延期由公式自动计算。</t>
  </si>
  <si>
    <t>任务ID</t>
  </si>
  <si>
    <t>一级功能</t>
  </si>
  <si>
    <t>二级功能</t>
  </si>
  <si>
    <t>三级功能</t>
  </si>
  <si>
    <t>四级功能</t>
  </si>
  <si>
    <t>总体状态</t>
  </si>
  <si>
    <t>主责人</t>
  </si>
  <si>
    <t>计划开始</t>
  </si>
  <si>
    <t>计划完成</t>
  </si>
  <si>
    <t>计划上线</t>
  </si>
  <si>
    <t>业务负责人</t>
  </si>
  <si>
    <t>业务状态</t>
  </si>
  <si>
    <t>业务开始</t>
  </si>
  <si>
    <t>业务结束</t>
  </si>
  <si>
    <t>后端负责人</t>
  </si>
  <si>
    <t>后端状态</t>
  </si>
  <si>
    <t>后端开始</t>
  </si>
  <si>
    <t>后端结束</t>
  </si>
  <si>
    <t>前端负责人</t>
  </si>
  <si>
    <t>前端状态</t>
  </si>
  <si>
    <t>前端开始</t>
  </si>
  <si>
    <t>前端结束</t>
  </si>
  <si>
    <t>测试负责人</t>
  </si>
  <si>
    <t>测试状态</t>
  </si>
  <si>
    <t>测试开始</t>
  </si>
  <si>
    <t>测试结束</t>
  </si>
  <si>
    <t>延期状态</t>
  </si>
  <si>
    <t>当前问题/阻塞</t>
  </si>
  <si>
    <t>备注</t>
  </si>
  <si>
    <t>T001</t>
  </si>
  <si>
    <t>基础数据</t>
  </si>
  <si>
    <t>车辆信息维护</t>
  </si>
  <si>
    <t>新增车辆信息</t>
  </si>
  <si>
    <t>/</t>
  </si>
  <si>
    <t>郑士旺</t>
  </si>
  <si>
    <t>石军磊、刘凯</t>
  </si>
  <si>
    <t>贺航</t>
  </si>
  <si>
    <t>袁丽荣</t>
  </si>
  <si>
    <t>69</t>
  </si>
  <si>
    <t>T002</t>
  </si>
  <si>
    <t>修改车辆信息</t>
  </si>
  <si>
    <t>T003</t>
  </si>
  <si>
    <t>删除车辆信息</t>
  </si>
  <si>
    <t>T004</t>
  </si>
  <si>
    <t>查询展示车辆信息</t>
  </si>
  <si>
    <t>T005</t>
  </si>
  <si>
    <t>船舶信息维护</t>
  </si>
  <si>
    <t>船舶唯一性校验</t>
  </si>
  <si>
    <t>T006</t>
  </si>
  <si>
    <t>收费标准信息维护</t>
  </si>
  <si>
    <t>优化收费标准（装卸费）新增</t>
  </si>
  <si>
    <t>T007</t>
  </si>
  <si>
    <t>优化收费标准（装卸费）编辑</t>
  </si>
  <si>
    <t>T008</t>
  </si>
  <si>
    <t>优化收费标准（装卸费）详情</t>
  </si>
  <si>
    <t>T009</t>
  </si>
  <si>
    <t>采样方式信息维护</t>
  </si>
  <si>
    <t>优化采样方式新增</t>
  </si>
  <si>
    <t>T010</t>
  </si>
  <si>
    <t>优化采样方式编辑</t>
  </si>
  <si>
    <t>T011</t>
  </si>
  <si>
    <t>网上营业厅</t>
  </si>
  <si>
    <t>交易中心报单信息展示及应单入口</t>
  </si>
  <si>
    <t>获取报单数据及展示</t>
  </si>
  <si>
    <t>T012</t>
  </si>
  <si>
    <t>应单入口</t>
  </si>
  <si>
    <t>T013</t>
  </si>
  <si>
    <t>结算条款管理</t>
  </si>
  <si>
    <t>新增结算条款</t>
  </si>
  <si>
    <t>T014</t>
  </si>
  <si>
    <t>结算条款审批</t>
  </si>
  <si>
    <t>T015</t>
  </si>
  <si>
    <t>修改结算条款</t>
  </si>
  <si>
    <t>T016</t>
  </si>
  <si>
    <t>删除结算条款</t>
  </si>
  <si>
    <t>T017</t>
  </si>
  <si>
    <t>查询展示结算条款</t>
  </si>
  <si>
    <t>T018</t>
  </si>
  <si>
    <t>结算条款推送法务系统</t>
  </si>
  <si>
    <t>T019</t>
  </si>
  <si>
    <t>卸船作业</t>
  </si>
  <si>
    <t>卸船计划</t>
  </si>
  <si>
    <t>对接卸船计划</t>
  </si>
  <si>
    <t>T020</t>
  </si>
  <si>
    <t>查询卸车计划</t>
  </si>
  <si>
    <t>T021</t>
  </si>
  <si>
    <t>外部客户确认</t>
  </si>
  <si>
    <t>T022</t>
  </si>
  <si>
    <t>卸船作业信息管理</t>
  </si>
  <si>
    <t>对接卸船作业信息</t>
  </si>
  <si>
    <t>T023</t>
  </si>
  <si>
    <t>查询卸船作业信息</t>
  </si>
  <si>
    <t>T024</t>
  </si>
  <si>
    <t>卸船查询</t>
  </si>
  <si>
    <t>卸船查询列表</t>
  </si>
  <si>
    <t>T025</t>
  </si>
  <si>
    <t>卸船查询详情</t>
  </si>
  <si>
    <t>T026</t>
  </si>
  <si>
    <t>卸船作业委托</t>
  </si>
  <si>
    <t>创建卸船作业委托信息</t>
  </si>
  <si>
    <t>T027</t>
  </si>
  <si>
    <t>修改卸船作业委托信息</t>
  </si>
  <si>
    <t>T028</t>
  </si>
  <si>
    <t>作废卸船作业委托信息</t>
  </si>
  <si>
    <t>T029</t>
  </si>
  <si>
    <t>推送卸船作业委托信息</t>
  </si>
  <si>
    <t>T030</t>
  </si>
  <si>
    <t>查询卸船作业委托信息</t>
  </si>
  <si>
    <t>T031</t>
  </si>
  <si>
    <t>外轮转内贸业务</t>
  </si>
  <si>
    <t>创建外轮转内贸业务信息</t>
  </si>
  <si>
    <t>T032</t>
  </si>
  <si>
    <t>作废外轮转内贸业务信息</t>
  </si>
  <si>
    <t>T033</t>
  </si>
  <si>
    <t>查询外轮转内贸业务信息</t>
  </si>
  <si>
    <t>T034</t>
  </si>
  <si>
    <t>船舶靠泊通知单</t>
  </si>
  <si>
    <t>新增船舶靠泊通知单</t>
  </si>
  <si>
    <t>T035</t>
  </si>
  <si>
    <t>审批船舶靠泊通知单</t>
  </si>
  <si>
    <t>T036</t>
  </si>
  <si>
    <t>查询船舶靠泊通知单</t>
  </si>
  <si>
    <t>T037</t>
  </si>
  <si>
    <t>卸车流程跟踪</t>
  </si>
  <si>
    <t>创建卸车流程</t>
  </si>
  <si>
    <t>T038</t>
  </si>
  <si>
    <t>查询卸车流程</t>
  </si>
  <si>
    <t>T039</t>
  </si>
  <si>
    <t>修改卸车流程</t>
  </si>
  <si>
    <t>T040</t>
  </si>
  <si>
    <t>装船流程跟踪</t>
  </si>
  <si>
    <t>创建装船流程</t>
  </si>
  <si>
    <t>T041</t>
  </si>
  <si>
    <t>查询装船流程</t>
  </si>
  <si>
    <t>T042</t>
  </si>
  <si>
    <t>修改装船流程</t>
  </si>
  <si>
    <t>T043</t>
  </si>
  <si>
    <t>卸船流程跟踪</t>
  </si>
  <si>
    <t>创建卸船流程</t>
  </si>
  <si>
    <t>T044</t>
  </si>
  <si>
    <t>查询卸船流程</t>
  </si>
  <si>
    <t>T045</t>
  </si>
  <si>
    <t>修改卸船流程</t>
  </si>
  <si>
    <t>T046</t>
  </si>
  <si>
    <t>船舶预到（外贸）</t>
  </si>
  <si>
    <t>新增船舶预到（外贸）</t>
  </si>
  <si>
    <t>T047</t>
  </si>
  <si>
    <t>退回船舶预到（外贸）</t>
  </si>
  <si>
    <t>T048</t>
  </si>
  <si>
    <t>船舶预到（内贸）</t>
  </si>
  <si>
    <t>T049</t>
  </si>
  <si>
    <t>采样申请（外贸）</t>
  </si>
  <si>
    <t>申请采样申请（外贸）</t>
  </si>
  <si>
    <t>T050</t>
  </si>
  <si>
    <t>船舶轨迹跟踪</t>
  </si>
  <si>
    <t>维护需跟踪船舶清单</t>
  </si>
  <si>
    <t>石军磊、常浩</t>
  </si>
  <si>
    <t>贺航、常浩</t>
  </si>
  <si>
    <t>T051</t>
  </si>
  <si>
    <t>根据船舶清单更新第三方系统推送数据船舶清单</t>
  </si>
  <si>
    <t>T052</t>
  </si>
  <si>
    <t>T053</t>
  </si>
  <si>
    <t>协同视览</t>
  </si>
  <si>
    <t>接入港口侧视频监控</t>
  </si>
  <si>
    <t>T054</t>
  </si>
  <si>
    <t>视频查看权限申请</t>
  </si>
  <si>
    <t>T055</t>
  </si>
  <si>
    <t>视频查看权限审批</t>
  </si>
  <si>
    <t>T056</t>
  </si>
  <si>
    <t>视频查看权限有效期控制</t>
  </si>
  <si>
    <t>T057</t>
  </si>
  <si>
    <t>外网PC端视频监控查询</t>
  </si>
  <si>
    <t>T058</t>
  </si>
  <si>
    <t>装船计划编制及推送</t>
  </si>
  <si>
    <t>OCR识别及编辑</t>
  </si>
  <si>
    <t>T059</t>
  </si>
  <si>
    <t>优化装车作业信息录入</t>
  </si>
  <si>
    <t>优化新增装车作业信息</t>
  </si>
  <si>
    <t>T060</t>
  </si>
  <si>
    <t>货权跟踪</t>
  </si>
  <si>
    <t>货权录入</t>
  </si>
  <si>
    <t>T061</t>
  </si>
  <si>
    <t>货权修改</t>
  </si>
  <si>
    <t>T062</t>
  </si>
  <si>
    <t>获取查询</t>
  </si>
  <si>
    <t>T063</t>
  </si>
  <si>
    <t>货权提醒</t>
  </si>
  <si>
    <t>卸船作业货权跟踪</t>
  </si>
  <si>
    <t>T064</t>
  </si>
  <si>
    <t>T065</t>
  </si>
  <si>
    <t>装船作业货权跟踪</t>
  </si>
  <si>
    <t>T066</t>
  </si>
  <si>
    <t>T067</t>
  </si>
  <si>
    <t>T068</t>
  </si>
  <si>
    <t>T069</t>
  </si>
  <si>
    <t>卸船作业信息录入优化（太仓）</t>
  </si>
  <si>
    <t>新增、详情、修改页内容调整</t>
  </si>
  <si>
    <t>常浩</t>
  </si>
  <si>
    <t>T070</t>
  </si>
  <si>
    <t>生成报告</t>
  </si>
  <si>
    <t>T071</t>
  </si>
  <si>
    <t>装船作业信息录入优化（太仓）</t>
  </si>
  <si>
    <t>T072</t>
  </si>
  <si>
    <t>船舶预到优化（太仓）</t>
  </si>
  <si>
    <t>OCR识别</t>
  </si>
  <si>
    <t>T073</t>
  </si>
  <si>
    <t>采样作业信息录入</t>
  </si>
  <si>
    <t>采样作业信息录入新增</t>
  </si>
  <si>
    <t>T074</t>
  </si>
  <si>
    <t>采样作业信息录入编辑</t>
  </si>
  <si>
    <t>T075</t>
  </si>
  <si>
    <t>采样作业信息录入详情</t>
  </si>
  <si>
    <t>T076</t>
  </si>
  <si>
    <t>采样作业信息录入删除</t>
  </si>
  <si>
    <t>T077</t>
  </si>
  <si>
    <t>采样作业信息录入列表</t>
  </si>
  <si>
    <t>T078</t>
  </si>
  <si>
    <t>费用结算</t>
  </si>
  <si>
    <t>费用合同签订校验</t>
  </si>
  <si>
    <t>业务数据合同签订校验</t>
  </si>
  <si>
    <t>T079</t>
  </si>
  <si>
    <t>结算数据合同签订校验</t>
  </si>
  <si>
    <t>T080</t>
  </si>
  <si>
    <t>合同校验结果查询</t>
  </si>
  <si>
    <t>T081</t>
  </si>
  <si>
    <t>停泊费（外贸）</t>
  </si>
  <si>
    <t>数据对接</t>
  </si>
  <si>
    <t>T082</t>
  </si>
  <si>
    <t>数据展示</t>
  </si>
  <si>
    <t>T083</t>
  </si>
  <si>
    <t>锚泊费（外贸）</t>
  </si>
  <si>
    <t>T084</t>
  </si>
  <si>
    <t>数据产生</t>
  </si>
  <si>
    <t>T085</t>
  </si>
  <si>
    <t>堆存费（外贸）</t>
  </si>
  <si>
    <t>T086</t>
  </si>
  <si>
    <t>T087</t>
  </si>
  <si>
    <t>卸船费（外贸）</t>
  </si>
  <si>
    <t>T088</t>
  </si>
  <si>
    <t>T089</t>
  </si>
  <si>
    <t>采样服务费（外贸）</t>
  </si>
  <si>
    <t>新增采样服务费（外贸）</t>
  </si>
  <si>
    <t>T090</t>
  </si>
  <si>
    <t>审批采样服务费（外贸）</t>
  </si>
  <si>
    <t>T091</t>
  </si>
  <si>
    <t>单据签章</t>
  </si>
  <si>
    <t>T092</t>
  </si>
  <si>
    <t>数据推送</t>
  </si>
  <si>
    <t>T093</t>
  </si>
  <si>
    <t>船舶供应服务费（外贸）</t>
  </si>
  <si>
    <t>T094</t>
  </si>
  <si>
    <t>T095</t>
  </si>
  <si>
    <t>堆存费优化（太仓）</t>
  </si>
  <si>
    <t>自动生成堆存费</t>
  </si>
  <si>
    <t>T096</t>
  </si>
  <si>
    <t>港杂费优化(太仓）</t>
  </si>
  <si>
    <t>自动生成装船港杂费</t>
  </si>
  <si>
    <t>T097</t>
  </si>
  <si>
    <t>租赁费优化（太仓）</t>
  </si>
  <si>
    <t>自动生成租赁费</t>
  </si>
  <si>
    <t>T098</t>
  </si>
  <si>
    <t>装卸费优化（太仓）</t>
  </si>
  <si>
    <t>优化装卸费新增</t>
  </si>
  <si>
    <t>T099</t>
  </si>
  <si>
    <t>优化装卸费编辑</t>
  </si>
  <si>
    <t>T100</t>
  </si>
  <si>
    <t>资讯公告</t>
  </si>
  <si>
    <t>行业资讯</t>
  </si>
  <si>
    <t>创建行业资讯数据</t>
  </si>
  <si>
    <t>T101</t>
  </si>
  <si>
    <t>修改行业资讯数据</t>
  </si>
  <si>
    <t>T102</t>
  </si>
  <si>
    <t>删除行业资讯数据</t>
  </si>
  <si>
    <t>T103</t>
  </si>
  <si>
    <t>展示行业资讯数据</t>
  </si>
  <si>
    <t>T104</t>
  </si>
  <si>
    <t>统计分析</t>
  </si>
  <si>
    <t>吞吐量统计（曹妃甸）</t>
  </si>
  <si>
    <t>T105</t>
  </si>
  <si>
    <t>泊位占用率分析（曹妃甸）</t>
  </si>
  <si>
    <t>T106</t>
  </si>
  <si>
    <t>堆存库存统计（曹妃甸）</t>
  </si>
  <si>
    <t>T107</t>
  </si>
  <si>
    <t>分货主实时统计表（曹妃甸）</t>
  </si>
  <si>
    <t>T108</t>
  </si>
  <si>
    <t>综合装船效率分析（曹妃甸）</t>
  </si>
  <si>
    <t>T109</t>
  </si>
  <si>
    <t>综合卸车效率分析（曹妃甸）</t>
  </si>
  <si>
    <t>T110</t>
  </si>
  <si>
    <t>综合卸船效率分析（曹妃甸）</t>
  </si>
  <si>
    <t>T111</t>
  </si>
  <si>
    <t>吞吐量统计（太仓）</t>
  </si>
  <si>
    <t>T112</t>
  </si>
  <si>
    <t>泊位占用率分析（太仓）</t>
  </si>
  <si>
    <t>T113</t>
  </si>
  <si>
    <t>堆存库存统计（太仓）</t>
  </si>
  <si>
    <t>T114</t>
  </si>
  <si>
    <t>分货主实时统计表（太仓）</t>
  </si>
  <si>
    <t>T115</t>
  </si>
  <si>
    <t>综合卸船效率分析（太仓）</t>
  </si>
  <si>
    <t>T116</t>
  </si>
  <si>
    <t>堆垛雨布苫盖情况表（太仓）</t>
  </si>
  <si>
    <t>T117</t>
  </si>
  <si>
    <t>自动报告</t>
  </si>
  <si>
    <t>经营任务情况分析报告</t>
  </si>
  <si>
    <t>T118</t>
  </si>
  <si>
    <t>客户月报报告</t>
  </si>
  <si>
    <t>T119</t>
  </si>
  <si>
    <t>月度客户情况报告</t>
  </si>
  <si>
    <t>T120</t>
  </si>
  <si>
    <t>商务计划周报</t>
  </si>
  <si>
    <t>T121</t>
  </si>
  <si>
    <t>移动端</t>
  </si>
  <si>
    <t>APP</t>
  </si>
  <si>
    <t>船舶供应服务查询</t>
  </si>
  <si>
    <t>T122</t>
  </si>
  <si>
    <t>船舶预到（内贸）查询</t>
  </si>
  <si>
    <t>T123</t>
  </si>
  <si>
    <t>台账查询</t>
  </si>
  <si>
    <t>T124</t>
  </si>
  <si>
    <t>停泊费（内贸）查询</t>
  </si>
  <si>
    <t>T125</t>
  </si>
  <si>
    <t>船舶供应服务费（内贸）查询</t>
  </si>
  <si>
    <t>T126</t>
  </si>
  <si>
    <t>停泊费（外贸）查询</t>
  </si>
  <si>
    <t>T127</t>
  </si>
  <si>
    <t>锚泊费（外贸）查询</t>
  </si>
  <si>
    <t>T128</t>
  </si>
  <si>
    <t>堆存费（外贸）查询</t>
  </si>
  <si>
    <t>T129</t>
  </si>
  <si>
    <t>卸船费（外贸）查询</t>
  </si>
  <si>
    <t>T130</t>
  </si>
  <si>
    <t>采样服务费（外贸）查询</t>
  </si>
  <si>
    <t>T131</t>
  </si>
  <si>
    <t>船舶供应服务费（外贸）查询</t>
  </si>
  <si>
    <t>T132</t>
  </si>
  <si>
    <t>T133</t>
  </si>
  <si>
    <t>T134</t>
  </si>
  <si>
    <t>卸船计划查询</t>
  </si>
  <si>
    <t>T135</t>
  </si>
  <si>
    <t>T136</t>
  </si>
  <si>
    <t>T137</t>
  </si>
  <si>
    <t>外轮转内贸业务查询</t>
  </si>
  <si>
    <t>T138</t>
  </si>
  <si>
    <t>T139</t>
  </si>
  <si>
    <t>T140</t>
  </si>
  <si>
    <t>T141</t>
  </si>
  <si>
    <t>视频监控查询</t>
  </si>
  <si>
    <t>T142</t>
  </si>
  <si>
    <t>iHN+</t>
  </si>
  <si>
    <t>T143</t>
  </si>
  <si>
    <t>图片上传</t>
  </si>
  <si>
    <t>T144</t>
  </si>
  <si>
    <t>T145</t>
  </si>
  <si>
    <t>资源计划</t>
  </si>
  <si>
    <t>汇总业务、后端、前端和测试任务分配。黄色区域用于填写可用工时、任务投入工时和资源调整说明。</t>
  </si>
  <si>
    <t>人员</t>
  </si>
  <si>
    <t>角色</t>
  </si>
  <si>
    <t>未完成任务</t>
  </si>
  <si>
    <t>最早开始</t>
  </si>
  <si>
    <t>最晚结束</t>
  </si>
  <si>
    <t>周可用工时</t>
  </si>
  <si>
    <t>计划投入工时</t>
  </si>
  <si>
    <t>负荷率</t>
  </si>
  <si>
    <t>负荷判断</t>
  </si>
  <si>
    <t>资源建议</t>
  </si>
  <si>
    <t>刘凯</t>
  </si>
  <si>
    <t>后端</t>
  </si>
  <si>
    <t>高负荷</t>
  </si>
  <si>
    <t>确认优先级并预留缓冲</t>
  </si>
  <si>
    <t>全栈</t>
  </si>
  <si>
    <t>正常</t>
  </si>
  <si>
    <t>按计划跟踪</t>
  </si>
  <si>
    <t>石军磊</t>
  </si>
  <si>
    <t>测试</t>
  </si>
  <si>
    <t>前端</t>
  </si>
  <si>
    <t>业务</t>
  </si>
  <si>
    <t>资源周计划</t>
  </si>
  <si>
    <t>任务名称、状态和日期直接引用总控台账；新增任务或调整责任人后，重新执行V2更新以扩展明细行。</t>
  </si>
  <si>
    <t>周开始</t>
  </si>
  <si>
    <t>周结束</t>
  </si>
  <si>
    <t>是否有任务</t>
  </si>
  <si>
    <t>周计划工时</t>
  </si>
  <si>
    <t>任务清单</t>
  </si>
  <si>
    <t>有</t>
  </si>
  <si>
    <t>T058 OCR识别及编辑；T070 生成报告；T071 装船作业信息录入优化（太仓）</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</si>
  <si>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</si>
  <si>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自动生成装船港杂费；T073 采样作业信息录入新增；T074 采样作业信息录入编辑；T075 采样作业信息录入详情；T076 采样作业信息录入删除；T077 采样作业信息录入列表；T097 自动生成租赁费；T098 优化装卸费新增；T099 优化装卸费编辑</t>
  </si>
  <si>
    <t>T037 创建卸车流程；T038 查询卸车流程；T039 修改卸车流程；T040 创建装船流程；T041 查询装船流程；T042 修改装船流程；T043 创建卸船流程；T044 查询卸船流程；T045 修改卸船流程；T059 优化新增装车作业信息；T104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</si>
  <si>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T037 创建卸车流程；T038 查询卸车流程；T039 修改卸车流程；T040 创建装船流程；T041 查询装船流程；T042 修改装船流程；T043 创建卸船流程；T044 查询卸船流程；T045 修改卸船流程；T059 优化新增装车作业信息；T104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</si>
  <si>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T037 创建卸车流程；T038 查询卸车流程；T039 修改卸车流程；T040 创建装船流程；T041 查询装船流程；T042 修改装船流程；T043 创建卸船流程；T044 查询卸船流程；T045 修改卸船流程；T104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</si>
  <si>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T037 创建卸车流程；T038 查询卸车流程；T039 修改卸车流程；T040 创建装船流程；T041 查询装船流程；T042 修改装船流程；T043 创建卸船流程；T044 查询卸船流程；T045 修改卸船流程；T104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</si>
  <si>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T121 船舶供应服务查询；T122 船舶预到（内贸）查询；T123 台账查询；T124 停泊费（内贸）查询；T125 船舶供应服务费（内贸）查询</t>
  </si>
  <si>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外网PC端视频监控查询；T141 视频监控查询</t>
  </si>
  <si>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申请采样申请（外贸）；T078 业务数据合同签订校验；T079 结算数据合同签订校验；T080 合同校验结果查询；T081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查询船舶靠泊通知单；T136 卸船作业委托；T137 外轮转内贸业务查询；T142 审批船舶靠泊通知单</t>
  </si>
  <si>
    <t>无</t>
  </si>
  <si>
    <t>无任务</t>
  </si>
  <si>
    <t/>
  </si>
  <si>
    <t>T069 新增、详情、修改页内容调整</t>
  </si>
  <si>
    <t>T050 维护需跟踪船舶清单；T051 根据船舶清单更新第三方系统推送数据船舶清单；T052 船舶轨迹跟踪；T095 自动生成堆存费</t>
  </si>
  <si>
    <t>T100 创建行业资讯数据；T101 修改行业资讯数据；T102 删除行业资讯数据；T103 展示行业资讯数据</t>
  </si>
  <si>
    <t>T134 卸船计划查询；T135 卸船查询</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</si>
  <si>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装船作业货权跟踪；T072 OCR识别；T096 自动生成装船港杂费</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</si>
  <si>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装船作业货权跟踪；T072 OCR识别；T096 自动生成装船港杂费；T073 采样作业信息录入新增；T074 采样作业信息录入编辑；T075 采样作业信息录入详情；T076 采样作业信息录入删除；T077 采样作业信息录入列表；T097 自动生成租赁费；T098 优化装卸费新增；T099 优化装卸费编辑</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</si>
  <si>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装船作业货权跟踪；T069 新增、详情、修改页内容调整；T072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t>
  </si>
  <si>
    <t>T143 图片上传；T144 图片上传；T145 图片上传；T037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
  </si>
  <si>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外网PC端视频监控查询；T059 优化新增装车作业信息；T078 业务数据合同签订校验；T079 结算数据合同签订校验；T080 合同校验结果查询；T141 视频监控查询</t>
  </si>
  <si>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外轮转内贸业务查询；T138 查询卸车流程；T139 查询装船流程；T140 查询卸船流程；T142 审批船舶靠泊通知单</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</si>
  <si>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t>
  </si>
  <si>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综合卸船效率分析（曹妃甸）；T138 查询卸车流程；T139 查询装船流程；T140 查询卸船流程；T143 图片上传；T144 图片上传；T145 图片上传</t>
  </si>
  <si>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t>
  </si>
  <si>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申请采样申请（外贸）；T059 优化新增装车作业信息；T081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外轮转内贸业务查询；T142 审批船舶靠泊通知单</t>
  </si>
  <si>
    <t>里程碑计划与阶段门管理</t>
  </si>
  <si>
    <t>里程碑ID</t>
  </si>
  <si>
    <t>里程碑名称</t>
  </si>
  <si>
    <t>验收/完成标准</t>
  </si>
  <si>
    <t>责任人</t>
  </si>
  <si>
    <t>计划日期</t>
  </si>
  <si>
    <t>实际日期</t>
  </si>
  <si>
    <t>偏差天数</t>
  </si>
  <si>
    <t>健康度</t>
  </si>
  <si>
    <t>说明</t>
  </si>
  <si>
    <t>M01</t>
  </si>
  <si>
    <t>第一批次业务设计完成</t>
  </si>
  <si>
    <t>第一批次业务设计状态全部完成</t>
  </si>
  <si>
    <t>M02</t>
  </si>
  <si>
    <t>第一批次前后端开发完成</t>
  </si>
  <si>
    <t>第一批次前端、后端状态全部完成</t>
  </si>
  <si>
    <t>开发组</t>
  </si>
  <si>
    <t>M03</t>
  </si>
  <si>
    <t>第一批次测试完成</t>
  </si>
  <si>
    <t>第一批次测试状态全部完成且无阻断缺陷</t>
  </si>
  <si>
    <t>M04</t>
  </si>
  <si>
    <t>第一批次上线</t>
  </si>
  <si>
    <t>完成上线审批、部署及回归验证</t>
  </si>
  <si>
    <t>项目经理</t>
  </si>
  <si>
    <t>M05</t>
  </si>
  <si>
    <t>第二批次业务设计完成</t>
  </si>
  <si>
    <t>第二批次业务设计状态全部完成</t>
  </si>
  <si>
    <t>M06</t>
  </si>
  <si>
    <t>第二批次前后端开发完成</t>
  </si>
  <si>
    <t>第二批次前端、后端状态全部完成</t>
  </si>
  <si>
    <t>M07</t>
  </si>
  <si>
    <t>第二批次测试完成</t>
  </si>
  <si>
    <t>第二批次测试状态全部完成且无阻断缺陷</t>
  </si>
  <si>
    <t>M08</t>
  </si>
  <si>
    <t>第二批次上线</t>
  </si>
  <si>
    <t>M09</t>
  </si>
  <si>
    <t>外部系统集成联调完成</t>
  </si>
  <si>
    <t>全项目</t>
  </si>
  <si>
    <t>6个外部系统均完成联调确认</t>
  </si>
  <si>
    <t>集成负责人</t>
  </si>
  <si>
    <t>M10</t>
  </si>
  <si>
    <t>项目验收</t>
  </si>
  <si>
    <t>完成用户验收并签署验收材料</t>
  </si>
  <si>
    <t>周迭代计划与完成跟踪</t>
  </si>
  <si>
    <t>迭代周</t>
  </si>
  <si>
    <t>开始日期</t>
  </si>
  <si>
    <t>结束日期</t>
  </si>
  <si>
    <t>功能设计</t>
  </si>
  <si>
    <t>前端开发</t>
  </si>
  <si>
    <t>后端开发</t>
  </si>
  <si>
    <t>功能测试</t>
  </si>
  <si>
    <t>本周完成率</t>
  </si>
  <si>
    <t>复盘说明</t>
  </si>
  <si>
    <t>装船计划编制及推送、卸船作业信息录入优化（太仓）、装船作业信息录入优化（太仓）</t>
  </si>
  <si>
    <t>车辆信息维护、交易中心报单信息展示及应单入口、船舶轨迹跟踪、货权跟踪、货权提醒、船舶预到优化（太仓）、堆存费优化（太仓）、港杂费优化(太仓）、收费标准信息维护、采样方式信息维护、装卸费结算、租赁费结算、采样作业信息录入</t>
  </si>
  <si>
    <t>卸车流程跟踪、装船流程跟踪、卸船流程跟踪、行业资讯、统计分析</t>
  </si>
  <si>
    <t>APP：船舶供应服务查询、船舶预到（内贸）查询、台账查询、停泊费（内贸）查询、船舶供应服务费（内贸）查询</t>
  </si>
  <si>
    <t>车辆信息维护、交易中心报单信息展示及应单入口、船舶轨迹跟踪、货权跟踪、货权提醒、船舶预到优化（太仓）、堆存费优化（太仓）、港杂费优化（太仓）、收费标准信息维护、采样方式信息维护、装卸费结算、租赁费结算、采样作业信息录入</t>
  </si>
  <si>
    <t>结算条款管理、协同视览、费用合同签订校验</t>
  </si>
  <si>
    <t>船舶唯一性校验、卸船作业、船舶预到（外贸）、退回船舶预到（外贸）、采样申请（外贸）、停泊费（外贸）、锚泊费（外贸）、堆存费（外贸）、卸船费（外贸）、采样服务费（外贸）、船舶供应服务费（外贸）</t>
  </si>
  <si>
    <t>卸车流程跟踪、装船流程跟踪、卸船流程跟踪、行业资讯、统计分析、自动报告</t>
  </si>
  <si>
    <t>外部系统集成管理</t>
  </si>
  <si>
    <t>集成ID</t>
  </si>
  <si>
    <t>集成系统</t>
  </si>
  <si>
    <t>交互方式</t>
  </si>
  <si>
    <t>对接人</t>
  </si>
  <si>
    <t>集成内容</t>
  </si>
  <si>
    <t>原计划进展</t>
  </si>
  <si>
    <t>管理状态</t>
  </si>
  <si>
    <t>实际完成</t>
  </si>
  <si>
    <t>依赖事项</t>
  </si>
  <si>
    <t>风险等级</t>
  </si>
  <si>
    <t>风险/备注</t>
  </si>
  <si>
    <t>INT-01</t>
  </si>
  <si>
    <t>调运系统</t>
  </si>
  <si>
    <t>接入</t>
  </si>
  <si>
    <t>佘万明</t>
  </si>
  <si>
    <t>船舶轨迹位置、船舶档案、海图信息</t>
  </si>
  <si>
    <t>中</t>
  </si>
  <si>
    <t>INT-02</t>
  </si>
  <si>
    <t>法治平台</t>
  </si>
  <si>
    <t>许祥</t>
  </si>
  <si>
    <t>曹妃甸港、太仓港合同信息</t>
  </si>
  <si>
    <t>已初步对接，对方已提供接口文档，数据清单</t>
  </si>
  <si>
    <t>高</t>
  </si>
  <si>
    <t>1.进度风险：法制平台7月上线试点运行，会在10月份全面上线，相关功能应用需在10月份后才能上线；
2.功能风险：企法部要求法制平台咱不提供接收合同接口，无法满足客户在本系统录入合同的需求，已与用户反馈，用户内部需进行评估</t>
  </si>
  <si>
    <t>INT-03</t>
  </si>
  <si>
    <t>集团大模型服务</t>
  </si>
  <si>
    <t>李超来</t>
  </si>
  <si>
    <t>OCR能力</t>
  </si>
  <si>
    <t>1.效率风险：文件识别效率偏低，需1分钟左右</t>
  </si>
  <si>
    <t>INT-04</t>
  </si>
  <si>
    <t>港航部科技项目系统</t>
  </si>
  <si>
    <t>曹妃甸港、太仓港视频监控数据</t>
  </si>
  <si>
    <t>已初步对接，对方预计10月份具备接口联调条件</t>
  </si>
  <si>
    <t>1.科技项目不会对接全部生产作业视频监控数据，需确认科技项目对接范围后确认是否满足用户需求</t>
  </si>
  <si>
    <t>INT-05</t>
  </si>
  <si>
    <t>曹妃甸管控一体化系统</t>
  </si>
  <si>
    <t>接入、推送</t>
  </si>
  <si>
    <t>张应龙</t>
  </si>
  <si>
    <t>基础数据、业务数据、结算数据</t>
  </si>
  <si>
    <t>未对接</t>
  </si>
  <si>
    <t>暂无</t>
  </si>
  <si>
    <t>INT-06</t>
  </si>
  <si>
    <t>太仓港管控一体化系统</t>
  </si>
  <si>
    <t>1.太仓港管控一体化系统刚立项，集成工作暂时无法开展</t>
  </si>
  <si>
    <t>风险与问题闭环台账</t>
  </si>
  <si>
    <t>编号</t>
  </si>
  <si>
    <t>类型</t>
  </si>
  <si>
    <t>风险/问题描述</t>
  </si>
  <si>
    <t>等级</t>
  </si>
  <si>
    <t>影响范围</t>
  </si>
  <si>
    <t>应对措施</t>
  </si>
  <si>
    <t>计划关闭</t>
  </si>
  <si>
    <t>实际关闭</t>
  </si>
  <si>
    <t>触发条件/根因</t>
  </si>
  <si>
    <t>剩余天数</t>
  </si>
  <si>
    <t>是否逾期</t>
  </si>
  <si>
    <t>跟踪记录</t>
  </si>
  <si>
    <t>R-001</t>
  </si>
  <si>
    <t>风险</t>
  </si>
  <si>
    <t>法治平台全面上线时间影响相关功能投产</t>
  </si>
  <si>
    <t>合同信息集成</t>
  </si>
  <si>
    <t>确认对方正式上线窗口，制定模拟数据和延期切换方案</t>
  </si>
  <si>
    <t>对方10月后方可正式支撑</t>
  </si>
  <si>
    <t>处理中</t>
  </si>
  <si>
    <t>来源：原计划-集成工作</t>
  </si>
  <si>
    <t>R-002</t>
  </si>
  <si>
    <t>法治平台不提供合同接收接口，可能无法满足本系统录入合同需求</t>
  </si>
  <si>
    <t>合同业务闭环</t>
  </si>
  <si>
    <t>推动用户决策，形成接口边界与替代方案确认单</t>
  </si>
  <si>
    <t>接口能力与业务诉求不一致</t>
  </si>
  <si>
    <t>待处理</t>
  </si>
  <si>
    <t>R-003</t>
  </si>
  <si>
    <t>OCR识别耗时约1分钟，影响业务效率</t>
  </si>
  <si>
    <t>技术负责人</t>
  </si>
  <si>
    <t>压测典型文件，确定超时阈值、异步处理与结果回调方案</t>
  </si>
  <si>
    <t>外部大模型服务性能</t>
  </si>
  <si>
    <t>R-004</t>
  </si>
  <si>
    <t>视频监控数据对接范围尚未明确</t>
  </si>
  <si>
    <t>视频监控</t>
  </si>
  <si>
    <t>确认科技项目覆盖清单并补充缺口方案</t>
  </si>
  <si>
    <t>上游系统范围不确定</t>
  </si>
  <si>
    <t>R-005</t>
  </si>
  <si>
    <t>太仓港管控一体化系统刚立项，集成工作无法按期开展</t>
  </si>
  <si>
    <t>太仓港数据集成</t>
  </si>
  <si>
    <t>拆分依赖与非依赖工作，设立外部条件就绪门槛</t>
  </si>
  <si>
    <t>外部项目未形成可对接环境</t>
  </si>
  <si>
    <t>R-006</t>
  </si>
  <si>
    <t>第二批次存在大量未开始任务，后续开发测试窗口集中</t>
  </si>
  <si>
    <t>开发负责人</t>
  </si>
  <si>
    <t>按关键路径重排优先级，按周跟踪启动率与完成率</t>
  </si>
  <si>
    <t>资源与工作量集中</t>
  </si>
  <si>
    <t>基于开发计划识别</t>
  </si>
  <si>
    <t>项目变更台账</t>
  </si>
  <si>
    <t>变更编号</t>
  </si>
  <si>
    <t>提出日期</t>
  </si>
  <si>
    <t>提出人</t>
  </si>
  <si>
    <t>变更内容</t>
  </si>
  <si>
    <t>变更原因</t>
  </si>
  <si>
    <t>优先级</t>
  </si>
  <si>
    <t>审批状态</t>
  </si>
  <si>
    <t>范围影响</t>
  </si>
  <si>
    <t>工期影响(天)</t>
  </si>
  <si>
    <t>成本影响</t>
  </si>
  <si>
    <t>评估人</t>
  </si>
  <si>
    <t>批准人</t>
  </si>
  <si>
    <t>实施日期</t>
  </si>
  <si>
    <t>关闭说明</t>
  </si>
  <si>
    <t>项目交付物与质量门禁</t>
  </si>
  <si>
    <t>交付物ID</t>
  </si>
  <si>
    <t>交付物名称</t>
  </si>
  <si>
    <t>类别</t>
  </si>
  <si>
    <t>评审人</t>
  </si>
  <si>
    <t>评审结论</t>
  </si>
  <si>
    <t>版本/存放位置</t>
  </si>
  <si>
    <t>D-001</t>
  </si>
  <si>
    <t>项目管理计划</t>
  </si>
  <si>
    <t>管理</t>
  </si>
  <si>
    <t>项目负责人</t>
  </si>
  <si>
    <t>待评审</t>
  </si>
  <si>
    <t>D-002</t>
  </si>
  <si>
    <t>业务需求规格说明书</t>
  </si>
  <si>
    <t>需求</t>
  </si>
  <si>
    <t>D-003</t>
  </si>
  <si>
    <t>系统总体设计说明书</t>
  </si>
  <si>
    <t>设计</t>
  </si>
  <si>
    <t>架构负责人</t>
  </si>
  <si>
    <t>D-004</t>
  </si>
  <si>
    <t>接口清单及接口设计说明</t>
  </si>
  <si>
    <t>集成</t>
  </si>
  <si>
    <t>D-005</t>
  </si>
  <si>
    <t>第一批次测试报告</t>
  </si>
  <si>
    <t>D-006</t>
  </si>
  <si>
    <t>第二批次测试报告</t>
  </si>
  <si>
    <t>D-007</t>
  </si>
  <si>
    <t>上线方案及回退方案</t>
  </si>
  <si>
    <t>上线</t>
  </si>
  <si>
    <t>运维负责人</t>
  </si>
  <si>
    <t>D-008</t>
  </si>
  <si>
    <t>用户操作手册</t>
  </si>
  <si>
    <t>培训</t>
  </si>
  <si>
    <t>实施负责人</t>
  </si>
  <si>
    <t>D-009</t>
  </si>
  <si>
    <t>用户验收报告</t>
  </si>
  <si>
    <t>验收</t>
  </si>
  <si>
    <t>D-010</t>
  </si>
  <si>
    <t>项目总结与移交清单</t>
  </si>
  <si>
    <t>收尾</t>
  </si>
  <si>
    <t>会议纪要与行动项跟踪</t>
  </si>
  <si>
    <t>行动项ID</t>
  </si>
  <si>
    <t>会议日期</t>
  </si>
  <si>
    <t>会议主题</t>
  </si>
  <si>
    <t>决策/行动事项</t>
  </si>
  <si>
    <t>协同人</t>
  </si>
  <si>
    <t>截止日期</t>
  </si>
  <si>
    <t>完成日期</t>
  </si>
  <si>
    <t>逾期天数</t>
  </si>
  <si>
    <t>结果说明</t>
  </si>
  <si>
    <t>项目管理工作簿使用说明</t>
  </si>
  <si>
    <t>标准更新流程</t>
  </si>
  <si>
    <t>1. 将最新项目计划放入inputs目录；2. 发起“更新V2模板”；3. 系统按文件修改时间选择最新Excel；4. 核对总控、诊断、督办和资源计划。</t>
  </si>
  <si>
    <t>输入目录</t>
  </si>
  <si>
    <t>固定从项目目录下的inputs文件夹读取；支持.xlsx和.xlsm，并自动忽略以~$开头的Excel临时文件。</t>
  </si>
  <si>
    <t>本次数据来源</t>
  </si>
  <si>
    <t>华能交易中心-港口交易平台开发计划-20260903-V2.xlsx</t>
  </si>
  <si>
    <t>任务范围</t>
  </si>
  <si>
    <t>根据最新开发计划动态识别任务行，本次共145条任务；任务增减时，总控及相关明细范围同步调整。</t>
  </si>
  <si>
    <t>在“项目驾驶舱”B3修改统计日期，延期、剩余天数、临近到期和两周督办会同步变化。</t>
  </si>
  <si>
    <t>挂起与暂停</t>
  </si>
  <si>
    <t>业务、后端、前端或测试任一环节为“挂起”或“暂停”时，总体状态自动显示“暂停”；延期状态同步显示“暂停”。</t>
  </si>
  <si>
    <t>综合进度口径</t>
  </si>
  <si>
    <t>业务设计15%、后端开发35%、前端开发30%、测试20%；进行中按该阶段50%计，完成按100%计。</t>
  </si>
  <si>
    <t>延期口径</t>
  </si>
  <si>
    <t>总体状态不是“已完成”或“暂停”，且计划完成日期早于统计日期，判定为“已延期”；7天内到期为“临近到期”。</t>
  </si>
  <si>
    <t>资源汇总和周计划直接根据总控台账生成；周计划按人员分组合并，用于查看每周是否有任务及任务清单。</t>
  </si>
  <si>
    <t>资源录入</t>
  </si>
  <si>
    <t>每人每周可用工时固定为40小时，并在同一周的并行任务间平均分配到0.5小时档位；取整超额从部分任务中调减，确保该人员当周合计仍为40小时。跨周任务累计各周分摊工时。</t>
  </si>
  <si>
    <t>成本口径</t>
  </si>
  <si>
    <t>统一人员单价为1200元/人天，按8小时/人天折算为150元/小时。驾驶舱计划人工成本根据资源汇总的计划投入工时计算。</t>
  </si>
  <si>
    <t>周迭代计划</t>
  </si>
  <si>
    <t>保留源文件周迭代内容，并计算本周完成率、保留复盘说明。</t>
  </si>
  <si>
    <t>高：影响上线、关键业务闭环或外部关键依赖；中：可通过方案或资源调整控制；低：局部、短期、可快速恢复。</t>
  </si>
  <si>
    <t>更新频率</t>
  </si>
  <si>
    <t>总控台账和行动项每周至少更新1次；风险问题发生变化即更新；变更提出后即登记；里程碑在阶段门前后更新。</t>
  </si>
  <si>
    <t>注意事项</t>
  </si>
  <si>
    <t>源计划中的空白或“/”保持为空。刷新后重点核对新增任务、暂停任务、外部接口完成时间、上线窗口和实际完成日期。</t>
  </si>
  <si>
    <t>AI项目诊断</t>
  </si>
  <si>
    <t>数据日期引用“项目驾驶舱”B3；红黄绿由客观规则计算，管理判断由项目经理确认。</t>
  </si>
  <si>
    <t>数据日期</t>
  </si>
  <si>
    <t>项目经理判断</t>
  </si>
  <si>
    <t>待确认</t>
  </si>
  <si>
    <t>判断说明</t>
  </si>
  <si>
    <t>根据诊断指标补充总体判断、最大失控点和需要的支持。</t>
  </si>
  <si>
    <t>任务总数</t>
  </si>
  <si>
    <t>已完成任务</t>
  </si>
  <si>
    <t>逾期任务</t>
  </si>
  <si>
    <t>未来14天到期</t>
  </si>
  <si>
    <t>未关闭高风险</t>
  </si>
  <si>
    <t>逾期风险/问题</t>
  </si>
  <si>
    <t>逾期行动项</t>
  </si>
  <si>
    <t>数据质量问题</t>
  </si>
  <si>
    <t>项目健康规则</t>
  </si>
  <si>
    <t>状态分布</t>
  </si>
  <si>
    <t>维度</t>
  </si>
  <si>
    <t>客观判断</t>
  </si>
  <si>
    <t>触发规则</t>
  </si>
  <si>
    <t>建议动作</t>
  </si>
  <si>
    <t>责任角色</t>
  </si>
  <si>
    <t>数量</t>
  </si>
  <si>
    <t>进度</t>
  </si>
  <si>
    <t>延期≥5红；有延期或暂停黄；否则绿</t>
  </si>
  <si>
    <t>确认关键路径、暂停原因和恢复条件</t>
  </si>
  <si>
    <t>绿</t>
  </si>
  <si>
    <t>高风险≥3红；1-2黄；0绿</t>
  </si>
  <si>
    <t>逐项落实责任人和关闭证据</t>
  </si>
  <si>
    <t>风险责任人</t>
  </si>
  <si>
    <t>黄</t>
  </si>
  <si>
    <t>行动</t>
  </si>
  <si>
    <t>逾期&gt;7天红；有逾期黄；无逾期绿</t>
  </si>
  <si>
    <t>升级逾期事项并确认新承诺</t>
  </si>
  <si>
    <t>PMO</t>
  </si>
  <si>
    <t>红</t>
  </si>
  <si>
    <t>数据</t>
  </si>
  <si>
    <t>缺陷≥10红；1-9黄；0绿</t>
  </si>
  <si>
    <t>补齐责任人、日期和状态</t>
  </si>
  <si>
    <t>台账维护人</t>
  </si>
  <si>
    <t>灰</t>
  </si>
  <si>
    <t>数据质量检查</t>
  </si>
  <si>
    <t>逐条检查项目总控台账中的关键管理字段。状态为“需整改”的记录应在源台账中修正。</t>
  </si>
  <si>
    <t>来源</t>
  </si>
  <si>
    <t>记录ID</t>
  </si>
  <si>
    <t>任务名称</t>
  </si>
  <si>
    <t>发现的问题</t>
  </si>
  <si>
    <t>检查状态</t>
  </si>
  <si>
    <t>源行号</t>
  </si>
  <si>
    <t>项目总控台账</t>
  </si>
  <si>
    <t>待决策事项</t>
  </si>
  <si>
    <t>记录超出项目团队权限、需要管理层或业务方明确取舍的事项。黄色单元格需要人工维护。</t>
  </si>
  <si>
    <t>决策ID</t>
  </si>
  <si>
    <t>决策主题</t>
  </si>
  <si>
    <t>背景与现状</t>
  </si>
  <si>
    <t>可选方案</t>
  </si>
  <si>
    <t>建议方案</t>
  </si>
  <si>
    <t>决策人</t>
  </si>
  <si>
    <t>需要日期</t>
  </si>
  <si>
    <t>当前状态</t>
  </si>
  <si>
    <t>决策结果</t>
  </si>
  <si>
    <t>关闭日期</t>
  </si>
  <si>
    <t>两周督办</t>
  </si>
  <si>
    <t>自动识别未来14天到期及已经逾期的未完成任务。使用“是否纳入”筛选出需要督办的记录。</t>
  </si>
  <si>
    <t>是否纳入</t>
  </si>
  <si>
    <t>距截止天数</t>
  </si>
  <si>
    <t>承诺完成</t>
  </si>
  <si>
    <t>完成证据</t>
  </si>
  <si>
    <t>PMO周报</t>
  </si>
  <si>
    <t>面向项目领导的周报底稿。指标自动计算，黄色区域由项目经理审核后填写。</t>
  </si>
  <si>
    <t>报告日期</t>
  </si>
  <si>
    <t>项目状态</t>
  </si>
  <si>
    <t>状态说明</t>
  </si>
  <si>
    <t>一、本周总体判断</t>
  </si>
  <si>
    <t>说明项目整体状态、与上周相比的变化以及最大失控点。</t>
  </si>
  <si>
    <t>二、本周完成事项</t>
  </si>
  <si>
    <t>列出已经完成且有证据的关键事项，不写日常过程。</t>
  </si>
  <si>
    <t>三、未来两周重点</t>
  </si>
  <si>
    <t>从“两周督办”筛选“是否纳入=是”，确认责任人和承诺日期。</t>
  </si>
  <si>
    <t>四、主要风险与问题</t>
  </si>
  <si>
    <t>优先说明高等级、已逾期、影响里程碑的风险与问题。</t>
  </si>
  <si>
    <t>五、待决策与需协调事项</t>
  </si>
  <si>
    <t>从“待决策事项”提取仍未决策且已接近需要日期的事项。</t>
  </si>
  <si>
    <t>自动指标</t>
  </si>
  <si>
    <t>指标</t>
  </si>
  <si>
    <t>本期值</t>
  </si>
  <si>
    <t>管理含义</t>
  </si>
  <si>
    <t>观察总体交付进展</t>
  </si>
  <si>
    <t>逾期任务数</t>
  </si>
  <si>
    <t>检查关键路径和补救计划</t>
  </si>
  <si>
    <t>确认应对措施和升级需求</t>
  </si>
  <si>
    <t>检查承诺兑现情况</t>
  </si>
  <si>
    <t>明确决策人和最迟日期</t>
  </si>
  <si>
    <t>提高AI诊断可信度</t>
  </si>
  <si>
    <t>AI运行日志</t>
  </si>
  <si>
    <t>记录每次AI分析的输入范围、发现、建议、人工确认和处理结果，便于追踪与复盘。</t>
  </si>
  <si>
    <t>运行ID</t>
  </si>
  <si>
    <t>运行时间</t>
  </si>
  <si>
    <t>分析类型</t>
  </si>
  <si>
    <t>分析范围</t>
  </si>
  <si>
    <t>主要发现</t>
  </si>
  <si>
    <t>AI建议</t>
  </si>
  <si>
    <t>人工结论</t>
  </si>
  <si>
    <t>处理人</t>
  </si>
  <si>
    <t>处理状态</t>
  </si>
  <si>
    <t>完成时间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</si>
</sst>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 numFmtId="177" formatCode="yyyy\-mm\-dd"/>
    <numFmt numFmtId="178" formatCode="0.0"/>
    <numFmt numFmtId="179" formatCode="\¥#,##0"/>
  </numFmts>
  <fonts count="36">
    <font>
      <sz val="11"/>
      <name val="Carlito"/>
      <charset val="134"/>
    </font>
    <font>
      <b/>
      <sz val="16"/>
      <color rgb="FF17365D"/>
      <name val="Carlito"/>
      <charset val="134"/>
    </font>
    <font>
      <i/>
      <sz val="10"/>
      <color rgb="FF5B6573"/>
      <name val="Carlito"/>
      <charset val="134"/>
    </font>
    <font>
      <b/>
      <sz val="10"/>
      <color rgb="FFFFFFFF"/>
      <name val="Carlito"/>
      <charset val="134"/>
    </font>
    <font>
      <sz val="10"/>
      <color rgb="FF1F2937"/>
      <name val="Carlito"/>
      <charset val="134"/>
    </font>
    <font>
      <b/>
      <sz val="11"/>
      <color rgb="FF17365D"/>
      <name val="Carlito"/>
      <charset val="134"/>
    </font>
    <font>
      <b/>
      <sz val="12"/>
      <color rgb="FF17365D"/>
      <name val="Carlito"/>
      <charset val="134"/>
    </font>
    <font>
      <sz val="10"/>
      <color rgb="FF5B6573"/>
      <name val="Carlito"/>
      <charset val="134"/>
    </font>
    <font>
      <b/>
      <sz val="18"/>
      <color rgb="FF17365D"/>
      <name val="Carlito"/>
      <charset val="134"/>
    </font>
    <font>
      <b/>
      <sz val="11"/>
      <color rgb="FFFFFFFF"/>
      <name val="Carlito"/>
      <charset val="134"/>
    </font>
    <font>
      <sz val="11"/>
      <color rgb="FF1F2937"/>
      <name val="Carlito"/>
      <charset val="134"/>
    </font>
    <font>
      <i/>
      <sz val="9"/>
      <color rgb="FF666666"/>
      <name val="Carlito"/>
      <charset val="134"/>
    </font>
    <font>
      <i/>
      <sz val="11"/>
      <color rgb="FF17365D"/>
      <name val="Carlito"/>
      <charset val="134"/>
    </font>
    <font>
      <b/>
      <sz val="14"/>
      <color rgb="FF17365D"/>
      <name val="Carlito"/>
      <charset val="134"/>
    </font>
    <font>
      <b/>
      <sz val="12"/>
      <color theme="0"/>
      <name val="Carlito"/>
      <charset val="134"/>
    </font>
    <font>
      <b/>
      <sz val="10"/>
      <color rgb="FF17365D"/>
      <name val="Carlito"/>
      <charset val="134"/>
    </font>
    <font>
      <i/>
      <sz val="9"/>
      <color rgb="FF6B7280"/>
      <name val="Carlito"/>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42">
    <fill>
      <patternFill patternType="none"/>
    </fill>
    <fill>
      <patternFill patternType="gray125"/>
    </fill>
    <fill>
      <patternFill patternType="solid">
        <fgColor rgb="FF0070C0"/>
        <bgColor indexed="64"/>
      </patternFill>
    </fill>
    <fill>
      <patternFill patternType="solid">
        <fgColor rgb="FFFFF2CC"/>
        <bgColor indexed="64"/>
      </patternFill>
    </fill>
    <fill>
      <patternFill patternType="solid">
        <fgColor rgb="FFEEF5FB"/>
        <bgColor indexed="64"/>
      </patternFill>
    </fill>
    <fill>
      <patternFill patternType="solid">
        <fgColor rgb="FFD9EAF7"/>
        <bgColor indexed="64"/>
      </patternFill>
    </fill>
    <fill>
      <patternFill patternType="solid">
        <fgColor rgb="FF17365D"/>
        <bgColor indexed="64"/>
      </patternFill>
    </fill>
    <fill>
      <patternFill patternType="solid">
        <fgColor theme="0"/>
        <bgColor indexed="64"/>
      </patternFill>
    </fill>
    <fill>
      <patternFill patternType="solid">
        <fgColor rgb="FFDDEBF7"/>
        <bgColor indexed="64"/>
      </patternFill>
    </fill>
    <fill>
      <patternFill patternType="solid">
        <fgColor rgb="FFF2F2F2"/>
        <bgColor indexed="64"/>
      </patternFill>
    </fill>
    <fill>
      <patternFill patternType="solid">
        <fgColor rgb="FFF7F9FC"/>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rgb="FFD9E1F2"/>
      </left>
      <right style="thin">
        <color rgb="FFD9E1F2"/>
      </right>
      <top style="thin">
        <color rgb="FFD9E1F2"/>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7" fillId="0" borderId="0">
      <alignment vertical="center"/>
    </xf>
    <xf numFmtId="44" fontId="17" fillId="0" borderId="0">
      <alignment vertical="center"/>
    </xf>
    <xf numFmtId="9" fontId="17" fillId="0" borderId="0">
      <alignment vertical="center"/>
    </xf>
    <xf numFmtId="41" fontId="17" fillId="0" borderId="0">
      <alignment vertical="center"/>
    </xf>
    <xf numFmtId="42" fontId="17" fillId="0" borderId="0">
      <alignment vertical="center"/>
    </xf>
    <xf numFmtId="0" fontId="18" fillId="0" borderId="0">
      <alignment vertical="center"/>
    </xf>
    <xf numFmtId="0" fontId="19" fillId="0" borderId="0">
      <alignment vertical="center"/>
    </xf>
    <xf numFmtId="0" fontId="17" fillId="12" borderId="2">
      <alignment vertical="center"/>
    </xf>
    <xf numFmtId="0" fontId="20" fillId="0" borderId="0">
      <alignment vertical="center"/>
    </xf>
    <xf numFmtId="0" fontId="21" fillId="0" borderId="0">
      <alignment vertical="center"/>
    </xf>
    <xf numFmtId="0" fontId="22" fillId="0" borderId="0">
      <alignment vertical="center"/>
    </xf>
    <xf numFmtId="0" fontId="23" fillId="0" borderId="3">
      <alignment vertical="center"/>
    </xf>
    <xf numFmtId="0" fontId="24" fillId="0" borderId="3">
      <alignment vertical="center"/>
    </xf>
    <xf numFmtId="0" fontId="25" fillId="0" borderId="4">
      <alignment vertical="center"/>
    </xf>
    <xf numFmtId="0" fontId="25" fillId="0" borderId="0">
      <alignment vertical="center"/>
    </xf>
    <xf numFmtId="0" fontId="26" fillId="13" borderId="5">
      <alignment vertical="center"/>
    </xf>
    <xf numFmtId="0" fontId="27" fillId="9" borderId="6">
      <alignment vertical="center"/>
    </xf>
    <xf numFmtId="0" fontId="28" fillId="9" borderId="5">
      <alignment vertical="center"/>
    </xf>
    <xf numFmtId="0" fontId="29" fillId="14" borderId="7">
      <alignment vertical="center"/>
    </xf>
    <xf numFmtId="0" fontId="30" fillId="0" borderId="8">
      <alignment vertical="center"/>
    </xf>
    <xf numFmtId="0" fontId="31" fillId="0" borderId="9">
      <alignment vertical="center"/>
    </xf>
    <xf numFmtId="0" fontId="32" fillId="15" borderId="0">
      <alignment vertical="center"/>
    </xf>
    <xf numFmtId="0" fontId="33" fillId="16" borderId="0">
      <alignment vertical="center"/>
    </xf>
    <xf numFmtId="0" fontId="34" fillId="17" borderId="0">
      <alignment vertical="center"/>
    </xf>
    <xf numFmtId="0" fontId="35" fillId="18" borderId="0">
      <alignment vertical="center"/>
    </xf>
    <xf numFmtId="0" fontId="17" fillId="19" borderId="0">
      <alignment vertical="center"/>
    </xf>
    <xf numFmtId="0" fontId="17" fillId="20" borderId="0">
      <alignment vertical="center"/>
    </xf>
    <xf numFmtId="0" fontId="35" fillId="21" borderId="0">
      <alignment vertical="center"/>
    </xf>
    <xf numFmtId="0" fontId="35" fillId="22" borderId="0">
      <alignment vertical="center"/>
    </xf>
    <xf numFmtId="0" fontId="17" fillId="23" borderId="0">
      <alignment vertical="center"/>
    </xf>
    <xf numFmtId="0" fontId="17" fillId="24" borderId="0">
      <alignment vertical="center"/>
    </xf>
    <xf numFmtId="0" fontId="35" fillId="25" borderId="0">
      <alignment vertical="center"/>
    </xf>
    <xf numFmtId="0" fontId="35" fillId="26" borderId="0">
      <alignment vertical="center"/>
    </xf>
    <xf numFmtId="0" fontId="17" fillId="27" borderId="0">
      <alignment vertical="center"/>
    </xf>
    <xf numFmtId="0" fontId="17" fillId="28" borderId="0">
      <alignment vertical="center"/>
    </xf>
    <xf numFmtId="0" fontId="35" fillId="29" borderId="0">
      <alignment vertical="center"/>
    </xf>
    <xf numFmtId="0" fontId="35" fillId="30" borderId="0">
      <alignment vertical="center"/>
    </xf>
    <xf numFmtId="0" fontId="17" fillId="31" borderId="0">
      <alignment vertical="center"/>
    </xf>
    <xf numFmtId="0" fontId="17" fillId="32" borderId="0">
      <alignment vertical="center"/>
    </xf>
    <xf numFmtId="0" fontId="35" fillId="33" borderId="0">
      <alignment vertical="center"/>
    </xf>
    <xf numFmtId="0" fontId="35" fillId="34" borderId="0">
      <alignment vertical="center"/>
    </xf>
    <xf numFmtId="0" fontId="17" fillId="35" borderId="0">
      <alignment vertical="center"/>
    </xf>
    <xf numFmtId="0" fontId="17" fillId="36" borderId="0">
      <alignment vertical="center"/>
    </xf>
    <xf numFmtId="0" fontId="35" fillId="37" borderId="0">
      <alignment vertical="center"/>
    </xf>
    <xf numFmtId="0" fontId="35" fillId="38" borderId="0">
      <alignment vertical="center"/>
    </xf>
    <xf numFmtId="0" fontId="17" fillId="39" borderId="0">
      <alignment vertical="center"/>
    </xf>
    <xf numFmtId="0" fontId="17" fillId="40" borderId="0">
      <alignment vertical="center"/>
    </xf>
    <xf numFmtId="0" fontId="35" fillId="41" borderId="0">
      <alignment vertical="center"/>
    </xf>
    <xf numFmtId="0" fontId="0" fillId="0" borderId="0"/>
  </cellStyleXfs>
  <cellXfs count="62">
    <xf numFmtId="0" fontId="0" fillId="0" borderId="0" xfId="49"/>
    <xf numFmtId="0" fontId="0" fillId="0" borderId="0" xfId="0" applyAlignment="1"/>
    <xf numFmtId="0" fontId="1" fillId="0" borderId="1" xfId="0" applyFont="1" applyBorder="1" applyAlignment="1">
      <alignment horizontal="left" vertical="center"/>
    </xf>
    <xf numFmtId="0" fontId="2" fillId="0" borderId="1" xfId="0" applyFont="1" applyBorder="1" applyAlignment="1">
      <alignment horizontal="left" vertical="center"/>
    </xf>
    <xf numFmtId="0" fontId="0" fillId="0" borderId="1" xfId="0" applyBorder="1" applyAlignment="1"/>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176" fontId="4" fillId="3" borderId="1" xfId="0" applyNumberFormat="1" applyFont="1" applyFill="1" applyBorder="1" applyAlignment="1">
      <alignment vertical="top" wrapText="1"/>
    </xf>
    <xf numFmtId="0" fontId="4" fillId="3" borderId="1" xfId="0" applyFont="1" applyFill="1" applyBorder="1" applyAlignment="1">
      <alignment vertical="top" wrapText="1"/>
    </xf>
    <xf numFmtId="177" fontId="4" fillId="3" borderId="1" xfId="0" applyNumberFormat="1" applyFont="1" applyFill="1" applyBorder="1" applyAlignment="1">
      <alignment vertical="top" wrapText="1"/>
    </xf>
    <xf numFmtId="0" fontId="5" fillId="0" borderId="1" xfId="0" applyFont="1" applyBorder="1" applyAlignment="1"/>
    <xf numFmtId="177" fontId="0" fillId="4" borderId="1" xfId="0" applyNumberFormat="1" applyFill="1" applyBorder="1" applyAlignment="1">
      <alignment vertical="top" wrapText="1"/>
    </xf>
    <xf numFmtId="0" fontId="0" fillId="4" borderId="1" xfId="0" applyFill="1" applyBorder="1" applyAlignment="1">
      <alignment vertical="top" wrapText="1"/>
    </xf>
    <xf numFmtId="0" fontId="5" fillId="5" borderId="1" xfId="0" applyFont="1" applyFill="1" applyBorder="1" applyAlignment="1"/>
    <xf numFmtId="0" fontId="6" fillId="0" borderId="1" xfId="0" applyFont="1" applyBorder="1" applyAlignment="1"/>
    <xf numFmtId="9" fontId="4" fillId="0" borderId="1" xfId="0" applyNumberFormat="1" applyFont="1" applyBorder="1" applyAlignment="1">
      <alignment vertical="top" wrapText="1"/>
    </xf>
    <xf numFmtId="177" fontId="4" fillId="0" borderId="1" xfId="0" applyNumberFormat="1" applyFont="1" applyBorder="1" applyAlignment="1">
      <alignment vertical="top" wrapText="1"/>
    </xf>
    <xf numFmtId="177" fontId="0" fillId="0" borderId="1" xfId="0" applyNumberFormat="1" applyBorder="1" applyAlignment="1"/>
    <xf numFmtId="0" fontId="0" fillId="3" borderId="1" xfId="0" applyFill="1" applyBorder="1" applyAlignment="1"/>
    <xf numFmtId="0" fontId="7" fillId="0" borderId="1" xfId="0" applyFont="1" applyBorder="1" applyAlignment="1"/>
    <xf numFmtId="0" fontId="8" fillId="0" borderId="1" xfId="0" applyFont="1" applyBorder="1" applyAlignment="1"/>
    <xf numFmtId="0" fontId="9" fillId="2" borderId="1" xfId="0" applyFont="1" applyFill="1" applyBorder="1" applyAlignment="1"/>
    <xf numFmtId="0" fontId="9" fillId="6" borderId="1" xfId="49" applyFont="1" applyFill="1" applyBorder="1" applyAlignment="1">
      <alignment horizontal="left" vertical="center"/>
    </xf>
    <xf numFmtId="0" fontId="5" fillId="5" borderId="1" xfId="49" applyFont="1" applyFill="1" applyBorder="1" applyAlignment="1">
      <alignment wrapText="1"/>
    </xf>
    <xf numFmtId="0" fontId="10" fillId="0" borderId="1" xfId="49" applyFont="1" applyBorder="1" applyAlignment="1">
      <alignment vertical="center" wrapText="1"/>
    </xf>
    <xf numFmtId="0" fontId="9" fillId="2" borderId="1" xfId="49" applyFont="1" applyFill="1" applyBorder="1" applyAlignment="1">
      <alignment horizontal="center" vertical="center" wrapText="1"/>
    </xf>
    <xf numFmtId="177" fontId="10" fillId="0" borderId="1" xfId="49" applyNumberFormat="1" applyFont="1" applyBorder="1" applyAlignment="1">
      <alignment vertical="center" wrapText="1"/>
    </xf>
    <xf numFmtId="0" fontId="0" fillId="0" borderId="1" xfId="49" applyBorder="1" applyAlignment="1">
      <alignment wrapText="1"/>
    </xf>
    <xf numFmtId="0" fontId="0" fillId="7" borderId="0" xfId="49" applyFill="1"/>
    <xf numFmtId="0" fontId="10" fillId="0" borderId="1" xfId="49" applyFont="1" applyBorder="1" applyAlignment="1">
      <alignment horizontal="center" vertical="center"/>
    </xf>
    <xf numFmtId="177" fontId="10" fillId="0" borderId="1" xfId="49" applyNumberFormat="1" applyFont="1" applyBorder="1" applyAlignment="1">
      <alignment horizontal="center" vertical="center"/>
    </xf>
    <xf numFmtId="0" fontId="10" fillId="0" borderId="1" xfId="49" applyFont="1" applyBorder="1" applyAlignment="1">
      <alignment horizontal="center" vertical="center" wrapText="1"/>
    </xf>
    <xf numFmtId="9" fontId="10" fillId="0" borderId="1" xfId="49" applyNumberFormat="1" applyFont="1" applyBorder="1" applyAlignment="1">
      <alignment vertical="center"/>
    </xf>
    <xf numFmtId="0" fontId="10" fillId="0" borderId="1" xfId="49" applyFont="1" applyBorder="1" applyAlignment="1">
      <alignment vertical="center"/>
    </xf>
    <xf numFmtId="0" fontId="10" fillId="7" borderId="1" xfId="49" applyFont="1" applyFill="1" applyBorder="1" applyAlignment="1">
      <alignment horizontal="center" vertical="center"/>
    </xf>
    <xf numFmtId="177" fontId="10" fillId="7" borderId="1" xfId="49" applyNumberFormat="1" applyFont="1" applyFill="1" applyBorder="1" applyAlignment="1">
      <alignment horizontal="center" vertical="center"/>
    </xf>
    <xf numFmtId="0" fontId="10" fillId="7" borderId="1" xfId="49" applyFont="1" applyFill="1" applyBorder="1" applyAlignment="1">
      <alignment vertical="center" wrapText="1"/>
    </xf>
    <xf numFmtId="0" fontId="10" fillId="7" borderId="1" xfId="49" applyFont="1" applyFill="1" applyBorder="1" applyAlignment="1">
      <alignment horizontal="center" vertical="center" wrapText="1"/>
    </xf>
    <xf numFmtId="9" fontId="10" fillId="7" borderId="1" xfId="49" applyNumberFormat="1" applyFont="1" applyFill="1" applyBorder="1" applyAlignment="1">
      <alignment vertical="center"/>
    </xf>
    <xf numFmtId="0" fontId="10" fillId="7" borderId="1" xfId="49" applyFont="1" applyFill="1" applyBorder="1" applyAlignment="1">
      <alignment vertical="center"/>
    </xf>
    <xf numFmtId="178" fontId="4" fillId="0" borderId="1" xfId="0" applyNumberFormat="1" applyFont="1" applyBorder="1" applyAlignment="1">
      <alignment vertical="top" wrapText="1"/>
    </xf>
    <xf numFmtId="0" fontId="11" fillId="0" borderId="1" xfId="0" applyFont="1" applyBorder="1" applyAlignment="1"/>
    <xf numFmtId="0" fontId="4" fillId="0" borderId="1" xfId="0" applyFont="1" applyBorder="1" applyAlignment="1">
      <alignment horizontal="center" vertical="center" wrapText="1"/>
    </xf>
    <xf numFmtId="0" fontId="12" fillId="8" borderId="1" xfId="49" applyFont="1" applyFill="1" applyBorder="1" applyAlignment="1">
      <alignment vertical="center"/>
    </xf>
    <xf numFmtId="9" fontId="10" fillId="0" borderId="1" xfId="49" applyNumberFormat="1" applyFont="1" applyBorder="1" applyAlignment="1">
      <alignment vertical="center" wrapText="1"/>
    </xf>
    <xf numFmtId="0" fontId="5" fillId="5" borderId="1" xfId="49" applyFont="1" applyFill="1" applyBorder="1"/>
    <xf numFmtId="177" fontId="5" fillId="5" borderId="1" xfId="49" applyNumberFormat="1" applyFont="1" applyFill="1" applyBorder="1"/>
    <xf numFmtId="0" fontId="5" fillId="9" borderId="1" xfId="49" applyFont="1" applyFill="1" applyBorder="1" applyAlignment="1">
      <alignment horizontal="center" vertical="center"/>
    </xf>
    <xf numFmtId="9" fontId="5" fillId="9" borderId="1" xfId="49" applyNumberFormat="1" applyFont="1" applyFill="1" applyBorder="1" applyAlignment="1">
      <alignment horizontal="center" vertical="center"/>
    </xf>
    <xf numFmtId="0" fontId="3" fillId="6" borderId="1" xfId="0" applyFont="1" applyFill="1" applyBorder="1" applyAlignment="1">
      <alignment horizontal="center" vertical="center"/>
    </xf>
    <xf numFmtId="9" fontId="13" fillId="4" borderId="1" xfId="0" applyNumberFormat="1" applyFont="1" applyFill="1" applyBorder="1" applyAlignment="1">
      <alignment horizontal="center" vertical="center"/>
    </xf>
    <xf numFmtId="178" fontId="13" fillId="4" borderId="1" xfId="0" applyNumberFormat="1" applyFont="1" applyFill="1" applyBorder="1" applyAlignment="1">
      <alignment horizontal="center" vertical="center"/>
    </xf>
    <xf numFmtId="179" fontId="13" fillId="4" borderId="1" xfId="0" applyNumberFormat="1" applyFont="1" applyFill="1" applyBorder="1" applyAlignment="1">
      <alignment horizontal="center" vertical="center"/>
    </xf>
    <xf numFmtId="179" fontId="13" fillId="3" borderId="1" xfId="0" applyNumberFormat="1" applyFont="1" applyFill="1" applyBorder="1" applyAlignment="1">
      <alignment horizontal="center" vertical="center"/>
    </xf>
    <xf numFmtId="0" fontId="10" fillId="10" borderId="1" xfId="49" applyFont="1" applyFill="1" applyBorder="1" applyAlignment="1">
      <alignment vertical="top" wrapText="1"/>
    </xf>
    <xf numFmtId="0" fontId="14" fillId="7" borderId="1" xfId="0" applyFont="1" applyFill="1" applyBorder="1" applyAlignment="1">
      <alignment horizontal="center" vertical="center"/>
    </xf>
    <xf numFmtId="0" fontId="15" fillId="4" borderId="1" xfId="0" applyFont="1" applyFill="1" applyBorder="1" applyAlignment="1"/>
    <xf numFmtId="9" fontId="4" fillId="11" borderId="1" xfId="0" applyNumberFormat="1" applyFont="1" applyFill="1" applyBorder="1" applyAlignment="1">
      <alignment horizontal="right" vertical="center"/>
    </xf>
    <xf numFmtId="179" fontId="4" fillId="3" borderId="1" xfId="0" applyNumberFormat="1" applyFont="1" applyFill="1" applyBorder="1" applyAlignment="1">
      <alignment horizontal="right" vertical="center"/>
    </xf>
    <xf numFmtId="179" fontId="4" fillId="11" borderId="1" xfId="0" applyNumberFormat="1" applyFont="1" applyFill="1" applyBorder="1" applyAlignment="1">
      <alignment horizontal="right" vertical="center"/>
    </xf>
    <xf numFmtId="178" fontId="4" fillId="11" borderId="1" xfId="0" applyNumberFormat="1" applyFont="1" applyFill="1" applyBorder="1" applyAlignment="1">
      <alignment horizontal="right" vertical="center"/>
    </xf>
    <xf numFmtId="0" fontId="16" fillId="0" borderId="1" xfId="0" applyFont="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8">
    <dxf>
      <font>
        <b val="1"/>
        <color rgb="FF375623"/>
      </font>
      <fill>
        <patternFill patternType="solid">
          <bgColor rgb="FFE2F0D9"/>
        </patternFill>
      </fill>
    </dxf>
    <dxf>
      <font>
        <b val="1"/>
        <color rgb="FF7F6000"/>
      </font>
      <fill>
        <patternFill patternType="solid">
          <bgColor rgb="FFFFF2CC"/>
        </patternFill>
      </fill>
    </dxf>
    <dxf>
      <font>
        <color rgb="FF595959"/>
      </font>
      <fill>
        <patternFill patternType="solid">
          <bgColor rgb="FFE7E6E6"/>
        </patternFill>
      </fill>
    </dxf>
    <dxf>
      <font>
        <b val="1"/>
        <color rgb="FFC00000"/>
      </font>
      <fill>
        <patternFill patternType="solid">
          <bgColor rgb="FFFCE4D6"/>
        </patternFill>
      </fill>
    </dxf>
    <dxf>
      <font>
        <b val="1"/>
        <color rgb="FFC00000"/>
      </font>
      <fill>
        <patternFill patternType="solid">
          <bgColor rgb="FFF4CCCC"/>
        </patternFill>
      </fill>
    </dxf>
    <dxf>
      <font>
        <color rgb="FF666666"/>
      </font>
      <fill>
        <patternFill patternType="solid">
          <fgColor rgb="FFE7E6E6"/>
        </patternFill>
      </fill>
    </dxf>
    <dxf>
      <font>
        <b val="1"/>
        <color rgb="FFC00000"/>
      </font>
      <fill>
        <patternFill patternType="solid">
          <fgColor rgb="FFFCE4D6"/>
        </patternFill>
      </fill>
    </dxf>
    <dxf>
      <font>
        <b val="1"/>
        <color rgb="FF9C6500"/>
      </font>
      <fill>
        <patternFill patternType="solid">
          <fgColor rgb="FFFFF2CC"/>
        </patternFill>
      </fill>
    </dxf>
    <dxf>
      <font>
        <color rgb="FF375623"/>
      </font>
      <fill>
        <patternFill patternType="solid">
          <fgColor rgb="FFE2F0D9"/>
        </patternFill>
      </fill>
    </dxf>
    <dxf>
      <font>
        <b val="1"/>
        <color rgb="FF375623"/>
      </font>
      <fill>
        <patternFill patternType="solid">
          <fgColor rgb="FFE2F0D9"/>
        </patternFill>
      </fill>
    </dxf>
    <dxf>
      <font>
        <b val="1"/>
        <color rgb="FF666666"/>
      </font>
      <fill>
        <patternFill patternType="solid">
          <fgColor rgb="FFF2F2F2"/>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1800" b="1" i="0">
                <a:solidFill>
                  <a:schemeClr val="tx1"/>
                </a:solidFill>
                <a:latin typeface="+mn-lt"/>
                <a:ea typeface="+mn-lt"/>
                <a:cs typeface="+mn-lt"/>
              </a:rPr>
              <a:t>任务状态分布</a:t>
            </a:r>
            <a:endParaRPr sz="1800" b="1" i="0">
              <a:solidFill>
                <a:schemeClr val="tx1"/>
              </a:solidFill>
              <a:latin typeface="+mn-lt"/>
              <a:ea typeface="+mn-lt"/>
              <a:cs typeface="+mn-lt"/>
            </a:endParaRPr>
          </a:p>
        </c:rich>
      </c:tx>
      <c:layout/>
      <c:overlay val="0"/>
    </c:title>
    <c:autoTitleDeleted val="0"/>
    <c:plotArea>
      <c:layout/>
      <c:doughnutChart>
        <c:varyColors val="1"/>
        <c:ser>
          <c:idx val="0"/>
          <c:order val="0"/>
          <c:tx>
            <c:strRef>
              <c:f>"任务数"</c:f>
              <c:strCache>
                <c:ptCount val="1"/>
                <c:pt idx="0">
                  <c:v>任务数</c:v>
                </c:pt>
              </c:strCache>
            </c:strRef>
          </c:tx>
          <c:spPr>
            <a:ln>
              <a:noFill/>
              <a:prstDash val="solid"/>
            </a:ln>
          </c:spPr>
          <c:explosion val="0"/>
          <c:dPt>
            <c:idx val="0"/>
            <c:bubble3D val="0"/>
            <c:spPr>
              <a:ln>
                <a:noFill/>
                <a:prstDash val="solid"/>
              </a:ln>
            </c:spPr>
          </c:dPt>
          <c:dPt>
            <c:idx val="1"/>
            <c:bubble3D val="0"/>
            <c:spPr>
              <a:ln>
                <a:noFill/>
                <a:prstDash val="solid"/>
              </a:ln>
            </c:spPr>
          </c:dPt>
          <c:dPt>
            <c:idx val="2"/>
            <c:bubble3D val="0"/>
            <c:spPr>
              <a:ln>
                <a:noFill/>
                <a:prstDash val="solid"/>
              </a:ln>
            </c:spPr>
          </c:dPt>
          <c:dPt>
            <c:idx val="3"/>
            <c:bubble3D val="0"/>
            <c:spPr>
              <a:ln>
                <a:noFill/>
                <a:prstDash val="solid"/>
              </a:ln>
            </c:spPr>
          </c:dPt>
          <c:dLbls>
            <c:delete val="1"/>
          </c:dLbls>
          <c:cat>
            <c:strRef>
              <c:f>项目驾驶舱!$A$10:$A$13</c:f>
              <c:strCache>
                <c:ptCount val="4"/>
                <c:pt idx="0">
                  <c:v>已完成</c:v>
                </c:pt>
                <c:pt idx="1">
                  <c:v>进行中</c:v>
                </c:pt>
                <c:pt idx="2">
                  <c:v>未开始</c:v>
                </c:pt>
                <c:pt idx="3">
                  <c:v>暂停</c:v>
                </c:pt>
              </c:strCache>
            </c:strRef>
          </c:cat>
          <c:val>
            <c:numRef>
              <c:f>项目驾驶舱!$B$10:$B$13</c:f>
              <c:numCache>
                <c:formatCode>General</c:formatCode>
                <c:ptCount val="4"/>
                <c:pt idx="0">
                  <c:v>73</c:v>
                </c:pt>
                <c:pt idx="1">
                  <c:v>15</c:v>
                </c:pt>
                <c:pt idx="2">
                  <c:v>51</c:v>
                </c:pt>
                <c:pt idx="3">
                  <c:v>6</c:v>
                </c:pt>
              </c:numCache>
            </c:numRef>
          </c:val>
        </c:ser>
        <c:dLbls>
          <c:showLegendKey val="0"/>
          <c:showVal val="0"/>
          <c:showCatName val="0"/>
          <c:showSerName val="0"/>
          <c:showPercent val="0"/>
          <c:showBubbleSize val="0"/>
          <c:showLeaderLines val="1"/>
        </c:dLbls>
        <c:firstSliceAng val="0"/>
        <c:holeSize val="1"/>
      </c:doughnutChart>
    </c:plotArea>
    <c:legend>
      <c:legendPos val="b"/>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0486b2a2-466e-4d9e-92e5-41078d9aee31}"/>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1800" b="1" i="0">
                <a:solidFill>
                  <a:schemeClr val="tx1"/>
                </a:solidFill>
                <a:latin typeface="+mn-lt"/>
                <a:ea typeface="+mn-lt"/>
                <a:cs typeface="+mn-lt"/>
              </a:rPr>
              <a:t>各批次任务数与已完成数</a:t>
            </a:r>
            <a:endParaRPr sz="1800" b="1" i="0">
              <a:solidFill>
                <a:schemeClr val="tx1"/>
              </a:solidFill>
              <a:latin typeface="+mn-lt"/>
              <a:ea typeface="+mn-lt"/>
              <a:cs typeface="+mn-lt"/>
            </a:endParaRPr>
          </a:p>
        </c:rich>
      </c:tx>
      <c:layout/>
      <c:overlay val="0"/>
    </c:title>
    <c:autoTitleDeleted val="0"/>
    <c:plotArea>
      <c:layout/>
      <c:barChart>
        <c:barDir val="col"/>
        <c:grouping val="clustered"/>
        <c:varyColors val="0"/>
        <c:ser>
          <c:idx val="0"/>
          <c:order val="0"/>
          <c:tx>
            <c:strRef>
              <c:f>"任务数"</c:f>
              <c:strCache>
                <c:ptCount val="1"/>
                <c:pt idx="0">
                  <c:v>任务数</c:v>
                </c:pt>
              </c:strCache>
            </c:strRef>
          </c:tx>
          <c:spPr>
            <a:ln>
              <a:noFill/>
              <a:prstDash val="solid"/>
            </a:ln>
          </c:spPr>
          <c:invertIfNegative val="0"/>
          <c:dLbls>
            <c:delete val="1"/>
          </c:dLbls>
          <c:cat>
            <c:strRef>
              <c:f>项目驾驶舱!$D$10:$D$12</c:f>
              <c:strCache>
                <c:ptCount val="3"/>
                <c:pt idx="0">
                  <c:v>第一批次</c:v>
                </c:pt>
                <c:pt idx="1">
                  <c:v>第二批次</c:v>
                </c:pt>
                <c:pt idx="2">
                  <c:v>其他</c:v>
                </c:pt>
              </c:strCache>
            </c:strRef>
          </c:cat>
          <c:val>
            <c:numRef>
              <c:f>项目驾驶舱!$E$10:$E$12</c:f>
              <c:numCache>
                <c:formatCode>General</c:formatCode>
                <c:ptCount val="3"/>
                <c:pt idx="0">
                  <c:v>61</c:v>
                </c:pt>
                <c:pt idx="1">
                  <c:v>78</c:v>
                </c:pt>
                <c:pt idx="2">
                  <c:v>6</c:v>
                </c:pt>
              </c:numCache>
            </c:numRef>
          </c:val>
        </c:ser>
        <c:ser>
          <c:idx val="1"/>
          <c:order val="1"/>
          <c:tx>
            <c:strRef>
              <c:f>"已完成"</c:f>
              <c:strCache>
                <c:ptCount val="1"/>
                <c:pt idx="0">
                  <c:v>已完成</c:v>
                </c:pt>
              </c:strCache>
            </c:strRef>
          </c:tx>
          <c:spPr>
            <a:solidFill>
              <a:srgbClr val="70AD47"/>
            </a:solidFill>
            <a:ln>
              <a:solidFill>
                <a:srgbClr val="70AD47"/>
              </a:solidFill>
              <a:prstDash val="solid"/>
            </a:ln>
          </c:spPr>
          <c:invertIfNegative val="0"/>
          <c:dLbls>
            <c:delete val="1"/>
          </c:dLbls>
          <c:cat>
            <c:strRef>
              <c:f>项目驾驶舱!$D$10:$D$12</c:f>
              <c:strCache>
                <c:ptCount val="3"/>
                <c:pt idx="0">
                  <c:v>第一批次</c:v>
                </c:pt>
                <c:pt idx="1">
                  <c:v>第二批次</c:v>
                </c:pt>
                <c:pt idx="2">
                  <c:v>其他</c:v>
                </c:pt>
              </c:strCache>
            </c:strRef>
          </c:cat>
          <c:val>
            <c:numRef>
              <c:f>项目驾驶舱!$F$10:$F$12</c:f>
              <c:numCache>
                <c:formatCode>General</c:formatCode>
                <c:ptCount val="3"/>
                <c:pt idx="0">
                  <c:v>57</c:v>
                </c:pt>
                <c:pt idx="1">
                  <c:v>16</c:v>
                </c:pt>
                <c:pt idx="2">
                  <c:v>0</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e43d0cbc-feb9-425e-903b-efe65bb63a7c}"/>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健康状态</a:t>
            </a:r>
          </a:p>
        </c:rich>
      </c:tx>
      <c:layout/>
      <c:overlay val="0"/>
    </c:title>
    <c:autoTitleDeleted val="0"/>
    <c:plotArea>
      <c:layout/>
      <c:barChart>
        <c:barDir val="col"/>
        <c:grouping val="clustered"/>
        <c:varyColors val="0"/>
        <c:ser>
          <c:idx val="0"/>
          <c:order val="0"/>
          <c:tx>
            <c:strRef>
              <c:f>AI项目诊断!$I$14</c:f>
              <c:strCache>
                <c:ptCount val="1"/>
                <c:pt idx="0">
                  <c:v>数量</c:v>
                </c:pt>
              </c:strCache>
            </c:strRef>
          </c:tx>
          <c:spPr>
            <a:ln w="12700">
              <a:solidFill>
                <a:schemeClr val="lt1"/>
              </a:solidFill>
              <a:prstDash val="solid"/>
              <a:round/>
            </a:ln>
          </c:spPr>
          <c:invertIfNegative val="0"/>
          <c:dLbls>
            <c:delete val="1"/>
          </c:dLbls>
          <c:cat>
            <c:strRef>
              <c:f>AI项目诊断!$H$15:$H$18</c:f>
              <c:strCache>
                <c:ptCount val="4"/>
                <c:pt idx="0">
                  <c:v>绿</c:v>
                </c:pt>
                <c:pt idx="1">
                  <c:v>黄</c:v>
                </c:pt>
                <c:pt idx="2">
                  <c:v>红</c:v>
                </c:pt>
                <c:pt idx="3">
                  <c:v>灰</c:v>
                </c:pt>
              </c:strCache>
            </c:strRef>
          </c:cat>
          <c:val>
            <c:numRef>
              <c:f>AI项目诊断!$I$15:$I$18</c:f>
              <c:numCache>
                <c:formatCode>General</c:formatCode>
                <c:ptCount val="4"/>
                <c:pt idx="0">
                  <c:v>1</c:v>
                </c:pt>
                <c:pt idx="1">
                  <c:v>0</c:v>
                </c:pt>
                <c:pt idx="2">
                  <c:v>3</c:v>
                </c:pt>
                <c:pt idx="3">
                  <c:v>0</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维度数</a:t>
                </a: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extLst>
      <c:ext uri="{0b15fc19-7d7d-44ad-8c2d-2c3a37ce22c3}">
        <chartProps xmlns="https://web.wps.cn/et/2018/main" chartId="{c5d99fa3-64d2-4382-807c-19e42442f7a1}"/>
      </c:ext>
    </c:extLst>
  </c:chart>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8</xdr:col>
      <xdr:colOff>0</xdr:colOff>
      <xdr:row>8</xdr:row>
      <xdr:rowOff>0</xdr:rowOff>
    </xdr:from>
    <xdr:to>
      <xdr:col>14</xdr:col>
      <xdr:colOff>0</xdr:colOff>
      <xdr:row>15</xdr:row>
      <xdr:rowOff>0</xdr:rowOff>
    </xdr:to>
    <xdr:graphicFrame>
      <xdr:nvGraphicFramePr>
        <xdr:cNvPr id="2" name="Chart 1"/>
        <xdr:cNvGraphicFramePr/>
      </xdr:nvGraphicFramePr>
      <xdr:xfrm>
        <a:off x="8636000" y="2672080"/>
        <a:ext cx="6995160" cy="1661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8</xdr:col>
      <xdr:colOff>0</xdr:colOff>
      <xdr:row>38</xdr:row>
      <xdr:rowOff>0</xdr:rowOff>
    </xdr:to>
    <xdr:graphicFrame>
      <xdr:nvGraphicFramePr>
        <xdr:cNvPr id="3" name="Chart 2"/>
        <xdr:cNvGraphicFramePr/>
      </xdr:nvGraphicFramePr>
      <xdr:xfrm>
        <a:off x="0" y="5613400"/>
        <a:ext cx="8636000" cy="3804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7</xdr:col>
      <xdr:colOff>0</xdr:colOff>
      <xdr:row>19</xdr:row>
      <xdr:rowOff>0</xdr:rowOff>
    </xdr:from>
    <xdr:ext cx="3600000" cy="2411460"/>
    <xdr:graphicFrame>
      <xdr:nvGraphicFramePr>
        <xdr:cNvPr id="2" name="Chart 1"/>
        <xdr:cNvGraphicFramePr/>
      </xdr:nvGraphicFramePr>
      <xdr:xfrm>
        <a:off x="11054080" y="4648200"/>
        <a:ext cx="3599815" cy="2411095"/>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id="1" name="ResourceSummaryTable" displayName="ResourceSummaryTable" ref="A4:L10">
  <autoFilter xmlns:etc="http://www.wps.cn/officeDocument/2017/etCustomData" ref="A4:L10" etc:filterBottomFollowUsedRange="0"/>
  <tableColumns count="12">
    <tableColumn id="1" name="人员"/>
    <tableColumn id="2" name="角色"/>
    <tableColumn id="3" name="任务数"/>
    <tableColumn id="4" name="未完成任务"/>
    <tableColumn id="5" name="最早开始"/>
    <tableColumn id="6" name="最晚结束"/>
    <tableColumn id="7" name="周可用工时"/>
    <tableColumn id="8" name="计划投入工时"/>
    <tableColumn id="9" name="负荷率"/>
    <tableColumn id="10" name="负荷判断"/>
    <tableColumn id="11" name="资源建议"/>
    <tableColumn id="12" name="备注"/>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showGridLines="0" workbookViewId="0">
      <selection activeCell="A17" sqref="A17:N20"/>
    </sheetView>
  </sheetViews>
  <sheetFormatPr defaultColWidth="9" defaultRowHeight="16.8"/>
  <cols>
    <col min="1" max="1" width="14" style="1" customWidth="1"/>
    <col min="2" max="3" width="12" style="1" customWidth="1"/>
    <col min="4" max="4" width="14" style="1" customWidth="1"/>
    <col min="5" max="9" width="12" style="1" customWidth="1"/>
    <col min="10" max="10" width="18" style="1" customWidth="1"/>
    <col min="11" max="11" width="14" style="1" customWidth="1"/>
    <col min="12" max="12" width="3" style="1" customWidth="1"/>
    <col min="13" max="13" width="18" style="1" customWidth="1"/>
    <col min="14" max="14" width="16" style="1" customWidth="1"/>
  </cols>
  <sheetData>
    <row r="1" ht="34" customHeight="1" spans="1:14">
      <c r="A1" s="22" t="s">
        <v>0</v>
      </c>
      <c r="B1" s="4"/>
      <c r="C1" s="4"/>
      <c r="D1" s="4"/>
      <c r="E1" s="4"/>
      <c r="F1" s="4"/>
      <c r="G1" s="4"/>
      <c r="H1" s="4"/>
      <c r="I1" s="4"/>
      <c r="J1" s="4"/>
      <c r="K1" s="4"/>
      <c r="L1" s="4"/>
      <c r="M1" s="4"/>
      <c r="N1" s="4"/>
    </row>
    <row r="3" spans="1:14">
      <c r="A3" s="45" t="s">
        <v>1</v>
      </c>
      <c r="B3" s="46">
        <v>46268</v>
      </c>
    </row>
    <row r="5" ht="30" customHeight="1" spans="1:14">
      <c r="A5" s="25" t="s">
        <v>2</v>
      </c>
      <c r="B5" s="25" t="s">
        <v>3</v>
      </c>
      <c r="C5" s="25" t="s">
        <v>4</v>
      </c>
      <c r="D5" s="25" t="s">
        <v>5</v>
      </c>
      <c r="E5" s="25" t="s">
        <v>6</v>
      </c>
      <c r="F5" s="25" t="s">
        <v>7</v>
      </c>
      <c r="G5" s="25" t="s">
        <v>8</v>
      </c>
      <c r="H5" s="25" t="s">
        <v>9</v>
      </c>
      <c r="I5" s="25" t="s">
        <v>10</v>
      </c>
      <c r="J5" s="25" t="s">
        <v>11</v>
      </c>
      <c r="K5" s="25" t="s">
        <v>12</v>
      </c>
      <c r="L5" s="25" t="s">
        <v>13</v>
      </c>
      <c r="M5" s="25" t="s">
        <v>14</v>
      </c>
      <c r="N5" s="25" t="s">
        <v>15</v>
      </c>
    </row>
    <row r="6" ht="42" customHeight="1" spans="1:14">
      <c r="A6" s="47">
        <f>COUNTA(项目总控台账!$A$4:$A$203)</f>
        <v>145</v>
      </c>
      <c r="B6" s="47">
        <f>COUNTIF(项目总控台账!$G$4:$G$203,"已完成")</f>
        <v>73</v>
      </c>
      <c r="C6" s="47">
        <f>COUNTIF(项目总控台账!$G$4:$G$203,"进行中")</f>
        <v>15</v>
      </c>
      <c r="D6" s="47">
        <f>COUNTIF(项目总控台账!$G$4:$G$203,"未开始")</f>
        <v>51</v>
      </c>
      <c r="E6" s="47">
        <f>COUNTIF(项目总控台账!$G$4:$G$203,"暂停")</f>
        <v>6</v>
      </c>
      <c r="F6" s="48">
        <f>AVERAGE(项目总控台账!$AB$4:$AB$203)</f>
        <v>0.553620689655172</v>
      </c>
      <c r="G6" s="47">
        <f>COUNTIF(项目总控台账!$AC$4:$AC$203,"已延期")</f>
        <v>24</v>
      </c>
      <c r="H6" s="47">
        <f>COUNTIF(项目总控台账!$AC$4:$AC$203,"临近到期")</f>
        <v>0</v>
      </c>
      <c r="I6" s="47">
        <f>COUNTIFS(风险问题台账!$D$4:$D$103,"高",风险问题台账!$K$4:$K$103,"&lt;&gt;已关闭")</f>
        <v>5</v>
      </c>
      <c r="J6" s="47">
        <f>COUNTIF(风险问题台账!$K$4:$K$103,"处理中")+COUNTIF(风险问题台账!$K$4:$K$103,"待处理")</f>
        <v>6</v>
      </c>
      <c r="K6" s="47">
        <f>COUNTIF(变更台账!$G$4:$G$53,"评估中")+COUNTIF(变更台账!$G$4:$G$53,"待审批")</f>
        <v>0</v>
      </c>
      <c r="L6" s="48">
        <f>IFERROR(COUNTIF(里程碑计划!$G$4:$G$23,"已完成")/COUNTA(里程碑计划!$A$4:$A$23),0)</f>
        <v>0</v>
      </c>
      <c r="M6" s="48">
        <f>IFERROR(COUNTIF(集成管理!$G$4:$G$53,"已完成")/COUNTA(集成管理!$A$4:$A$53),0)</f>
        <v>0.333333333333333</v>
      </c>
      <c r="N6" s="48">
        <f>IFERROR(COUNTIF(交付物台账!$G$4:$G$53,"已完成")/COUNTA(交付物台账!$A$4:$A$53),0)</f>
        <v>0</v>
      </c>
    </row>
    <row r="7" ht="24" customHeight="1" spans="1:14">
      <c r="A7" s="49" t="s">
        <v>16</v>
      </c>
      <c r="B7" s="4"/>
      <c r="C7" s="4"/>
      <c r="D7" s="49" t="s">
        <v>17</v>
      </c>
      <c r="E7" s="4"/>
      <c r="F7" s="4"/>
      <c r="G7" s="49" t="s">
        <v>18</v>
      </c>
      <c r="H7" s="4"/>
      <c r="I7" s="4"/>
      <c r="J7" s="49" t="s">
        <v>19</v>
      </c>
      <c r="K7" s="4"/>
      <c r="L7" s="4"/>
      <c r="M7" s="49" t="s">
        <v>20</v>
      </c>
      <c r="N7" s="4"/>
    </row>
    <row r="8" ht="30" customHeight="1" spans="1:14">
      <c r="A8" s="50">
        <f>AVERAGE(项目总控台账!$AB$4:$AB$148)</f>
        <v>0.553620689655172</v>
      </c>
      <c r="B8" s="4"/>
      <c r="C8" s="4"/>
      <c r="D8" s="50">
        <f>COUNTIF(项目总控台账!$G$4:$G$148,"已完成")/COUNTIF(项目总控台账!$A$4:$A$148,"&lt;&gt;")</f>
        <v>0.503448275862069</v>
      </c>
      <c r="E8" s="4"/>
      <c r="F8" s="4"/>
      <c r="G8" s="51">
        <f>SUM(资源计划!$H$5:$H$10)/8</f>
        <v>485</v>
      </c>
      <c r="H8" s="4"/>
      <c r="I8" s="4"/>
      <c r="J8" s="52">
        <f>G8*M8</f>
        <v>582000</v>
      </c>
      <c r="K8" s="4"/>
      <c r="L8" s="4"/>
      <c r="M8" s="53">
        <v>1200</v>
      </c>
      <c r="N8" s="4"/>
    </row>
    <row r="9" ht="30" customHeight="1" spans="1:14">
      <c r="A9" s="25" t="s">
        <v>21</v>
      </c>
      <c r="B9" s="25" t="s">
        <v>22</v>
      </c>
      <c r="D9" s="25" t="s">
        <v>23</v>
      </c>
      <c r="E9" s="25" t="s">
        <v>22</v>
      </c>
      <c r="F9" s="25" t="s">
        <v>3</v>
      </c>
      <c r="G9" s="25" t="s">
        <v>24</v>
      </c>
    </row>
    <row r="10" spans="1:14">
      <c r="A10" s="33" t="s">
        <v>3</v>
      </c>
      <c r="B10" s="33">
        <f>B6</f>
        <v>73</v>
      </c>
      <c r="D10" s="33" t="s">
        <v>25</v>
      </c>
      <c r="E10" s="33">
        <f>COUNTIF(项目总控台账!$F$4:$F$203,D10)</f>
        <v>61</v>
      </c>
      <c r="F10" s="33">
        <f>COUNTIFS(项目总控台账!$F$4:$F$203,D10,项目总控台账!$G$4:$G$203,"已完成")</f>
        <v>57</v>
      </c>
      <c r="G10" s="32">
        <f>IFERROR(F10/E10,0)</f>
        <v>0.934426229508197</v>
      </c>
    </row>
    <row r="11" spans="1:14">
      <c r="A11" s="33" t="s">
        <v>4</v>
      </c>
      <c r="B11" s="33">
        <f>C6</f>
        <v>15</v>
      </c>
      <c r="D11" s="33" t="s">
        <v>26</v>
      </c>
      <c r="E11" s="33">
        <f>COUNTIF(项目总控台账!$F$4:$F$203,D11)</f>
        <v>78</v>
      </c>
      <c r="F11" s="33">
        <f>COUNTIFS(项目总控台账!$F$4:$F$203,D11,项目总控台账!$G$4:$G$203,"已完成")</f>
        <v>16</v>
      </c>
      <c r="G11" s="32">
        <f>IFERROR(F11/E11,0)</f>
        <v>0.205128205128205</v>
      </c>
    </row>
    <row r="12" spans="1:14">
      <c r="A12" s="33" t="s">
        <v>5</v>
      </c>
      <c r="B12" s="33">
        <f>D6</f>
        <v>51</v>
      </c>
      <c r="D12" s="33" t="s">
        <v>27</v>
      </c>
      <c r="E12" s="33">
        <f>$A$6-E10-E11</f>
        <v>6</v>
      </c>
      <c r="F12" s="33">
        <f>$B$6-F10-F11</f>
        <v>0</v>
      </c>
      <c r="G12" s="32">
        <f>IFERROR(F12/E12,0)</f>
        <v>0</v>
      </c>
    </row>
    <row r="13" spans="1:14">
      <c r="A13" s="33" t="s">
        <v>6</v>
      </c>
      <c r="B13" s="33">
        <f>E6</f>
        <v>6</v>
      </c>
    </row>
    <row r="16" spans="1:14">
      <c r="A16" s="45" t="s">
        <v>28</v>
      </c>
      <c r="B16" s="4"/>
      <c r="C16" s="4"/>
      <c r="D16" s="4"/>
      <c r="E16" s="4"/>
      <c r="F16" s="4"/>
      <c r="G16" s="4"/>
      <c r="H16" s="4"/>
      <c r="I16" s="4"/>
      <c r="J16" s="4"/>
      <c r="K16" s="4"/>
      <c r="L16" s="4"/>
      <c r="M16" s="4"/>
      <c r="N16" s="4"/>
    </row>
    <row r="17" spans="1:14">
      <c r="A17" s="54" t="str">
        <f>"截至 "&amp;TEXT($B$3,"yyyy-mm-dd")&amp;"：延期任务 "&amp;G6&amp;" 项，临近到期 "&amp;H6&amp;" 项，高风险 "&amp;I6&amp;" 项。建议优先处理外部系统集成依赖、第二批次未启动任务及无明确上线日期的功能。"</f>
        <v>截至 2026-09-03：延期任务 24 项，临近到期 0 项，高风险 5 项。建议优先处理外部系统集成依赖、第二批次未启动任务及无明确上线日期的功能。</v>
      </c>
      <c r="B17" s="4"/>
      <c r="C17" s="4"/>
      <c r="D17" s="4"/>
      <c r="E17" s="4"/>
      <c r="F17" s="4"/>
      <c r="G17" s="4"/>
      <c r="H17" s="4"/>
      <c r="I17" s="4"/>
      <c r="J17" s="4"/>
      <c r="K17" s="4"/>
      <c r="L17" s="4"/>
      <c r="M17" s="4"/>
      <c r="N17" s="4"/>
    </row>
    <row r="18" spans="1:14">
      <c r="A18" s="4"/>
      <c r="N18" s="4"/>
    </row>
    <row r="19" spans="1:14">
      <c r="A19" s="4"/>
      <c r="N19" s="4"/>
    </row>
    <row r="20" spans="1:14">
      <c r="A20" s="4"/>
      <c r="B20" s="4"/>
      <c r="C20" s="4"/>
      <c r="D20" s="4"/>
      <c r="E20" s="4"/>
      <c r="F20" s="4"/>
      <c r="G20" s="4"/>
      <c r="H20" s="4"/>
      <c r="I20" s="4"/>
      <c r="J20" s="4"/>
      <c r="K20" s="4"/>
      <c r="L20" s="4"/>
      <c r="M20" s="4"/>
      <c r="N20" s="4"/>
    </row>
    <row r="22" ht="17.6" customHeight="1" spans="1:14">
      <c r="J22" s="55"/>
    </row>
    <row r="23" spans="1:14">
      <c r="J23" s="56"/>
      <c r="K23" s="57"/>
      <c r="M23" s="56"/>
      <c r="N23" s="58"/>
    </row>
    <row r="24" spans="1:14">
      <c r="J24" s="56"/>
      <c r="K24" s="57"/>
      <c r="M24" s="56"/>
      <c r="N24" s="59"/>
    </row>
    <row r="25" spans="1:14">
      <c r="J25" s="56"/>
      <c r="K25" s="60"/>
      <c r="M25" s="56"/>
      <c r="N25" s="59"/>
    </row>
    <row r="26" spans="1:14">
      <c r="J26" s="56"/>
      <c r="K26" s="60"/>
      <c r="M26" s="56"/>
      <c r="N26" s="59"/>
    </row>
    <row r="27" spans="1:14">
      <c r="J27" s="56"/>
      <c r="K27" s="60"/>
      <c r="M27" s="56"/>
      <c r="N27" s="59"/>
    </row>
    <row r="29" ht="30" customHeight="1" spans="1:14">
      <c r="J29" s="61"/>
    </row>
  </sheetData>
  <mergeCells count="13">
    <mergeCell ref="A1:N1"/>
    <mergeCell ref="A7:C7"/>
    <mergeCell ref="D7:F7"/>
    <mergeCell ref="G7:I7"/>
    <mergeCell ref="J7:L7"/>
    <mergeCell ref="M7:N7"/>
    <mergeCell ref="A8:C8"/>
    <mergeCell ref="D8:F8"/>
    <mergeCell ref="G8:I8"/>
    <mergeCell ref="J8:L8"/>
    <mergeCell ref="M8:N8"/>
    <mergeCell ref="A16:N16"/>
    <mergeCell ref="A17:N20"/>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48"/>
  <sheetViews>
    <sheetView showGridLines="0" workbookViewId="0">
      <pane xSplit="5" ySplit="3" topLeftCell="F4" activePane="bottomRight" state="frozen"/>
      <selection/>
      <selection pane="topRight"/>
      <selection pane="bottomLeft"/>
      <selection pane="bottomRight" activeCell="A1" sqref="A1:AE1"/>
    </sheetView>
  </sheetViews>
  <sheetFormatPr defaultColWidth="9" defaultRowHeight="16.8"/>
  <cols>
    <col min="1" max="1" width="11" style="1" customWidth="1"/>
    <col min="2" max="2" width="16" style="1" customWidth="1"/>
    <col min="3" max="3" width="22" style="1" customWidth="1"/>
    <col min="4" max="4" width="28" style="1" customWidth="1"/>
    <col min="5" max="5" width="18.9705882352941" style="1" customWidth="1"/>
    <col min="6" max="7" width="11" style="1" customWidth="1"/>
    <col min="8" max="8" width="14" style="1" customWidth="1"/>
    <col min="9" max="11" width="12" style="1" customWidth="1"/>
    <col min="12" max="12" width="14" style="1" customWidth="1"/>
    <col min="13" max="13" width="11" style="1" customWidth="1"/>
    <col min="14" max="15" width="12" style="1" customWidth="1"/>
    <col min="16" max="16" width="17" style="1" customWidth="1"/>
    <col min="17" max="17" width="11" style="1" customWidth="1"/>
    <col min="18" max="19" width="12" style="1" customWidth="1"/>
    <col min="20" max="20" width="14" style="1" customWidth="1"/>
    <col min="21" max="21" width="11" style="1" customWidth="1"/>
    <col min="22" max="23" width="12" style="1" customWidth="1"/>
    <col min="24" max="24" width="14" style="1" customWidth="1"/>
    <col min="25" max="25" width="11" style="1" customWidth="1"/>
    <col min="26" max="27" width="12" style="1" customWidth="1"/>
    <col min="28" max="28" width="11" style="1" customWidth="1"/>
    <col min="29" max="29" width="12" style="1" customWidth="1"/>
    <col min="30" max="31" width="24" style="1" customWidth="1"/>
  </cols>
  <sheetData>
    <row r="1" ht="34" customHeight="1" spans="1:31">
      <c r="A1" s="22" t="s">
        <v>29</v>
      </c>
      <c r="B1" s="4"/>
      <c r="C1" s="4"/>
      <c r="D1" s="4"/>
      <c r="E1" s="4"/>
      <c r="F1" s="4"/>
      <c r="G1" s="4"/>
      <c r="H1" s="4"/>
      <c r="I1" s="4"/>
      <c r="J1" s="4"/>
      <c r="K1" s="4"/>
      <c r="L1" s="4"/>
      <c r="M1" s="4"/>
      <c r="N1" s="4"/>
      <c r="O1" s="4"/>
      <c r="P1" s="4"/>
      <c r="Q1" s="4"/>
      <c r="R1" s="4"/>
      <c r="S1" s="4"/>
      <c r="T1" s="4"/>
      <c r="U1" s="4"/>
      <c r="V1" s="4"/>
      <c r="W1" s="4"/>
      <c r="X1" s="4"/>
      <c r="Y1" s="4"/>
      <c r="Z1" s="4"/>
      <c r="AA1" s="4"/>
      <c r="AB1" s="4"/>
      <c r="AC1" s="4"/>
      <c r="AD1" s="4"/>
      <c r="AE1" s="4"/>
    </row>
    <row r="2" spans="1:31">
      <c r="A2" s="43" t="s">
        <v>30</v>
      </c>
      <c r="B2" s="4"/>
      <c r="C2" s="4"/>
      <c r="D2" s="4"/>
      <c r="E2" s="4"/>
      <c r="F2" s="4"/>
      <c r="G2" s="4"/>
      <c r="H2" s="4"/>
      <c r="I2" s="4"/>
      <c r="J2" s="4"/>
      <c r="K2" s="4"/>
      <c r="L2" s="4"/>
      <c r="M2" s="4"/>
      <c r="N2" s="4"/>
      <c r="O2" s="4"/>
      <c r="P2" s="4"/>
      <c r="Q2" s="4"/>
      <c r="R2" s="4"/>
      <c r="S2" s="4"/>
      <c r="T2" s="4"/>
      <c r="U2" s="4"/>
      <c r="V2" s="4"/>
      <c r="W2" s="4"/>
      <c r="X2" s="4"/>
      <c r="Y2" s="4"/>
      <c r="Z2" s="4"/>
      <c r="AA2" s="4"/>
      <c r="AB2" s="4"/>
      <c r="AC2" s="4"/>
      <c r="AD2" s="4"/>
      <c r="AE2" s="4"/>
    </row>
    <row r="3" ht="30" customHeight="1" spans="1:31">
      <c r="A3" s="25" t="s">
        <v>31</v>
      </c>
      <c r="B3" s="25" t="s">
        <v>32</v>
      </c>
      <c r="C3" s="25" t="s">
        <v>33</v>
      </c>
      <c r="D3" s="25" t="s">
        <v>34</v>
      </c>
      <c r="E3" s="25" t="s">
        <v>35</v>
      </c>
      <c r="F3" s="25" t="s">
        <v>23</v>
      </c>
      <c r="G3" s="25" t="s">
        <v>36</v>
      </c>
      <c r="H3" s="25" t="s">
        <v>37</v>
      </c>
      <c r="I3" s="25" t="s">
        <v>38</v>
      </c>
      <c r="J3" s="25" t="s">
        <v>39</v>
      </c>
      <c r="K3" s="25" t="s">
        <v>40</v>
      </c>
      <c r="L3" s="25" t="s">
        <v>41</v>
      </c>
      <c r="M3" s="25" t="s">
        <v>42</v>
      </c>
      <c r="N3" s="25" t="s">
        <v>43</v>
      </c>
      <c r="O3" s="25" t="s">
        <v>44</v>
      </c>
      <c r="P3" s="25" t="s">
        <v>45</v>
      </c>
      <c r="Q3" s="25" t="s">
        <v>46</v>
      </c>
      <c r="R3" s="25" t="s">
        <v>47</v>
      </c>
      <c r="S3" s="25" t="s">
        <v>48</v>
      </c>
      <c r="T3" s="25" t="s">
        <v>49</v>
      </c>
      <c r="U3" s="25" t="s">
        <v>50</v>
      </c>
      <c r="V3" s="25" t="s">
        <v>51</v>
      </c>
      <c r="W3" s="25" t="s">
        <v>52</v>
      </c>
      <c r="X3" s="25" t="s">
        <v>53</v>
      </c>
      <c r="Y3" s="25" t="s">
        <v>54</v>
      </c>
      <c r="Z3" s="25" t="s">
        <v>55</v>
      </c>
      <c r="AA3" s="25" t="s">
        <v>56</v>
      </c>
      <c r="AB3" s="25" t="s">
        <v>16</v>
      </c>
      <c r="AC3" s="25" t="s">
        <v>57</v>
      </c>
      <c r="AD3" s="25" t="s">
        <v>58</v>
      </c>
      <c r="AE3" s="25" t="s">
        <v>59</v>
      </c>
    </row>
    <row r="4" ht="17" customHeight="1" spans="1:31">
      <c r="A4" s="24" t="s">
        <v>60</v>
      </c>
      <c r="B4" s="24" t="s">
        <v>61</v>
      </c>
      <c r="C4" s="24" t="s">
        <v>62</v>
      </c>
      <c r="D4" s="24" t="s">
        <v>63</v>
      </c>
      <c r="E4" s="24" t="s">
        <v>64</v>
      </c>
      <c r="F4" s="24" t="s">
        <v>25</v>
      </c>
      <c r="G4" s="24" t="str">
        <f t="shared" ref="G4:G15" si="0">IF(OR(M4="挂起",M4="暂停",Q4="挂起",Q4="暂停",U4="挂起",U4="暂停",Y4="挂起",Y4="暂停"),"暂停","已完成")</f>
        <v>已完成</v>
      </c>
      <c r="H4" s="24" t="str">
        <f t="shared" ref="H4:H67" si="1">IF(L4&lt;&gt;"",L4,IF(P4&lt;&gt;"",P4,IF(T4&lt;&gt;"",T4,X4)))</f>
        <v>郑士旺</v>
      </c>
      <c r="I4" s="26">
        <f t="shared" ref="I4:I67" si="2">IF(COUNT(N4,R4,V4,Z4)=0,"",MIN(N4,R4,V4,Z4))</f>
        <v>46202</v>
      </c>
      <c r="J4" s="26">
        <f t="shared" ref="J4:J67" si="3">IF(ISNUMBER(K4),K4,IF(COUNT(O4,S4,W4,AA4)=0,"",MAX(O4,S4,W4,AA4)))</f>
        <v>46234</v>
      </c>
      <c r="K4" s="26" t="s">
        <v>64</v>
      </c>
      <c r="L4" s="24" t="s">
        <v>65</v>
      </c>
      <c r="M4" s="24" t="s">
        <v>3</v>
      </c>
      <c r="N4" s="26">
        <v>46202</v>
      </c>
      <c r="O4" s="26">
        <v>46206</v>
      </c>
      <c r="P4" s="24" t="s">
        <v>66</v>
      </c>
      <c r="Q4" s="24" t="s">
        <v>3</v>
      </c>
      <c r="R4" s="26">
        <v>46209</v>
      </c>
      <c r="S4" s="26">
        <v>46225</v>
      </c>
      <c r="T4" s="24" t="s">
        <v>67</v>
      </c>
      <c r="U4" s="24" t="s">
        <v>3</v>
      </c>
      <c r="V4" s="26">
        <v>46209</v>
      </c>
      <c r="W4" s="26">
        <v>46225</v>
      </c>
      <c r="X4" s="24" t="s">
        <v>68</v>
      </c>
      <c r="Y4" s="24" t="s">
        <v>3</v>
      </c>
      <c r="Z4" s="26">
        <v>46216</v>
      </c>
      <c r="AA4" s="26">
        <v>46234</v>
      </c>
      <c r="AB4" s="44">
        <f t="shared" ref="AB4:AB67" si="4">(IF(M4="已完成",1,IF(M4="进行中",0.5,0))*15%+IF(Q4="已完成",1,IF(Q4="进行中",0.5,0))*35%+IF(U4="已完成",1,IF(U4="进行中",0.5,0))*30%+IF(Y4="已完成",1,IF(Y4="进行中",0.5,0))*20%)</f>
        <v>1</v>
      </c>
      <c r="AC4" s="24" t="str">
        <f>IF(G4="已完成","正常",IF(OR(G4="暂停",G4="挂起"),"暂停",IF(J4="","日期缺失",IF(J4&lt;项目驾驶舱!$B$3,"已延期",IF(J4&lt;=项目驾驶舱!$B$3+7,"临近到期","正常")))))</f>
        <v>正常</v>
      </c>
      <c r="AD4" s="24" t="s">
        <v>69</v>
      </c>
      <c r="AE4" s="24" t="s">
        <v>69</v>
      </c>
    </row>
    <row r="5" ht="17" customHeight="1" spans="1:31">
      <c r="A5" s="24" t="s">
        <v>70</v>
      </c>
      <c r="B5" s="24" t="s">
        <v>61</v>
      </c>
      <c r="C5" s="24" t="s">
        <v>62</v>
      </c>
      <c r="D5" s="24" t="s">
        <v>71</v>
      </c>
      <c r="E5" s="24" t="s">
        <v>64</v>
      </c>
      <c r="F5" s="24" t="s">
        <v>25</v>
      </c>
      <c r="G5" s="24" t="str">
        <f t="shared" si="0"/>
        <v>已完成</v>
      </c>
      <c r="H5" s="24" t="str">
        <f t="shared" si="1"/>
        <v>郑士旺</v>
      </c>
      <c r="I5" s="26">
        <f t="shared" si="2"/>
        <v>46202</v>
      </c>
      <c r="J5" s="26">
        <f t="shared" si="3"/>
        <v>46234</v>
      </c>
      <c r="K5" s="26" t="s">
        <v>64</v>
      </c>
      <c r="L5" s="24" t="s">
        <v>65</v>
      </c>
      <c r="M5" s="24" t="s">
        <v>3</v>
      </c>
      <c r="N5" s="26">
        <v>46202</v>
      </c>
      <c r="O5" s="26">
        <v>46206</v>
      </c>
      <c r="P5" s="24" t="s">
        <v>66</v>
      </c>
      <c r="Q5" s="24" t="s">
        <v>3</v>
      </c>
      <c r="R5" s="26">
        <v>46209</v>
      </c>
      <c r="S5" s="26">
        <v>46225</v>
      </c>
      <c r="T5" s="24" t="s">
        <v>67</v>
      </c>
      <c r="U5" s="24" t="s">
        <v>3</v>
      </c>
      <c r="V5" s="26">
        <v>46209</v>
      </c>
      <c r="W5" s="26">
        <v>46225</v>
      </c>
      <c r="X5" s="24" t="s">
        <v>68</v>
      </c>
      <c r="Y5" s="24" t="s">
        <v>3</v>
      </c>
      <c r="Z5" s="26">
        <v>46216</v>
      </c>
      <c r="AA5" s="26">
        <v>46234</v>
      </c>
      <c r="AB5" s="44">
        <f t="shared" si="4"/>
        <v>1</v>
      </c>
      <c r="AC5" s="24" t="str">
        <f>IF(G5="已完成","正常",IF(OR(G5="暂停",G5="挂起"),"暂停",IF(J5="","日期缺失",IF(J5&lt;项目驾驶舱!$B$3,"已延期",IF(J5&lt;=项目驾驶舱!$B$3+7,"临近到期","正常")))))</f>
        <v>正常</v>
      </c>
      <c r="AD5" s="24" t="s">
        <v>69</v>
      </c>
      <c r="AE5" s="24" t="s">
        <v>69</v>
      </c>
    </row>
    <row r="6" ht="17" customHeight="1" spans="1:31">
      <c r="A6" s="24" t="s">
        <v>72</v>
      </c>
      <c r="B6" s="24" t="s">
        <v>61</v>
      </c>
      <c r="C6" s="24" t="s">
        <v>62</v>
      </c>
      <c r="D6" s="24" t="s">
        <v>73</v>
      </c>
      <c r="E6" s="24" t="s">
        <v>64</v>
      </c>
      <c r="F6" s="24" t="s">
        <v>25</v>
      </c>
      <c r="G6" s="24" t="str">
        <f t="shared" si="0"/>
        <v>已完成</v>
      </c>
      <c r="H6" s="24" t="str">
        <f t="shared" si="1"/>
        <v>郑士旺</v>
      </c>
      <c r="I6" s="26">
        <f t="shared" si="2"/>
        <v>46202</v>
      </c>
      <c r="J6" s="26">
        <f t="shared" si="3"/>
        <v>46234</v>
      </c>
      <c r="K6" s="26" t="s">
        <v>64</v>
      </c>
      <c r="L6" s="24" t="s">
        <v>65</v>
      </c>
      <c r="M6" s="24" t="s">
        <v>3</v>
      </c>
      <c r="N6" s="26">
        <v>46202</v>
      </c>
      <c r="O6" s="26">
        <v>46206</v>
      </c>
      <c r="P6" s="24" t="s">
        <v>66</v>
      </c>
      <c r="Q6" s="24" t="s">
        <v>3</v>
      </c>
      <c r="R6" s="26">
        <v>46209</v>
      </c>
      <c r="S6" s="26">
        <v>46225</v>
      </c>
      <c r="T6" s="24" t="s">
        <v>67</v>
      </c>
      <c r="U6" s="24" t="s">
        <v>3</v>
      </c>
      <c r="V6" s="26">
        <v>46209</v>
      </c>
      <c r="W6" s="26">
        <v>46225</v>
      </c>
      <c r="X6" s="24" t="s">
        <v>68</v>
      </c>
      <c r="Y6" s="24" t="s">
        <v>3</v>
      </c>
      <c r="Z6" s="26">
        <v>46216</v>
      </c>
      <c r="AA6" s="26">
        <v>46234</v>
      </c>
      <c r="AB6" s="44">
        <f t="shared" si="4"/>
        <v>1</v>
      </c>
      <c r="AC6" s="24" t="str">
        <f>IF(G6="已完成","正常",IF(OR(G6="暂停",G6="挂起"),"暂停",IF(J6="","日期缺失",IF(J6&lt;项目驾驶舱!$B$3,"已延期",IF(J6&lt;=项目驾驶舱!$B$3+7,"临近到期","正常")))))</f>
        <v>正常</v>
      </c>
      <c r="AD6" s="24" t="s">
        <v>69</v>
      </c>
      <c r="AE6" s="24" t="s">
        <v>69</v>
      </c>
    </row>
    <row r="7" ht="17" customHeight="1" spans="1:31">
      <c r="A7" s="24" t="s">
        <v>74</v>
      </c>
      <c r="B7" s="24" t="s">
        <v>61</v>
      </c>
      <c r="C7" s="24" t="s">
        <v>62</v>
      </c>
      <c r="D7" s="24" t="s">
        <v>75</v>
      </c>
      <c r="E7" s="24" t="s">
        <v>64</v>
      </c>
      <c r="F7" s="24" t="s">
        <v>25</v>
      </c>
      <c r="G7" s="24" t="str">
        <f t="shared" si="0"/>
        <v>已完成</v>
      </c>
      <c r="H7" s="24" t="str">
        <f t="shared" si="1"/>
        <v>郑士旺</v>
      </c>
      <c r="I7" s="26">
        <f t="shared" si="2"/>
        <v>46202</v>
      </c>
      <c r="J7" s="26">
        <f t="shared" si="3"/>
        <v>46234</v>
      </c>
      <c r="K7" s="26" t="s">
        <v>64</v>
      </c>
      <c r="L7" s="24" t="s">
        <v>65</v>
      </c>
      <c r="M7" s="24" t="s">
        <v>3</v>
      </c>
      <c r="N7" s="26">
        <v>46202</v>
      </c>
      <c r="O7" s="26">
        <v>46206</v>
      </c>
      <c r="P7" s="24" t="s">
        <v>66</v>
      </c>
      <c r="Q7" s="24" t="s">
        <v>3</v>
      </c>
      <c r="R7" s="26">
        <v>46209</v>
      </c>
      <c r="S7" s="26">
        <v>46225</v>
      </c>
      <c r="T7" s="24" t="s">
        <v>67</v>
      </c>
      <c r="U7" s="24" t="s">
        <v>3</v>
      </c>
      <c r="V7" s="26">
        <v>46209</v>
      </c>
      <c r="W7" s="26">
        <v>46225</v>
      </c>
      <c r="X7" s="24" t="s">
        <v>68</v>
      </c>
      <c r="Y7" s="24" t="s">
        <v>3</v>
      </c>
      <c r="Z7" s="26">
        <v>46216</v>
      </c>
      <c r="AA7" s="26">
        <v>46234</v>
      </c>
      <c r="AB7" s="44">
        <f t="shared" si="4"/>
        <v>1</v>
      </c>
      <c r="AC7" s="24" t="str">
        <f>IF(G7="已完成","正常",IF(OR(G7="暂停",G7="挂起"),"暂停",IF(J7="","日期缺失",IF(J7&lt;项目驾驶舱!$B$3,"已延期",IF(J7&lt;=项目驾驶舱!$B$3+7,"临近到期","正常")))))</f>
        <v>正常</v>
      </c>
      <c r="AD7" s="24" t="s">
        <v>69</v>
      </c>
      <c r="AE7" s="24" t="s">
        <v>69</v>
      </c>
    </row>
    <row r="8" ht="17" customHeight="1" spans="1:31">
      <c r="A8" s="24" t="s">
        <v>76</v>
      </c>
      <c r="B8" s="24" t="s">
        <v>61</v>
      </c>
      <c r="C8" s="24" t="s">
        <v>77</v>
      </c>
      <c r="D8" s="24" t="s">
        <v>78</v>
      </c>
      <c r="E8" s="24" t="s">
        <v>64</v>
      </c>
      <c r="F8" s="24" t="s">
        <v>26</v>
      </c>
      <c r="G8" s="24" t="str">
        <f t="shared" si="0"/>
        <v>已完成</v>
      </c>
      <c r="H8" s="24" t="str">
        <f t="shared" si="1"/>
        <v>郑士旺</v>
      </c>
      <c r="I8" s="26">
        <f t="shared" si="2"/>
        <v>46230</v>
      </c>
      <c r="J8" s="26">
        <f t="shared" si="3"/>
        <v>46353</v>
      </c>
      <c r="K8" s="26" t="s">
        <v>64</v>
      </c>
      <c r="L8" s="24" t="s">
        <v>65</v>
      </c>
      <c r="M8" s="24" t="s">
        <v>3</v>
      </c>
      <c r="N8" s="26">
        <v>46230</v>
      </c>
      <c r="O8" s="26">
        <v>46241</v>
      </c>
      <c r="P8" s="24" t="s">
        <v>66</v>
      </c>
      <c r="Q8" s="24" t="s">
        <v>3</v>
      </c>
      <c r="R8" s="26">
        <v>46307</v>
      </c>
      <c r="S8" s="26">
        <v>46339</v>
      </c>
      <c r="T8" s="24" t="s">
        <v>67</v>
      </c>
      <c r="U8" s="24" t="s">
        <v>3</v>
      </c>
      <c r="V8" s="26">
        <v>46307</v>
      </c>
      <c r="W8" s="26">
        <v>46339</v>
      </c>
      <c r="X8" s="24" t="s">
        <v>68</v>
      </c>
      <c r="Y8" s="24" t="s">
        <v>3</v>
      </c>
      <c r="Z8" s="26">
        <v>46342</v>
      </c>
      <c r="AA8" s="26">
        <v>46353</v>
      </c>
      <c r="AB8" s="44">
        <f t="shared" si="4"/>
        <v>1</v>
      </c>
      <c r="AC8" s="24" t="str">
        <f>IF(G8="已完成","正常",IF(OR(G8="暂停",G8="挂起"),"暂停",IF(J8="","日期缺失",IF(J8&lt;项目驾驶舱!$B$3,"已延期",IF(J8&lt;=项目驾驶舱!$B$3+7,"临近到期","正常")))))</f>
        <v>正常</v>
      </c>
      <c r="AD8" s="24" t="s">
        <v>69</v>
      </c>
      <c r="AE8" s="24" t="s">
        <v>69</v>
      </c>
    </row>
    <row r="9" ht="17" customHeight="1" spans="1:31">
      <c r="A9" s="24" t="s">
        <v>79</v>
      </c>
      <c r="B9" s="24" t="s">
        <v>61</v>
      </c>
      <c r="C9" s="24" t="s">
        <v>80</v>
      </c>
      <c r="D9" s="24" t="s">
        <v>81</v>
      </c>
      <c r="E9" s="24" t="s">
        <v>64</v>
      </c>
      <c r="F9" s="24" t="s">
        <v>25</v>
      </c>
      <c r="G9" s="24" t="str">
        <f t="shared" si="0"/>
        <v>已完成</v>
      </c>
      <c r="H9" s="24" t="str">
        <f t="shared" si="1"/>
        <v>郑士旺</v>
      </c>
      <c r="I9" s="26">
        <f t="shared" si="2"/>
        <v>46202</v>
      </c>
      <c r="J9" s="26">
        <f t="shared" si="3"/>
        <v>46224</v>
      </c>
      <c r="K9" s="26">
        <v>46224</v>
      </c>
      <c r="L9" s="24" t="s">
        <v>65</v>
      </c>
      <c r="M9" s="24" t="s">
        <v>3</v>
      </c>
      <c r="N9" s="26">
        <v>46202</v>
      </c>
      <c r="O9" s="26">
        <v>46206</v>
      </c>
      <c r="P9" s="24" t="s">
        <v>66</v>
      </c>
      <c r="Q9" s="24" t="s">
        <v>3</v>
      </c>
      <c r="R9" s="26">
        <v>46209</v>
      </c>
      <c r="S9" s="26">
        <v>46227</v>
      </c>
      <c r="T9" s="24" t="s">
        <v>67</v>
      </c>
      <c r="U9" s="24" t="s">
        <v>3</v>
      </c>
      <c r="V9" s="26">
        <v>46209</v>
      </c>
      <c r="W9" s="26">
        <v>46227</v>
      </c>
      <c r="X9" s="24" t="s">
        <v>68</v>
      </c>
      <c r="Y9" s="24" t="s">
        <v>3</v>
      </c>
      <c r="Z9" s="26">
        <v>46216</v>
      </c>
      <c r="AA9" s="26">
        <v>46234</v>
      </c>
      <c r="AB9" s="44">
        <f t="shared" si="4"/>
        <v>1</v>
      </c>
      <c r="AC9" s="24" t="str">
        <f>IF(G9="已完成","正常",IF(OR(G9="暂停",G9="挂起"),"暂停",IF(J9="","日期缺失",IF(J9&lt;项目驾驶舱!$B$3,"已延期",IF(J9&lt;=项目驾驶舱!$B$3+7,"临近到期","正常")))))</f>
        <v>正常</v>
      </c>
      <c r="AD9" s="24" t="s">
        <v>69</v>
      </c>
      <c r="AE9" s="24" t="s">
        <v>69</v>
      </c>
    </row>
    <row r="10" ht="17" customHeight="1" spans="1:31">
      <c r="A10" s="24" t="s">
        <v>82</v>
      </c>
      <c r="B10" s="24" t="s">
        <v>61</v>
      </c>
      <c r="C10" s="24" t="s">
        <v>80</v>
      </c>
      <c r="D10" s="24" t="s">
        <v>83</v>
      </c>
      <c r="E10" s="24" t="s">
        <v>64</v>
      </c>
      <c r="F10" s="24" t="s">
        <v>25</v>
      </c>
      <c r="G10" s="24" t="str">
        <f t="shared" si="0"/>
        <v>已完成</v>
      </c>
      <c r="H10" s="24" t="str">
        <f t="shared" si="1"/>
        <v>郑士旺</v>
      </c>
      <c r="I10" s="26">
        <f t="shared" si="2"/>
        <v>46202</v>
      </c>
      <c r="J10" s="26">
        <f t="shared" si="3"/>
        <v>46224</v>
      </c>
      <c r="K10" s="26">
        <v>46224</v>
      </c>
      <c r="L10" s="24" t="s">
        <v>65</v>
      </c>
      <c r="M10" s="24" t="s">
        <v>3</v>
      </c>
      <c r="N10" s="26">
        <v>46202</v>
      </c>
      <c r="O10" s="26">
        <v>46206</v>
      </c>
      <c r="P10" s="24" t="s">
        <v>66</v>
      </c>
      <c r="Q10" s="24" t="s">
        <v>3</v>
      </c>
      <c r="R10" s="26">
        <v>46209</v>
      </c>
      <c r="S10" s="26">
        <v>46227</v>
      </c>
      <c r="T10" s="24" t="s">
        <v>67</v>
      </c>
      <c r="U10" s="24" t="s">
        <v>3</v>
      </c>
      <c r="V10" s="26">
        <v>46209</v>
      </c>
      <c r="W10" s="26">
        <v>46227</v>
      </c>
      <c r="X10" s="24" t="s">
        <v>68</v>
      </c>
      <c r="Y10" s="24" t="s">
        <v>3</v>
      </c>
      <c r="Z10" s="26">
        <v>46216</v>
      </c>
      <c r="AA10" s="26">
        <v>46234</v>
      </c>
      <c r="AB10" s="44">
        <f t="shared" si="4"/>
        <v>1</v>
      </c>
      <c r="AC10" s="24" t="str">
        <f>IF(G10="已完成","正常",IF(OR(G10="暂停",G10="挂起"),"暂停",IF(J10="","日期缺失",IF(J10&lt;项目驾驶舱!$B$3,"已延期",IF(J10&lt;=项目驾驶舱!$B$3+7,"临近到期","正常")))))</f>
        <v>正常</v>
      </c>
      <c r="AD10" s="24" t="s">
        <v>69</v>
      </c>
      <c r="AE10" s="24" t="s">
        <v>69</v>
      </c>
    </row>
    <row r="11" ht="17" customHeight="1" spans="1:31">
      <c r="A11" s="24" t="s">
        <v>84</v>
      </c>
      <c r="B11" s="24" t="s">
        <v>61</v>
      </c>
      <c r="C11" s="24" t="s">
        <v>80</v>
      </c>
      <c r="D11" s="24" t="s">
        <v>85</v>
      </c>
      <c r="E11" s="24" t="s">
        <v>64</v>
      </c>
      <c r="F11" s="24" t="s">
        <v>25</v>
      </c>
      <c r="G11" s="24" t="str">
        <f t="shared" si="0"/>
        <v>已完成</v>
      </c>
      <c r="H11" s="24" t="str">
        <f t="shared" si="1"/>
        <v>郑士旺</v>
      </c>
      <c r="I11" s="26">
        <f t="shared" si="2"/>
        <v>46202</v>
      </c>
      <c r="J11" s="26">
        <f t="shared" si="3"/>
        <v>46224</v>
      </c>
      <c r="K11" s="26">
        <v>46224</v>
      </c>
      <c r="L11" s="24" t="s">
        <v>65</v>
      </c>
      <c r="M11" s="24" t="s">
        <v>3</v>
      </c>
      <c r="N11" s="26">
        <v>46202</v>
      </c>
      <c r="O11" s="26">
        <v>46206</v>
      </c>
      <c r="P11" s="24" t="s">
        <v>66</v>
      </c>
      <c r="Q11" s="24" t="s">
        <v>3</v>
      </c>
      <c r="R11" s="26">
        <v>46209</v>
      </c>
      <c r="S11" s="26">
        <v>46227</v>
      </c>
      <c r="T11" s="24" t="s">
        <v>67</v>
      </c>
      <c r="U11" s="24" t="s">
        <v>3</v>
      </c>
      <c r="V11" s="26">
        <v>46209</v>
      </c>
      <c r="W11" s="26">
        <v>46227</v>
      </c>
      <c r="X11" s="24" t="s">
        <v>68</v>
      </c>
      <c r="Y11" s="24" t="s">
        <v>3</v>
      </c>
      <c r="Z11" s="26">
        <v>46216</v>
      </c>
      <c r="AA11" s="26">
        <v>46234</v>
      </c>
      <c r="AB11" s="44">
        <f t="shared" si="4"/>
        <v>1</v>
      </c>
      <c r="AC11" s="24" t="str">
        <f>IF(G11="已完成","正常",IF(OR(G11="暂停",G11="挂起"),"暂停",IF(J11="","日期缺失",IF(J11&lt;项目驾驶舱!$B$3,"已延期",IF(J11&lt;=项目驾驶舱!$B$3+7,"临近到期","正常")))))</f>
        <v>正常</v>
      </c>
      <c r="AD11" s="24" t="s">
        <v>69</v>
      </c>
      <c r="AE11" s="24" t="s">
        <v>69</v>
      </c>
    </row>
    <row r="12" ht="17" customHeight="1" spans="1:31">
      <c r="A12" s="24" t="s">
        <v>86</v>
      </c>
      <c r="B12" s="24" t="s">
        <v>61</v>
      </c>
      <c r="C12" s="24" t="s">
        <v>87</v>
      </c>
      <c r="D12" s="24" t="s">
        <v>88</v>
      </c>
      <c r="E12" s="24" t="s">
        <v>64</v>
      </c>
      <c r="F12" s="24" t="s">
        <v>25</v>
      </c>
      <c r="G12" s="24" t="str">
        <f t="shared" si="0"/>
        <v>已完成</v>
      </c>
      <c r="H12" s="24" t="str">
        <f t="shared" si="1"/>
        <v>郑士旺</v>
      </c>
      <c r="I12" s="26">
        <f t="shared" si="2"/>
        <v>46202</v>
      </c>
      <c r="J12" s="26">
        <f t="shared" si="3"/>
        <v>46224</v>
      </c>
      <c r="K12" s="26">
        <v>46224</v>
      </c>
      <c r="L12" s="24" t="s">
        <v>65</v>
      </c>
      <c r="M12" s="24" t="s">
        <v>3</v>
      </c>
      <c r="N12" s="26">
        <v>46202</v>
      </c>
      <c r="O12" s="26">
        <v>46206</v>
      </c>
      <c r="P12" s="24" t="s">
        <v>66</v>
      </c>
      <c r="Q12" s="24" t="s">
        <v>3</v>
      </c>
      <c r="R12" s="26">
        <v>46209</v>
      </c>
      <c r="S12" s="26">
        <v>46227</v>
      </c>
      <c r="T12" s="24" t="s">
        <v>67</v>
      </c>
      <c r="U12" s="24" t="s">
        <v>3</v>
      </c>
      <c r="V12" s="26">
        <v>46209</v>
      </c>
      <c r="W12" s="26">
        <v>46227</v>
      </c>
      <c r="X12" s="24" t="s">
        <v>68</v>
      </c>
      <c r="Y12" s="24" t="s">
        <v>3</v>
      </c>
      <c r="Z12" s="26">
        <v>46216</v>
      </c>
      <c r="AA12" s="26">
        <v>46234</v>
      </c>
      <c r="AB12" s="44">
        <f t="shared" si="4"/>
        <v>1</v>
      </c>
      <c r="AC12" s="24" t="str">
        <f>IF(G12="已完成","正常",IF(OR(G12="暂停",G12="挂起"),"暂停",IF(J12="","日期缺失",IF(J12&lt;项目驾驶舱!$B$3,"已延期",IF(J12&lt;=项目驾驶舱!$B$3+7,"临近到期","正常")))))</f>
        <v>正常</v>
      </c>
      <c r="AD12" s="24" t="s">
        <v>69</v>
      </c>
      <c r="AE12" s="24" t="s">
        <v>69</v>
      </c>
    </row>
    <row r="13" ht="17" customHeight="1" spans="1:31">
      <c r="A13" s="24" t="s">
        <v>89</v>
      </c>
      <c r="B13" s="24" t="s">
        <v>61</v>
      </c>
      <c r="C13" s="24" t="s">
        <v>87</v>
      </c>
      <c r="D13" s="24" t="s">
        <v>90</v>
      </c>
      <c r="E13" s="24" t="s">
        <v>64</v>
      </c>
      <c r="F13" s="24" t="s">
        <v>25</v>
      </c>
      <c r="G13" s="24" t="str">
        <f t="shared" si="0"/>
        <v>已完成</v>
      </c>
      <c r="H13" s="24" t="str">
        <f t="shared" si="1"/>
        <v>郑士旺</v>
      </c>
      <c r="I13" s="26">
        <f t="shared" si="2"/>
        <v>46202</v>
      </c>
      <c r="J13" s="26">
        <f t="shared" si="3"/>
        <v>46224</v>
      </c>
      <c r="K13" s="26">
        <v>46224</v>
      </c>
      <c r="L13" s="24" t="s">
        <v>65</v>
      </c>
      <c r="M13" s="24" t="s">
        <v>3</v>
      </c>
      <c r="N13" s="26">
        <v>46202</v>
      </c>
      <c r="O13" s="26">
        <v>46206</v>
      </c>
      <c r="P13" s="24" t="s">
        <v>66</v>
      </c>
      <c r="Q13" s="24" t="s">
        <v>3</v>
      </c>
      <c r="R13" s="26">
        <v>46209</v>
      </c>
      <c r="S13" s="26">
        <v>46227</v>
      </c>
      <c r="T13" s="24" t="s">
        <v>67</v>
      </c>
      <c r="U13" s="24" t="s">
        <v>3</v>
      </c>
      <c r="V13" s="26">
        <v>46209</v>
      </c>
      <c r="W13" s="26">
        <v>46227</v>
      </c>
      <c r="X13" s="24" t="s">
        <v>68</v>
      </c>
      <c r="Y13" s="24" t="s">
        <v>3</v>
      </c>
      <c r="Z13" s="26">
        <v>46216</v>
      </c>
      <c r="AA13" s="26">
        <v>46234</v>
      </c>
      <c r="AB13" s="44">
        <f t="shared" si="4"/>
        <v>1</v>
      </c>
      <c r="AC13" s="24" t="str">
        <f>IF(G13="已完成","正常",IF(OR(G13="暂停",G13="挂起"),"暂停",IF(J13="","日期缺失",IF(J13&lt;项目驾驶舱!$B$3,"已延期",IF(J13&lt;=项目驾驶舱!$B$3+7,"临近到期","正常")))))</f>
        <v>正常</v>
      </c>
      <c r="AD13" s="24" t="s">
        <v>69</v>
      </c>
      <c r="AE13" s="24" t="s">
        <v>69</v>
      </c>
    </row>
    <row r="14" ht="34" customHeight="1" spans="1:31">
      <c r="A14" s="24" t="s">
        <v>91</v>
      </c>
      <c r="B14" s="24" t="s">
        <v>92</v>
      </c>
      <c r="C14" s="24" t="s">
        <v>93</v>
      </c>
      <c r="D14" s="24" t="s">
        <v>94</v>
      </c>
      <c r="E14" s="24" t="s">
        <v>64</v>
      </c>
      <c r="F14" s="24" t="s">
        <v>25</v>
      </c>
      <c r="G14" s="24" t="str">
        <f t="shared" si="0"/>
        <v>已完成</v>
      </c>
      <c r="H14" s="24" t="str">
        <f t="shared" si="1"/>
        <v>郑士旺</v>
      </c>
      <c r="I14" s="26">
        <f t="shared" si="2"/>
        <v>46202</v>
      </c>
      <c r="J14" s="26">
        <f t="shared" si="3"/>
        <v>46224</v>
      </c>
      <c r="K14" s="26">
        <v>46224</v>
      </c>
      <c r="L14" s="24" t="s">
        <v>65</v>
      </c>
      <c r="M14" s="24" t="s">
        <v>3</v>
      </c>
      <c r="N14" s="26">
        <v>46202</v>
      </c>
      <c r="O14" s="26">
        <v>46206</v>
      </c>
      <c r="P14" s="24" t="s">
        <v>66</v>
      </c>
      <c r="Q14" s="24" t="s">
        <v>3</v>
      </c>
      <c r="R14" s="26">
        <v>46209</v>
      </c>
      <c r="S14" s="26">
        <v>46227</v>
      </c>
      <c r="T14" s="24" t="s">
        <v>67</v>
      </c>
      <c r="U14" s="24" t="s">
        <v>3</v>
      </c>
      <c r="V14" s="26">
        <v>46209</v>
      </c>
      <c r="W14" s="26">
        <v>46225</v>
      </c>
      <c r="X14" s="24" t="s">
        <v>68</v>
      </c>
      <c r="Y14" s="24" t="s">
        <v>3</v>
      </c>
      <c r="Z14" s="26">
        <v>46216</v>
      </c>
      <c r="AA14" s="26">
        <v>46234</v>
      </c>
      <c r="AB14" s="44">
        <f t="shared" si="4"/>
        <v>1</v>
      </c>
      <c r="AC14" s="24" t="str">
        <f>IF(G14="已完成","正常",IF(OR(G14="暂停",G14="挂起"),"暂停",IF(J14="","日期缺失",IF(J14&lt;项目驾驶舱!$B$3,"已延期",IF(J14&lt;=项目驾驶舱!$B$3+7,"临近到期","正常")))))</f>
        <v>正常</v>
      </c>
      <c r="AD14" s="24" t="s">
        <v>69</v>
      </c>
      <c r="AE14" s="24" t="s">
        <v>69</v>
      </c>
    </row>
    <row r="15" ht="34" customHeight="1" spans="1:31">
      <c r="A15" s="24" t="s">
        <v>95</v>
      </c>
      <c r="B15" s="24" t="s">
        <v>92</v>
      </c>
      <c r="C15" s="24" t="s">
        <v>93</v>
      </c>
      <c r="D15" s="24" t="s">
        <v>96</v>
      </c>
      <c r="E15" s="24" t="s">
        <v>64</v>
      </c>
      <c r="F15" s="24" t="s">
        <v>25</v>
      </c>
      <c r="G15" s="24" t="str">
        <f t="shared" si="0"/>
        <v>已完成</v>
      </c>
      <c r="H15" s="24" t="str">
        <f t="shared" si="1"/>
        <v>郑士旺</v>
      </c>
      <c r="I15" s="26">
        <f t="shared" si="2"/>
        <v>46202</v>
      </c>
      <c r="J15" s="26">
        <f t="shared" si="3"/>
        <v>46224</v>
      </c>
      <c r="K15" s="26">
        <v>46224</v>
      </c>
      <c r="L15" s="24" t="s">
        <v>65</v>
      </c>
      <c r="M15" s="24" t="s">
        <v>3</v>
      </c>
      <c r="N15" s="26">
        <v>46202</v>
      </c>
      <c r="O15" s="26">
        <v>46206</v>
      </c>
      <c r="P15" s="24" t="s">
        <v>66</v>
      </c>
      <c r="Q15" s="24" t="s">
        <v>3</v>
      </c>
      <c r="R15" s="26">
        <v>46209</v>
      </c>
      <c r="S15" s="26">
        <v>46227</v>
      </c>
      <c r="T15" s="24" t="s">
        <v>67</v>
      </c>
      <c r="U15" s="24" t="s">
        <v>3</v>
      </c>
      <c r="V15" s="26">
        <v>46209</v>
      </c>
      <c r="W15" s="26">
        <v>46225</v>
      </c>
      <c r="X15" s="24" t="s">
        <v>68</v>
      </c>
      <c r="Y15" s="24" t="s">
        <v>3</v>
      </c>
      <c r="Z15" s="26">
        <v>46216</v>
      </c>
      <c r="AA15" s="26">
        <v>46234</v>
      </c>
      <c r="AB15" s="44">
        <f t="shared" si="4"/>
        <v>1</v>
      </c>
      <c r="AC15" s="24" t="str">
        <f>IF(G15="已完成","正常",IF(OR(G15="暂停",G15="挂起"),"暂停",IF(J15="","日期缺失",IF(J15&lt;项目驾驶舱!$B$3,"已延期",IF(J15&lt;=项目驾驶舱!$B$3+7,"临近到期","正常")))))</f>
        <v>正常</v>
      </c>
      <c r="AD15" s="24" t="s">
        <v>69</v>
      </c>
      <c r="AE15" s="24" t="s">
        <v>69</v>
      </c>
    </row>
    <row r="16" ht="17" customHeight="1" spans="1:31">
      <c r="A16" s="24" t="s">
        <v>97</v>
      </c>
      <c r="B16" s="24" t="s">
        <v>92</v>
      </c>
      <c r="C16" s="24" t="s">
        <v>98</v>
      </c>
      <c r="D16" s="24" t="s">
        <v>99</v>
      </c>
      <c r="E16" s="24" t="s">
        <v>64</v>
      </c>
      <c r="F16" s="24" t="s">
        <v>26</v>
      </c>
      <c r="G16" s="24" t="str">
        <f t="shared" ref="G16:G21" si="5">IF(OR(M16="挂起",M16="暂停",Q16="挂起",Q16="暂停",U16="挂起",U16="暂停",Y16="挂起",Y16="暂停"),"暂停","未开始")</f>
        <v>未开始</v>
      </c>
      <c r="H16" s="24" t="str">
        <f t="shared" si="1"/>
        <v>郑士旺</v>
      </c>
      <c r="I16" s="26">
        <f t="shared" si="2"/>
        <v>46223</v>
      </c>
      <c r="J16" s="26">
        <f t="shared" si="3"/>
        <v>46318</v>
      </c>
      <c r="K16" s="26"/>
      <c r="L16" s="24" t="s">
        <v>65</v>
      </c>
      <c r="M16" s="24" t="s">
        <v>5</v>
      </c>
      <c r="N16" s="26">
        <v>46223</v>
      </c>
      <c r="O16" s="26">
        <v>46227</v>
      </c>
      <c r="P16" s="24" t="s">
        <v>66</v>
      </c>
      <c r="Q16" s="24" t="s">
        <v>5</v>
      </c>
      <c r="R16" s="26">
        <v>46272</v>
      </c>
      <c r="S16" s="26">
        <v>46304</v>
      </c>
      <c r="T16" s="24" t="s">
        <v>67</v>
      </c>
      <c r="U16" s="24" t="s">
        <v>5</v>
      </c>
      <c r="V16" s="26">
        <v>46272</v>
      </c>
      <c r="W16" s="26">
        <v>46304</v>
      </c>
      <c r="X16" s="24" t="s">
        <v>68</v>
      </c>
      <c r="Y16" s="24" t="s">
        <v>5</v>
      </c>
      <c r="Z16" s="26">
        <v>46307</v>
      </c>
      <c r="AA16" s="26">
        <v>46318</v>
      </c>
      <c r="AB16" s="44">
        <f t="shared" si="4"/>
        <v>0</v>
      </c>
      <c r="AC16" s="24" t="str">
        <f>IF(G16="已完成","正常",IF(OR(G16="暂停",G16="挂起"),"暂停",IF(J16="","日期缺失",IF(J16&lt;项目驾驶舱!$B$3,"已延期",IF(J16&lt;=项目驾驶舱!$B$3+7,"临近到期","正常")))))</f>
        <v>正常</v>
      </c>
      <c r="AD16" s="24" t="s">
        <v>69</v>
      </c>
      <c r="AE16" s="24" t="s">
        <v>69</v>
      </c>
    </row>
    <row r="17" ht="17" customHeight="1" spans="1:31">
      <c r="A17" s="24" t="s">
        <v>100</v>
      </c>
      <c r="B17" s="24" t="s">
        <v>92</v>
      </c>
      <c r="C17" s="24" t="s">
        <v>98</v>
      </c>
      <c r="D17" s="24" t="s">
        <v>101</v>
      </c>
      <c r="E17" s="24" t="s">
        <v>64</v>
      </c>
      <c r="F17" s="24" t="s">
        <v>26</v>
      </c>
      <c r="G17" s="24" t="str">
        <f t="shared" si="5"/>
        <v>未开始</v>
      </c>
      <c r="H17" s="24" t="str">
        <f t="shared" si="1"/>
        <v>郑士旺</v>
      </c>
      <c r="I17" s="26">
        <f t="shared" si="2"/>
        <v>46223</v>
      </c>
      <c r="J17" s="26">
        <f t="shared" si="3"/>
        <v>46318</v>
      </c>
      <c r="K17" s="26"/>
      <c r="L17" s="24" t="s">
        <v>65</v>
      </c>
      <c r="M17" s="24" t="s">
        <v>5</v>
      </c>
      <c r="N17" s="26">
        <v>46223</v>
      </c>
      <c r="O17" s="26">
        <v>46227</v>
      </c>
      <c r="P17" s="24" t="s">
        <v>66</v>
      </c>
      <c r="Q17" s="24" t="s">
        <v>5</v>
      </c>
      <c r="R17" s="26">
        <v>46272</v>
      </c>
      <c r="S17" s="26">
        <v>46304</v>
      </c>
      <c r="T17" s="24" t="s">
        <v>67</v>
      </c>
      <c r="U17" s="24" t="s">
        <v>5</v>
      </c>
      <c r="V17" s="26">
        <v>46272</v>
      </c>
      <c r="W17" s="26">
        <v>46304</v>
      </c>
      <c r="X17" s="24" t="s">
        <v>68</v>
      </c>
      <c r="Y17" s="24" t="s">
        <v>5</v>
      </c>
      <c r="Z17" s="26">
        <v>46307</v>
      </c>
      <c r="AA17" s="26">
        <v>46318</v>
      </c>
      <c r="AB17" s="44">
        <f t="shared" si="4"/>
        <v>0</v>
      </c>
      <c r="AC17" s="24" t="str">
        <f>IF(G17="已完成","正常",IF(OR(G17="暂停",G17="挂起"),"暂停",IF(J17="","日期缺失",IF(J17&lt;项目驾驶舱!$B$3,"已延期",IF(J17&lt;=项目驾驶舱!$B$3+7,"临近到期","正常")))))</f>
        <v>正常</v>
      </c>
      <c r="AD17" s="24" t="s">
        <v>69</v>
      </c>
      <c r="AE17" s="24" t="s">
        <v>69</v>
      </c>
    </row>
    <row r="18" ht="17" customHeight="1" spans="1:31">
      <c r="A18" s="24" t="s">
        <v>102</v>
      </c>
      <c r="B18" s="24" t="s">
        <v>92</v>
      </c>
      <c r="C18" s="24" t="s">
        <v>98</v>
      </c>
      <c r="D18" s="24" t="s">
        <v>103</v>
      </c>
      <c r="E18" s="24" t="s">
        <v>64</v>
      </c>
      <c r="F18" s="24" t="s">
        <v>26</v>
      </c>
      <c r="G18" s="24" t="str">
        <f t="shared" si="5"/>
        <v>未开始</v>
      </c>
      <c r="H18" s="24" t="str">
        <f t="shared" si="1"/>
        <v>郑士旺</v>
      </c>
      <c r="I18" s="26">
        <f t="shared" si="2"/>
        <v>46223</v>
      </c>
      <c r="J18" s="26">
        <f t="shared" si="3"/>
        <v>46318</v>
      </c>
      <c r="K18" s="26"/>
      <c r="L18" s="24" t="s">
        <v>65</v>
      </c>
      <c r="M18" s="24" t="s">
        <v>5</v>
      </c>
      <c r="N18" s="26">
        <v>46223</v>
      </c>
      <c r="O18" s="26">
        <v>46227</v>
      </c>
      <c r="P18" s="24" t="s">
        <v>66</v>
      </c>
      <c r="Q18" s="24" t="s">
        <v>5</v>
      </c>
      <c r="R18" s="26">
        <v>46272</v>
      </c>
      <c r="S18" s="26">
        <v>46304</v>
      </c>
      <c r="T18" s="24" t="s">
        <v>67</v>
      </c>
      <c r="U18" s="24" t="s">
        <v>5</v>
      </c>
      <c r="V18" s="26">
        <v>46272</v>
      </c>
      <c r="W18" s="26">
        <v>46304</v>
      </c>
      <c r="X18" s="24" t="s">
        <v>68</v>
      </c>
      <c r="Y18" s="24" t="s">
        <v>5</v>
      </c>
      <c r="Z18" s="26">
        <v>46307</v>
      </c>
      <c r="AA18" s="26">
        <v>46318</v>
      </c>
      <c r="AB18" s="44">
        <f t="shared" si="4"/>
        <v>0</v>
      </c>
      <c r="AC18" s="24" t="str">
        <f>IF(G18="已完成","正常",IF(OR(G18="暂停",G18="挂起"),"暂停",IF(J18="","日期缺失",IF(J18&lt;项目驾驶舱!$B$3,"已延期",IF(J18&lt;=项目驾驶舱!$B$3+7,"临近到期","正常")))))</f>
        <v>正常</v>
      </c>
      <c r="AD18" s="24" t="s">
        <v>69</v>
      </c>
      <c r="AE18" s="24" t="s">
        <v>69</v>
      </c>
    </row>
    <row r="19" ht="17" customHeight="1" spans="1:31">
      <c r="A19" s="24" t="s">
        <v>104</v>
      </c>
      <c r="B19" s="24" t="s">
        <v>92</v>
      </c>
      <c r="C19" s="24" t="s">
        <v>98</v>
      </c>
      <c r="D19" s="24" t="s">
        <v>105</v>
      </c>
      <c r="E19" s="24" t="s">
        <v>64</v>
      </c>
      <c r="F19" s="24" t="s">
        <v>26</v>
      </c>
      <c r="G19" s="24" t="str">
        <f t="shared" si="5"/>
        <v>未开始</v>
      </c>
      <c r="H19" s="24" t="str">
        <f t="shared" si="1"/>
        <v>郑士旺</v>
      </c>
      <c r="I19" s="26">
        <f t="shared" si="2"/>
        <v>46223</v>
      </c>
      <c r="J19" s="26">
        <f t="shared" si="3"/>
        <v>46318</v>
      </c>
      <c r="K19" s="26"/>
      <c r="L19" s="24" t="s">
        <v>65</v>
      </c>
      <c r="M19" s="24" t="s">
        <v>5</v>
      </c>
      <c r="N19" s="26">
        <v>46223</v>
      </c>
      <c r="O19" s="26">
        <v>46227</v>
      </c>
      <c r="P19" s="24" t="s">
        <v>66</v>
      </c>
      <c r="Q19" s="24" t="s">
        <v>5</v>
      </c>
      <c r="R19" s="26">
        <v>46272</v>
      </c>
      <c r="S19" s="26">
        <v>46304</v>
      </c>
      <c r="T19" s="24" t="s">
        <v>67</v>
      </c>
      <c r="U19" s="24" t="s">
        <v>5</v>
      </c>
      <c r="V19" s="26">
        <v>46272</v>
      </c>
      <c r="W19" s="26">
        <v>46304</v>
      </c>
      <c r="X19" s="24" t="s">
        <v>68</v>
      </c>
      <c r="Y19" s="24" t="s">
        <v>5</v>
      </c>
      <c r="Z19" s="26">
        <v>46307</v>
      </c>
      <c r="AA19" s="26">
        <v>46318</v>
      </c>
      <c r="AB19" s="44">
        <f t="shared" si="4"/>
        <v>0</v>
      </c>
      <c r="AC19" s="24" t="str">
        <f>IF(G19="已完成","正常",IF(OR(G19="暂停",G19="挂起"),"暂停",IF(J19="","日期缺失",IF(J19&lt;项目驾驶舱!$B$3,"已延期",IF(J19&lt;=项目驾驶舱!$B$3+7,"临近到期","正常")))))</f>
        <v>正常</v>
      </c>
      <c r="AD19" s="24" t="s">
        <v>69</v>
      </c>
      <c r="AE19" s="24" t="s">
        <v>69</v>
      </c>
    </row>
    <row r="20" ht="17" customHeight="1" spans="1:31">
      <c r="A20" s="24" t="s">
        <v>106</v>
      </c>
      <c r="B20" s="24" t="s">
        <v>92</v>
      </c>
      <c r="C20" s="24" t="s">
        <v>98</v>
      </c>
      <c r="D20" s="24" t="s">
        <v>107</v>
      </c>
      <c r="E20" s="24" t="s">
        <v>64</v>
      </c>
      <c r="F20" s="24" t="s">
        <v>26</v>
      </c>
      <c r="G20" s="24" t="str">
        <f t="shared" si="5"/>
        <v>未开始</v>
      </c>
      <c r="H20" s="24" t="str">
        <f t="shared" si="1"/>
        <v>郑士旺</v>
      </c>
      <c r="I20" s="26">
        <f t="shared" si="2"/>
        <v>46223</v>
      </c>
      <c r="J20" s="26">
        <f t="shared" si="3"/>
        <v>46318</v>
      </c>
      <c r="K20" s="26"/>
      <c r="L20" s="24" t="s">
        <v>65</v>
      </c>
      <c r="M20" s="24" t="s">
        <v>5</v>
      </c>
      <c r="N20" s="26">
        <v>46223</v>
      </c>
      <c r="O20" s="26">
        <v>46227</v>
      </c>
      <c r="P20" s="24" t="s">
        <v>66</v>
      </c>
      <c r="Q20" s="24" t="s">
        <v>5</v>
      </c>
      <c r="R20" s="26">
        <v>46272</v>
      </c>
      <c r="S20" s="26">
        <v>46304</v>
      </c>
      <c r="T20" s="24" t="s">
        <v>67</v>
      </c>
      <c r="U20" s="24" t="s">
        <v>5</v>
      </c>
      <c r="V20" s="26">
        <v>46272</v>
      </c>
      <c r="W20" s="26">
        <v>46304</v>
      </c>
      <c r="X20" s="24" t="s">
        <v>68</v>
      </c>
      <c r="Y20" s="24" t="s">
        <v>5</v>
      </c>
      <c r="Z20" s="26">
        <v>46307</v>
      </c>
      <c r="AA20" s="26">
        <v>46318</v>
      </c>
      <c r="AB20" s="44">
        <f t="shared" si="4"/>
        <v>0</v>
      </c>
      <c r="AC20" s="24" t="str">
        <f>IF(G20="已完成","正常",IF(OR(G20="暂停",G20="挂起"),"暂停",IF(J20="","日期缺失",IF(J20&lt;项目驾驶舱!$B$3,"已延期",IF(J20&lt;=项目驾驶舱!$B$3+7,"临近到期","正常")))))</f>
        <v>正常</v>
      </c>
      <c r="AD20" s="24" t="s">
        <v>69</v>
      </c>
      <c r="AE20" s="24" t="s">
        <v>69</v>
      </c>
    </row>
    <row r="21" ht="17" customHeight="1" spans="1:31">
      <c r="A21" s="24" t="s">
        <v>108</v>
      </c>
      <c r="B21" s="24" t="s">
        <v>92</v>
      </c>
      <c r="C21" s="24" t="s">
        <v>98</v>
      </c>
      <c r="D21" s="24" t="s">
        <v>109</v>
      </c>
      <c r="E21" s="24" t="s">
        <v>64</v>
      </c>
      <c r="F21" s="24" t="s">
        <v>26</v>
      </c>
      <c r="G21" s="24" t="str">
        <f t="shared" si="5"/>
        <v>未开始</v>
      </c>
      <c r="H21" s="24" t="str">
        <f t="shared" si="1"/>
        <v>郑士旺</v>
      </c>
      <c r="I21" s="26">
        <f t="shared" si="2"/>
        <v>46223</v>
      </c>
      <c r="J21" s="26">
        <f t="shared" si="3"/>
        <v>46318</v>
      </c>
      <c r="K21" s="26"/>
      <c r="L21" s="24" t="s">
        <v>65</v>
      </c>
      <c r="M21" s="24" t="s">
        <v>5</v>
      </c>
      <c r="N21" s="26">
        <v>46223</v>
      </c>
      <c r="O21" s="26">
        <v>46227</v>
      </c>
      <c r="P21" s="24" t="s">
        <v>66</v>
      </c>
      <c r="Q21" s="24" t="s">
        <v>5</v>
      </c>
      <c r="R21" s="26">
        <v>46272</v>
      </c>
      <c r="S21" s="26">
        <v>46304</v>
      </c>
      <c r="T21" s="24" t="s">
        <v>67</v>
      </c>
      <c r="U21" s="24" t="s">
        <v>5</v>
      </c>
      <c r="V21" s="26">
        <v>46272</v>
      </c>
      <c r="W21" s="26">
        <v>46304</v>
      </c>
      <c r="X21" s="24" t="s">
        <v>68</v>
      </c>
      <c r="Y21" s="24" t="s">
        <v>5</v>
      </c>
      <c r="Z21" s="26">
        <v>46307</v>
      </c>
      <c r="AA21" s="26">
        <v>46318</v>
      </c>
      <c r="AB21" s="44">
        <f t="shared" si="4"/>
        <v>0</v>
      </c>
      <c r="AC21" s="24" t="str">
        <f>IF(G21="已完成","正常",IF(OR(G21="暂停",G21="挂起"),"暂停",IF(J21="","日期缺失",IF(J21&lt;项目驾驶舱!$B$3,"已延期",IF(J21&lt;=项目驾驶舱!$B$3+7,"临近到期","正常")))))</f>
        <v>正常</v>
      </c>
      <c r="AD21" s="24" t="s">
        <v>69</v>
      </c>
      <c r="AE21" s="24" t="s">
        <v>69</v>
      </c>
    </row>
    <row r="22" ht="17" customHeight="1" spans="1:31">
      <c r="A22" s="24" t="s">
        <v>110</v>
      </c>
      <c r="B22" s="24" t="s">
        <v>92</v>
      </c>
      <c r="C22" s="24" t="s">
        <v>111</v>
      </c>
      <c r="D22" s="24" t="s">
        <v>112</v>
      </c>
      <c r="E22" s="24" t="s">
        <v>113</v>
      </c>
      <c r="F22" s="24" t="s">
        <v>26</v>
      </c>
      <c r="G22" s="24" t="str">
        <f>IF(OR(M22="挂起",M22="暂停",Q22="挂起",Q22="暂停",U22="挂起",U22="暂停",Y22="挂起",Y22="暂停"),"暂停","进行中")</f>
        <v>进行中</v>
      </c>
      <c r="H22" s="24" t="str">
        <f t="shared" si="1"/>
        <v>郑士旺</v>
      </c>
      <c r="I22" s="26">
        <f t="shared" si="2"/>
        <v>46230</v>
      </c>
      <c r="J22" s="26">
        <f t="shared" si="3"/>
        <v>46353</v>
      </c>
      <c r="K22" s="26"/>
      <c r="L22" s="24" t="s">
        <v>65</v>
      </c>
      <c r="M22" s="24" t="s">
        <v>3</v>
      </c>
      <c r="N22" s="26">
        <v>46230</v>
      </c>
      <c r="O22" s="26">
        <v>46241</v>
      </c>
      <c r="P22" s="24" t="s">
        <v>66</v>
      </c>
      <c r="Q22" s="24" t="s">
        <v>5</v>
      </c>
      <c r="R22" s="26">
        <v>46307</v>
      </c>
      <c r="S22" s="26">
        <v>46339</v>
      </c>
      <c r="T22" s="24" t="s">
        <v>67</v>
      </c>
      <c r="U22" s="24" t="s">
        <v>5</v>
      </c>
      <c r="V22" s="26">
        <v>46307</v>
      </c>
      <c r="W22" s="26">
        <v>46339</v>
      </c>
      <c r="X22" s="24" t="s">
        <v>68</v>
      </c>
      <c r="Y22" s="24" t="s">
        <v>5</v>
      </c>
      <c r="Z22" s="26">
        <v>46342</v>
      </c>
      <c r="AA22" s="26">
        <v>46353</v>
      </c>
      <c r="AB22" s="44">
        <f t="shared" si="4"/>
        <v>0.15</v>
      </c>
      <c r="AC22" s="24" t="str">
        <f>IF(G22="已完成","正常",IF(OR(G22="暂停",G22="挂起"),"暂停",IF(J22="","日期缺失",IF(J22&lt;项目驾驶舱!$B$3,"已延期",IF(J22&lt;=项目驾驶舱!$B$3+7,"临近到期","正常")))))</f>
        <v>正常</v>
      </c>
      <c r="AD22" s="24" t="s">
        <v>69</v>
      </c>
      <c r="AE22" s="24" t="s">
        <v>69</v>
      </c>
    </row>
    <row r="23" ht="17" customHeight="1" spans="1:31">
      <c r="A23" s="24" t="s">
        <v>114</v>
      </c>
      <c r="B23" s="24" t="s">
        <v>92</v>
      </c>
      <c r="C23" s="24" t="s">
        <v>111</v>
      </c>
      <c r="D23" s="24" t="s">
        <v>112</v>
      </c>
      <c r="E23" s="24" t="s">
        <v>115</v>
      </c>
      <c r="F23" s="24" t="s">
        <v>26</v>
      </c>
      <c r="G23" s="24" t="str">
        <f>IF(OR(M23="挂起",M23="暂停",Q23="挂起",Q23="暂停",U23="挂起",U23="暂停",Y23="挂起",Y23="暂停"),"暂停","进行中")</f>
        <v>进行中</v>
      </c>
      <c r="H23" s="24" t="str">
        <f t="shared" si="1"/>
        <v>郑士旺</v>
      </c>
      <c r="I23" s="26">
        <f t="shared" si="2"/>
        <v>46230</v>
      </c>
      <c r="J23" s="26">
        <f t="shared" si="3"/>
        <v>46353</v>
      </c>
      <c r="K23" s="26"/>
      <c r="L23" s="24" t="s">
        <v>65</v>
      </c>
      <c r="M23" s="24" t="s">
        <v>3</v>
      </c>
      <c r="N23" s="26">
        <v>46230</v>
      </c>
      <c r="O23" s="26">
        <v>46241</v>
      </c>
      <c r="P23" s="24" t="s">
        <v>66</v>
      </c>
      <c r="Q23" s="24" t="s">
        <v>4</v>
      </c>
      <c r="R23" s="26">
        <v>46307</v>
      </c>
      <c r="S23" s="26">
        <v>46339</v>
      </c>
      <c r="T23" s="24" t="s">
        <v>67</v>
      </c>
      <c r="U23" s="24" t="s">
        <v>4</v>
      </c>
      <c r="V23" s="26">
        <v>46307</v>
      </c>
      <c r="W23" s="26">
        <v>46339</v>
      </c>
      <c r="X23" s="24" t="s">
        <v>68</v>
      </c>
      <c r="Y23" s="24" t="s">
        <v>5</v>
      </c>
      <c r="Z23" s="26">
        <v>46342</v>
      </c>
      <c r="AA23" s="26">
        <v>46353</v>
      </c>
      <c r="AB23" s="44">
        <f t="shared" si="4"/>
        <v>0.475</v>
      </c>
      <c r="AC23" s="24" t="str">
        <f>IF(G23="已完成","正常",IF(OR(G23="暂停",G23="挂起"),"暂停",IF(J23="","日期缺失",IF(J23&lt;项目驾驶舱!$B$3,"已延期",IF(J23&lt;=项目驾驶舱!$B$3+7,"临近到期","正常")))))</f>
        <v>正常</v>
      </c>
      <c r="AD23" s="24" t="s">
        <v>69</v>
      </c>
      <c r="AE23" s="24" t="s">
        <v>69</v>
      </c>
    </row>
    <row r="24" ht="17" customHeight="1" spans="1:31">
      <c r="A24" s="24" t="s">
        <v>116</v>
      </c>
      <c r="B24" s="24" t="s">
        <v>92</v>
      </c>
      <c r="C24" s="24" t="s">
        <v>111</v>
      </c>
      <c r="D24" s="24" t="s">
        <v>112</v>
      </c>
      <c r="E24" s="24" t="s">
        <v>117</v>
      </c>
      <c r="F24" s="24" t="s">
        <v>26</v>
      </c>
      <c r="G24" s="24" t="str">
        <f>IF(OR(M24="挂起",M24="暂停",Q24="挂起",Q24="暂停",U24="挂起",U24="暂停",Y24="挂起",Y24="暂停"),"暂停","进行中")</f>
        <v>进行中</v>
      </c>
      <c r="H24" s="24" t="str">
        <f t="shared" si="1"/>
        <v>郑士旺</v>
      </c>
      <c r="I24" s="26">
        <f t="shared" si="2"/>
        <v>46230</v>
      </c>
      <c r="J24" s="26">
        <f t="shared" si="3"/>
        <v>46353</v>
      </c>
      <c r="K24" s="26"/>
      <c r="L24" s="24" t="s">
        <v>65</v>
      </c>
      <c r="M24" s="24" t="s">
        <v>3</v>
      </c>
      <c r="N24" s="26">
        <v>46230</v>
      </c>
      <c r="O24" s="26">
        <v>46241</v>
      </c>
      <c r="P24" s="24" t="s">
        <v>66</v>
      </c>
      <c r="Q24" s="24" t="s">
        <v>4</v>
      </c>
      <c r="R24" s="26">
        <v>46307</v>
      </c>
      <c r="S24" s="26">
        <v>46339</v>
      </c>
      <c r="T24" s="24" t="s">
        <v>67</v>
      </c>
      <c r="U24" s="24" t="s">
        <v>4</v>
      </c>
      <c r="V24" s="26">
        <v>46307</v>
      </c>
      <c r="W24" s="26">
        <v>46339</v>
      </c>
      <c r="X24" s="24" t="s">
        <v>68</v>
      </c>
      <c r="Y24" s="24" t="s">
        <v>5</v>
      </c>
      <c r="Z24" s="26">
        <v>46342</v>
      </c>
      <c r="AA24" s="26">
        <v>46353</v>
      </c>
      <c r="AB24" s="44">
        <f t="shared" si="4"/>
        <v>0.475</v>
      </c>
      <c r="AC24" s="24" t="str">
        <f>IF(G24="已完成","正常",IF(OR(G24="暂停",G24="挂起"),"暂停",IF(J24="","日期缺失",IF(J24&lt;项目驾驶舱!$B$3,"已延期",IF(J24&lt;=项目驾驶舱!$B$3+7,"临近到期","正常")))))</f>
        <v>正常</v>
      </c>
      <c r="AD24" s="24" t="s">
        <v>69</v>
      </c>
      <c r="AE24" s="24" t="s">
        <v>69</v>
      </c>
    </row>
    <row r="25" ht="34" customHeight="1" spans="1:31">
      <c r="A25" s="24" t="s">
        <v>118</v>
      </c>
      <c r="B25" s="24" t="s">
        <v>92</v>
      </c>
      <c r="C25" s="24" t="s">
        <v>111</v>
      </c>
      <c r="D25" s="24" t="s">
        <v>119</v>
      </c>
      <c r="E25" s="24" t="s">
        <v>120</v>
      </c>
      <c r="F25" s="24" t="s">
        <v>26</v>
      </c>
      <c r="G25" s="24" t="str">
        <f>IF(OR(M25="挂起",M25="暂停",Q25="挂起",Q25="暂停",U25="挂起",U25="暂停",Y25="挂起",Y25="暂停"),"暂停","未开始")</f>
        <v>未开始</v>
      </c>
      <c r="H25" s="24" t="str">
        <f t="shared" si="1"/>
        <v>郑士旺</v>
      </c>
      <c r="I25" s="26">
        <f t="shared" si="2"/>
        <v>46230</v>
      </c>
      <c r="J25" s="26">
        <f t="shared" si="3"/>
        <v>46353</v>
      </c>
      <c r="K25" s="26"/>
      <c r="L25" s="24" t="s">
        <v>65</v>
      </c>
      <c r="M25" s="24" t="s">
        <v>5</v>
      </c>
      <c r="N25" s="26">
        <v>46230</v>
      </c>
      <c r="O25" s="26">
        <v>46241</v>
      </c>
      <c r="P25" s="24" t="s">
        <v>66</v>
      </c>
      <c r="Q25" s="24" t="s">
        <v>5</v>
      </c>
      <c r="R25" s="26">
        <v>46307</v>
      </c>
      <c r="S25" s="26">
        <v>46339</v>
      </c>
      <c r="T25" s="24" t="s">
        <v>67</v>
      </c>
      <c r="U25" s="24" t="s">
        <v>5</v>
      </c>
      <c r="V25" s="26">
        <v>46307</v>
      </c>
      <c r="W25" s="26">
        <v>46339</v>
      </c>
      <c r="X25" s="24" t="s">
        <v>68</v>
      </c>
      <c r="Y25" s="24" t="s">
        <v>5</v>
      </c>
      <c r="Z25" s="26">
        <v>46342</v>
      </c>
      <c r="AA25" s="26">
        <v>46353</v>
      </c>
      <c r="AB25" s="44">
        <f t="shared" si="4"/>
        <v>0</v>
      </c>
      <c r="AC25" s="24" t="str">
        <f>IF(G25="已完成","正常",IF(OR(G25="暂停",G25="挂起"),"暂停",IF(J25="","日期缺失",IF(J25&lt;项目驾驶舱!$B$3,"已延期",IF(J25&lt;=项目驾驶舱!$B$3+7,"临近到期","正常")))))</f>
        <v>正常</v>
      </c>
      <c r="AD25" s="24" t="s">
        <v>69</v>
      </c>
      <c r="AE25" s="24" t="s">
        <v>69</v>
      </c>
    </row>
    <row r="26" ht="34" customHeight="1" spans="1:31">
      <c r="A26" s="24" t="s">
        <v>121</v>
      </c>
      <c r="B26" s="24" t="s">
        <v>92</v>
      </c>
      <c r="C26" s="24" t="s">
        <v>111</v>
      </c>
      <c r="D26" s="24" t="s">
        <v>119</v>
      </c>
      <c r="E26" s="24" t="s">
        <v>122</v>
      </c>
      <c r="F26" s="24" t="s">
        <v>26</v>
      </c>
      <c r="G26" s="24" t="str">
        <f>IF(OR(M26="挂起",M26="暂停",Q26="挂起",Q26="暂停",U26="挂起",U26="暂停",Y26="挂起",Y26="暂停"),"暂停","未开始")</f>
        <v>未开始</v>
      </c>
      <c r="H26" s="24" t="str">
        <f t="shared" si="1"/>
        <v>郑士旺</v>
      </c>
      <c r="I26" s="26">
        <f t="shared" si="2"/>
        <v>46230</v>
      </c>
      <c r="J26" s="26">
        <f t="shared" si="3"/>
        <v>46353</v>
      </c>
      <c r="K26" s="26"/>
      <c r="L26" s="24" t="s">
        <v>65</v>
      </c>
      <c r="M26" s="24" t="s">
        <v>5</v>
      </c>
      <c r="N26" s="26">
        <v>46230</v>
      </c>
      <c r="O26" s="26">
        <v>46241</v>
      </c>
      <c r="P26" s="24" t="s">
        <v>66</v>
      </c>
      <c r="Q26" s="24" t="s">
        <v>5</v>
      </c>
      <c r="R26" s="26">
        <v>46307</v>
      </c>
      <c r="S26" s="26">
        <v>46339</v>
      </c>
      <c r="T26" s="24" t="s">
        <v>67</v>
      </c>
      <c r="U26" s="24" t="s">
        <v>5</v>
      </c>
      <c r="V26" s="26">
        <v>46307</v>
      </c>
      <c r="W26" s="26">
        <v>46339</v>
      </c>
      <c r="X26" s="24" t="s">
        <v>68</v>
      </c>
      <c r="Y26" s="24" t="s">
        <v>5</v>
      </c>
      <c r="Z26" s="26">
        <v>46342</v>
      </c>
      <c r="AA26" s="26">
        <v>46353</v>
      </c>
      <c r="AB26" s="44">
        <f t="shared" si="4"/>
        <v>0</v>
      </c>
      <c r="AC26" s="24" t="str">
        <f>IF(G26="已完成","正常",IF(OR(G26="暂停",G26="挂起"),"暂停",IF(J26="","日期缺失",IF(J26&lt;项目驾驶舱!$B$3,"已延期",IF(J26&lt;=项目驾驶舱!$B$3+7,"临近到期","正常")))))</f>
        <v>正常</v>
      </c>
      <c r="AD26" s="24" t="s">
        <v>69</v>
      </c>
      <c r="AE26" s="24" t="s">
        <v>69</v>
      </c>
    </row>
    <row r="27" ht="17" customHeight="1" spans="1:31">
      <c r="A27" s="24" t="s">
        <v>123</v>
      </c>
      <c r="B27" s="24" t="s">
        <v>92</v>
      </c>
      <c r="C27" s="24" t="s">
        <v>111</v>
      </c>
      <c r="D27" s="24" t="s">
        <v>124</v>
      </c>
      <c r="E27" s="24" t="s">
        <v>125</v>
      </c>
      <c r="F27" s="24" t="s">
        <v>26</v>
      </c>
      <c r="G27" s="24" t="str">
        <f>IF(OR(M27="挂起",M27="暂停",Q27="挂起",Q27="暂停",U27="挂起",U27="暂停",Y27="挂起",Y27="暂停"),"暂停","未开始")</f>
        <v>未开始</v>
      </c>
      <c r="H27" s="24" t="str">
        <f t="shared" si="1"/>
        <v>郑士旺</v>
      </c>
      <c r="I27" s="26">
        <f t="shared" si="2"/>
        <v>46230</v>
      </c>
      <c r="J27" s="26">
        <f t="shared" si="3"/>
        <v>46353</v>
      </c>
      <c r="K27" s="26"/>
      <c r="L27" s="24" t="s">
        <v>65</v>
      </c>
      <c r="M27" s="24" t="s">
        <v>5</v>
      </c>
      <c r="N27" s="26">
        <v>46230</v>
      </c>
      <c r="O27" s="26">
        <v>46241</v>
      </c>
      <c r="P27" s="24" t="s">
        <v>66</v>
      </c>
      <c r="Q27" s="24" t="s">
        <v>5</v>
      </c>
      <c r="R27" s="26">
        <v>46307</v>
      </c>
      <c r="S27" s="26">
        <v>46339</v>
      </c>
      <c r="T27" s="24" t="s">
        <v>67</v>
      </c>
      <c r="U27" s="24" t="s">
        <v>5</v>
      </c>
      <c r="V27" s="26">
        <v>46307</v>
      </c>
      <c r="W27" s="26">
        <v>46339</v>
      </c>
      <c r="X27" s="24" t="s">
        <v>68</v>
      </c>
      <c r="Y27" s="24" t="s">
        <v>5</v>
      </c>
      <c r="Z27" s="26">
        <v>46342</v>
      </c>
      <c r="AA27" s="26">
        <v>46353</v>
      </c>
      <c r="AB27" s="44">
        <f t="shared" si="4"/>
        <v>0</v>
      </c>
      <c r="AC27" s="24" t="str">
        <f>IF(G27="已完成","正常",IF(OR(G27="暂停",G27="挂起"),"暂停",IF(J27="","日期缺失",IF(J27&lt;项目驾驶舱!$B$3,"已延期",IF(J27&lt;=项目驾驶舱!$B$3+7,"临近到期","正常")))))</f>
        <v>正常</v>
      </c>
      <c r="AD27" s="24" t="s">
        <v>69</v>
      </c>
      <c r="AE27" s="24" t="s">
        <v>69</v>
      </c>
    </row>
    <row r="28" ht="17" customHeight="1" spans="1:31">
      <c r="A28" s="24" t="s">
        <v>126</v>
      </c>
      <c r="B28" s="24" t="s">
        <v>92</v>
      </c>
      <c r="C28" s="24" t="s">
        <v>111</v>
      </c>
      <c r="D28" s="24" t="s">
        <v>124</v>
      </c>
      <c r="E28" s="24" t="s">
        <v>127</v>
      </c>
      <c r="F28" s="24" t="s">
        <v>26</v>
      </c>
      <c r="G28" s="24" t="str">
        <f>IF(OR(M28="挂起",M28="暂停",Q28="挂起",Q28="暂停",U28="挂起",U28="暂停",Y28="挂起",Y28="暂停"),"暂停","未开始")</f>
        <v>未开始</v>
      </c>
      <c r="H28" s="24" t="str">
        <f t="shared" si="1"/>
        <v>郑士旺</v>
      </c>
      <c r="I28" s="26">
        <f t="shared" si="2"/>
        <v>46230</v>
      </c>
      <c r="J28" s="26">
        <f t="shared" si="3"/>
        <v>46261</v>
      </c>
      <c r="K28" s="26">
        <v>46261</v>
      </c>
      <c r="L28" s="24" t="s">
        <v>65</v>
      </c>
      <c r="M28" s="24" t="s">
        <v>5</v>
      </c>
      <c r="N28" s="26">
        <v>46230</v>
      </c>
      <c r="O28" s="26">
        <v>46241</v>
      </c>
      <c r="P28" s="24" t="s">
        <v>66</v>
      </c>
      <c r="Q28" s="24" t="s">
        <v>5</v>
      </c>
      <c r="R28" s="26">
        <v>46307</v>
      </c>
      <c r="S28" s="26">
        <v>46339</v>
      </c>
      <c r="T28" s="24" t="s">
        <v>67</v>
      </c>
      <c r="U28" s="24" t="s">
        <v>5</v>
      </c>
      <c r="V28" s="26">
        <v>46307</v>
      </c>
      <c r="W28" s="26">
        <v>46339</v>
      </c>
      <c r="X28" s="24" t="s">
        <v>68</v>
      </c>
      <c r="Y28" s="24" t="s">
        <v>5</v>
      </c>
      <c r="Z28" s="26">
        <v>46342</v>
      </c>
      <c r="AA28" s="26">
        <v>46353</v>
      </c>
      <c r="AB28" s="44">
        <f t="shared" si="4"/>
        <v>0</v>
      </c>
      <c r="AC28" s="24" t="str">
        <f>IF(G28="已完成","正常",IF(OR(G28="暂停",G28="挂起"),"暂停",IF(J28="","日期缺失",IF(J28&lt;项目驾驶舱!$B$3,"已延期",IF(J28&lt;=项目驾驶舱!$B$3+7,"临近到期","正常")))))</f>
        <v>已延期</v>
      </c>
      <c r="AD28" s="24" t="s">
        <v>69</v>
      </c>
      <c r="AE28" s="24" t="s">
        <v>69</v>
      </c>
    </row>
    <row r="29" ht="17" customHeight="1" spans="1:31">
      <c r="A29" s="24" t="s">
        <v>128</v>
      </c>
      <c r="B29" s="24" t="s">
        <v>92</v>
      </c>
      <c r="C29" s="24" t="s">
        <v>111</v>
      </c>
      <c r="D29" s="24" t="s">
        <v>129</v>
      </c>
      <c r="E29" s="24" t="s">
        <v>130</v>
      </c>
      <c r="F29" s="24" t="s">
        <v>26</v>
      </c>
      <c r="G29" s="24" t="str">
        <f>IF(OR(M29="挂起",M29="暂停",Q29="挂起",Q29="暂停",U29="挂起",U29="暂停",Y29="挂起",Y29="暂停"),"暂停","进行中")</f>
        <v>进行中</v>
      </c>
      <c r="H29" s="24" t="str">
        <f t="shared" si="1"/>
        <v>郑士旺</v>
      </c>
      <c r="I29" s="26">
        <f t="shared" si="2"/>
        <v>46230</v>
      </c>
      <c r="J29" s="26">
        <f t="shared" si="3"/>
        <v>46261</v>
      </c>
      <c r="K29" s="26">
        <v>46261</v>
      </c>
      <c r="L29" s="24" t="s">
        <v>65</v>
      </c>
      <c r="M29" s="24" t="s">
        <v>3</v>
      </c>
      <c r="N29" s="26">
        <v>46230</v>
      </c>
      <c r="O29" s="26">
        <v>46241</v>
      </c>
      <c r="P29" s="24" t="s">
        <v>66</v>
      </c>
      <c r="Q29" s="24" t="s">
        <v>4</v>
      </c>
      <c r="R29" s="26">
        <v>46307</v>
      </c>
      <c r="S29" s="26">
        <v>46339</v>
      </c>
      <c r="T29" s="24" t="s">
        <v>67</v>
      </c>
      <c r="U29" s="24" t="s">
        <v>4</v>
      </c>
      <c r="V29" s="26">
        <v>46307</v>
      </c>
      <c r="W29" s="26">
        <v>46339</v>
      </c>
      <c r="X29" s="24" t="s">
        <v>68</v>
      </c>
      <c r="Y29" s="24" t="s">
        <v>5</v>
      </c>
      <c r="Z29" s="26">
        <v>46342</v>
      </c>
      <c r="AA29" s="26">
        <v>46353</v>
      </c>
      <c r="AB29" s="44">
        <f t="shared" si="4"/>
        <v>0.475</v>
      </c>
      <c r="AC29" s="24" t="str">
        <f>IF(G29="已完成","正常",IF(OR(G29="暂停",G29="挂起"),"暂停",IF(J29="","日期缺失",IF(J29&lt;项目驾驶舱!$B$3,"已延期",IF(J29&lt;=项目驾驶舱!$B$3+7,"临近到期","正常")))))</f>
        <v>已延期</v>
      </c>
      <c r="AD29" s="24" t="s">
        <v>69</v>
      </c>
      <c r="AE29" s="24" t="s">
        <v>69</v>
      </c>
    </row>
    <row r="30" ht="17" customHeight="1" spans="1:31">
      <c r="A30" s="24" t="s">
        <v>131</v>
      </c>
      <c r="B30" s="24" t="s">
        <v>92</v>
      </c>
      <c r="C30" s="24" t="s">
        <v>111</v>
      </c>
      <c r="D30" s="24" t="s">
        <v>129</v>
      </c>
      <c r="E30" s="24" t="s">
        <v>132</v>
      </c>
      <c r="F30" s="24" t="s">
        <v>26</v>
      </c>
      <c r="G30" s="24" t="str">
        <f>IF(OR(M30="挂起",M30="暂停",Q30="挂起",Q30="暂停",U30="挂起",U30="暂停",Y30="挂起",Y30="暂停"),"暂停","进行中")</f>
        <v>进行中</v>
      </c>
      <c r="H30" s="24" t="str">
        <f t="shared" si="1"/>
        <v>郑士旺</v>
      </c>
      <c r="I30" s="26">
        <f t="shared" si="2"/>
        <v>46230</v>
      </c>
      <c r="J30" s="26">
        <f t="shared" si="3"/>
        <v>46261</v>
      </c>
      <c r="K30" s="26">
        <v>46261</v>
      </c>
      <c r="L30" s="24" t="s">
        <v>65</v>
      </c>
      <c r="M30" s="24" t="s">
        <v>3</v>
      </c>
      <c r="N30" s="26">
        <v>46230</v>
      </c>
      <c r="O30" s="26">
        <v>46241</v>
      </c>
      <c r="P30" s="24" t="s">
        <v>66</v>
      </c>
      <c r="Q30" s="24" t="s">
        <v>4</v>
      </c>
      <c r="R30" s="26">
        <v>46307</v>
      </c>
      <c r="S30" s="26">
        <v>46339</v>
      </c>
      <c r="T30" s="24" t="s">
        <v>67</v>
      </c>
      <c r="U30" s="24" t="s">
        <v>4</v>
      </c>
      <c r="V30" s="26">
        <v>46307</v>
      </c>
      <c r="W30" s="26">
        <v>46339</v>
      </c>
      <c r="X30" s="24" t="s">
        <v>68</v>
      </c>
      <c r="Y30" s="24" t="s">
        <v>5</v>
      </c>
      <c r="Z30" s="26">
        <v>46342</v>
      </c>
      <c r="AA30" s="26">
        <v>46353</v>
      </c>
      <c r="AB30" s="44">
        <f t="shared" si="4"/>
        <v>0.475</v>
      </c>
      <c r="AC30" s="24" t="str">
        <f>IF(G30="已完成","正常",IF(OR(G30="暂停",G30="挂起"),"暂停",IF(J30="","日期缺失",IF(J30&lt;项目驾驶舱!$B$3,"已延期",IF(J30&lt;=项目驾驶舱!$B$3+7,"临近到期","正常")))))</f>
        <v>已延期</v>
      </c>
      <c r="AD30" s="24" t="s">
        <v>69</v>
      </c>
      <c r="AE30" s="24" t="s">
        <v>69</v>
      </c>
    </row>
    <row r="31" ht="17" customHeight="1" spans="1:31">
      <c r="A31" s="24" t="s">
        <v>133</v>
      </c>
      <c r="B31" s="24" t="s">
        <v>92</v>
      </c>
      <c r="C31" s="24" t="s">
        <v>111</v>
      </c>
      <c r="D31" s="24" t="s">
        <v>129</v>
      </c>
      <c r="E31" s="24" t="s">
        <v>134</v>
      </c>
      <c r="F31" s="24" t="s">
        <v>26</v>
      </c>
      <c r="G31" s="24" t="str">
        <f>IF(OR(M31="挂起",M31="暂停",Q31="挂起",Q31="暂停",U31="挂起",U31="暂停",Y31="挂起",Y31="暂停"),"暂停","进行中")</f>
        <v>进行中</v>
      </c>
      <c r="H31" s="24" t="str">
        <f t="shared" si="1"/>
        <v>郑士旺</v>
      </c>
      <c r="I31" s="26">
        <f t="shared" si="2"/>
        <v>46230</v>
      </c>
      <c r="J31" s="26">
        <f t="shared" si="3"/>
        <v>46261</v>
      </c>
      <c r="K31" s="26">
        <v>46261</v>
      </c>
      <c r="L31" s="24" t="s">
        <v>65</v>
      </c>
      <c r="M31" s="24" t="s">
        <v>4</v>
      </c>
      <c r="N31" s="26">
        <v>46230</v>
      </c>
      <c r="O31" s="26">
        <v>46241</v>
      </c>
      <c r="P31" s="24" t="s">
        <v>66</v>
      </c>
      <c r="Q31" s="24" t="s">
        <v>5</v>
      </c>
      <c r="R31" s="26">
        <v>46307</v>
      </c>
      <c r="S31" s="26">
        <v>46339</v>
      </c>
      <c r="T31" s="24" t="s">
        <v>67</v>
      </c>
      <c r="U31" s="24" t="s">
        <v>5</v>
      </c>
      <c r="V31" s="26">
        <v>46307</v>
      </c>
      <c r="W31" s="26">
        <v>46339</v>
      </c>
      <c r="X31" s="24" t="s">
        <v>68</v>
      </c>
      <c r="Y31" s="24" t="s">
        <v>5</v>
      </c>
      <c r="Z31" s="26">
        <v>46342</v>
      </c>
      <c r="AA31" s="26">
        <v>46353</v>
      </c>
      <c r="AB31" s="44">
        <f t="shared" si="4"/>
        <v>0.075</v>
      </c>
      <c r="AC31" s="24" t="str">
        <f>IF(G31="已完成","正常",IF(OR(G31="暂停",G31="挂起"),"暂停",IF(J31="","日期缺失",IF(J31&lt;项目驾驶舱!$B$3,"已延期",IF(J31&lt;=项目驾驶舱!$B$3+7,"临近到期","正常")))))</f>
        <v>已延期</v>
      </c>
      <c r="AD31" s="24" t="s">
        <v>69</v>
      </c>
      <c r="AE31" s="24" t="s">
        <v>69</v>
      </c>
    </row>
    <row r="32" ht="17" customHeight="1" spans="1:31">
      <c r="A32" s="24" t="s">
        <v>135</v>
      </c>
      <c r="B32" s="24" t="s">
        <v>92</v>
      </c>
      <c r="C32" s="24" t="s">
        <v>111</v>
      </c>
      <c r="D32" s="24" t="s">
        <v>129</v>
      </c>
      <c r="E32" s="24" t="s">
        <v>136</v>
      </c>
      <c r="F32" s="24" t="s">
        <v>26</v>
      </c>
      <c r="G32" s="24" t="str">
        <f>IF(OR(M32="挂起",M32="暂停",Q32="挂起",Q32="暂停",U32="挂起",U32="暂停",Y32="挂起",Y32="暂停"),"暂停","进行中")</f>
        <v>进行中</v>
      </c>
      <c r="H32" s="24" t="str">
        <f t="shared" si="1"/>
        <v>郑士旺</v>
      </c>
      <c r="I32" s="26">
        <f t="shared" si="2"/>
        <v>46230</v>
      </c>
      <c r="J32" s="26">
        <f t="shared" si="3"/>
        <v>46261</v>
      </c>
      <c r="K32" s="26">
        <v>46261</v>
      </c>
      <c r="L32" s="24" t="s">
        <v>65</v>
      </c>
      <c r="M32" s="24" t="s">
        <v>4</v>
      </c>
      <c r="N32" s="26">
        <v>46230</v>
      </c>
      <c r="O32" s="26">
        <v>46241</v>
      </c>
      <c r="P32" s="24" t="s">
        <v>66</v>
      </c>
      <c r="Q32" s="24" t="s">
        <v>5</v>
      </c>
      <c r="R32" s="26">
        <v>46307</v>
      </c>
      <c r="S32" s="26">
        <v>46339</v>
      </c>
      <c r="T32" s="24" t="s">
        <v>67</v>
      </c>
      <c r="U32" s="24" t="s">
        <v>5</v>
      </c>
      <c r="V32" s="26">
        <v>46307</v>
      </c>
      <c r="W32" s="26">
        <v>46339</v>
      </c>
      <c r="X32" s="24" t="s">
        <v>68</v>
      </c>
      <c r="Y32" s="24" t="s">
        <v>5</v>
      </c>
      <c r="Z32" s="26">
        <v>46342</v>
      </c>
      <c r="AA32" s="26">
        <v>46353</v>
      </c>
      <c r="AB32" s="44">
        <f t="shared" si="4"/>
        <v>0.075</v>
      </c>
      <c r="AC32" s="24" t="str">
        <f>IF(G32="已完成","正常",IF(OR(G32="暂停",G32="挂起"),"暂停",IF(J32="","日期缺失",IF(J32&lt;项目驾驶舱!$B$3,"已延期",IF(J32&lt;=项目驾驶舱!$B$3+7,"临近到期","正常")))))</f>
        <v>已延期</v>
      </c>
      <c r="AD32" s="24" t="s">
        <v>69</v>
      </c>
      <c r="AE32" s="24" t="s">
        <v>69</v>
      </c>
    </row>
    <row r="33" ht="17" customHeight="1" spans="1:31">
      <c r="A33" s="24" t="s">
        <v>137</v>
      </c>
      <c r="B33" s="24" t="s">
        <v>92</v>
      </c>
      <c r="C33" s="24" t="s">
        <v>111</v>
      </c>
      <c r="D33" s="24" t="s">
        <v>129</v>
      </c>
      <c r="E33" s="24" t="s">
        <v>138</v>
      </c>
      <c r="F33" s="24" t="s">
        <v>26</v>
      </c>
      <c r="G33" s="24" t="str">
        <f>IF(OR(M33="挂起",M33="暂停",Q33="挂起",Q33="暂停",U33="挂起",U33="暂停",Y33="挂起",Y33="暂停"),"暂停","进行中")</f>
        <v>进行中</v>
      </c>
      <c r="H33" s="24" t="str">
        <f t="shared" si="1"/>
        <v>郑士旺</v>
      </c>
      <c r="I33" s="26">
        <f t="shared" si="2"/>
        <v>46230</v>
      </c>
      <c r="J33" s="26">
        <f t="shared" si="3"/>
        <v>46261</v>
      </c>
      <c r="K33" s="26">
        <v>46261</v>
      </c>
      <c r="L33" s="24" t="s">
        <v>65</v>
      </c>
      <c r="M33" s="24" t="s">
        <v>3</v>
      </c>
      <c r="N33" s="26">
        <v>46230</v>
      </c>
      <c r="O33" s="26">
        <v>46241</v>
      </c>
      <c r="P33" s="24" t="s">
        <v>66</v>
      </c>
      <c r="Q33" s="24" t="s">
        <v>4</v>
      </c>
      <c r="R33" s="26">
        <v>46307</v>
      </c>
      <c r="S33" s="26">
        <v>46339</v>
      </c>
      <c r="T33" s="24" t="s">
        <v>67</v>
      </c>
      <c r="U33" s="24" t="s">
        <v>4</v>
      </c>
      <c r="V33" s="26">
        <v>46307</v>
      </c>
      <c r="W33" s="26">
        <v>46339</v>
      </c>
      <c r="X33" s="24" t="s">
        <v>68</v>
      </c>
      <c r="Y33" s="24" t="s">
        <v>5</v>
      </c>
      <c r="Z33" s="26">
        <v>46342</v>
      </c>
      <c r="AA33" s="26">
        <v>46353</v>
      </c>
      <c r="AB33" s="44">
        <f t="shared" si="4"/>
        <v>0.475</v>
      </c>
      <c r="AC33" s="24" t="str">
        <f>IF(G33="已完成","正常",IF(OR(G33="暂停",G33="挂起"),"暂停",IF(J33="","日期缺失",IF(J33&lt;项目驾驶舱!$B$3,"已延期",IF(J33&lt;=项目驾驶舱!$B$3+7,"临近到期","正常")))))</f>
        <v>已延期</v>
      </c>
      <c r="AD33" s="24" t="s">
        <v>69</v>
      </c>
      <c r="AE33" s="24" t="s">
        <v>69</v>
      </c>
    </row>
    <row r="34" ht="17" customHeight="1" spans="1:31">
      <c r="A34" s="24" t="s">
        <v>139</v>
      </c>
      <c r="B34" s="24" t="s">
        <v>92</v>
      </c>
      <c r="C34" s="24" t="s">
        <v>111</v>
      </c>
      <c r="D34" s="24" t="s">
        <v>140</v>
      </c>
      <c r="E34" s="24" t="s">
        <v>141</v>
      </c>
      <c r="F34" s="24" t="s">
        <v>26</v>
      </c>
      <c r="G34" s="24" t="str">
        <f>IF(OR(M34="挂起",M34="暂停",Q34="挂起",Q34="暂停",U34="挂起",U34="暂停",Y34="挂起",Y34="暂停"),"暂停","未开始")</f>
        <v>未开始</v>
      </c>
      <c r="H34" s="24" t="str">
        <f t="shared" si="1"/>
        <v>郑士旺</v>
      </c>
      <c r="I34" s="26">
        <f t="shared" si="2"/>
        <v>46230</v>
      </c>
      <c r="J34" s="26">
        <f t="shared" si="3"/>
        <v>46353</v>
      </c>
      <c r="K34" s="26"/>
      <c r="L34" s="24" t="s">
        <v>65</v>
      </c>
      <c r="M34" s="24" t="s">
        <v>5</v>
      </c>
      <c r="N34" s="26">
        <v>46230</v>
      </c>
      <c r="O34" s="26">
        <v>46241</v>
      </c>
      <c r="P34" s="24" t="s">
        <v>66</v>
      </c>
      <c r="Q34" s="24" t="s">
        <v>5</v>
      </c>
      <c r="R34" s="26">
        <v>46307</v>
      </c>
      <c r="S34" s="26">
        <v>46339</v>
      </c>
      <c r="T34" s="24" t="s">
        <v>67</v>
      </c>
      <c r="U34" s="24" t="s">
        <v>5</v>
      </c>
      <c r="V34" s="26">
        <v>46307</v>
      </c>
      <c r="W34" s="26">
        <v>46339</v>
      </c>
      <c r="X34" s="24" t="s">
        <v>68</v>
      </c>
      <c r="Y34" s="24" t="s">
        <v>5</v>
      </c>
      <c r="Z34" s="26">
        <v>46342</v>
      </c>
      <c r="AA34" s="26">
        <v>46353</v>
      </c>
      <c r="AB34" s="44">
        <f t="shared" si="4"/>
        <v>0</v>
      </c>
      <c r="AC34" s="24" t="str">
        <f>IF(G34="已完成","正常",IF(OR(G34="暂停",G34="挂起"),"暂停",IF(J34="","日期缺失",IF(J34&lt;项目驾驶舱!$B$3,"已延期",IF(J34&lt;=项目驾驶舱!$B$3+7,"临近到期","正常")))))</f>
        <v>正常</v>
      </c>
      <c r="AD34" s="24" t="s">
        <v>69</v>
      </c>
      <c r="AE34" s="24" t="s">
        <v>69</v>
      </c>
    </row>
    <row r="35" ht="17" customHeight="1" spans="1:31">
      <c r="A35" s="24" t="s">
        <v>142</v>
      </c>
      <c r="B35" s="24" t="s">
        <v>92</v>
      </c>
      <c r="C35" s="24" t="s">
        <v>111</v>
      </c>
      <c r="D35" s="24" t="s">
        <v>140</v>
      </c>
      <c r="E35" s="24" t="s">
        <v>143</v>
      </c>
      <c r="F35" s="24" t="s">
        <v>26</v>
      </c>
      <c r="G35" s="24" t="str">
        <f>IF(OR(M35="挂起",M35="暂停",Q35="挂起",Q35="暂停",U35="挂起",U35="暂停",Y35="挂起",Y35="暂停"),"暂停","未开始")</f>
        <v>未开始</v>
      </c>
      <c r="H35" s="24" t="str">
        <f t="shared" si="1"/>
        <v>郑士旺</v>
      </c>
      <c r="I35" s="26">
        <f t="shared" si="2"/>
        <v>46230</v>
      </c>
      <c r="J35" s="26">
        <f t="shared" si="3"/>
        <v>46353</v>
      </c>
      <c r="K35" s="26"/>
      <c r="L35" s="24" t="s">
        <v>65</v>
      </c>
      <c r="M35" s="24" t="s">
        <v>5</v>
      </c>
      <c r="N35" s="26">
        <v>46230</v>
      </c>
      <c r="O35" s="26">
        <v>46241</v>
      </c>
      <c r="P35" s="24" t="s">
        <v>66</v>
      </c>
      <c r="Q35" s="24" t="s">
        <v>5</v>
      </c>
      <c r="R35" s="26">
        <v>46307</v>
      </c>
      <c r="S35" s="26">
        <v>46339</v>
      </c>
      <c r="T35" s="24" t="s">
        <v>67</v>
      </c>
      <c r="U35" s="24" t="s">
        <v>5</v>
      </c>
      <c r="V35" s="26">
        <v>46307</v>
      </c>
      <c r="W35" s="26">
        <v>46339</v>
      </c>
      <c r="X35" s="24" t="s">
        <v>68</v>
      </c>
      <c r="Y35" s="24" t="s">
        <v>5</v>
      </c>
      <c r="Z35" s="26">
        <v>46342</v>
      </c>
      <c r="AA35" s="26">
        <v>46353</v>
      </c>
      <c r="AB35" s="44">
        <f t="shared" si="4"/>
        <v>0</v>
      </c>
      <c r="AC35" s="24" t="str">
        <f>IF(G35="已完成","正常",IF(OR(G35="暂停",G35="挂起"),"暂停",IF(J35="","日期缺失",IF(J35&lt;项目驾驶舱!$B$3,"已延期",IF(J35&lt;=项目驾驶舱!$B$3+7,"临近到期","正常")))))</f>
        <v>正常</v>
      </c>
      <c r="AD35" s="24" t="s">
        <v>69</v>
      </c>
      <c r="AE35" s="24" t="s">
        <v>69</v>
      </c>
    </row>
    <row r="36" ht="17" customHeight="1" spans="1:31">
      <c r="A36" s="24" t="s">
        <v>144</v>
      </c>
      <c r="B36" s="24" t="s">
        <v>92</v>
      </c>
      <c r="C36" s="24" t="s">
        <v>111</v>
      </c>
      <c r="D36" s="24" t="s">
        <v>140</v>
      </c>
      <c r="E36" s="24" t="s">
        <v>145</v>
      </c>
      <c r="F36" s="24" t="s">
        <v>26</v>
      </c>
      <c r="G36" s="24" t="str">
        <f>IF(OR(M36="挂起",M36="暂停",Q36="挂起",Q36="暂停",U36="挂起",U36="暂停",Y36="挂起",Y36="暂停"),"暂停","未开始")</f>
        <v>未开始</v>
      </c>
      <c r="H36" s="24" t="str">
        <f t="shared" si="1"/>
        <v>郑士旺</v>
      </c>
      <c r="I36" s="26">
        <f t="shared" si="2"/>
        <v>46230</v>
      </c>
      <c r="J36" s="26">
        <f t="shared" si="3"/>
        <v>46353</v>
      </c>
      <c r="K36" s="26"/>
      <c r="L36" s="24" t="s">
        <v>65</v>
      </c>
      <c r="M36" s="24" t="s">
        <v>5</v>
      </c>
      <c r="N36" s="26">
        <v>46230</v>
      </c>
      <c r="O36" s="26">
        <v>46241</v>
      </c>
      <c r="P36" s="24" t="s">
        <v>66</v>
      </c>
      <c r="Q36" s="24" t="s">
        <v>5</v>
      </c>
      <c r="R36" s="26">
        <v>46307</v>
      </c>
      <c r="S36" s="26">
        <v>46339</v>
      </c>
      <c r="T36" s="24" t="s">
        <v>67</v>
      </c>
      <c r="U36" s="24" t="s">
        <v>5</v>
      </c>
      <c r="V36" s="26">
        <v>46307</v>
      </c>
      <c r="W36" s="26">
        <v>46339</v>
      </c>
      <c r="X36" s="24" t="s">
        <v>68</v>
      </c>
      <c r="Y36" s="24" t="s">
        <v>5</v>
      </c>
      <c r="Z36" s="26">
        <v>46342</v>
      </c>
      <c r="AA36" s="26">
        <v>46353</v>
      </c>
      <c r="AB36" s="44">
        <f t="shared" si="4"/>
        <v>0</v>
      </c>
      <c r="AC36" s="24" t="str">
        <f>IF(G36="已完成","正常",IF(OR(G36="暂停",G36="挂起"),"暂停",IF(J36="","日期缺失",IF(J36&lt;项目驾驶舱!$B$3,"已延期",IF(J36&lt;=项目驾驶舱!$B$3+7,"临近到期","正常")))))</f>
        <v>正常</v>
      </c>
      <c r="AD36" s="24" t="s">
        <v>69</v>
      </c>
      <c r="AE36" s="24" t="s">
        <v>69</v>
      </c>
    </row>
    <row r="37" ht="17" customHeight="1" spans="1:31">
      <c r="A37" s="24" t="s">
        <v>146</v>
      </c>
      <c r="B37" s="24" t="s">
        <v>92</v>
      </c>
      <c r="C37" s="24" t="s">
        <v>111</v>
      </c>
      <c r="D37" s="24" t="s">
        <v>147</v>
      </c>
      <c r="E37" s="24" t="s">
        <v>148</v>
      </c>
      <c r="F37" s="24" t="s">
        <v>26</v>
      </c>
      <c r="G37" s="24" t="str">
        <f>IF(OR(M37="挂起",M37="暂停",Q37="挂起",Q37="暂停",U37="挂起",U37="暂停",Y37="挂起",Y37="暂停"),"暂停","进行中")</f>
        <v>进行中</v>
      </c>
      <c r="H37" s="24" t="str">
        <f t="shared" si="1"/>
        <v>郑士旺</v>
      </c>
      <c r="I37" s="26">
        <f t="shared" si="2"/>
        <v>46230</v>
      </c>
      <c r="J37" s="26">
        <f t="shared" si="3"/>
        <v>46353</v>
      </c>
      <c r="K37" s="26"/>
      <c r="L37" s="24" t="s">
        <v>65</v>
      </c>
      <c r="M37" s="24" t="s">
        <v>3</v>
      </c>
      <c r="N37" s="26">
        <v>46230</v>
      </c>
      <c r="O37" s="26">
        <v>46241</v>
      </c>
      <c r="P37" s="24" t="s">
        <v>66</v>
      </c>
      <c r="Q37" s="24" t="s">
        <v>4</v>
      </c>
      <c r="R37" s="26">
        <v>46307</v>
      </c>
      <c r="S37" s="26">
        <v>46339</v>
      </c>
      <c r="T37" s="24" t="s">
        <v>67</v>
      </c>
      <c r="U37" s="24" t="s">
        <v>4</v>
      </c>
      <c r="V37" s="26">
        <v>46307</v>
      </c>
      <c r="W37" s="26">
        <v>46339</v>
      </c>
      <c r="X37" s="24" t="s">
        <v>68</v>
      </c>
      <c r="Y37" s="24" t="s">
        <v>5</v>
      </c>
      <c r="Z37" s="26">
        <v>46342</v>
      </c>
      <c r="AA37" s="26">
        <v>46353</v>
      </c>
      <c r="AB37" s="44">
        <f t="shared" si="4"/>
        <v>0.475</v>
      </c>
      <c r="AC37" s="24" t="str">
        <f>IF(G37="已完成","正常",IF(OR(G37="暂停",G37="挂起"),"暂停",IF(J37="","日期缺失",IF(J37&lt;项目驾驶舱!$B$3,"已延期",IF(J37&lt;=项目驾驶舱!$B$3+7,"临近到期","正常")))))</f>
        <v>正常</v>
      </c>
      <c r="AD37" s="24" t="s">
        <v>69</v>
      </c>
      <c r="AE37" s="24" t="s">
        <v>69</v>
      </c>
    </row>
    <row r="38" ht="17" customHeight="1" spans="1:31">
      <c r="A38" s="24" t="s">
        <v>149</v>
      </c>
      <c r="B38" s="24" t="s">
        <v>92</v>
      </c>
      <c r="C38" s="24" t="s">
        <v>111</v>
      </c>
      <c r="D38" s="24" t="s">
        <v>147</v>
      </c>
      <c r="E38" s="24" t="s">
        <v>150</v>
      </c>
      <c r="F38" s="24" t="s">
        <v>26</v>
      </c>
      <c r="G38" s="24" t="str">
        <f>IF(OR(M38="挂起",M38="暂停",Q38="挂起",Q38="暂停",U38="挂起",U38="暂停",Y38="挂起",Y38="暂停"),"暂停","进行中")</f>
        <v>进行中</v>
      </c>
      <c r="H38" s="24" t="str">
        <f t="shared" si="1"/>
        <v>郑士旺</v>
      </c>
      <c r="I38" s="26">
        <f t="shared" si="2"/>
        <v>46230</v>
      </c>
      <c r="J38" s="26">
        <f t="shared" si="3"/>
        <v>46353</v>
      </c>
      <c r="K38" s="26"/>
      <c r="L38" s="24" t="s">
        <v>65</v>
      </c>
      <c r="M38" s="24" t="s">
        <v>3</v>
      </c>
      <c r="N38" s="26">
        <v>46230</v>
      </c>
      <c r="O38" s="26">
        <v>46241</v>
      </c>
      <c r="P38" s="24" t="s">
        <v>66</v>
      </c>
      <c r="Q38" s="24" t="s">
        <v>4</v>
      </c>
      <c r="R38" s="26">
        <v>46307</v>
      </c>
      <c r="S38" s="26">
        <v>46339</v>
      </c>
      <c r="T38" s="24" t="s">
        <v>67</v>
      </c>
      <c r="U38" s="24" t="s">
        <v>4</v>
      </c>
      <c r="V38" s="26">
        <v>46307</v>
      </c>
      <c r="W38" s="26">
        <v>46339</v>
      </c>
      <c r="X38" s="24" t="s">
        <v>68</v>
      </c>
      <c r="Y38" s="24" t="s">
        <v>5</v>
      </c>
      <c r="Z38" s="26">
        <v>46342</v>
      </c>
      <c r="AA38" s="26">
        <v>46353</v>
      </c>
      <c r="AB38" s="44">
        <f t="shared" si="4"/>
        <v>0.475</v>
      </c>
      <c r="AC38" s="24" t="str">
        <f>IF(G38="已完成","正常",IF(OR(G38="暂停",G38="挂起"),"暂停",IF(J38="","日期缺失",IF(J38&lt;项目驾驶舱!$B$3,"已延期",IF(J38&lt;=项目驾驶舱!$B$3+7,"临近到期","正常")))))</f>
        <v>正常</v>
      </c>
      <c r="AD38" s="24" t="s">
        <v>69</v>
      </c>
      <c r="AE38" s="24" t="s">
        <v>69</v>
      </c>
    </row>
    <row r="39" ht="17" customHeight="1" spans="1:31">
      <c r="A39" s="24" t="s">
        <v>151</v>
      </c>
      <c r="B39" s="24" t="s">
        <v>92</v>
      </c>
      <c r="C39" s="24" t="s">
        <v>111</v>
      </c>
      <c r="D39" s="24" t="s">
        <v>147</v>
      </c>
      <c r="E39" s="24" t="s">
        <v>152</v>
      </c>
      <c r="F39" s="24" t="s">
        <v>26</v>
      </c>
      <c r="G39" s="24" t="str">
        <f>IF(OR(M39="挂起",M39="暂停",Q39="挂起",Q39="暂停",U39="挂起",U39="暂停",Y39="挂起",Y39="暂停"),"暂停","进行中")</f>
        <v>进行中</v>
      </c>
      <c r="H39" s="24" t="str">
        <f t="shared" si="1"/>
        <v>郑士旺</v>
      </c>
      <c r="I39" s="26">
        <f t="shared" si="2"/>
        <v>46230</v>
      </c>
      <c r="J39" s="26">
        <f t="shared" si="3"/>
        <v>46353</v>
      </c>
      <c r="K39" s="26"/>
      <c r="L39" s="24" t="s">
        <v>65</v>
      </c>
      <c r="M39" s="24" t="s">
        <v>3</v>
      </c>
      <c r="N39" s="26">
        <v>46230</v>
      </c>
      <c r="O39" s="26">
        <v>46241</v>
      </c>
      <c r="P39" s="24" t="s">
        <v>66</v>
      </c>
      <c r="Q39" s="24" t="s">
        <v>4</v>
      </c>
      <c r="R39" s="26">
        <v>46307</v>
      </c>
      <c r="S39" s="26">
        <v>46339</v>
      </c>
      <c r="T39" s="24" t="s">
        <v>67</v>
      </c>
      <c r="U39" s="24" t="s">
        <v>4</v>
      </c>
      <c r="V39" s="26">
        <v>46307</v>
      </c>
      <c r="W39" s="26">
        <v>46339</v>
      </c>
      <c r="X39" s="24" t="s">
        <v>68</v>
      </c>
      <c r="Y39" s="24" t="s">
        <v>5</v>
      </c>
      <c r="Z39" s="26">
        <v>46342</v>
      </c>
      <c r="AA39" s="26">
        <v>46353</v>
      </c>
      <c r="AB39" s="44">
        <f t="shared" si="4"/>
        <v>0.475</v>
      </c>
      <c r="AC39" s="24" t="str">
        <f>IF(G39="已完成","正常",IF(OR(G39="暂停",G39="挂起"),"暂停",IF(J39="","日期缺失",IF(J39&lt;项目驾驶舱!$B$3,"已延期",IF(J39&lt;=项目驾驶舱!$B$3+7,"临近到期","正常")))))</f>
        <v>正常</v>
      </c>
      <c r="AD39" s="24" t="s">
        <v>69</v>
      </c>
      <c r="AE39" s="24" t="s">
        <v>69</v>
      </c>
    </row>
    <row r="40" ht="17" customHeight="1" spans="1:31">
      <c r="A40" s="24" t="s">
        <v>153</v>
      </c>
      <c r="B40" s="24" t="s">
        <v>92</v>
      </c>
      <c r="C40" s="24" t="s">
        <v>154</v>
      </c>
      <c r="D40" s="24" t="s">
        <v>155</v>
      </c>
      <c r="E40" s="24" t="s">
        <v>64</v>
      </c>
      <c r="F40" s="24" t="s">
        <v>25</v>
      </c>
      <c r="G40" s="24" t="str">
        <f t="shared" ref="G40:G49" si="6">IF(OR(M40="挂起",M40="暂停",Q40="挂起",Q40="暂停",U40="挂起",U40="暂停",Y40="挂起",Y40="暂停"),"暂停","已完成")</f>
        <v>已完成</v>
      </c>
      <c r="H40" s="24" t="str">
        <f t="shared" si="1"/>
        <v>郑士旺</v>
      </c>
      <c r="I40" s="26">
        <f t="shared" si="2"/>
        <v>46209</v>
      </c>
      <c r="J40" s="26">
        <f t="shared" si="3"/>
        <v>46261</v>
      </c>
      <c r="K40" s="26">
        <v>46261</v>
      </c>
      <c r="L40" s="24" t="s">
        <v>65</v>
      </c>
      <c r="M40" s="24" t="s">
        <v>3</v>
      </c>
      <c r="N40" s="26">
        <v>46209</v>
      </c>
      <c r="O40" s="26">
        <v>46213</v>
      </c>
      <c r="P40" s="24" t="s">
        <v>66</v>
      </c>
      <c r="Q40" s="24" t="s">
        <v>3</v>
      </c>
      <c r="R40" s="26">
        <v>46230</v>
      </c>
      <c r="S40" s="26">
        <v>46262</v>
      </c>
      <c r="T40" s="24" t="s">
        <v>67</v>
      </c>
      <c r="U40" s="24" t="s">
        <v>3</v>
      </c>
      <c r="V40" s="26">
        <v>46230</v>
      </c>
      <c r="W40" s="26">
        <v>46262</v>
      </c>
      <c r="X40" s="24" t="s">
        <v>68</v>
      </c>
      <c r="Y40" s="24" t="s">
        <v>3</v>
      </c>
      <c r="Z40" s="26">
        <v>46253</v>
      </c>
      <c r="AA40" s="26">
        <v>46269</v>
      </c>
      <c r="AB40" s="44">
        <f t="shared" si="4"/>
        <v>1</v>
      </c>
      <c r="AC40" s="24" t="str">
        <f>IF(G40="已完成","正常",IF(OR(G40="暂停",G40="挂起"),"暂停",IF(J40="","日期缺失",IF(J40&lt;项目驾驶舱!$B$3,"已延期",IF(J40&lt;=项目驾驶舱!$B$3+7,"临近到期","正常")))))</f>
        <v>正常</v>
      </c>
      <c r="AD40" s="24" t="s">
        <v>69</v>
      </c>
      <c r="AE40" s="24" t="s">
        <v>69</v>
      </c>
    </row>
    <row r="41" ht="17" customHeight="1" spans="1:31">
      <c r="A41" s="24" t="s">
        <v>156</v>
      </c>
      <c r="B41" s="24" t="s">
        <v>92</v>
      </c>
      <c r="C41" s="24" t="s">
        <v>154</v>
      </c>
      <c r="D41" s="24" t="s">
        <v>157</v>
      </c>
      <c r="E41" s="24" t="s">
        <v>64</v>
      </c>
      <c r="F41" s="24" t="s">
        <v>25</v>
      </c>
      <c r="G41" s="24" t="str">
        <f t="shared" si="6"/>
        <v>已完成</v>
      </c>
      <c r="H41" s="24" t="str">
        <f t="shared" si="1"/>
        <v>郑士旺</v>
      </c>
      <c r="I41" s="26">
        <f t="shared" si="2"/>
        <v>46209</v>
      </c>
      <c r="J41" s="26">
        <f t="shared" si="3"/>
        <v>46261</v>
      </c>
      <c r="K41" s="26">
        <v>46261</v>
      </c>
      <c r="L41" s="24" t="s">
        <v>65</v>
      </c>
      <c r="M41" s="24" t="s">
        <v>3</v>
      </c>
      <c r="N41" s="26">
        <v>46209</v>
      </c>
      <c r="O41" s="26">
        <v>46213</v>
      </c>
      <c r="P41" s="24" t="s">
        <v>66</v>
      </c>
      <c r="Q41" s="24" t="s">
        <v>3</v>
      </c>
      <c r="R41" s="26">
        <v>46230</v>
      </c>
      <c r="S41" s="26">
        <v>46262</v>
      </c>
      <c r="T41" s="24" t="s">
        <v>67</v>
      </c>
      <c r="U41" s="24" t="s">
        <v>3</v>
      </c>
      <c r="V41" s="26">
        <v>46230</v>
      </c>
      <c r="W41" s="26">
        <v>46262</v>
      </c>
      <c r="X41" s="24" t="s">
        <v>68</v>
      </c>
      <c r="Y41" s="24" t="s">
        <v>3</v>
      </c>
      <c r="Z41" s="26">
        <v>46253</v>
      </c>
      <c r="AA41" s="26">
        <v>46269</v>
      </c>
      <c r="AB41" s="44">
        <f t="shared" si="4"/>
        <v>1</v>
      </c>
      <c r="AC41" s="24" t="str">
        <f>IF(G41="已完成","正常",IF(OR(G41="暂停",G41="挂起"),"暂停",IF(J41="","日期缺失",IF(J41&lt;项目驾驶舱!$B$3,"已延期",IF(J41&lt;=项目驾驶舱!$B$3+7,"临近到期","正常")))))</f>
        <v>正常</v>
      </c>
      <c r="AD41" s="24" t="s">
        <v>69</v>
      </c>
      <c r="AE41" s="24" t="s">
        <v>69</v>
      </c>
    </row>
    <row r="42" ht="34" customHeight="1" spans="1:31">
      <c r="A42" s="24" t="s">
        <v>158</v>
      </c>
      <c r="B42" s="24" t="s">
        <v>92</v>
      </c>
      <c r="C42" s="24" t="s">
        <v>154</v>
      </c>
      <c r="D42" s="24" t="s">
        <v>159</v>
      </c>
      <c r="E42" s="24" t="s">
        <v>64</v>
      </c>
      <c r="F42" s="24" t="s">
        <v>25</v>
      </c>
      <c r="G42" s="24" t="str">
        <f t="shared" si="6"/>
        <v>已完成</v>
      </c>
      <c r="H42" s="24" t="str">
        <f t="shared" si="1"/>
        <v>郑士旺</v>
      </c>
      <c r="I42" s="26">
        <f t="shared" si="2"/>
        <v>46209</v>
      </c>
      <c r="J42" s="26">
        <f t="shared" si="3"/>
        <v>46261</v>
      </c>
      <c r="K42" s="26">
        <v>46261</v>
      </c>
      <c r="L42" s="24" t="s">
        <v>65</v>
      </c>
      <c r="M42" s="24" t="s">
        <v>3</v>
      </c>
      <c r="N42" s="26">
        <v>46209</v>
      </c>
      <c r="O42" s="26">
        <v>46213</v>
      </c>
      <c r="P42" s="24" t="s">
        <v>66</v>
      </c>
      <c r="Q42" s="24" t="s">
        <v>3</v>
      </c>
      <c r="R42" s="26">
        <v>46230</v>
      </c>
      <c r="S42" s="26">
        <v>46262</v>
      </c>
      <c r="T42" s="24" t="s">
        <v>67</v>
      </c>
      <c r="U42" s="24" t="s">
        <v>3</v>
      </c>
      <c r="V42" s="26">
        <v>46230</v>
      </c>
      <c r="W42" s="26">
        <v>46262</v>
      </c>
      <c r="X42" s="24" t="s">
        <v>68</v>
      </c>
      <c r="Y42" s="24" t="s">
        <v>3</v>
      </c>
      <c r="Z42" s="26">
        <v>46253</v>
      </c>
      <c r="AA42" s="26">
        <v>46269</v>
      </c>
      <c r="AB42" s="44">
        <f t="shared" si="4"/>
        <v>1</v>
      </c>
      <c r="AC42" s="24" t="str">
        <f>IF(G42="已完成","正常",IF(OR(G42="暂停",G42="挂起"),"暂停",IF(J42="","日期缺失",IF(J42&lt;项目驾驶舱!$B$3,"已延期",IF(J42&lt;=项目驾驶舱!$B$3+7,"临近到期","正常")))))</f>
        <v>正常</v>
      </c>
      <c r="AD42" s="24" t="s">
        <v>69</v>
      </c>
      <c r="AE42" s="24" t="s">
        <v>69</v>
      </c>
    </row>
    <row r="43" ht="17" customHeight="1" spans="1:31">
      <c r="A43" s="24" t="s">
        <v>160</v>
      </c>
      <c r="B43" s="24" t="s">
        <v>92</v>
      </c>
      <c r="C43" s="24" t="s">
        <v>161</v>
      </c>
      <c r="D43" s="24" t="s">
        <v>162</v>
      </c>
      <c r="E43" s="24" t="s">
        <v>64</v>
      </c>
      <c r="F43" s="24" t="s">
        <v>25</v>
      </c>
      <c r="G43" s="24" t="str">
        <f t="shared" si="6"/>
        <v>已完成</v>
      </c>
      <c r="H43" s="24" t="str">
        <f t="shared" si="1"/>
        <v>郑士旺</v>
      </c>
      <c r="I43" s="26">
        <f t="shared" si="2"/>
        <v>46209</v>
      </c>
      <c r="J43" s="26">
        <f t="shared" si="3"/>
        <v>46261</v>
      </c>
      <c r="K43" s="26">
        <v>46261</v>
      </c>
      <c r="L43" s="24" t="s">
        <v>65</v>
      </c>
      <c r="M43" s="24" t="s">
        <v>3</v>
      </c>
      <c r="N43" s="26">
        <v>46209</v>
      </c>
      <c r="O43" s="26">
        <v>46213</v>
      </c>
      <c r="P43" s="24" t="s">
        <v>66</v>
      </c>
      <c r="Q43" s="24" t="s">
        <v>3</v>
      </c>
      <c r="R43" s="26">
        <v>46230</v>
      </c>
      <c r="S43" s="26">
        <v>46262</v>
      </c>
      <c r="T43" s="24" t="s">
        <v>67</v>
      </c>
      <c r="U43" s="24" t="s">
        <v>3</v>
      </c>
      <c r="V43" s="26">
        <v>46230</v>
      </c>
      <c r="W43" s="26">
        <v>46262</v>
      </c>
      <c r="X43" s="24" t="s">
        <v>68</v>
      </c>
      <c r="Y43" s="24" t="s">
        <v>3</v>
      </c>
      <c r="Z43" s="26">
        <v>46253</v>
      </c>
      <c r="AA43" s="26">
        <v>46269</v>
      </c>
      <c r="AB43" s="44">
        <f t="shared" si="4"/>
        <v>1</v>
      </c>
      <c r="AC43" s="24" t="str">
        <f>IF(G43="已完成","正常",IF(OR(G43="暂停",G43="挂起"),"暂停",IF(J43="","日期缺失",IF(J43&lt;项目驾驶舱!$B$3,"已延期",IF(J43&lt;=项目驾驶舱!$B$3+7,"临近到期","正常")))))</f>
        <v>正常</v>
      </c>
      <c r="AD43" s="24" t="s">
        <v>69</v>
      </c>
      <c r="AE43" s="24" t="s">
        <v>69</v>
      </c>
    </row>
    <row r="44" ht="17" customHeight="1" spans="1:31">
      <c r="A44" s="24" t="s">
        <v>163</v>
      </c>
      <c r="B44" s="24" t="s">
        <v>92</v>
      </c>
      <c r="C44" s="24" t="s">
        <v>161</v>
      </c>
      <c r="D44" s="24" t="s">
        <v>164</v>
      </c>
      <c r="E44" s="24" t="s">
        <v>64</v>
      </c>
      <c r="F44" s="24" t="s">
        <v>25</v>
      </c>
      <c r="G44" s="24" t="str">
        <f t="shared" si="6"/>
        <v>已完成</v>
      </c>
      <c r="H44" s="24" t="str">
        <f t="shared" si="1"/>
        <v>郑士旺</v>
      </c>
      <c r="I44" s="26">
        <f t="shared" si="2"/>
        <v>46209</v>
      </c>
      <c r="J44" s="26">
        <f t="shared" si="3"/>
        <v>46261</v>
      </c>
      <c r="K44" s="26">
        <v>46261</v>
      </c>
      <c r="L44" s="24" t="s">
        <v>65</v>
      </c>
      <c r="M44" s="24" t="s">
        <v>3</v>
      </c>
      <c r="N44" s="26">
        <v>46209</v>
      </c>
      <c r="O44" s="26">
        <v>46213</v>
      </c>
      <c r="P44" s="24" t="s">
        <v>66</v>
      </c>
      <c r="Q44" s="24" t="s">
        <v>3</v>
      </c>
      <c r="R44" s="26">
        <v>46230</v>
      </c>
      <c r="S44" s="26">
        <v>46262</v>
      </c>
      <c r="T44" s="24" t="s">
        <v>67</v>
      </c>
      <c r="U44" s="24" t="s">
        <v>3</v>
      </c>
      <c r="V44" s="26">
        <v>46230</v>
      </c>
      <c r="W44" s="26">
        <v>46262</v>
      </c>
      <c r="X44" s="24" t="s">
        <v>68</v>
      </c>
      <c r="Y44" s="24" t="s">
        <v>3</v>
      </c>
      <c r="Z44" s="26">
        <v>46253</v>
      </c>
      <c r="AA44" s="26">
        <v>46269</v>
      </c>
      <c r="AB44" s="44">
        <f t="shared" si="4"/>
        <v>1</v>
      </c>
      <c r="AC44" s="24" t="str">
        <f>IF(G44="已完成","正常",IF(OR(G44="暂停",G44="挂起"),"暂停",IF(J44="","日期缺失",IF(J44&lt;项目驾驶舱!$B$3,"已延期",IF(J44&lt;=项目驾驶舱!$B$3+7,"临近到期","正常")))))</f>
        <v>正常</v>
      </c>
      <c r="AD44" s="24" t="s">
        <v>69</v>
      </c>
      <c r="AE44" s="24" t="s">
        <v>69</v>
      </c>
    </row>
    <row r="45" ht="17" customHeight="1" spans="1:31">
      <c r="A45" s="24" t="s">
        <v>165</v>
      </c>
      <c r="B45" s="24" t="s">
        <v>92</v>
      </c>
      <c r="C45" s="24" t="s">
        <v>161</v>
      </c>
      <c r="D45" s="24" t="s">
        <v>166</v>
      </c>
      <c r="E45" s="24" t="s">
        <v>64</v>
      </c>
      <c r="F45" s="24" t="s">
        <v>25</v>
      </c>
      <c r="G45" s="24" t="str">
        <f t="shared" si="6"/>
        <v>已完成</v>
      </c>
      <c r="H45" s="24" t="str">
        <f t="shared" si="1"/>
        <v>郑士旺</v>
      </c>
      <c r="I45" s="26">
        <f t="shared" si="2"/>
        <v>46209</v>
      </c>
      <c r="J45" s="26">
        <f t="shared" si="3"/>
        <v>46261</v>
      </c>
      <c r="K45" s="26">
        <v>46261</v>
      </c>
      <c r="L45" s="24" t="s">
        <v>65</v>
      </c>
      <c r="M45" s="24" t="s">
        <v>3</v>
      </c>
      <c r="N45" s="26">
        <v>46209</v>
      </c>
      <c r="O45" s="26">
        <v>46213</v>
      </c>
      <c r="P45" s="24" t="s">
        <v>66</v>
      </c>
      <c r="Q45" s="24" t="s">
        <v>3</v>
      </c>
      <c r="R45" s="26">
        <v>46230</v>
      </c>
      <c r="S45" s="26">
        <v>46262</v>
      </c>
      <c r="T45" s="24" t="s">
        <v>67</v>
      </c>
      <c r="U45" s="24" t="s">
        <v>3</v>
      </c>
      <c r="V45" s="26">
        <v>46230</v>
      </c>
      <c r="W45" s="26">
        <v>46262</v>
      </c>
      <c r="X45" s="24" t="s">
        <v>68</v>
      </c>
      <c r="Y45" s="24" t="s">
        <v>3</v>
      </c>
      <c r="Z45" s="26">
        <v>46253</v>
      </c>
      <c r="AA45" s="26">
        <v>46269</v>
      </c>
      <c r="AB45" s="44">
        <f t="shared" si="4"/>
        <v>1</v>
      </c>
      <c r="AC45" s="24" t="str">
        <f>IF(G45="已完成","正常",IF(OR(G45="暂停",G45="挂起"),"暂停",IF(J45="","日期缺失",IF(J45&lt;项目驾驶舱!$B$3,"已延期",IF(J45&lt;=项目驾驶舱!$B$3+7,"临近到期","正常")))))</f>
        <v>正常</v>
      </c>
      <c r="AD45" s="24" t="s">
        <v>69</v>
      </c>
      <c r="AE45" s="24" t="s">
        <v>69</v>
      </c>
    </row>
    <row r="46" ht="17" customHeight="1" spans="1:31">
      <c r="A46" s="24" t="s">
        <v>167</v>
      </c>
      <c r="B46" s="24" t="s">
        <v>92</v>
      </c>
      <c r="C46" s="24" t="s">
        <v>168</v>
      </c>
      <c r="D46" s="24" t="s">
        <v>169</v>
      </c>
      <c r="E46" s="24" t="s">
        <v>64</v>
      </c>
      <c r="F46" s="24" t="s">
        <v>26</v>
      </c>
      <c r="G46" s="24" t="str">
        <f t="shared" si="6"/>
        <v>已完成</v>
      </c>
      <c r="H46" s="24" t="str">
        <f t="shared" si="1"/>
        <v>郑士旺</v>
      </c>
      <c r="I46" s="26">
        <f t="shared" si="2"/>
        <v>46209</v>
      </c>
      <c r="J46" s="26">
        <f t="shared" si="3"/>
        <v>46269</v>
      </c>
      <c r="K46" s="26"/>
      <c r="L46" s="24" t="s">
        <v>65</v>
      </c>
      <c r="M46" s="24" t="s">
        <v>3</v>
      </c>
      <c r="N46" s="26">
        <v>46209</v>
      </c>
      <c r="O46" s="26">
        <v>46213</v>
      </c>
      <c r="P46" s="24" t="s">
        <v>66</v>
      </c>
      <c r="Q46" s="24" t="s">
        <v>3</v>
      </c>
      <c r="R46" s="26">
        <v>46230</v>
      </c>
      <c r="S46" s="26">
        <v>46262</v>
      </c>
      <c r="T46" s="24" t="s">
        <v>67</v>
      </c>
      <c r="U46" s="24" t="s">
        <v>3</v>
      </c>
      <c r="V46" s="26">
        <v>46230</v>
      </c>
      <c r="W46" s="26">
        <v>46262</v>
      </c>
      <c r="X46" s="24" t="s">
        <v>68</v>
      </c>
      <c r="Y46" s="24" t="s">
        <v>3</v>
      </c>
      <c r="Z46" s="26">
        <v>46253</v>
      </c>
      <c r="AA46" s="26">
        <v>46269</v>
      </c>
      <c r="AB46" s="44">
        <f t="shared" si="4"/>
        <v>1</v>
      </c>
      <c r="AC46" s="24" t="str">
        <f>IF(G46="已完成","正常",IF(OR(G46="暂停",G46="挂起"),"暂停",IF(J46="","日期缺失",IF(J46&lt;项目驾驶舱!$B$3,"已延期",IF(J46&lt;=项目驾驶舱!$B$3+7,"临近到期","正常")))))</f>
        <v>正常</v>
      </c>
      <c r="AD46" s="24" t="s">
        <v>69</v>
      </c>
      <c r="AE46" s="24" t="s">
        <v>69</v>
      </c>
    </row>
    <row r="47" ht="17" customHeight="1" spans="1:31">
      <c r="A47" s="24" t="s">
        <v>170</v>
      </c>
      <c r="B47" s="24" t="s">
        <v>92</v>
      </c>
      <c r="C47" s="24" t="s">
        <v>168</v>
      </c>
      <c r="D47" s="24" t="s">
        <v>171</v>
      </c>
      <c r="E47" s="24" t="s">
        <v>64</v>
      </c>
      <c r="F47" s="24" t="s">
        <v>26</v>
      </c>
      <c r="G47" s="24" t="str">
        <f t="shared" si="6"/>
        <v>已完成</v>
      </c>
      <c r="H47" s="24" t="str">
        <f t="shared" si="1"/>
        <v>郑士旺</v>
      </c>
      <c r="I47" s="26">
        <f t="shared" si="2"/>
        <v>46209</v>
      </c>
      <c r="J47" s="26">
        <f t="shared" si="3"/>
        <v>46269</v>
      </c>
      <c r="K47" s="26"/>
      <c r="L47" s="24" t="s">
        <v>65</v>
      </c>
      <c r="M47" s="24" t="s">
        <v>3</v>
      </c>
      <c r="N47" s="26">
        <v>46209</v>
      </c>
      <c r="O47" s="26">
        <v>46213</v>
      </c>
      <c r="P47" s="24" t="s">
        <v>66</v>
      </c>
      <c r="Q47" s="24" t="s">
        <v>3</v>
      </c>
      <c r="R47" s="26">
        <v>46230</v>
      </c>
      <c r="S47" s="26">
        <v>46262</v>
      </c>
      <c r="T47" s="24" t="s">
        <v>67</v>
      </c>
      <c r="U47" s="24" t="s">
        <v>3</v>
      </c>
      <c r="V47" s="26">
        <v>46230</v>
      </c>
      <c r="W47" s="26">
        <v>46262</v>
      </c>
      <c r="X47" s="24" t="s">
        <v>68</v>
      </c>
      <c r="Y47" s="24" t="s">
        <v>3</v>
      </c>
      <c r="Z47" s="26">
        <v>46253</v>
      </c>
      <c r="AA47" s="26">
        <v>46269</v>
      </c>
      <c r="AB47" s="44">
        <f t="shared" si="4"/>
        <v>1</v>
      </c>
      <c r="AC47" s="24" t="str">
        <f>IF(G47="已完成","正常",IF(OR(G47="暂停",G47="挂起"),"暂停",IF(J47="","日期缺失",IF(J47&lt;项目驾驶舱!$B$3,"已延期",IF(J47&lt;=项目驾驶舱!$B$3+7,"临近到期","正常")))))</f>
        <v>正常</v>
      </c>
      <c r="AD47" s="24" t="s">
        <v>69</v>
      </c>
      <c r="AE47" s="24" t="s">
        <v>69</v>
      </c>
    </row>
    <row r="48" ht="17" customHeight="1" spans="1:31">
      <c r="A48" s="24" t="s">
        <v>172</v>
      </c>
      <c r="B48" s="24" t="s">
        <v>92</v>
      </c>
      <c r="C48" s="24" t="s">
        <v>168</v>
      </c>
      <c r="D48" s="24" t="s">
        <v>173</v>
      </c>
      <c r="E48" s="24" t="s">
        <v>64</v>
      </c>
      <c r="F48" s="24" t="s">
        <v>26</v>
      </c>
      <c r="G48" s="24" t="str">
        <f t="shared" si="6"/>
        <v>已完成</v>
      </c>
      <c r="H48" s="24" t="str">
        <f t="shared" si="1"/>
        <v>郑士旺</v>
      </c>
      <c r="I48" s="26">
        <f t="shared" si="2"/>
        <v>46209</v>
      </c>
      <c r="J48" s="26">
        <f t="shared" si="3"/>
        <v>46269</v>
      </c>
      <c r="K48" s="26"/>
      <c r="L48" s="24" t="s">
        <v>65</v>
      </c>
      <c r="M48" s="24" t="s">
        <v>3</v>
      </c>
      <c r="N48" s="26">
        <v>46209</v>
      </c>
      <c r="O48" s="26">
        <v>46213</v>
      </c>
      <c r="P48" s="24" t="s">
        <v>66</v>
      </c>
      <c r="Q48" s="24" t="s">
        <v>3</v>
      </c>
      <c r="R48" s="26">
        <v>46230</v>
      </c>
      <c r="S48" s="26">
        <v>46262</v>
      </c>
      <c r="T48" s="24" t="s">
        <v>67</v>
      </c>
      <c r="U48" s="24" t="s">
        <v>3</v>
      </c>
      <c r="V48" s="26">
        <v>46230</v>
      </c>
      <c r="W48" s="26">
        <v>46262</v>
      </c>
      <c r="X48" s="24" t="s">
        <v>68</v>
      </c>
      <c r="Y48" s="24" t="s">
        <v>3</v>
      </c>
      <c r="Z48" s="26">
        <v>46253</v>
      </c>
      <c r="AA48" s="26">
        <v>46269</v>
      </c>
      <c r="AB48" s="44">
        <f t="shared" si="4"/>
        <v>1</v>
      </c>
      <c r="AC48" s="24" t="str">
        <f>IF(G48="已完成","正常",IF(OR(G48="暂停",G48="挂起"),"暂停",IF(J48="","日期缺失",IF(J48&lt;项目驾驶舱!$B$3,"已延期",IF(J48&lt;=项目驾驶舱!$B$3+7,"临近到期","正常")))))</f>
        <v>正常</v>
      </c>
      <c r="AD48" s="24" t="s">
        <v>69</v>
      </c>
      <c r="AE48" s="24" t="s">
        <v>69</v>
      </c>
    </row>
    <row r="49" ht="17" customHeight="1" spans="1:31">
      <c r="A49" s="24" t="s">
        <v>174</v>
      </c>
      <c r="B49" s="24" t="s">
        <v>92</v>
      </c>
      <c r="C49" s="24" t="s">
        <v>175</v>
      </c>
      <c r="D49" s="24" t="s">
        <v>176</v>
      </c>
      <c r="E49" s="24" t="s">
        <v>64</v>
      </c>
      <c r="F49" s="24" t="s">
        <v>26</v>
      </c>
      <c r="G49" s="24" t="str">
        <f t="shared" si="6"/>
        <v>已完成</v>
      </c>
      <c r="H49" s="24" t="str">
        <f t="shared" si="1"/>
        <v>郑士旺</v>
      </c>
      <c r="I49" s="26">
        <f t="shared" si="2"/>
        <v>46230</v>
      </c>
      <c r="J49" s="26">
        <f t="shared" si="3"/>
        <v>46353</v>
      </c>
      <c r="K49" s="26" t="s">
        <v>64</v>
      </c>
      <c r="L49" s="24" t="s">
        <v>65</v>
      </c>
      <c r="M49" s="24" t="s">
        <v>3</v>
      </c>
      <c r="N49" s="26">
        <v>46230</v>
      </c>
      <c r="O49" s="26">
        <v>46241</v>
      </c>
      <c r="P49" s="24" t="s">
        <v>66</v>
      </c>
      <c r="Q49" s="24" t="s">
        <v>3</v>
      </c>
      <c r="R49" s="26">
        <v>46307</v>
      </c>
      <c r="S49" s="26">
        <v>46339</v>
      </c>
      <c r="T49" s="24" t="s">
        <v>67</v>
      </c>
      <c r="U49" s="24" t="s">
        <v>3</v>
      </c>
      <c r="V49" s="26">
        <v>46307</v>
      </c>
      <c r="W49" s="26">
        <v>46339</v>
      </c>
      <c r="X49" s="24" t="s">
        <v>68</v>
      </c>
      <c r="Y49" s="24" t="s">
        <v>3</v>
      </c>
      <c r="Z49" s="26">
        <v>46342</v>
      </c>
      <c r="AA49" s="26">
        <v>46353</v>
      </c>
      <c r="AB49" s="44">
        <f t="shared" si="4"/>
        <v>1</v>
      </c>
      <c r="AC49" s="24" t="str">
        <f>IF(G49="已完成","正常",IF(OR(G49="暂停",G49="挂起"),"暂停",IF(J49="","日期缺失",IF(J49&lt;项目驾驶舱!$B$3,"已延期",IF(J49&lt;=项目驾驶舱!$B$3+7,"临近到期","正常")))))</f>
        <v>正常</v>
      </c>
      <c r="AD49" s="24" t="s">
        <v>69</v>
      </c>
      <c r="AE49" s="24" t="s">
        <v>69</v>
      </c>
    </row>
    <row r="50" ht="17" customHeight="1" spans="1:31">
      <c r="A50" s="24" t="s">
        <v>177</v>
      </c>
      <c r="B50" s="24" t="s">
        <v>92</v>
      </c>
      <c r="C50" s="24" t="s">
        <v>175</v>
      </c>
      <c r="D50" s="24" t="s">
        <v>178</v>
      </c>
      <c r="E50" s="24" t="s">
        <v>64</v>
      </c>
      <c r="F50" s="24" t="s">
        <v>26</v>
      </c>
      <c r="G50" s="24" t="str">
        <f>IF(OR(M50="挂起",M50="暂停",Q50="挂起",Q50="暂停",U50="挂起",U50="暂停",Y50="挂起",Y50="暂停"),"暂停","未开始")</f>
        <v>未开始</v>
      </c>
      <c r="H50" s="24" t="str">
        <f t="shared" si="1"/>
        <v>郑士旺</v>
      </c>
      <c r="I50" s="26">
        <f t="shared" si="2"/>
        <v>46230</v>
      </c>
      <c r="J50" s="26">
        <f t="shared" si="3"/>
        <v>46353</v>
      </c>
      <c r="K50" s="26"/>
      <c r="L50" s="24" t="s">
        <v>65</v>
      </c>
      <c r="M50" s="24" t="s">
        <v>5</v>
      </c>
      <c r="N50" s="26">
        <v>46230</v>
      </c>
      <c r="O50" s="26">
        <v>46241</v>
      </c>
      <c r="P50" s="24" t="s">
        <v>66</v>
      </c>
      <c r="Q50" s="24" t="s">
        <v>5</v>
      </c>
      <c r="R50" s="26">
        <v>46307</v>
      </c>
      <c r="S50" s="26">
        <v>46339</v>
      </c>
      <c r="T50" s="24" t="s">
        <v>67</v>
      </c>
      <c r="U50" s="24" t="s">
        <v>5</v>
      </c>
      <c r="V50" s="26">
        <v>46307</v>
      </c>
      <c r="W50" s="26">
        <v>46339</v>
      </c>
      <c r="X50" s="24" t="s">
        <v>68</v>
      </c>
      <c r="Y50" s="24" t="s">
        <v>5</v>
      </c>
      <c r="Z50" s="26">
        <v>46342</v>
      </c>
      <c r="AA50" s="26">
        <v>46353</v>
      </c>
      <c r="AB50" s="44">
        <f t="shared" si="4"/>
        <v>0</v>
      </c>
      <c r="AC50" s="24" t="str">
        <f>IF(G50="已完成","正常",IF(OR(G50="暂停",G50="挂起"),"暂停",IF(J50="","日期缺失",IF(J50&lt;项目驾驶舱!$B$3,"已延期",IF(J50&lt;=项目驾驶舱!$B$3+7,"临近到期","正常")))))</f>
        <v>正常</v>
      </c>
      <c r="AD50" s="24" t="s">
        <v>69</v>
      </c>
      <c r="AE50" s="24" t="s">
        <v>69</v>
      </c>
    </row>
    <row r="51" ht="17" customHeight="1" spans="1:31">
      <c r="A51" s="24" t="s">
        <v>179</v>
      </c>
      <c r="B51" s="24" t="s">
        <v>92</v>
      </c>
      <c r="C51" s="24" t="s">
        <v>180</v>
      </c>
      <c r="D51" s="24" t="s">
        <v>178</v>
      </c>
      <c r="E51" s="24" t="s">
        <v>64</v>
      </c>
      <c r="F51" s="24" t="s">
        <v>26</v>
      </c>
      <c r="G51" s="24" t="str">
        <f>IF(OR(M51="挂起",M51="暂停",Q51="挂起",Q51="暂停",U51="挂起",U51="暂停",Y51="挂起",Y51="暂停"),"暂停","未开始")</f>
        <v>未开始</v>
      </c>
      <c r="H51" s="24" t="str">
        <f t="shared" si="1"/>
        <v>郑士旺</v>
      </c>
      <c r="I51" s="26">
        <f t="shared" si="2"/>
        <v>46230</v>
      </c>
      <c r="J51" s="26">
        <f t="shared" si="3"/>
        <v>46261</v>
      </c>
      <c r="K51" s="26">
        <v>46261</v>
      </c>
      <c r="L51" s="24" t="s">
        <v>65</v>
      </c>
      <c r="M51" s="24" t="s">
        <v>5</v>
      </c>
      <c r="N51" s="26">
        <v>46230</v>
      </c>
      <c r="O51" s="26">
        <v>46241</v>
      </c>
      <c r="P51" s="24" t="s">
        <v>66</v>
      </c>
      <c r="Q51" s="24" t="s">
        <v>5</v>
      </c>
      <c r="R51" s="26">
        <v>46307</v>
      </c>
      <c r="S51" s="26">
        <v>46339</v>
      </c>
      <c r="T51" s="24" t="s">
        <v>67</v>
      </c>
      <c r="U51" s="24" t="s">
        <v>5</v>
      </c>
      <c r="V51" s="26">
        <v>46307</v>
      </c>
      <c r="W51" s="26">
        <v>46339</v>
      </c>
      <c r="X51" s="24" t="s">
        <v>68</v>
      </c>
      <c r="Y51" s="24" t="s">
        <v>5</v>
      </c>
      <c r="Z51" s="26">
        <v>46342</v>
      </c>
      <c r="AA51" s="26">
        <v>46353</v>
      </c>
      <c r="AB51" s="44">
        <f t="shared" si="4"/>
        <v>0</v>
      </c>
      <c r="AC51" s="24" t="str">
        <f>IF(G51="已完成","正常",IF(OR(G51="暂停",G51="挂起"),"暂停",IF(J51="","日期缺失",IF(J51&lt;项目驾驶舱!$B$3,"已延期",IF(J51&lt;=项目驾驶舱!$B$3+7,"临近到期","正常")))))</f>
        <v>已延期</v>
      </c>
      <c r="AD51" s="24" t="s">
        <v>69</v>
      </c>
      <c r="AE51" s="24" t="s">
        <v>69</v>
      </c>
    </row>
    <row r="52" ht="17" customHeight="1" spans="1:31">
      <c r="A52" s="24" t="s">
        <v>181</v>
      </c>
      <c r="B52" s="24" t="s">
        <v>92</v>
      </c>
      <c r="C52" s="24" t="s">
        <v>182</v>
      </c>
      <c r="D52" s="24" t="s">
        <v>183</v>
      </c>
      <c r="E52" s="24" t="s">
        <v>64</v>
      </c>
      <c r="F52" s="24" t="s">
        <v>26</v>
      </c>
      <c r="G52" s="24" t="str">
        <f>IF(OR(M52="挂起",M52="暂停",Q52="挂起",Q52="暂停",U52="挂起",U52="暂停",Y52="挂起",Y52="暂停"),"暂停","已完成")</f>
        <v>已完成</v>
      </c>
      <c r="H52" s="24" t="str">
        <f t="shared" si="1"/>
        <v>郑士旺</v>
      </c>
      <c r="I52" s="26">
        <f t="shared" si="2"/>
        <v>46230</v>
      </c>
      <c r="J52" s="26">
        <f t="shared" si="3"/>
        <v>46261</v>
      </c>
      <c r="K52" s="26">
        <v>46261</v>
      </c>
      <c r="L52" s="24" t="s">
        <v>65</v>
      </c>
      <c r="M52" s="24" t="s">
        <v>3</v>
      </c>
      <c r="N52" s="26">
        <v>46230</v>
      </c>
      <c r="O52" s="26">
        <v>46241</v>
      </c>
      <c r="P52" s="24" t="s">
        <v>66</v>
      </c>
      <c r="Q52" s="24" t="s">
        <v>3</v>
      </c>
      <c r="R52" s="26">
        <v>46307</v>
      </c>
      <c r="S52" s="26">
        <v>46339</v>
      </c>
      <c r="T52" s="24" t="s">
        <v>67</v>
      </c>
      <c r="U52" s="24" t="s">
        <v>3</v>
      </c>
      <c r="V52" s="26">
        <v>46307</v>
      </c>
      <c r="W52" s="26">
        <v>46339</v>
      </c>
      <c r="X52" s="24" t="s">
        <v>68</v>
      </c>
      <c r="Y52" s="24" t="s">
        <v>3</v>
      </c>
      <c r="Z52" s="26">
        <v>46342</v>
      </c>
      <c r="AA52" s="26">
        <v>46353</v>
      </c>
      <c r="AB52" s="44">
        <f t="shared" si="4"/>
        <v>1</v>
      </c>
      <c r="AC52" s="24" t="str">
        <f>IF(G52="已完成","正常",IF(OR(G52="暂停",G52="挂起"),"暂停",IF(J52="","日期缺失",IF(J52&lt;项目驾驶舱!$B$3,"已延期",IF(J52&lt;=项目驾驶舱!$B$3+7,"临近到期","正常")))))</f>
        <v>正常</v>
      </c>
      <c r="AD52" s="24" t="s">
        <v>69</v>
      </c>
      <c r="AE52" s="24" t="s">
        <v>69</v>
      </c>
    </row>
    <row r="53" ht="17" customHeight="1" spans="1:31">
      <c r="A53" s="24" t="s">
        <v>184</v>
      </c>
      <c r="B53" s="24" t="s">
        <v>92</v>
      </c>
      <c r="C53" s="24" t="s">
        <v>185</v>
      </c>
      <c r="D53" s="24" t="s">
        <v>186</v>
      </c>
      <c r="E53" s="24" t="s">
        <v>64</v>
      </c>
      <c r="F53" s="24" t="s">
        <v>25</v>
      </c>
      <c r="G53" s="24" t="str">
        <f>IF(OR(M53="挂起",M53="暂停",Q53="挂起",Q53="暂停",U53="挂起",U53="暂停",Y53="挂起",Y53="暂停"),"暂停","进行中")</f>
        <v>进行中</v>
      </c>
      <c r="H53" s="24" t="str">
        <f t="shared" si="1"/>
        <v>郑士旺</v>
      </c>
      <c r="I53" s="26">
        <f t="shared" si="2"/>
        <v>46202</v>
      </c>
      <c r="J53" s="26">
        <f t="shared" si="3"/>
        <v>46234</v>
      </c>
      <c r="K53" s="26" t="s">
        <v>64</v>
      </c>
      <c r="L53" s="24" t="s">
        <v>65</v>
      </c>
      <c r="M53" s="24" t="s">
        <v>3</v>
      </c>
      <c r="N53" s="26">
        <v>46202</v>
      </c>
      <c r="O53" s="26">
        <v>46206</v>
      </c>
      <c r="P53" s="24" t="s">
        <v>187</v>
      </c>
      <c r="Q53" s="24" t="s">
        <v>3</v>
      </c>
      <c r="R53" s="26">
        <v>46209</v>
      </c>
      <c r="S53" s="26">
        <v>46227</v>
      </c>
      <c r="T53" s="24" t="s">
        <v>188</v>
      </c>
      <c r="U53" s="24" t="s">
        <v>3</v>
      </c>
      <c r="V53" s="26">
        <v>46209</v>
      </c>
      <c r="W53" s="26">
        <v>46227</v>
      </c>
      <c r="X53" s="24" t="s">
        <v>68</v>
      </c>
      <c r="Y53" s="24" t="s">
        <v>4</v>
      </c>
      <c r="Z53" s="26">
        <v>46216</v>
      </c>
      <c r="AA53" s="26">
        <v>46234</v>
      </c>
      <c r="AB53" s="44">
        <f t="shared" si="4"/>
        <v>0.9</v>
      </c>
      <c r="AC53" s="24" t="str">
        <f>IF(G53="已完成","正常",IF(OR(G53="暂停",G53="挂起"),"暂停",IF(J53="","日期缺失",IF(J53&lt;项目驾驶舱!$B$3,"已延期",IF(J53&lt;=项目驾驶舱!$B$3+7,"临近到期","正常")))))</f>
        <v>已延期</v>
      </c>
      <c r="AD53" s="24" t="s">
        <v>69</v>
      </c>
      <c r="AE53" s="24" t="s">
        <v>69</v>
      </c>
    </row>
    <row r="54" ht="17" customHeight="1" spans="1:31">
      <c r="A54" s="24" t="s">
        <v>189</v>
      </c>
      <c r="B54" s="24" t="s">
        <v>92</v>
      </c>
      <c r="C54" s="24" t="s">
        <v>185</v>
      </c>
      <c r="D54" s="24" t="s">
        <v>190</v>
      </c>
      <c r="E54" s="24" t="s">
        <v>64</v>
      </c>
      <c r="F54" s="24" t="s">
        <v>25</v>
      </c>
      <c r="G54" s="24" t="str">
        <f>IF(OR(M54="挂起",M54="暂停",Q54="挂起",Q54="暂停",U54="挂起",U54="暂停",Y54="挂起",Y54="暂停"),"暂停","进行中")</f>
        <v>进行中</v>
      </c>
      <c r="H54" s="24" t="str">
        <f t="shared" si="1"/>
        <v>郑士旺</v>
      </c>
      <c r="I54" s="26">
        <f t="shared" si="2"/>
        <v>46202</v>
      </c>
      <c r="J54" s="26">
        <f t="shared" si="3"/>
        <v>46261</v>
      </c>
      <c r="K54" s="26">
        <v>46261</v>
      </c>
      <c r="L54" s="24" t="s">
        <v>65</v>
      </c>
      <c r="M54" s="24" t="s">
        <v>3</v>
      </c>
      <c r="N54" s="26">
        <v>46202</v>
      </c>
      <c r="O54" s="26">
        <v>46206</v>
      </c>
      <c r="P54" s="24" t="s">
        <v>187</v>
      </c>
      <c r="Q54" s="24" t="s">
        <v>3</v>
      </c>
      <c r="R54" s="26">
        <v>46209</v>
      </c>
      <c r="S54" s="26">
        <v>46227</v>
      </c>
      <c r="T54" s="24" t="s">
        <v>188</v>
      </c>
      <c r="U54" s="24" t="s">
        <v>3</v>
      </c>
      <c r="V54" s="26">
        <v>46209</v>
      </c>
      <c r="W54" s="26">
        <v>46227</v>
      </c>
      <c r="X54" s="24" t="s">
        <v>68</v>
      </c>
      <c r="Y54" s="24" t="s">
        <v>4</v>
      </c>
      <c r="Z54" s="26">
        <v>46216</v>
      </c>
      <c r="AA54" s="26">
        <v>46234</v>
      </c>
      <c r="AB54" s="44">
        <f t="shared" si="4"/>
        <v>0.9</v>
      </c>
      <c r="AC54" s="24" t="str">
        <f>IF(G54="已完成","正常",IF(OR(G54="暂停",G54="挂起"),"暂停",IF(J54="","日期缺失",IF(J54&lt;项目驾驶舱!$B$3,"已延期",IF(J54&lt;=项目驾驶舱!$B$3+7,"临近到期","正常")))))</f>
        <v>已延期</v>
      </c>
      <c r="AD54" s="24" t="s">
        <v>69</v>
      </c>
      <c r="AE54" s="24" t="s">
        <v>69</v>
      </c>
    </row>
    <row r="55" ht="17" customHeight="1" spans="1:31">
      <c r="A55" s="24" t="s">
        <v>191</v>
      </c>
      <c r="B55" s="24" t="s">
        <v>92</v>
      </c>
      <c r="C55" s="24" t="s">
        <v>185</v>
      </c>
      <c r="D55" s="24" t="s">
        <v>185</v>
      </c>
      <c r="E55" s="24" t="s">
        <v>64</v>
      </c>
      <c r="F55" s="24" t="s">
        <v>25</v>
      </c>
      <c r="G55" s="24" t="str">
        <f>IF(OR(M55="挂起",M55="暂停",Q55="挂起",Q55="暂停",U55="挂起",U55="暂停",Y55="挂起",Y55="暂停"),"暂停","进行中")</f>
        <v>进行中</v>
      </c>
      <c r="H55" s="24" t="str">
        <f t="shared" si="1"/>
        <v>郑士旺</v>
      </c>
      <c r="I55" s="26">
        <f t="shared" si="2"/>
        <v>46202</v>
      </c>
      <c r="J55" s="26">
        <f t="shared" si="3"/>
        <v>46261</v>
      </c>
      <c r="K55" s="26">
        <v>46261</v>
      </c>
      <c r="L55" s="24" t="s">
        <v>65</v>
      </c>
      <c r="M55" s="24" t="s">
        <v>3</v>
      </c>
      <c r="N55" s="26">
        <v>46202</v>
      </c>
      <c r="O55" s="26">
        <v>46206</v>
      </c>
      <c r="P55" s="24" t="s">
        <v>187</v>
      </c>
      <c r="Q55" s="24" t="s">
        <v>3</v>
      </c>
      <c r="R55" s="26">
        <v>46209</v>
      </c>
      <c r="S55" s="26">
        <v>46227</v>
      </c>
      <c r="T55" s="24" t="s">
        <v>188</v>
      </c>
      <c r="U55" s="24" t="s">
        <v>3</v>
      </c>
      <c r="V55" s="26">
        <v>46209</v>
      </c>
      <c r="W55" s="26">
        <v>46227</v>
      </c>
      <c r="X55" s="24" t="s">
        <v>68</v>
      </c>
      <c r="Y55" s="24" t="s">
        <v>4</v>
      </c>
      <c r="Z55" s="26">
        <v>46216</v>
      </c>
      <c r="AA55" s="26">
        <v>46234</v>
      </c>
      <c r="AB55" s="44">
        <f t="shared" si="4"/>
        <v>0.9</v>
      </c>
      <c r="AC55" s="24" t="str">
        <f>IF(G55="已完成","正常",IF(OR(G55="暂停",G55="挂起"),"暂停",IF(J55="","日期缺失",IF(J55&lt;项目驾驶舱!$B$3,"已延期",IF(J55&lt;=项目驾驶舱!$B$3+7,"临近到期","正常")))))</f>
        <v>已延期</v>
      </c>
      <c r="AD55" s="24" t="s">
        <v>69</v>
      </c>
      <c r="AE55" s="24" t="s">
        <v>69</v>
      </c>
    </row>
    <row r="56" ht="34" customHeight="1" spans="1:31">
      <c r="A56" s="24" t="s">
        <v>192</v>
      </c>
      <c r="B56" s="24" t="s">
        <v>92</v>
      </c>
      <c r="C56" s="24" t="s">
        <v>193</v>
      </c>
      <c r="D56" s="24" t="s">
        <v>194</v>
      </c>
      <c r="E56" s="24" t="s">
        <v>64</v>
      </c>
      <c r="F56" s="24" t="s">
        <v>26</v>
      </c>
      <c r="G56" s="24" t="str">
        <f>IF(OR(M56="挂起",M56="暂停",Q56="挂起",Q56="暂停",U56="挂起",U56="暂停",Y56="挂起",Y56="暂停"),"暂停","未开始")</f>
        <v>未开始</v>
      </c>
      <c r="H56" s="24" t="str">
        <f t="shared" si="1"/>
        <v>郑士旺</v>
      </c>
      <c r="I56" s="26">
        <f t="shared" si="2"/>
        <v>46223</v>
      </c>
      <c r="J56" s="26">
        <f t="shared" si="3"/>
        <v>46224</v>
      </c>
      <c r="K56" s="26">
        <v>46224</v>
      </c>
      <c r="L56" s="24" t="s">
        <v>65</v>
      </c>
      <c r="M56" s="24" t="s">
        <v>5</v>
      </c>
      <c r="N56" s="26">
        <v>46223</v>
      </c>
      <c r="O56" s="26">
        <v>46227</v>
      </c>
      <c r="P56" s="24" t="s">
        <v>66</v>
      </c>
      <c r="Q56" s="24" t="s">
        <v>5</v>
      </c>
      <c r="R56" s="26">
        <v>46272</v>
      </c>
      <c r="S56" s="26">
        <v>46304</v>
      </c>
      <c r="T56" s="24" t="s">
        <v>67</v>
      </c>
      <c r="U56" s="24" t="s">
        <v>5</v>
      </c>
      <c r="V56" s="26">
        <v>46272</v>
      </c>
      <c r="W56" s="26">
        <v>46304</v>
      </c>
      <c r="X56" s="24" t="s">
        <v>68</v>
      </c>
      <c r="Y56" s="24" t="s">
        <v>5</v>
      </c>
      <c r="Z56" s="26">
        <v>46307</v>
      </c>
      <c r="AA56" s="26">
        <v>46318</v>
      </c>
      <c r="AB56" s="44">
        <f t="shared" si="4"/>
        <v>0</v>
      </c>
      <c r="AC56" s="24" t="str">
        <f>IF(G56="已完成","正常",IF(OR(G56="暂停",G56="挂起"),"暂停",IF(J56="","日期缺失",IF(J56&lt;项目驾驶舱!$B$3,"已延期",IF(J56&lt;=项目驾驶舱!$B$3+7,"临近到期","正常")))))</f>
        <v>已延期</v>
      </c>
      <c r="AD56" s="24" t="s">
        <v>69</v>
      </c>
      <c r="AE56" s="24" t="s">
        <v>69</v>
      </c>
    </row>
    <row r="57" ht="34" customHeight="1" spans="1:31">
      <c r="A57" s="24" t="s">
        <v>195</v>
      </c>
      <c r="B57" s="24" t="s">
        <v>92</v>
      </c>
      <c r="C57" s="24" t="s">
        <v>193</v>
      </c>
      <c r="D57" s="24" t="s">
        <v>196</v>
      </c>
      <c r="E57" s="24" t="s">
        <v>64</v>
      </c>
      <c r="F57" s="24" t="s">
        <v>26</v>
      </c>
      <c r="G57" s="24" t="str">
        <f>IF(OR(M57="挂起",M57="暂停",Q57="挂起",Q57="暂停",U57="挂起",U57="暂停",Y57="挂起",Y57="暂停"),"暂停","未开始")</f>
        <v>未开始</v>
      </c>
      <c r="H57" s="24" t="str">
        <f t="shared" si="1"/>
        <v>郑士旺</v>
      </c>
      <c r="I57" s="26">
        <f t="shared" si="2"/>
        <v>46223</v>
      </c>
      <c r="J57" s="26">
        <f t="shared" si="3"/>
        <v>46224</v>
      </c>
      <c r="K57" s="26">
        <v>46224</v>
      </c>
      <c r="L57" s="24" t="s">
        <v>65</v>
      </c>
      <c r="M57" s="24" t="s">
        <v>5</v>
      </c>
      <c r="N57" s="26">
        <v>46223</v>
      </c>
      <c r="O57" s="26">
        <v>46227</v>
      </c>
      <c r="P57" s="24" t="s">
        <v>66</v>
      </c>
      <c r="Q57" s="24" t="s">
        <v>5</v>
      </c>
      <c r="R57" s="26">
        <v>46272</v>
      </c>
      <c r="S57" s="26">
        <v>46304</v>
      </c>
      <c r="T57" s="24" t="s">
        <v>67</v>
      </c>
      <c r="U57" s="24" t="s">
        <v>5</v>
      </c>
      <c r="V57" s="26">
        <v>46272</v>
      </c>
      <c r="W57" s="26">
        <v>46304</v>
      </c>
      <c r="X57" s="24" t="s">
        <v>68</v>
      </c>
      <c r="Y57" s="24" t="s">
        <v>5</v>
      </c>
      <c r="Z57" s="26">
        <v>46307</v>
      </c>
      <c r="AA57" s="26">
        <v>46318</v>
      </c>
      <c r="AB57" s="44">
        <f t="shared" si="4"/>
        <v>0</v>
      </c>
      <c r="AC57" s="24" t="str">
        <f>IF(G57="已完成","正常",IF(OR(G57="暂停",G57="挂起"),"暂停",IF(J57="","日期缺失",IF(J57&lt;项目驾驶舱!$B$3,"已延期",IF(J57&lt;=项目驾驶舱!$B$3+7,"临近到期","正常")))))</f>
        <v>已延期</v>
      </c>
      <c r="AD57" s="24" t="s">
        <v>69</v>
      </c>
      <c r="AE57" s="24" t="s">
        <v>69</v>
      </c>
    </row>
    <row r="58" ht="34" customHeight="1" spans="1:31">
      <c r="A58" s="24" t="s">
        <v>197</v>
      </c>
      <c r="B58" s="24" t="s">
        <v>92</v>
      </c>
      <c r="C58" s="24" t="s">
        <v>193</v>
      </c>
      <c r="D58" s="24" t="s">
        <v>198</v>
      </c>
      <c r="E58" s="24" t="s">
        <v>64</v>
      </c>
      <c r="F58" s="24" t="s">
        <v>26</v>
      </c>
      <c r="G58" s="24" t="str">
        <f>IF(OR(M58="挂起",M58="暂停",Q58="挂起",Q58="暂停",U58="挂起",U58="暂停",Y58="挂起",Y58="暂停"),"暂停","未开始")</f>
        <v>未开始</v>
      </c>
      <c r="H58" s="24" t="str">
        <f t="shared" si="1"/>
        <v>郑士旺</v>
      </c>
      <c r="I58" s="26">
        <f t="shared" si="2"/>
        <v>46223</v>
      </c>
      <c r="J58" s="26">
        <f t="shared" si="3"/>
        <v>46224</v>
      </c>
      <c r="K58" s="26">
        <v>46224</v>
      </c>
      <c r="L58" s="24" t="s">
        <v>65</v>
      </c>
      <c r="M58" s="24" t="s">
        <v>5</v>
      </c>
      <c r="N58" s="26">
        <v>46223</v>
      </c>
      <c r="O58" s="26">
        <v>46227</v>
      </c>
      <c r="P58" s="24" t="s">
        <v>66</v>
      </c>
      <c r="Q58" s="24" t="s">
        <v>5</v>
      </c>
      <c r="R58" s="26">
        <v>46272</v>
      </c>
      <c r="S58" s="26">
        <v>46304</v>
      </c>
      <c r="T58" s="24" t="s">
        <v>67</v>
      </c>
      <c r="U58" s="24" t="s">
        <v>5</v>
      </c>
      <c r="V58" s="26">
        <v>46272</v>
      </c>
      <c r="W58" s="26">
        <v>46304</v>
      </c>
      <c r="X58" s="24" t="s">
        <v>68</v>
      </c>
      <c r="Y58" s="24" t="s">
        <v>5</v>
      </c>
      <c r="Z58" s="26">
        <v>46307</v>
      </c>
      <c r="AA58" s="26">
        <v>46318</v>
      </c>
      <c r="AB58" s="44">
        <f t="shared" si="4"/>
        <v>0</v>
      </c>
      <c r="AC58" s="24" t="str">
        <f>IF(G58="已完成","正常",IF(OR(G58="暂停",G58="挂起"),"暂停",IF(J58="","日期缺失",IF(J58&lt;项目驾驶舱!$B$3,"已延期",IF(J58&lt;=项目驾驶舱!$B$3+7,"临近到期","正常")))))</f>
        <v>已延期</v>
      </c>
      <c r="AD58" s="24" t="s">
        <v>69</v>
      </c>
      <c r="AE58" s="24" t="s">
        <v>69</v>
      </c>
    </row>
    <row r="59" ht="17" customHeight="1" spans="1:31">
      <c r="A59" s="24" t="s">
        <v>199</v>
      </c>
      <c r="B59" s="24" t="s">
        <v>92</v>
      </c>
      <c r="C59" s="24" t="s">
        <v>193</v>
      </c>
      <c r="D59" s="24" t="s">
        <v>200</v>
      </c>
      <c r="E59" s="24" t="s">
        <v>64</v>
      </c>
      <c r="F59" s="24" t="s">
        <v>26</v>
      </c>
      <c r="G59" s="24" t="str">
        <f>IF(OR(M59="挂起",M59="暂停",Q59="挂起",Q59="暂停",U59="挂起",U59="暂停",Y59="挂起",Y59="暂停"),"暂停","未开始")</f>
        <v>未开始</v>
      </c>
      <c r="H59" s="24" t="str">
        <f t="shared" si="1"/>
        <v>郑士旺</v>
      </c>
      <c r="I59" s="26">
        <f t="shared" si="2"/>
        <v>46223</v>
      </c>
      <c r="J59" s="26">
        <f t="shared" si="3"/>
        <v>46318</v>
      </c>
      <c r="K59" s="26"/>
      <c r="L59" s="24" t="s">
        <v>65</v>
      </c>
      <c r="M59" s="24" t="s">
        <v>5</v>
      </c>
      <c r="N59" s="26">
        <v>46223</v>
      </c>
      <c r="O59" s="26">
        <v>46227</v>
      </c>
      <c r="P59" s="24" t="s">
        <v>66</v>
      </c>
      <c r="Q59" s="24" t="s">
        <v>5</v>
      </c>
      <c r="R59" s="26">
        <v>46272</v>
      </c>
      <c r="S59" s="26">
        <v>46304</v>
      </c>
      <c r="T59" s="24" t="s">
        <v>67</v>
      </c>
      <c r="U59" s="24" t="s">
        <v>5</v>
      </c>
      <c r="V59" s="26">
        <v>46272</v>
      </c>
      <c r="W59" s="26">
        <v>46304</v>
      </c>
      <c r="X59" s="24" t="s">
        <v>68</v>
      </c>
      <c r="Y59" s="24" t="s">
        <v>5</v>
      </c>
      <c r="Z59" s="26">
        <v>46307</v>
      </c>
      <c r="AA59" s="26">
        <v>46318</v>
      </c>
      <c r="AB59" s="44">
        <f t="shared" si="4"/>
        <v>0</v>
      </c>
      <c r="AC59" s="24" t="str">
        <f>IF(G59="已完成","正常",IF(OR(G59="暂停",G59="挂起"),"暂停",IF(J59="","日期缺失",IF(J59&lt;项目驾驶舱!$B$3,"已延期",IF(J59&lt;=项目驾驶舱!$B$3+7,"临近到期","正常")))))</f>
        <v>正常</v>
      </c>
      <c r="AD59" s="24" t="s">
        <v>69</v>
      </c>
      <c r="AE59" s="24" t="s">
        <v>69</v>
      </c>
    </row>
    <row r="60" ht="17" customHeight="1" spans="1:31">
      <c r="A60" s="24" t="s">
        <v>201</v>
      </c>
      <c r="B60" s="24" t="s">
        <v>92</v>
      </c>
      <c r="C60" s="24" t="s">
        <v>193</v>
      </c>
      <c r="D60" s="24" t="s">
        <v>202</v>
      </c>
      <c r="E60" s="24" t="s">
        <v>64</v>
      </c>
      <c r="F60" s="24" t="s">
        <v>26</v>
      </c>
      <c r="G60" s="24" t="str">
        <f>IF(OR(M60="挂起",M60="暂停",Q60="挂起",Q60="暂停",U60="挂起",U60="暂停",Y60="挂起",Y60="暂停"),"暂停","未开始")</f>
        <v>未开始</v>
      </c>
      <c r="H60" s="24" t="str">
        <f t="shared" si="1"/>
        <v>郑士旺</v>
      </c>
      <c r="I60" s="26">
        <f t="shared" si="2"/>
        <v>46223</v>
      </c>
      <c r="J60" s="26">
        <f t="shared" si="3"/>
        <v>46224</v>
      </c>
      <c r="K60" s="26">
        <v>46224</v>
      </c>
      <c r="L60" s="24" t="s">
        <v>65</v>
      </c>
      <c r="M60" s="24" t="s">
        <v>5</v>
      </c>
      <c r="N60" s="26">
        <v>46223</v>
      </c>
      <c r="O60" s="26">
        <v>46227</v>
      </c>
      <c r="P60" s="24" t="s">
        <v>66</v>
      </c>
      <c r="Q60" s="24" t="s">
        <v>5</v>
      </c>
      <c r="R60" s="26">
        <v>46272</v>
      </c>
      <c r="S60" s="26">
        <v>46304</v>
      </c>
      <c r="T60" s="24" t="s">
        <v>67</v>
      </c>
      <c r="U60" s="24" t="s">
        <v>5</v>
      </c>
      <c r="V60" s="26">
        <v>46272</v>
      </c>
      <c r="W60" s="26">
        <v>46304</v>
      </c>
      <c r="X60" s="24" t="s">
        <v>68</v>
      </c>
      <c r="Y60" s="24" t="s">
        <v>5</v>
      </c>
      <c r="Z60" s="26">
        <v>46307</v>
      </c>
      <c r="AA60" s="26">
        <v>46318</v>
      </c>
      <c r="AB60" s="44">
        <f t="shared" si="4"/>
        <v>0</v>
      </c>
      <c r="AC60" s="24" t="str">
        <f>IF(G60="已完成","正常",IF(OR(G60="暂停",G60="挂起"),"暂停",IF(J60="","日期缺失",IF(J60&lt;项目驾驶舱!$B$3,"已延期",IF(J60&lt;=项目驾驶舱!$B$3+7,"临近到期","正常")))))</f>
        <v>已延期</v>
      </c>
      <c r="AD60" s="24" t="s">
        <v>69</v>
      </c>
      <c r="AE60" s="24" t="s">
        <v>69</v>
      </c>
    </row>
    <row r="61" ht="17" customHeight="1" spans="1:31">
      <c r="A61" s="24" t="s">
        <v>203</v>
      </c>
      <c r="B61" s="24" t="s">
        <v>92</v>
      </c>
      <c r="C61" s="24" t="s">
        <v>204</v>
      </c>
      <c r="D61" s="24" t="s">
        <v>205</v>
      </c>
      <c r="E61" s="24" t="s">
        <v>64</v>
      </c>
      <c r="F61" s="24" t="s">
        <v>25</v>
      </c>
      <c r="G61" s="24" t="str">
        <f t="shared" ref="G61:G80" si="7">IF(OR(M61="挂起",M61="暂停",Q61="挂起",Q61="暂停",U61="挂起",U61="暂停",Y61="挂起",Y61="暂停"),"暂停","已完成")</f>
        <v>已完成</v>
      </c>
      <c r="H61" s="24" t="str">
        <f t="shared" si="1"/>
        <v>郑士旺</v>
      </c>
      <c r="I61" s="26">
        <f t="shared" si="2"/>
        <v>46195</v>
      </c>
      <c r="J61" s="26">
        <f t="shared" si="3"/>
        <v>46224</v>
      </c>
      <c r="K61" s="26">
        <v>46224</v>
      </c>
      <c r="L61" s="24" t="s">
        <v>65</v>
      </c>
      <c r="M61" s="24" t="s">
        <v>3</v>
      </c>
      <c r="N61" s="26" t="s">
        <v>64</v>
      </c>
      <c r="O61" s="26" t="s">
        <v>64</v>
      </c>
      <c r="P61" s="24" t="s">
        <v>66</v>
      </c>
      <c r="Q61" s="24" t="s">
        <v>3</v>
      </c>
      <c r="R61" s="26">
        <v>46195</v>
      </c>
      <c r="S61" s="26">
        <v>46206</v>
      </c>
      <c r="T61" s="24" t="s">
        <v>67</v>
      </c>
      <c r="U61" s="24" t="s">
        <v>3</v>
      </c>
      <c r="V61" s="26">
        <v>46195</v>
      </c>
      <c r="W61" s="26">
        <v>46206</v>
      </c>
      <c r="X61" s="24" t="s">
        <v>68</v>
      </c>
      <c r="Y61" s="24" t="s">
        <v>3</v>
      </c>
      <c r="Z61" s="26">
        <v>46202</v>
      </c>
      <c r="AA61" s="26">
        <v>46213</v>
      </c>
      <c r="AB61" s="44">
        <f t="shared" si="4"/>
        <v>1</v>
      </c>
      <c r="AC61" s="24" t="str">
        <f>IF(G61="已完成","正常",IF(OR(G61="暂停",G61="挂起"),"暂停",IF(J61="","日期缺失",IF(J61&lt;项目驾驶舱!$B$3,"已延期",IF(J61&lt;=项目驾驶舱!$B$3+7,"临近到期","正常")))))</f>
        <v>正常</v>
      </c>
      <c r="AD61" s="24" t="s">
        <v>69</v>
      </c>
      <c r="AE61" s="24" t="s">
        <v>69</v>
      </c>
    </row>
    <row r="62" ht="17" customHeight="1" spans="1:31">
      <c r="A62" s="24" t="s">
        <v>206</v>
      </c>
      <c r="B62" s="24" t="s">
        <v>92</v>
      </c>
      <c r="C62" s="24" t="s">
        <v>207</v>
      </c>
      <c r="D62" s="24" t="s">
        <v>208</v>
      </c>
      <c r="E62" s="24" t="s">
        <v>64</v>
      </c>
      <c r="F62" s="24" t="s">
        <v>25</v>
      </c>
      <c r="G62" s="24" t="str">
        <f t="shared" si="7"/>
        <v>已完成</v>
      </c>
      <c r="H62" s="24" t="str">
        <f t="shared" si="1"/>
        <v>郑士旺</v>
      </c>
      <c r="I62" s="26">
        <f t="shared" si="2"/>
        <v>46230</v>
      </c>
      <c r="J62" s="26">
        <f t="shared" si="3"/>
        <v>46318</v>
      </c>
      <c r="K62" s="26" t="s">
        <v>64</v>
      </c>
      <c r="L62" s="24" t="s">
        <v>65</v>
      </c>
      <c r="M62" s="24" t="s">
        <v>3</v>
      </c>
      <c r="N62" s="26">
        <v>46230</v>
      </c>
      <c r="O62" s="26">
        <v>46241</v>
      </c>
      <c r="P62" s="24" t="s">
        <v>66</v>
      </c>
      <c r="Q62" s="24" t="s">
        <v>3</v>
      </c>
      <c r="R62" s="26">
        <v>46230</v>
      </c>
      <c r="S62" s="26">
        <v>46241</v>
      </c>
      <c r="T62" s="24" t="s">
        <v>67</v>
      </c>
      <c r="U62" s="24" t="s">
        <v>3</v>
      </c>
      <c r="V62" s="26">
        <v>46230</v>
      </c>
      <c r="W62" s="26">
        <v>46241</v>
      </c>
      <c r="X62" s="24" t="s">
        <v>68</v>
      </c>
      <c r="Y62" s="24" t="s">
        <v>3</v>
      </c>
      <c r="Z62" s="26">
        <v>46307</v>
      </c>
      <c r="AA62" s="26">
        <v>46318</v>
      </c>
      <c r="AB62" s="44">
        <f t="shared" si="4"/>
        <v>1</v>
      </c>
      <c r="AC62" s="24" t="str">
        <f>IF(G62="已完成","正常",IF(OR(G62="暂停",G62="挂起"),"暂停",IF(J62="","日期缺失",IF(J62&lt;项目驾驶舱!$B$3,"已延期",IF(J62&lt;=项目驾驶舱!$B$3+7,"临近到期","正常")))))</f>
        <v>正常</v>
      </c>
      <c r="AD62" s="24" t="s">
        <v>69</v>
      </c>
      <c r="AE62" s="24" t="s">
        <v>69</v>
      </c>
    </row>
    <row r="63" ht="17" customHeight="1" spans="1:31">
      <c r="A63" s="24" t="s">
        <v>209</v>
      </c>
      <c r="B63" s="24" t="s">
        <v>92</v>
      </c>
      <c r="C63" s="24" t="s">
        <v>210</v>
      </c>
      <c r="D63" s="24" t="s">
        <v>211</v>
      </c>
      <c r="E63" s="24" t="s">
        <v>64</v>
      </c>
      <c r="F63" s="24" t="s">
        <v>25</v>
      </c>
      <c r="G63" s="24" t="str">
        <f t="shared" si="7"/>
        <v>已完成</v>
      </c>
      <c r="H63" s="24" t="str">
        <f t="shared" si="1"/>
        <v>郑士旺</v>
      </c>
      <c r="I63" s="26">
        <f t="shared" si="2"/>
        <v>46202</v>
      </c>
      <c r="J63" s="26">
        <f t="shared" si="3"/>
        <v>46261</v>
      </c>
      <c r="K63" s="26">
        <v>46261</v>
      </c>
      <c r="L63" s="24" t="s">
        <v>65</v>
      </c>
      <c r="M63" s="24" t="s">
        <v>3</v>
      </c>
      <c r="N63" s="26">
        <v>46202</v>
      </c>
      <c r="O63" s="26">
        <v>46206</v>
      </c>
      <c r="P63" s="24" t="s">
        <v>66</v>
      </c>
      <c r="Q63" s="24" t="s">
        <v>3</v>
      </c>
      <c r="R63" s="26">
        <v>46209</v>
      </c>
      <c r="S63" s="26">
        <v>46227</v>
      </c>
      <c r="T63" s="24" t="s">
        <v>67</v>
      </c>
      <c r="U63" s="24" t="s">
        <v>3</v>
      </c>
      <c r="V63" s="26">
        <v>46209</v>
      </c>
      <c r="W63" s="26">
        <v>46227</v>
      </c>
      <c r="X63" s="24" t="s">
        <v>68</v>
      </c>
      <c r="Y63" s="24" t="s">
        <v>3</v>
      </c>
      <c r="Z63" s="26">
        <v>46216</v>
      </c>
      <c r="AA63" s="26">
        <v>46234</v>
      </c>
      <c r="AB63" s="44">
        <f t="shared" si="4"/>
        <v>1</v>
      </c>
      <c r="AC63" s="24" t="str">
        <f>IF(G63="已完成","正常",IF(OR(G63="暂停",G63="挂起"),"暂停",IF(J63="","日期缺失",IF(J63&lt;项目驾驶舱!$B$3,"已延期",IF(J63&lt;=项目驾驶舱!$B$3+7,"临近到期","正常")))))</f>
        <v>正常</v>
      </c>
      <c r="AD63" s="24" t="s">
        <v>69</v>
      </c>
      <c r="AE63" s="24" t="s">
        <v>69</v>
      </c>
    </row>
    <row r="64" ht="17" customHeight="1" spans="1:31">
      <c r="A64" s="24" t="s">
        <v>212</v>
      </c>
      <c r="B64" s="24" t="s">
        <v>92</v>
      </c>
      <c r="C64" s="24" t="s">
        <v>210</v>
      </c>
      <c r="D64" s="24" t="s">
        <v>213</v>
      </c>
      <c r="E64" s="24" t="s">
        <v>64</v>
      </c>
      <c r="F64" s="24" t="s">
        <v>25</v>
      </c>
      <c r="G64" s="24" t="str">
        <f t="shared" si="7"/>
        <v>已完成</v>
      </c>
      <c r="H64" s="24" t="str">
        <f t="shared" si="1"/>
        <v>郑士旺</v>
      </c>
      <c r="I64" s="26">
        <f t="shared" si="2"/>
        <v>46202</v>
      </c>
      <c r="J64" s="26">
        <f t="shared" si="3"/>
        <v>46261</v>
      </c>
      <c r="K64" s="26">
        <v>46261</v>
      </c>
      <c r="L64" s="24" t="s">
        <v>65</v>
      </c>
      <c r="M64" s="24" t="s">
        <v>3</v>
      </c>
      <c r="N64" s="26">
        <v>46202</v>
      </c>
      <c r="O64" s="26">
        <v>46206</v>
      </c>
      <c r="P64" s="24" t="s">
        <v>66</v>
      </c>
      <c r="Q64" s="24" t="s">
        <v>3</v>
      </c>
      <c r="R64" s="26">
        <v>46209</v>
      </c>
      <c r="S64" s="26">
        <v>46227</v>
      </c>
      <c r="T64" s="24" t="s">
        <v>67</v>
      </c>
      <c r="U64" s="24" t="s">
        <v>3</v>
      </c>
      <c r="V64" s="26">
        <v>46209</v>
      </c>
      <c r="W64" s="26">
        <v>46227</v>
      </c>
      <c r="X64" s="24" t="s">
        <v>68</v>
      </c>
      <c r="Y64" s="24" t="s">
        <v>3</v>
      </c>
      <c r="Z64" s="26">
        <v>46216</v>
      </c>
      <c r="AA64" s="26">
        <v>46234</v>
      </c>
      <c r="AB64" s="44">
        <f t="shared" si="4"/>
        <v>1</v>
      </c>
      <c r="AC64" s="24" t="str">
        <f>IF(G64="已完成","正常",IF(OR(G64="暂停",G64="挂起"),"暂停",IF(J64="","日期缺失",IF(J64&lt;项目驾驶舱!$B$3,"已延期",IF(J64&lt;=项目驾驶舱!$B$3+7,"临近到期","正常")))))</f>
        <v>正常</v>
      </c>
      <c r="AD64" s="24" t="s">
        <v>69</v>
      </c>
      <c r="AE64" s="24" t="s">
        <v>69</v>
      </c>
    </row>
    <row r="65" ht="17" customHeight="1" spans="1:31">
      <c r="A65" s="24" t="s">
        <v>214</v>
      </c>
      <c r="B65" s="24" t="s">
        <v>92</v>
      </c>
      <c r="C65" s="24" t="s">
        <v>210</v>
      </c>
      <c r="D65" s="24" t="s">
        <v>215</v>
      </c>
      <c r="E65" s="24" t="s">
        <v>64</v>
      </c>
      <c r="F65" s="24" t="s">
        <v>25</v>
      </c>
      <c r="G65" s="24" t="str">
        <f t="shared" si="7"/>
        <v>已完成</v>
      </c>
      <c r="H65" s="24" t="str">
        <f t="shared" si="1"/>
        <v>郑士旺</v>
      </c>
      <c r="I65" s="26">
        <f t="shared" si="2"/>
        <v>46202</v>
      </c>
      <c r="J65" s="26">
        <f t="shared" si="3"/>
        <v>46261</v>
      </c>
      <c r="K65" s="26">
        <v>46261</v>
      </c>
      <c r="L65" s="24" t="s">
        <v>65</v>
      </c>
      <c r="M65" s="24" t="s">
        <v>3</v>
      </c>
      <c r="N65" s="26">
        <v>46202</v>
      </c>
      <c r="O65" s="26">
        <v>46206</v>
      </c>
      <c r="P65" s="24" t="s">
        <v>66</v>
      </c>
      <c r="Q65" s="24" t="s">
        <v>3</v>
      </c>
      <c r="R65" s="26">
        <v>46209</v>
      </c>
      <c r="S65" s="26">
        <v>46227</v>
      </c>
      <c r="T65" s="24" t="s">
        <v>67</v>
      </c>
      <c r="U65" s="24" t="s">
        <v>3</v>
      </c>
      <c r="V65" s="26">
        <v>46209</v>
      </c>
      <c r="W65" s="26">
        <v>46227</v>
      </c>
      <c r="X65" s="24" t="s">
        <v>68</v>
      </c>
      <c r="Y65" s="24" t="s">
        <v>3</v>
      </c>
      <c r="Z65" s="26">
        <v>46216</v>
      </c>
      <c r="AA65" s="26">
        <v>46234</v>
      </c>
      <c r="AB65" s="44">
        <f t="shared" si="4"/>
        <v>1</v>
      </c>
      <c r="AC65" s="24" t="str">
        <f>IF(G65="已完成","正常",IF(OR(G65="暂停",G65="挂起"),"暂停",IF(J65="","日期缺失",IF(J65&lt;项目驾驶舱!$B$3,"已延期",IF(J65&lt;=项目驾驶舱!$B$3+7,"临近到期","正常")))))</f>
        <v>正常</v>
      </c>
      <c r="AD65" s="24" t="s">
        <v>69</v>
      </c>
      <c r="AE65" s="24" t="s">
        <v>69</v>
      </c>
    </row>
    <row r="66" ht="17" customHeight="1" spans="1:31">
      <c r="A66" s="24" t="s">
        <v>216</v>
      </c>
      <c r="B66" s="24" t="s">
        <v>92</v>
      </c>
      <c r="C66" s="24" t="s">
        <v>217</v>
      </c>
      <c r="D66" s="24" t="s">
        <v>218</v>
      </c>
      <c r="E66" s="24" t="s">
        <v>64</v>
      </c>
      <c r="F66" s="24" t="s">
        <v>25</v>
      </c>
      <c r="G66" s="24" t="str">
        <f t="shared" si="7"/>
        <v>已完成</v>
      </c>
      <c r="H66" s="24" t="str">
        <f t="shared" si="1"/>
        <v>郑士旺</v>
      </c>
      <c r="I66" s="26">
        <f t="shared" si="2"/>
        <v>46202</v>
      </c>
      <c r="J66" s="26">
        <f t="shared" si="3"/>
        <v>46261</v>
      </c>
      <c r="K66" s="26">
        <v>46261</v>
      </c>
      <c r="L66" s="24" t="s">
        <v>65</v>
      </c>
      <c r="M66" s="24" t="s">
        <v>3</v>
      </c>
      <c r="N66" s="26">
        <v>46202</v>
      </c>
      <c r="O66" s="26">
        <v>46206</v>
      </c>
      <c r="P66" s="24" t="s">
        <v>66</v>
      </c>
      <c r="Q66" s="24" t="s">
        <v>3</v>
      </c>
      <c r="R66" s="26">
        <v>46209</v>
      </c>
      <c r="S66" s="26">
        <v>46227</v>
      </c>
      <c r="T66" s="24" t="s">
        <v>67</v>
      </c>
      <c r="U66" s="24" t="s">
        <v>3</v>
      </c>
      <c r="V66" s="26">
        <v>46209</v>
      </c>
      <c r="W66" s="26">
        <v>46227</v>
      </c>
      <c r="X66" s="24" t="s">
        <v>68</v>
      </c>
      <c r="Y66" s="24" t="s">
        <v>3</v>
      </c>
      <c r="Z66" s="26">
        <v>46216</v>
      </c>
      <c r="AA66" s="26">
        <v>46234</v>
      </c>
      <c r="AB66" s="44">
        <f t="shared" si="4"/>
        <v>1</v>
      </c>
      <c r="AC66" s="24" t="str">
        <f>IF(G66="已完成","正常",IF(OR(G66="暂停",G66="挂起"),"暂停",IF(J66="","日期缺失",IF(J66&lt;项目驾驶舱!$B$3,"已延期",IF(J66&lt;=项目驾驶舱!$B$3+7,"临近到期","正常")))))</f>
        <v>正常</v>
      </c>
      <c r="AD66" s="24" t="s">
        <v>69</v>
      </c>
      <c r="AE66" s="24" t="s">
        <v>69</v>
      </c>
    </row>
    <row r="67" ht="17" customHeight="1" spans="1:31">
      <c r="A67" s="24" t="s">
        <v>219</v>
      </c>
      <c r="B67" s="24" t="s">
        <v>92</v>
      </c>
      <c r="C67" s="24" t="s">
        <v>217</v>
      </c>
      <c r="D67" s="24" t="s">
        <v>218</v>
      </c>
      <c r="E67" s="24" t="s">
        <v>64</v>
      </c>
      <c r="F67" s="24" t="s">
        <v>25</v>
      </c>
      <c r="G67" s="24" t="str">
        <f t="shared" si="7"/>
        <v>已完成</v>
      </c>
      <c r="H67" s="24" t="str">
        <f t="shared" si="1"/>
        <v>郑士旺</v>
      </c>
      <c r="I67" s="26">
        <f t="shared" si="2"/>
        <v>46202</v>
      </c>
      <c r="J67" s="26">
        <f t="shared" si="3"/>
        <v>46261</v>
      </c>
      <c r="K67" s="26">
        <v>46261</v>
      </c>
      <c r="L67" s="24" t="s">
        <v>65</v>
      </c>
      <c r="M67" s="24" t="s">
        <v>3</v>
      </c>
      <c r="N67" s="26">
        <v>46202</v>
      </c>
      <c r="O67" s="26">
        <v>46206</v>
      </c>
      <c r="P67" s="24" t="s">
        <v>66</v>
      </c>
      <c r="Q67" s="24" t="s">
        <v>3</v>
      </c>
      <c r="R67" s="26">
        <v>46209</v>
      </c>
      <c r="S67" s="26">
        <v>46227</v>
      </c>
      <c r="T67" s="24" t="s">
        <v>67</v>
      </c>
      <c r="U67" s="24" t="s">
        <v>3</v>
      </c>
      <c r="V67" s="26">
        <v>46209</v>
      </c>
      <c r="W67" s="26">
        <v>46227</v>
      </c>
      <c r="X67" s="24" t="s">
        <v>68</v>
      </c>
      <c r="Y67" s="24" t="s">
        <v>3</v>
      </c>
      <c r="Z67" s="26">
        <v>46216</v>
      </c>
      <c r="AA67" s="26">
        <v>46234</v>
      </c>
      <c r="AB67" s="44">
        <f t="shared" si="4"/>
        <v>1</v>
      </c>
      <c r="AC67" s="24" t="str">
        <f>IF(G67="已完成","正常",IF(OR(G67="暂停",G67="挂起"),"暂停",IF(J67="","日期缺失",IF(J67&lt;项目驾驶舱!$B$3,"已延期",IF(J67&lt;=项目驾驶舱!$B$3+7,"临近到期","正常")))))</f>
        <v>正常</v>
      </c>
      <c r="AD67" s="24" t="s">
        <v>69</v>
      </c>
      <c r="AE67" s="24" t="s">
        <v>69</v>
      </c>
    </row>
    <row r="68" ht="17" customHeight="1" spans="1:31">
      <c r="A68" s="24" t="s">
        <v>220</v>
      </c>
      <c r="B68" s="24" t="s">
        <v>92</v>
      </c>
      <c r="C68" s="24" t="s">
        <v>217</v>
      </c>
      <c r="D68" s="24" t="s">
        <v>221</v>
      </c>
      <c r="E68" s="24" t="s">
        <v>64</v>
      </c>
      <c r="F68" s="24" t="s">
        <v>25</v>
      </c>
      <c r="G68" s="24" t="str">
        <f t="shared" si="7"/>
        <v>已完成</v>
      </c>
      <c r="H68" s="24" t="str">
        <f t="shared" ref="H68:H131" si="8">IF(L68&lt;&gt;"",L68,IF(P68&lt;&gt;"",P68,IF(T68&lt;&gt;"",T68,X68)))</f>
        <v>郑士旺</v>
      </c>
      <c r="I68" s="26">
        <f t="shared" ref="I68:I131" si="9">IF(COUNT(N68,R68,V68,Z68)=0,"",MIN(N68,R68,V68,Z68))</f>
        <v>46202</v>
      </c>
      <c r="J68" s="26">
        <f t="shared" ref="J68:J131" si="10">IF(ISNUMBER(K68),K68,IF(COUNT(O68,S68,W68,AA68)=0,"",MAX(O68,S68,W68,AA68)))</f>
        <v>46261</v>
      </c>
      <c r="K68" s="26">
        <v>46261</v>
      </c>
      <c r="L68" s="24" t="s">
        <v>65</v>
      </c>
      <c r="M68" s="24" t="s">
        <v>3</v>
      </c>
      <c r="N68" s="26">
        <v>46202</v>
      </c>
      <c r="O68" s="26">
        <v>46206</v>
      </c>
      <c r="P68" s="24" t="s">
        <v>66</v>
      </c>
      <c r="Q68" s="24" t="s">
        <v>3</v>
      </c>
      <c r="R68" s="26">
        <v>46209</v>
      </c>
      <c r="S68" s="26">
        <v>46227</v>
      </c>
      <c r="T68" s="24" t="s">
        <v>67</v>
      </c>
      <c r="U68" s="24" t="s">
        <v>3</v>
      </c>
      <c r="V68" s="26">
        <v>46209</v>
      </c>
      <c r="W68" s="26">
        <v>46227</v>
      </c>
      <c r="X68" s="24" t="s">
        <v>68</v>
      </c>
      <c r="Y68" s="24" t="s">
        <v>3</v>
      </c>
      <c r="Z68" s="26">
        <v>46216</v>
      </c>
      <c r="AA68" s="26">
        <v>46234</v>
      </c>
      <c r="AB68" s="44">
        <f t="shared" ref="AB68:AB131" si="11">(IF(M68="已完成",1,IF(M68="进行中",0.5,0))*15%+IF(Q68="已完成",1,IF(Q68="进行中",0.5,0))*35%+IF(U68="已完成",1,IF(U68="进行中",0.5,0))*30%+IF(Y68="已完成",1,IF(Y68="进行中",0.5,0))*20%)</f>
        <v>1</v>
      </c>
      <c r="AC68" s="24" t="str">
        <f>IF(G68="已完成","正常",IF(OR(G68="暂停",G68="挂起"),"暂停",IF(J68="","日期缺失",IF(J68&lt;项目驾驶舱!$B$3,"已延期",IF(J68&lt;=项目驾驶舱!$B$3+7,"临近到期","正常")))))</f>
        <v>正常</v>
      </c>
      <c r="AD68" s="24" t="s">
        <v>69</v>
      </c>
      <c r="AE68" s="24" t="s">
        <v>69</v>
      </c>
    </row>
    <row r="69" ht="17" customHeight="1" spans="1:31">
      <c r="A69" s="24" t="s">
        <v>222</v>
      </c>
      <c r="B69" s="24" t="s">
        <v>92</v>
      </c>
      <c r="C69" s="24" t="s">
        <v>217</v>
      </c>
      <c r="D69" s="24" t="s">
        <v>221</v>
      </c>
      <c r="E69" s="24" t="s">
        <v>64</v>
      </c>
      <c r="F69" s="24" t="s">
        <v>25</v>
      </c>
      <c r="G69" s="24" t="str">
        <f t="shared" si="7"/>
        <v>已完成</v>
      </c>
      <c r="H69" s="24" t="str">
        <f t="shared" si="8"/>
        <v>郑士旺</v>
      </c>
      <c r="I69" s="26">
        <f t="shared" si="9"/>
        <v>46202</v>
      </c>
      <c r="J69" s="26">
        <f t="shared" si="10"/>
        <v>46261</v>
      </c>
      <c r="K69" s="26">
        <v>46261</v>
      </c>
      <c r="L69" s="24" t="s">
        <v>65</v>
      </c>
      <c r="M69" s="24" t="s">
        <v>3</v>
      </c>
      <c r="N69" s="26">
        <v>46202</v>
      </c>
      <c r="O69" s="26">
        <v>46206</v>
      </c>
      <c r="P69" s="24" t="s">
        <v>66</v>
      </c>
      <c r="Q69" s="24" t="s">
        <v>3</v>
      </c>
      <c r="R69" s="26">
        <v>46209</v>
      </c>
      <c r="S69" s="26">
        <v>46227</v>
      </c>
      <c r="T69" s="24" t="s">
        <v>67</v>
      </c>
      <c r="U69" s="24" t="s">
        <v>3</v>
      </c>
      <c r="V69" s="26">
        <v>46209</v>
      </c>
      <c r="W69" s="26">
        <v>46227</v>
      </c>
      <c r="X69" s="24" t="s">
        <v>68</v>
      </c>
      <c r="Y69" s="24" t="s">
        <v>3</v>
      </c>
      <c r="Z69" s="26">
        <v>46216</v>
      </c>
      <c r="AA69" s="26">
        <v>46234</v>
      </c>
      <c r="AB69" s="44">
        <f t="shared" si="11"/>
        <v>1</v>
      </c>
      <c r="AC69" s="24" t="str">
        <f>IF(G69="已完成","正常",IF(OR(G69="暂停",G69="挂起"),"暂停",IF(J69="","日期缺失",IF(J69&lt;项目驾驶舱!$B$3,"已延期",IF(J69&lt;=项目驾驶舱!$B$3+7,"临近到期","正常")))))</f>
        <v>正常</v>
      </c>
      <c r="AD69" s="24" t="s">
        <v>69</v>
      </c>
      <c r="AE69" s="24" t="s">
        <v>69</v>
      </c>
    </row>
    <row r="70" ht="17" customHeight="1" spans="1:31">
      <c r="A70" s="24" t="s">
        <v>223</v>
      </c>
      <c r="B70" s="24" t="s">
        <v>92</v>
      </c>
      <c r="C70" s="24" t="s">
        <v>217</v>
      </c>
      <c r="D70" s="24" t="s">
        <v>221</v>
      </c>
      <c r="E70" s="24" t="s">
        <v>64</v>
      </c>
      <c r="F70" s="24" t="s">
        <v>25</v>
      </c>
      <c r="G70" s="24" t="str">
        <f t="shared" si="7"/>
        <v>已完成</v>
      </c>
      <c r="H70" s="24" t="str">
        <f t="shared" si="8"/>
        <v>郑士旺</v>
      </c>
      <c r="I70" s="26">
        <f t="shared" si="9"/>
        <v>46202</v>
      </c>
      <c r="J70" s="26">
        <f t="shared" si="10"/>
        <v>46261</v>
      </c>
      <c r="K70" s="26">
        <v>46261</v>
      </c>
      <c r="L70" s="24" t="s">
        <v>65</v>
      </c>
      <c r="M70" s="24" t="s">
        <v>3</v>
      </c>
      <c r="N70" s="26">
        <v>46202</v>
      </c>
      <c r="O70" s="26">
        <v>46206</v>
      </c>
      <c r="P70" s="24" t="s">
        <v>66</v>
      </c>
      <c r="Q70" s="24" t="s">
        <v>3</v>
      </c>
      <c r="R70" s="26">
        <v>46209</v>
      </c>
      <c r="S70" s="26">
        <v>46227</v>
      </c>
      <c r="T70" s="24" t="s">
        <v>67</v>
      </c>
      <c r="U70" s="24" t="s">
        <v>3</v>
      </c>
      <c r="V70" s="26">
        <v>46209</v>
      </c>
      <c r="W70" s="26">
        <v>46227</v>
      </c>
      <c r="X70" s="24" t="s">
        <v>68</v>
      </c>
      <c r="Y70" s="24" t="s">
        <v>3</v>
      </c>
      <c r="Z70" s="26">
        <v>46216</v>
      </c>
      <c r="AA70" s="26">
        <v>46234</v>
      </c>
      <c r="AB70" s="44">
        <f t="shared" si="11"/>
        <v>1</v>
      </c>
      <c r="AC70" s="24" t="str">
        <f>IF(G70="已完成","正常",IF(OR(G70="暂停",G70="挂起"),"暂停",IF(J70="","日期缺失",IF(J70&lt;项目驾驶舱!$B$3,"已延期",IF(J70&lt;=项目驾驶舱!$B$3+7,"临近到期","正常")))))</f>
        <v>正常</v>
      </c>
      <c r="AD70" s="24" t="s">
        <v>69</v>
      </c>
      <c r="AE70" s="24" t="s">
        <v>69</v>
      </c>
    </row>
    <row r="71" ht="17" customHeight="1" spans="1:31">
      <c r="A71" s="24" t="s">
        <v>224</v>
      </c>
      <c r="B71" s="24" t="s">
        <v>92</v>
      </c>
      <c r="C71" s="24" t="s">
        <v>217</v>
      </c>
      <c r="D71" s="24" t="s">
        <v>221</v>
      </c>
      <c r="E71" s="24" t="s">
        <v>64</v>
      </c>
      <c r="F71" s="24" t="s">
        <v>25</v>
      </c>
      <c r="G71" s="24" t="str">
        <f t="shared" si="7"/>
        <v>已完成</v>
      </c>
      <c r="H71" s="24" t="str">
        <f t="shared" si="8"/>
        <v>郑士旺</v>
      </c>
      <c r="I71" s="26">
        <f t="shared" si="9"/>
        <v>46202</v>
      </c>
      <c r="J71" s="26">
        <f t="shared" si="10"/>
        <v>46261</v>
      </c>
      <c r="K71" s="26">
        <v>46261</v>
      </c>
      <c r="L71" s="24" t="s">
        <v>65</v>
      </c>
      <c r="M71" s="24" t="s">
        <v>3</v>
      </c>
      <c r="N71" s="26">
        <v>46202</v>
      </c>
      <c r="O71" s="26">
        <v>46206</v>
      </c>
      <c r="P71" s="24" t="s">
        <v>66</v>
      </c>
      <c r="Q71" s="24" t="s">
        <v>3</v>
      </c>
      <c r="R71" s="26">
        <v>46209</v>
      </c>
      <c r="S71" s="26">
        <v>46227</v>
      </c>
      <c r="T71" s="24" t="s">
        <v>67</v>
      </c>
      <c r="U71" s="24" t="s">
        <v>3</v>
      </c>
      <c r="V71" s="26">
        <v>46209</v>
      </c>
      <c r="W71" s="26">
        <v>46227</v>
      </c>
      <c r="X71" s="24" t="s">
        <v>68</v>
      </c>
      <c r="Y71" s="24" t="s">
        <v>3</v>
      </c>
      <c r="Z71" s="26">
        <v>46216</v>
      </c>
      <c r="AA71" s="26">
        <v>46234</v>
      </c>
      <c r="AB71" s="44">
        <f t="shared" si="11"/>
        <v>1</v>
      </c>
      <c r="AC71" s="24" t="str">
        <f>IF(G71="已完成","正常",IF(OR(G71="暂停",G71="挂起"),"暂停",IF(J71="","日期缺失",IF(J71&lt;项目驾驶舱!$B$3,"已延期",IF(J71&lt;=项目驾驶舱!$B$3+7,"临近到期","正常")))))</f>
        <v>正常</v>
      </c>
      <c r="AD71" s="24" t="s">
        <v>69</v>
      </c>
      <c r="AE71" s="24" t="s">
        <v>69</v>
      </c>
    </row>
    <row r="72" ht="17" customHeight="1" spans="1:31">
      <c r="A72" s="24" t="s">
        <v>225</v>
      </c>
      <c r="B72" s="24" t="s">
        <v>92</v>
      </c>
      <c r="C72" s="24" t="s">
        <v>226</v>
      </c>
      <c r="D72" s="24" t="s">
        <v>227</v>
      </c>
      <c r="E72" s="24" t="s">
        <v>64</v>
      </c>
      <c r="F72" s="24" t="s">
        <v>25</v>
      </c>
      <c r="G72" s="24" t="str">
        <f t="shared" si="7"/>
        <v>已完成</v>
      </c>
      <c r="H72" s="24" t="str">
        <f t="shared" si="8"/>
        <v>郑士旺</v>
      </c>
      <c r="I72" s="26">
        <f t="shared" si="9"/>
        <v>46195</v>
      </c>
      <c r="J72" s="26">
        <f t="shared" si="10"/>
        <v>46224</v>
      </c>
      <c r="K72" s="26">
        <v>46224</v>
      </c>
      <c r="L72" s="24" t="s">
        <v>65</v>
      </c>
      <c r="M72" s="24" t="s">
        <v>3</v>
      </c>
      <c r="N72" s="26" t="s">
        <v>64</v>
      </c>
      <c r="O72" s="26" t="s">
        <v>64</v>
      </c>
      <c r="P72" s="24" t="s">
        <v>228</v>
      </c>
      <c r="Q72" s="24" t="s">
        <v>3</v>
      </c>
      <c r="R72" s="26">
        <v>46195</v>
      </c>
      <c r="S72" s="26">
        <v>46206</v>
      </c>
      <c r="T72" s="24" t="s">
        <v>228</v>
      </c>
      <c r="U72" s="24" t="s">
        <v>3</v>
      </c>
      <c r="V72" s="26">
        <v>46195</v>
      </c>
      <c r="W72" s="26">
        <v>46206</v>
      </c>
      <c r="X72" s="24" t="s">
        <v>68</v>
      </c>
      <c r="Y72" s="24" t="s">
        <v>3</v>
      </c>
      <c r="Z72" s="26">
        <v>46216</v>
      </c>
      <c r="AA72" s="26">
        <v>46234</v>
      </c>
      <c r="AB72" s="44">
        <f t="shared" si="11"/>
        <v>1</v>
      </c>
      <c r="AC72" s="24" t="str">
        <f>IF(G72="已完成","正常",IF(OR(G72="暂停",G72="挂起"),"暂停",IF(J72="","日期缺失",IF(J72&lt;项目驾驶舱!$B$3,"已延期",IF(J72&lt;=项目驾驶舱!$B$3+7,"临近到期","正常")))))</f>
        <v>正常</v>
      </c>
      <c r="AD72" s="24" t="s">
        <v>69</v>
      </c>
      <c r="AE72" s="24" t="s">
        <v>69</v>
      </c>
    </row>
    <row r="73" ht="17" customHeight="1" spans="1:31">
      <c r="A73" s="24" t="s">
        <v>229</v>
      </c>
      <c r="B73" s="24" t="s">
        <v>92</v>
      </c>
      <c r="C73" s="24" t="s">
        <v>226</v>
      </c>
      <c r="D73" s="24" t="s">
        <v>230</v>
      </c>
      <c r="E73" s="24" t="s">
        <v>64</v>
      </c>
      <c r="F73" s="24" t="s">
        <v>25</v>
      </c>
      <c r="G73" s="24" t="str">
        <f t="shared" si="7"/>
        <v>已完成</v>
      </c>
      <c r="H73" s="24" t="str">
        <f t="shared" si="8"/>
        <v>郑士旺</v>
      </c>
      <c r="I73" s="26">
        <f t="shared" si="9"/>
        <v>46195</v>
      </c>
      <c r="J73" s="26">
        <f t="shared" si="10"/>
        <v>46224</v>
      </c>
      <c r="K73" s="26">
        <v>46224</v>
      </c>
      <c r="L73" s="24" t="s">
        <v>65</v>
      </c>
      <c r="M73" s="24" t="s">
        <v>3</v>
      </c>
      <c r="N73" s="26" t="s">
        <v>64</v>
      </c>
      <c r="O73" s="26" t="s">
        <v>64</v>
      </c>
      <c r="P73" s="24" t="s">
        <v>66</v>
      </c>
      <c r="Q73" s="24" t="s">
        <v>3</v>
      </c>
      <c r="R73" s="26">
        <v>46195</v>
      </c>
      <c r="S73" s="26">
        <v>46206</v>
      </c>
      <c r="T73" s="24" t="s">
        <v>67</v>
      </c>
      <c r="U73" s="24" t="s">
        <v>3</v>
      </c>
      <c r="V73" s="26">
        <v>46195</v>
      </c>
      <c r="W73" s="26">
        <v>46206</v>
      </c>
      <c r="X73" s="24" t="s">
        <v>68</v>
      </c>
      <c r="Y73" s="24" t="s">
        <v>3</v>
      </c>
      <c r="Z73" s="26">
        <v>46202</v>
      </c>
      <c r="AA73" s="26">
        <v>46213</v>
      </c>
      <c r="AB73" s="44">
        <f t="shared" si="11"/>
        <v>1</v>
      </c>
      <c r="AC73" s="24" t="str">
        <f>IF(G73="已完成","正常",IF(OR(G73="暂停",G73="挂起"),"暂停",IF(J73="","日期缺失",IF(J73&lt;项目驾驶舱!$B$3,"已延期",IF(J73&lt;=项目驾驶舱!$B$3+7,"临近到期","正常")))))</f>
        <v>正常</v>
      </c>
      <c r="AD73" s="24" t="s">
        <v>69</v>
      </c>
      <c r="AE73" s="24" t="s">
        <v>69</v>
      </c>
    </row>
    <row r="74" ht="17" customHeight="1" spans="1:31">
      <c r="A74" s="24" t="s">
        <v>231</v>
      </c>
      <c r="B74" s="24" t="s">
        <v>92</v>
      </c>
      <c r="C74" s="24" t="s">
        <v>232</v>
      </c>
      <c r="D74" s="24" t="s">
        <v>64</v>
      </c>
      <c r="E74" s="24" t="s">
        <v>64</v>
      </c>
      <c r="F74" s="24" t="s">
        <v>25</v>
      </c>
      <c r="G74" s="24" t="str">
        <f t="shared" si="7"/>
        <v>已完成</v>
      </c>
      <c r="H74" s="24" t="str">
        <f t="shared" si="8"/>
        <v>郑士旺</v>
      </c>
      <c r="I74" s="26">
        <f t="shared" si="9"/>
        <v>46195</v>
      </c>
      <c r="J74" s="26">
        <f t="shared" si="10"/>
        <v>46224</v>
      </c>
      <c r="K74" s="26">
        <v>46224</v>
      </c>
      <c r="L74" s="24" t="s">
        <v>65</v>
      </c>
      <c r="M74" s="24" t="s">
        <v>3</v>
      </c>
      <c r="N74" s="26" t="s">
        <v>64</v>
      </c>
      <c r="O74" s="26" t="s">
        <v>64</v>
      </c>
      <c r="P74" s="24" t="s">
        <v>66</v>
      </c>
      <c r="Q74" s="24" t="s">
        <v>3</v>
      </c>
      <c r="R74" s="26">
        <v>46195</v>
      </c>
      <c r="S74" s="26">
        <v>46206</v>
      </c>
      <c r="T74" s="24" t="s">
        <v>67</v>
      </c>
      <c r="U74" s="24" t="s">
        <v>3</v>
      </c>
      <c r="V74" s="26">
        <v>46195</v>
      </c>
      <c r="W74" s="26">
        <v>46206</v>
      </c>
      <c r="X74" s="24" t="s">
        <v>68</v>
      </c>
      <c r="Y74" s="24" t="s">
        <v>3</v>
      </c>
      <c r="Z74" s="26">
        <v>46202</v>
      </c>
      <c r="AA74" s="26">
        <v>46213</v>
      </c>
      <c r="AB74" s="44">
        <f t="shared" si="11"/>
        <v>1</v>
      </c>
      <c r="AC74" s="24" t="str">
        <f>IF(G74="已完成","正常",IF(OR(G74="暂停",G74="挂起"),"暂停",IF(J74="","日期缺失",IF(J74&lt;项目驾驶舱!$B$3,"已延期",IF(J74&lt;=项目驾驶舱!$B$3+7,"临近到期","正常")))))</f>
        <v>正常</v>
      </c>
      <c r="AD74" s="24" t="s">
        <v>69</v>
      </c>
      <c r="AE74" s="24" t="s">
        <v>69</v>
      </c>
    </row>
    <row r="75" ht="17" customHeight="1" spans="1:31">
      <c r="A75" s="24" t="s">
        <v>233</v>
      </c>
      <c r="B75" s="24" t="s">
        <v>92</v>
      </c>
      <c r="C75" s="24" t="s">
        <v>234</v>
      </c>
      <c r="D75" s="24" t="s">
        <v>235</v>
      </c>
      <c r="E75" s="24" t="s">
        <v>64</v>
      </c>
      <c r="F75" s="24" t="s">
        <v>25</v>
      </c>
      <c r="G75" s="24" t="str">
        <f t="shared" si="7"/>
        <v>已完成</v>
      </c>
      <c r="H75" s="24" t="str">
        <f t="shared" si="8"/>
        <v>郑士旺</v>
      </c>
      <c r="I75" s="26">
        <f t="shared" si="9"/>
        <v>46202</v>
      </c>
      <c r="J75" s="26">
        <f t="shared" si="10"/>
        <v>46234</v>
      </c>
      <c r="K75" s="26" t="s">
        <v>64</v>
      </c>
      <c r="L75" s="24" t="s">
        <v>65</v>
      </c>
      <c r="M75" s="24" t="s">
        <v>3</v>
      </c>
      <c r="N75" s="26">
        <v>46202</v>
      </c>
      <c r="O75" s="26">
        <v>46206</v>
      </c>
      <c r="P75" s="24" t="s">
        <v>66</v>
      </c>
      <c r="Q75" s="24" t="s">
        <v>3</v>
      </c>
      <c r="R75" s="26">
        <v>46209</v>
      </c>
      <c r="S75" s="26">
        <v>46225</v>
      </c>
      <c r="T75" s="24" t="s">
        <v>67</v>
      </c>
      <c r="U75" s="24" t="s">
        <v>3</v>
      </c>
      <c r="V75" s="26">
        <v>46209</v>
      </c>
      <c r="W75" s="26">
        <v>46225</v>
      </c>
      <c r="X75" s="24" t="s">
        <v>68</v>
      </c>
      <c r="Y75" s="24" t="s">
        <v>3</v>
      </c>
      <c r="Z75" s="26">
        <v>46216</v>
      </c>
      <c r="AA75" s="26">
        <v>46234</v>
      </c>
      <c r="AB75" s="44">
        <f t="shared" si="11"/>
        <v>1</v>
      </c>
      <c r="AC75" s="24" t="str">
        <f>IF(G75="已完成","正常",IF(OR(G75="暂停",G75="挂起"),"暂停",IF(J75="","日期缺失",IF(J75&lt;项目驾驶舱!$B$3,"已延期",IF(J75&lt;=项目驾驶舱!$B$3+7,"临近到期","正常")))))</f>
        <v>正常</v>
      </c>
      <c r="AD75" s="24" t="s">
        <v>69</v>
      </c>
      <c r="AE75" s="24" t="s">
        <v>69</v>
      </c>
    </row>
    <row r="76" ht="17" customHeight="1" spans="1:31">
      <c r="A76" s="24" t="s">
        <v>236</v>
      </c>
      <c r="B76" s="24" t="s">
        <v>92</v>
      </c>
      <c r="C76" s="24" t="s">
        <v>237</v>
      </c>
      <c r="D76" s="24" t="s">
        <v>238</v>
      </c>
      <c r="E76" s="24" t="s">
        <v>64</v>
      </c>
      <c r="F76" s="24" t="s">
        <v>25</v>
      </c>
      <c r="G76" s="24" t="str">
        <f t="shared" si="7"/>
        <v>已完成</v>
      </c>
      <c r="H76" s="24" t="str">
        <f t="shared" si="8"/>
        <v>郑士旺</v>
      </c>
      <c r="I76" s="26">
        <f t="shared" si="9"/>
        <v>46202</v>
      </c>
      <c r="J76" s="26">
        <f t="shared" si="10"/>
        <v>46224</v>
      </c>
      <c r="K76" s="26">
        <v>46224</v>
      </c>
      <c r="L76" s="24" t="s">
        <v>65</v>
      </c>
      <c r="M76" s="24" t="s">
        <v>3</v>
      </c>
      <c r="N76" s="26">
        <v>46202</v>
      </c>
      <c r="O76" s="26">
        <v>46206</v>
      </c>
      <c r="P76" s="24" t="s">
        <v>66</v>
      </c>
      <c r="Q76" s="24" t="s">
        <v>3</v>
      </c>
      <c r="R76" s="26">
        <v>46227</v>
      </c>
      <c r="S76" s="26">
        <v>46227</v>
      </c>
      <c r="T76" s="24" t="s">
        <v>67</v>
      </c>
      <c r="U76" s="24" t="s">
        <v>3</v>
      </c>
      <c r="V76" s="26">
        <v>46227</v>
      </c>
      <c r="W76" s="26">
        <v>46227</v>
      </c>
      <c r="X76" s="24" t="s">
        <v>68</v>
      </c>
      <c r="Y76" s="24" t="s">
        <v>3</v>
      </c>
      <c r="Z76" s="26">
        <v>46216</v>
      </c>
      <c r="AA76" s="26">
        <v>46234</v>
      </c>
      <c r="AB76" s="44">
        <f t="shared" si="11"/>
        <v>1</v>
      </c>
      <c r="AC76" s="24" t="str">
        <f>IF(G76="已完成","正常",IF(OR(G76="暂停",G76="挂起"),"暂停",IF(J76="","日期缺失",IF(J76&lt;项目驾驶舱!$B$3,"已延期",IF(J76&lt;=项目驾驶舱!$B$3+7,"临近到期","正常")))))</f>
        <v>正常</v>
      </c>
      <c r="AD76" s="24" t="s">
        <v>69</v>
      </c>
      <c r="AE76" s="24" t="s">
        <v>69</v>
      </c>
    </row>
    <row r="77" ht="17" customHeight="1" spans="1:31">
      <c r="A77" s="24" t="s">
        <v>239</v>
      </c>
      <c r="B77" s="24" t="s">
        <v>92</v>
      </c>
      <c r="C77" s="24" t="s">
        <v>237</v>
      </c>
      <c r="D77" s="24" t="s">
        <v>240</v>
      </c>
      <c r="E77" s="24" t="s">
        <v>64</v>
      </c>
      <c r="F77" s="24" t="s">
        <v>25</v>
      </c>
      <c r="G77" s="24" t="str">
        <f t="shared" si="7"/>
        <v>已完成</v>
      </c>
      <c r="H77" s="24" t="str">
        <f t="shared" si="8"/>
        <v>郑士旺</v>
      </c>
      <c r="I77" s="26">
        <f t="shared" si="9"/>
        <v>46202</v>
      </c>
      <c r="J77" s="26">
        <f t="shared" si="10"/>
        <v>46224</v>
      </c>
      <c r="K77" s="26">
        <v>46224</v>
      </c>
      <c r="L77" s="24" t="s">
        <v>65</v>
      </c>
      <c r="M77" s="24" t="s">
        <v>3</v>
      </c>
      <c r="N77" s="26">
        <v>46202</v>
      </c>
      <c r="O77" s="26">
        <v>46206</v>
      </c>
      <c r="P77" s="24" t="s">
        <v>66</v>
      </c>
      <c r="Q77" s="24" t="s">
        <v>3</v>
      </c>
      <c r="R77" s="26">
        <v>46227</v>
      </c>
      <c r="S77" s="26">
        <v>46227</v>
      </c>
      <c r="T77" s="24" t="s">
        <v>67</v>
      </c>
      <c r="U77" s="24" t="s">
        <v>3</v>
      </c>
      <c r="V77" s="26">
        <v>46227</v>
      </c>
      <c r="W77" s="26">
        <v>46227</v>
      </c>
      <c r="X77" s="24" t="s">
        <v>68</v>
      </c>
      <c r="Y77" s="24" t="s">
        <v>3</v>
      </c>
      <c r="Z77" s="26">
        <v>46216</v>
      </c>
      <c r="AA77" s="26">
        <v>46234</v>
      </c>
      <c r="AB77" s="44">
        <f t="shared" si="11"/>
        <v>1</v>
      </c>
      <c r="AC77" s="24" t="str">
        <f>IF(G77="已完成","正常",IF(OR(G77="暂停",G77="挂起"),"暂停",IF(J77="","日期缺失",IF(J77&lt;项目驾驶舱!$B$3,"已延期",IF(J77&lt;=项目驾驶舱!$B$3+7,"临近到期","正常")))))</f>
        <v>正常</v>
      </c>
      <c r="AD77" s="24" t="s">
        <v>69</v>
      </c>
      <c r="AE77" s="24" t="s">
        <v>69</v>
      </c>
    </row>
    <row r="78" ht="17" customHeight="1" spans="1:31">
      <c r="A78" s="24" t="s">
        <v>241</v>
      </c>
      <c r="B78" s="24" t="s">
        <v>92</v>
      </c>
      <c r="C78" s="24" t="s">
        <v>237</v>
      </c>
      <c r="D78" s="24" t="s">
        <v>242</v>
      </c>
      <c r="E78" s="24" t="s">
        <v>64</v>
      </c>
      <c r="F78" s="24" t="s">
        <v>25</v>
      </c>
      <c r="G78" s="24" t="str">
        <f t="shared" si="7"/>
        <v>已完成</v>
      </c>
      <c r="H78" s="24" t="str">
        <f t="shared" si="8"/>
        <v>郑士旺</v>
      </c>
      <c r="I78" s="26">
        <f t="shared" si="9"/>
        <v>46202</v>
      </c>
      <c r="J78" s="26">
        <f t="shared" si="10"/>
        <v>46224</v>
      </c>
      <c r="K78" s="26">
        <v>46224</v>
      </c>
      <c r="L78" s="24" t="s">
        <v>65</v>
      </c>
      <c r="M78" s="24" t="s">
        <v>3</v>
      </c>
      <c r="N78" s="26">
        <v>46202</v>
      </c>
      <c r="O78" s="26">
        <v>46206</v>
      </c>
      <c r="P78" s="24" t="s">
        <v>66</v>
      </c>
      <c r="Q78" s="24" t="s">
        <v>3</v>
      </c>
      <c r="R78" s="26">
        <v>46227</v>
      </c>
      <c r="S78" s="26">
        <v>46227</v>
      </c>
      <c r="T78" s="24" t="s">
        <v>67</v>
      </c>
      <c r="U78" s="24" t="s">
        <v>3</v>
      </c>
      <c r="V78" s="26">
        <v>46227</v>
      </c>
      <c r="W78" s="26">
        <v>46227</v>
      </c>
      <c r="X78" s="24" t="s">
        <v>68</v>
      </c>
      <c r="Y78" s="24" t="s">
        <v>3</v>
      </c>
      <c r="Z78" s="26">
        <v>46216</v>
      </c>
      <c r="AA78" s="26">
        <v>46234</v>
      </c>
      <c r="AB78" s="44">
        <f t="shared" si="11"/>
        <v>1</v>
      </c>
      <c r="AC78" s="24" t="str">
        <f>IF(G78="已完成","正常",IF(OR(G78="暂停",G78="挂起"),"暂停",IF(J78="","日期缺失",IF(J78&lt;项目驾驶舱!$B$3,"已延期",IF(J78&lt;=项目驾驶舱!$B$3+7,"临近到期","正常")))))</f>
        <v>正常</v>
      </c>
      <c r="AD78" s="24" t="s">
        <v>69</v>
      </c>
      <c r="AE78" s="24" t="s">
        <v>69</v>
      </c>
    </row>
    <row r="79" ht="17" customHeight="1" spans="1:31">
      <c r="A79" s="24" t="s">
        <v>243</v>
      </c>
      <c r="B79" s="24" t="s">
        <v>92</v>
      </c>
      <c r="C79" s="24" t="s">
        <v>237</v>
      </c>
      <c r="D79" s="24" t="s">
        <v>244</v>
      </c>
      <c r="E79" s="24" t="s">
        <v>64</v>
      </c>
      <c r="F79" s="24" t="s">
        <v>25</v>
      </c>
      <c r="G79" s="24" t="str">
        <f t="shared" si="7"/>
        <v>已完成</v>
      </c>
      <c r="H79" s="24" t="str">
        <f t="shared" si="8"/>
        <v>郑士旺</v>
      </c>
      <c r="I79" s="26">
        <f t="shared" si="9"/>
        <v>46202</v>
      </c>
      <c r="J79" s="26">
        <f t="shared" si="10"/>
        <v>46224</v>
      </c>
      <c r="K79" s="26">
        <v>46224</v>
      </c>
      <c r="L79" s="24" t="s">
        <v>65</v>
      </c>
      <c r="M79" s="24" t="s">
        <v>3</v>
      </c>
      <c r="N79" s="26">
        <v>46202</v>
      </c>
      <c r="O79" s="26">
        <v>46206</v>
      </c>
      <c r="P79" s="24" t="s">
        <v>66</v>
      </c>
      <c r="Q79" s="24" t="s">
        <v>3</v>
      </c>
      <c r="R79" s="26">
        <v>46227</v>
      </c>
      <c r="S79" s="26">
        <v>46227</v>
      </c>
      <c r="T79" s="24" t="s">
        <v>67</v>
      </c>
      <c r="U79" s="24" t="s">
        <v>3</v>
      </c>
      <c r="V79" s="26">
        <v>46227</v>
      </c>
      <c r="W79" s="26">
        <v>46227</v>
      </c>
      <c r="X79" s="24" t="s">
        <v>68</v>
      </c>
      <c r="Y79" s="24" t="s">
        <v>3</v>
      </c>
      <c r="Z79" s="26">
        <v>46216</v>
      </c>
      <c r="AA79" s="26">
        <v>46234</v>
      </c>
      <c r="AB79" s="44">
        <f t="shared" si="11"/>
        <v>1</v>
      </c>
      <c r="AC79" s="24" t="str">
        <f>IF(G79="已完成","正常",IF(OR(G79="暂停",G79="挂起"),"暂停",IF(J79="","日期缺失",IF(J79&lt;项目驾驶舱!$B$3,"已延期",IF(J79&lt;=项目驾驶舱!$B$3+7,"临近到期","正常")))))</f>
        <v>正常</v>
      </c>
      <c r="AD79" s="24" t="s">
        <v>69</v>
      </c>
      <c r="AE79" s="24" t="s">
        <v>69</v>
      </c>
    </row>
    <row r="80" ht="17" customHeight="1" spans="1:31">
      <c r="A80" s="24" t="s">
        <v>245</v>
      </c>
      <c r="B80" s="24" t="s">
        <v>92</v>
      </c>
      <c r="C80" s="24" t="s">
        <v>237</v>
      </c>
      <c r="D80" s="24" t="s">
        <v>246</v>
      </c>
      <c r="E80" s="24" t="s">
        <v>64</v>
      </c>
      <c r="F80" s="24" t="s">
        <v>25</v>
      </c>
      <c r="G80" s="24" t="str">
        <f t="shared" si="7"/>
        <v>已完成</v>
      </c>
      <c r="H80" s="24" t="str">
        <f t="shared" si="8"/>
        <v>郑士旺</v>
      </c>
      <c r="I80" s="26">
        <f t="shared" si="9"/>
        <v>46202</v>
      </c>
      <c r="J80" s="26">
        <f t="shared" si="10"/>
        <v>46224</v>
      </c>
      <c r="K80" s="26">
        <v>46224</v>
      </c>
      <c r="L80" s="24" t="s">
        <v>65</v>
      </c>
      <c r="M80" s="24" t="s">
        <v>3</v>
      </c>
      <c r="N80" s="26">
        <v>46202</v>
      </c>
      <c r="O80" s="26">
        <v>46206</v>
      </c>
      <c r="P80" s="24" t="s">
        <v>66</v>
      </c>
      <c r="Q80" s="24" t="s">
        <v>3</v>
      </c>
      <c r="R80" s="26">
        <v>46227</v>
      </c>
      <c r="S80" s="26">
        <v>46227</v>
      </c>
      <c r="T80" s="24" t="s">
        <v>67</v>
      </c>
      <c r="U80" s="24" t="s">
        <v>3</v>
      </c>
      <c r="V80" s="26">
        <v>46227</v>
      </c>
      <c r="W80" s="26">
        <v>46227</v>
      </c>
      <c r="X80" s="24" t="s">
        <v>68</v>
      </c>
      <c r="Y80" s="24" t="s">
        <v>3</v>
      </c>
      <c r="Z80" s="26">
        <v>46216</v>
      </c>
      <c r="AA80" s="26">
        <v>46234</v>
      </c>
      <c r="AB80" s="44">
        <f t="shared" si="11"/>
        <v>1</v>
      </c>
      <c r="AC80" s="24" t="str">
        <f>IF(G80="已完成","正常",IF(OR(G80="暂停",G80="挂起"),"暂停",IF(J80="","日期缺失",IF(J80&lt;项目驾驶舱!$B$3,"已延期",IF(J80&lt;=项目驾驶舱!$B$3+7,"临近到期","正常")))))</f>
        <v>正常</v>
      </c>
      <c r="AD80" s="24" t="s">
        <v>69</v>
      </c>
      <c r="AE80" s="24" t="s">
        <v>69</v>
      </c>
    </row>
    <row r="81" ht="17" customHeight="1" spans="1:31">
      <c r="A81" s="24" t="s">
        <v>247</v>
      </c>
      <c r="B81" s="24" t="s">
        <v>248</v>
      </c>
      <c r="C81" s="24" t="s">
        <v>249</v>
      </c>
      <c r="D81" s="24" t="s">
        <v>250</v>
      </c>
      <c r="E81" s="24" t="s">
        <v>64</v>
      </c>
      <c r="F81" s="24" t="s">
        <v>26</v>
      </c>
      <c r="G81" s="24" t="str">
        <f t="shared" ref="G81:G97" si="12">IF(OR(M81="挂起",M81="暂停",Q81="挂起",Q81="暂停",U81="挂起",U81="暂停",Y81="挂起",Y81="暂停"),"暂停","未开始")</f>
        <v>未开始</v>
      </c>
      <c r="H81" s="24" t="str">
        <f t="shared" si="8"/>
        <v>郑士旺</v>
      </c>
      <c r="I81" s="26">
        <f t="shared" si="9"/>
        <v>46223</v>
      </c>
      <c r="J81" s="26">
        <f t="shared" si="10"/>
        <v>46339</v>
      </c>
      <c r="K81" s="26"/>
      <c r="L81" s="24" t="s">
        <v>65</v>
      </c>
      <c r="M81" s="24" t="s">
        <v>5</v>
      </c>
      <c r="N81" s="26">
        <v>46223</v>
      </c>
      <c r="O81" s="26">
        <v>46227</v>
      </c>
      <c r="P81" s="24" t="s">
        <v>66</v>
      </c>
      <c r="Q81" s="24" t="s">
        <v>5</v>
      </c>
      <c r="R81" s="26">
        <v>46307</v>
      </c>
      <c r="S81" s="26">
        <v>46339</v>
      </c>
      <c r="T81" s="24" t="s">
        <v>67</v>
      </c>
      <c r="U81" s="24" t="s">
        <v>5</v>
      </c>
      <c r="V81" s="26">
        <v>46307</v>
      </c>
      <c r="W81" s="26">
        <v>46339</v>
      </c>
      <c r="X81" s="24" t="s">
        <v>68</v>
      </c>
      <c r="Y81" s="24" t="s">
        <v>5</v>
      </c>
      <c r="Z81" s="26">
        <v>46307</v>
      </c>
      <c r="AA81" s="26">
        <v>46318</v>
      </c>
      <c r="AB81" s="44">
        <f t="shared" si="11"/>
        <v>0</v>
      </c>
      <c r="AC81" s="24" t="str">
        <f>IF(G81="已完成","正常",IF(OR(G81="暂停",G81="挂起"),"暂停",IF(J81="","日期缺失",IF(J81&lt;项目驾驶舱!$B$3,"已延期",IF(J81&lt;=项目驾驶舱!$B$3+7,"临近到期","正常")))))</f>
        <v>正常</v>
      </c>
      <c r="AD81" s="24" t="s">
        <v>69</v>
      </c>
      <c r="AE81" s="24" t="s">
        <v>69</v>
      </c>
    </row>
    <row r="82" ht="17" customHeight="1" spans="1:31">
      <c r="A82" s="24" t="s">
        <v>251</v>
      </c>
      <c r="B82" s="24" t="s">
        <v>248</v>
      </c>
      <c r="C82" s="24" t="s">
        <v>249</v>
      </c>
      <c r="D82" s="24" t="s">
        <v>252</v>
      </c>
      <c r="E82" s="24" t="s">
        <v>64</v>
      </c>
      <c r="F82" s="24" t="s">
        <v>26</v>
      </c>
      <c r="G82" s="24" t="str">
        <f t="shared" si="12"/>
        <v>未开始</v>
      </c>
      <c r="H82" s="24" t="str">
        <f t="shared" si="8"/>
        <v>郑士旺</v>
      </c>
      <c r="I82" s="26">
        <f t="shared" si="9"/>
        <v>46223</v>
      </c>
      <c r="J82" s="26">
        <f t="shared" si="10"/>
        <v>46339</v>
      </c>
      <c r="K82" s="26"/>
      <c r="L82" s="24" t="s">
        <v>65</v>
      </c>
      <c r="M82" s="24" t="s">
        <v>5</v>
      </c>
      <c r="N82" s="26">
        <v>46223</v>
      </c>
      <c r="O82" s="26">
        <v>46227</v>
      </c>
      <c r="P82" s="24" t="s">
        <v>66</v>
      </c>
      <c r="Q82" s="24" t="s">
        <v>5</v>
      </c>
      <c r="R82" s="26">
        <v>46307</v>
      </c>
      <c r="S82" s="26">
        <v>46339</v>
      </c>
      <c r="T82" s="24" t="s">
        <v>67</v>
      </c>
      <c r="U82" s="24" t="s">
        <v>5</v>
      </c>
      <c r="V82" s="26">
        <v>46307</v>
      </c>
      <c r="W82" s="26">
        <v>46339</v>
      </c>
      <c r="X82" s="24" t="s">
        <v>68</v>
      </c>
      <c r="Y82" s="24" t="s">
        <v>5</v>
      </c>
      <c r="Z82" s="26">
        <v>46307</v>
      </c>
      <c r="AA82" s="26">
        <v>46318</v>
      </c>
      <c r="AB82" s="44">
        <f t="shared" si="11"/>
        <v>0</v>
      </c>
      <c r="AC82" s="24" t="str">
        <f>IF(G82="已完成","正常",IF(OR(G82="暂停",G82="挂起"),"暂停",IF(J82="","日期缺失",IF(J82&lt;项目驾驶舱!$B$3,"已延期",IF(J82&lt;=项目驾驶舱!$B$3+7,"临近到期","正常")))))</f>
        <v>正常</v>
      </c>
      <c r="AD82" s="24" t="s">
        <v>69</v>
      </c>
      <c r="AE82" s="24" t="s">
        <v>69</v>
      </c>
    </row>
    <row r="83" ht="17" customHeight="1" spans="1:31">
      <c r="A83" s="24" t="s">
        <v>253</v>
      </c>
      <c r="B83" s="24" t="s">
        <v>248</v>
      </c>
      <c r="C83" s="24" t="s">
        <v>249</v>
      </c>
      <c r="D83" s="24" t="s">
        <v>254</v>
      </c>
      <c r="E83" s="24" t="s">
        <v>64</v>
      </c>
      <c r="F83" s="24" t="s">
        <v>26</v>
      </c>
      <c r="G83" s="24" t="str">
        <f t="shared" si="12"/>
        <v>未开始</v>
      </c>
      <c r="H83" s="24" t="str">
        <f t="shared" si="8"/>
        <v>郑士旺</v>
      </c>
      <c r="I83" s="26">
        <f t="shared" si="9"/>
        <v>46223</v>
      </c>
      <c r="J83" s="26">
        <f t="shared" si="10"/>
        <v>46261</v>
      </c>
      <c r="K83" s="26">
        <v>46261</v>
      </c>
      <c r="L83" s="24" t="s">
        <v>65</v>
      </c>
      <c r="M83" s="24" t="s">
        <v>5</v>
      </c>
      <c r="N83" s="26">
        <v>46223</v>
      </c>
      <c r="O83" s="26">
        <v>46227</v>
      </c>
      <c r="P83" s="24" t="s">
        <v>66</v>
      </c>
      <c r="Q83" s="24" t="s">
        <v>5</v>
      </c>
      <c r="R83" s="26">
        <v>46307</v>
      </c>
      <c r="S83" s="26">
        <v>46339</v>
      </c>
      <c r="T83" s="24" t="s">
        <v>67</v>
      </c>
      <c r="U83" s="24" t="s">
        <v>5</v>
      </c>
      <c r="V83" s="26">
        <v>46307</v>
      </c>
      <c r="W83" s="26">
        <v>46339</v>
      </c>
      <c r="X83" s="24" t="s">
        <v>68</v>
      </c>
      <c r="Y83" s="24" t="s">
        <v>5</v>
      </c>
      <c r="Z83" s="26">
        <v>46307</v>
      </c>
      <c r="AA83" s="26">
        <v>46318</v>
      </c>
      <c r="AB83" s="44">
        <f t="shared" si="11"/>
        <v>0</v>
      </c>
      <c r="AC83" s="24" t="str">
        <f>IF(G83="已完成","正常",IF(OR(G83="暂停",G83="挂起"),"暂停",IF(J83="","日期缺失",IF(J83&lt;项目驾驶舱!$B$3,"已延期",IF(J83&lt;=项目驾驶舱!$B$3+7,"临近到期","正常")))))</f>
        <v>已延期</v>
      </c>
      <c r="AD83" s="24" t="s">
        <v>69</v>
      </c>
      <c r="AE83" s="24" t="s">
        <v>69</v>
      </c>
    </row>
    <row r="84" ht="17" customHeight="1" spans="1:31">
      <c r="A84" s="24" t="s">
        <v>255</v>
      </c>
      <c r="B84" s="24" t="s">
        <v>248</v>
      </c>
      <c r="C84" s="24" t="s">
        <v>256</v>
      </c>
      <c r="D84" s="24" t="s">
        <v>257</v>
      </c>
      <c r="E84" s="24" t="s">
        <v>64</v>
      </c>
      <c r="F84" s="24" t="s">
        <v>26</v>
      </c>
      <c r="G84" s="24" t="str">
        <f t="shared" si="12"/>
        <v>未开始</v>
      </c>
      <c r="H84" s="24" t="str">
        <f t="shared" si="8"/>
        <v>郑士旺</v>
      </c>
      <c r="I84" s="26">
        <f t="shared" si="9"/>
        <v>46230</v>
      </c>
      <c r="J84" s="26">
        <f t="shared" si="10"/>
        <v>46353</v>
      </c>
      <c r="K84" s="26"/>
      <c r="L84" s="24" t="s">
        <v>65</v>
      </c>
      <c r="M84" s="24" t="s">
        <v>5</v>
      </c>
      <c r="N84" s="26">
        <v>46230</v>
      </c>
      <c r="O84" s="26">
        <v>46241</v>
      </c>
      <c r="P84" s="24" t="s">
        <v>66</v>
      </c>
      <c r="Q84" s="24" t="s">
        <v>5</v>
      </c>
      <c r="R84" s="26">
        <v>46307</v>
      </c>
      <c r="S84" s="26">
        <v>46339</v>
      </c>
      <c r="T84" s="24" t="s">
        <v>67</v>
      </c>
      <c r="U84" s="24" t="s">
        <v>5</v>
      </c>
      <c r="V84" s="26">
        <v>46307</v>
      </c>
      <c r="W84" s="26">
        <v>46339</v>
      </c>
      <c r="X84" s="24" t="s">
        <v>68</v>
      </c>
      <c r="Y84" s="24" t="s">
        <v>5</v>
      </c>
      <c r="Z84" s="26">
        <v>46342</v>
      </c>
      <c r="AA84" s="26">
        <v>46353</v>
      </c>
      <c r="AB84" s="44">
        <f t="shared" si="11"/>
        <v>0</v>
      </c>
      <c r="AC84" s="24" t="str">
        <f>IF(G84="已完成","正常",IF(OR(G84="暂停",G84="挂起"),"暂停",IF(J84="","日期缺失",IF(J84&lt;项目驾驶舱!$B$3,"已延期",IF(J84&lt;=项目驾驶舱!$B$3+7,"临近到期","正常")))))</f>
        <v>正常</v>
      </c>
      <c r="AD84" s="24" t="s">
        <v>69</v>
      </c>
      <c r="AE84" s="24" t="s">
        <v>69</v>
      </c>
    </row>
    <row r="85" ht="17" customHeight="1" spans="1:31">
      <c r="A85" s="24" t="s">
        <v>258</v>
      </c>
      <c r="B85" s="24" t="s">
        <v>248</v>
      </c>
      <c r="C85" s="24" t="s">
        <v>256</v>
      </c>
      <c r="D85" s="24" t="s">
        <v>259</v>
      </c>
      <c r="E85" s="24" t="s">
        <v>64</v>
      </c>
      <c r="F85" s="24" t="s">
        <v>26</v>
      </c>
      <c r="G85" s="24" t="str">
        <f t="shared" si="12"/>
        <v>未开始</v>
      </c>
      <c r="H85" s="24" t="str">
        <f t="shared" si="8"/>
        <v>郑士旺</v>
      </c>
      <c r="I85" s="26">
        <f t="shared" si="9"/>
        <v>46230</v>
      </c>
      <c r="J85" s="26">
        <f t="shared" si="10"/>
        <v>46224</v>
      </c>
      <c r="K85" s="26">
        <v>46224</v>
      </c>
      <c r="L85" s="24" t="s">
        <v>65</v>
      </c>
      <c r="M85" s="24" t="s">
        <v>5</v>
      </c>
      <c r="N85" s="26">
        <v>46230</v>
      </c>
      <c r="O85" s="26">
        <v>46241</v>
      </c>
      <c r="P85" s="24" t="s">
        <v>66</v>
      </c>
      <c r="Q85" s="24" t="s">
        <v>5</v>
      </c>
      <c r="R85" s="26">
        <v>46307</v>
      </c>
      <c r="S85" s="26">
        <v>46339</v>
      </c>
      <c r="T85" s="24" t="s">
        <v>67</v>
      </c>
      <c r="U85" s="24" t="s">
        <v>5</v>
      </c>
      <c r="V85" s="26">
        <v>46307</v>
      </c>
      <c r="W85" s="26">
        <v>46339</v>
      </c>
      <c r="X85" s="24" t="s">
        <v>68</v>
      </c>
      <c r="Y85" s="24" t="s">
        <v>5</v>
      </c>
      <c r="Z85" s="26">
        <v>46342</v>
      </c>
      <c r="AA85" s="26">
        <v>46353</v>
      </c>
      <c r="AB85" s="44">
        <f t="shared" si="11"/>
        <v>0</v>
      </c>
      <c r="AC85" s="24" t="str">
        <f>IF(G85="已完成","正常",IF(OR(G85="暂停",G85="挂起"),"暂停",IF(J85="","日期缺失",IF(J85&lt;项目驾驶舱!$B$3,"已延期",IF(J85&lt;=项目驾驶舱!$B$3+7,"临近到期","正常")))))</f>
        <v>已延期</v>
      </c>
      <c r="AD85" s="24" t="s">
        <v>69</v>
      </c>
      <c r="AE85" s="24" t="s">
        <v>69</v>
      </c>
    </row>
    <row r="86" ht="17" customHeight="1" spans="1:31">
      <c r="A86" s="24" t="s">
        <v>260</v>
      </c>
      <c r="B86" s="24" t="s">
        <v>248</v>
      </c>
      <c r="C86" s="24" t="s">
        <v>261</v>
      </c>
      <c r="D86" s="24" t="s">
        <v>257</v>
      </c>
      <c r="E86" s="24" t="s">
        <v>64</v>
      </c>
      <c r="F86" s="24" t="s">
        <v>26</v>
      </c>
      <c r="G86" s="24" t="str">
        <f t="shared" si="12"/>
        <v>未开始</v>
      </c>
      <c r="H86" s="24" t="str">
        <f t="shared" si="8"/>
        <v>郑士旺</v>
      </c>
      <c r="I86" s="26">
        <f t="shared" si="9"/>
        <v>46230</v>
      </c>
      <c r="J86" s="26">
        <f t="shared" si="10"/>
        <v>46224</v>
      </c>
      <c r="K86" s="26">
        <v>46224</v>
      </c>
      <c r="L86" s="24" t="s">
        <v>65</v>
      </c>
      <c r="M86" s="24" t="s">
        <v>5</v>
      </c>
      <c r="N86" s="26">
        <v>46230</v>
      </c>
      <c r="O86" s="26">
        <v>46241</v>
      </c>
      <c r="P86" s="24" t="s">
        <v>66</v>
      </c>
      <c r="Q86" s="24" t="s">
        <v>5</v>
      </c>
      <c r="R86" s="26">
        <v>46307</v>
      </c>
      <c r="S86" s="26">
        <v>46339</v>
      </c>
      <c r="T86" s="24" t="s">
        <v>67</v>
      </c>
      <c r="U86" s="24" t="s">
        <v>5</v>
      </c>
      <c r="V86" s="26">
        <v>46307</v>
      </c>
      <c r="W86" s="26">
        <v>46339</v>
      </c>
      <c r="X86" s="24" t="s">
        <v>68</v>
      </c>
      <c r="Y86" s="24" t="s">
        <v>5</v>
      </c>
      <c r="Z86" s="26">
        <v>46342</v>
      </c>
      <c r="AA86" s="26">
        <v>46353</v>
      </c>
      <c r="AB86" s="44">
        <f t="shared" si="11"/>
        <v>0</v>
      </c>
      <c r="AC86" s="24" t="str">
        <f>IF(G86="已完成","正常",IF(OR(G86="暂停",G86="挂起"),"暂停",IF(J86="","日期缺失",IF(J86&lt;项目驾驶舱!$B$3,"已延期",IF(J86&lt;=项目驾驶舱!$B$3+7,"临近到期","正常")))))</f>
        <v>已延期</v>
      </c>
      <c r="AD86" s="24" t="s">
        <v>69</v>
      </c>
      <c r="AE86" s="24" t="s">
        <v>69</v>
      </c>
    </row>
    <row r="87" ht="17" customHeight="1" spans="1:31">
      <c r="A87" s="24" t="s">
        <v>262</v>
      </c>
      <c r="B87" s="24" t="s">
        <v>248</v>
      </c>
      <c r="C87" s="24" t="s">
        <v>261</v>
      </c>
      <c r="D87" s="24" t="s">
        <v>263</v>
      </c>
      <c r="E87" s="24" t="s">
        <v>64</v>
      </c>
      <c r="F87" s="24" t="s">
        <v>26</v>
      </c>
      <c r="G87" s="24" t="str">
        <f t="shared" si="12"/>
        <v>未开始</v>
      </c>
      <c r="H87" s="24" t="str">
        <f t="shared" si="8"/>
        <v>郑士旺</v>
      </c>
      <c r="I87" s="26">
        <f t="shared" si="9"/>
        <v>46230</v>
      </c>
      <c r="J87" s="26">
        <f t="shared" si="10"/>
        <v>46224</v>
      </c>
      <c r="K87" s="26">
        <v>46224</v>
      </c>
      <c r="L87" s="24" t="s">
        <v>65</v>
      </c>
      <c r="M87" s="24" t="s">
        <v>5</v>
      </c>
      <c r="N87" s="26">
        <v>46230</v>
      </c>
      <c r="O87" s="26">
        <v>46241</v>
      </c>
      <c r="P87" s="24" t="s">
        <v>66</v>
      </c>
      <c r="Q87" s="24" t="s">
        <v>5</v>
      </c>
      <c r="R87" s="26">
        <v>46307</v>
      </c>
      <c r="S87" s="26">
        <v>46339</v>
      </c>
      <c r="T87" s="24" t="s">
        <v>67</v>
      </c>
      <c r="U87" s="24" t="s">
        <v>5</v>
      </c>
      <c r="V87" s="26">
        <v>46307</v>
      </c>
      <c r="W87" s="26">
        <v>46339</v>
      </c>
      <c r="X87" s="24" t="s">
        <v>68</v>
      </c>
      <c r="Y87" s="24" t="s">
        <v>5</v>
      </c>
      <c r="Z87" s="26">
        <v>46342</v>
      </c>
      <c r="AA87" s="26">
        <v>46353</v>
      </c>
      <c r="AB87" s="44">
        <f t="shared" si="11"/>
        <v>0</v>
      </c>
      <c r="AC87" s="24" t="str">
        <f>IF(G87="已完成","正常",IF(OR(G87="暂停",G87="挂起"),"暂停",IF(J87="","日期缺失",IF(J87&lt;项目驾驶舱!$B$3,"已延期",IF(J87&lt;=项目驾驶舱!$B$3+7,"临近到期","正常")))))</f>
        <v>已延期</v>
      </c>
      <c r="AD87" s="24" t="s">
        <v>69</v>
      </c>
      <c r="AE87" s="24" t="s">
        <v>69</v>
      </c>
    </row>
    <row r="88" ht="17" customHeight="1" spans="1:31">
      <c r="A88" s="24" t="s">
        <v>264</v>
      </c>
      <c r="B88" s="24" t="s">
        <v>248</v>
      </c>
      <c r="C88" s="24" t="s">
        <v>265</v>
      </c>
      <c r="D88" s="24" t="s">
        <v>257</v>
      </c>
      <c r="E88" s="24" t="s">
        <v>64</v>
      </c>
      <c r="F88" s="24" t="s">
        <v>26</v>
      </c>
      <c r="G88" s="24" t="str">
        <f t="shared" si="12"/>
        <v>未开始</v>
      </c>
      <c r="H88" s="24" t="str">
        <f t="shared" si="8"/>
        <v>郑士旺</v>
      </c>
      <c r="I88" s="26">
        <f t="shared" si="9"/>
        <v>46230</v>
      </c>
      <c r="J88" s="26">
        <f t="shared" si="10"/>
        <v>46224</v>
      </c>
      <c r="K88" s="26">
        <v>46224</v>
      </c>
      <c r="L88" s="24" t="s">
        <v>65</v>
      </c>
      <c r="M88" s="24" t="s">
        <v>5</v>
      </c>
      <c r="N88" s="26">
        <v>46230</v>
      </c>
      <c r="O88" s="26">
        <v>46241</v>
      </c>
      <c r="P88" s="24" t="s">
        <v>66</v>
      </c>
      <c r="Q88" s="24" t="s">
        <v>5</v>
      </c>
      <c r="R88" s="26">
        <v>46307</v>
      </c>
      <c r="S88" s="26">
        <v>46339</v>
      </c>
      <c r="T88" s="24" t="s">
        <v>67</v>
      </c>
      <c r="U88" s="24" t="s">
        <v>5</v>
      </c>
      <c r="V88" s="26">
        <v>46307</v>
      </c>
      <c r="W88" s="26">
        <v>46339</v>
      </c>
      <c r="X88" s="24" t="s">
        <v>68</v>
      </c>
      <c r="Y88" s="24" t="s">
        <v>5</v>
      </c>
      <c r="Z88" s="26">
        <v>46342</v>
      </c>
      <c r="AA88" s="26">
        <v>46353</v>
      </c>
      <c r="AB88" s="44">
        <f t="shared" si="11"/>
        <v>0</v>
      </c>
      <c r="AC88" s="24" t="str">
        <f>IF(G88="已完成","正常",IF(OR(G88="暂停",G88="挂起"),"暂停",IF(J88="","日期缺失",IF(J88&lt;项目驾驶舱!$B$3,"已延期",IF(J88&lt;=项目驾驶舱!$B$3+7,"临近到期","正常")))))</f>
        <v>已延期</v>
      </c>
      <c r="AD88" s="24" t="s">
        <v>69</v>
      </c>
      <c r="AE88" s="24" t="s">
        <v>69</v>
      </c>
    </row>
    <row r="89" ht="17" customHeight="1" spans="1:31">
      <c r="A89" s="24" t="s">
        <v>266</v>
      </c>
      <c r="B89" s="24" t="s">
        <v>248</v>
      </c>
      <c r="C89" s="24" t="s">
        <v>265</v>
      </c>
      <c r="D89" s="24" t="s">
        <v>259</v>
      </c>
      <c r="E89" s="24" t="s">
        <v>64</v>
      </c>
      <c r="F89" s="24" t="s">
        <v>26</v>
      </c>
      <c r="G89" s="24" t="str">
        <f t="shared" si="12"/>
        <v>未开始</v>
      </c>
      <c r="H89" s="24" t="str">
        <f t="shared" si="8"/>
        <v>郑士旺</v>
      </c>
      <c r="I89" s="26">
        <f t="shared" si="9"/>
        <v>46230</v>
      </c>
      <c r="J89" s="26">
        <f t="shared" si="10"/>
        <v>46224</v>
      </c>
      <c r="K89" s="26">
        <v>46224</v>
      </c>
      <c r="L89" s="24" t="s">
        <v>65</v>
      </c>
      <c r="M89" s="24" t="s">
        <v>5</v>
      </c>
      <c r="N89" s="26">
        <v>46230</v>
      </c>
      <c r="O89" s="26">
        <v>46241</v>
      </c>
      <c r="P89" s="24" t="s">
        <v>66</v>
      </c>
      <c r="Q89" s="24" t="s">
        <v>5</v>
      </c>
      <c r="R89" s="26">
        <v>46307</v>
      </c>
      <c r="S89" s="26">
        <v>46339</v>
      </c>
      <c r="T89" s="24" t="s">
        <v>67</v>
      </c>
      <c r="U89" s="24" t="s">
        <v>5</v>
      </c>
      <c r="V89" s="26">
        <v>46307</v>
      </c>
      <c r="W89" s="26">
        <v>46339</v>
      </c>
      <c r="X89" s="24" t="s">
        <v>68</v>
      </c>
      <c r="Y89" s="24" t="s">
        <v>5</v>
      </c>
      <c r="Z89" s="26">
        <v>46342</v>
      </c>
      <c r="AA89" s="26">
        <v>46353</v>
      </c>
      <c r="AB89" s="44">
        <f t="shared" si="11"/>
        <v>0</v>
      </c>
      <c r="AC89" s="24" t="str">
        <f>IF(G89="已完成","正常",IF(OR(G89="暂停",G89="挂起"),"暂停",IF(J89="","日期缺失",IF(J89&lt;项目驾驶舱!$B$3,"已延期",IF(J89&lt;=项目驾驶舱!$B$3+7,"临近到期","正常")))))</f>
        <v>已延期</v>
      </c>
      <c r="AD89" s="24" t="s">
        <v>69</v>
      </c>
      <c r="AE89" s="24" t="s">
        <v>69</v>
      </c>
    </row>
    <row r="90" ht="17" customHeight="1" spans="1:31">
      <c r="A90" s="24" t="s">
        <v>267</v>
      </c>
      <c r="B90" s="24" t="s">
        <v>248</v>
      </c>
      <c r="C90" s="24" t="s">
        <v>268</v>
      </c>
      <c r="D90" s="24" t="s">
        <v>257</v>
      </c>
      <c r="E90" s="24" t="s">
        <v>64</v>
      </c>
      <c r="F90" s="24" t="s">
        <v>26</v>
      </c>
      <c r="G90" s="24" t="str">
        <f t="shared" si="12"/>
        <v>未开始</v>
      </c>
      <c r="H90" s="24" t="str">
        <f t="shared" si="8"/>
        <v>郑士旺</v>
      </c>
      <c r="I90" s="26">
        <f t="shared" si="9"/>
        <v>46230</v>
      </c>
      <c r="J90" s="26">
        <f t="shared" si="10"/>
        <v>46224</v>
      </c>
      <c r="K90" s="26">
        <v>46224</v>
      </c>
      <c r="L90" s="24" t="s">
        <v>65</v>
      </c>
      <c r="M90" s="24" t="s">
        <v>5</v>
      </c>
      <c r="N90" s="26">
        <v>46230</v>
      </c>
      <c r="O90" s="26">
        <v>46241</v>
      </c>
      <c r="P90" s="24" t="s">
        <v>66</v>
      </c>
      <c r="Q90" s="24" t="s">
        <v>5</v>
      </c>
      <c r="R90" s="26">
        <v>46307</v>
      </c>
      <c r="S90" s="26">
        <v>46339</v>
      </c>
      <c r="T90" s="24" t="s">
        <v>67</v>
      </c>
      <c r="U90" s="24" t="s">
        <v>5</v>
      </c>
      <c r="V90" s="26">
        <v>46307</v>
      </c>
      <c r="W90" s="26">
        <v>46339</v>
      </c>
      <c r="X90" s="24" t="s">
        <v>68</v>
      </c>
      <c r="Y90" s="24" t="s">
        <v>5</v>
      </c>
      <c r="Z90" s="26">
        <v>46342</v>
      </c>
      <c r="AA90" s="26">
        <v>46353</v>
      </c>
      <c r="AB90" s="44">
        <f t="shared" si="11"/>
        <v>0</v>
      </c>
      <c r="AC90" s="24" t="str">
        <f>IF(G90="已完成","正常",IF(OR(G90="暂停",G90="挂起"),"暂停",IF(J90="","日期缺失",IF(J90&lt;项目驾驶舱!$B$3,"已延期",IF(J90&lt;=项目驾驶舱!$B$3+7,"临近到期","正常")))))</f>
        <v>已延期</v>
      </c>
      <c r="AD90" s="24" t="s">
        <v>69</v>
      </c>
      <c r="AE90" s="24" t="s">
        <v>69</v>
      </c>
    </row>
    <row r="91" ht="17" customHeight="1" spans="1:31">
      <c r="A91" s="24" t="s">
        <v>269</v>
      </c>
      <c r="B91" s="24" t="s">
        <v>248</v>
      </c>
      <c r="C91" s="24" t="s">
        <v>268</v>
      </c>
      <c r="D91" s="24" t="s">
        <v>259</v>
      </c>
      <c r="E91" s="24" t="s">
        <v>64</v>
      </c>
      <c r="F91" s="24" t="s">
        <v>26</v>
      </c>
      <c r="G91" s="24" t="str">
        <f t="shared" si="12"/>
        <v>未开始</v>
      </c>
      <c r="H91" s="24" t="str">
        <f t="shared" si="8"/>
        <v>郑士旺</v>
      </c>
      <c r="I91" s="26">
        <f t="shared" si="9"/>
        <v>46230</v>
      </c>
      <c r="J91" s="26">
        <f t="shared" si="10"/>
        <v>46353</v>
      </c>
      <c r="K91" s="26"/>
      <c r="L91" s="24" t="s">
        <v>65</v>
      </c>
      <c r="M91" s="24" t="s">
        <v>5</v>
      </c>
      <c r="N91" s="26">
        <v>46230</v>
      </c>
      <c r="O91" s="26">
        <v>46241</v>
      </c>
      <c r="P91" s="24" t="s">
        <v>66</v>
      </c>
      <c r="Q91" s="24" t="s">
        <v>5</v>
      </c>
      <c r="R91" s="26">
        <v>46307</v>
      </c>
      <c r="S91" s="26">
        <v>46339</v>
      </c>
      <c r="T91" s="24" t="s">
        <v>67</v>
      </c>
      <c r="U91" s="24" t="s">
        <v>5</v>
      </c>
      <c r="V91" s="26">
        <v>46307</v>
      </c>
      <c r="W91" s="26">
        <v>46339</v>
      </c>
      <c r="X91" s="24" t="s">
        <v>68</v>
      </c>
      <c r="Y91" s="24" t="s">
        <v>5</v>
      </c>
      <c r="Z91" s="26">
        <v>46342</v>
      </c>
      <c r="AA91" s="26">
        <v>46353</v>
      </c>
      <c r="AB91" s="44">
        <f t="shared" si="11"/>
        <v>0</v>
      </c>
      <c r="AC91" s="24" t="str">
        <f>IF(G91="已完成","正常",IF(OR(G91="暂停",G91="挂起"),"暂停",IF(J91="","日期缺失",IF(J91&lt;项目驾驶舱!$B$3,"已延期",IF(J91&lt;=项目驾驶舱!$B$3+7,"临近到期","正常")))))</f>
        <v>正常</v>
      </c>
      <c r="AD91" s="24" t="s">
        <v>69</v>
      </c>
      <c r="AE91" s="24" t="s">
        <v>69</v>
      </c>
    </row>
    <row r="92" ht="17" customHeight="1" spans="1:31">
      <c r="A92" s="24" t="s">
        <v>270</v>
      </c>
      <c r="B92" s="24" t="s">
        <v>248</v>
      </c>
      <c r="C92" s="24" t="s">
        <v>271</v>
      </c>
      <c r="D92" s="24" t="s">
        <v>272</v>
      </c>
      <c r="E92" s="24" t="s">
        <v>64</v>
      </c>
      <c r="F92" s="24" t="s">
        <v>26</v>
      </c>
      <c r="G92" s="24" t="str">
        <f t="shared" si="12"/>
        <v>未开始</v>
      </c>
      <c r="H92" s="24" t="str">
        <f t="shared" si="8"/>
        <v>郑士旺</v>
      </c>
      <c r="I92" s="26">
        <f t="shared" si="9"/>
        <v>46230</v>
      </c>
      <c r="J92" s="26">
        <f t="shared" si="10"/>
        <v>46353</v>
      </c>
      <c r="K92" s="26"/>
      <c r="L92" s="24" t="s">
        <v>65</v>
      </c>
      <c r="M92" s="24" t="s">
        <v>5</v>
      </c>
      <c r="N92" s="26">
        <v>46230</v>
      </c>
      <c r="O92" s="26">
        <v>46241</v>
      </c>
      <c r="P92" s="24" t="s">
        <v>66</v>
      </c>
      <c r="Q92" s="24" t="s">
        <v>5</v>
      </c>
      <c r="R92" s="26">
        <v>46307</v>
      </c>
      <c r="S92" s="26">
        <v>46339</v>
      </c>
      <c r="T92" s="24" t="s">
        <v>67</v>
      </c>
      <c r="U92" s="24" t="s">
        <v>5</v>
      </c>
      <c r="V92" s="26">
        <v>46307</v>
      </c>
      <c r="W92" s="26">
        <v>46339</v>
      </c>
      <c r="X92" s="24" t="s">
        <v>68</v>
      </c>
      <c r="Y92" s="24" t="s">
        <v>5</v>
      </c>
      <c r="Z92" s="26">
        <v>46342</v>
      </c>
      <c r="AA92" s="26">
        <v>46353</v>
      </c>
      <c r="AB92" s="44">
        <f t="shared" si="11"/>
        <v>0</v>
      </c>
      <c r="AC92" s="24" t="str">
        <f>IF(G92="已完成","正常",IF(OR(G92="暂停",G92="挂起"),"暂停",IF(J92="","日期缺失",IF(J92&lt;项目驾驶舱!$B$3,"已延期",IF(J92&lt;=项目驾驶舱!$B$3+7,"临近到期","正常")))))</f>
        <v>正常</v>
      </c>
      <c r="AD92" s="24" t="s">
        <v>69</v>
      </c>
      <c r="AE92" s="24" t="s">
        <v>69</v>
      </c>
    </row>
    <row r="93" ht="17" customHeight="1" spans="1:31">
      <c r="A93" s="24" t="s">
        <v>273</v>
      </c>
      <c r="B93" s="24" t="s">
        <v>248</v>
      </c>
      <c r="C93" s="24" t="s">
        <v>271</v>
      </c>
      <c r="D93" s="24" t="s">
        <v>274</v>
      </c>
      <c r="E93" s="24" t="s">
        <v>64</v>
      </c>
      <c r="F93" s="24" t="s">
        <v>26</v>
      </c>
      <c r="G93" s="24" t="str">
        <f t="shared" si="12"/>
        <v>未开始</v>
      </c>
      <c r="H93" s="24" t="str">
        <f t="shared" si="8"/>
        <v>郑士旺</v>
      </c>
      <c r="I93" s="26">
        <f t="shared" si="9"/>
        <v>46230</v>
      </c>
      <c r="J93" s="26">
        <f t="shared" si="10"/>
        <v>46353</v>
      </c>
      <c r="K93" s="26"/>
      <c r="L93" s="24" t="s">
        <v>65</v>
      </c>
      <c r="M93" s="24" t="s">
        <v>5</v>
      </c>
      <c r="N93" s="26">
        <v>46230</v>
      </c>
      <c r="O93" s="26">
        <v>46241</v>
      </c>
      <c r="P93" s="24" t="s">
        <v>66</v>
      </c>
      <c r="Q93" s="24" t="s">
        <v>5</v>
      </c>
      <c r="R93" s="26">
        <v>46307</v>
      </c>
      <c r="S93" s="26">
        <v>46339</v>
      </c>
      <c r="T93" s="24" t="s">
        <v>67</v>
      </c>
      <c r="U93" s="24" t="s">
        <v>5</v>
      </c>
      <c r="V93" s="26">
        <v>46307</v>
      </c>
      <c r="W93" s="26">
        <v>46339</v>
      </c>
      <c r="X93" s="24" t="s">
        <v>68</v>
      </c>
      <c r="Y93" s="24" t="s">
        <v>5</v>
      </c>
      <c r="Z93" s="26">
        <v>46342</v>
      </c>
      <c r="AA93" s="26">
        <v>46353</v>
      </c>
      <c r="AB93" s="44">
        <f t="shared" si="11"/>
        <v>0</v>
      </c>
      <c r="AC93" s="24" t="str">
        <f>IF(G93="已完成","正常",IF(OR(G93="暂停",G93="挂起"),"暂停",IF(J93="","日期缺失",IF(J93&lt;项目驾驶舱!$B$3,"已延期",IF(J93&lt;=项目驾驶舱!$B$3+7,"临近到期","正常")))))</f>
        <v>正常</v>
      </c>
      <c r="AD93" s="24" t="s">
        <v>69</v>
      </c>
      <c r="AE93" s="24" t="s">
        <v>69</v>
      </c>
    </row>
    <row r="94" ht="34" customHeight="1" spans="1:31">
      <c r="A94" s="24" t="s">
        <v>275</v>
      </c>
      <c r="B94" s="24" t="s">
        <v>248</v>
      </c>
      <c r="C94" s="24" t="s">
        <v>271</v>
      </c>
      <c r="D94" s="24" t="s">
        <v>276</v>
      </c>
      <c r="E94" s="24" t="s">
        <v>64</v>
      </c>
      <c r="F94" s="24" t="s">
        <v>26</v>
      </c>
      <c r="G94" s="24" t="str">
        <f t="shared" si="12"/>
        <v>未开始</v>
      </c>
      <c r="H94" s="24" t="str">
        <f t="shared" si="8"/>
        <v>郑士旺</v>
      </c>
      <c r="I94" s="26">
        <f t="shared" si="9"/>
        <v>46230</v>
      </c>
      <c r="J94" s="26">
        <f t="shared" si="10"/>
        <v>46353</v>
      </c>
      <c r="K94" s="26"/>
      <c r="L94" s="24" t="s">
        <v>65</v>
      </c>
      <c r="M94" s="24" t="s">
        <v>5</v>
      </c>
      <c r="N94" s="26">
        <v>46230</v>
      </c>
      <c r="O94" s="26">
        <v>46241</v>
      </c>
      <c r="P94" s="24" t="s">
        <v>66</v>
      </c>
      <c r="Q94" s="24" t="s">
        <v>5</v>
      </c>
      <c r="R94" s="26">
        <v>46307</v>
      </c>
      <c r="S94" s="26">
        <v>46339</v>
      </c>
      <c r="T94" s="24" t="s">
        <v>67</v>
      </c>
      <c r="U94" s="24" t="s">
        <v>5</v>
      </c>
      <c r="V94" s="26">
        <v>46307</v>
      </c>
      <c r="W94" s="26">
        <v>46339</v>
      </c>
      <c r="X94" s="24" t="s">
        <v>68</v>
      </c>
      <c r="Y94" s="24" t="s">
        <v>5</v>
      </c>
      <c r="Z94" s="26">
        <v>46342</v>
      </c>
      <c r="AA94" s="26">
        <v>46353</v>
      </c>
      <c r="AB94" s="44">
        <f t="shared" si="11"/>
        <v>0</v>
      </c>
      <c r="AC94" s="24" t="str">
        <f>IF(G94="已完成","正常",IF(OR(G94="暂停",G94="挂起"),"暂停",IF(J94="","日期缺失",IF(J94&lt;项目驾驶舱!$B$3,"已延期",IF(J94&lt;=项目驾驶舱!$B$3+7,"临近到期","正常")))))</f>
        <v>正常</v>
      </c>
      <c r="AD94" s="24" t="s">
        <v>69</v>
      </c>
      <c r="AE94" s="24" t="s">
        <v>69</v>
      </c>
    </row>
    <row r="95" ht="34" customHeight="1" spans="1:31">
      <c r="A95" s="24" t="s">
        <v>277</v>
      </c>
      <c r="B95" s="24" t="s">
        <v>248</v>
      </c>
      <c r="C95" s="24" t="s">
        <v>271</v>
      </c>
      <c r="D95" s="24" t="s">
        <v>278</v>
      </c>
      <c r="E95" s="24" t="s">
        <v>64</v>
      </c>
      <c r="F95" s="24" t="s">
        <v>26</v>
      </c>
      <c r="G95" s="24" t="str">
        <f t="shared" si="12"/>
        <v>未开始</v>
      </c>
      <c r="H95" s="24" t="str">
        <f t="shared" si="8"/>
        <v>郑士旺</v>
      </c>
      <c r="I95" s="26">
        <f t="shared" si="9"/>
        <v>46230</v>
      </c>
      <c r="J95" s="26">
        <f t="shared" si="10"/>
        <v>46353</v>
      </c>
      <c r="K95" s="26"/>
      <c r="L95" s="24" t="s">
        <v>65</v>
      </c>
      <c r="M95" s="24" t="s">
        <v>5</v>
      </c>
      <c r="N95" s="26">
        <v>46230</v>
      </c>
      <c r="O95" s="26">
        <v>46241</v>
      </c>
      <c r="P95" s="24" t="s">
        <v>66</v>
      </c>
      <c r="Q95" s="24" t="s">
        <v>5</v>
      </c>
      <c r="R95" s="26">
        <v>46307</v>
      </c>
      <c r="S95" s="26">
        <v>46339</v>
      </c>
      <c r="T95" s="24" t="s">
        <v>67</v>
      </c>
      <c r="U95" s="24" t="s">
        <v>5</v>
      </c>
      <c r="V95" s="26">
        <v>46307</v>
      </c>
      <c r="W95" s="26">
        <v>46339</v>
      </c>
      <c r="X95" s="24" t="s">
        <v>68</v>
      </c>
      <c r="Y95" s="24" t="s">
        <v>5</v>
      </c>
      <c r="Z95" s="26">
        <v>46342</v>
      </c>
      <c r="AA95" s="26">
        <v>46353</v>
      </c>
      <c r="AB95" s="44">
        <f t="shared" si="11"/>
        <v>0</v>
      </c>
      <c r="AC95" s="24" t="str">
        <f>IF(G95="已完成","正常",IF(OR(G95="暂停",G95="挂起"),"暂停",IF(J95="","日期缺失",IF(J95&lt;项目驾驶舱!$B$3,"已延期",IF(J95&lt;=项目驾驶舱!$B$3+7,"临近到期","正常")))))</f>
        <v>正常</v>
      </c>
      <c r="AD95" s="24" t="s">
        <v>69</v>
      </c>
      <c r="AE95" s="24" t="s">
        <v>69</v>
      </c>
    </row>
    <row r="96" ht="34" customHeight="1" spans="1:31">
      <c r="A96" s="24" t="s">
        <v>279</v>
      </c>
      <c r="B96" s="24" t="s">
        <v>248</v>
      </c>
      <c r="C96" s="24" t="s">
        <v>280</v>
      </c>
      <c r="D96" s="24" t="s">
        <v>257</v>
      </c>
      <c r="E96" s="24" t="s">
        <v>64</v>
      </c>
      <c r="F96" s="24" t="s">
        <v>26</v>
      </c>
      <c r="G96" s="24" t="str">
        <f t="shared" si="12"/>
        <v>未开始</v>
      </c>
      <c r="H96" s="24" t="str">
        <f t="shared" si="8"/>
        <v>郑士旺</v>
      </c>
      <c r="I96" s="26">
        <f t="shared" si="9"/>
        <v>46230</v>
      </c>
      <c r="J96" s="26">
        <f t="shared" si="10"/>
        <v>46353</v>
      </c>
      <c r="K96" s="26"/>
      <c r="L96" s="24" t="s">
        <v>65</v>
      </c>
      <c r="M96" s="24" t="s">
        <v>5</v>
      </c>
      <c r="N96" s="26">
        <v>46230</v>
      </c>
      <c r="O96" s="26">
        <v>46241</v>
      </c>
      <c r="P96" s="24" t="s">
        <v>66</v>
      </c>
      <c r="Q96" s="24" t="s">
        <v>5</v>
      </c>
      <c r="R96" s="26">
        <v>46307</v>
      </c>
      <c r="S96" s="26">
        <v>46339</v>
      </c>
      <c r="T96" s="24" t="s">
        <v>67</v>
      </c>
      <c r="U96" s="24" t="s">
        <v>5</v>
      </c>
      <c r="V96" s="26">
        <v>46307</v>
      </c>
      <c r="W96" s="26">
        <v>46339</v>
      </c>
      <c r="X96" s="24" t="s">
        <v>68</v>
      </c>
      <c r="Y96" s="24" t="s">
        <v>5</v>
      </c>
      <c r="Z96" s="26">
        <v>46342</v>
      </c>
      <c r="AA96" s="26">
        <v>46353</v>
      </c>
      <c r="AB96" s="44">
        <f t="shared" si="11"/>
        <v>0</v>
      </c>
      <c r="AC96" s="24" t="str">
        <f>IF(G96="已完成","正常",IF(OR(G96="暂停",G96="挂起"),"暂停",IF(J96="","日期缺失",IF(J96&lt;项目驾驶舱!$B$3,"已延期",IF(J96&lt;=项目驾驶舱!$B$3+7,"临近到期","正常")))))</f>
        <v>正常</v>
      </c>
      <c r="AD96" s="24" t="s">
        <v>69</v>
      </c>
      <c r="AE96" s="24" t="s">
        <v>69</v>
      </c>
    </row>
    <row r="97" ht="34" customHeight="1" spans="1:31">
      <c r="A97" s="24" t="s">
        <v>281</v>
      </c>
      <c r="B97" s="24" t="s">
        <v>248</v>
      </c>
      <c r="C97" s="24" t="s">
        <v>280</v>
      </c>
      <c r="D97" s="24" t="s">
        <v>259</v>
      </c>
      <c r="E97" s="24" t="s">
        <v>64</v>
      </c>
      <c r="F97" s="24" t="s">
        <v>26</v>
      </c>
      <c r="G97" s="24" t="str">
        <f t="shared" si="12"/>
        <v>未开始</v>
      </c>
      <c r="H97" s="24" t="str">
        <f t="shared" si="8"/>
        <v>郑士旺</v>
      </c>
      <c r="I97" s="26">
        <f t="shared" si="9"/>
        <v>46230</v>
      </c>
      <c r="J97" s="26">
        <f t="shared" si="10"/>
        <v>46353</v>
      </c>
      <c r="K97" s="26"/>
      <c r="L97" s="24" t="s">
        <v>65</v>
      </c>
      <c r="M97" s="24" t="s">
        <v>5</v>
      </c>
      <c r="N97" s="26">
        <v>46230</v>
      </c>
      <c r="O97" s="26">
        <v>46241</v>
      </c>
      <c r="P97" s="24" t="s">
        <v>66</v>
      </c>
      <c r="Q97" s="24" t="s">
        <v>5</v>
      </c>
      <c r="R97" s="26">
        <v>46307</v>
      </c>
      <c r="S97" s="26">
        <v>46339</v>
      </c>
      <c r="T97" s="24" t="s">
        <v>67</v>
      </c>
      <c r="U97" s="24" t="s">
        <v>5</v>
      </c>
      <c r="V97" s="26">
        <v>46307</v>
      </c>
      <c r="W97" s="26">
        <v>46339</v>
      </c>
      <c r="X97" s="24" t="s">
        <v>68</v>
      </c>
      <c r="Y97" s="24" t="s">
        <v>5</v>
      </c>
      <c r="Z97" s="26">
        <v>46342</v>
      </c>
      <c r="AA97" s="26">
        <v>46353</v>
      </c>
      <c r="AB97" s="44">
        <f t="shared" si="11"/>
        <v>0</v>
      </c>
      <c r="AC97" s="24" t="str">
        <f>IF(G97="已完成","正常",IF(OR(G97="暂停",G97="挂起"),"暂停",IF(J97="","日期缺失",IF(J97&lt;项目驾驶舱!$B$3,"已延期",IF(J97&lt;=项目驾驶舱!$B$3+7,"临近到期","正常")))))</f>
        <v>正常</v>
      </c>
      <c r="AD97" s="24" t="s">
        <v>69</v>
      </c>
      <c r="AE97" s="24" t="s">
        <v>69</v>
      </c>
    </row>
    <row r="98" ht="17" customHeight="1" spans="1:31">
      <c r="A98" s="24" t="s">
        <v>282</v>
      </c>
      <c r="B98" s="24" t="s">
        <v>248</v>
      </c>
      <c r="C98" s="24" t="s">
        <v>283</v>
      </c>
      <c r="D98" s="24" t="s">
        <v>284</v>
      </c>
      <c r="E98" s="24" t="s">
        <v>64</v>
      </c>
      <c r="F98" s="24" t="s">
        <v>25</v>
      </c>
      <c r="G98" s="24" t="str">
        <f>IF(OR(M98="挂起",M98="暂停",Q98="挂起",Q98="暂停",U98="挂起",U98="暂停",Y98="挂起",Y98="暂停"),"暂停","进行中")</f>
        <v>进行中</v>
      </c>
      <c r="H98" s="24" t="str">
        <f t="shared" si="8"/>
        <v>郑士旺</v>
      </c>
      <c r="I98" s="26">
        <f t="shared" si="9"/>
        <v>46202</v>
      </c>
      <c r="J98" s="26">
        <f t="shared" si="10"/>
        <v>46234</v>
      </c>
      <c r="K98" s="26"/>
      <c r="L98" s="24" t="s">
        <v>65</v>
      </c>
      <c r="M98" s="24" t="s">
        <v>3</v>
      </c>
      <c r="N98" s="26">
        <v>46202</v>
      </c>
      <c r="O98" s="26">
        <v>46206</v>
      </c>
      <c r="P98" s="24" t="s">
        <v>228</v>
      </c>
      <c r="Q98" s="24" t="s">
        <v>4</v>
      </c>
      <c r="R98" s="26">
        <v>46209</v>
      </c>
      <c r="S98" s="26">
        <v>46225</v>
      </c>
      <c r="T98" s="24" t="s">
        <v>228</v>
      </c>
      <c r="U98" s="24" t="s">
        <v>4</v>
      </c>
      <c r="V98" s="26">
        <v>46209</v>
      </c>
      <c r="W98" s="26">
        <v>46225</v>
      </c>
      <c r="X98" s="24" t="s">
        <v>68</v>
      </c>
      <c r="Y98" s="24" t="s">
        <v>5</v>
      </c>
      <c r="Z98" s="26">
        <v>46216</v>
      </c>
      <c r="AA98" s="26">
        <v>46234</v>
      </c>
      <c r="AB98" s="44">
        <f t="shared" si="11"/>
        <v>0.475</v>
      </c>
      <c r="AC98" s="24" t="str">
        <f>IF(G98="已完成","正常",IF(OR(G98="暂停",G98="挂起"),"暂停",IF(J98="","日期缺失",IF(J98&lt;项目驾驶舱!$B$3,"已延期",IF(J98&lt;=项目驾驶舱!$B$3+7,"临近到期","正常")))))</f>
        <v>已延期</v>
      </c>
      <c r="AD98" s="24" t="s">
        <v>69</v>
      </c>
      <c r="AE98" s="24" t="s">
        <v>69</v>
      </c>
    </row>
    <row r="99" ht="17" customHeight="1" spans="1:31">
      <c r="A99" s="24" t="s">
        <v>285</v>
      </c>
      <c r="B99" s="24" t="s">
        <v>248</v>
      </c>
      <c r="C99" s="24" t="s">
        <v>286</v>
      </c>
      <c r="D99" s="24" t="s">
        <v>287</v>
      </c>
      <c r="E99" s="24" t="s">
        <v>64</v>
      </c>
      <c r="F99" s="24" t="s">
        <v>25</v>
      </c>
      <c r="G99" s="24" t="str">
        <f t="shared" ref="G99:G113" si="13">IF(OR(M99="挂起",M99="暂停",Q99="挂起",Q99="暂停",U99="挂起",U99="暂停",Y99="挂起",Y99="暂停"),"暂停","已完成")</f>
        <v>已完成</v>
      </c>
      <c r="H99" s="24" t="str">
        <f t="shared" si="8"/>
        <v>郑士旺</v>
      </c>
      <c r="I99" s="26">
        <f t="shared" si="9"/>
        <v>46202</v>
      </c>
      <c r="J99" s="26">
        <f t="shared" si="10"/>
        <v>46261</v>
      </c>
      <c r="K99" s="26">
        <v>46261</v>
      </c>
      <c r="L99" s="24" t="s">
        <v>65</v>
      </c>
      <c r="M99" s="24" t="s">
        <v>3</v>
      </c>
      <c r="N99" s="26">
        <v>46202</v>
      </c>
      <c r="O99" s="26">
        <v>46206</v>
      </c>
      <c r="P99" s="24" t="s">
        <v>66</v>
      </c>
      <c r="Q99" s="24" t="s">
        <v>3</v>
      </c>
      <c r="R99" s="26">
        <v>46209</v>
      </c>
      <c r="S99" s="26">
        <v>46225</v>
      </c>
      <c r="T99" s="24" t="s">
        <v>67</v>
      </c>
      <c r="U99" s="24" t="s">
        <v>3</v>
      </c>
      <c r="V99" s="26">
        <v>46209</v>
      </c>
      <c r="W99" s="26">
        <v>46225</v>
      </c>
      <c r="X99" s="24" t="s">
        <v>68</v>
      </c>
      <c r="Y99" s="24" t="s">
        <v>3</v>
      </c>
      <c r="Z99" s="26">
        <v>46216</v>
      </c>
      <c r="AA99" s="26">
        <v>46234</v>
      </c>
      <c r="AB99" s="44">
        <f t="shared" si="11"/>
        <v>1</v>
      </c>
      <c r="AC99" s="24" t="str">
        <f>IF(G99="已完成","正常",IF(OR(G99="暂停",G99="挂起"),"暂停",IF(J99="","日期缺失",IF(J99&lt;项目驾驶舱!$B$3,"已延期",IF(J99&lt;=项目驾驶舱!$B$3+7,"临近到期","正常")))))</f>
        <v>正常</v>
      </c>
      <c r="AD99" s="24" t="s">
        <v>69</v>
      </c>
      <c r="AE99" s="24" t="s">
        <v>69</v>
      </c>
    </row>
    <row r="100" ht="17" customHeight="1" spans="1:31">
      <c r="A100" s="24" t="s">
        <v>288</v>
      </c>
      <c r="B100" s="24" t="s">
        <v>248</v>
      </c>
      <c r="C100" s="24" t="s">
        <v>289</v>
      </c>
      <c r="D100" s="24" t="s">
        <v>290</v>
      </c>
      <c r="E100" s="24" t="s">
        <v>64</v>
      </c>
      <c r="F100" s="24" t="s">
        <v>25</v>
      </c>
      <c r="G100" s="24" t="str">
        <f t="shared" si="13"/>
        <v>已完成</v>
      </c>
      <c r="H100" s="24" t="str">
        <f t="shared" si="8"/>
        <v>郑士旺</v>
      </c>
      <c r="I100" s="26">
        <f t="shared" si="9"/>
        <v>46202</v>
      </c>
      <c r="J100" s="26">
        <f t="shared" si="10"/>
        <v>46234</v>
      </c>
      <c r="K100" s="26"/>
      <c r="L100" s="24" t="s">
        <v>65</v>
      </c>
      <c r="M100" s="24" t="s">
        <v>3</v>
      </c>
      <c r="N100" s="26">
        <v>46202</v>
      </c>
      <c r="O100" s="26">
        <v>46206</v>
      </c>
      <c r="P100" s="24" t="s">
        <v>66</v>
      </c>
      <c r="Q100" s="24" t="s">
        <v>3</v>
      </c>
      <c r="R100" s="26">
        <v>46227</v>
      </c>
      <c r="S100" s="26">
        <v>46227</v>
      </c>
      <c r="T100" s="24" t="s">
        <v>67</v>
      </c>
      <c r="U100" s="24" t="s">
        <v>3</v>
      </c>
      <c r="V100" s="26">
        <v>46227</v>
      </c>
      <c r="W100" s="26">
        <v>46227</v>
      </c>
      <c r="X100" s="24" t="s">
        <v>68</v>
      </c>
      <c r="Y100" s="24" t="s">
        <v>3</v>
      </c>
      <c r="Z100" s="26">
        <v>46216</v>
      </c>
      <c r="AA100" s="26">
        <v>46234</v>
      </c>
      <c r="AB100" s="44">
        <f t="shared" si="11"/>
        <v>1</v>
      </c>
      <c r="AC100" s="24" t="str">
        <f>IF(G100="已完成","正常",IF(OR(G100="暂停",G100="挂起"),"暂停",IF(J100="","日期缺失",IF(J100&lt;项目驾驶舱!$B$3,"已延期",IF(J100&lt;=项目驾驶舱!$B$3+7,"临近到期","正常")))))</f>
        <v>正常</v>
      </c>
      <c r="AD100" s="24" t="s">
        <v>69</v>
      </c>
      <c r="AE100" s="24" t="s">
        <v>69</v>
      </c>
    </row>
    <row r="101" ht="17" customHeight="1" spans="1:31">
      <c r="A101" s="24" t="s">
        <v>291</v>
      </c>
      <c r="B101" s="24" t="s">
        <v>248</v>
      </c>
      <c r="C101" s="24" t="s">
        <v>292</v>
      </c>
      <c r="D101" s="24" t="s">
        <v>293</v>
      </c>
      <c r="E101" s="24" t="s">
        <v>64</v>
      </c>
      <c r="F101" s="24" t="s">
        <v>25</v>
      </c>
      <c r="G101" s="24" t="str">
        <f t="shared" si="13"/>
        <v>已完成</v>
      </c>
      <c r="H101" s="24" t="str">
        <f t="shared" si="8"/>
        <v>郑士旺</v>
      </c>
      <c r="I101" s="26">
        <f t="shared" si="9"/>
        <v>46202</v>
      </c>
      <c r="J101" s="26">
        <f t="shared" si="10"/>
        <v>46224</v>
      </c>
      <c r="K101" s="26">
        <v>46224</v>
      </c>
      <c r="L101" s="24" t="s">
        <v>65</v>
      </c>
      <c r="M101" s="24" t="s">
        <v>3</v>
      </c>
      <c r="N101" s="26">
        <v>46202</v>
      </c>
      <c r="O101" s="26">
        <v>46206</v>
      </c>
      <c r="P101" s="24" t="s">
        <v>66</v>
      </c>
      <c r="Q101" s="24" t="s">
        <v>3</v>
      </c>
      <c r="R101" s="26">
        <v>46227</v>
      </c>
      <c r="S101" s="26">
        <v>46227</v>
      </c>
      <c r="T101" s="24" t="s">
        <v>67</v>
      </c>
      <c r="U101" s="24" t="s">
        <v>3</v>
      </c>
      <c r="V101" s="26">
        <v>46227</v>
      </c>
      <c r="W101" s="26">
        <v>46227</v>
      </c>
      <c r="X101" s="24" t="s">
        <v>68</v>
      </c>
      <c r="Y101" s="24" t="s">
        <v>3</v>
      </c>
      <c r="Z101" s="26">
        <v>46216</v>
      </c>
      <c r="AA101" s="26">
        <v>46234</v>
      </c>
      <c r="AB101" s="44">
        <f t="shared" si="11"/>
        <v>1</v>
      </c>
      <c r="AC101" s="24" t="str">
        <f>IF(G101="已完成","正常",IF(OR(G101="暂停",G101="挂起"),"暂停",IF(J101="","日期缺失",IF(J101&lt;项目驾驶舱!$B$3,"已延期",IF(J101&lt;=项目驾驶舱!$B$3+7,"临近到期","正常")))))</f>
        <v>正常</v>
      </c>
      <c r="AD101" s="24" t="s">
        <v>69</v>
      </c>
      <c r="AE101" s="24" t="s">
        <v>69</v>
      </c>
    </row>
    <row r="102" ht="17" customHeight="1" spans="1:31">
      <c r="A102" s="24" t="s">
        <v>294</v>
      </c>
      <c r="B102" s="24" t="s">
        <v>248</v>
      </c>
      <c r="C102" s="24" t="s">
        <v>292</v>
      </c>
      <c r="D102" s="24" t="s">
        <v>295</v>
      </c>
      <c r="E102" s="24" t="s">
        <v>64</v>
      </c>
      <c r="F102" s="24" t="s">
        <v>25</v>
      </c>
      <c r="G102" s="24" t="str">
        <f t="shared" si="13"/>
        <v>已完成</v>
      </c>
      <c r="H102" s="24" t="str">
        <f t="shared" si="8"/>
        <v>郑士旺</v>
      </c>
      <c r="I102" s="26">
        <f t="shared" si="9"/>
        <v>46202</v>
      </c>
      <c r="J102" s="26">
        <f t="shared" si="10"/>
        <v>46224</v>
      </c>
      <c r="K102" s="26">
        <v>46224</v>
      </c>
      <c r="L102" s="24" t="s">
        <v>65</v>
      </c>
      <c r="M102" s="24" t="s">
        <v>3</v>
      </c>
      <c r="N102" s="26">
        <v>46202</v>
      </c>
      <c r="O102" s="26">
        <v>46206</v>
      </c>
      <c r="P102" s="24" t="s">
        <v>66</v>
      </c>
      <c r="Q102" s="24" t="s">
        <v>3</v>
      </c>
      <c r="R102" s="26">
        <v>46227</v>
      </c>
      <c r="S102" s="26">
        <v>46227</v>
      </c>
      <c r="T102" s="24" t="s">
        <v>67</v>
      </c>
      <c r="U102" s="24" t="s">
        <v>3</v>
      </c>
      <c r="V102" s="26">
        <v>46227</v>
      </c>
      <c r="W102" s="26">
        <v>46227</v>
      </c>
      <c r="X102" s="24" t="s">
        <v>68</v>
      </c>
      <c r="Y102" s="24" t="s">
        <v>3</v>
      </c>
      <c r="Z102" s="26">
        <v>46216</v>
      </c>
      <c r="AA102" s="26">
        <v>46234</v>
      </c>
      <c r="AB102" s="44">
        <f t="shared" si="11"/>
        <v>1</v>
      </c>
      <c r="AC102" s="24" t="str">
        <f>IF(G102="已完成","正常",IF(OR(G102="暂停",G102="挂起"),"暂停",IF(J102="","日期缺失",IF(J102&lt;项目驾驶舱!$B$3,"已延期",IF(J102&lt;=项目驾驶舱!$B$3+7,"临近到期","正常")))))</f>
        <v>正常</v>
      </c>
      <c r="AD102" s="24" t="s">
        <v>69</v>
      </c>
      <c r="AE102" s="24" t="s">
        <v>69</v>
      </c>
    </row>
    <row r="103" ht="34" customHeight="1" spans="1:31">
      <c r="A103" s="24" t="s">
        <v>296</v>
      </c>
      <c r="B103" s="24" t="s">
        <v>297</v>
      </c>
      <c r="C103" s="24" t="s">
        <v>298</v>
      </c>
      <c r="D103" s="24" t="s">
        <v>299</v>
      </c>
      <c r="E103" s="24" t="s">
        <v>64</v>
      </c>
      <c r="F103" s="24" t="s">
        <v>25</v>
      </c>
      <c r="G103" s="24" t="str">
        <f t="shared" si="13"/>
        <v>已完成</v>
      </c>
      <c r="H103" s="24" t="str">
        <f t="shared" si="8"/>
        <v>郑士旺</v>
      </c>
      <c r="I103" s="26">
        <f t="shared" si="9"/>
        <v>46209</v>
      </c>
      <c r="J103" s="26">
        <f t="shared" si="10"/>
        <v>46224</v>
      </c>
      <c r="K103" s="26">
        <v>46224</v>
      </c>
      <c r="L103" s="24" t="s">
        <v>65</v>
      </c>
      <c r="M103" s="24" t="s">
        <v>3</v>
      </c>
      <c r="N103" s="26">
        <v>46209</v>
      </c>
      <c r="O103" s="26">
        <v>46213</v>
      </c>
      <c r="P103" s="24" t="s">
        <v>228</v>
      </c>
      <c r="Q103" s="24" t="s">
        <v>3</v>
      </c>
      <c r="R103" s="26">
        <v>46230</v>
      </c>
      <c r="S103" s="26">
        <v>46262</v>
      </c>
      <c r="T103" s="24" t="s">
        <v>228</v>
      </c>
      <c r="U103" s="24" t="s">
        <v>3</v>
      </c>
      <c r="V103" s="26">
        <v>46230</v>
      </c>
      <c r="W103" s="26">
        <v>46262</v>
      </c>
      <c r="X103" s="24" t="s">
        <v>68</v>
      </c>
      <c r="Y103" s="24" t="s">
        <v>3</v>
      </c>
      <c r="Z103" s="26">
        <v>46253</v>
      </c>
      <c r="AA103" s="26">
        <v>46269</v>
      </c>
      <c r="AB103" s="44">
        <f t="shared" si="11"/>
        <v>1</v>
      </c>
      <c r="AC103" s="24" t="str">
        <f>IF(G103="已完成","正常",IF(OR(G103="暂停",G103="挂起"),"暂停",IF(J103="","日期缺失",IF(J103&lt;项目驾驶舱!$B$3,"已延期",IF(J103&lt;=项目驾驶舱!$B$3+7,"临近到期","正常")))))</f>
        <v>正常</v>
      </c>
      <c r="AD103" s="24" t="s">
        <v>69</v>
      </c>
      <c r="AE103" s="24" t="s">
        <v>69</v>
      </c>
    </row>
    <row r="104" ht="17" customHeight="1" spans="1:31">
      <c r="A104" s="24" t="s">
        <v>300</v>
      </c>
      <c r="B104" s="24" t="s">
        <v>297</v>
      </c>
      <c r="C104" s="24" t="s">
        <v>298</v>
      </c>
      <c r="D104" s="24" t="s">
        <v>301</v>
      </c>
      <c r="E104" s="24" t="s">
        <v>64</v>
      </c>
      <c r="F104" s="24" t="s">
        <v>25</v>
      </c>
      <c r="G104" s="24" t="str">
        <f t="shared" si="13"/>
        <v>已完成</v>
      </c>
      <c r="H104" s="24" t="str">
        <f t="shared" si="8"/>
        <v>郑士旺</v>
      </c>
      <c r="I104" s="26">
        <f t="shared" si="9"/>
        <v>46209</v>
      </c>
      <c r="J104" s="26">
        <f t="shared" si="10"/>
        <v>46224</v>
      </c>
      <c r="K104" s="26">
        <v>46224</v>
      </c>
      <c r="L104" s="24" t="s">
        <v>65</v>
      </c>
      <c r="M104" s="24" t="s">
        <v>3</v>
      </c>
      <c r="N104" s="26">
        <v>46209</v>
      </c>
      <c r="O104" s="26">
        <v>46213</v>
      </c>
      <c r="P104" s="24" t="s">
        <v>228</v>
      </c>
      <c r="Q104" s="24" t="s">
        <v>3</v>
      </c>
      <c r="R104" s="26">
        <v>46230</v>
      </c>
      <c r="S104" s="26">
        <v>46262</v>
      </c>
      <c r="T104" s="24" t="s">
        <v>228</v>
      </c>
      <c r="U104" s="24" t="s">
        <v>3</v>
      </c>
      <c r="V104" s="26">
        <v>46230</v>
      </c>
      <c r="W104" s="26">
        <v>46262</v>
      </c>
      <c r="X104" s="24" t="s">
        <v>68</v>
      </c>
      <c r="Y104" s="24" t="s">
        <v>3</v>
      </c>
      <c r="Z104" s="26">
        <v>46253</v>
      </c>
      <c r="AA104" s="26">
        <v>46269</v>
      </c>
      <c r="AB104" s="44">
        <f t="shared" si="11"/>
        <v>1</v>
      </c>
      <c r="AC104" s="24" t="str">
        <f>IF(G104="已完成","正常",IF(OR(G104="暂停",G104="挂起"),"暂停",IF(J104="","日期缺失",IF(J104&lt;项目驾驶舱!$B$3,"已延期",IF(J104&lt;=项目驾驶舱!$B$3+7,"临近到期","正常")))))</f>
        <v>正常</v>
      </c>
      <c r="AD104" s="24" t="s">
        <v>69</v>
      </c>
      <c r="AE104" s="24" t="s">
        <v>69</v>
      </c>
    </row>
    <row r="105" ht="17" customHeight="1" spans="1:31">
      <c r="A105" s="24" t="s">
        <v>302</v>
      </c>
      <c r="B105" s="24" t="s">
        <v>297</v>
      </c>
      <c r="C105" s="24" t="s">
        <v>298</v>
      </c>
      <c r="D105" s="24" t="s">
        <v>303</v>
      </c>
      <c r="E105" s="24" t="s">
        <v>64</v>
      </c>
      <c r="F105" s="24" t="s">
        <v>25</v>
      </c>
      <c r="G105" s="24" t="str">
        <f t="shared" si="13"/>
        <v>已完成</v>
      </c>
      <c r="H105" s="24" t="str">
        <f t="shared" si="8"/>
        <v>郑士旺</v>
      </c>
      <c r="I105" s="26">
        <f t="shared" si="9"/>
        <v>46209</v>
      </c>
      <c r="J105" s="26">
        <f t="shared" si="10"/>
        <v>46224</v>
      </c>
      <c r="K105" s="26">
        <v>46224</v>
      </c>
      <c r="L105" s="24" t="s">
        <v>65</v>
      </c>
      <c r="M105" s="24" t="s">
        <v>3</v>
      </c>
      <c r="N105" s="26">
        <v>46209</v>
      </c>
      <c r="O105" s="26">
        <v>46213</v>
      </c>
      <c r="P105" s="24" t="s">
        <v>228</v>
      </c>
      <c r="Q105" s="24" t="s">
        <v>3</v>
      </c>
      <c r="R105" s="26">
        <v>46230</v>
      </c>
      <c r="S105" s="26">
        <v>46262</v>
      </c>
      <c r="T105" s="24" t="s">
        <v>228</v>
      </c>
      <c r="U105" s="24" t="s">
        <v>3</v>
      </c>
      <c r="V105" s="26">
        <v>46230</v>
      </c>
      <c r="W105" s="26">
        <v>46262</v>
      </c>
      <c r="X105" s="24" t="s">
        <v>68</v>
      </c>
      <c r="Y105" s="24" t="s">
        <v>3</v>
      </c>
      <c r="Z105" s="26">
        <v>46253</v>
      </c>
      <c r="AA105" s="26">
        <v>46269</v>
      </c>
      <c r="AB105" s="44">
        <f t="shared" si="11"/>
        <v>1</v>
      </c>
      <c r="AC105" s="24" t="str">
        <f>IF(G105="已完成","正常",IF(OR(G105="暂停",G105="挂起"),"暂停",IF(J105="","日期缺失",IF(J105&lt;项目驾驶舱!$B$3,"已延期",IF(J105&lt;=项目驾驶舱!$B$3+7,"临近到期","正常")))))</f>
        <v>正常</v>
      </c>
      <c r="AD105" s="24" t="s">
        <v>69</v>
      </c>
      <c r="AE105" s="24" t="s">
        <v>69</v>
      </c>
    </row>
    <row r="106" ht="17" customHeight="1" spans="1:31">
      <c r="A106" s="24" t="s">
        <v>304</v>
      </c>
      <c r="B106" s="24" t="s">
        <v>297</v>
      </c>
      <c r="C106" s="24" t="s">
        <v>298</v>
      </c>
      <c r="D106" s="24" t="s">
        <v>305</v>
      </c>
      <c r="E106" s="24" t="s">
        <v>64</v>
      </c>
      <c r="F106" s="24" t="s">
        <v>25</v>
      </c>
      <c r="G106" s="24" t="str">
        <f t="shared" si="13"/>
        <v>已完成</v>
      </c>
      <c r="H106" s="24" t="str">
        <f t="shared" si="8"/>
        <v>郑士旺</v>
      </c>
      <c r="I106" s="26">
        <f t="shared" si="9"/>
        <v>46209</v>
      </c>
      <c r="J106" s="26">
        <f t="shared" si="10"/>
        <v>46224</v>
      </c>
      <c r="K106" s="26">
        <v>46224</v>
      </c>
      <c r="L106" s="24" t="s">
        <v>65</v>
      </c>
      <c r="M106" s="24" t="s">
        <v>3</v>
      </c>
      <c r="N106" s="26">
        <v>46209</v>
      </c>
      <c r="O106" s="26">
        <v>46213</v>
      </c>
      <c r="P106" s="24" t="s">
        <v>228</v>
      </c>
      <c r="Q106" s="24" t="s">
        <v>3</v>
      </c>
      <c r="R106" s="26">
        <v>46230</v>
      </c>
      <c r="S106" s="26">
        <v>46262</v>
      </c>
      <c r="T106" s="24" t="s">
        <v>228</v>
      </c>
      <c r="U106" s="24" t="s">
        <v>3</v>
      </c>
      <c r="V106" s="26">
        <v>46230</v>
      </c>
      <c r="W106" s="26">
        <v>46262</v>
      </c>
      <c r="X106" s="24" t="s">
        <v>68</v>
      </c>
      <c r="Y106" s="24" t="s">
        <v>3</v>
      </c>
      <c r="Z106" s="26">
        <v>46253</v>
      </c>
      <c r="AA106" s="26">
        <v>46269</v>
      </c>
      <c r="AB106" s="44">
        <f t="shared" si="11"/>
        <v>1</v>
      </c>
      <c r="AC106" s="24" t="str">
        <f>IF(G106="已完成","正常",IF(OR(G106="暂停",G106="挂起"),"暂停",IF(J106="","日期缺失",IF(J106&lt;项目驾驶舱!$B$3,"已延期",IF(J106&lt;=项目驾驶舱!$B$3+7,"临近到期","正常")))))</f>
        <v>正常</v>
      </c>
      <c r="AD106" s="24" t="s">
        <v>69</v>
      </c>
      <c r="AE106" s="24" t="s">
        <v>69</v>
      </c>
    </row>
    <row r="107" ht="17" customHeight="1" spans="1:31">
      <c r="A107" s="24" t="s">
        <v>306</v>
      </c>
      <c r="B107" s="24" t="s">
        <v>307</v>
      </c>
      <c r="C107" s="24" t="s">
        <v>308</v>
      </c>
      <c r="D107" s="24" t="s">
        <v>64</v>
      </c>
      <c r="E107" s="24" t="s">
        <v>64</v>
      </c>
      <c r="F107" s="24" t="s">
        <v>25</v>
      </c>
      <c r="G107" s="24" t="str">
        <f t="shared" si="13"/>
        <v>已完成</v>
      </c>
      <c r="H107" s="24" t="str">
        <f t="shared" si="8"/>
        <v>郑士旺</v>
      </c>
      <c r="I107" s="26">
        <f t="shared" si="9"/>
        <v>46209</v>
      </c>
      <c r="J107" s="26">
        <f t="shared" si="10"/>
        <v>46269</v>
      </c>
      <c r="K107" s="26" t="s">
        <v>64</v>
      </c>
      <c r="L107" s="24" t="s">
        <v>65</v>
      </c>
      <c r="M107" s="24" t="s">
        <v>3</v>
      </c>
      <c r="N107" s="26">
        <v>46209</v>
      </c>
      <c r="O107" s="26">
        <v>46213</v>
      </c>
      <c r="P107" s="24" t="s">
        <v>66</v>
      </c>
      <c r="Q107" s="24" t="s">
        <v>3</v>
      </c>
      <c r="R107" s="26">
        <v>46230</v>
      </c>
      <c r="S107" s="26">
        <v>46262</v>
      </c>
      <c r="T107" s="24" t="s">
        <v>67</v>
      </c>
      <c r="U107" s="24" t="s">
        <v>3</v>
      </c>
      <c r="V107" s="26">
        <v>46230</v>
      </c>
      <c r="W107" s="26">
        <v>46262</v>
      </c>
      <c r="X107" s="24" t="s">
        <v>68</v>
      </c>
      <c r="Y107" s="24" t="s">
        <v>3</v>
      </c>
      <c r="Z107" s="26">
        <v>46253</v>
      </c>
      <c r="AA107" s="26">
        <v>46269</v>
      </c>
      <c r="AB107" s="44">
        <f t="shared" si="11"/>
        <v>1</v>
      </c>
      <c r="AC107" s="24" t="str">
        <f>IF(G107="已完成","正常",IF(OR(G107="暂停",G107="挂起"),"暂停",IF(J107="","日期缺失",IF(J107&lt;项目驾驶舱!$B$3,"已延期",IF(J107&lt;=项目驾驶舱!$B$3+7,"临近到期","正常")))))</f>
        <v>正常</v>
      </c>
      <c r="AD107" s="24" t="s">
        <v>69</v>
      </c>
      <c r="AE107" s="24" t="s">
        <v>69</v>
      </c>
    </row>
    <row r="108" ht="17" customHeight="1" spans="1:31">
      <c r="A108" s="24" t="s">
        <v>309</v>
      </c>
      <c r="B108" s="24" t="s">
        <v>307</v>
      </c>
      <c r="C108" s="24" t="s">
        <v>310</v>
      </c>
      <c r="D108" s="24" t="s">
        <v>64</v>
      </c>
      <c r="E108" s="24" t="s">
        <v>64</v>
      </c>
      <c r="F108" s="24" t="s">
        <v>25</v>
      </c>
      <c r="G108" s="24" t="str">
        <f t="shared" si="13"/>
        <v>已完成</v>
      </c>
      <c r="H108" s="24" t="str">
        <f t="shared" si="8"/>
        <v>郑士旺</v>
      </c>
      <c r="I108" s="26">
        <f t="shared" si="9"/>
        <v>46209</v>
      </c>
      <c r="J108" s="26">
        <f t="shared" si="10"/>
        <v>46269</v>
      </c>
      <c r="K108" s="26" t="s">
        <v>64</v>
      </c>
      <c r="L108" s="24" t="s">
        <v>65</v>
      </c>
      <c r="M108" s="24" t="s">
        <v>3</v>
      </c>
      <c r="N108" s="26">
        <v>46209</v>
      </c>
      <c r="O108" s="26">
        <v>46213</v>
      </c>
      <c r="P108" s="24" t="s">
        <v>66</v>
      </c>
      <c r="Q108" s="24" t="s">
        <v>3</v>
      </c>
      <c r="R108" s="26">
        <v>46230</v>
      </c>
      <c r="S108" s="26">
        <v>46262</v>
      </c>
      <c r="T108" s="24" t="s">
        <v>67</v>
      </c>
      <c r="U108" s="24" t="s">
        <v>3</v>
      </c>
      <c r="V108" s="26">
        <v>46230</v>
      </c>
      <c r="W108" s="26">
        <v>46262</v>
      </c>
      <c r="X108" s="24" t="s">
        <v>68</v>
      </c>
      <c r="Y108" s="24" t="s">
        <v>3</v>
      </c>
      <c r="Z108" s="26">
        <v>46253</v>
      </c>
      <c r="AA108" s="26">
        <v>46269</v>
      </c>
      <c r="AB108" s="44">
        <f t="shared" si="11"/>
        <v>1</v>
      </c>
      <c r="AC108" s="24" t="str">
        <f>IF(G108="已完成","正常",IF(OR(G108="暂停",G108="挂起"),"暂停",IF(J108="","日期缺失",IF(J108&lt;项目驾驶舱!$B$3,"已延期",IF(J108&lt;=项目驾驶舱!$B$3+7,"临近到期","正常")))))</f>
        <v>正常</v>
      </c>
      <c r="AD108" s="24" t="s">
        <v>69</v>
      </c>
      <c r="AE108" s="24" t="s">
        <v>69</v>
      </c>
    </row>
    <row r="109" ht="17" customHeight="1" spans="1:31">
      <c r="A109" s="24" t="s">
        <v>311</v>
      </c>
      <c r="B109" s="24" t="s">
        <v>307</v>
      </c>
      <c r="C109" s="24" t="s">
        <v>312</v>
      </c>
      <c r="D109" s="24" t="s">
        <v>64</v>
      </c>
      <c r="E109" s="24" t="s">
        <v>64</v>
      </c>
      <c r="F109" s="24" t="s">
        <v>25</v>
      </c>
      <c r="G109" s="24" t="str">
        <f t="shared" si="13"/>
        <v>已完成</v>
      </c>
      <c r="H109" s="24" t="str">
        <f t="shared" si="8"/>
        <v>郑士旺</v>
      </c>
      <c r="I109" s="26">
        <f t="shared" si="9"/>
        <v>46209</v>
      </c>
      <c r="J109" s="26">
        <f t="shared" si="10"/>
        <v>46269</v>
      </c>
      <c r="K109" s="26" t="s">
        <v>64</v>
      </c>
      <c r="L109" s="24" t="s">
        <v>65</v>
      </c>
      <c r="M109" s="24" t="s">
        <v>3</v>
      </c>
      <c r="N109" s="26">
        <v>46209</v>
      </c>
      <c r="O109" s="26">
        <v>46213</v>
      </c>
      <c r="P109" s="24" t="s">
        <v>66</v>
      </c>
      <c r="Q109" s="24" t="s">
        <v>3</v>
      </c>
      <c r="R109" s="26">
        <v>46230</v>
      </c>
      <c r="S109" s="26">
        <v>46262</v>
      </c>
      <c r="T109" s="24" t="s">
        <v>67</v>
      </c>
      <c r="U109" s="24" t="s">
        <v>3</v>
      </c>
      <c r="V109" s="26">
        <v>46230</v>
      </c>
      <c r="W109" s="26">
        <v>46262</v>
      </c>
      <c r="X109" s="24" t="s">
        <v>68</v>
      </c>
      <c r="Y109" s="24" t="s">
        <v>3</v>
      </c>
      <c r="Z109" s="26">
        <v>46253</v>
      </c>
      <c r="AA109" s="26">
        <v>46269</v>
      </c>
      <c r="AB109" s="44">
        <f t="shared" si="11"/>
        <v>1</v>
      </c>
      <c r="AC109" s="24" t="str">
        <f>IF(G109="已完成","正常",IF(OR(G109="暂停",G109="挂起"),"暂停",IF(J109="","日期缺失",IF(J109&lt;项目驾驶舱!$B$3,"已延期",IF(J109&lt;=项目驾驶舱!$B$3+7,"临近到期","正常")))))</f>
        <v>正常</v>
      </c>
      <c r="AD109" s="24" t="s">
        <v>69</v>
      </c>
      <c r="AE109" s="24" t="s">
        <v>69</v>
      </c>
    </row>
    <row r="110" ht="17" customHeight="1" spans="1:31">
      <c r="A110" s="24" t="s">
        <v>313</v>
      </c>
      <c r="B110" s="24" t="s">
        <v>307</v>
      </c>
      <c r="C110" s="24" t="s">
        <v>314</v>
      </c>
      <c r="D110" s="24" t="s">
        <v>64</v>
      </c>
      <c r="E110" s="24" t="s">
        <v>64</v>
      </c>
      <c r="F110" s="24" t="s">
        <v>25</v>
      </c>
      <c r="G110" s="24" t="str">
        <f t="shared" si="13"/>
        <v>已完成</v>
      </c>
      <c r="H110" s="24" t="str">
        <f t="shared" si="8"/>
        <v>郑士旺</v>
      </c>
      <c r="I110" s="26">
        <f t="shared" si="9"/>
        <v>46209</v>
      </c>
      <c r="J110" s="26">
        <f t="shared" si="10"/>
        <v>46269</v>
      </c>
      <c r="K110" s="26" t="s">
        <v>64</v>
      </c>
      <c r="L110" s="24" t="s">
        <v>65</v>
      </c>
      <c r="M110" s="24" t="s">
        <v>3</v>
      </c>
      <c r="N110" s="26">
        <v>46209</v>
      </c>
      <c r="O110" s="26">
        <v>46213</v>
      </c>
      <c r="P110" s="24" t="s">
        <v>66</v>
      </c>
      <c r="Q110" s="24" t="s">
        <v>3</v>
      </c>
      <c r="R110" s="26">
        <v>46230</v>
      </c>
      <c r="S110" s="26">
        <v>46262</v>
      </c>
      <c r="T110" s="24" t="s">
        <v>67</v>
      </c>
      <c r="U110" s="24" t="s">
        <v>3</v>
      </c>
      <c r="V110" s="26">
        <v>46230</v>
      </c>
      <c r="W110" s="26">
        <v>46262</v>
      </c>
      <c r="X110" s="24" t="s">
        <v>68</v>
      </c>
      <c r="Y110" s="24" t="s">
        <v>3</v>
      </c>
      <c r="Z110" s="26">
        <v>46253</v>
      </c>
      <c r="AA110" s="26">
        <v>46269</v>
      </c>
      <c r="AB110" s="44">
        <f t="shared" si="11"/>
        <v>1</v>
      </c>
      <c r="AC110" s="24" t="str">
        <f>IF(G110="已完成","正常",IF(OR(G110="暂停",G110="挂起"),"暂停",IF(J110="","日期缺失",IF(J110&lt;项目驾驶舱!$B$3,"已延期",IF(J110&lt;=项目驾驶舱!$B$3+7,"临近到期","正常")))))</f>
        <v>正常</v>
      </c>
      <c r="AD110" s="24" t="s">
        <v>69</v>
      </c>
      <c r="AE110" s="24" t="s">
        <v>69</v>
      </c>
    </row>
    <row r="111" ht="17" customHeight="1" spans="1:31">
      <c r="A111" s="24" t="s">
        <v>315</v>
      </c>
      <c r="B111" s="24" t="s">
        <v>307</v>
      </c>
      <c r="C111" s="24" t="s">
        <v>316</v>
      </c>
      <c r="D111" s="24" t="s">
        <v>64</v>
      </c>
      <c r="E111" s="24" t="s">
        <v>64</v>
      </c>
      <c r="F111" s="24" t="s">
        <v>25</v>
      </c>
      <c r="G111" s="24" t="str">
        <f t="shared" si="13"/>
        <v>已完成</v>
      </c>
      <c r="H111" s="24" t="str">
        <f t="shared" si="8"/>
        <v>郑士旺</v>
      </c>
      <c r="I111" s="26">
        <f t="shared" si="9"/>
        <v>46209</v>
      </c>
      <c r="J111" s="26">
        <f t="shared" si="10"/>
        <v>46269</v>
      </c>
      <c r="K111" s="26" t="s">
        <v>64</v>
      </c>
      <c r="L111" s="24" t="s">
        <v>65</v>
      </c>
      <c r="M111" s="24" t="s">
        <v>3</v>
      </c>
      <c r="N111" s="26">
        <v>46209</v>
      </c>
      <c r="O111" s="26">
        <v>46213</v>
      </c>
      <c r="P111" s="24" t="s">
        <v>66</v>
      </c>
      <c r="Q111" s="24" t="s">
        <v>3</v>
      </c>
      <c r="R111" s="26">
        <v>46230</v>
      </c>
      <c r="S111" s="26">
        <v>46262</v>
      </c>
      <c r="T111" s="24" t="s">
        <v>67</v>
      </c>
      <c r="U111" s="24" t="s">
        <v>3</v>
      </c>
      <c r="V111" s="26">
        <v>46230</v>
      </c>
      <c r="W111" s="26">
        <v>46262</v>
      </c>
      <c r="X111" s="24" t="s">
        <v>68</v>
      </c>
      <c r="Y111" s="24" t="s">
        <v>3</v>
      </c>
      <c r="Z111" s="26">
        <v>46253</v>
      </c>
      <c r="AA111" s="26">
        <v>46269</v>
      </c>
      <c r="AB111" s="44">
        <f t="shared" si="11"/>
        <v>1</v>
      </c>
      <c r="AC111" s="24" t="str">
        <f>IF(G111="已完成","正常",IF(OR(G111="暂停",G111="挂起"),"暂停",IF(J111="","日期缺失",IF(J111&lt;项目驾驶舱!$B$3,"已延期",IF(J111&lt;=项目驾驶舱!$B$3+7,"临近到期","正常")))))</f>
        <v>正常</v>
      </c>
      <c r="AD111" s="24" t="s">
        <v>69</v>
      </c>
      <c r="AE111" s="24" t="s">
        <v>69</v>
      </c>
    </row>
    <row r="112" ht="17" customHeight="1" spans="1:31">
      <c r="A112" s="24" t="s">
        <v>317</v>
      </c>
      <c r="B112" s="24" t="s">
        <v>307</v>
      </c>
      <c r="C112" s="24" t="s">
        <v>318</v>
      </c>
      <c r="D112" s="24" t="s">
        <v>64</v>
      </c>
      <c r="E112" s="24" t="s">
        <v>64</v>
      </c>
      <c r="F112" s="24" t="s">
        <v>25</v>
      </c>
      <c r="G112" s="24" t="str">
        <f t="shared" si="13"/>
        <v>已完成</v>
      </c>
      <c r="H112" s="24" t="str">
        <f t="shared" si="8"/>
        <v>郑士旺</v>
      </c>
      <c r="I112" s="26">
        <f t="shared" si="9"/>
        <v>46209</v>
      </c>
      <c r="J112" s="26">
        <f t="shared" si="10"/>
        <v>46269</v>
      </c>
      <c r="K112" s="26" t="s">
        <v>64</v>
      </c>
      <c r="L112" s="24" t="s">
        <v>65</v>
      </c>
      <c r="M112" s="24" t="s">
        <v>3</v>
      </c>
      <c r="N112" s="26">
        <v>46209</v>
      </c>
      <c r="O112" s="26">
        <v>46213</v>
      </c>
      <c r="P112" s="24" t="s">
        <v>66</v>
      </c>
      <c r="Q112" s="24" t="s">
        <v>3</v>
      </c>
      <c r="R112" s="26">
        <v>46230</v>
      </c>
      <c r="S112" s="26">
        <v>46262</v>
      </c>
      <c r="T112" s="24" t="s">
        <v>67</v>
      </c>
      <c r="U112" s="24" t="s">
        <v>3</v>
      </c>
      <c r="V112" s="26">
        <v>46230</v>
      </c>
      <c r="W112" s="26">
        <v>46262</v>
      </c>
      <c r="X112" s="24" t="s">
        <v>68</v>
      </c>
      <c r="Y112" s="24" t="s">
        <v>3</v>
      </c>
      <c r="Z112" s="26">
        <v>46253</v>
      </c>
      <c r="AA112" s="26">
        <v>46269</v>
      </c>
      <c r="AB112" s="44">
        <f t="shared" si="11"/>
        <v>1</v>
      </c>
      <c r="AC112" s="24" t="str">
        <f>IF(G112="已完成","正常",IF(OR(G112="暂停",G112="挂起"),"暂停",IF(J112="","日期缺失",IF(J112&lt;项目驾驶舱!$B$3,"已延期",IF(J112&lt;=项目驾驶舱!$B$3+7,"临近到期","正常")))))</f>
        <v>正常</v>
      </c>
      <c r="AD112" s="24" t="s">
        <v>69</v>
      </c>
      <c r="AE112" s="24" t="s">
        <v>69</v>
      </c>
    </row>
    <row r="113" ht="17" customHeight="1" spans="1:31">
      <c r="A113" s="24" t="s">
        <v>319</v>
      </c>
      <c r="B113" s="24" t="s">
        <v>307</v>
      </c>
      <c r="C113" s="24" t="s">
        <v>320</v>
      </c>
      <c r="D113" s="24" t="s">
        <v>64</v>
      </c>
      <c r="E113" s="24" t="s">
        <v>64</v>
      </c>
      <c r="F113" s="24" t="s">
        <v>26</v>
      </c>
      <c r="G113" s="24" t="str">
        <f t="shared" si="13"/>
        <v>已完成</v>
      </c>
      <c r="H113" s="24" t="str">
        <f t="shared" si="8"/>
        <v>郑士旺</v>
      </c>
      <c r="I113" s="26">
        <f t="shared" si="9"/>
        <v>46209</v>
      </c>
      <c r="J113" s="26">
        <f t="shared" si="10"/>
        <v>46269</v>
      </c>
      <c r="K113" s="26" t="s">
        <v>64</v>
      </c>
      <c r="L113" s="24" t="s">
        <v>65</v>
      </c>
      <c r="M113" s="24" t="s">
        <v>3</v>
      </c>
      <c r="N113" s="26">
        <v>46209</v>
      </c>
      <c r="O113" s="26">
        <v>46213</v>
      </c>
      <c r="P113" s="24" t="s">
        <v>66</v>
      </c>
      <c r="Q113" s="24" t="s">
        <v>3</v>
      </c>
      <c r="R113" s="26">
        <v>46230</v>
      </c>
      <c r="S113" s="26">
        <v>46262</v>
      </c>
      <c r="T113" s="24" t="s">
        <v>67</v>
      </c>
      <c r="U113" s="24" t="s">
        <v>3</v>
      </c>
      <c r="V113" s="26">
        <v>46230</v>
      </c>
      <c r="W113" s="26">
        <v>46262</v>
      </c>
      <c r="X113" s="24" t="s">
        <v>68</v>
      </c>
      <c r="Y113" s="24" t="s">
        <v>3</v>
      </c>
      <c r="Z113" s="26">
        <v>46253</v>
      </c>
      <c r="AA113" s="26">
        <v>46269</v>
      </c>
      <c r="AB113" s="44">
        <f t="shared" si="11"/>
        <v>1</v>
      </c>
      <c r="AC113" s="24" t="str">
        <f>IF(G113="已完成","正常",IF(OR(G113="暂停",G113="挂起"),"暂停",IF(J113="","日期缺失",IF(J113&lt;项目驾驶舱!$B$3,"已延期",IF(J113&lt;=项目驾驶舱!$B$3+7,"临近到期","正常")))))</f>
        <v>正常</v>
      </c>
      <c r="AD113" s="24" t="s">
        <v>69</v>
      </c>
      <c r="AE113" s="24" t="s">
        <v>69</v>
      </c>
    </row>
    <row r="114" ht="17" customHeight="1" spans="1:31">
      <c r="A114" s="24" t="s">
        <v>321</v>
      </c>
      <c r="B114" s="24" t="s">
        <v>307</v>
      </c>
      <c r="C114" s="24" t="s">
        <v>322</v>
      </c>
      <c r="D114" s="24" t="s">
        <v>64</v>
      </c>
      <c r="E114" s="24" t="s">
        <v>64</v>
      </c>
      <c r="F114" s="24" t="s">
        <v>64</v>
      </c>
      <c r="G114" s="24" t="str">
        <f t="shared" ref="G114:G119" si="14">IF(OR(M114="挂起",M114="暂停",Q114="挂起",Q114="暂停",U114="挂起",U114="暂停",Y114="挂起",Y114="暂停"),"暂停","暂停")</f>
        <v>暂停</v>
      </c>
      <c r="H114" s="24" t="str">
        <f t="shared" si="8"/>
        <v>/</v>
      </c>
      <c r="I114" s="26" t="str">
        <f t="shared" si="9"/>
        <v/>
      </c>
      <c r="J114" s="26" t="str">
        <f t="shared" si="10"/>
        <v/>
      </c>
      <c r="K114" s="26"/>
      <c r="L114" s="24" t="s">
        <v>64</v>
      </c>
      <c r="M114" s="24" t="s">
        <v>64</v>
      </c>
      <c r="N114" s="26" t="s">
        <v>64</v>
      </c>
      <c r="O114" s="26" t="s">
        <v>64</v>
      </c>
      <c r="P114" s="24" t="s">
        <v>64</v>
      </c>
      <c r="Q114" s="24" t="s">
        <v>64</v>
      </c>
      <c r="R114" s="26" t="s">
        <v>64</v>
      </c>
      <c r="S114" s="26" t="s">
        <v>64</v>
      </c>
      <c r="T114" s="24" t="s">
        <v>64</v>
      </c>
      <c r="U114" s="24" t="s">
        <v>64</v>
      </c>
      <c r="V114" s="26" t="s">
        <v>64</v>
      </c>
      <c r="W114" s="26" t="s">
        <v>64</v>
      </c>
      <c r="X114" s="24" t="s">
        <v>64</v>
      </c>
      <c r="Y114" s="24" t="s">
        <v>64</v>
      </c>
      <c r="Z114" s="26" t="s">
        <v>64</v>
      </c>
      <c r="AA114" s="26" t="s">
        <v>64</v>
      </c>
      <c r="AB114" s="44">
        <f t="shared" si="11"/>
        <v>0</v>
      </c>
      <c r="AC114" s="24" t="str">
        <f>IF(G114="已完成","正常",IF(OR(G114="暂停",G114="挂起"),"暂停",IF(J114="","日期缺失",IF(J114&lt;项目驾驶舱!$B$3,"已延期",IF(J114&lt;=项目驾驶舱!$B$3+7,"临近到期","正常")))))</f>
        <v>暂停</v>
      </c>
      <c r="AD114" s="24" t="s">
        <v>69</v>
      </c>
      <c r="AE114" s="24" t="s">
        <v>69</v>
      </c>
    </row>
    <row r="115" ht="17" customHeight="1" spans="1:31">
      <c r="A115" s="24" t="s">
        <v>323</v>
      </c>
      <c r="B115" s="24" t="s">
        <v>307</v>
      </c>
      <c r="C115" s="24" t="s">
        <v>324</v>
      </c>
      <c r="D115" s="24" t="s">
        <v>64</v>
      </c>
      <c r="E115" s="24" t="s">
        <v>64</v>
      </c>
      <c r="F115" s="24" t="s">
        <v>64</v>
      </c>
      <c r="G115" s="24" t="str">
        <f t="shared" si="14"/>
        <v>暂停</v>
      </c>
      <c r="H115" s="24" t="str">
        <f t="shared" si="8"/>
        <v>/</v>
      </c>
      <c r="I115" s="26" t="str">
        <f t="shared" si="9"/>
        <v/>
      </c>
      <c r="J115" s="26" t="str">
        <f t="shared" si="10"/>
        <v/>
      </c>
      <c r="K115" s="26"/>
      <c r="L115" s="24" t="s">
        <v>64</v>
      </c>
      <c r="M115" s="24" t="s">
        <v>64</v>
      </c>
      <c r="N115" s="26" t="s">
        <v>64</v>
      </c>
      <c r="O115" s="26" t="s">
        <v>64</v>
      </c>
      <c r="P115" s="24" t="s">
        <v>64</v>
      </c>
      <c r="Q115" s="24" t="s">
        <v>64</v>
      </c>
      <c r="R115" s="26" t="s">
        <v>64</v>
      </c>
      <c r="S115" s="26" t="s">
        <v>64</v>
      </c>
      <c r="T115" s="24" t="s">
        <v>64</v>
      </c>
      <c r="U115" s="24" t="s">
        <v>64</v>
      </c>
      <c r="V115" s="26" t="s">
        <v>64</v>
      </c>
      <c r="W115" s="26" t="s">
        <v>64</v>
      </c>
      <c r="X115" s="24" t="s">
        <v>64</v>
      </c>
      <c r="Y115" s="24" t="s">
        <v>64</v>
      </c>
      <c r="Z115" s="26" t="s">
        <v>64</v>
      </c>
      <c r="AA115" s="26" t="s">
        <v>64</v>
      </c>
      <c r="AB115" s="44">
        <f t="shared" si="11"/>
        <v>0</v>
      </c>
      <c r="AC115" s="24" t="str">
        <f>IF(G115="已完成","正常",IF(OR(G115="暂停",G115="挂起"),"暂停",IF(J115="","日期缺失",IF(J115&lt;项目驾驶舱!$B$3,"已延期",IF(J115&lt;=项目驾驶舱!$B$3+7,"临近到期","正常")))))</f>
        <v>暂停</v>
      </c>
      <c r="AD115" s="24" t="s">
        <v>69</v>
      </c>
      <c r="AE115" s="24" t="s">
        <v>69</v>
      </c>
    </row>
    <row r="116" ht="17" customHeight="1" spans="1:31">
      <c r="A116" s="24" t="s">
        <v>325</v>
      </c>
      <c r="B116" s="24" t="s">
        <v>307</v>
      </c>
      <c r="C116" s="24" t="s">
        <v>326</v>
      </c>
      <c r="D116" s="24" t="s">
        <v>64</v>
      </c>
      <c r="E116" s="24" t="s">
        <v>64</v>
      </c>
      <c r="F116" s="24" t="s">
        <v>64</v>
      </c>
      <c r="G116" s="24" t="str">
        <f t="shared" si="14"/>
        <v>暂停</v>
      </c>
      <c r="H116" s="24" t="str">
        <f t="shared" si="8"/>
        <v>/</v>
      </c>
      <c r="I116" s="26" t="str">
        <f t="shared" si="9"/>
        <v/>
      </c>
      <c r="J116" s="26" t="str">
        <f t="shared" si="10"/>
        <v/>
      </c>
      <c r="K116" s="26"/>
      <c r="L116" s="24" t="s">
        <v>64</v>
      </c>
      <c r="M116" s="24" t="s">
        <v>64</v>
      </c>
      <c r="N116" s="26" t="s">
        <v>64</v>
      </c>
      <c r="O116" s="26" t="s">
        <v>64</v>
      </c>
      <c r="P116" s="24" t="s">
        <v>64</v>
      </c>
      <c r="Q116" s="24" t="s">
        <v>64</v>
      </c>
      <c r="R116" s="26" t="s">
        <v>64</v>
      </c>
      <c r="S116" s="26" t="s">
        <v>64</v>
      </c>
      <c r="T116" s="24" t="s">
        <v>64</v>
      </c>
      <c r="U116" s="24" t="s">
        <v>64</v>
      </c>
      <c r="V116" s="26" t="s">
        <v>64</v>
      </c>
      <c r="W116" s="26" t="s">
        <v>64</v>
      </c>
      <c r="X116" s="24" t="s">
        <v>64</v>
      </c>
      <c r="Y116" s="24" t="s">
        <v>64</v>
      </c>
      <c r="Z116" s="26" t="s">
        <v>64</v>
      </c>
      <c r="AA116" s="26" t="s">
        <v>64</v>
      </c>
      <c r="AB116" s="44">
        <f t="shared" si="11"/>
        <v>0</v>
      </c>
      <c r="AC116" s="24" t="str">
        <f>IF(G116="已完成","正常",IF(OR(G116="暂停",G116="挂起"),"暂停",IF(J116="","日期缺失",IF(J116&lt;项目驾驶舱!$B$3,"已延期",IF(J116&lt;=项目驾驶舱!$B$3+7,"临近到期","正常")))))</f>
        <v>暂停</v>
      </c>
      <c r="AD116" s="24" t="s">
        <v>69</v>
      </c>
      <c r="AE116" s="24" t="s">
        <v>69</v>
      </c>
    </row>
    <row r="117" ht="17" customHeight="1" spans="1:31">
      <c r="A117" s="24" t="s">
        <v>327</v>
      </c>
      <c r="B117" s="24" t="s">
        <v>307</v>
      </c>
      <c r="C117" s="24" t="s">
        <v>328</v>
      </c>
      <c r="D117" s="24" t="s">
        <v>64</v>
      </c>
      <c r="E117" s="24" t="s">
        <v>64</v>
      </c>
      <c r="F117" s="24" t="s">
        <v>64</v>
      </c>
      <c r="G117" s="24" t="str">
        <f t="shared" si="14"/>
        <v>暂停</v>
      </c>
      <c r="H117" s="24" t="str">
        <f t="shared" si="8"/>
        <v>/</v>
      </c>
      <c r="I117" s="26" t="str">
        <f t="shared" si="9"/>
        <v/>
      </c>
      <c r="J117" s="26" t="str">
        <f t="shared" si="10"/>
        <v/>
      </c>
      <c r="K117" s="26"/>
      <c r="L117" s="24" t="s">
        <v>64</v>
      </c>
      <c r="M117" s="24" t="s">
        <v>64</v>
      </c>
      <c r="N117" s="26" t="s">
        <v>64</v>
      </c>
      <c r="O117" s="26" t="s">
        <v>64</v>
      </c>
      <c r="P117" s="24" t="s">
        <v>64</v>
      </c>
      <c r="Q117" s="24" t="s">
        <v>64</v>
      </c>
      <c r="R117" s="26" t="s">
        <v>64</v>
      </c>
      <c r="S117" s="26" t="s">
        <v>64</v>
      </c>
      <c r="T117" s="24" t="s">
        <v>64</v>
      </c>
      <c r="U117" s="24" t="s">
        <v>64</v>
      </c>
      <c r="V117" s="26" t="s">
        <v>64</v>
      </c>
      <c r="W117" s="26" t="s">
        <v>64</v>
      </c>
      <c r="X117" s="24" t="s">
        <v>64</v>
      </c>
      <c r="Y117" s="24" t="s">
        <v>64</v>
      </c>
      <c r="Z117" s="26" t="s">
        <v>64</v>
      </c>
      <c r="AA117" s="26" t="s">
        <v>64</v>
      </c>
      <c r="AB117" s="44">
        <f t="shared" si="11"/>
        <v>0</v>
      </c>
      <c r="AC117" s="24" t="str">
        <f>IF(G117="已完成","正常",IF(OR(G117="暂停",G117="挂起"),"暂停",IF(J117="","日期缺失",IF(J117&lt;项目驾驶舱!$B$3,"已延期",IF(J117&lt;=项目驾驶舱!$B$3+7,"临近到期","正常")))))</f>
        <v>暂停</v>
      </c>
      <c r="AD117" s="24" t="s">
        <v>69</v>
      </c>
      <c r="AE117" s="24" t="s">
        <v>69</v>
      </c>
    </row>
    <row r="118" ht="17" customHeight="1" spans="1:31">
      <c r="A118" s="24" t="s">
        <v>329</v>
      </c>
      <c r="B118" s="24" t="s">
        <v>307</v>
      </c>
      <c r="C118" s="24" t="s">
        <v>330</v>
      </c>
      <c r="D118" s="24" t="s">
        <v>64</v>
      </c>
      <c r="E118" s="24" t="s">
        <v>64</v>
      </c>
      <c r="F118" s="24" t="s">
        <v>64</v>
      </c>
      <c r="G118" s="24" t="str">
        <f t="shared" si="14"/>
        <v>暂停</v>
      </c>
      <c r="H118" s="24" t="str">
        <f t="shared" si="8"/>
        <v>/</v>
      </c>
      <c r="I118" s="26" t="str">
        <f t="shared" si="9"/>
        <v/>
      </c>
      <c r="J118" s="26" t="str">
        <f t="shared" si="10"/>
        <v/>
      </c>
      <c r="K118" s="26"/>
      <c r="L118" s="24" t="s">
        <v>64</v>
      </c>
      <c r="M118" s="24" t="s">
        <v>64</v>
      </c>
      <c r="N118" s="26" t="s">
        <v>64</v>
      </c>
      <c r="O118" s="26" t="s">
        <v>64</v>
      </c>
      <c r="P118" s="24" t="s">
        <v>64</v>
      </c>
      <c r="Q118" s="24" t="s">
        <v>64</v>
      </c>
      <c r="R118" s="26" t="s">
        <v>64</v>
      </c>
      <c r="S118" s="26" t="s">
        <v>64</v>
      </c>
      <c r="T118" s="24" t="s">
        <v>64</v>
      </c>
      <c r="U118" s="24" t="s">
        <v>64</v>
      </c>
      <c r="V118" s="26" t="s">
        <v>64</v>
      </c>
      <c r="W118" s="26" t="s">
        <v>64</v>
      </c>
      <c r="X118" s="24" t="s">
        <v>64</v>
      </c>
      <c r="Y118" s="24" t="s">
        <v>64</v>
      </c>
      <c r="Z118" s="26" t="s">
        <v>64</v>
      </c>
      <c r="AA118" s="26" t="s">
        <v>64</v>
      </c>
      <c r="AB118" s="44">
        <f t="shared" si="11"/>
        <v>0</v>
      </c>
      <c r="AC118" s="24" t="str">
        <f>IF(G118="已完成","正常",IF(OR(G118="暂停",G118="挂起"),"暂停",IF(J118="","日期缺失",IF(J118&lt;项目驾驶舱!$B$3,"已延期",IF(J118&lt;=项目驾驶舱!$B$3+7,"临近到期","正常")))))</f>
        <v>暂停</v>
      </c>
      <c r="AD118" s="24" t="s">
        <v>69</v>
      </c>
      <c r="AE118" s="24" t="s">
        <v>69</v>
      </c>
    </row>
    <row r="119" ht="17" customHeight="1" spans="1:31">
      <c r="A119" s="24" t="s">
        <v>331</v>
      </c>
      <c r="B119" s="24" t="s">
        <v>307</v>
      </c>
      <c r="C119" s="24" t="s">
        <v>332</v>
      </c>
      <c r="D119" s="24" t="s">
        <v>64</v>
      </c>
      <c r="E119" s="24" t="s">
        <v>64</v>
      </c>
      <c r="F119" s="24" t="s">
        <v>64</v>
      </c>
      <c r="G119" s="24" t="str">
        <f t="shared" si="14"/>
        <v>暂停</v>
      </c>
      <c r="H119" s="24" t="str">
        <f t="shared" si="8"/>
        <v>/</v>
      </c>
      <c r="I119" s="26" t="str">
        <f t="shared" si="9"/>
        <v/>
      </c>
      <c r="J119" s="26" t="str">
        <f t="shared" si="10"/>
        <v/>
      </c>
      <c r="K119" s="26"/>
      <c r="L119" s="24" t="s">
        <v>64</v>
      </c>
      <c r="M119" s="24" t="s">
        <v>64</v>
      </c>
      <c r="N119" s="26" t="s">
        <v>64</v>
      </c>
      <c r="O119" s="26" t="s">
        <v>64</v>
      </c>
      <c r="P119" s="24" t="s">
        <v>64</v>
      </c>
      <c r="Q119" s="24" t="s">
        <v>64</v>
      </c>
      <c r="R119" s="26" t="s">
        <v>64</v>
      </c>
      <c r="S119" s="26" t="s">
        <v>64</v>
      </c>
      <c r="T119" s="24" t="s">
        <v>64</v>
      </c>
      <c r="U119" s="24" t="s">
        <v>64</v>
      </c>
      <c r="V119" s="26" t="s">
        <v>64</v>
      </c>
      <c r="W119" s="26" t="s">
        <v>64</v>
      </c>
      <c r="X119" s="24" t="s">
        <v>64</v>
      </c>
      <c r="Y119" s="24" t="s">
        <v>64</v>
      </c>
      <c r="Z119" s="26" t="s">
        <v>64</v>
      </c>
      <c r="AA119" s="26" t="s">
        <v>64</v>
      </c>
      <c r="AB119" s="44">
        <f t="shared" si="11"/>
        <v>0</v>
      </c>
      <c r="AC119" s="24" t="str">
        <f>IF(G119="已完成","正常",IF(OR(G119="暂停",G119="挂起"),"暂停",IF(J119="","日期缺失",IF(J119&lt;项目驾驶舱!$B$3,"已延期",IF(J119&lt;=项目驾驶舱!$B$3+7,"临近到期","正常")))))</f>
        <v>暂停</v>
      </c>
      <c r="AD119" s="24" t="s">
        <v>69</v>
      </c>
      <c r="AE119" s="24" t="s">
        <v>69</v>
      </c>
    </row>
    <row r="120" ht="17" customHeight="1" spans="1:31">
      <c r="A120" s="24" t="s">
        <v>333</v>
      </c>
      <c r="B120" s="24" t="s">
        <v>334</v>
      </c>
      <c r="C120" s="24" t="s">
        <v>335</v>
      </c>
      <c r="D120" s="24" t="s">
        <v>64</v>
      </c>
      <c r="E120" s="24" t="s">
        <v>64</v>
      </c>
      <c r="F120" s="24" t="s">
        <v>25</v>
      </c>
      <c r="G120" s="24" t="str">
        <f t="shared" ref="G120:G128" si="15">IF(OR(M120="挂起",M120="暂停",Q120="挂起",Q120="暂停",U120="挂起",U120="暂停",Y120="挂起",Y120="暂停"),"暂停","已完成")</f>
        <v>已完成</v>
      </c>
      <c r="H120" s="24" t="str">
        <f t="shared" si="8"/>
        <v>郑士旺</v>
      </c>
      <c r="I120" s="26">
        <f t="shared" si="9"/>
        <v>46230</v>
      </c>
      <c r="J120" s="26">
        <f t="shared" si="10"/>
        <v>46269</v>
      </c>
      <c r="K120" s="26" t="s">
        <v>64</v>
      </c>
      <c r="L120" s="24" t="s">
        <v>65</v>
      </c>
      <c r="M120" s="24" t="s">
        <v>3</v>
      </c>
      <c r="N120" s="26" t="s">
        <v>64</v>
      </c>
      <c r="O120" s="26" t="s">
        <v>64</v>
      </c>
      <c r="P120" s="24" t="s">
        <v>66</v>
      </c>
      <c r="Q120" s="24" t="s">
        <v>3</v>
      </c>
      <c r="R120" s="26">
        <v>46230</v>
      </c>
      <c r="S120" s="26">
        <v>46262</v>
      </c>
      <c r="T120" s="24" t="s">
        <v>67</v>
      </c>
      <c r="U120" s="24" t="s">
        <v>3</v>
      </c>
      <c r="V120" s="26">
        <v>46230</v>
      </c>
      <c r="W120" s="26">
        <v>46262</v>
      </c>
      <c r="X120" s="24" t="s">
        <v>68</v>
      </c>
      <c r="Y120" s="24" t="s">
        <v>3</v>
      </c>
      <c r="Z120" s="26">
        <v>46253</v>
      </c>
      <c r="AA120" s="26">
        <v>46269</v>
      </c>
      <c r="AB120" s="44">
        <f t="shared" si="11"/>
        <v>1</v>
      </c>
      <c r="AC120" s="24" t="str">
        <f>IF(G120="已完成","正常",IF(OR(G120="暂停",G120="挂起"),"暂停",IF(J120="","日期缺失",IF(J120&lt;项目驾驶舱!$B$3,"已延期",IF(J120&lt;=项目驾驶舱!$B$3+7,"临近到期","正常")))))</f>
        <v>正常</v>
      </c>
      <c r="AD120" s="24" t="s">
        <v>69</v>
      </c>
      <c r="AE120" s="24" t="s">
        <v>69</v>
      </c>
    </row>
    <row r="121" ht="17" customHeight="1" spans="1:31">
      <c r="A121" s="24" t="s">
        <v>336</v>
      </c>
      <c r="B121" s="24" t="s">
        <v>334</v>
      </c>
      <c r="C121" s="24" t="s">
        <v>337</v>
      </c>
      <c r="D121" s="24" t="s">
        <v>64</v>
      </c>
      <c r="E121" s="24" t="s">
        <v>64</v>
      </c>
      <c r="F121" s="24" t="s">
        <v>25</v>
      </c>
      <c r="G121" s="24" t="str">
        <f t="shared" si="15"/>
        <v>已完成</v>
      </c>
      <c r="H121" s="24" t="str">
        <f t="shared" si="8"/>
        <v>郑士旺</v>
      </c>
      <c r="I121" s="26">
        <f t="shared" si="9"/>
        <v>46230</v>
      </c>
      <c r="J121" s="26">
        <f t="shared" si="10"/>
        <v>46269</v>
      </c>
      <c r="K121" s="26" t="s">
        <v>64</v>
      </c>
      <c r="L121" s="24" t="s">
        <v>65</v>
      </c>
      <c r="M121" s="24" t="s">
        <v>3</v>
      </c>
      <c r="N121" s="26" t="s">
        <v>64</v>
      </c>
      <c r="O121" s="26" t="s">
        <v>64</v>
      </c>
      <c r="P121" s="24" t="s">
        <v>66</v>
      </c>
      <c r="Q121" s="24" t="s">
        <v>3</v>
      </c>
      <c r="R121" s="26">
        <v>46230</v>
      </c>
      <c r="S121" s="26">
        <v>46262</v>
      </c>
      <c r="T121" s="24" t="s">
        <v>67</v>
      </c>
      <c r="U121" s="24" t="s">
        <v>3</v>
      </c>
      <c r="V121" s="26">
        <v>46230</v>
      </c>
      <c r="W121" s="26">
        <v>46262</v>
      </c>
      <c r="X121" s="24" t="s">
        <v>68</v>
      </c>
      <c r="Y121" s="24" t="s">
        <v>3</v>
      </c>
      <c r="Z121" s="26">
        <v>46253</v>
      </c>
      <c r="AA121" s="26">
        <v>46269</v>
      </c>
      <c r="AB121" s="44">
        <f t="shared" si="11"/>
        <v>1</v>
      </c>
      <c r="AC121" s="24" t="str">
        <f>IF(G121="已完成","正常",IF(OR(G121="暂停",G121="挂起"),"暂停",IF(J121="","日期缺失",IF(J121&lt;项目驾驶舱!$B$3,"已延期",IF(J121&lt;=项目驾驶舱!$B$3+7,"临近到期","正常")))))</f>
        <v>正常</v>
      </c>
      <c r="AD121" s="24" t="s">
        <v>69</v>
      </c>
      <c r="AE121" s="24" t="s">
        <v>69</v>
      </c>
    </row>
    <row r="122" ht="17" customHeight="1" spans="1:31">
      <c r="A122" s="24" t="s">
        <v>338</v>
      </c>
      <c r="B122" s="24" t="s">
        <v>334</v>
      </c>
      <c r="C122" s="24" t="s">
        <v>339</v>
      </c>
      <c r="D122" s="24" t="s">
        <v>64</v>
      </c>
      <c r="E122" s="24" t="s">
        <v>64</v>
      </c>
      <c r="F122" s="24" t="s">
        <v>25</v>
      </c>
      <c r="G122" s="24" t="str">
        <f t="shared" si="15"/>
        <v>已完成</v>
      </c>
      <c r="H122" s="24" t="str">
        <f t="shared" si="8"/>
        <v>郑士旺</v>
      </c>
      <c r="I122" s="26">
        <f t="shared" si="9"/>
        <v>46230</v>
      </c>
      <c r="J122" s="26">
        <f t="shared" si="10"/>
        <v>46269</v>
      </c>
      <c r="K122" s="26" t="s">
        <v>64</v>
      </c>
      <c r="L122" s="24" t="s">
        <v>65</v>
      </c>
      <c r="M122" s="24" t="s">
        <v>3</v>
      </c>
      <c r="N122" s="26" t="s">
        <v>64</v>
      </c>
      <c r="O122" s="26" t="s">
        <v>64</v>
      </c>
      <c r="P122" s="24" t="s">
        <v>66</v>
      </c>
      <c r="Q122" s="24" t="s">
        <v>3</v>
      </c>
      <c r="R122" s="26">
        <v>46230</v>
      </c>
      <c r="S122" s="26">
        <v>46262</v>
      </c>
      <c r="T122" s="24" t="s">
        <v>67</v>
      </c>
      <c r="U122" s="24" t="s">
        <v>3</v>
      </c>
      <c r="V122" s="26">
        <v>46230</v>
      </c>
      <c r="W122" s="26">
        <v>46262</v>
      </c>
      <c r="X122" s="24" t="s">
        <v>68</v>
      </c>
      <c r="Y122" s="24" t="s">
        <v>3</v>
      </c>
      <c r="Z122" s="26">
        <v>46253</v>
      </c>
      <c r="AA122" s="26">
        <v>46269</v>
      </c>
      <c r="AB122" s="44">
        <f t="shared" si="11"/>
        <v>1</v>
      </c>
      <c r="AC122" s="24" t="str">
        <f>IF(G122="已完成","正常",IF(OR(G122="暂停",G122="挂起"),"暂停",IF(J122="","日期缺失",IF(J122&lt;项目驾驶舱!$B$3,"已延期",IF(J122&lt;=项目驾驶舱!$B$3+7,"临近到期","正常")))))</f>
        <v>正常</v>
      </c>
      <c r="AD122" s="24" t="s">
        <v>69</v>
      </c>
      <c r="AE122" s="24" t="s">
        <v>69</v>
      </c>
    </row>
    <row r="123" ht="17" customHeight="1" spans="1:31">
      <c r="A123" s="24" t="s">
        <v>340</v>
      </c>
      <c r="B123" s="24" t="s">
        <v>334</v>
      </c>
      <c r="C123" s="24" t="s">
        <v>341</v>
      </c>
      <c r="D123" s="24" t="s">
        <v>64</v>
      </c>
      <c r="E123" s="24" t="s">
        <v>64</v>
      </c>
      <c r="F123" s="24" t="s">
        <v>25</v>
      </c>
      <c r="G123" s="24" t="str">
        <f t="shared" si="15"/>
        <v>已完成</v>
      </c>
      <c r="H123" s="24" t="str">
        <f t="shared" si="8"/>
        <v>郑士旺</v>
      </c>
      <c r="I123" s="26">
        <f t="shared" si="9"/>
        <v>46230</v>
      </c>
      <c r="J123" s="26">
        <f t="shared" si="10"/>
        <v>46269</v>
      </c>
      <c r="K123" s="26" t="s">
        <v>64</v>
      </c>
      <c r="L123" s="24" t="s">
        <v>65</v>
      </c>
      <c r="M123" s="24" t="s">
        <v>3</v>
      </c>
      <c r="N123" s="26" t="s">
        <v>64</v>
      </c>
      <c r="O123" s="26" t="s">
        <v>64</v>
      </c>
      <c r="P123" s="24" t="s">
        <v>66</v>
      </c>
      <c r="Q123" s="24" t="s">
        <v>3</v>
      </c>
      <c r="R123" s="26">
        <v>46230</v>
      </c>
      <c r="S123" s="26">
        <v>46262</v>
      </c>
      <c r="T123" s="24" t="s">
        <v>67</v>
      </c>
      <c r="U123" s="24" t="s">
        <v>3</v>
      </c>
      <c r="V123" s="26">
        <v>46230</v>
      </c>
      <c r="W123" s="26">
        <v>46262</v>
      </c>
      <c r="X123" s="24" t="s">
        <v>68</v>
      </c>
      <c r="Y123" s="24" t="s">
        <v>3</v>
      </c>
      <c r="Z123" s="26">
        <v>46253</v>
      </c>
      <c r="AA123" s="26">
        <v>46269</v>
      </c>
      <c r="AB123" s="44">
        <f t="shared" si="11"/>
        <v>1</v>
      </c>
      <c r="AC123" s="24" t="str">
        <f>IF(G123="已完成","正常",IF(OR(G123="暂停",G123="挂起"),"暂停",IF(J123="","日期缺失",IF(J123&lt;项目驾驶舱!$B$3,"已延期",IF(J123&lt;=项目驾驶舱!$B$3+7,"临近到期","正常")))))</f>
        <v>正常</v>
      </c>
      <c r="AD123" s="24" t="s">
        <v>69</v>
      </c>
      <c r="AE123" s="24" t="s">
        <v>69</v>
      </c>
    </row>
    <row r="124" ht="17" customHeight="1" spans="1:31">
      <c r="A124" s="24" t="s">
        <v>342</v>
      </c>
      <c r="B124" s="24" t="s">
        <v>343</v>
      </c>
      <c r="C124" s="24" t="s">
        <v>344</v>
      </c>
      <c r="D124" s="24" t="s">
        <v>345</v>
      </c>
      <c r="E124" s="24" t="s">
        <v>64</v>
      </c>
      <c r="F124" s="24" t="s">
        <v>26</v>
      </c>
      <c r="G124" s="24" t="str">
        <f t="shared" si="15"/>
        <v>已完成</v>
      </c>
      <c r="H124" s="24" t="str">
        <f t="shared" si="8"/>
        <v>郑士旺</v>
      </c>
      <c r="I124" s="26">
        <f t="shared" si="9"/>
        <v>46216</v>
      </c>
      <c r="J124" s="26">
        <f t="shared" si="10"/>
        <v>46261</v>
      </c>
      <c r="K124" s="26">
        <v>46261</v>
      </c>
      <c r="L124" s="24" t="s">
        <v>65</v>
      </c>
      <c r="M124" s="24" t="s">
        <v>3</v>
      </c>
      <c r="N124" s="26">
        <v>46216</v>
      </c>
      <c r="O124" s="26">
        <v>46220</v>
      </c>
      <c r="P124" s="24" t="s">
        <v>66</v>
      </c>
      <c r="Q124" s="24" t="s">
        <v>3</v>
      </c>
      <c r="R124" s="26">
        <v>46265</v>
      </c>
      <c r="S124" s="26">
        <v>46269</v>
      </c>
      <c r="T124" s="24" t="s">
        <v>67</v>
      </c>
      <c r="U124" s="24" t="s">
        <v>3</v>
      </c>
      <c r="V124" s="26">
        <v>46265</v>
      </c>
      <c r="W124" s="26">
        <v>46269</v>
      </c>
      <c r="X124" s="24" t="s">
        <v>68</v>
      </c>
      <c r="Y124" s="24" t="s">
        <v>3</v>
      </c>
      <c r="Z124" s="26">
        <v>46272</v>
      </c>
      <c r="AA124" s="26">
        <v>46276</v>
      </c>
      <c r="AB124" s="44">
        <f t="shared" si="11"/>
        <v>1</v>
      </c>
      <c r="AC124" s="24" t="str">
        <f>IF(G124="已完成","正常",IF(OR(G124="暂停",G124="挂起"),"暂停",IF(J124="","日期缺失",IF(J124&lt;项目驾驶舱!$B$3,"已延期",IF(J124&lt;=项目驾驶舱!$B$3+7,"临近到期","正常")))))</f>
        <v>正常</v>
      </c>
      <c r="AD124" s="24" t="s">
        <v>69</v>
      </c>
      <c r="AE124" s="24" t="s">
        <v>69</v>
      </c>
    </row>
    <row r="125" ht="17" customHeight="1" spans="1:31">
      <c r="A125" s="24" t="s">
        <v>346</v>
      </c>
      <c r="B125" s="24" t="s">
        <v>343</v>
      </c>
      <c r="C125" s="24" t="s">
        <v>344</v>
      </c>
      <c r="D125" s="24" t="s">
        <v>347</v>
      </c>
      <c r="E125" s="24" t="s">
        <v>64</v>
      </c>
      <c r="F125" s="24" t="s">
        <v>26</v>
      </c>
      <c r="G125" s="24" t="str">
        <f t="shared" si="15"/>
        <v>已完成</v>
      </c>
      <c r="H125" s="24" t="str">
        <f t="shared" si="8"/>
        <v>郑士旺</v>
      </c>
      <c r="I125" s="26">
        <f t="shared" si="9"/>
        <v>46216</v>
      </c>
      <c r="J125" s="26">
        <f t="shared" si="10"/>
        <v>46261</v>
      </c>
      <c r="K125" s="26">
        <v>46261</v>
      </c>
      <c r="L125" s="24" t="s">
        <v>65</v>
      </c>
      <c r="M125" s="24" t="s">
        <v>3</v>
      </c>
      <c r="N125" s="26">
        <v>46216</v>
      </c>
      <c r="O125" s="26">
        <v>46220</v>
      </c>
      <c r="P125" s="24" t="s">
        <v>66</v>
      </c>
      <c r="Q125" s="24" t="s">
        <v>3</v>
      </c>
      <c r="R125" s="26">
        <v>46265</v>
      </c>
      <c r="S125" s="26">
        <v>46269</v>
      </c>
      <c r="T125" s="24" t="s">
        <v>67</v>
      </c>
      <c r="U125" s="24" t="s">
        <v>3</v>
      </c>
      <c r="V125" s="26">
        <v>46265</v>
      </c>
      <c r="W125" s="26">
        <v>46269</v>
      </c>
      <c r="X125" s="24" t="s">
        <v>68</v>
      </c>
      <c r="Y125" s="24" t="s">
        <v>3</v>
      </c>
      <c r="Z125" s="26">
        <v>46272</v>
      </c>
      <c r="AA125" s="26">
        <v>46276</v>
      </c>
      <c r="AB125" s="44">
        <f t="shared" si="11"/>
        <v>1</v>
      </c>
      <c r="AC125" s="24" t="str">
        <f>IF(G125="已完成","正常",IF(OR(G125="暂停",G125="挂起"),"暂停",IF(J125="","日期缺失",IF(J125&lt;项目驾驶舱!$B$3,"已延期",IF(J125&lt;=项目驾驶舱!$B$3+7,"临近到期","正常")))))</f>
        <v>正常</v>
      </c>
      <c r="AD125" s="24" t="s">
        <v>69</v>
      </c>
      <c r="AE125" s="24" t="s">
        <v>69</v>
      </c>
    </row>
    <row r="126" ht="17" customHeight="1" spans="1:31">
      <c r="A126" s="24" t="s">
        <v>348</v>
      </c>
      <c r="B126" s="24" t="s">
        <v>343</v>
      </c>
      <c r="C126" s="24" t="s">
        <v>344</v>
      </c>
      <c r="D126" s="24" t="s">
        <v>349</v>
      </c>
      <c r="E126" s="24" t="s">
        <v>64</v>
      </c>
      <c r="F126" s="24" t="s">
        <v>26</v>
      </c>
      <c r="G126" s="24" t="str">
        <f t="shared" si="15"/>
        <v>已完成</v>
      </c>
      <c r="H126" s="24" t="str">
        <f t="shared" si="8"/>
        <v>郑士旺</v>
      </c>
      <c r="I126" s="26">
        <f t="shared" si="9"/>
        <v>46216</v>
      </c>
      <c r="J126" s="26">
        <f t="shared" si="10"/>
        <v>46261</v>
      </c>
      <c r="K126" s="26">
        <v>46261</v>
      </c>
      <c r="L126" s="24" t="s">
        <v>65</v>
      </c>
      <c r="M126" s="24" t="s">
        <v>3</v>
      </c>
      <c r="N126" s="26">
        <v>46216</v>
      </c>
      <c r="O126" s="26">
        <v>46220</v>
      </c>
      <c r="P126" s="24" t="s">
        <v>66</v>
      </c>
      <c r="Q126" s="24" t="s">
        <v>3</v>
      </c>
      <c r="R126" s="26">
        <v>46265</v>
      </c>
      <c r="S126" s="26">
        <v>46269</v>
      </c>
      <c r="T126" s="24" t="s">
        <v>67</v>
      </c>
      <c r="U126" s="24" t="s">
        <v>3</v>
      </c>
      <c r="V126" s="26">
        <v>46265</v>
      </c>
      <c r="W126" s="26">
        <v>46269</v>
      </c>
      <c r="X126" s="24" t="s">
        <v>68</v>
      </c>
      <c r="Y126" s="24" t="s">
        <v>3</v>
      </c>
      <c r="Z126" s="26">
        <v>46272</v>
      </c>
      <c r="AA126" s="26">
        <v>46276</v>
      </c>
      <c r="AB126" s="44">
        <f t="shared" si="11"/>
        <v>1</v>
      </c>
      <c r="AC126" s="24" t="str">
        <f>IF(G126="已完成","正常",IF(OR(G126="暂停",G126="挂起"),"暂停",IF(J126="","日期缺失",IF(J126&lt;项目驾驶舱!$B$3,"已延期",IF(J126&lt;=项目驾驶舱!$B$3+7,"临近到期","正常")))))</f>
        <v>正常</v>
      </c>
      <c r="AD126" s="24" t="s">
        <v>69</v>
      </c>
      <c r="AE126" s="24" t="s">
        <v>69</v>
      </c>
    </row>
    <row r="127" ht="17" customHeight="1" spans="1:31">
      <c r="A127" s="24" t="s">
        <v>350</v>
      </c>
      <c r="B127" s="24" t="s">
        <v>343</v>
      </c>
      <c r="C127" s="24" t="s">
        <v>344</v>
      </c>
      <c r="D127" s="24" t="s">
        <v>351</v>
      </c>
      <c r="E127" s="24" t="s">
        <v>64</v>
      </c>
      <c r="F127" s="24" t="s">
        <v>26</v>
      </c>
      <c r="G127" s="24" t="str">
        <f t="shared" si="15"/>
        <v>已完成</v>
      </c>
      <c r="H127" s="24" t="str">
        <f t="shared" si="8"/>
        <v>郑士旺</v>
      </c>
      <c r="I127" s="26">
        <f t="shared" si="9"/>
        <v>46216</v>
      </c>
      <c r="J127" s="26">
        <f t="shared" si="10"/>
        <v>46261</v>
      </c>
      <c r="K127" s="26">
        <v>46261</v>
      </c>
      <c r="L127" s="24" t="s">
        <v>65</v>
      </c>
      <c r="M127" s="24" t="s">
        <v>3</v>
      </c>
      <c r="N127" s="26">
        <v>46216</v>
      </c>
      <c r="O127" s="26">
        <v>46220</v>
      </c>
      <c r="P127" s="24" t="s">
        <v>66</v>
      </c>
      <c r="Q127" s="24" t="s">
        <v>3</v>
      </c>
      <c r="R127" s="26">
        <v>46265</v>
      </c>
      <c r="S127" s="26">
        <v>46269</v>
      </c>
      <c r="T127" s="24" t="s">
        <v>67</v>
      </c>
      <c r="U127" s="24" t="s">
        <v>3</v>
      </c>
      <c r="V127" s="26">
        <v>46265</v>
      </c>
      <c r="W127" s="26">
        <v>46269</v>
      </c>
      <c r="X127" s="24" t="s">
        <v>68</v>
      </c>
      <c r="Y127" s="24" t="s">
        <v>3</v>
      </c>
      <c r="Z127" s="26">
        <v>46272</v>
      </c>
      <c r="AA127" s="26">
        <v>46276</v>
      </c>
      <c r="AB127" s="44">
        <f t="shared" si="11"/>
        <v>1</v>
      </c>
      <c r="AC127" s="24" t="str">
        <f>IF(G127="已完成","正常",IF(OR(G127="暂停",G127="挂起"),"暂停",IF(J127="","日期缺失",IF(J127&lt;项目驾驶舱!$B$3,"已延期",IF(J127&lt;=项目驾驶舱!$B$3+7,"临近到期","正常")))))</f>
        <v>正常</v>
      </c>
      <c r="AD127" s="24" t="s">
        <v>69</v>
      </c>
      <c r="AE127" s="24" t="s">
        <v>69</v>
      </c>
    </row>
    <row r="128" ht="17" customHeight="1" spans="1:31">
      <c r="A128" s="24" t="s">
        <v>352</v>
      </c>
      <c r="B128" s="24" t="s">
        <v>343</v>
      </c>
      <c r="C128" s="24" t="s">
        <v>344</v>
      </c>
      <c r="D128" s="24" t="s">
        <v>353</v>
      </c>
      <c r="E128" s="24" t="s">
        <v>64</v>
      </c>
      <c r="F128" s="24" t="s">
        <v>26</v>
      </c>
      <c r="G128" s="24" t="str">
        <f t="shared" si="15"/>
        <v>已完成</v>
      </c>
      <c r="H128" s="24" t="str">
        <f t="shared" si="8"/>
        <v>郑士旺</v>
      </c>
      <c r="I128" s="26">
        <f t="shared" si="9"/>
        <v>46216</v>
      </c>
      <c r="J128" s="26">
        <f t="shared" si="10"/>
        <v>46261</v>
      </c>
      <c r="K128" s="26">
        <v>46261</v>
      </c>
      <c r="L128" s="24" t="s">
        <v>65</v>
      </c>
      <c r="M128" s="24" t="s">
        <v>3</v>
      </c>
      <c r="N128" s="26">
        <v>46216</v>
      </c>
      <c r="O128" s="26">
        <v>46220</v>
      </c>
      <c r="P128" s="24" t="s">
        <v>66</v>
      </c>
      <c r="Q128" s="24" t="s">
        <v>3</v>
      </c>
      <c r="R128" s="26">
        <v>46265</v>
      </c>
      <c r="S128" s="26">
        <v>46269</v>
      </c>
      <c r="T128" s="24" t="s">
        <v>67</v>
      </c>
      <c r="U128" s="24" t="s">
        <v>3</v>
      </c>
      <c r="V128" s="26">
        <v>46265</v>
      </c>
      <c r="W128" s="26">
        <v>46269</v>
      </c>
      <c r="X128" s="24" t="s">
        <v>68</v>
      </c>
      <c r="Y128" s="24" t="s">
        <v>3</v>
      </c>
      <c r="Z128" s="26">
        <v>46272</v>
      </c>
      <c r="AA128" s="26">
        <v>46276</v>
      </c>
      <c r="AB128" s="44">
        <f t="shared" si="11"/>
        <v>1</v>
      </c>
      <c r="AC128" s="24" t="str">
        <f>IF(G128="已完成","正常",IF(OR(G128="暂停",G128="挂起"),"暂停",IF(J128="","日期缺失",IF(J128&lt;项目驾驶舱!$B$3,"已延期",IF(J128&lt;=项目驾驶舱!$B$3+7,"临近到期","正常")))))</f>
        <v>正常</v>
      </c>
      <c r="AD128" s="24" t="s">
        <v>69</v>
      </c>
      <c r="AE128" s="24" t="s">
        <v>69</v>
      </c>
    </row>
    <row r="129" ht="17" customHeight="1" spans="1:31">
      <c r="A129" s="24" t="s">
        <v>354</v>
      </c>
      <c r="B129" s="24" t="s">
        <v>343</v>
      </c>
      <c r="C129" s="24" t="s">
        <v>344</v>
      </c>
      <c r="D129" s="24" t="s">
        <v>355</v>
      </c>
      <c r="E129" s="24" t="s">
        <v>64</v>
      </c>
      <c r="F129" s="24" t="s">
        <v>26</v>
      </c>
      <c r="G129" s="24" t="str">
        <f t="shared" ref="G129:G140" si="16">IF(OR(M129="挂起",M129="暂停",Q129="挂起",Q129="暂停",U129="挂起",U129="暂停",Y129="挂起",Y129="暂停"),"暂停","未开始")</f>
        <v>未开始</v>
      </c>
      <c r="H129" s="24" t="str">
        <f t="shared" si="8"/>
        <v>郑士旺</v>
      </c>
      <c r="I129" s="26">
        <f t="shared" si="9"/>
        <v>46230</v>
      </c>
      <c r="J129" s="26">
        <f t="shared" si="10"/>
        <v>46353</v>
      </c>
      <c r="K129" s="26"/>
      <c r="L129" s="24" t="s">
        <v>65</v>
      </c>
      <c r="M129" s="24" t="s">
        <v>5</v>
      </c>
      <c r="N129" s="26">
        <v>46230</v>
      </c>
      <c r="O129" s="26">
        <v>46241</v>
      </c>
      <c r="P129" s="24" t="s">
        <v>66</v>
      </c>
      <c r="Q129" s="24" t="s">
        <v>5</v>
      </c>
      <c r="R129" s="26">
        <v>46307</v>
      </c>
      <c r="S129" s="26">
        <v>46339</v>
      </c>
      <c r="T129" s="24" t="s">
        <v>67</v>
      </c>
      <c r="U129" s="24" t="s">
        <v>5</v>
      </c>
      <c r="V129" s="26">
        <v>46307</v>
      </c>
      <c r="W129" s="26">
        <v>46339</v>
      </c>
      <c r="X129" s="24" t="s">
        <v>68</v>
      </c>
      <c r="Y129" s="24" t="s">
        <v>5</v>
      </c>
      <c r="Z129" s="26">
        <v>46342</v>
      </c>
      <c r="AA129" s="26">
        <v>46353</v>
      </c>
      <c r="AB129" s="44">
        <f t="shared" si="11"/>
        <v>0</v>
      </c>
      <c r="AC129" s="24" t="str">
        <f>IF(G129="已完成","正常",IF(OR(G129="暂停",G129="挂起"),"暂停",IF(J129="","日期缺失",IF(J129&lt;项目驾驶舱!$B$3,"已延期",IF(J129&lt;=项目驾驶舱!$B$3+7,"临近到期","正常")))))</f>
        <v>正常</v>
      </c>
      <c r="AD129" s="24" t="s">
        <v>69</v>
      </c>
      <c r="AE129" s="24" t="s">
        <v>69</v>
      </c>
    </row>
    <row r="130" ht="17" customHeight="1" spans="1:31">
      <c r="A130" s="24" t="s">
        <v>356</v>
      </c>
      <c r="B130" s="24" t="s">
        <v>343</v>
      </c>
      <c r="C130" s="24" t="s">
        <v>344</v>
      </c>
      <c r="D130" s="24" t="s">
        <v>357</v>
      </c>
      <c r="E130" s="24" t="s">
        <v>64</v>
      </c>
      <c r="F130" s="24" t="s">
        <v>26</v>
      </c>
      <c r="G130" s="24" t="str">
        <f t="shared" si="16"/>
        <v>未开始</v>
      </c>
      <c r="H130" s="24" t="str">
        <f t="shared" si="8"/>
        <v>郑士旺</v>
      </c>
      <c r="I130" s="26">
        <f t="shared" si="9"/>
        <v>46230</v>
      </c>
      <c r="J130" s="26">
        <f t="shared" si="10"/>
        <v>46261</v>
      </c>
      <c r="K130" s="26">
        <v>46261</v>
      </c>
      <c r="L130" s="24" t="s">
        <v>65</v>
      </c>
      <c r="M130" s="24" t="s">
        <v>5</v>
      </c>
      <c r="N130" s="26">
        <v>46230</v>
      </c>
      <c r="O130" s="26">
        <v>46241</v>
      </c>
      <c r="P130" s="24" t="s">
        <v>66</v>
      </c>
      <c r="Q130" s="24" t="s">
        <v>5</v>
      </c>
      <c r="R130" s="26">
        <v>46307</v>
      </c>
      <c r="S130" s="26">
        <v>46339</v>
      </c>
      <c r="T130" s="24" t="s">
        <v>67</v>
      </c>
      <c r="U130" s="24" t="s">
        <v>5</v>
      </c>
      <c r="V130" s="26">
        <v>46307</v>
      </c>
      <c r="W130" s="26">
        <v>46339</v>
      </c>
      <c r="X130" s="24" t="s">
        <v>68</v>
      </c>
      <c r="Y130" s="24" t="s">
        <v>5</v>
      </c>
      <c r="Z130" s="26">
        <v>46342</v>
      </c>
      <c r="AA130" s="26">
        <v>46353</v>
      </c>
      <c r="AB130" s="44">
        <f t="shared" si="11"/>
        <v>0</v>
      </c>
      <c r="AC130" s="24" t="str">
        <f>IF(G130="已完成","正常",IF(OR(G130="暂停",G130="挂起"),"暂停",IF(J130="","日期缺失",IF(J130&lt;项目驾驶舱!$B$3,"已延期",IF(J130&lt;=项目驾驶舱!$B$3+7,"临近到期","正常")))))</f>
        <v>已延期</v>
      </c>
      <c r="AD130" s="24" t="s">
        <v>69</v>
      </c>
      <c r="AE130" s="24" t="s">
        <v>69</v>
      </c>
    </row>
    <row r="131" ht="17" customHeight="1" spans="1:31">
      <c r="A131" s="24" t="s">
        <v>358</v>
      </c>
      <c r="B131" s="24" t="s">
        <v>343</v>
      </c>
      <c r="C131" s="24" t="s">
        <v>344</v>
      </c>
      <c r="D131" s="24" t="s">
        <v>359</v>
      </c>
      <c r="E131" s="24" t="s">
        <v>64</v>
      </c>
      <c r="F131" s="24" t="s">
        <v>26</v>
      </c>
      <c r="G131" s="24" t="str">
        <f t="shared" si="16"/>
        <v>未开始</v>
      </c>
      <c r="H131" s="24" t="str">
        <f t="shared" si="8"/>
        <v>郑士旺</v>
      </c>
      <c r="I131" s="26">
        <f t="shared" si="9"/>
        <v>46230</v>
      </c>
      <c r="J131" s="26">
        <f t="shared" si="10"/>
        <v>46261</v>
      </c>
      <c r="K131" s="26">
        <v>46261</v>
      </c>
      <c r="L131" s="24" t="s">
        <v>65</v>
      </c>
      <c r="M131" s="24" t="s">
        <v>5</v>
      </c>
      <c r="N131" s="26">
        <v>46230</v>
      </c>
      <c r="O131" s="26">
        <v>46241</v>
      </c>
      <c r="P131" s="24" t="s">
        <v>66</v>
      </c>
      <c r="Q131" s="24" t="s">
        <v>5</v>
      </c>
      <c r="R131" s="26">
        <v>46307</v>
      </c>
      <c r="S131" s="26">
        <v>46339</v>
      </c>
      <c r="T131" s="24" t="s">
        <v>67</v>
      </c>
      <c r="U131" s="24" t="s">
        <v>5</v>
      </c>
      <c r="V131" s="26">
        <v>46307</v>
      </c>
      <c r="W131" s="26">
        <v>46339</v>
      </c>
      <c r="X131" s="24" t="s">
        <v>68</v>
      </c>
      <c r="Y131" s="24" t="s">
        <v>5</v>
      </c>
      <c r="Z131" s="26">
        <v>46342</v>
      </c>
      <c r="AA131" s="26">
        <v>46353</v>
      </c>
      <c r="AB131" s="44">
        <f t="shared" si="11"/>
        <v>0</v>
      </c>
      <c r="AC131" s="24" t="str">
        <f>IF(G131="已完成","正常",IF(OR(G131="暂停",G131="挂起"),"暂停",IF(J131="","日期缺失",IF(J131&lt;项目驾驶舱!$B$3,"已延期",IF(J131&lt;=项目驾驶舱!$B$3+7,"临近到期","正常")))))</f>
        <v>已延期</v>
      </c>
      <c r="AD131" s="24" t="s">
        <v>69</v>
      </c>
      <c r="AE131" s="24" t="s">
        <v>69</v>
      </c>
    </row>
    <row r="132" ht="17" customHeight="1" spans="1:31">
      <c r="A132" s="24" t="s">
        <v>360</v>
      </c>
      <c r="B132" s="24" t="s">
        <v>343</v>
      </c>
      <c r="C132" s="24" t="s">
        <v>344</v>
      </c>
      <c r="D132" s="24" t="s">
        <v>361</v>
      </c>
      <c r="E132" s="24" t="s">
        <v>64</v>
      </c>
      <c r="F132" s="24" t="s">
        <v>26</v>
      </c>
      <c r="G132" s="24" t="str">
        <f t="shared" si="16"/>
        <v>未开始</v>
      </c>
      <c r="H132" s="24" t="str">
        <f t="shared" ref="H132:H148" si="17">IF(L132&lt;&gt;"",L132,IF(P132&lt;&gt;"",P132,IF(T132&lt;&gt;"",T132,X132)))</f>
        <v>郑士旺</v>
      </c>
      <c r="I132" s="26">
        <f t="shared" ref="I132:I148" si="18">IF(COUNT(N132,R132,V132,Z132)=0,"",MIN(N132,R132,V132,Z132))</f>
        <v>46230</v>
      </c>
      <c r="J132" s="26">
        <f t="shared" ref="J132:J148" si="19">IF(ISNUMBER(K132),K132,IF(COUNT(O132,S132,W132,AA132)=0,"",MAX(O132,S132,W132,AA132)))</f>
        <v>46353</v>
      </c>
      <c r="K132" s="26"/>
      <c r="L132" s="24" t="s">
        <v>65</v>
      </c>
      <c r="M132" s="24" t="s">
        <v>5</v>
      </c>
      <c r="N132" s="26">
        <v>46230</v>
      </c>
      <c r="O132" s="26">
        <v>46241</v>
      </c>
      <c r="P132" s="24" t="s">
        <v>66</v>
      </c>
      <c r="Q132" s="24" t="s">
        <v>5</v>
      </c>
      <c r="R132" s="26">
        <v>46307</v>
      </c>
      <c r="S132" s="26">
        <v>46339</v>
      </c>
      <c r="T132" s="24" t="s">
        <v>67</v>
      </c>
      <c r="U132" s="24" t="s">
        <v>5</v>
      </c>
      <c r="V132" s="26">
        <v>46307</v>
      </c>
      <c r="W132" s="26">
        <v>46339</v>
      </c>
      <c r="X132" s="24" t="s">
        <v>68</v>
      </c>
      <c r="Y132" s="24" t="s">
        <v>5</v>
      </c>
      <c r="Z132" s="26">
        <v>46342</v>
      </c>
      <c r="AA132" s="26">
        <v>46353</v>
      </c>
      <c r="AB132" s="44">
        <f t="shared" ref="AB132:AB148" si="20">(IF(M132="已完成",1,IF(M132="进行中",0.5,0))*15%+IF(Q132="已完成",1,IF(Q132="进行中",0.5,0))*35%+IF(U132="已完成",1,IF(U132="进行中",0.5,0))*30%+IF(Y132="已完成",1,IF(Y132="进行中",0.5,0))*20%)</f>
        <v>0</v>
      </c>
      <c r="AC132" s="24" t="str">
        <f>IF(G132="已完成","正常",IF(OR(G132="暂停",G132="挂起"),"暂停",IF(J132="","日期缺失",IF(J132&lt;项目驾驶舱!$B$3,"已延期",IF(J132&lt;=项目驾驶舱!$B$3+7,"临近到期","正常")))))</f>
        <v>正常</v>
      </c>
      <c r="AD132" s="24" t="s">
        <v>69</v>
      </c>
      <c r="AE132" s="24" t="s">
        <v>69</v>
      </c>
    </row>
    <row r="133" ht="17" customHeight="1" spans="1:31">
      <c r="A133" s="24" t="s">
        <v>362</v>
      </c>
      <c r="B133" s="24" t="s">
        <v>343</v>
      </c>
      <c r="C133" s="24" t="s">
        <v>344</v>
      </c>
      <c r="D133" s="24" t="s">
        <v>363</v>
      </c>
      <c r="E133" s="24" t="s">
        <v>64</v>
      </c>
      <c r="F133" s="24" t="s">
        <v>26</v>
      </c>
      <c r="G133" s="24" t="str">
        <f t="shared" si="16"/>
        <v>未开始</v>
      </c>
      <c r="H133" s="24" t="str">
        <f t="shared" si="17"/>
        <v>郑士旺</v>
      </c>
      <c r="I133" s="26">
        <f t="shared" si="18"/>
        <v>46230</v>
      </c>
      <c r="J133" s="26">
        <f t="shared" si="19"/>
        <v>46353</v>
      </c>
      <c r="K133" s="26"/>
      <c r="L133" s="24" t="s">
        <v>65</v>
      </c>
      <c r="M133" s="24" t="s">
        <v>5</v>
      </c>
      <c r="N133" s="26">
        <v>46230</v>
      </c>
      <c r="O133" s="26">
        <v>46241</v>
      </c>
      <c r="P133" s="24" t="s">
        <v>66</v>
      </c>
      <c r="Q133" s="24" t="s">
        <v>5</v>
      </c>
      <c r="R133" s="26">
        <v>46307</v>
      </c>
      <c r="S133" s="26">
        <v>46339</v>
      </c>
      <c r="T133" s="24" t="s">
        <v>67</v>
      </c>
      <c r="U133" s="24" t="s">
        <v>5</v>
      </c>
      <c r="V133" s="26">
        <v>46307</v>
      </c>
      <c r="W133" s="26">
        <v>46339</v>
      </c>
      <c r="X133" s="24" t="s">
        <v>68</v>
      </c>
      <c r="Y133" s="24" t="s">
        <v>5</v>
      </c>
      <c r="Z133" s="26">
        <v>46342</v>
      </c>
      <c r="AA133" s="26">
        <v>46353</v>
      </c>
      <c r="AB133" s="44">
        <f t="shared" si="20"/>
        <v>0</v>
      </c>
      <c r="AC133" s="24" t="str">
        <f>IF(G133="已完成","正常",IF(OR(G133="暂停",G133="挂起"),"暂停",IF(J133="","日期缺失",IF(J133&lt;项目驾驶舱!$B$3,"已延期",IF(J133&lt;=项目驾驶舱!$B$3+7,"临近到期","正常")))))</f>
        <v>正常</v>
      </c>
      <c r="AD133" s="24" t="s">
        <v>69</v>
      </c>
      <c r="AE133" s="24" t="s">
        <v>69</v>
      </c>
    </row>
    <row r="134" ht="17" customHeight="1" spans="1:31">
      <c r="A134" s="24" t="s">
        <v>364</v>
      </c>
      <c r="B134" s="24" t="s">
        <v>343</v>
      </c>
      <c r="C134" s="24" t="s">
        <v>344</v>
      </c>
      <c r="D134" s="24" t="s">
        <v>365</v>
      </c>
      <c r="E134" s="24" t="s">
        <v>64</v>
      </c>
      <c r="F134" s="24" t="s">
        <v>26</v>
      </c>
      <c r="G134" s="24" t="str">
        <f t="shared" si="16"/>
        <v>未开始</v>
      </c>
      <c r="H134" s="24" t="str">
        <f t="shared" si="17"/>
        <v>郑士旺</v>
      </c>
      <c r="I134" s="26">
        <f t="shared" si="18"/>
        <v>46230</v>
      </c>
      <c r="J134" s="26">
        <f t="shared" si="19"/>
        <v>46353</v>
      </c>
      <c r="K134" s="26"/>
      <c r="L134" s="24" t="s">
        <v>65</v>
      </c>
      <c r="M134" s="24" t="s">
        <v>5</v>
      </c>
      <c r="N134" s="26">
        <v>46230</v>
      </c>
      <c r="O134" s="26">
        <v>46241</v>
      </c>
      <c r="P134" s="24" t="s">
        <v>66</v>
      </c>
      <c r="Q134" s="24" t="s">
        <v>5</v>
      </c>
      <c r="R134" s="26">
        <v>46307</v>
      </c>
      <c r="S134" s="26">
        <v>46339</v>
      </c>
      <c r="T134" s="24" t="s">
        <v>67</v>
      </c>
      <c r="U134" s="24" t="s">
        <v>5</v>
      </c>
      <c r="V134" s="26">
        <v>46307</v>
      </c>
      <c r="W134" s="26">
        <v>46339</v>
      </c>
      <c r="X134" s="24" t="s">
        <v>68</v>
      </c>
      <c r="Y134" s="24" t="s">
        <v>5</v>
      </c>
      <c r="Z134" s="26">
        <v>46342</v>
      </c>
      <c r="AA134" s="26">
        <v>46353</v>
      </c>
      <c r="AB134" s="44">
        <f t="shared" si="20"/>
        <v>0</v>
      </c>
      <c r="AC134" s="24" t="str">
        <f>IF(G134="已完成","正常",IF(OR(G134="暂停",G134="挂起"),"暂停",IF(J134="","日期缺失",IF(J134&lt;项目驾驶舱!$B$3,"已延期",IF(J134&lt;=项目驾驶舱!$B$3+7,"临近到期","正常")))))</f>
        <v>正常</v>
      </c>
      <c r="AD134" s="24" t="s">
        <v>69</v>
      </c>
      <c r="AE134" s="24" t="s">
        <v>69</v>
      </c>
    </row>
    <row r="135" ht="17" customHeight="1" spans="1:31">
      <c r="A135" s="24" t="s">
        <v>366</v>
      </c>
      <c r="B135" s="24" t="s">
        <v>343</v>
      </c>
      <c r="C135" s="24" t="s">
        <v>344</v>
      </c>
      <c r="D135" s="24" t="s">
        <v>148</v>
      </c>
      <c r="E135" s="24" t="s">
        <v>64</v>
      </c>
      <c r="F135" s="24" t="s">
        <v>26</v>
      </c>
      <c r="G135" s="24" t="str">
        <f t="shared" si="16"/>
        <v>未开始</v>
      </c>
      <c r="H135" s="24" t="str">
        <f t="shared" si="17"/>
        <v>郑士旺</v>
      </c>
      <c r="I135" s="26">
        <f t="shared" si="18"/>
        <v>46230</v>
      </c>
      <c r="J135" s="26">
        <f t="shared" si="19"/>
        <v>46353</v>
      </c>
      <c r="K135" s="26"/>
      <c r="L135" s="24" t="s">
        <v>65</v>
      </c>
      <c r="M135" s="24" t="s">
        <v>5</v>
      </c>
      <c r="N135" s="26">
        <v>46230</v>
      </c>
      <c r="O135" s="26">
        <v>46241</v>
      </c>
      <c r="P135" s="24" t="s">
        <v>66</v>
      </c>
      <c r="Q135" s="24" t="s">
        <v>5</v>
      </c>
      <c r="R135" s="26">
        <v>46307</v>
      </c>
      <c r="S135" s="26">
        <v>46339</v>
      </c>
      <c r="T135" s="24" t="s">
        <v>67</v>
      </c>
      <c r="U135" s="24" t="s">
        <v>5</v>
      </c>
      <c r="V135" s="26">
        <v>46307</v>
      </c>
      <c r="W135" s="26">
        <v>46339</v>
      </c>
      <c r="X135" s="24" t="s">
        <v>68</v>
      </c>
      <c r="Y135" s="24" t="s">
        <v>5</v>
      </c>
      <c r="Z135" s="26">
        <v>46342</v>
      </c>
      <c r="AA135" s="26">
        <v>46353</v>
      </c>
      <c r="AB135" s="44">
        <f t="shared" si="20"/>
        <v>0</v>
      </c>
      <c r="AC135" s="24" t="str">
        <f>IF(G135="已完成","正常",IF(OR(G135="暂停",G135="挂起"),"暂停",IF(J135="","日期缺失",IF(J135&lt;项目驾驶舱!$B$3,"已延期",IF(J135&lt;=项目驾驶舱!$B$3+7,"临近到期","正常")))))</f>
        <v>正常</v>
      </c>
      <c r="AD135" s="24" t="s">
        <v>69</v>
      </c>
      <c r="AE135" s="24" t="s">
        <v>69</v>
      </c>
    </row>
    <row r="136" ht="17" customHeight="1" spans="1:31">
      <c r="A136" s="24" t="s">
        <v>367</v>
      </c>
      <c r="B136" s="24" t="s">
        <v>343</v>
      </c>
      <c r="C136" s="24" t="s">
        <v>344</v>
      </c>
      <c r="D136" s="24" t="s">
        <v>152</v>
      </c>
      <c r="E136" s="24" t="s">
        <v>64</v>
      </c>
      <c r="F136" s="24" t="s">
        <v>26</v>
      </c>
      <c r="G136" s="24" t="str">
        <f t="shared" si="16"/>
        <v>未开始</v>
      </c>
      <c r="H136" s="24" t="str">
        <f t="shared" si="17"/>
        <v>郑士旺</v>
      </c>
      <c r="I136" s="26">
        <f t="shared" si="18"/>
        <v>46230</v>
      </c>
      <c r="J136" s="26">
        <f t="shared" si="19"/>
        <v>46353</v>
      </c>
      <c r="K136" s="26"/>
      <c r="L136" s="24" t="s">
        <v>65</v>
      </c>
      <c r="M136" s="24" t="s">
        <v>5</v>
      </c>
      <c r="N136" s="26">
        <v>46230</v>
      </c>
      <c r="O136" s="26">
        <v>46241</v>
      </c>
      <c r="P136" s="24" t="s">
        <v>66</v>
      </c>
      <c r="Q136" s="24" t="s">
        <v>5</v>
      </c>
      <c r="R136" s="26">
        <v>46307</v>
      </c>
      <c r="S136" s="26">
        <v>46339</v>
      </c>
      <c r="T136" s="24" t="s">
        <v>67</v>
      </c>
      <c r="U136" s="24" t="s">
        <v>5</v>
      </c>
      <c r="V136" s="26">
        <v>46307</v>
      </c>
      <c r="W136" s="26">
        <v>46339</v>
      </c>
      <c r="X136" s="24" t="s">
        <v>68</v>
      </c>
      <c r="Y136" s="24" t="s">
        <v>5</v>
      </c>
      <c r="Z136" s="26">
        <v>46342</v>
      </c>
      <c r="AA136" s="26">
        <v>46353</v>
      </c>
      <c r="AB136" s="44">
        <f t="shared" si="20"/>
        <v>0</v>
      </c>
      <c r="AC136" s="24" t="str">
        <f>IF(G136="已完成","正常",IF(OR(G136="暂停",G136="挂起"),"暂停",IF(J136="","日期缺失",IF(J136&lt;项目驾驶舱!$B$3,"已延期",IF(J136&lt;=项目驾驶舱!$B$3+7,"临近到期","正常")))))</f>
        <v>正常</v>
      </c>
      <c r="AD136" s="24" t="s">
        <v>69</v>
      </c>
      <c r="AE136" s="24" t="s">
        <v>69</v>
      </c>
    </row>
    <row r="137" ht="17" customHeight="1" spans="1:31">
      <c r="A137" s="24" t="s">
        <v>368</v>
      </c>
      <c r="B137" s="24" t="s">
        <v>343</v>
      </c>
      <c r="C137" s="24" t="s">
        <v>344</v>
      </c>
      <c r="D137" s="24" t="s">
        <v>369</v>
      </c>
      <c r="E137" s="24" t="s">
        <v>64</v>
      </c>
      <c r="F137" s="24" t="s">
        <v>26</v>
      </c>
      <c r="G137" s="24" t="str">
        <f t="shared" si="16"/>
        <v>未开始</v>
      </c>
      <c r="H137" s="24" t="str">
        <f t="shared" si="17"/>
        <v>郑士旺</v>
      </c>
      <c r="I137" s="26">
        <f t="shared" si="18"/>
        <v>46230</v>
      </c>
      <c r="J137" s="26">
        <f t="shared" si="19"/>
        <v>46353</v>
      </c>
      <c r="K137" s="26"/>
      <c r="L137" s="24" t="s">
        <v>65</v>
      </c>
      <c r="M137" s="24" t="s">
        <v>5</v>
      </c>
      <c r="N137" s="26">
        <v>46230</v>
      </c>
      <c r="O137" s="26">
        <v>46241</v>
      </c>
      <c r="P137" s="24" t="s">
        <v>228</v>
      </c>
      <c r="Q137" s="24" t="s">
        <v>5</v>
      </c>
      <c r="R137" s="26">
        <v>46307</v>
      </c>
      <c r="S137" s="26">
        <v>46339</v>
      </c>
      <c r="T137" s="24" t="s">
        <v>228</v>
      </c>
      <c r="U137" s="24" t="s">
        <v>5</v>
      </c>
      <c r="V137" s="26">
        <v>46307</v>
      </c>
      <c r="W137" s="26">
        <v>46339</v>
      </c>
      <c r="X137" s="24" t="s">
        <v>68</v>
      </c>
      <c r="Y137" s="24" t="s">
        <v>5</v>
      </c>
      <c r="Z137" s="26">
        <v>46342</v>
      </c>
      <c r="AA137" s="26">
        <v>46353</v>
      </c>
      <c r="AB137" s="44">
        <f t="shared" si="20"/>
        <v>0</v>
      </c>
      <c r="AC137" s="24" t="str">
        <f>IF(G137="已完成","正常",IF(OR(G137="暂停",G137="挂起"),"暂停",IF(J137="","日期缺失",IF(J137&lt;项目驾驶舱!$B$3,"已延期",IF(J137&lt;=项目驾驶舱!$B$3+7,"临近到期","正常")))))</f>
        <v>正常</v>
      </c>
      <c r="AD137" s="24" t="s">
        <v>69</v>
      </c>
      <c r="AE137" s="24" t="s">
        <v>69</v>
      </c>
    </row>
    <row r="138" ht="17" customHeight="1" spans="1:31">
      <c r="A138" s="24" t="s">
        <v>370</v>
      </c>
      <c r="B138" s="24" t="s">
        <v>343</v>
      </c>
      <c r="C138" s="24" t="s">
        <v>344</v>
      </c>
      <c r="D138" s="24" t="s">
        <v>124</v>
      </c>
      <c r="E138" s="24" t="s">
        <v>64</v>
      </c>
      <c r="F138" s="24" t="s">
        <v>26</v>
      </c>
      <c r="G138" s="24" t="str">
        <f t="shared" si="16"/>
        <v>未开始</v>
      </c>
      <c r="H138" s="24" t="str">
        <f t="shared" si="17"/>
        <v>郑士旺</v>
      </c>
      <c r="I138" s="26">
        <f t="shared" si="18"/>
        <v>46230</v>
      </c>
      <c r="J138" s="26">
        <f t="shared" si="19"/>
        <v>46353</v>
      </c>
      <c r="K138" s="26"/>
      <c r="L138" s="24" t="s">
        <v>65</v>
      </c>
      <c r="M138" s="24" t="s">
        <v>5</v>
      </c>
      <c r="N138" s="26">
        <v>46230</v>
      </c>
      <c r="O138" s="26">
        <v>46241</v>
      </c>
      <c r="P138" s="24" t="s">
        <v>228</v>
      </c>
      <c r="Q138" s="24" t="s">
        <v>5</v>
      </c>
      <c r="R138" s="26">
        <v>46307</v>
      </c>
      <c r="S138" s="26">
        <v>46339</v>
      </c>
      <c r="T138" s="24" t="s">
        <v>228</v>
      </c>
      <c r="U138" s="24" t="s">
        <v>5</v>
      </c>
      <c r="V138" s="26">
        <v>46307</v>
      </c>
      <c r="W138" s="26">
        <v>46339</v>
      </c>
      <c r="X138" s="24" t="s">
        <v>68</v>
      </c>
      <c r="Y138" s="24" t="s">
        <v>5</v>
      </c>
      <c r="Z138" s="26">
        <v>46342</v>
      </c>
      <c r="AA138" s="26">
        <v>46353</v>
      </c>
      <c r="AB138" s="44">
        <f t="shared" si="20"/>
        <v>0</v>
      </c>
      <c r="AC138" s="24" t="str">
        <f>IF(G138="已完成","正常",IF(OR(G138="暂停",G138="挂起"),"暂停",IF(J138="","日期缺失",IF(J138&lt;项目驾驶舱!$B$3,"已延期",IF(J138&lt;=项目驾驶舱!$B$3+7,"临近到期","正常")))))</f>
        <v>正常</v>
      </c>
      <c r="AD138" s="24" t="s">
        <v>69</v>
      </c>
      <c r="AE138" s="24" t="s">
        <v>69</v>
      </c>
    </row>
    <row r="139" ht="17" customHeight="1" spans="1:31">
      <c r="A139" s="24" t="s">
        <v>371</v>
      </c>
      <c r="B139" s="24" t="s">
        <v>343</v>
      </c>
      <c r="C139" s="24" t="s">
        <v>344</v>
      </c>
      <c r="D139" s="24" t="s">
        <v>129</v>
      </c>
      <c r="E139" s="24" t="s">
        <v>64</v>
      </c>
      <c r="F139" s="24" t="s">
        <v>26</v>
      </c>
      <c r="G139" s="24" t="str">
        <f t="shared" si="16"/>
        <v>未开始</v>
      </c>
      <c r="H139" s="24" t="str">
        <f t="shared" si="17"/>
        <v>郑士旺</v>
      </c>
      <c r="I139" s="26">
        <f t="shared" si="18"/>
        <v>46230</v>
      </c>
      <c r="J139" s="26">
        <f t="shared" si="19"/>
        <v>46353</v>
      </c>
      <c r="K139" s="26"/>
      <c r="L139" s="24" t="s">
        <v>65</v>
      </c>
      <c r="M139" s="24" t="s">
        <v>5</v>
      </c>
      <c r="N139" s="26">
        <v>46230</v>
      </c>
      <c r="O139" s="26">
        <v>46241</v>
      </c>
      <c r="P139" s="24" t="s">
        <v>66</v>
      </c>
      <c r="Q139" s="24" t="s">
        <v>5</v>
      </c>
      <c r="R139" s="26">
        <v>46307</v>
      </c>
      <c r="S139" s="26">
        <v>46339</v>
      </c>
      <c r="T139" s="24" t="s">
        <v>67</v>
      </c>
      <c r="U139" s="24" t="s">
        <v>5</v>
      </c>
      <c r="V139" s="26">
        <v>46307</v>
      </c>
      <c r="W139" s="26">
        <v>46339</v>
      </c>
      <c r="X139" s="24" t="s">
        <v>68</v>
      </c>
      <c r="Y139" s="24" t="s">
        <v>5</v>
      </c>
      <c r="Z139" s="26">
        <v>46342</v>
      </c>
      <c r="AA139" s="26">
        <v>46353</v>
      </c>
      <c r="AB139" s="44">
        <f t="shared" si="20"/>
        <v>0</v>
      </c>
      <c r="AC139" s="24" t="str">
        <f>IF(G139="已完成","正常",IF(OR(G139="暂停",G139="挂起"),"暂停",IF(J139="","日期缺失",IF(J139&lt;项目驾驶舱!$B$3,"已延期",IF(J139&lt;=项目驾驶舱!$B$3+7,"临近到期","正常")))))</f>
        <v>正常</v>
      </c>
      <c r="AD139" s="24" t="s">
        <v>69</v>
      </c>
      <c r="AE139" s="24" t="s">
        <v>69</v>
      </c>
    </row>
    <row r="140" ht="17" customHeight="1" spans="1:31">
      <c r="A140" s="24" t="s">
        <v>372</v>
      </c>
      <c r="B140" s="24" t="s">
        <v>343</v>
      </c>
      <c r="C140" s="24" t="s">
        <v>344</v>
      </c>
      <c r="D140" s="24" t="s">
        <v>373</v>
      </c>
      <c r="E140" s="24" t="s">
        <v>64</v>
      </c>
      <c r="F140" s="24" t="s">
        <v>26</v>
      </c>
      <c r="G140" s="24" t="str">
        <f t="shared" si="16"/>
        <v>未开始</v>
      </c>
      <c r="H140" s="24" t="str">
        <f t="shared" si="17"/>
        <v>郑士旺</v>
      </c>
      <c r="I140" s="26">
        <f t="shared" si="18"/>
        <v>46230</v>
      </c>
      <c r="J140" s="26">
        <f t="shared" si="19"/>
        <v>46353</v>
      </c>
      <c r="K140" s="26"/>
      <c r="L140" s="24" t="s">
        <v>65</v>
      </c>
      <c r="M140" s="24" t="s">
        <v>5</v>
      </c>
      <c r="N140" s="26">
        <v>46230</v>
      </c>
      <c r="O140" s="26">
        <v>46241</v>
      </c>
      <c r="P140" s="24" t="s">
        <v>66</v>
      </c>
      <c r="Q140" s="24" t="s">
        <v>5</v>
      </c>
      <c r="R140" s="26">
        <v>46307</v>
      </c>
      <c r="S140" s="26">
        <v>46339</v>
      </c>
      <c r="T140" s="24" t="s">
        <v>67</v>
      </c>
      <c r="U140" s="24" t="s">
        <v>5</v>
      </c>
      <c r="V140" s="26">
        <v>46307</v>
      </c>
      <c r="W140" s="26">
        <v>46339</v>
      </c>
      <c r="X140" s="24" t="s">
        <v>68</v>
      </c>
      <c r="Y140" s="24" t="s">
        <v>5</v>
      </c>
      <c r="Z140" s="26">
        <v>46342</v>
      </c>
      <c r="AA140" s="26">
        <v>46353</v>
      </c>
      <c r="AB140" s="44">
        <f t="shared" si="20"/>
        <v>0</v>
      </c>
      <c r="AC140" s="24" t="str">
        <f>IF(G140="已完成","正常",IF(OR(G140="暂停",G140="挂起"),"暂停",IF(J140="","日期缺失",IF(J140&lt;项目驾驶舱!$B$3,"已延期",IF(J140&lt;=项目驾驶舱!$B$3+7,"临近到期","正常")))))</f>
        <v>正常</v>
      </c>
      <c r="AD140" s="24" t="s">
        <v>69</v>
      </c>
      <c r="AE140" s="24" t="s">
        <v>69</v>
      </c>
    </row>
    <row r="141" ht="17" customHeight="1" spans="1:31">
      <c r="A141" s="24" t="s">
        <v>374</v>
      </c>
      <c r="B141" s="24" t="s">
        <v>343</v>
      </c>
      <c r="C141" s="24" t="s">
        <v>344</v>
      </c>
      <c r="D141" s="24" t="s">
        <v>157</v>
      </c>
      <c r="E141" s="24" t="s">
        <v>64</v>
      </c>
      <c r="F141" s="24" t="s">
        <v>26</v>
      </c>
      <c r="G141" s="24" t="str">
        <f>IF(OR(M141="挂起",M141="暂停",Q141="挂起",Q141="暂停",U141="挂起",U141="暂停",Y141="挂起",Y141="暂停"),"暂停","已完成")</f>
        <v>已完成</v>
      </c>
      <c r="H141" s="24" t="str">
        <f t="shared" si="17"/>
        <v>郑士旺</v>
      </c>
      <c r="I141" s="26">
        <f t="shared" si="18"/>
        <v>46209</v>
      </c>
      <c r="J141" s="26">
        <f t="shared" si="19"/>
        <v>46261</v>
      </c>
      <c r="K141" s="26">
        <v>46261</v>
      </c>
      <c r="L141" s="24" t="s">
        <v>65</v>
      </c>
      <c r="M141" s="24" t="s">
        <v>3</v>
      </c>
      <c r="N141" s="26">
        <v>46209</v>
      </c>
      <c r="O141" s="26">
        <v>46213</v>
      </c>
      <c r="P141" s="24" t="s">
        <v>66</v>
      </c>
      <c r="Q141" s="24" t="s">
        <v>3</v>
      </c>
      <c r="R141" s="26">
        <v>46230</v>
      </c>
      <c r="S141" s="26">
        <v>46262</v>
      </c>
      <c r="T141" s="24" t="s">
        <v>67</v>
      </c>
      <c r="U141" s="24" t="s">
        <v>3</v>
      </c>
      <c r="V141" s="26">
        <v>46230</v>
      </c>
      <c r="W141" s="26">
        <v>46262</v>
      </c>
      <c r="X141" s="24" t="s">
        <v>68</v>
      </c>
      <c r="Y141" s="24" t="s">
        <v>3</v>
      </c>
      <c r="Z141" s="26">
        <v>46342</v>
      </c>
      <c r="AA141" s="26">
        <v>46353</v>
      </c>
      <c r="AB141" s="44">
        <f t="shared" si="20"/>
        <v>1</v>
      </c>
      <c r="AC141" s="24" t="str">
        <f>IF(G141="已完成","正常",IF(OR(G141="暂停",G141="挂起"),"暂停",IF(J141="","日期缺失",IF(J141&lt;项目驾驶舱!$B$3,"已延期",IF(J141&lt;=项目驾驶舱!$B$3+7,"临近到期","正常")))))</f>
        <v>正常</v>
      </c>
      <c r="AD141" s="24" t="s">
        <v>69</v>
      </c>
      <c r="AE141" s="24" t="s">
        <v>69</v>
      </c>
    </row>
    <row r="142" ht="17" customHeight="1" spans="1:31">
      <c r="A142" s="24" t="s">
        <v>375</v>
      </c>
      <c r="B142" s="24" t="s">
        <v>343</v>
      </c>
      <c r="C142" s="24" t="s">
        <v>344</v>
      </c>
      <c r="D142" s="24" t="s">
        <v>164</v>
      </c>
      <c r="E142" s="24" t="s">
        <v>64</v>
      </c>
      <c r="F142" s="24" t="s">
        <v>26</v>
      </c>
      <c r="G142" s="24" t="str">
        <f>IF(OR(M142="挂起",M142="暂停",Q142="挂起",Q142="暂停",U142="挂起",U142="暂停",Y142="挂起",Y142="暂停"),"暂停","已完成")</f>
        <v>已完成</v>
      </c>
      <c r="H142" s="24" t="str">
        <f t="shared" si="17"/>
        <v>郑士旺</v>
      </c>
      <c r="I142" s="26">
        <f t="shared" si="18"/>
        <v>46209</v>
      </c>
      <c r="J142" s="26">
        <f t="shared" si="19"/>
        <v>46261</v>
      </c>
      <c r="K142" s="26">
        <v>46261</v>
      </c>
      <c r="L142" s="24" t="s">
        <v>65</v>
      </c>
      <c r="M142" s="24" t="s">
        <v>3</v>
      </c>
      <c r="N142" s="26">
        <v>46209</v>
      </c>
      <c r="O142" s="26">
        <v>46213</v>
      </c>
      <c r="P142" s="24" t="s">
        <v>66</v>
      </c>
      <c r="Q142" s="24" t="s">
        <v>3</v>
      </c>
      <c r="R142" s="26">
        <v>46230</v>
      </c>
      <c r="S142" s="26">
        <v>46262</v>
      </c>
      <c r="T142" s="24" t="s">
        <v>67</v>
      </c>
      <c r="U142" s="24" t="s">
        <v>3</v>
      </c>
      <c r="V142" s="26">
        <v>46230</v>
      </c>
      <c r="W142" s="26">
        <v>46262</v>
      </c>
      <c r="X142" s="24" t="s">
        <v>68</v>
      </c>
      <c r="Y142" s="24" t="s">
        <v>3</v>
      </c>
      <c r="Z142" s="26">
        <v>46342</v>
      </c>
      <c r="AA142" s="26">
        <v>46353</v>
      </c>
      <c r="AB142" s="44">
        <f t="shared" si="20"/>
        <v>1</v>
      </c>
      <c r="AC142" s="24" t="str">
        <f>IF(G142="已完成","正常",IF(OR(G142="暂停",G142="挂起"),"暂停",IF(J142="","日期缺失",IF(J142&lt;项目驾驶舱!$B$3,"已延期",IF(J142&lt;=项目驾驶舱!$B$3+7,"临近到期","正常")))))</f>
        <v>正常</v>
      </c>
      <c r="AD142" s="24" t="s">
        <v>69</v>
      </c>
      <c r="AE142" s="24" t="s">
        <v>69</v>
      </c>
    </row>
    <row r="143" ht="17" customHeight="1" spans="1:31">
      <c r="A143" s="24" t="s">
        <v>376</v>
      </c>
      <c r="B143" s="24" t="s">
        <v>343</v>
      </c>
      <c r="C143" s="24" t="s">
        <v>344</v>
      </c>
      <c r="D143" s="24" t="s">
        <v>171</v>
      </c>
      <c r="E143" s="24" t="s">
        <v>64</v>
      </c>
      <c r="F143" s="24" t="s">
        <v>26</v>
      </c>
      <c r="G143" s="24" t="str">
        <f>IF(OR(M143="挂起",M143="暂停",Q143="挂起",Q143="暂停",U143="挂起",U143="暂停",Y143="挂起",Y143="暂停"),"暂停","已完成")</f>
        <v>已完成</v>
      </c>
      <c r="H143" s="24" t="str">
        <f t="shared" si="17"/>
        <v>郑士旺</v>
      </c>
      <c r="I143" s="26">
        <f t="shared" si="18"/>
        <v>46209</v>
      </c>
      <c r="J143" s="26">
        <f t="shared" si="19"/>
        <v>46353</v>
      </c>
      <c r="K143" s="26"/>
      <c r="L143" s="24" t="s">
        <v>65</v>
      </c>
      <c r="M143" s="24" t="s">
        <v>3</v>
      </c>
      <c r="N143" s="26">
        <v>46209</v>
      </c>
      <c r="O143" s="26">
        <v>46213</v>
      </c>
      <c r="P143" s="24" t="s">
        <v>66</v>
      </c>
      <c r="Q143" s="24" t="s">
        <v>3</v>
      </c>
      <c r="R143" s="26">
        <v>46230</v>
      </c>
      <c r="S143" s="26">
        <v>46262</v>
      </c>
      <c r="T143" s="24" t="s">
        <v>67</v>
      </c>
      <c r="U143" s="24" t="s">
        <v>3</v>
      </c>
      <c r="V143" s="26">
        <v>46230</v>
      </c>
      <c r="W143" s="26">
        <v>46262</v>
      </c>
      <c r="X143" s="24" t="s">
        <v>68</v>
      </c>
      <c r="Y143" s="24" t="s">
        <v>3</v>
      </c>
      <c r="Z143" s="26">
        <v>46342</v>
      </c>
      <c r="AA143" s="26">
        <v>46353</v>
      </c>
      <c r="AB143" s="44">
        <f t="shared" si="20"/>
        <v>1</v>
      </c>
      <c r="AC143" s="24" t="str">
        <f>IF(G143="已完成","正常",IF(OR(G143="暂停",G143="挂起"),"暂停",IF(J143="","日期缺失",IF(J143&lt;项目驾驶舱!$B$3,"已延期",IF(J143&lt;=项目驾驶舱!$B$3+7,"临近到期","正常")))))</f>
        <v>正常</v>
      </c>
      <c r="AD143" s="24" t="s">
        <v>69</v>
      </c>
      <c r="AE143" s="24" t="s">
        <v>69</v>
      </c>
    </row>
    <row r="144" ht="17" customHeight="1" spans="1:31">
      <c r="A144" s="24" t="s">
        <v>377</v>
      </c>
      <c r="B144" s="24" t="s">
        <v>343</v>
      </c>
      <c r="C144" s="24" t="s">
        <v>344</v>
      </c>
      <c r="D144" s="24" t="s">
        <v>378</v>
      </c>
      <c r="E144" s="24" t="s">
        <v>64</v>
      </c>
      <c r="F144" s="24" t="s">
        <v>26</v>
      </c>
      <c r="G144" s="24" t="str">
        <f>IF(OR(M144="挂起",M144="暂停",Q144="挂起",Q144="暂停",U144="挂起",U144="暂停",Y144="挂起",Y144="暂停"),"暂停","未开始")</f>
        <v>未开始</v>
      </c>
      <c r="H144" s="24" t="str">
        <f t="shared" si="17"/>
        <v>郑士旺</v>
      </c>
      <c r="I144" s="26">
        <f t="shared" si="18"/>
        <v>46223</v>
      </c>
      <c r="J144" s="26">
        <f t="shared" si="19"/>
        <v>46318</v>
      </c>
      <c r="K144" s="26"/>
      <c r="L144" s="24" t="s">
        <v>65</v>
      </c>
      <c r="M144" s="24" t="s">
        <v>5</v>
      </c>
      <c r="N144" s="26">
        <v>46223</v>
      </c>
      <c r="O144" s="26">
        <v>46227</v>
      </c>
      <c r="P144" s="24" t="s">
        <v>66</v>
      </c>
      <c r="Q144" s="24" t="s">
        <v>5</v>
      </c>
      <c r="R144" s="26">
        <v>46272</v>
      </c>
      <c r="S144" s="26">
        <v>46304</v>
      </c>
      <c r="T144" s="24" t="s">
        <v>67</v>
      </c>
      <c r="U144" s="24" t="s">
        <v>5</v>
      </c>
      <c r="V144" s="26">
        <v>46272</v>
      </c>
      <c r="W144" s="26">
        <v>46304</v>
      </c>
      <c r="X144" s="24" t="s">
        <v>68</v>
      </c>
      <c r="Y144" s="24" t="s">
        <v>5</v>
      </c>
      <c r="Z144" s="26">
        <v>46307</v>
      </c>
      <c r="AA144" s="26">
        <v>46318</v>
      </c>
      <c r="AB144" s="44">
        <f t="shared" si="20"/>
        <v>0</v>
      </c>
      <c r="AC144" s="24" t="str">
        <f>IF(G144="已完成","正常",IF(OR(G144="暂停",G144="挂起"),"暂停",IF(J144="","日期缺失",IF(J144&lt;项目驾驶舱!$B$3,"已延期",IF(J144&lt;=项目驾驶舱!$B$3+7,"临近到期","正常")))))</f>
        <v>正常</v>
      </c>
      <c r="AD144" s="24" t="s">
        <v>69</v>
      </c>
      <c r="AE144" s="24" t="s">
        <v>69</v>
      </c>
    </row>
    <row r="145" ht="17" customHeight="1" spans="1:31">
      <c r="A145" s="24" t="s">
        <v>379</v>
      </c>
      <c r="B145" s="24" t="s">
        <v>343</v>
      </c>
      <c r="C145" s="24" t="s">
        <v>380</v>
      </c>
      <c r="D145" s="24" t="s">
        <v>150</v>
      </c>
      <c r="E145" s="24" t="s">
        <v>64</v>
      </c>
      <c r="F145" s="24" t="s">
        <v>26</v>
      </c>
      <c r="G145" s="24" t="str">
        <f>IF(OR(M145="挂起",M145="暂停",Q145="挂起",Q145="暂停",U145="挂起",U145="暂停",Y145="挂起",Y145="暂停"),"暂停","未开始")</f>
        <v>未开始</v>
      </c>
      <c r="H145" s="24" t="str">
        <f t="shared" si="17"/>
        <v>郑士旺</v>
      </c>
      <c r="I145" s="26">
        <f t="shared" si="18"/>
        <v>46230</v>
      </c>
      <c r="J145" s="26">
        <f t="shared" si="19"/>
        <v>46353</v>
      </c>
      <c r="K145" s="26"/>
      <c r="L145" s="24" t="s">
        <v>65</v>
      </c>
      <c r="M145" s="24" t="s">
        <v>5</v>
      </c>
      <c r="N145" s="26">
        <v>46230</v>
      </c>
      <c r="O145" s="26">
        <v>46241</v>
      </c>
      <c r="P145" s="24" t="s">
        <v>66</v>
      </c>
      <c r="Q145" s="24" t="s">
        <v>5</v>
      </c>
      <c r="R145" s="26">
        <v>46307</v>
      </c>
      <c r="S145" s="26">
        <v>46339</v>
      </c>
      <c r="T145" s="24" t="s">
        <v>67</v>
      </c>
      <c r="U145" s="24" t="s">
        <v>5</v>
      </c>
      <c r="V145" s="26">
        <v>46307</v>
      </c>
      <c r="W145" s="26">
        <v>46339</v>
      </c>
      <c r="X145" s="24" t="s">
        <v>68</v>
      </c>
      <c r="Y145" s="24" t="s">
        <v>5</v>
      </c>
      <c r="Z145" s="26">
        <v>46342</v>
      </c>
      <c r="AA145" s="26">
        <v>46353</v>
      </c>
      <c r="AB145" s="44">
        <f t="shared" si="20"/>
        <v>0</v>
      </c>
      <c r="AC145" s="24" t="str">
        <f>IF(G145="已完成","正常",IF(OR(G145="暂停",G145="挂起"),"暂停",IF(J145="","日期缺失",IF(J145&lt;项目驾驶舱!$B$3,"已延期",IF(J145&lt;=项目驾驶舱!$B$3+7,"临近到期","正常")))))</f>
        <v>正常</v>
      </c>
      <c r="AD145" s="24" t="s">
        <v>69</v>
      </c>
      <c r="AE145" s="24" t="s">
        <v>69</v>
      </c>
    </row>
    <row r="146" ht="17" customHeight="1" spans="1:31">
      <c r="A146" s="24" t="s">
        <v>381</v>
      </c>
      <c r="B146" s="24" t="s">
        <v>343</v>
      </c>
      <c r="C146" s="24" t="s">
        <v>380</v>
      </c>
      <c r="D146" s="24" t="s">
        <v>154</v>
      </c>
      <c r="E146" s="24" t="s">
        <v>382</v>
      </c>
      <c r="F146" s="24" t="s">
        <v>25</v>
      </c>
      <c r="G146" s="24" t="str">
        <f>IF(OR(M146="挂起",M146="暂停",Q146="挂起",Q146="暂停",U146="挂起",U146="暂停",Y146="挂起",Y146="暂停"),"暂停","已完成")</f>
        <v>已完成</v>
      </c>
      <c r="H146" s="24" t="str">
        <f t="shared" si="17"/>
        <v>郑士旺</v>
      </c>
      <c r="I146" s="26">
        <f t="shared" si="18"/>
        <v>46209</v>
      </c>
      <c r="J146" s="26">
        <f t="shared" si="19"/>
        <v>46261</v>
      </c>
      <c r="K146" s="26">
        <v>46261</v>
      </c>
      <c r="L146" s="24" t="s">
        <v>65</v>
      </c>
      <c r="M146" s="24" t="s">
        <v>3</v>
      </c>
      <c r="N146" s="26">
        <v>46209</v>
      </c>
      <c r="O146" s="26">
        <v>46213</v>
      </c>
      <c r="P146" s="24" t="s">
        <v>66</v>
      </c>
      <c r="Q146" s="24" t="s">
        <v>3</v>
      </c>
      <c r="R146" s="26">
        <v>46237</v>
      </c>
      <c r="S146" s="26">
        <v>46252</v>
      </c>
      <c r="T146" s="24" t="s">
        <v>67</v>
      </c>
      <c r="U146" s="24" t="s">
        <v>3</v>
      </c>
      <c r="V146" s="26">
        <v>46237</v>
      </c>
      <c r="W146" s="26">
        <v>46252</v>
      </c>
      <c r="X146" s="24" t="s">
        <v>68</v>
      </c>
      <c r="Y146" s="24" t="s">
        <v>3</v>
      </c>
      <c r="Z146" s="26">
        <v>46251</v>
      </c>
      <c r="AA146" s="26">
        <v>46269</v>
      </c>
      <c r="AB146" s="44">
        <f t="shared" si="20"/>
        <v>1</v>
      </c>
      <c r="AC146" s="24" t="str">
        <f>IF(G146="已完成","正常",IF(OR(G146="暂停",G146="挂起"),"暂停",IF(J146="","日期缺失",IF(J146&lt;项目驾驶舱!$B$3,"已延期",IF(J146&lt;=项目驾驶舱!$B$3+7,"临近到期","正常")))))</f>
        <v>正常</v>
      </c>
      <c r="AD146" s="24" t="s">
        <v>69</v>
      </c>
      <c r="AE146" s="24" t="s">
        <v>69</v>
      </c>
    </row>
    <row r="147" ht="17" customHeight="1" spans="1:31">
      <c r="A147" s="24" t="s">
        <v>383</v>
      </c>
      <c r="B147" s="24" t="s">
        <v>343</v>
      </c>
      <c r="C147" s="24" t="s">
        <v>380</v>
      </c>
      <c r="D147" s="24" t="s">
        <v>161</v>
      </c>
      <c r="E147" s="24" t="s">
        <v>382</v>
      </c>
      <c r="F147" s="24" t="s">
        <v>25</v>
      </c>
      <c r="G147" s="24" t="str">
        <f>IF(OR(M147="挂起",M147="暂停",Q147="挂起",Q147="暂停",U147="挂起",U147="暂停",Y147="挂起",Y147="暂停"),"暂停","已完成")</f>
        <v>已完成</v>
      </c>
      <c r="H147" s="24" t="str">
        <f t="shared" si="17"/>
        <v>郑士旺</v>
      </c>
      <c r="I147" s="26">
        <f t="shared" si="18"/>
        <v>46209</v>
      </c>
      <c r="J147" s="26">
        <f t="shared" si="19"/>
        <v>46261</v>
      </c>
      <c r="K147" s="26">
        <v>46261</v>
      </c>
      <c r="L147" s="24" t="s">
        <v>65</v>
      </c>
      <c r="M147" s="24" t="s">
        <v>3</v>
      </c>
      <c r="N147" s="26">
        <v>46209</v>
      </c>
      <c r="O147" s="26">
        <v>46213</v>
      </c>
      <c r="P147" s="24" t="s">
        <v>66</v>
      </c>
      <c r="Q147" s="24" t="s">
        <v>3</v>
      </c>
      <c r="R147" s="26">
        <v>46237</v>
      </c>
      <c r="S147" s="26">
        <v>46252</v>
      </c>
      <c r="T147" s="24" t="s">
        <v>67</v>
      </c>
      <c r="U147" s="24" t="s">
        <v>3</v>
      </c>
      <c r="V147" s="26">
        <v>46237</v>
      </c>
      <c r="W147" s="26">
        <v>46252</v>
      </c>
      <c r="X147" s="24" t="s">
        <v>68</v>
      </c>
      <c r="Y147" s="24" t="s">
        <v>3</v>
      </c>
      <c r="Z147" s="26">
        <v>46251</v>
      </c>
      <c r="AA147" s="26">
        <v>46269</v>
      </c>
      <c r="AB147" s="44">
        <f t="shared" si="20"/>
        <v>1</v>
      </c>
      <c r="AC147" s="24" t="str">
        <f>IF(G147="已完成","正常",IF(OR(G147="暂停",G147="挂起"),"暂停",IF(J147="","日期缺失",IF(J147&lt;项目驾驶舱!$B$3,"已延期",IF(J147&lt;=项目驾驶舱!$B$3+7,"临近到期","正常")))))</f>
        <v>正常</v>
      </c>
      <c r="AD147" s="24" t="s">
        <v>69</v>
      </c>
      <c r="AE147" s="24" t="s">
        <v>69</v>
      </c>
    </row>
    <row r="148" ht="17" customHeight="1" spans="1:31">
      <c r="A148" s="24" t="s">
        <v>384</v>
      </c>
      <c r="B148" s="24" t="s">
        <v>343</v>
      </c>
      <c r="C148" s="24" t="s">
        <v>380</v>
      </c>
      <c r="D148" s="24" t="s">
        <v>168</v>
      </c>
      <c r="E148" s="24" t="s">
        <v>382</v>
      </c>
      <c r="F148" s="24" t="s">
        <v>26</v>
      </c>
      <c r="G148" s="24" t="str">
        <f>IF(OR(M148="挂起",M148="暂停",Q148="挂起",Q148="暂停",U148="挂起",U148="暂停",Y148="挂起",Y148="暂停"),"暂停","已完成")</f>
        <v>已完成</v>
      </c>
      <c r="H148" s="24" t="str">
        <f t="shared" si="17"/>
        <v>郑士旺</v>
      </c>
      <c r="I148" s="26">
        <f t="shared" si="18"/>
        <v>46209</v>
      </c>
      <c r="J148" s="26">
        <f t="shared" si="19"/>
        <v>46269</v>
      </c>
      <c r="K148" s="26"/>
      <c r="L148" s="24" t="s">
        <v>65</v>
      </c>
      <c r="M148" s="24" t="s">
        <v>3</v>
      </c>
      <c r="N148" s="26">
        <v>46209</v>
      </c>
      <c r="O148" s="26">
        <v>46213</v>
      </c>
      <c r="P148" s="24" t="s">
        <v>66</v>
      </c>
      <c r="Q148" s="24" t="s">
        <v>3</v>
      </c>
      <c r="R148" s="26">
        <v>46237</v>
      </c>
      <c r="S148" s="26">
        <v>46252</v>
      </c>
      <c r="T148" s="24" t="s">
        <v>67</v>
      </c>
      <c r="U148" s="24" t="s">
        <v>3</v>
      </c>
      <c r="V148" s="26">
        <v>46237</v>
      </c>
      <c r="W148" s="26">
        <v>46252</v>
      </c>
      <c r="X148" s="24" t="s">
        <v>68</v>
      </c>
      <c r="Y148" s="24" t="s">
        <v>3</v>
      </c>
      <c r="Z148" s="26">
        <v>46251</v>
      </c>
      <c r="AA148" s="26">
        <v>46269</v>
      </c>
      <c r="AB148" s="44">
        <f t="shared" si="20"/>
        <v>1</v>
      </c>
      <c r="AC148" s="24" t="str">
        <f>IF(G148="已完成","正常",IF(OR(G148="暂停",G148="挂起"),"暂停",IF(J148="","日期缺失",IF(J148&lt;项目驾驶舱!$B$3,"已延期",IF(J148&lt;=项目驾驶舱!$B$3+7,"临近到期","正常")))))</f>
        <v>正常</v>
      </c>
      <c r="AD148" s="24"/>
      <c r="AE148" s="24"/>
    </row>
  </sheetData>
  <autoFilter xmlns:etc="http://www.wps.cn/officeDocument/2017/etCustomData" ref="A3:AE148" etc:filterBottomFollowUsedRange="0">
    <extLst/>
  </autoFilter>
  <mergeCells count="2">
    <mergeCell ref="A1:AE1"/>
    <mergeCell ref="A2:AE2"/>
  </mergeCells>
  <conditionalFormatting sqref="G4:G132">
    <cfRule type="containsText" dxfId="0" priority="1" operator="between" text="已完成">
      <formula>NOT(ISERROR(SEARCH("已完成",G4)))</formula>
    </cfRule>
    <cfRule type="containsText" dxfId="1" priority="2" operator="between" text="进行中">
      <formula>NOT(ISERROR(SEARCH("进行中",G4)))</formula>
    </cfRule>
    <cfRule type="containsText" dxfId="2" priority="3" operator="between" text="未开始">
      <formula>NOT(ISERROR(SEARCH("未开始",G4)))</formula>
    </cfRule>
    <cfRule type="containsText" dxfId="3" priority="4" operator="between" text="暂停">
      <formula>NOT(ISERROR(SEARCH("暂停",G4)))</formula>
    </cfRule>
  </conditionalFormatting>
  <conditionalFormatting sqref="M4:M132">
    <cfRule type="containsText" dxfId="0" priority="5" operator="between" text="已完成">
      <formula>NOT(ISERROR(SEARCH("已完成",M4)))</formula>
    </cfRule>
    <cfRule type="containsText" dxfId="1" priority="6" operator="between" text="进行中">
      <formula>NOT(ISERROR(SEARCH("进行中",M4)))</formula>
    </cfRule>
    <cfRule type="containsText" dxfId="2" priority="7" operator="between" text="未开始">
      <formula>NOT(ISERROR(SEARCH("未开始",M4)))</formula>
    </cfRule>
    <cfRule type="containsText" dxfId="3" priority="8" operator="between" text="暂停">
      <formula>NOT(ISERROR(SEARCH("暂停",M4)))</formula>
    </cfRule>
  </conditionalFormatting>
  <conditionalFormatting sqref="Q4:Q132">
    <cfRule type="containsText" dxfId="0" priority="9" operator="between" text="已完成">
      <formula>NOT(ISERROR(SEARCH("已完成",Q4)))</formula>
    </cfRule>
    <cfRule type="containsText" dxfId="1" priority="10" operator="between" text="进行中">
      <formula>NOT(ISERROR(SEARCH("进行中",Q4)))</formula>
    </cfRule>
    <cfRule type="containsText" dxfId="2" priority="11" operator="between" text="未开始">
      <formula>NOT(ISERROR(SEARCH("未开始",Q4)))</formula>
    </cfRule>
    <cfRule type="containsText" dxfId="3" priority="12" operator="between" text="暂停">
      <formula>NOT(ISERROR(SEARCH("暂停",Q4)))</formula>
    </cfRule>
  </conditionalFormatting>
  <conditionalFormatting sqref="U4:U132">
    <cfRule type="containsText" dxfId="0" priority="13" operator="between" text="已完成">
      <formula>NOT(ISERROR(SEARCH("已完成",U4)))</formula>
    </cfRule>
    <cfRule type="containsText" dxfId="1" priority="14" operator="between" text="进行中">
      <formula>NOT(ISERROR(SEARCH("进行中",U4)))</formula>
    </cfRule>
    <cfRule type="containsText" dxfId="2" priority="15" operator="between" text="未开始">
      <formula>NOT(ISERROR(SEARCH("未开始",U4)))</formula>
    </cfRule>
    <cfRule type="containsText" dxfId="3" priority="16" operator="between" text="暂停">
      <formula>NOT(ISERROR(SEARCH("暂停",U4)))</formula>
    </cfRule>
  </conditionalFormatting>
  <conditionalFormatting sqref="Y4:Y132">
    <cfRule type="containsText" dxfId="0" priority="17" operator="between" text="已完成">
      <formula>NOT(ISERROR(SEARCH("已完成",Y4)))</formula>
    </cfRule>
    <cfRule type="containsText" dxfId="1" priority="18" operator="between" text="进行中">
      <formula>NOT(ISERROR(SEARCH("进行中",Y4)))</formula>
    </cfRule>
    <cfRule type="containsText" dxfId="2" priority="19" operator="between" text="未开始">
      <formula>NOT(ISERROR(SEARCH("未开始",Y4)))</formula>
    </cfRule>
    <cfRule type="containsText" dxfId="3" priority="20" operator="between" text="暂停">
      <formula>NOT(ISERROR(SEARCH("暂停",Y4)))</formula>
    </cfRule>
  </conditionalFormatting>
  <conditionalFormatting sqref="AB4:AB132">
    <cfRule type="dataBar" priority="23">
      <dataBar>
        <cfvo type="min"/>
        <cfvo type="max"/>
        <color rgb="FF70AD47"/>
      </dataBar>
      <extLst>
        <ext xmlns:x14="http://schemas.microsoft.com/office/spreadsheetml/2009/9/main" uri="{B025F937-C7B1-47D3-B67F-A62EFF666E3E}">
          <x14:id>{a8bb04c3-8e22-4e9c-83b3-3aa9cf9a1163}</x14:id>
        </ext>
      </extLst>
    </cfRule>
  </conditionalFormatting>
  <conditionalFormatting sqref="AC4:AC132">
    <cfRule type="containsText" dxfId="4" priority="21" operator="between" text="已延期">
      <formula>NOT(ISERROR(SEARCH("已延期",AC4)))</formula>
    </cfRule>
    <cfRule type="containsText" dxfId="1" priority="22" operator="between" text="临近到期">
      <formula>NOT(ISERROR(SEARCH("临近到期",AC4)))</formula>
    </cfRule>
  </conditionalFormatting>
  <dataValidations count="1">
    <dataValidation type="list" sqref="G4:G132 M4:M132 Q4:Q132 U4:U132 Y4:Y132">
      <formula1>"未开始,进行中,已完成,暂停"</formula1>
    </dataValidation>
  </dataValidations>
  <pageMargins left="0.7" right="0.7" top="0.75" bottom="0.75" header="0.3" footer="0.3"/>
  <headerFooter/>
  <extLst>
    <ext xmlns:x14="http://schemas.microsoft.com/office/spreadsheetml/2009/9/main" uri="{78C0D931-6437-407d-A8EE-F0AAD7539E65}">
      <x14:conditionalFormattings>
        <x14:conditionalFormatting xmlns:xm="http://schemas.microsoft.com/office/excel/2006/main">
          <x14:cfRule type="dataBar" id="{a8bb04c3-8e22-4e9c-83b3-3aa9cf9a1163}">
            <x14:dataBar minLength="10" maxLength="90" negativeBarColorSameAsPositive="1" axisPosition="none">
              <x14:cfvo type="min"/>
              <x14:cfvo type="max"/>
              <x14:axisColor indexed="65"/>
            </x14:dataBar>
          </x14:cfRule>
          <xm:sqref>AB4:AB132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B9BD5"/>
    <pageSetUpPr fitToPage="1"/>
  </sheetPr>
  <dimension ref="A1:L157"/>
  <sheetViews>
    <sheetView showGridLines="0" zoomScale="85" zoomScaleNormal="85" workbookViewId="0">
      <pane ySplit="15" topLeftCell="A16" activePane="bottomLeft" state="frozen"/>
      <selection/>
      <selection pane="bottomLeft" activeCell="I18" sqref="I18:K18"/>
    </sheetView>
  </sheetViews>
  <sheetFormatPr defaultColWidth="9" defaultRowHeight="16.8"/>
  <cols>
    <col min="1" max="1" width="14" style="1" customWidth="1"/>
    <col min="2" max="2" width="11" style="1" customWidth="1"/>
    <col min="3" max="3" width="28" style="1" customWidth="1"/>
    <col min="4" max="7" width="13" style="1" customWidth="1"/>
    <col min="8" max="8" width="14" style="1" customWidth="1"/>
    <col min="9" max="9" width="13" style="1" customWidth="1"/>
    <col min="10" max="10" width="28" style="1" customWidth="1"/>
    <col min="11" max="11" width="24" style="1" customWidth="1"/>
    <col min="12" max="12" width="13" style="1" hidden="1" customWidth="1"/>
  </cols>
  <sheetData>
    <row r="1" ht="28" customHeight="1" spans="1:12">
      <c r="A1" s="2" t="s">
        <v>385</v>
      </c>
    </row>
    <row r="2" ht="22" customHeight="1" spans="1:12">
      <c r="A2" s="3" t="s">
        <v>386</v>
      </c>
    </row>
    <row r="3" spans="1:12">
      <c r="A3" s="4"/>
      <c r="B3" s="4"/>
      <c r="C3" s="4"/>
      <c r="D3" s="4"/>
      <c r="E3" s="4"/>
      <c r="F3" s="4"/>
      <c r="G3" s="4"/>
      <c r="H3" s="4"/>
      <c r="I3" s="4"/>
      <c r="J3" s="4"/>
      <c r="K3" s="4"/>
      <c r="L3" s="4"/>
    </row>
    <row r="4" ht="28" customHeight="1" spans="1:12">
      <c r="A4" s="5" t="s">
        <v>387</v>
      </c>
      <c r="B4" s="5" t="s">
        <v>388</v>
      </c>
      <c r="C4" s="5" t="s">
        <v>22</v>
      </c>
      <c r="D4" s="5" t="s">
        <v>389</v>
      </c>
      <c r="E4" s="5" t="s">
        <v>390</v>
      </c>
      <c r="F4" s="5" t="s">
        <v>391</v>
      </c>
      <c r="G4" s="5" t="s">
        <v>392</v>
      </c>
      <c r="H4" s="5" t="s">
        <v>393</v>
      </c>
      <c r="I4" s="5" t="s">
        <v>394</v>
      </c>
      <c r="J4" s="5" t="s">
        <v>395</v>
      </c>
      <c r="K4" s="5" t="s">
        <v>396</v>
      </c>
      <c r="L4" s="5" t="s">
        <v>59</v>
      </c>
    </row>
    <row r="5" spans="1:12">
      <c r="A5" s="6" t="s">
        <v>397</v>
      </c>
      <c r="B5" s="6" t="s">
        <v>398</v>
      </c>
      <c r="C5" s="6">
        <v>128</v>
      </c>
      <c r="D5" s="6">
        <v>128</v>
      </c>
      <c r="E5" s="16">
        <v>46195</v>
      </c>
      <c r="F5" s="16">
        <v>46339</v>
      </c>
      <c r="G5" s="8">
        <v>40</v>
      </c>
      <c r="H5" s="40">
        <v>840</v>
      </c>
      <c r="I5" s="15">
        <v>1</v>
      </c>
      <c r="J5" s="6" t="s">
        <v>399</v>
      </c>
      <c r="K5" s="6" t="s">
        <v>400</v>
      </c>
      <c r="L5" s="8"/>
    </row>
    <row r="6" spans="1:12">
      <c r="A6" s="6" t="s">
        <v>228</v>
      </c>
      <c r="B6" s="6" t="s">
        <v>401</v>
      </c>
      <c r="C6" s="6">
        <v>11</v>
      </c>
      <c r="D6" s="6">
        <v>11</v>
      </c>
      <c r="E6" s="16">
        <v>46195</v>
      </c>
      <c r="F6" s="16">
        <v>46339</v>
      </c>
      <c r="G6" s="8">
        <v>40</v>
      </c>
      <c r="H6" s="40">
        <v>600</v>
      </c>
      <c r="I6" s="15">
        <v>0.714285714285714</v>
      </c>
      <c r="J6" s="6" t="s">
        <v>402</v>
      </c>
      <c r="K6" s="6" t="s">
        <v>403</v>
      </c>
      <c r="L6" s="8"/>
    </row>
    <row r="7" spans="1:12">
      <c r="A7" s="6" t="s">
        <v>404</v>
      </c>
      <c r="B7" s="6" t="s">
        <v>398</v>
      </c>
      <c r="C7" s="6">
        <v>131</v>
      </c>
      <c r="D7" s="6">
        <v>131</v>
      </c>
      <c r="E7" s="16">
        <v>46195</v>
      </c>
      <c r="F7" s="16">
        <v>46339</v>
      </c>
      <c r="G7" s="8">
        <v>40</v>
      </c>
      <c r="H7" s="40">
        <v>840</v>
      </c>
      <c r="I7" s="15">
        <v>1</v>
      </c>
      <c r="J7" s="6" t="s">
        <v>399</v>
      </c>
      <c r="K7" s="6" t="s">
        <v>400</v>
      </c>
      <c r="L7" s="8"/>
    </row>
    <row r="8" spans="1:12">
      <c r="A8" s="6" t="s">
        <v>68</v>
      </c>
      <c r="B8" s="6" t="s">
        <v>405</v>
      </c>
      <c r="C8" s="6">
        <v>139</v>
      </c>
      <c r="D8" s="6">
        <v>139</v>
      </c>
      <c r="E8" s="16">
        <v>46202</v>
      </c>
      <c r="F8" s="16">
        <v>46353</v>
      </c>
      <c r="G8" s="8">
        <v>40</v>
      </c>
      <c r="H8" s="40">
        <v>520</v>
      </c>
      <c r="I8" s="15">
        <v>0.590909090909091</v>
      </c>
      <c r="J8" s="6" t="s">
        <v>402</v>
      </c>
      <c r="K8" s="6" t="s">
        <v>403</v>
      </c>
      <c r="L8" s="8"/>
    </row>
    <row r="9" spans="1:12">
      <c r="A9" s="6" t="s">
        <v>67</v>
      </c>
      <c r="B9" s="6" t="s">
        <v>406</v>
      </c>
      <c r="C9" s="6">
        <v>131</v>
      </c>
      <c r="D9" s="6">
        <v>131</v>
      </c>
      <c r="E9" s="16">
        <v>46195</v>
      </c>
      <c r="F9" s="16">
        <v>46339</v>
      </c>
      <c r="G9" s="8">
        <v>40</v>
      </c>
      <c r="H9" s="40">
        <v>840</v>
      </c>
      <c r="I9" s="15">
        <v>1</v>
      </c>
      <c r="J9" s="6" t="s">
        <v>399</v>
      </c>
      <c r="K9" s="6" t="s">
        <v>400</v>
      </c>
      <c r="L9" s="8"/>
    </row>
    <row r="10" spans="1:12">
      <c r="A10" s="6" t="s">
        <v>65</v>
      </c>
      <c r="B10" s="6" t="s">
        <v>407</v>
      </c>
      <c r="C10" s="6">
        <v>139</v>
      </c>
      <c r="D10" s="6">
        <v>139</v>
      </c>
      <c r="E10" s="16">
        <v>46202</v>
      </c>
      <c r="F10" s="16">
        <v>46241</v>
      </c>
      <c r="G10" s="8">
        <v>40</v>
      </c>
      <c r="H10" s="40">
        <v>240</v>
      </c>
      <c r="I10" s="15">
        <v>1</v>
      </c>
      <c r="J10" s="6" t="s">
        <v>399</v>
      </c>
      <c r="K10" s="6" t="s">
        <v>400</v>
      </c>
      <c r="L10" s="8"/>
    </row>
    <row r="13" ht="17.6" spans="1:12">
      <c r="A13" s="14" t="s">
        <v>408</v>
      </c>
    </row>
    <row r="14" spans="1:12">
      <c r="A14" s="41" t="s">
        <v>409</v>
      </c>
    </row>
    <row r="15" ht="28" customHeight="1" spans="1:12">
      <c r="A15" s="5" t="s">
        <v>387</v>
      </c>
      <c r="B15" s="5" t="s">
        <v>410</v>
      </c>
      <c r="C15" s="5" t="s">
        <v>411</v>
      </c>
      <c r="D15" s="5" t="s">
        <v>412</v>
      </c>
      <c r="E15" s="5" t="s">
        <v>22</v>
      </c>
      <c r="F15" s="5" t="s">
        <v>413</v>
      </c>
      <c r="G15" s="5" t="s">
        <v>394</v>
      </c>
      <c r="H15" s="5" t="s">
        <v>395</v>
      </c>
      <c r="I15" s="5" t="s">
        <v>414</v>
      </c>
      <c r="J15" s="4"/>
      <c r="K15" s="4"/>
    </row>
    <row r="16" ht="48" customHeight="1" spans="1:12">
      <c r="A16" s="42" t="s">
        <v>397</v>
      </c>
      <c r="B16" s="16">
        <v>46195</v>
      </c>
      <c r="C16" s="16">
        <v>46201</v>
      </c>
      <c r="D16" s="6" t="s">
        <v>415</v>
      </c>
      <c r="E16" s="6">
        <v>3</v>
      </c>
      <c r="F16" s="40">
        <v>40</v>
      </c>
      <c r="G16" s="15">
        <v>1</v>
      </c>
      <c r="H16" s="6" t="s">
        <v>399</v>
      </c>
      <c r="I16" s="6" t="s">
        <v>416</v>
      </c>
      <c r="J16" s="4"/>
      <c r="K16" s="4"/>
      <c r="L16" s="4" t="s">
        <v>397</v>
      </c>
    </row>
    <row r="17" ht="48" customHeight="1" spans="2:12">
      <c r="B17" s="16">
        <v>46202</v>
      </c>
      <c r="C17" s="16">
        <v>46208</v>
      </c>
      <c r="D17" s="6" t="s">
        <v>415</v>
      </c>
      <c r="E17" s="6">
        <v>3</v>
      </c>
      <c r="F17" s="40">
        <v>40</v>
      </c>
      <c r="G17" s="15">
        <v>1</v>
      </c>
      <c r="H17" s="6" t="s">
        <v>399</v>
      </c>
      <c r="I17" s="6" t="s">
        <v>416</v>
      </c>
      <c r="J17" s="4"/>
      <c r="K17" s="4"/>
      <c r="L17" s="4" t="s">
        <v>397</v>
      </c>
    </row>
    <row r="18" ht="48" customHeight="1" spans="2:12">
      <c r="B18" s="16">
        <v>46209</v>
      </c>
      <c r="C18" s="16">
        <v>46215</v>
      </c>
      <c r="D18" s="6" t="s">
        <v>415</v>
      </c>
      <c r="E18" s="6">
        <v>22</v>
      </c>
      <c r="F18" s="40">
        <v>40</v>
      </c>
      <c r="G18" s="15">
        <v>1</v>
      </c>
      <c r="H18" s="6" t="s">
        <v>399</v>
      </c>
      <c r="I18" s="6" t="s">
        <v>417</v>
      </c>
      <c r="J18" s="4"/>
      <c r="K18" s="4"/>
      <c r="L18" s="4" t="s">
        <v>397</v>
      </c>
    </row>
    <row r="19" ht="48" customHeight="1" spans="2:12">
      <c r="B19" s="16">
        <v>46216</v>
      </c>
      <c r="C19" s="16">
        <v>46222</v>
      </c>
      <c r="D19" s="6" t="s">
        <v>415</v>
      </c>
      <c r="E19" s="6">
        <v>22</v>
      </c>
      <c r="F19" s="40">
        <v>40</v>
      </c>
      <c r="G19" s="15">
        <v>1</v>
      </c>
      <c r="H19" s="6" t="s">
        <v>399</v>
      </c>
      <c r="I19" s="6" t="s">
        <v>417</v>
      </c>
      <c r="J19" s="4"/>
      <c r="K19" s="4"/>
      <c r="L19" s="4" t="s">
        <v>397</v>
      </c>
    </row>
    <row r="20" ht="48" customHeight="1" spans="2:12">
      <c r="B20" s="16">
        <v>46223</v>
      </c>
      <c r="C20" s="16">
        <v>46229</v>
      </c>
      <c r="D20" s="6" t="s">
        <v>415</v>
      </c>
      <c r="E20" s="6">
        <v>30</v>
      </c>
      <c r="F20" s="40">
        <v>40</v>
      </c>
      <c r="G20" s="15">
        <v>1</v>
      </c>
      <c r="H20" s="6" t="s">
        <v>399</v>
      </c>
      <c r="I20" s="6" t="s">
        <v>418</v>
      </c>
      <c r="J20" s="4"/>
      <c r="K20" s="4"/>
      <c r="L20" s="4" t="s">
        <v>397</v>
      </c>
    </row>
    <row r="21" ht="48" customHeight="1" spans="2:12">
      <c r="B21" s="16">
        <v>46230</v>
      </c>
      <c r="C21" s="16">
        <v>46236</v>
      </c>
      <c r="D21" s="6" t="s">
        <v>415</v>
      </c>
      <c r="E21" s="6">
        <v>24</v>
      </c>
      <c r="F21" s="40">
        <v>40</v>
      </c>
      <c r="G21" s="15">
        <v>1</v>
      </c>
      <c r="H21" s="6" t="s">
        <v>399</v>
      </c>
      <c r="I21" s="6" t="s">
        <v>419</v>
      </c>
      <c r="J21" s="4"/>
      <c r="K21" s="4"/>
      <c r="L21" s="4" t="s">
        <v>397</v>
      </c>
    </row>
    <row r="22" ht="48" customHeight="1" spans="2:12">
      <c r="B22" s="16">
        <v>46237</v>
      </c>
      <c r="C22" s="16">
        <v>46243</v>
      </c>
      <c r="D22" s="6" t="s">
        <v>415</v>
      </c>
      <c r="E22" s="6">
        <v>27</v>
      </c>
      <c r="F22" s="40">
        <v>40</v>
      </c>
      <c r="G22" s="15">
        <v>1</v>
      </c>
      <c r="H22" s="6" t="s">
        <v>399</v>
      </c>
      <c r="I22" s="6" t="s">
        <v>420</v>
      </c>
      <c r="J22" s="4"/>
      <c r="K22" s="4"/>
      <c r="L22" s="4" t="s">
        <v>397</v>
      </c>
    </row>
    <row r="23" ht="48" customHeight="1" spans="2:12">
      <c r="B23" s="16">
        <v>46244</v>
      </c>
      <c r="C23" s="16">
        <v>46250</v>
      </c>
      <c r="D23" s="6" t="s">
        <v>415</v>
      </c>
      <c r="E23" s="6">
        <v>26</v>
      </c>
      <c r="F23" s="40">
        <v>40</v>
      </c>
      <c r="G23" s="15">
        <v>1</v>
      </c>
      <c r="H23" s="6" t="s">
        <v>399</v>
      </c>
      <c r="I23" s="6" t="s">
        <v>421</v>
      </c>
      <c r="J23" s="4"/>
      <c r="K23" s="4"/>
      <c r="L23" s="4" t="s">
        <v>397</v>
      </c>
    </row>
    <row r="24" ht="48" customHeight="1" spans="2:12">
      <c r="B24" s="16">
        <v>46251</v>
      </c>
      <c r="C24" s="16">
        <v>46257</v>
      </c>
      <c r="D24" s="6" t="s">
        <v>415</v>
      </c>
      <c r="E24" s="6">
        <v>26</v>
      </c>
      <c r="F24" s="40">
        <v>40</v>
      </c>
      <c r="G24" s="15">
        <v>1</v>
      </c>
      <c r="H24" s="6" t="s">
        <v>399</v>
      </c>
      <c r="I24" s="6" t="s">
        <v>421</v>
      </c>
      <c r="J24" s="4"/>
      <c r="K24" s="4"/>
      <c r="L24" s="4" t="s">
        <v>397</v>
      </c>
    </row>
    <row r="25" ht="48" customHeight="1" spans="2:12">
      <c r="B25" s="16">
        <v>46258</v>
      </c>
      <c r="C25" s="16">
        <v>46264</v>
      </c>
      <c r="D25" s="6" t="s">
        <v>415</v>
      </c>
      <c r="E25" s="6">
        <v>23</v>
      </c>
      <c r="F25" s="40">
        <v>40</v>
      </c>
      <c r="G25" s="15">
        <v>1</v>
      </c>
      <c r="H25" s="6" t="s">
        <v>399</v>
      </c>
      <c r="I25" s="6" t="s">
        <v>422</v>
      </c>
      <c r="J25" s="4"/>
      <c r="K25" s="4"/>
      <c r="L25" s="4" t="s">
        <v>397</v>
      </c>
    </row>
    <row r="26" ht="48" customHeight="1" spans="2:12">
      <c r="B26" s="16">
        <v>46265</v>
      </c>
      <c r="C26" s="16">
        <v>46271</v>
      </c>
      <c r="D26" s="6" t="s">
        <v>415</v>
      </c>
      <c r="E26" s="6">
        <v>5</v>
      </c>
      <c r="F26" s="40">
        <v>40</v>
      </c>
      <c r="G26" s="15">
        <v>1</v>
      </c>
      <c r="H26" s="6" t="s">
        <v>399</v>
      </c>
      <c r="I26" s="6" t="s">
        <v>423</v>
      </c>
      <c r="J26" s="4"/>
      <c r="K26" s="4"/>
      <c r="L26" s="4" t="s">
        <v>397</v>
      </c>
    </row>
    <row r="27" ht="48" customHeight="1" spans="2:12">
      <c r="B27" s="16">
        <v>46272</v>
      </c>
      <c r="C27" s="16">
        <v>46278</v>
      </c>
      <c r="D27" s="6" t="s">
        <v>415</v>
      </c>
      <c r="E27" s="6">
        <v>12</v>
      </c>
      <c r="F27" s="40">
        <v>40</v>
      </c>
      <c r="G27" s="15">
        <v>1</v>
      </c>
      <c r="H27" s="6" t="s">
        <v>399</v>
      </c>
      <c r="I27" s="6" t="s">
        <v>424</v>
      </c>
      <c r="J27" s="4"/>
      <c r="K27" s="4"/>
      <c r="L27" s="4" t="s">
        <v>397</v>
      </c>
    </row>
    <row r="28" ht="48" customHeight="1" spans="2:12">
      <c r="B28" s="16">
        <v>46279</v>
      </c>
      <c r="C28" s="16">
        <v>46285</v>
      </c>
      <c r="D28" s="6" t="s">
        <v>415</v>
      </c>
      <c r="E28" s="6">
        <v>12</v>
      </c>
      <c r="F28" s="40">
        <v>40</v>
      </c>
      <c r="G28" s="15">
        <v>1</v>
      </c>
      <c r="H28" s="6" t="s">
        <v>399</v>
      </c>
      <c r="I28" s="6" t="s">
        <v>424</v>
      </c>
      <c r="J28" s="4"/>
      <c r="K28" s="4"/>
      <c r="L28" s="4" t="s">
        <v>397</v>
      </c>
    </row>
    <row r="29" ht="48" customHeight="1" spans="2:12">
      <c r="B29" s="16">
        <v>46286</v>
      </c>
      <c r="C29" s="16">
        <v>46292</v>
      </c>
      <c r="D29" s="6" t="s">
        <v>415</v>
      </c>
      <c r="E29" s="6">
        <v>12</v>
      </c>
      <c r="F29" s="40">
        <v>40</v>
      </c>
      <c r="G29" s="15">
        <v>1</v>
      </c>
      <c r="H29" s="6" t="s">
        <v>399</v>
      </c>
      <c r="I29" s="6" t="s">
        <v>424</v>
      </c>
      <c r="J29" s="4"/>
      <c r="K29" s="4"/>
      <c r="L29" s="4" t="s">
        <v>397</v>
      </c>
    </row>
    <row r="30" ht="48" customHeight="1" spans="2:12">
      <c r="B30" s="16">
        <v>46293</v>
      </c>
      <c r="C30" s="16">
        <v>46299</v>
      </c>
      <c r="D30" s="6" t="s">
        <v>415</v>
      </c>
      <c r="E30" s="6">
        <v>12</v>
      </c>
      <c r="F30" s="40">
        <v>40</v>
      </c>
      <c r="G30" s="15">
        <v>1</v>
      </c>
      <c r="H30" s="6" t="s">
        <v>399</v>
      </c>
      <c r="I30" s="6" t="s">
        <v>424</v>
      </c>
      <c r="J30" s="4"/>
      <c r="K30" s="4"/>
      <c r="L30" s="4" t="s">
        <v>397</v>
      </c>
    </row>
    <row r="31" ht="48" customHeight="1" spans="2:12">
      <c r="B31" s="16">
        <v>46300</v>
      </c>
      <c r="C31" s="16">
        <v>46306</v>
      </c>
      <c r="D31" s="6" t="s">
        <v>415</v>
      </c>
      <c r="E31" s="6">
        <v>12</v>
      </c>
      <c r="F31" s="40">
        <v>40</v>
      </c>
      <c r="G31" s="15">
        <v>1</v>
      </c>
      <c r="H31" s="6" t="s">
        <v>399</v>
      </c>
      <c r="I31" s="6" t="s">
        <v>424</v>
      </c>
      <c r="J31" s="4"/>
      <c r="K31" s="4"/>
      <c r="L31" s="4" t="s">
        <v>397</v>
      </c>
    </row>
    <row r="32" ht="48" customHeight="1" spans="2:12">
      <c r="B32" s="16">
        <v>46307</v>
      </c>
      <c r="C32" s="16">
        <v>46313</v>
      </c>
      <c r="D32" s="6" t="s">
        <v>415</v>
      </c>
      <c r="E32" s="6">
        <v>51</v>
      </c>
      <c r="F32" s="40">
        <v>40</v>
      </c>
      <c r="G32" s="15">
        <v>1</v>
      </c>
      <c r="H32" s="6" t="s">
        <v>399</v>
      </c>
      <c r="I32" s="6" t="s">
        <v>425</v>
      </c>
      <c r="J32" s="4"/>
      <c r="K32" s="4"/>
      <c r="L32" s="4" t="s">
        <v>397</v>
      </c>
    </row>
    <row r="33" ht="48" customHeight="1" spans="1:12">
      <c r="B33" s="16">
        <v>46314</v>
      </c>
      <c r="C33" s="16">
        <v>46320</v>
      </c>
      <c r="D33" s="6" t="s">
        <v>415</v>
      </c>
      <c r="E33" s="6">
        <v>51</v>
      </c>
      <c r="F33" s="40">
        <v>40</v>
      </c>
      <c r="G33" s="15">
        <v>1</v>
      </c>
      <c r="H33" s="6" t="s">
        <v>399</v>
      </c>
      <c r="I33" s="6" t="s">
        <v>425</v>
      </c>
      <c r="J33" s="4"/>
      <c r="K33" s="4"/>
      <c r="L33" s="4" t="s">
        <v>397</v>
      </c>
    </row>
    <row r="34" ht="48" customHeight="1" spans="1:12">
      <c r="B34" s="16">
        <v>46321</v>
      </c>
      <c r="C34" s="16">
        <v>46327</v>
      </c>
      <c r="D34" s="6" t="s">
        <v>415</v>
      </c>
      <c r="E34" s="6">
        <v>51</v>
      </c>
      <c r="F34" s="40">
        <v>40</v>
      </c>
      <c r="G34" s="15">
        <v>1</v>
      </c>
      <c r="H34" s="6" t="s">
        <v>399</v>
      </c>
      <c r="I34" s="6" t="s">
        <v>425</v>
      </c>
      <c r="J34" s="4"/>
      <c r="K34" s="4"/>
      <c r="L34" s="4" t="s">
        <v>397</v>
      </c>
    </row>
    <row r="35" ht="48" customHeight="1" spans="1:12">
      <c r="B35" s="16">
        <v>46328</v>
      </c>
      <c r="C35" s="16">
        <v>46334</v>
      </c>
      <c r="D35" s="6" t="s">
        <v>415</v>
      </c>
      <c r="E35" s="6">
        <v>51</v>
      </c>
      <c r="F35" s="40">
        <v>40</v>
      </c>
      <c r="G35" s="15">
        <v>1</v>
      </c>
      <c r="H35" s="6" t="s">
        <v>399</v>
      </c>
      <c r="I35" s="6" t="s">
        <v>425</v>
      </c>
      <c r="J35" s="4"/>
      <c r="K35" s="4"/>
      <c r="L35" s="4" t="s">
        <v>397</v>
      </c>
    </row>
    <row r="36" ht="48" customHeight="1" spans="1:12">
      <c r="B36" s="16">
        <v>46335</v>
      </c>
      <c r="C36" s="16">
        <v>46341</v>
      </c>
      <c r="D36" s="6" t="s">
        <v>415</v>
      </c>
      <c r="E36" s="6">
        <v>51</v>
      </c>
      <c r="F36" s="40">
        <v>40</v>
      </c>
      <c r="G36" s="15">
        <v>1</v>
      </c>
      <c r="H36" s="6" t="s">
        <v>399</v>
      </c>
      <c r="I36" s="6" t="s">
        <v>425</v>
      </c>
      <c r="J36" s="4"/>
      <c r="K36" s="4"/>
      <c r="L36" s="4" t="s">
        <v>397</v>
      </c>
    </row>
    <row r="37" ht="20" customHeight="1" spans="1:12">
      <c r="B37" s="16">
        <v>46342</v>
      </c>
      <c r="C37" s="16">
        <v>46348</v>
      </c>
      <c r="D37" s="6" t="s">
        <v>426</v>
      </c>
      <c r="E37" s="6">
        <v>0</v>
      </c>
      <c r="F37" s="40">
        <v>0</v>
      </c>
      <c r="G37" s="15">
        <v>0</v>
      </c>
      <c r="H37" s="6" t="s">
        <v>427</v>
      </c>
      <c r="I37" s="6" t="s">
        <v>428</v>
      </c>
      <c r="J37" s="4"/>
      <c r="K37" s="4"/>
      <c r="L37" s="4" t="s">
        <v>397</v>
      </c>
    </row>
    <row r="38" ht="20" customHeight="1" spans="1:12">
      <c r="A38" s="4"/>
      <c r="B38" s="16">
        <v>46349</v>
      </c>
      <c r="C38" s="16">
        <v>46355</v>
      </c>
      <c r="D38" s="6" t="s">
        <v>426</v>
      </c>
      <c r="E38" s="6">
        <v>0</v>
      </c>
      <c r="F38" s="40">
        <v>0</v>
      </c>
      <c r="G38" s="15">
        <v>0</v>
      </c>
      <c r="H38" s="6" t="s">
        <v>427</v>
      </c>
      <c r="I38" s="6" t="s">
        <v>428</v>
      </c>
      <c r="J38" s="4"/>
      <c r="K38" s="4"/>
      <c r="L38" s="4" t="s">
        <v>397</v>
      </c>
    </row>
    <row r="39" ht="48" customHeight="1" spans="1:12">
      <c r="A39" s="42" t="s">
        <v>228</v>
      </c>
      <c r="B39" s="16">
        <v>46195</v>
      </c>
      <c r="C39" s="16">
        <v>46201</v>
      </c>
      <c r="D39" s="6" t="s">
        <v>415</v>
      </c>
      <c r="E39" s="6">
        <v>1</v>
      </c>
      <c r="F39" s="40">
        <v>40</v>
      </c>
      <c r="G39" s="15">
        <v>1</v>
      </c>
      <c r="H39" s="6" t="s">
        <v>399</v>
      </c>
      <c r="I39" s="6" t="s">
        <v>429</v>
      </c>
      <c r="J39" s="4"/>
      <c r="K39" s="4"/>
      <c r="L39" s="4" t="s">
        <v>228</v>
      </c>
    </row>
    <row r="40" ht="48" customHeight="1" spans="1:12">
      <c r="B40" s="16">
        <v>46202</v>
      </c>
      <c r="C40" s="16">
        <v>46208</v>
      </c>
      <c r="D40" s="6" t="s">
        <v>415</v>
      </c>
      <c r="E40" s="6">
        <v>1</v>
      </c>
      <c r="F40" s="40">
        <v>40</v>
      </c>
      <c r="G40" s="15">
        <v>1</v>
      </c>
      <c r="H40" s="6" t="s">
        <v>399</v>
      </c>
      <c r="I40" s="6" t="s">
        <v>429</v>
      </c>
      <c r="J40" s="4"/>
      <c r="K40" s="4"/>
      <c r="L40" s="4" t="s">
        <v>228</v>
      </c>
    </row>
    <row r="41" ht="48" customHeight="1" spans="1:12">
      <c r="B41" s="16">
        <v>46209</v>
      </c>
      <c r="C41" s="16">
        <v>46215</v>
      </c>
      <c r="D41" s="6" t="s">
        <v>415</v>
      </c>
      <c r="E41" s="6">
        <v>4</v>
      </c>
      <c r="F41" s="40">
        <v>40</v>
      </c>
      <c r="G41" s="15">
        <v>1</v>
      </c>
      <c r="H41" s="6" t="s">
        <v>399</v>
      </c>
      <c r="I41" s="6" t="s">
        <v>430</v>
      </c>
      <c r="J41" s="4"/>
      <c r="K41" s="4"/>
      <c r="L41" s="4" t="s">
        <v>228</v>
      </c>
    </row>
    <row r="42" ht="48" customHeight="1" spans="1:12">
      <c r="B42" s="16">
        <v>46216</v>
      </c>
      <c r="C42" s="16">
        <v>46222</v>
      </c>
      <c r="D42" s="6" t="s">
        <v>415</v>
      </c>
      <c r="E42" s="6">
        <v>4</v>
      </c>
      <c r="F42" s="40">
        <v>40</v>
      </c>
      <c r="G42" s="15">
        <v>1</v>
      </c>
      <c r="H42" s="6" t="s">
        <v>399</v>
      </c>
      <c r="I42" s="6" t="s">
        <v>430</v>
      </c>
      <c r="J42" s="4"/>
      <c r="K42" s="4"/>
      <c r="L42" s="4" t="s">
        <v>228</v>
      </c>
    </row>
    <row r="43" ht="48" customHeight="1" spans="1:12">
      <c r="B43" s="16">
        <v>46223</v>
      </c>
      <c r="C43" s="16">
        <v>46229</v>
      </c>
      <c r="D43" s="6" t="s">
        <v>415</v>
      </c>
      <c r="E43" s="6">
        <v>4</v>
      </c>
      <c r="F43" s="40">
        <v>40</v>
      </c>
      <c r="G43" s="15">
        <v>1</v>
      </c>
      <c r="H43" s="6" t="s">
        <v>399</v>
      </c>
      <c r="I43" s="6" t="s">
        <v>430</v>
      </c>
      <c r="J43" s="4"/>
      <c r="K43" s="4"/>
      <c r="L43" s="4" t="s">
        <v>228</v>
      </c>
    </row>
    <row r="44" ht="48" customHeight="1" spans="1:12">
      <c r="B44" s="16">
        <v>46230</v>
      </c>
      <c r="C44" s="16">
        <v>46236</v>
      </c>
      <c r="D44" s="6" t="s">
        <v>415</v>
      </c>
      <c r="E44" s="6">
        <v>4</v>
      </c>
      <c r="F44" s="40">
        <v>40</v>
      </c>
      <c r="G44" s="15">
        <v>1</v>
      </c>
      <c r="H44" s="6" t="s">
        <v>399</v>
      </c>
      <c r="I44" s="6" t="s">
        <v>431</v>
      </c>
      <c r="J44" s="4"/>
      <c r="K44" s="4"/>
      <c r="L44" s="4" t="s">
        <v>228</v>
      </c>
    </row>
    <row r="45" ht="48" customHeight="1" spans="1:12">
      <c r="B45" s="16">
        <v>46237</v>
      </c>
      <c r="C45" s="16">
        <v>46243</v>
      </c>
      <c r="D45" s="6" t="s">
        <v>415</v>
      </c>
      <c r="E45" s="6">
        <v>4</v>
      </c>
      <c r="F45" s="40">
        <v>40</v>
      </c>
      <c r="G45" s="15">
        <v>1</v>
      </c>
      <c r="H45" s="6" t="s">
        <v>399</v>
      </c>
      <c r="I45" s="6" t="s">
        <v>431</v>
      </c>
      <c r="J45" s="4"/>
      <c r="K45" s="4"/>
      <c r="L45" s="4" t="s">
        <v>228</v>
      </c>
    </row>
    <row r="46" ht="48" customHeight="1" spans="1:12">
      <c r="B46" s="16">
        <v>46244</v>
      </c>
      <c r="C46" s="16">
        <v>46250</v>
      </c>
      <c r="D46" s="6" t="s">
        <v>415</v>
      </c>
      <c r="E46" s="6">
        <v>4</v>
      </c>
      <c r="F46" s="40">
        <v>40</v>
      </c>
      <c r="G46" s="15">
        <v>1</v>
      </c>
      <c r="H46" s="6" t="s">
        <v>399</v>
      </c>
      <c r="I46" s="6" t="s">
        <v>431</v>
      </c>
      <c r="J46" s="4"/>
      <c r="K46" s="4"/>
      <c r="L46" s="4" t="s">
        <v>228</v>
      </c>
    </row>
    <row r="47" ht="48" customHeight="1" spans="1:12">
      <c r="B47" s="16">
        <v>46251</v>
      </c>
      <c r="C47" s="16">
        <v>46257</v>
      </c>
      <c r="D47" s="6" t="s">
        <v>415</v>
      </c>
      <c r="E47" s="6">
        <v>4</v>
      </c>
      <c r="F47" s="40">
        <v>40</v>
      </c>
      <c r="G47" s="15">
        <v>1</v>
      </c>
      <c r="H47" s="6" t="s">
        <v>399</v>
      </c>
      <c r="I47" s="6" t="s">
        <v>431</v>
      </c>
      <c r="J47" s="4"/>
      <c r="K47" s="4"/>
      <c r="L47" s="4" t="s">
        <v>228</v>
      </c>
    </row>
    <row r="48" ht="48" customHeight="1" spans="1:12">
      <c r="B48" s="16">
        <v>46258</v>
      </c>
      <c r="C48" s="16">
        <v>46264</v>
      </c>
      <c r="D48" s="6" t="s">
        <v>415</v>
      </c>
      <c r="E48" s="6">
        <v>4</v>
      </c>
      <c r="F48" s="40">
        <v>40</v>
      </c>
      <c r="G48" s="15">
        <v>1</v>
      </c>
      <c r="H48" s="6" t="s">
        <v>399</v>
      </c>
      <c r="I48" s="6" t="s">
        <v>431</v>
      </c>
      <c r="J48" s="4"/>
      <c r="K48" s="4"/>
      <c r="L48" s="4" t="s">
        <v>228</v>
      </c>
    </row>
    <row r="49" ht="20" customHeight="1" spans="1:12">
      <c r="B49" s="16">
        <v>46265</v>
      </c>
      <c r="C49" s="16">
        <v>46271</v>
      </c>
      <c r="D49" s="6" t="s">
        <v>426</v>
      </c>
      <c r="E49" s="6">
        <v>0</v>
      </c>
      <c r="F49" s="40">
        <v>0</v>
      </c>
      <c r="G49" s="15">
        <v>0</v>
      </c>
      <c r="H49" s="6" t="s">
        <v>427</v>
      </c>
      <c r="I49" s="6" t="s">
        <v>428</v>
      </c>
      <c r="J49" s="4"/>
      <c r="K49" s="4"/>
      <c r="L49" s="4" t="s">
        <v>228</v>
      </c>
    </row>
    <row r="50" ht="20" customHeight="1" spans="1:12">
      <c r="B50" s="16">
        <v>46272</v>
      </c>
      <c r="C50" s="16">
        <v>46278</v>
      </c>
      <c r="D50" s="6" t="s">
        <v>426</v>
      </c>
      <c r="E50" s="6">
        <v>0</v>
      </c>
      <c r="F50" s="40">
        <v>0</v>
      </c>
      <c r="G50" s="15">
        <v>0</v>
      </c>
      <c r="H50" s="6" t="s">
        <v>427</v>
      </c>
      <c r="I50" s="6" t="s">
        <v>428</v>
      </c>
      <c r="J50" s="4"/>
      <c r="K50" s="4"/>
      <c r="L50" s="4" t="s">
        <v>228</v>
      </c>
    </row>
    <row r="51" ht="20" customHeight="1" spans="1:12">
      <c r="B51" s="16">
        <v>46279</v>
      </c>
      <c r="C51" s="16">
        <v>46285</v>
      </c>
      <c r="D51" s="6" t="s">
        <v>426</v>
      </c>
      <c r="E51" s="6">
        <v>0</v>
      </c>
      <c r="F51" s="40">
        <v>0</v>
      </c>
      <c r="G51" s="15">
        <v>0</v>
      </c>
      <c r="H51" s="6" t="s">
        <v>427</v>
      </c>
      <c r="I51" s="6" t="s">
        <v>428</v>
      </c>
      <c r="J51" s="4"/>
      <c r="K51" s="4"/>
      <c r="L51" s="4" t="s">
        <v>228</v>
      </c>
    </row>
    <row r="52" ht="20" customHeight="1" spans="1:12">
      <c r="B52" s="16">
        <v>46286</v>
      </c>
      <c r="C52" s="16">
        <v>46292</v>
      </c>
      <c r="D52" s="6" t="s">
        <v>426</v>
      </c>
      <c r="E52" s="6">
        <v>0</v>
      </c>
      <c r="F52" s="40">
        <v>0</v>
      </c>
      <c r="G52" s="15">
        <v>0</v>
      </c>
      <c r="H52" s="6" t="s">
        <v>427</v>
      </c>
      <c r="I52" s="6" t="s">
        <v>428</v>
      </c>
      <c r="J52" s="4"/>
      <c r="K52" s="4"/>
      <c r="L52" s="4" t="s">
        <v>228</v>
      </c>
    </row>
    <row r="53" ht="20" customHeight="1" spans="1:12">
      <c r="B53" s="16">
        <v>46293</v>
      </c>
      <c r="C53" s="16">
        <v>46299</v>
      </c>
      <c r="D53" s="6" t="s">
        <v>426</v>
      </c>
      <c r="E53" s="6">
        <v>0</v>
      </c>
      <c r="F53" s="40">
        <v>0</v>
      </c>
      <c r="G53" s="15">
        <v>0</v>
      </c>
      <c r="H53" s="6" t="s">
        <v>427</v>
      </c>
      <c r="I53" s="6" t="s">
        <v>428</v>
      </c>
      <c r="J53" s="4"/>
      <c r="K53" s="4"/>
      <c r="L53" s="4" t="s">
        <v>228</v>
      </c>
    </row>
    <row r="54" ht="20" customHeight="1" spans="1:12">
      <c r="B54" s="16">
        <v>46300</v>
      </c>
      <c r="C54" s="16">
        <v>46306</v>
      </c>
      <c r="D54" s="6" t="s">
        <v>426</v>
      </c>
      <c r="E54" s="6">
        <v>0</v>
      </c>
      <c r="F54" s="40">
        <v>0</v>
      </c>
      <c r="G54" s="15">
        <v>0</v>
      </c>
      <c r="H54" s="6" t="s">
        <v>427</v>
      </c>
      <c r="I54" s="6" t="s">
        <v>428</v>
      </c>
      <c r="J54" s="4"/>
      <c r="K54" s="4"/>
      <c r="L54" s="4" t="s">
        <v>228</v>
      </c>
    </row>
    <row r="55" ht="48" customHeight="1" spans="1:12">
      <c r="B55" s="16">
        <v>46307</v>
      </c>
      <c r="C55" s="16">
        <v>46313</v>
      </c>
      <c r="D55" s="6" t="s">
        <v>415</v>
      </c>
      <c r="E55" s="6">
        <v>2</v>
      </c>
      <c r="F55" s="40">
        <v>40</v>
      </c>
      <c r="G55" s="15">
        <v>1</v>
      </c>
      <c r="H55" s="6" t="s">
        <v>399</v>
      </c>
      <c r="I55" s="6" t="s">
        <v>432</v>
      </c>
      <c r="J55" s="4"/>
      <c r="K55" s="4"/>
      <c r="L55" s="4" t="s">
        <v>228</v>
      </c>
    </row>
    <row r="56" ht="48" customHeight="1" spans="1:12">
      <c r="B56" s="16">
        <v>46314</v>
      </c>
      <c r="C56" s="16">
        <v>46320</v>
      </c>
      <c r="D56" s="6" t="s">
        <v>415</v>
      </c>
      <c r="E56" s="6">
        <v>2</v>
      </c>
      <c r="F56" s="40">
        <v>40</v>
      </c>
      <c r="G56" s="15">
        <v>1</v>
      </c>
      <c r="H56" s="6" t="s">
        <v>399</v>
      </c>
      <c r="I56" s="6" t="s">
        <v>432</v>
      </c>
      <c r="J56" s="4"/>
      <c r="K56" s="4"/>
      <c r="L56" s="4" t="s">
        <v>228</v>
      </c>
    </row>
    <row r="57" ht="48" customHeight="1" spans="1:12">
      <c r="B57" s="16">
        <v>46321</v>
      </c>
      <c r="C57" s="16">
        <v>46327</v>
      </c>
      <c r="D57" s="6" t="s">
        <v>415</v>
      </c>
      <c r="E57" s="6">
        <v>2</v>
      </c>
      <c r="F57" s="40">
        <v>40</v>
      </c>
      <c r="G57" s="15">
        <v>1</v>
      </c>
      <c r="H57" s="6" t="s">
        <v>399</v>
      </c>
      <c r="I57" s="6" t="s">
        <v>432</v>
      </c>
      <c r="J57" s="4"/>
      <c r="K57" s="4"/>
      <c r="L57" s="4" t="s">
        <v>228</v>
      </c>
    </row>
    <row r="58" ht="48" customHeight="1" spans="1:12">
      <c r="B58" s="16">
        <v>46328</v>
      </c>
      <c r="C58" s="16">
        <v>46334</v>
      </c>
      <c r="D58" s="6" t="s">
        <v>415</v>
      </c>
      <c r="E58" s="6">
        <v>2</v>
      </c>
      <c r="F58" s="40">
        <v>40</v>
      </c>
      <c r="G58" s="15">
        <v>1</v>
      </c>
      <c r="H58" s="6" t="s">
        <v>399</v>
      </c>
      <c r="I58" s="6" t="s">
        <v>432</v>
      </c>
      <c r="J58" s="4"/>
      <c r="K58" s="4"/>
      <c r="L58" s="4" t="s">
        <v>228</v>
      </c>
    </row>
    <row r="59" ht="48" customHeight="1" spans="1:12">
      <c r="B59" s="16">
        <v>46335</v>
      </c>
      <c r="C59" s="16">
        <v>46341</v>
      </c>
      <c r="D59" s="6" t="s">
        <v>415</v>
      </c>
      <c r="E59" s="6">
        <v>2</v>
      </c>
      <c r="F59" s="40">
        <v>40</v>
      </c>
      <c r="G59" s="15">
        <v>1</v>
      </c>
      <c r="H59" s="6" t="s">
        <v>399</v>
      </c>
      <c r="I59" s="6" t="s">
        <v>432</v>
      </c>
      <c r="J59" s="4"/>
      <c r="K59" s="4"/>
      <c r="L59" s="4" t="s">
        <v>228</v>
      </c>
    </row>
    <row r="60" ht="20" customHeight="1" spans="1:12">
      <c r="B60" s="16">
        <v>46342</v>
      </c>
      <c r="C60" s="16">
        <v>46348</v>
      </c>
      <c r="D60" s="6" t="s">
        <v>426</v>
      </c>
      <c r="E60" s="6">
        <v>0</v>
      </c>
      <c r="F60" s="40">
        <v>0</v>
      </c>
      <c r="G60" s="15">
        <v>0</v>
      </c>
      <c r="H60" s="6" t="s">
        <v>427</v>
      </c>
      <c r="I60" s="6" t="s">
        <v>428</v>
      </c>
      <c r="J60" s="4"/>
      <c r="K60" s="4"/>
      <c r="L60" s="4" t="s">
        <v>228</v>
      </c>
    </row>
    <row r="61" ht="20" customHeight="1" spans="1:12">
      <c r="A61" s="4"/>
      <c r="B61" s="16">
        <v>46349</v>
      </c>
      <c r="C61" s="16">
        <v>46355</v>
      </c>
      <c r="D61" s="6" t="s">
        <v>426</v>
      </c>
      <c r="E61" s="6">
        <v>0</v>
      </c>
      <c r="F61" s="40">
        <v>0</v>
      </c>
      <c r="G61" s="15">
        <v>0</v>
      </c>
      <c r="H61" s="6" t="s">
        <v>427</v>
      </c>
      <c r="I61" s="6" t="s">
        <v>428</v>
      </c>
      <c r="J61" s="4"/>
      <c r="K61" s="4"/>
      <c r="L61" s="4" t="s">
        <v>228</v>
      </c>
    </row>
    <row r="62" ht="48" customHeight="1" spans="1:12">
      <c r="A62" s="42" t="s">
        <v>404</v>
      </c>
      <c r="B62" s="16">
        <v>46195</v>
      </c>
      <c r="C62" s="16">
        <v>46201</v>
      </c>
      <c r="D62" s="6" t="s">
        <v>415</v>
      </c>
      <c r="E62" s="6">
        <v>3</v>
      </c>
      <c r="F62" s="40">
        <v>40</v>
      </c>
      <c r="G62" s="15">
        <v>1</v>
      </c>
      <c r="H62" s="6" t="s">
        <v>399</v>
      </c>
      <c r="I62" s="6" t="s">
        <v>416</v>
      </c>
      <c r="J62" s="4"/>
      <c r="K62" s="4"/>
      <c r="L62" s="4" t="s">
        <v>404</v>
      </c>
    </row>
    <row r="63" ht="48" customHeight="1" spans="1:12">
      <c r="B63" s="16">
        <v>46202</v>
      </c>
      <c r="C63" s="16">
        <v>46208</v>
      </c>
      <c r="D63" s="6" t="s">
        <v>415</v>
      </c>
      <c r="E63" s="6">
        <v>3</v>
      </c>
      <c r="F63" s="40">
        <v>40</v>
      </c>
      <c r="G63" s="15">
        <v>1</v>
      </c>
      <c r="H63" s="6" t="s">
        <v>399</v>
      </c>
      <c r="I63" s="6" t="s">
        <v>416</v>
      </c>
      <c r="J63" s="4"/>
      <c r="K63" s="4"/>
      <c r="L63" s="4" t="s">
        <v>404</v>
      </c>
    </row>
    <row r="64" ht="48" customHeight="1" spans="1:12">
      <c r="B64" s="16">
        <v>46209</v>
      </c>
      <c r="C64" s="16">
        <v>46215</v>
      </c>
      <c r="D64" s="6" t="s">
        <v>415</v>
      </c>
      <c r="E64" s="6">
        <v>25</v>
      </c>
      <c r="F64" s="40">
        <v>40</v>
      </c>
      <c r="G64" s="15">
        <v>1</v>
      </c>
      <c r="H64" s="6" t="s">
        <v>399</v>
      </c>
      <c r="I64" s="6" t="s">
        <v>433</v>
      </c>
      <c r="J64" s="4"/>
      <c r="K64" s="4"/>
      <c r="L64" s="4" t="s">
        <v>404</v>
      </c>
    </row>
    <row r="65" ht="48" customHeight="1" spans="2:12">
      <c r="B65" s="16">
        <v>46216</v>
      </c>
      <c r="C65" s="16">
        <v>46222</v>
      </c>
      <c r="D65" s="6" t="s">
        <v>415</v>
      </c>
      <c r="E65" s="6">
        <v>25</v>
      </c>
      <c r="F65" s="40">
        <v>40</v>
      </c>
      <c r="G65" s="15">
        <v>1</v>
      </c>
      <c r="H65" s="6" t="s">
        <v>399</v>
      </c>
      <c r="I65" s="6" t="s">
        <v>433</v>
      </c>
      <c r="J65" s="4"/>
      <c r="K65" s="4"/>
      <c r="L65" s="4" t="s">
        <v>404</v>
      </c>
    </row>
    <row r="66" ht="48" customHeight="1" spans="2:12">
      <c r="B66" s="16">
        <v>46223</v>
      </c>
      <c r="C66" s="16">
        <v>46229</v>
      </c>
      <c r="D66" s="6" t="s">
        <v>415</v>
      </c>
      <c r="E66" s="6">
        <v>33</v>
      </c>
      <c r="F66" s="40">
        <v>40</v>
      </c>
      <c r="G66" s="15">
        <v>1</v>
      </c>
      <c r="H66" s="6" t="s">
        <v>399</v>
      </c>
      <c r="I66" s="6" t="s">
        <v>434</v>
      </c>
      <c r="J66" s="4"/>
      <c r="K66" s="4"/>
      <c r="L66" s="4" t="s">
        <v>404</v>
      </c>
    </row>
    <row r="67" ht="48" customHeight="1" spans="2:12">
      <c r="B67" s="16">
        <v>46230</v>
      </c>
      <c r="C67" s="16">
        <v>46236</v>
      </c>
      <c r="D67" s="6" t="s">
        <v>415</v>
      </c>
      <c r="E67" s="6">
        <v>24</v>
      </c>
      <c r="F67" s="40">
        <v>40</v>
      </c>
      <c r="G67" s="15">
        <v>1</v>
      </c>
      <c r="H67" s="6" t="s">
        <v>399</v>
      </c>
      <c r="I67" s="6" t="s">
        <v>419</v>
      </c>
      <c r="J67" s="4"/>
      <c r="K67" s="4"/>
      <c r="L67" s="4" t="s">
        <v>404</v>
      </c>
    </row>
    <row r="68" ht="48" customHeight="1" spans="2:12">
      <c r="B68" s="16">
        <v>46237</v>
      </c>
      <c r="C68" s="16">
        <v>46243</v>
      </c>
      <c r="D68" s="6" t="s">
        <v>415</v>
      </c>
      <c r="E68" s="6">
        <v>27</v>
      </c>
      <c r="F68" s="40">
        <v>40</v>
      </c>
      <c r="G68" s="15">
        <v>1</v>
      </c>
      <c r="H68" s="6" t="s">
        <v>399</v>
      </c>
      <c r="I68" s="6" t="s">
        <v>420</v>
      </c>
      <c r="J68" s="4"/>
      <c r="K68" s="4"/>
      <c r="L68" s="4" t="s">
        <v>404</v>
      </c>
    </row>
    <row r="69" ht="48" customHeight="1" spans="2:12">
      <c r="B69" s="16">
        <v>46244</v>
      </c>
      <c r="C69" s="16">
        <v>46250</v>
      </c>
      <c r="D69" s="6" t="s">
        <v>415</v>
      </c>
      <c r="E69" s="6">
        <v>26</v>
      </c>
      <c r="F69" s="40">
        <v>40</v>
      </c>
      <c r="G69" s="15">
        <v>1</v>
      </c>
      <c r="H69" s="6" t="s">
        <v>399</v>
      </c>
      <c r="I69" s="6" t="s">
        <v>421</v>
      </c>
      <c r="J69" s="4"/>
      <c r="K69" s="4"/>
      <c r="L69" s="4" t="s">
        <v>404</v>
      </c>
    </row>
    <row r="70" ht="48" customHeight="1" spans="2:12">
      <c r="B70" s="16">
        <v>46251</v>
      </c>
      <c r="C70" s="16">
        <v>46257</v>
      </c>
      <c r="D70" s="6" t="s">
        <v>415</v>
      </c>
      <c r="E70" s="6">
        <v>26</v>
      </c>
      <c r="F70" s="40">
        <v>40</v>
      </c>
      <c r="G70" s="15">
        <v>1</v>
      </c>
      <c r="H70" s="6" t="s">
        <v>399</v>
      </c>
      <c r="I70" s="6" t="s">
        <v>421</v>
      </c>
      <c r="J70" s="4"/>
      <c r="K70" s="4"/>
      <c r="L70" s="4" t="s">
        <v>404</v>
      </c>
    </row>
    <row r="71" ht="48" customHeight="1" spans="2:12">
      <c r="B71" s="16">
        <v>46258</v>
      </c>
      <c r="C71" s="16">
        <v>46264</v>
      </c>
      <c r="D71" s="6" t="s">
        <v>415</v>
      </c>
      <c r="E71" s="6">
        <v>23</v>
      </c>
      <c r="F71" s="40">
        <v>40</v>
      </c>
      <c r="G71" s="15">
        <v>1</v>
      </c>
      <c r="H71" s="6" t="s">
        <v>399</v>
      </c>
      <c r="I71" s="6" t="s">
        <v>422</v>
      </c>
      <c r="J71" s="4"/>
      <c r="K71" s="4"/>
      <c r="L71" s="4" t="s">
        <v>404</v>
      </c>
    </row>
    <row r="72" ht="48" customHeight="1" spans="2:12">
      <c r="B72" s="16">
        <v>46265</v>
      </c>
      <c r="C72" s="16">
        <v>46271</v>
      </c>
      <c r="D72" s="6" t="s">
        <v>415</v>
      </c>
      <c r="E72" s="6">
        <v>5</v>
      </c>
      <c r="F72" s="40">
        <v>40</v>
      </c>
      <c r="G72" s="15">
        <v>1</v>
      </c>
      <c r="H72" s="6" t="s">
        <v>399</v>
      </c>
      <c r="I72" s="6" t="s">
        <v>423</v>
      </c>
      <c r="J72" s="4"/>
      <c r="K72" s="4"/>
      <c r="L72" s="4" t="s">
        <v>404</v>
      </c>
    </row>
    <row r="73" ht="48" customHeight="1" spans="2:12">
      <c r="B73" s="16">
        <v>46272</v>
      </c>
      <c r="C73" s="16">
        <v>46278</v>
      </c>
      <c r="D73" s="6" t="s">
        <v>415</v>
      </c>
      <c r="E73" s="6">
        <v>12</v>
      </c>
      <c r="F73" s="40">
        <v>40</v>
      </c>
      <c r="G73" s="15">
        <v>1</v>
      </c>
      <c r="H73" s="6" t="s">
        <v>399</v>
      </c>
      <c r="I73" s="6" t="s">
        <v>424</v>
      </c>
      <c r="J73" s="4"/>
      <c r="K73" s="4"/>
      <c r="L73" s="4" t="s">
        <v>404</v>
      </c>
    </row>
    <row r="74" ht="48" customHeight="1" spans="2:12">
      <c r="B74" s="16">
        <v>46279</v>
      </c>
      <c r="C74" s="16">
        <v>46285</v>
      </c>
      <c r="D74" s="6" t="s">
        <v>415</v>
      </c>
      <c r="E74" s="6">
        <v>12</v>
      </c>
      <c r="F74" s="40">
        <v>40</v>
      </c>
      <c r="G74" s="15">
        <v>1</v>
      </c>
      <c r="H74" s="6" t="s">
        <v>399</v>
      </c>
      <c r="I74" s="6" t="s">
        <v>424</v>
      </c>
      <c r="J74" s="4"/>
      <c r="K74" s="4"/>
      <c r="L74" s="4" t="s">
        <v>404</v>
      </c>
    </row>
    <row r="75" ht="48" customHeight="1" spans="2:12">
      <c r="B75" s="16">
        <v>46286</v>
      </c>
      <c r="C75" s="16">
        <v>46292</v>
      </c>
      <c r="D75" s="6" t="s">
        <v>415</v>
      </c>
      <c r="E75" s="6">
        <v>12</v>
      </c>
      <c r="F75" s="40">
        <v>40</v>
      </c>
      <c r="G75" s="15">
        <v>1</v>
      </c>
      <c r="H75" s="6" t="s">
        <v>399</v>
      </c>
      <c r="I75" s="6" t="s">
        <v>424</v>
      </c>
      <c r="J75" s="4"/>
      <c r="K75" s="4"/>
      <c r="L75" s="4" t="s">
        <v>404</v>
      </c>
    </row>
    <row r="76" ht="48" customHeight="1" spans="2:12">
      <c r="B76" s="16">
        <v>46293</v>
      </c>
      <c r="C76" s="16">
        <v>46299</v>
      </c>
      <c r="D76" s="6" t="s">
        <v>415</v>
      </c>
      <c r="E76" s="6">
        <v>12</v>
      </c>
      <c r="F76" s="40">
        <v>40</v>
      </c>
      <c r="G76" s="15">
        <v>1</v>
      </c>
      <c r="H76" s="6" t="s">
        <v>399</v>
      </c>
      <c r="I76" s="6" t="s">
        <v>424</v>
      </c>
      <c r="J76" s="4"/>
      <c r="K76" s="4"/>
      <c r="L76" s="4" t="s">
        <v>404</v>
      </c>
    </row>
    <row r="77" ht="48" customHeight="1" spans="2:12">
      <c r="B77" s="16">
        <v>46300</v>
      </c>
      <c r="C77" s="16">
        <v>46306</v>
      </c>
      <c r="D77" s="6" t="s">
        <v>415</v>
      </c>
      <c r="E77" s="6">
        <v>12</v>
      </c>
      <c r="F77" s="40">
        <v>40</v>
      </c>
      <c r="G77" s="15">
        <v>1</v>
      </c>
      <c r="H77" s="6" t="s">
        <v>399</v>
      </c>
      <c r="I77" s="6" t="s">
        <v>424</v>
      </c>
      <c r="J77" s="4"/>
      <c r="K77" s="4"/>
      <c r="L77" s="4" t="s">
        <v>404</v>
      </c>
    </row>
    <row r="78" ht="48" customHeight="1" spans="2:12">
      <c r="B78" s="16">
        <v>46307</v>
      </c>
      <c r="C78" s="16">
        <v>46313</v>
      </c>
      <c r="D78" s="6" t="s">
        <v>415</v>
      </c>
      <c r="E78" s="6">
        <v>51</v>
      </c>
      <c r="F78" s="40">
        <v>40</v>
      </c>
      <c r="G78" s="15">
        <v>1</v>
      </c>
      <c r="H78" s="6" t="s">
        <v>399</v>
      </c>
      <c r="I78" s="6" t="s">
        <v>425</v>
      </c>
      <c r="J78" s="4"/>
      <c r="K78" s="4"/>
      <c r="L78" s="4" t="s">
        <v>404</v>
      </c>
    </row>
    <row r="79" ht="48" customHeight="1" spans="2:12">
      <c r="B79" s="16">
        <v>46314</v>
      </c>
      <c r="C79" s="16">
        <v>46320</v>
      </c>
      <c r="D79" s="6" t="s">
        <v>415</v>
      </c>
      <c r="E79" s="6">
        <v>51</v>
      </c>
      <c r="F79" s="40">
        <v>40</v>
      </c>
      <c r="G79" s="15">
        <v>1</v>
      </c>
      <c r="H79" s="6" t="s">
        <v>399</v>
      </c>
      <c r="I79" s="6" t="s">
        <v>425</v>
      </c>
      <c r="J79" s="4"/>
      <c r="K79" s="4"/>
      <c r="L79" s="4" t="s">
        <v>404</v>
      </c>
    </row>
    <row r="80" ht="48" customHeight="1" spans="2:12">
      <c r="B80" s="16">
        <v>46321</v>
      </c>
      <c r="C80" s="16">
        <v>46327</v>
      </c>
      <c r="D80" s="6" t="s">
        <v>415</v>
      </c>
      <c r="E80" s="6">
        <v>51</v>
      </c>
      <c r="F80" s="40">
        <v>40</v>
      </c>
      <c r="G80" s="15">
        <v>1</v>
      </c>
      <c r="H80" s="6" t="s">
        <v>399</v>
      </c>
      <c r="I80" s="6" t="s">
        <v>425</v>
      </c>
      <c r="J80" s="4"/>
      <c r="K80" s="4"/>
      <c r="L80" s="4" t="s">
        <v>404</v>
      </c>
    </row>
    <row r="81" ht="48" customHeight="1" spans="1:12">
      <c r="B81" s="16">
        <v>46328</v>
      </c>
      <c r="C81" s="16">
        <v>46334</v>
      </c>
      <c r="D81" s="6" t="s">
        <v>415</v>
      </c>
      <c r="E81" s="6">
        <v>51</v>
      </c>
      <c r="F81" s="40">
        <v>40</v>
      </c>
      <c r="G81" s="15">
        <v>1</v>
      </c>
      <c r="H81" s="6" t="s">
        <v>399</v>
      </c>
      <c r="I81" s="6" t="s">
        <v>425</v>
      </c>
      <c r="J81" s="4"/>
      <c r="K81" s="4"/>
      <c r="L81" s="4" t="s">
        <v>404</v>
      </c>
    </row>
    <row r="82" ht="48" customHeight="1" spans="1:12">
      <c r="B82" s="16">
        <v>46335</v>
      </c>
      <c r="C82" s="16">
        <v>46341</v>
      </c>
      <c r="D82" s="6" t="s">
        <v>415</v>
      </c>
      <c r="E82" s="6">
        <v>51</v>
      </c>
      <c r="F82" s="40">
        <v>40</v>
      </c>
      <c r="G82" s="15">
        <v>1</v>
      </c>
      <c r="H82" s="6" t="s">
        <v>399</v>
      </c>
      <c r="I82" s="6" t="s">
        <v>425</v>
      </c>
      <c r="J82" s="4"/>
      <c r="K82" s="4"/>
      <c r="L82" s="4" t="s">
        <v>404</v>
      </c>
    </row>
    <row r="83" ht="20" customHeight="1" spans="1:12">
      <c r="B83" s="16">
        <v>46342</v>
      </c>
      <c r="C83" s="16">
        <v>46348</v>
      </c>
      <c r="D83" s="6" t="s">
        <v>426</v>
      </c>
      <c r="E83" s="6">
        <v>0</v>
      </c>
      <c r="F83" s="40">
        <v>0</v>
      </c>
      <c r="G83" s="15">
        <v>0</v>
      </c>
      <c r="H83" s="6" t="s">
        <v>427</v>
      </c>
      <c r="I83" s="6" t="s">
        <v>428</v>
      </c>
      <c r="J83" s="4"/>
      <c r="K83" s="4"/>
      <c r="L83" s="4" t="s">
        <v>404</v>
      </c>
    </row>
    <row r="84" ht="20" customHeight="1" spans="1:12">
      <c r="A84" s="4"/>
      <c r="B84" s="16">
        <v>46349</v>
      </c>
      <c r="C84" s="16">
        <v>46355</v>
      </c>
      <c r="D84" s="6" t="s">
        <v>426</v>
      </c>
      <c r="E84" s="6">
        <v>0</v>
      </c>
      <c r="F84" s="40">
        <v>0</v>
      </c>
      <c r="G84" s="15">
        <v>0</v>
      </c>
      <c r="H84" s="6" t="s">
        <v>427</v>
      </c>
      <c r="I84" s="6" t="s">
        <v>428</v>
      </c>
      <c r="J84" s="4"/>
      <c r="K84" s="4"/>
      <c r="L84" s="4" t="s">
        <v>404</v>
      </c>
    </row>
    <row r="85" ht="20" customHeight="1" spans="1:12">
      <c r="A85" s="42" t="s">
        <v>68</v>
      </c>
      <c r="B85" s="16">
        <v>46195</v>
      </c>
      <c r="C85" s="16">
        <v>46201</v>
      </c>
      <c r="D85" s="6" t="s">
        <v>426</v>
      </c>
      <c r="E85" s="6">
        <v>0</v>
      </c>
      <c r="F85" s="40">
        <v>0</v>
      </c>
      <c r="G85" s="15">
        <v>0</v>
      </c>
      <c r="H85" s="6" t="s">
        <v>427</v>
      </c>
      <c r="I85" s="6" t="s">
        <v>428</v>
      </c>
      <c r="J85" s="4"/>
      <c r="K85" s="4"/>
      <c r="L85" s="4" t="s">
        <v>68</v>
      </c>
    </row>
    <row r="86" ht="48" customHeight="1" spans="1:12">
      <c r="B86" s="16">
        <v>46202</v>
      </c>
      <c r="C86" s="16">
        <v>46208</v>
      </c>
      <c r="D86" s="6" t="s">
        <v>415</v>
      </c>
      <c r="E86" s="6">
        <v>3</v>
      </c>
      <c r="F86" s="40">
        <v>40</v>
      </c>
      <c r="G86" s="15">
        <v>1</v>
      </c>
      <c r="H86" s="6" t="s">
        <v>399</v>
      </c>
      <c r="I86" s="6" t="s">
        <v>416</v>
      </c>
      <c r="J86" s="4"/>
      <c r="K86" s="4"/>
      <c r="L86" s="4" t="s">
        <v>68</v>
      </c>
    </row>
    <row r="87" ht="48" customHeight="1" spans="1:12">
      <c r="B87" s="16">
        <v>46209</v>
      </c>
      <c r="C87" s="16">
        <v>46215</v>
      </c>
      <c r="D87" s="6" t="s">
        <v>415</v>
      </c>
      <c r="E87" s="6">
        <v>3</v>
      </c>
      <c r="F87" s="40">
        <v>40</v>
      </c>
      <c r="G87" s="15">
        <v>1</v>
      </c>
      <c r="H87" s="6" t="s">
        <v>399</v>
      </c>
      <c r="I87" s="6" t="s">
        <v>416</v>
      </c>
      <c r="J87" s="4"/>
      <c r="K87" s="4"/>
      <c r="L87" s="4" t="s">
        <v>68</v>
      </c>
    </row>
    <row r="88" ht="48" customHeight="1" spans="1:12">
      <c r="B88" s="16">
        <v>46216</v>
      </c>
      <c r="C88" s="16">
        <v>46222</v>
      </c>
      <c r="D88" s="6" t="s">
        <v>415</v>
      </c>
      <c r="E88" s="6">
        <v>35</v>
      </c>
      <c r="F88" s="40">
        <v>40</v>
      </c>
      <c r="G88" s="15">
        <v>1</v>
      </c>
      <c r="H88" s="6" t="s">
        <v>399</v>
      </c>
      <c r="I88" s="6" t="s">
        <v>435</v>
      </c>
      <c r="J88" s="4"/>
      <c r="K88" s="4"/>
      <c r="L88" s="4" t="s">
        <v>68</v>
      </c>
    </row>
    <row r="89" ht="48" customHeight="1" spans="1:12">
      <c r="B89" s="16">
        <v>46223</v>
      </c>
      <c r="C89" s="16">
        <v>46229</v>
      </c>
      <c r="D89" s="6" t="s">
        <v>415</v>
      </c>
      <c r="E89" s="6">
        <v>35</v>
      </c>
      <c r="F89" s="40">
        <v>40</v>
      </c>
      <c r="G89" s="15">
        <v>1</v>
      </c>
      <c r="H89" s="6" t="s">
        <v>399</v>
      </c>
      <c r="I89" s="6" t="s">
        <v>435</v>
      </c>
      <c r="J89" s="4"/>
      <c r="K89" s="4"/>
      <c r="L89" s="4" t="s">
        <v>68</v>
      </c>
    </row>
    <row r="90" ht="48" customHeight="1" spans="1:12">
      <c r="B90" s="16">
        <v>46230</v>
      </c>
      <c r="C90" s="16">
        <v>46236</v>
      </c>
      <c r="D90" s="6" t="s">
        <v>415</v>
      </c>
      <c r="E90" s="6">
        <v>35</v>
      </c>
      <c r="F90" s="40">
        <v>40</v>
      </c>
      <c r="G90" s="15">
        <v>1</v>
      </c>
      <c r="H90" s="6" t="s">
        <v>399</v>
      </c>
      <c r="I90" s="6" t="s">
        <v>435</v>
      </c>
      <c r="J90" s="4"/>
      <c r="K90" s="4"/>
      <c r="L90" s="4" t="s">
        <v>68</v>
      </c>
    </row>
    <row r="91" ht="20" customHeight="1" spans="1:12">
      <c r="B91" s="16">
        <v>46237</v>
      </c>
      <c r="C91" s="16">
        <v>46243</v>
      </c>
      <c r="D91" s="6" t="s">
        <v>426</v>
      </c>
      <c r="E91" s="6">
        <v>0</v>
      </c>
      <c r="F91" s="40">
        <v>0</v>
      </c>
      <c r="G91" s="15">
        <v>0</v>
      </c>
      <c r="H91" s="6" t="s">
        <v>427</v>
      </c>
      <c r="I91" s="6" t="s">
        <v>428</v>
      </c>
      <c r="J91" s="4"/>
      <c r="K91" s="4"/>
      <c r="L91" s="4" t="s">
        <v>68</v>
      </c>
    </row>
    <row r="92" ht="20" customHeight="1" spans="1:12">
      <c r="B92" s="16">
        <v>46244</v>
      </c>
      <c r="C92" s="16">
        <v>46250</v>
      </c>
      <c r="D92" s="6" t="s">
        <v>426</v>
      </c>
      <c r="E92" s="6">
        <v>0</v>
      </c>
      <c r="F92" s="40">
        <v>0</v>
      </c>
      <c r="G92" s="15">
        <v>0</v>
      </c>
      <c r="H92" s="6" t="s">
        <v>427</v>
      </c>
      <c r="I92" s="6" t="s">
        <v>428</v>
      </c>
      <c r="J92" s="4"/>
      <c r="K92" s="4"/>
      <c r="L92" s="4" t="s">
        <v>68</v>
      </c>
    </row>
    <row r="93" ht="48" customHeight="1" spans="1:12">
      <c r="B93" s="16">
        <v>46251</v>
      </c>
      <c r="C93" s="16">
        <v>46257</v>
      </c>
      <c r="D93" s="6" t="s">
        <v>415</v>
      </c>
      <c r="E93" s="6">
        <v>27</v>
      </c>
      <c r="F93" s="40">
        <v>40</v>
      </c>
      <c r="G93" s="15">
        <v>1</v>
      </c>
      <c r="H93" s="6" t="s">
        <v>399</v>
      </c>
      <c r="I93" s="6" t="s">
        <v>436</v>
      </c>
      <c r="J93" s="4"/>
      <c r="K93" s="4"/>
      <c r="L93" s="4" t="s">
        <v>68</v>
      </c>
    </row>
    <row r="94" ht="48" customHeight="1" spans="1:12">
      <c r="B94" s="16">
        <v>46258</v>
      </c>
      <c r="C94" s="16">
        <v>46264</v>
      </c>
      <c r="D94" s="6" t="s">
        <v>415</v>
      </c>
      <c r="E94" s="6">
        <v>27</v>
      </c>
      <c r="F94" s="40">
        <v>40</v>
      </c>
      <c r="G94" s="15">
        <v>1</v>
      </c>
      <c r="H94" s="6" t="s">
        <v>399</v>
      </c>
      <c r="I94" s="6" t="s">
        <v>436</v>
      </c>
      <c r="J94" s="4"/>
      <c r="K94" s="4"/>
      <c r="L94" s="4" t="s">
        <v>68</v>
      </c>
    </row>
    <row r="95" ht="48" customHeight="1" spans="1:12">
      <c r="B95" s="16">
        <v>46265</v>
      </c>
      <c r="C95" s="16">
        <v>46271</v>
      </c>
      <c r="D95" s="6" t="s">
        <v>415</v>
      </c>
      <c r="E95" s="6">
        <v>27</v>
      </c>
      <c r="F95" s="40">
        <v>40</v>
      </c>
      <c r="G95" s="15">
        <v>1</v>
      </c>
      <c r="H95" s="6" t="s">
        <v>399</v>
      </c>
      <c r="I95" s="6" t="s">
        <v>436</v>
      </c>
      <c r="J95" s="4"/>
      <c r="K95" s="4"/>
      <c r="L95" s="4" t="s">
        <v>68</v>
      </c>
    </row>
    <row r="96" ht="48" customHeight="1" spans="1:12">
      <c r="B96" s="16">
        <v>46272</v>
      </c>
      <c r="C96" s="16">
        <v>46278</v>
      </c>
      <c r="D96" s="6" t="s">
        <v>415</v>
      </c>
      <c r="E96" s="6">
        <v>5</v>
      </c>
      <c r="F96" s="40">
        <v>40</v>
      </c>
      <c r="G96" s="15">
        <v>1</v>
      </c>
      <c r="H96" s="6" t="s">
        <v>399</v>
      </c>
      <c r="I96" s="6" t="s">
        <v>423</v>
      </c>
      <c r="J96" s="4"/>
      <c r="K96" s="4"/>
      <c r="L96" s="4" t="s">
        <v>68</v>
      </c>
    </row>
    <row r="97" ht="20" customHeight="1" spans="1:12">
      <c r="B97" s="16">
        <v>46279</v>
      </c>
      <c r="C97" s="16">
        <v>46285</v>
      </c>
      <c r="D97" s="6" t="s">
        <v>426</v>
      </c>
      <c r="E97" s="6">
        <v>0</v>
      </c>
      <c r="F97" s="40">
        <v>0</v>
      </c>
      <c r="G97" s="15">
        <v>0</v>
      </c>
      <c r="H97" s="6" t="s">
        <v>427</v>
      </c>
      <c r="I97" s="6" t="s">
        <v>428</v>
      </c>
      <c r="J97" s="4"/>
      <c r="K97" s="4"/>
      <c r="L97" s="4" t="s">
        <v>68</v>
      </c>
    </row>
    <row r="98" ht="20" customHeight="1" spans="1:12">
      <c r="B98" s="16">
        <v>46286</v>
      </c>
      <c r="C98" s="16">
        <v>46292</v>
      </c>
      <c r="D98" s="6" t="s">
        <v>426</v>
      </c>
      <c r="E98" s="6">
        <v>0</v>
      </c>
      <c r="F98" s="40">
        <v>0</v>
      </c>
      <c r="G98" s="15">
        <v>0</v>
      </c>
      <c r="H98" s="6" t="s">
        <v>427</v>
      </c>
      <c r="I98" s="6" t="s">
        <v>428</v>
      </c>
      <c r="J98" s="4"/>
      <c r="K98" s="4"/>
      <c r="L98" s="4" t="s">
        <v>68</v>
      </c>
    </row>
    <row r="99" ht="20" customHeight="1" spans="1:12">
      <c r="B99" s="16">
        <v>46293</v>
      </c>
      <c r="C99" s="16">
        <v>46299</v>
      </c>
      <c r="D99" s="6" t="s">
        <v>426</v>
      </c>
      <c r="E99" s="6">
        <v>0</v>
      </c>
      <c r="F99" s="40">
        <v>0</v>
      </c>
      <c r="G99" s="15">
        <v>0</v>
      </c>
      <c r="H99" s="6" t="s">
        <v>427</v>
      </c>
      <c r="I99" s="6" t="s">
        <v>428</v>
      </c>
      <c r="J99" s="4"/>
      <c r="K99" s="4"/>
      <c r="L99" s="4" t="s">
        <v>68</v>
      </c>
    </row>
    <row r="100" ht="20" customHeight="1" spans="1:12">
      <c r="B100" s="16">
        <v>46300</v>
      </c>
      <c r="C100" s="16">
        <v>46306</v>
      </c>
      <c r="D100" s="6" t="s">
        <v>426</v>
      </c>
      <c r="E100" s="6">
        <v>0</v>
      </c>
      <c r="F100" s="40">
        <v>0</v>
      </c>
      <c r="G100" s="15">
        <v>0</v>
      </c>
      <c r="H100" s="6" t="s">
        <v>427</v>
      </c>
      <c r="I100" s="6" t="s">
        <v>428</v>
      </c>
      <c r="J100" s="4"/>
      <c r="K100" s="4"/>
      <c r="L100" s="4" t="s">
        <v>68</v>
      </c>
    </row>
    <row r="101" ht="48" customHeight="1" spans="1:12">
      <c r="B101" s="16">
        <v>46307</v>
      </c>
      <c r="C101" s="16">
        <v>46313</v>
      </c>
      <c r="D101" s="6" t="s">
        <v>415</v>
      </c>
      <c r="E101" s="6">
        <v>16</v>
      </c>
      <c r="F101" s="40">
        <v>40</v>
      </c>
      <c r="G101" s="15">
        <v>1</v>
      </c>
      <c r="H101" s="6" t="s">
        <v>399</v>
      </c>
      <c r="I101" s="6" t="s">
        <v>437</v>
      </c>
      <c r="J101" s="4"/>
      <c r="K101" s="4"/>
      <c r="L101" s="4" t="s">
        <v>68</v>
      </c>
    </row>
    <row r="102" ht="48" customHeight="1" spans="1:12">
      <c r="B102" s="16">
        <v>46314</v>
      </c>
      <c r="C102" s="16">
        <v>46320</v>
      </c>
      <c r="D102" s="6" t="s">
        <v>415</v>
      </c>
      <c r="E102" s="6">
        <v>16</v>
      </c>
      <c r="F102" s="40">
        <v>40</v>
      </c>
      <c r="G102" s="15">
        <v>1</v>
      </c>
      <c r="H102" s="6" t="s">
        <v>399</v>
      </c>
      <c r="I102" s="6" t="s">
        <v>437</v>
      </c>
      <c r="J102" s="4"/>
      <c r="K102" s="4"/>
      <c r="L102" s="4" t="s">
        <v>68</v>
      </c>
    </row>
    <row r="103" ht="20" customHeight="1" spans="1:12">
      <c r="B103" s="16">
        <v>46321</v>
      </c>
      <c r="C103" s="16">
        <v>46327</v>
      </c>
      <c r="D103" s="6" t="s">
        <v>426</v>
      </c>
      <c r="E103" s="6">
        <v>0</v>
      </c>
      <c r="F103" s="40">
        <v>0</v>
      </c>
      <c r="G103" s="15">
        <v>0</v>
      </c>
      <c r="H103" s="6" t="s">
        <v>427</v>
      </c>
      <c r="I103" s="6" t="s">
        <v>428</v>
      </c>
      <c r="J103" s="4"/>
      <c r="K103" s="4"/>
      <c r="L103" s="4" t="s">
        <v>68</v>
      </c>
    </row>
    <row r="104" ht="20" customHeight="1" spans="1:12">
      <c r="B104" s="16">
        <v>46328</v>
      </c>
      <c r="C104" s="16">
        <v>46334</v>
      </c>
      <c r="D104" s="6" t="s">
        <v>426</v>
      </c>
      <c r="E104" s="6">
        <v>0</v>
      </c>
      <c r="F104" s="40">
        <v>0</v>
      </c>
      <c r="G104" s="15">
        <v>0</v>
      </c>
      <c r="H104" s="6" t="s">
        <v>427</v>
      </c>
      <c r="I104" s="6" t="s">
        <v>428</v>
      </c>
      <c r="J104" s="4"/>
      <c r="K104" s="4"/>
      <c r="L104" s="4" t="s">
        <v>68</v>
      </c>
    </row>
    <row r="105" ht="20" customHeight="1" spans="1:12">
      <c r="B105" s="16">
        <v>46335</v>
      </c>
      <c r="C105" s="16">
        <v>46341</v>
      </c>
      <c r="D105" s="6" t="s">
        <v>426</v>
      </c>
      <c r="E105" s="6">
        <v>0</v>
      </c>
      <c r="F105" s="40">
        <v>0</v>
      </c>
      <c r="G105" s="15">
        <v>0</v>
      </c>
      <c r="H105" s="6" t="s">
        <v>427</v>
      </c>
      <c r="I105" s="6" t="s">
        <v>428</v>
      </c>
      <c r="J105" s="4"/>
      <c r="K105" s="4"/>
      <c r="L105" s="4" t="s">
        <v>68</v>
      </c>
    </row>
    <row r="106" ht="48" customHeight="1" spans="1:12">
      <c r="B106" s="16">
        <v>46342</v>
      </c>
      <c r="C106" s="16">
        <v>46348</v>
      </c>
      <c r="D106" s="6" t="s">
        <v>415</v>
      </c>
      <c r="E106" s="6">
        <v>53</v>
      </c>
      <c r="F106" s="40">
        <v>40</v>
      </c>
      <c r="G106" s="15">
        <v>1</v>
      </c>
      <c r="H106" s="6" t="s">
        <v>399</v>
      </c>
      <c r="I106" s="6" t="s">
        <v>438</v>
      </c>
      <c r="J106" s="4"/>
      <c r="K106" s="4"/>
      <c r="L106" s="4" t="s">
        <v>68</v>
      </c>
    </row>
    <row r="107" ht="48" customHeight="1" spans="1:12">
      <c r="A107" s="4"/>
      <c r="B107" s="16">
        <v>46349</v>
      </c>
      <c r="C107" s="16">
        <v>46355</v>
      </c>
      <c r="D107" s="6" t="s">
        <v>415</v>
      </c>
      <c r="E107" s="6">
        <v>53</v>
      </c>
      <c r="F107" s="40">
        <v>40</v>
      </c>
      <c r="G107" s="15">
        <v>1</v>
      </c>
      <c r="H107" s="6" t="s">
        <v>399</v>
      </c>
      <c r="I107" s="6" t="s">
        <v>438</v>
      </c>
      <c r="J107" s="4"/>
      <c r="K107" s="4"/>
      <c r="L107" s="4" t="s">
        <v>68</v>
      </c>
    </row>
    <row r="108" ht="48" customHeight="1" spans="1:12">
      <c r="A108" s="42" t="s">
        <v>67</v>
      </c>
      <c r="B108" s="16">
        <v>46195</v>
      </c>
      <c r="C108" s="16">
        <v>46201</v>
      </c>
      <c r="D108" s="6" t="s">
        <v>415</v>
      </c>
      <c r="E108" s="6">
        <v>3</v>
      </c>
      <c r="F108" s="40">
        <v>40</v>
      </c>
      <c r="G108" s="15">
        <v>1</v>
      </c>
      <c r="H108" s="6" t="s">
        <v>399</v>
      </c>
      <c r="I108" s="6" t="s">
        <v>416</v>
      </c>
      <c r="J108" s="4"/>
      <c r="K108" s="4"/>
      <c r="L108" s="4" t="s">
        <v>67</v>
      </c>
    </row>
    <row r="109" ht="48" customHeight="1" spans="1:12">
      <c r="B109" s="16">
        <v>46202</v>
      </c>
      <c r="C109" s="16">
        <v>46208</v>
      </c>
      <c r="D109" s="6" t="s">
        <v>415</v>
      </c>
      <c r="E109" s="6">
        <v>3</v>
      </c>
      <c r="F109" s="40">
        <v>40</v>
      </c>
      <c r="G109" s="15">
        <v>1</v>
      </c>
      <c r="H109" s="6" t="s">
        <v>399</v>
      </c>
      <c r="I109" s="6" t="s">
        <v>416</v>
      </c>
      <c r="J109" s="4"/>
      <c r="K109" s="4"/>
      <c r="L109" s="4" t="s">
        <v>67</v>
      </c>
    </row>
    <row r="110" ht="48" customHeight="1" spans="1:12">
      <c r="B110" s="16">
        <v>46209</v>
      </c>
      <c r="C110" s="16">
        <v>46215</v>
      </c>
      <c r="D110" s="6" t="s">
        <v>415</v>
      </c>
      <c r="E110" s="6">
        <v>25</v>
      </c>
      <c r="F110" s="40">
        <v>40</v>
      </c>
      <c r="G110" s="15">
        <v>1</v>
      </c>
      <c r="H110" s="6" t="s">
        <v>399</v>
      </c>
      <c r="I110" s="6" t="s">
        <v>433</v>
      </c>
      <c r="J110" s="4"/>
      <c r="K110" s="4"/>
      <c r="L110" s="4" t="s">
        <v>67</v>
      </c>
    </row>
    <row r="111" ht="48" customHeight="1" spans="1:12">
      <c r="B111" s="16">
        <v>46216</v>
      </c>
      <c r="C111" s="16">
        <v>46222</v>
      </c>
      <c r="D111" s="6" t="s">
        <v>415</v>
      </c>
      <c r="E111" s="6">
        <v>25</v>
      </c>
      <c r="F111" s="40">
        <v>40</v>
      </c>
      <c r="G111" s="15">
        <v>1</v>
      </c>
      <c r="H111" s="6" t="s">
        <v>399</v>
      </c>
      <c r="I111" s="6" t="s">
        <v>433</v>
      </c>
      <c r="J111" s="4"/>
      <c r="K111" s="4"/>
      <c r="L111" s="4" t="s">
        <v>67</v>
      </c>
    </row>
    <row r="112" ht="48" customHeight="1" spans="1:12">
      <c r="B112" s="16">
        <v>46223</v>
      </c>
      <c r="C112" s="16">
        <v>46229</v>
      </c>
      <c r="D112" s="6" t="s">
        <v>415</v>
      </c>
      <c r="E112" s="6">
        <v>33</v>
      </c>
      <c r="F112" s="40">
        <v>40</v>
      </c>
      <c r="G112" s="15">
        <v>1</v>
      </c>
      <c r="H112" s="6" t="s">
        <v>399</v>
      </c>
      <c r="I112" s="6" t="s">
        <v>434</v>
      </c>
      <c r="J112" s="4"/>
      <c r="K112" s="4"/>
      <c r="L112" s="4" t="s">
        <v>67</v>
      </c>
    </row>
    <row r="113" ht="48" customHeight="1" spans="2:12">
      <c r="B113" s="16">
        <v>46230</v>
      </c>
      <c r="C113" s="16">
        <v>46236</v>
      </c>
      <c r="D113" s="6" t="s">
        <v>415</v>
      </c>
      <c r="E113" s="6">
        <v>24</v>
      </c>
      <c r="F113" s="40">
        <v>40</v>
      </c>
      <c r="G113" s="15">
        <v>1</v>
      </c>
      <c r="H113" s="6" t="s">
        <v>399</v>
      </c>
      <c r="I113" s="6" t="s">
        <v>419</v>
      </c>
      <c r="J113" s="4"/>
      <c r="K113" s="4"/>
      <c r="L113" s="4" t="s">
        <v>67</v>
      </c>
    </row>
    <row r="114" ht="48" customHeight="1" spans="2:12">
      <c r="B114" s="16">
        <v>46237</v>
      </c>
      <c r="C114" s="16">
        <v>46243</v>
      </c>
      <c r="D114" s="6" t="s">
        <v>415</v>
      </c>
      <c r="E114" s="6">
        <v>27</v>
      </c>
      <c r="F114" s="40">
        <v>40</v>
      </c>
      <c r="G114" s="15">
        <v>1</v>
      </c>
      <c r="H114" s="6" t="s">
        <v>399</v>
      </c>
      <c r="I114" s="6" t="s">
        <v>420</v>
      </c>
      <c r="J114" s="4"/>
      <c r="K114" s="4"/>
      <c r="L114" s="4" t="s">
        <v>67</v>
      </c>
    </row>
    <row r="115" ht="48" customHeight="1" spans="2:12">
      <c r="B115" s="16">
        <v>46244</v>
      </c>
      <c r="C115" s="16">
        <v>46250</v>
      </c>
      <c r="D115" s="6" t="s">
        <v>415</v>
      </c>
      <c r="E115" s="6">
        <v>26</v>
      </c>
      <c r="F115" s="40">
        <v>40</v>
      </c>
      <c r="G115" s="15">
        <v>1</v>
      </c>
      <c r="H115" s="6" t="s">
        <v>399</v>
      </c>
      <c r="I115" s="6" t="s">
        <v>421</v>
      </c>
      <c r="J115" s="4"/>
      <c r="K115" s="4"/>
      <c r="L115" s="4" t="s">
        <v>67</v>
      </c>
    </row>
    <row r="116" ht="48" customHeight="1" spans="2:12">
      <c r="B116" s="16">
        <v>46251</v>
      </c>
      <c r="C116" s="16">
        <v>46257</v>
      </c>
      <c r="D116" s="6" t="s">
        <v>415</v>
      </c>
      <c r="E116" s="6">
        <v>26</v>
      </c>
      <c r="F116" s="40">
        <v>40</v>
      </c>
      <c r="G116" s="15">
        <v>1</v>
      </c>
      <c r="H116" s="6" t="s">
        <v>399</v>
      </c>
      <c r="I116" s="6" t="s">
        <v>421</v>
      </c>
      <c r="J116" s="4"/>
      <c r="K116" s="4"/>
      <c r="L116" s="4" t="s">
        <v>67</v>
      </c>
    </row>
    <row r="117" ht="48" customHeight="1" spans="2:12">
      <c r="B117" s="16">
        <v>46258</v>
      </c>
      <c r="C117" s="16">
        <v>46264</v>
      </c>
      <c r="D117" s="6" t="s">
        <v>415</v>
      </c>
      <c r="E117" s="6">
        <v>23</v>
      </c>
      <c r="F117" s="40">
        <v>40</v>
      </c>
      <c r="G117" s="15">
        <v>1</v>
      </c>
      <c r="H117" s="6" t="s">
        <v>399</v>
      </c>
      <c r="I117" s="6" t="s">
        <v>422</v>
      </c>
      <c r="J117" s="4"/>
      <c r="K117" s="4"/>
      <c r="L117" s="4" t="s">
        <v>67</v>
      </c>
    </row>
    <row r="118" ht="48" customHeight="1" spans="2:12">
      <c r="B118" s="16">
        <v>46265</v>
      </c>
      <c r="C118" s="16">
        <v>46271</v>
      </c>
      <c r="D118" s="6" t="s">
        <v>415</v>
      </c>
      <c r="E118" s="6">
        <v>5</v>
      </c>
      <c r="F118" s="40">
        <v>40</v>
      </c>
      <c r="G118" s="15">
        <v>1</v>
      </c>
      <c r="H118" s="6" t="s">
        <v>399</v>
      </c>
      <c r="I118" s="6" t="s">
        <v>423</v>
      </c>
      <c r="J118" s="4"/>
      <c r="K118" s="4"/>
      <c r="L118" s="4" t="s">
        <v>67</v>
      </c>
    </row>
    <row r="119" ht="48" customHeight="1" spans="2:12">
      <c r="B119" s="16">
        <v>46272</v>
      </c>
      <c r="C119" s="16">
        <v>46278</v>
      </c>
      <c r="D119" s="6" t="s">
        <v>415</v>
      </c>
      <c r="E119" s="6">
        <v>12</v>
      </c>
      <c r="F119" s="40">
        <v>40</v>
      </c>
      <c r="G119" s="15">
        <v>1</v>
      </c>
      <c r="H119" s="6" t="s">
        <v>399</v>
      </c>
      <c r="I119" s="6" t="s">
        <v>424</v>
      </c>
      <c r="J119" s="4"/>
      <c r="K119" s="4"/>
      <c r="L119" s="4" t="s">
        <v>67</v>
      </c>
    </row>
    <row r="120" ht="48" customHeight="1" spans="2:12">
      <c r="B120" s="16">
        <v>46279</v>
      </c>
      <c r="C120" s="16">
        <v>46285</v>
      </c>
      <c r="D120" s="6" t="s">
        <v>415</v>
      </c>
      <c r="E120" s="6">
        <v>12</v>
      </c>
      <c r="F120" s="40">
        <v>40</v>
      </c>
      <c r="G120" s="15">
        <v>1</v>
      </c>
      <c r="H120" s="6" t="s">
        <v>399</v>
      </c>
      <c r="I120" s="6" t="s">
        <v>424</v>
      </c>
      <c r="J120" s="4"/>
      <c r="K120" s="4"/>
      <c r="L120" s="4" t="s">
        <v>67</v>
      </c>
    </row>
    <row r="121" ht="48" customHeight="1" spans="2:12">
      <c r="B121" s="16">
        <v>46286</v>
      </c>
      <c r="C121" s="16">
        <v>46292</v>
      </c>
      <c r="D121" s="6" t="s">
        <v>415</v>
      </c>
      <c r="E121" s="6">
        <v>12</v>
      </c>
      <c r="F121" s="40">
        <v>40</v>
      </c>
      <c r="G121" s="15">
        <v>1</v>
      </c>
      <c r="H121" s="6" t="s">
        <v>399</v>
      </c>
      <c r="I121" s="6" t="s">
        <v>424</v>
      </c>
      <c r="J121" s="4"/>
      <c r="K121" s="4"/>
      <c r="L121" s="4" t="s">
        <v>67</v>
      </c>
    </row>
    <row r="122" ht="48" customHeight="1" spans="2:12">
      <c r="B122" s="16">
        <v>46293</v>
      </c>
      <c r="C122" s="16">
        <v>46299</v>
      </c>
      <c r="D122" s="6" t="s">
        <v>415</v>
      </c>
      <c r="E122" s="6">
        <v>12</v>
      </c>
      <c r="F122" s="40">
        <v>40</v>
      </c>
      <c r="G122" s="15">
        <v>1</v>
      </c>
      <c r="H122" s="6" t="s">
        <v>399</v>
      </c>
      <c r="I122" s="6" t="s">
        <v>424</v>
      </c>
      <c r="J122" s="4"/>
      <c r="K122" s="4"/>
      <c r="L122" s="4" t="s">
        <v>67</v>
      </c>
    </row>
    <row r="123" ht="48" customHeight="1" spans="2:12">
      <c r="B123" s="16">
        <v>46300</v>
      </c>
      <c r="C123" s="16">
        <v>46306</v>
      </c>
      <c r="D123" s="6" t="s">
        <v>415</v>
      </c>
      <c r="E123" s="6">
        <v>12</v>
      </c>
      <c r="F123" s="40">
        <v>40</v>
      </c>
      <c r="G123" s="15">
        <v>1</v>
      </c>
      <c r="H123" s="6" t="s">
        <v>399</v>
      </c>
      <c r="I123" s="6" t="s">
        <v>424</v>
      </c>
      <c r="J123" s="4"/>
      <c r="K123" s="4"/>
      <c r="L123" s="4" t="s">
        <v>67</v>
      </c>
    </row>
    <row r="124" ht="48" customHeight="1" spans="2:12">
      <c r="B124" s="16">
        <v>46307</v>
      </c>
      <c r="C124" s="16">
        <v>46313</v>
      </c>
      <c r="D124" s="6" t="s">
        <v>415</v>
      </c>
      <c r="E124" s="6">
        <v>51</v>
      </c>
      <c r="F124" s="40">
        <v>40</v>
      </c>
      <c r="G124" s="15">
        <v>1</v>
      </c>
      <c r="H124" s="6" t="s">
        <v>399</v>
      </c>
      <c r="I124" s="6" t="s">
        <v>425</v>
      </c>
      <c r="J124" s="4"/>
      <c r="K124" s="4"/>
      <c r="L124" s="4" t="s">
        <v>67</v>
      </c>
    </row>
    <row r="125" ht="48" customHeight="1" spans="2:12">
      <c r="B125" s="16">
        <v>46314</v>
      </c>
      <c r="C125" s="16">
        <v>46320</v>
      </c>
      <c r="D125" s="6" t="s">
        <v>415</v>
      </c>
      <c r="E125" s="6">
        <v>51</v>
      </c>
      <c r="F125" s="40">
        <v>40</v>
      </c>
      <c r="G125" s="15">
        <v>1</v>
      </c>
      <c r="H125" s="6" t="s">
        <v>399</v>
      </c>
      <c r="I125" s="6" t="s">
        <v>425</v>
      </c>
      <c r="J125" s="4"/>
      <c r="K125" s="4"/>
      <c r="L125" s="4" t="s">
        <v>67</v>
      </c>
    </row>
    <row r="126" ht="48" customHeight="1" spans="2:12">
      <c r="B126" s="16">
        <v>46321</v>
      </c>
      <c r="C126" s="16">
        <v>46327</v>
      </c>
      <c r="D126" s="6" t="s">
        <v>415</v>
      </c>
      <c r="E126" s="6">
        <v>51</v>
      </c>
      <c r="F126" s="40">
        <v>40</v>
      </c>
      <c r="G126" s="15">
        <v>1</v>
      </c>
      <c r="H126" s="6" t="s">
        <v>399</v>
      </c>
      <c r="I126" s="6" t="s">
        <v>425</v>
      </c>
      <c r="J126" s="4"/>
      <c r="K126" s="4"/>
      <c r="L126" s="4" t="s">
        <v>67</v>
      </c>
    </row>
    <row r="127" ht="48" customHeight="1" spans="2:12">
      <c r="B127" s="16">
        <v>46328</v>
      </c>
      <c r="C127" s="16">
        <v>46334</v>
      </c>
      <c r="D127" s="6" t="s">
        <v>415</v>
      </c>
      <c r="E127" s="6">
        <v>51</v>
      </c>
      <c r="F127" s="40">
        <v>40</v>
      </c>
      <c r="G127" s="15">
        <v>1</v>
      </c>
      <c r="H127" s="6" t="s">
        <v>399</v>
      </c>
      <c r="I127" s="6" t="s">
        <v>425</v>
      </c>
      <c r="J127" s="4"/>
      <c r="K127" s="4"/>
      <c r="L127" s="4" t="s">
        <v>67</v>
      </c>
    </row>
    <row r="128" ht="48" customHeight="1" spans="2:12">
      <c r="B128" s="16">
        <v>46335</v>
      </c>
      <c r="C128" s="16">
        <v>46341</v>
      </c>
      <c r="D128" s="6" t="s">
        <v>415</v>
      </c>
      <c r="E128" s="6">
        <v>51</v>
      </c>
      <c r="F128" s="40">
        <v>40</v>
      </c>
      <c r="G128" s="15">
        <v>1</v>
      </c>
      <c r="H128" s="6" t="s">
        <v>399</v>
      </c>
      <c r="I128" s="6" t="s">
        <v>425</v>
      </c>
      <c r="J128" s="4"/>
      <c r="K128" s="4"/>
      <c r="L128" s="4" t="s">
        <v>67</v>
      </c>
    </row>
    <row r="129" ht="20" customHeight="1" spans="1:12">
      <c r="B129" s="16">
        <v>46342</v>
      </c>
      <c r="C129" s="16">
        <v>46348</v>
      </c>
      <c r="D129" s="6" t="s">
        <v>426</v>
      </c>
      <c r="E129" s="6">
        <v>0</v>
      </c>
      <c r="F129" s="40">
        <v>0</v>
      </c>
      <c r="G129" s="15">
        <v>0</v>
      </c>
      <c r="H129" s="6" t="s">
        <v>427</v>
      </c>
      <c r="I129" s="6" t="s">
        <v>428</v>
      </c>
      <c r="J129" s="4"/>
      <c r="K129" s="4"/>
      <c r="L129" s="4" t="s">
        <v>67</v>
      </c>
    </row>
    <row r="130" ht="20" customHeight="1" spans="1:12">
      <c r="A130" s="4"/>
      <c r="B130" s="16">
        <v>46349</v>
      </c>
      <c r="C130" s="16">
        <v>46355</v>
      </c>
      <c r="D130" s="6" t="s">
        <v>426</v>
      </c>
      <c r="E130" s="6">
        <v>0</v>
      </c>
      <c r="F130" s="40">
        <v>0</v>
      </c>
      <c r="G130" s="15">
        <v>0</v>
      </c>
      <c r="H130" s="6" t="s">
        <v>427</v>
      </c>
      <c r="I130" s="6" t="s">
        <v>428</v>
      </c>
      <c r="J130" s="4"/>
      <c r="K130" s="4"/>
      <c r="L130" s="4" t="s">
        <v>67</v>
      </c>
    </row>
    <row r="131" ht="20" customHeight="1" spans="1:12">
      <c r="A131" s="42" t="s">
        <v>65</v>
      </c>
      <c r="B131" s="16">
        <v>46195</v>
      </c>
      <c r="C131" s="16">
        <v>46201</v>
      </c>
      <c r="D131" s="6" t="s">
        <v>426</v>
      </c>
      <c r="E131" s="6">
        <v>0</v>
      </c>
      <c r="F131" s="40">
        <v>0</v>
      </c>
      <c r="G131" s="15">
        <v>0</v>
      </c>
      <c r="H131" s="6" t="s">
        <v>427</v>
      </c>
      <c r="I131" s="6" t="s">
        <v>428</v>
      </c>
      <c r="J131" s="4"/>
      <c r="K131" s="4"/>
      <c r="L131" s="4" t="s">
        <v>65</v>
      </c>
    </row>
    <row r="132" ht="48" customHeight="1" spans="1:12">
      <c r="B132" s="16">
        <v>46202</v>
      </c>
      <c r="C132" s="16">
        <v>46208</v>
      </c>
      <c r="D132" s="6" t="s">
        <v>415</v>
      </c>
      <c r="E132" s="6">
        <v>34</v>
      </c>
      <c r="F132" s="40">
        <v>40</v>
      </c>
      <c r="G132" s="15">
        <v>1</v>
      </c>
      <c r="H132" s="6" t="s">
        <v>399</v>
      </c>
      <c r="I132" s="6" t="s">
        <v>439</v>
      </c>
      <c r="J132" s="4"/>
      <c r="K132" s="4"/>
      <c r="L132" s="4" t="s">
        <v>65</v>
      </c>
    </row>
    <row r="133" ht="48" customHeight="1" spans="1:12">
      <c r="B133" s="16">
        <v>46209</v>
      </c>
      <c r="C133" s="16">
        <v>46215</v>
      </c>
      <c r="D133" s="6" t="s">
        <v>415</v>
      </c>
      <c r="E133" s="6">
        <v>26</v>
      </c>
      <c r="F133" s="40">
        <v>40</v>
      </c>
      <c r="G133" s="15">
        <v>1</v>
      </c>
      <c r="H133" s="6" t="s">
        <v>399</v>
      </c>
      <c r="I133" s="6" t="s">
        <v>440</v>
      </c>
      <c r="J133" s="4"/>
      <c r="K133" s="4"/>
      <c r="L133" s="4" t="s">
        <v>65</v>
      </c>
    </row>
    <row r="134" ht="48" customHeight="1" spans="1:12">
      <c r="B134" s="16">
        <v>46216</v>
      </c>
      <c r="C134" s="16">
        <v>46222</v>
      </c>
      <c r="D134" s="6" t="s">
        <v>415</v>
      </c>
      <c r="E134" s="6">
        <v>5</v>
      </c>
      <c r="F134" s="40">
        <v>40</v>
      </c>
      <c r="G134" s="15">
        <v>1</v>
      </c>
      <c r="H134" s="6" t="s">
        <v>399</v>
      </c>
      <c r="I134" s="6" t="s">
        <v>423</v>
      </c>
      <c r="J134" s="4"/>
      <c r="K134" s="4"/>
      <c r="L134" s="4" t="s">
        <v>65</v>
      </c>
    </row>
    <row r="135" ht="48" customHeight="1" spans="1:12">
      <c r="B135" s="16">
        <v>46223</v>
      </c>
      <c r="C135" s="16">
        <v>46229</v>
      </c>
      <c r="D135" s="6" t="s">
        <v>415</v>
      </c>
      <c r="E135" s="6">
        <v>15</v>
      </c>
      <c r="F135" s="40">
        <v>40</v>
      </c>
      <c r="G135" s="15">
        <v>1</v>
      </c>
      <c r="H135" s="6" t="s">
        <v>399</v>
      </c>
      <c r="I135" s="6" t="s">
        <v>441</v>
      </c>
      <c r="J135" s="4"/>
      <c r="K135" s="4"/>
      <c r="L135" s="4" t="s">
        <v>65</v>
      </c>
    </row>
    <row r="136" ht="48" customHeight="1" spans="1:12">
      <c r="B136" s="16">
        <v>46230</v>
      </c>
      <c r="C136" s="16">
        <v>46236</v>
      </c>
      <c r="D136" s="6" t="s">
        <v>415</v>
      </c>
      <c r="E136" s="6">
        <v>51</v>
      </c>
      <c r="F136" s="40">
        <v>40</v>
      </c>
      <c r="G136" s="15">
        <v>1</v>
      </c>
      <c r="H136" s="6" t="s">
        <v>399</v>
      </c>
      <c r="I136" s="6" t="s">
        <v>442</v>
      </c>
      <c r="J136" s="4"/>
      <c r="K136" s="4"/>
      <c r="L136" s="4" t="s">
        <v>65</v>
      </c>
    </row>
    <row r="137" ht="48" customHeight="1" spans="1:12">
      <c r="B137" s="16">
        <v>46237</v>
      </c>
      <c r="C137" s="16">
        <v>46243</v>
      </c>
      <c r="D137" s="6" t="s">
        <v>415</v>
      </c>
      <c r="E137" s="6">
        <v>51</v>
      </c>
      <c r="F137" s="40">
        <v>40</v>
      </c>
      <c r="G137" s="15">
        <v>1</v>
      </c>
      <c r="H137" s="6" t="s">
        <v>399</v>
      </c>
      <c r="I137" s="6" t="s">
        <v>442</v>
      </c>
      <c r="J137" s="4"/>
      <c r="K137" s="4"/>
      <c r="L137" s="4" t="s">
        <v>65</v>
      </c>
    </row>
    <row r="138" ht="20" customHeight="1" spans="1:12">
      <c r="B138" s="16">
        <v>46244</v>
      </c>
      <c r="C138" s="16">
        <v>46250</v>
      </c>
      <c r="D138" s="6" t="s">
        <v>426</v>
      </c>
      <c r="E138" s="6">
        <v>0</v>
      </c>
      <c r="F138" s="40">
        <v>0</v>
      </c>
      <c r="G138" s="15">
        <v>0</v>
      </c>
      <c r="H138" s="6" t="s">
        <v>427</v>
      </c>
      <c r="I138" s="6" t="s">
        <v>428</v>
      </c>
      <c r="J138" s="4"/>
      <c r="K138" s="4"/>
      <c r="L138" s="4" t="s">
        <v>65</v>
      </c>
    </row>
    <row r="139" ht="20" customHeight="1" spans="1:12">
      <c r="B139" s="16">
        <v>46251</v>
      </c>
      <c r="C139" s="16">
        <v>46257</v>
      </c>
      <c r="D139" s="6" t="s">
        <v>426</v>
      </c>
      <c r="E139" s="6">
        <v>0</v>
      </c>
      <c r="F139" s="40">
        <v>0</v>
      </c>
      <c r="G139" s="15">
        <v>0</v>
      </c>
      <c r="H139" s="6" t="s">
        <v>427</v>
      </c>
      <c r="I139" s="6" t="s">
        <v>428</v>
      </c>
      <c r="J139" s="4"/>
      <c r="K139" s="4"/>
      <c r="L139" s="4" t="s">
        <v>65</v>
      </c>
    </row>
    <row r="140" ht="20" customHeight="1" spans="1:12">
      <c r="B140" s="16">
        <v>46258</v>
      </c>
      <c r="C140" s="16">
        <v>46264</v>
      </c>
      <c r="D140" s="6" t="s">
        <v>426</v>
      </c>
      <c r="E140" s="6">
        <v>0</v>
      </c>
      <c r="F140" s="40">
        <v>0</v>
      </c>
      <c r="G140" s="15">
        <v>0</v>
      </c>
      <c r="H140" s="6" t="s">
        <v>427</v>
      </c>
      <c r="I140" s="6" t="s">
        <v>428</v>
      </c>
      <c r="J140" s="4"/>
      <c r="K140" s="4"/>
      <c r="L140" s="4" t="s">
        <v>65</v>
      </c>
    </row>
    <row r="141" ht="20" customHeight="1" spans="1:12">
      <c r="B141" s="16">
        <v>46265</v>
      </c>
      <c r="C141" s="16">
        <v>46271</v>
      </c>
      <c r="D141" s="6" t="s">
        <v>426</v>
      </c>
      <c r="E141" s="6">
        <v>0</v>
      </c>
      <c r="F141" s="40">
        <v>0</v>
      </c>
      <c r="G141" s="15">
        <v>0</v>
      </c>
      <c r="H141" s="6" t="s">
        <v>427</v>
      </c>
      <c r="I141" s="6" t="s">
        <v>428</v>
      </c>
      <c r="J141" s="4"/>
      <c r="K141" s="4"/>
      <c r="L141" s="4" t="s">
        <v>65</v>
      </c>
    </row>
    <row r="142" ht="20" customHeight="1" spans="1:12">
      <c r="B142" s="16">
        <v>46272</v>
      </c>
      <c r="C142" s="16">
        <v>46278</v>
      </c>
      <c r="D142" s="6" t="s">
        <v>426</v>
      </c>
      <c r="E142" s="6">
        <v>0</v>
      </c>
      <c r="F142" s="40">
        <v>0</v>
      </c>
      <c r="G142" s="15">
        <v>0</v>
      </c>
      <c r="H142" s="6" t="s">
        <v>427</v>
      </c>
      <c r="I142" s="6" t="s">
        <v>428</v>
      </c>
      <c r="J142" s="4"/>
      <c r="K142" s="4"/>
      <c r="L142" s="4" t="s">
        <v>65</v>
      </c>
    </row>
    <row r="143" ht="20" customHeight="1" spans="1:12">
      <c r="B143" s="16">
        <v>46279</v>
      </c>
      <c r="C143" s="16">
        <v>46285</v>
      </c>
      <c r="D143" s="6" t="s">
        <v>426</v>
      </c>
      <c r="E143" s="6">
        <v>0</v>
      </c>
      <c r="F143" s="40">
        <v>0</v>
      </c>
      <c r="G143" s="15">
        <v>0</v>
      </c>
      <c r="H143" s="6" t="s">
        <v>427</v>
      </c>
      <c r="I143" s="6" t="s">
        <v>428</v>
      </c>
      <c r="J143" s="4"/>
      <c r="K143" s="4"/>
      <c r="L143" s="4" t="s">
        <v>65</v>
      </c>
    </row>
    <row r="144" ht="20" customHeight="1" spans="1:12">
      <c r="B144" s="16">
        <v>46286</v>
      </c>
      <c r="C144" s="16">
        <v>46292</v>
      </c>
      <c r="D144" s="6" t="s">
        <v>426</v>
      </c>
      <c r="E144" s="6">
        <v>0</v>
      </c>
      <c r="F144" s="40">
        <v>0</v>
      </c>
      <c r="G144" s="15">
        <v>0</v>
      </c>
      <c r="H144" s="6" t="s">
        <v>427</v>
      </c>
      <c r="I144" s="6" t="s">
        <v>428</v>
      </c>
      <c r="J144" s="4"/>
      <c r="K144" s="4"/>
      <c r="L144" s="4" t="s">
        <v>65</v>
      </c>
    </row>
    <row r="145" ht="20" customHeight="1" spans="1:12">
      <c r="B145" s="16">
        <v>46293</v>
      </c>
      <c r="C145" s="16">
        <v>46299</v>
      </c>
      <c r="D145" s="6" t="s">
        <v>426</v>
      </c>
      <c r="E145" s="6">
        <v>0</v>
      </c>
      <c r="F145" s="40">
        <v>0</v>
      </c>
      <c r="G145" s="15">
        <v>0</v>
      </c>
      <c r="H145" s="6" t="s">
        <v>427</v>
      </c>
      <c r="I145" s="6" t="s">
        <v>428</v>
      </c>
      <c r="J145" s="4"/>
      <c r="K145" s="4"/>
      <c r="L145" s="4" t="s">
        <v>65</v>
      </c>
    </row>
    <row r="146" ht="20" customHeight="1" spans="1:12">
      <c r="B146" s="16">
        <v>46300</v>
      </c>
      <c r="C146" s="16">
        <v>46306</v>
      </c>
      <c r="D146" s="6" t="s">
        <v>426</v>
      </c>
      <c r="E146" s="6">
        <v>0</v>
      </c>
      <c r="F146" s="40">
        <v>0</v>
      </c>
      <c r="G146" s="15">
        <v>0</v>
      </c>
      <c r="H146" s="6" t="s">
        <v>427</v>
      </c>
      <c r="I146" s="6" t="s">
        <v>428</v>
      </c>
      <c r="J146" s="4"/>
      <c r="K146" s="4"/>
      <c r="L146" s="4" t="s">
        <v>65</v>
      </c>
    </row>
    <row r="147" ht="20" customHeight="1" spans="1:12">
      <c r="B147" s="16">
        <v>46307</v>
      </c>
      <c r="C147" s="16">
        <v>46313</v>
      </c>
      <c r="D147" s="6" t="s">
        <v>426</v>
      </c>
      <c r="E147" s="6">
        <v>0</v>
      </c>
      <c r="F147" s="40">
        <v>0</v>
      </c>
      <c r="G147" s="15">
        <v>0</v>
      </c>
      <c r="H147" s="6" t="s">
        <v>427</v>
      </c>
      <c r="I147" s="6" t="s">
        <v>428</v>
      </c>
      <c r="J147" s="4"/>
      <c r="K147" s="4"/>
      <c r="L147" s="4" t="s">
        <v>65</v>
      </c>
    </row>
    <row r="148" ht="20" customHeight="1" spans="1:12">
      <c r="B148" s="16">
        <v>46314</v>
      </c>
      <c r="C148" s="16">
        <v>46320</v>
      </c>
      <c r="D148" s="6" t="s">
        <v>426</v>
      </c>
      <c r="E148" s="6">
        <v>0</v>
      </c>
      <c r="F148" s="40">
        <v>0</v>
      </c>
      <c r="G148" s="15">
        <v>0</v>
      </c>
      <c r="H148" s="6" t="s">
        <v>427</v>
      </c>
      <c r="I148" s="6" t="s">
        <v>428</v>
      </c>
      <c r="J148" s="4"/>
      <c r="K148" s="4"/>
      <c r="L148" s="4" t="s">
        <v>65</v>
      </c>
    </row>
    <row r="149" ht="20" customHeight="1" spans="1:12">
      <c r="B149" s="16">
        <v>46321</v>
      </c>
      <c r="C149" s="16">
        <v>46327</v>
      </c>
      <c r="D149" s="6" t="s">
        <v>426</v>
      </c>
      <c r="E149" s="6">
        <v>0</v>
      </c>
      <c r="F149" s="40">
        <v>0</v>
      </c>
      <c r="G149" s="15">
        <v>0</v>
      </c>
      <c r="H149" s="6" t="s">
        <v>427</v>
      </c>
      <c r="I149" s="6" t="s">
        <v>428</v>
      </c>
      <c r="J149" s="4"/>
      <c r="K149" s="4"/>
      <c r="L149" s="4" t="s">
        <v>65</v>
      </c>
    </row>
    <row r="150" ht="20" customHeight="1" spans="1:12">
      <c r="B150" s="16">
        <v>46328</v>
      </c>
      <c r="C150" s="16">
        <v>46334</v>
      </c>
      <c r="D150" s="6" t="s">
        <v>426</v>
      </c>
      <c r="E150" s="6">
        <v>0</v>
      </c>
      <c r="F150" s="40">
        <v>0</v>
      </c>
      <c r="G150" s="15">
        <v>0</v>
      </c>
      <c r="H150" s="6" t="s">
        <v>427</v>
      </c>
      <c r="I150" s="6" t="s">
        <v>428</v>
      </c>
      <c r="J150" s="4"/>
      <c r="K150" s="4"/>
      <c r="L150" s="4" t="s">
        <v>65</v>
      </c>
    </row>
    <row r="151" ht="20" customHeight="1" spans="1:12">
      <c r="B151" s="16">
        <v>46335</v>
      </c>
      <c r="C151" s="16">
        <v>46341</v>
      </c>
      <c r="D151" s="6" t="s">
        <v>426</v>
      </c>
      <c r="E151" s="6">
        <v>0</v>
      </c>
      <c r="F151" s="40">
        <v>0</v>
      </c>
      <c r="G151" s="15">
        <v>0</v>
      </c>
      <c r="H151" s="6" t="s">
        <v>427</v>
      </c>
      <c r="I151" s="6" t="s">
        <v>428</v>
      </c>
      <c r="J151" s="4"/>
      <c r="K151" s="4"/>
      <c r="L151" s="4" t="s">
        <v>65</v>
      </c>
    </row>
    <row r="152" ht="20" customHeight="1" spans="1:12">
      <c r="B152" s="16">
        <v>46342</v>
      </c>
      <c r="C152" s="16">
        <v>46348</v>
      </c>
      <c r="D152" s="6" t="s">
        <v>426</v>
      </c>
      <c r="E152" s="6">
        <v>0</v>
      </c>
      <c r="F152" s="40">
        <v>0</v>
      </c>
      <c r="G152" s="15">
        <v>0</v>
      </c>
      <c r="H152" s="6" t="s">
        <v>427</v>
      </c>
      <c r="I152" s="6" t="s">
        <v>428</v>
      </c>
      <c r="J152" s="4"/>
      <c r="K152" s="4"/>
      <c r="L152" s="4" t="s">
        <v>65</v>
      </c>
    </row>
    <row r="153" ht="20" customHeight="1" spans="1:12">
      <c r="A153" s="4"/>
      <c r="B153" s="16">
        <v>46349</v>
      </c>
      <c r="C153" s="16">
        <v>46355</v>
      </c>
      <c r="D153" s="6" t="s">
        <v>426</v>
      </c>
      <c r="E153" s="6">
        <v>0</v>
      </c>
      <c r="F153" s="40">
        <v>0</v>
      </c>
      <c r="G153" s="15">
        <v>0</v>
      </c>
      <c r="H153" s="6" t="s">
        <v>427</v>
      </c>
      <c r="I153" s="6" t="s">
        <v>428</v>
      </c>
      <c r="J153" s="4"/>
      <c r="K153" s="4"/>
      <c r="L153" s="4" t="s">
        <v>65</v>
      </c>
    </row>
    <row r="157" ht="28" customHeight="1"/>
  </sheetData>
  <autoFilter xmlns:etc="http://www.wps.cn/officeDocument/2017/etCustomData" ref="A15:L153" etc:filterBottomFollowUsedRange="0">
    <extLst/>
  </autoFilter>
  <mergeCells count="148">
    <mergeCell ref="A1:L1"/>
    <mergeCell ref="A2:L2"/>
    <mergeCell ref="A14:K14"/>
    <mergeCell ref="I15:K15"/>
    <mergeCell ref="I16:K16"/>
    <mergeCell ref="I17:K17"/>
    <mergeCell ref="I18:K18"/>
    <mergeCell ref="I19:K19"/>
    <mergeCell ref="I20:K20"/>
    <mergeCell ref="I21:K21"/>
    <mergeCell ref="I22:K22"/>
    <mergeCell ref="I23:K23"/>
    <mergeCell ref="I24:K24"/>
    <mergeCell ref="I25:K25"/>
    <mergeCell ref="I26:K26"/>
    <mergeCell ref="I27:K27"/>
    <mergeCell ref="I28:K28"/>
    <mergeCell ref="I29:K29"/>
    <mergeCell ref="I30:K30"/>
    <mergeCell ref="I31:K31"/>
    <mergeCell ref="I32:K32"/>
    <mergeCell ref="I33:K33"/>
    <mergeCell ref="I34:K34"/>
    <mergeCell ref="I35:K35"/>
    <mergeCell ref="I36:K36"/>
    <mergeCell ref="I37:K37"/>
    <mergeCell ref="I38:K38"/>
    <mergeCell ref="I39:K39"/>
    <mergeCell ref="I40:K40"/>
    <mergeCell ref="I41:K41"/>
    <mergeCell ref="I42:K42"/>
    <mergeCell ref="I43:K43"/>
    <mergeCell ref="I44:K44"/>
    <mergeCell ref="I45:K45"/>
    <mergeCell ref="I46:K46"/>
    <mergeCell ref="I47:K47"/>
    <mergeCell ref="I48:K48"/>
    <mergeCell ref="I49:K49"/>
    <mergeCell ref="I50:K50"/>
    <mergeCell ref="I51:K51"/>
    <mergeCell ref="I52:K52"/>
    <mergeCell ref="I53:K53"/>
    <mergeCell ref="I54:K54"/>
    <mergeCell ref="I55:K55"/>
    <mergeCell ref="I56:K56"/>
    <mergeCell ref="I57:K57"/>
    <mergeCell ref="I58:K58"/>
    <mergeCell ref="I59:K59"/>
    <mergeCell ref="I60:K60"/>
    <mergeCell ref="I61:K61"/>
    <mergeCell ref="I62:K62"/>
    <mergeCell ref="I63:K63"/>
    <mergeCell ref="I64:K64"/>
    <mergeCell ref="I65:K65"/>
    <mergeCell ref="I66:K66"/>
    <mergeCell ref="I67:K67"/>
    <mergeCell ref="I68:K68"/>
    <mergeCell ref="I69:K69"/>
    <mergeCell ref="I70:K70"/>
    <mergeCell ref="I71:K71"/>
    <mergeCell ref="I72:K72"/>
    <mergeCell ref="I73:K73"/>
    <mergeCell ref="I74:K74"/>
    <mergeCell ref="I75:K75"/>
    <mergeCell ref="I76:K76"/>
    <mergeCell ref="I77:K77"/>
    <mergeCell ref="I78:K78"/>
    <mergeCell ref="I79:K79"/>
    <mergeCell ref="I80:K80"/>
    <mergeCell ref="I81:K81"/>
    <mergeCell ref="I82:K82"/>
    <mergeCell ref="I83:K83"/>
    <mergeCell ref="I84:K84"/>
    <mergeCell ref="I85:K85"/>
    <mergeCell ref="I86:K86"/>
    <mergeCell ref="I87:K87"/>
    <mergeCell ref="I88:K88"/>
    <mergeCell ref="I89:K89"/>
    <mergeCell ref="I90:K90"/>
    <mergeCell ref="I91:K91"/>
    <mergeCell ref="I92:K92"/>
    <mergeCell ref="I93:K93"/>
    <mergeCell ref="I94:K94"/>
    <mergeCell ref="I95:K95"/>
    <mergeCell ref="I96:K96"/>
    <mergeCell ref="I97:K97"/>
    <mergeCell ref="I98:K98"/>
    <mergeCell ref="I99:K99"/>
    <mergeCell ref="I100:K100"/>
    <mergeCell ref="I101:K101"/>
    <mergeCell ref="I102:K102"/>
    <mergeCell ref="I103:K103"/>
    <mergeCell ref="I104:K104"/>
    <mergeCell ref="I105:K105"/>
    <mergeCell ref="I106:K106"/>
    <mergeCell ref="I107:K107"/>
    <mergeCell ref="I108:K108"/>
    <mergeCell ref="I109:K109"/>
    <mergeCell ref="I110:K110"/>
    <mergeCell ref="I111:K111"/>
    <mergeCell ref="I112:K112"/>
    <mergeCell ref="I113:K113"/>
    <mergeCell ref="I114:K114"/>
    <mergeCell ref="I115:K115"/>
    <mergeCell ref="I116:K116"/>
    <mergeCell ref="I117:K117"/>
    <mergeCell ref="I118:K118"/>
    <mergeCell ref="I119:K119"/>
    <mergeCell ref="I120:K120"/>
    <mergeCell ref="I121:K121"/>
    <mergeCell ref="I122:K122"/>
    <mergeCell ref="I123:K123"/>
    <mergeCell ref="I124:K124"/>
    <mergeCell ref="I125:K125"/>
    <mergeCell ref="I126:K126"/>
    <mergeCell ref="I127:K127"/>
    <mergeCell ref="I128:K128"/>
    <mergeCell ref="I129:K129"/>
    <mergeCell ref="I130:K130"/>
    <mergeCell ref="I131:K131"/>
    <mergeCell ref="I132:K132"/>
    <mergeCell ref="I133:K133"/>
    <mergeCell ref="I134:K134"/>
    <mergeCell ref="I135:K135"/>
    <mergeCell ref="I136:K136"/>
    <mergeCell ref="I137:K137"/>
    <mergeCell ref="I138:K138"/>
    <mergeCell ref="I139:K139"/>
    <mergeCell ref="I140:K140"/>
    <mergeCell ref="I141:K141"/>
    <mergeCell ref="I142:K142"/>
    <mergeCell ref="I143:K143"/>
    <mergeCell ref="I144:K144"/>
    <mergeCell ref="I145:K145"/>
    <mergeCell ref="I146:K146"/>
    <mergeCell ref="I147:K147"/>
    <mergeCell ref="I148:K148"/>
    <mergeCell ref="I149:K149"/>
    <mergeCell ref="I150:K150"/>
    <mergeCell ref="I151:K151"/>
    <mergeCell ref="I152:K152"/>
    <mergeCell ref="I153:K153"/>
    <mergeCell ref="A16:A38"/>
    <mergeCell ref="A39:A61"/>
    <mergeCell ref="A62:A84"/>
    <mergeCell ref="A85:A107"/>
    <mergeCell ref="A108:A130"/>
    <mergeCell ref="A131:A153"/>
  </mergeCells>
  <conditionalFormatting sqref="D16:D153">
    <cfRule type="expression" dxfId="5" priority="4">
      <formula>$D16="无"</formula>
    </cfRule>
  </conditionalFormatting>
  <conditionalFormatting sqref="H16:H153">
    <cfRule type="expression" dxfId="6" priority="5">
      <formula>$H16="超负荷"</formula>
    </cfRule>
  </conditionalFormatting>
  <conditionalFormatting sqref="J5:J10">
    <cfRule type="expression" dxfId="6" priority="1">
      <formula>$J5="超负荷"</formula>
    </cfRule>
    <cfRule type="expression" dxfId="7" priority="2">
      <formula>$J5="高负荷"</formula>
    </cfRule>
    <cfRule type="expression" dxfId="8" priority="3">
      <formula>$J5="正常"</formula>
    </cfRule>
  </conditionalFormatting>
  <pageMargins left="0.75" right="0.75" top="1" bottom="1" header="0.5" footer="0.5"/>
  <pageSetup paperSize="1" fitToHeight="0" orientation="landscape"/>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showGridLines="0" workbookViewId="0">
      <selection activeCell="A1" sqref="A1:K1"/>
    </sheetView>
  </sheetViews>
  <sheetFormatPr defaultColWidth="9" defaultRowHeight="16.8"/>
  <cols>
    <col min="1" max="1" width="11" style="1" customWidth="1"/>
    <col min="2" max="2" width="25" style="1" customWidth="1"/>
    <col min="3" max="3" width="12" style="1" customWidth="1"/>
    <col min="4" max="4" width="36" style="1" customWidth="1"/>
    <col min="5" max="5" width="15" style="1" customWidth="1"/>
    <col min="6" max="6" width="13" style="1" customWidth="1"/>
    <col min="7" max="7" width="11" style="1" customWidth="1"/>
    <col min="8" max="8" width="13" style="1" customWidth="1"/>
    <col min="9" max="9" width="11" style="1" customWidth="1"/>
    <col min="10" max="10" width="10" style="1" customWidth="1"/>
    <col min="11" max="11" width="26" style="1" customWidth="1"/>
  </cols>
  <sheetData>
    <row r="1" ht="34" customHeight="1" spans="1:11">
      <c r="A1" s="22" t="s">
        <v>443</v>
      </c>
      <c r="B1" s="4"/>
      <c r="C1" s="4"/>
      <c r="D1" s="4"/>
      <c r="E1" s="4"/>
      <c r="F1" s="4"/>
      <c r="G1" s="4"/>
      <c r="H1" s="4"/>
      <c r="I1" s="4"/>
      <c r="J1" s="4"/>
      <c r="K1" s="4"/>
    </row>
    <row r="3" ht="30" customHeight="1" spans="1:11">
      <c r="A3" s="25" t="s">
        <v>444</v>
      </c>
      <c r="B3" s="25" t="s">
        <v>445</v>
      </c>
      <c r="C3" s="25" t="s">
        <v>23</v>
      </c>
      <c r="D3" s="25" t="s">
        <v>446</v>
      </c>
      <c r="E3" s="25" t="s">
        <v>447</v>
      </c>
      <c r="F3" s="25" t="s">
        <v>448</v>
      </c>
      <c r="G3" s="25" t="s">
        <v>21</v>
      </c>
      <c r="H3" s="25" t="s">
        <v>449</v>
      </c>
      <c r="I3" s="25" t="s">
        <v>450</v>
      </c>
      <c r="J3" s="25" t="s">
        <v>451</v>
      </c>
      <c r="K3" s="25" t="s">
        <v>452</v>
      </c>
    </row>
    <row r="4" ht="17" customHeight="1" spans="1:11">
      <c r="A4" s="24" t="s">
        <v>453</v>
      </c>
      <c r="B4" s="24" t="s">
        <v>454</v>
      </c>
      <c r="C4" s="24" t="s">
        <v>25</v>
      </c>
      <c r="D4" s="24" t="s">
        <v>455</v>
      </c>
      <c r="E4" s="24" t="s">
        <v>65</v>
      </c>
      <c r="F4" s="26">
        <v>46241</v>
      </c>
      <c r="G4" s="24" t="s">
        <v>5</v>
      </c>
      <c r="H4" s="26"/>
      <c r="I4" s="24">
        <f>IF(H4&lt;&gt;"",H4-F4,MAX(0,项目驾驶舱!$B$3-F4))</f>
        <v>27</v>
      </c>
      <c r="J4" s="24" t="str">
        <f>IF(G4="已完成","绿",IF(F4&lt;项目驾驶舱!$B$3,"红",IF(F4&lt;=项目驾驶舱!$B$3+7,"黄","绿")))</f>
        <v>红</v>
      </c>
      <c r="K4" s="24" t="s">
        <v>69</v>
      </c>
    </row>
    <row r="5" ht="17" customHeight="1" spans="1:11">
      <c r="A5" s="24" t="s">
        <v>456</v>
      </c>
      <c r="B5" s="24" t="s">
        <v>457</v>
      </c>
      <c r="C5" s="24" t="s">
        <v>25</v>
      </c>
      <c r="D5" s="24" t="s">
        <v>458</v>
      </c>
      <c r="E5" s="24" t="s">
        <v>459</v>
      </c>
      <c r="F5" s="26">
        <v>46262</v>
      </c>
      <c r="G5" s="24" t="s">
        <v>5</v>
      </c>
      <c r="H5" s="26"/>
      <c r="I5" s="24">
        <f>IF(H5&lt;&gt;"",H5-F5,MAX(0,项目驾驶舱!$B$3-F5))</f>
        <v>6</v>
      </c>
      <c r="J5" s="24" t="str">
        <f>IF(G5="已完成","绿",IF(F5&lt;项目驾驶舱!$B$3,"红",IF(F5&lt;=项目驾驶舱!$B$3+7,"黄","绿")))</f>
        <v>红</v>
      </c>
      <c r="K5" s="24" t="s">
        <v>69</v>
      </c>
    </row>
    <row r="6" ht="17" customHeight="1" spans="1:11">
      <c r="A6" s="24" t="s">
        <v>460</v>
      </c>
      <c r="B6" s="24" t="s">
        <v>461</v>
      </c>
      <c r="C6" s="24" t="s">
        <v>25</v>
      </c>
      <c r="D6" s="24" t="s">
        <v>462</v>
      </c>
      <c r="E6" s="24" t="s">
        <v>68</v>
      </c>
      <c r="F6" s="26">
        <v>46318</v>
      </c>
      <c r="G6" s="24" t="s">
        <v>5</v>
      </c>
      <c r="H6" s="26"/>
      <c r="I6" s="24">
        <f>IF(H6&lt;&gt;"",H6-F6,MAX(0,项目驾驶舱!$B$3-F6))</f>
        <v>0</v>
      </c>
      <c r="J6" s="24" t="str">
        <f>IF(G6="已完成","绿",IF(F6&lt;项目驾驶舱!$B$3,"红",IF(F6&lt;=项目驾驶舱!$B$3+7,"黄","绿")))</f>
        <v>绿</v>
      </c>
      <c r="K6" s="24" t="s">
        <v>69</v>
      </c>
    </row>
    <row r="7" ht="17" customHeight="1" spans="1:11">
      <c r="A7" s="24" t="s">
        <v>463</v>
      </c>
      <c r="B7" s="24" t="s">
        <v>464</v>
      </c>
      <c r="C7" s="24" t="s">
        <v>25</v>
      </c>
      <c r="D7" s="24" t="s">
        <v>465</v>
      </c>
      <c r="E7" s="24" t="s">
        <v>466</v>
      </c>
      <c r="F7" s="26">
        <v>46261</v>
      </c>
      <c r="G7" s="24" t="s">
        <v>5</v>
      </c>
      <c r="H7" s="26"/>
      <c r="I7" s="24">
        <f>IF(H7&lt;&gt;"",H7-F7,MAX(0,项目驾驶舱!$B$3-F7))</f>
        <v>7</v>
      </c>
      <c r="J7" s="24" t="str">
        <f>IF(G7="已完成","绿",IF(F7&lt;项目驾驶舱!$B$3,"红",IF(F7&lt;=项目驾驶舱!$B$3+7,"黄","绿")))</f>
        <v>红</v>
      </c>
      <c r="K7" s="24" t="s">
        <v>69</v>
      </c>
    </row>
    <row r="8" ht="17" customHeight="1" spans="1:11">
      <c r="A8" s="24" t="s">
        <v>467</v>
      </c>
      <c r="B8" s="24" t="s">
        <v>468</v>
      </c>
      <c r="C8" s="24" t="s">
        <v>26</v>
      </c>
      <c r="D8" s="24" t="s">
        <v>469</v>
      </c>
      <c r="E8" s="24" t="s">
        <v>65</v>
      </c>
      <c r="F8" s="26">
        <v>46241</v>
      </c>
      <c r="G8" s="24" t="s">
        <v>5</v>
      </c>
      <c r="H8" s="26"/>
      <c r="I8" s="24">
        <f>IF(H8&lt;&gt;"",H8-F8,MAX(0,项目驾驶舱!$B$3-F8))</f>
        <v>27</v>
      </c>
      <c r="J8" s="24" t="str">
        <f>IF(G8="已完成","绿",IF(F8&lt;项目驾驶舱!$B$3,"红",IF(F8&lt;=项目驾驶舱!$B$3+7,"黄","绿")))</f>
        <v>红</v>
      </c>
      <c r="K8" s="24" t="s">
        <v>69</v>
      </c>
    </row>
    <row r="9" ht="17" customHeight="1" spans="1:11">
      <c r="A9" s="24" t="s">
        <v>470</v>
      </c>
      <c r="B9" s="24" t="s">
        <v>471</v>
      </c>
      <c r="C9" s="24" t="s">
        <v>26</v>
      </c>
      <c r="D9" s="24" t="s">
        <v>472</v>
      </c>
      <c r="E9" s="24" t="s">
        <v>459</v>
      </c>
      <c r="F9" s="26">
        <v>46339</v>
      </c>
      <c r="G9" s="24" t="s">
        <v>5</v>
      </c>
      <c r="H9" s="26"/>
      <c r="I9" s="24">
        <f>IF(H9&lt;&gt;"",H9-F9,MAX(0,项目驾驶舱!$B$3-F9))</f>
        <v>0</v>
      </c>
      <c r="J9" s="24" t="str">
        <f>IF(G9="已完成","绿",IF(F9&lt;项目驾驶舱!$B$3,"红",IF(F9&lt;=项目驾驶舱!$B$3+7,"黄","绿")))</f>
        <v>绿</v>
      </c>
      <c r="K9" s="24" t="s">
        <v>69</v>
      </c>
    </row>
    <row r="10" ht="17" customHeight="1" spans="1:11">
      <c r="A10" s="24" t="s">
        <v>473</v>
      </c>
      <c r="B10" s="24" t="s">
        <v>474</v>
      </c>
      <c r="C10" s="24" t="s">
        <v>26</v>
      </c>
      <c r="D10" s="24" t="s">
        <v>475</v>
      </c>
      <c r="E10" s="24" t="s">
        <v>68</v>
      </c>
      <c r="F10" s="26">
        <v>46353</v>
      </c>
      <c r="G10" s="24" t="s">
        <v>5</v>
      </c>
      <c r="H10" s="26"/>
      <c r="I10" s="24">
        <f>IF(H10&lt;&gt;"",H10-F10,MAX(0,项目驾驶舱!$B$3-F10))</f>
        <v>0</v>
      </c>
      <c r="J10" s="24" t="str">
        <f>IF(G10="已完成","绿",IF(F10&lt;项目驾驶舱!$B$3,"红",IF(F10&lt;=项目驾驶舱!$B$3+7,"黄","绿")))</f>
        <v>绿</v>
      </c>
      <c r="K10" s="24" t="s">
        <v>69</v>
      </c>
    </row>
    <row r="11" ht="17" customHeight="1" spans="1:11">
      <c r="A11" s="24" t="s">
        <v>476</v>
      </c>
      <c r="B11" s="24" t="s">
        <v>477</v>
      </c>
      <c r="C11" s="24" t="s">
        <v>26</v>
      </c>
      <c r="D11" s="24" t="s">
        <v>465</v>
      </c>
      <c r="E11" s="24" t="s">
        <v>466</v>
      </c>
      <c r="F11" s="26">
        <v>46261</v>
      </c>
      <c r="G11" s="24" t="s">
        <v>5</v>
      </c>
      <c r="H11" s="26"/>
      <c r="I11" s="24">
        <f>IF(H11&lt;&gt;"",H11-F11,MAX(0,项目驾驶舱!$B$3-F11))</f>
        <v>7</v>
      </c>
      <c r="J11" s="24" t="str">
        <f>IF(G11="已完成","绿",IF(F11&lt;项目驾驶舱!$B$3,"红",IF(F11&lt;=项目驾驶舱!$B$3+7,"黄","绿")))</f>
        <v>红</v>
      </c>
      <c r="K11" s="24" t="s">
        <v>69</v>
      </c>
    </row>
    <row r="12" ht="17" customHeight="1" spans="1:11">
      <c r="A12" s="24" t="s">
        <v>478</v>
      </c>
      <c r="B12" s="24" t="s">
        <v>479</v>
      </c>
      <c r="C12" s="24" t="s">
        <v>480</v>
      </c>
      <c r="D12" s="24" t="s">
        <v>481</v>
      </c>
      <c r="E12" s="24" t="s">
        <v>482</v>
      </c>
      <c r="F12" s="26">
        <v>46346</v>
      </c>
      <c r="G12" s="24" t="s">
        <v>5</v>
      </c>
      <c r="H12" s="26"/>
      <c r="I12" s="24">
        <f>IF(H12&lt;&gt;"",H12-F12,MAX(0,项目驾驶舱!$B$3-F12))</f>
        <v>0</v>
      </c>
      <c r="J12" s="24" t="str">
        <f>IF(G12="已完成","绿",IF(F12&lt;项目驾驶舱!$B$3,"红",IF(F12&lt;=项目驾驶舱!$B$3+7,"黄","绿")))</f>
        <v>绿</v>
      </c>
      <c r="K12" s="24" t="s">
        <v>69</v>
      </c>
    </row>
    <row r="13" ht="17" customHeight="1" spans="1:11">
      <c r="A13" s="24" t="s">
        <v>483</v>
      </c>
      <c r="B13" s="24" t="s">
        <v>484</v>
      </c>
      <c r="C13" s="24" t="s">
        <v>480</v>
      </c>
      <c r="D13" s="24" t="s">
        <v>485</v>
      </c>
      <c r="E13" s="24" t="s">
        <v>466</v>
      </c>
      <c r="F13" s="26">
        <v>46356</v>
      </c>
      <c r="G13" s="24" t="s">
        <v>5</v>
      </c>
      <c r="H13" s="26"/>
      <c r="I13" s="24">
        <f>IF(H13&lt;&gt;"",H13-F13,MAX(0,项目驾驶舱!$B$3-F13))</f>
        <v>0</v>
      </c>
      <c r="J13" s="24" t="str">
        <f>IF(G13="已完成","绿",IF(F13&lt;项目驾驶舱!$B$3,"红",IF(F13&lt;=项目驾驶舱!$B$3+7,"黄","绿")))</f>
        <v>绿</v>
      </c>
      <c r="K13" s="24" t="s">
        <v>69</v>
      </c>
    </row>
    <row r="14" spans="1:11">
      <c r="A14" s="27"/>
      <c r="B14" s="27"/>
      <c r="C14" s="27"/>
      <c r="D14" s="27"/>
      <c r="E14" s="27"/>
      <c r="F14" s="27"/>
      <c r="G14" s="27"/>
      <c r="H14" s="27"/>
      <c r="I14" s="27"/>
      <c r="J14" s="27"/>
      <c r="K14" s="27"/>
    </row>
    <row r="15" spans="1:11">
      <c r="A15" s="27"/>
      <c r="B15" s="27"/>
      <c r="C15" s="27"/>
      <c r="D15" s="27"/>
      <c r="E15" s="27"/>
      <c r="F15" s="27"/>
      <c r="G15" s="27"/>
      <c r="H15" s="27"/>
      <c r="I15" s="27"/>
      <c r="J15" s="27"/>
      <c r="K15" s="27"/>
    </row>
    <row r="16" spans="1:11">
      <c r="A16" s="27"/>
      <c r="B16" s="27"/>
      <c r="C16" s="27"/>
      <c r="D16" s="27"/>
      <c r="E16" s="27"/>
      <c r="F16" s="27"/>
      <c r="G16" s="27"/>
      <c r="H16" s="27"/>
      <c r="I16" s="27"/>
      <c r="J16" s="27"/>
      <c r="K16" s="27"/>
    </row>
    <row r="17" spans="1:11">
      <c r="A17" s="27"/>
      <c r="B17" s="27"/>
      <c r="C17" s="27"/>
      <c r="D17" s="27"/>
      <c r="E17" s="27"/>
      <c r="F17" s="27"/>
      <c r="G17" s="27"/>
      <c r="H17" s="27"/>
      <c r="I17" s="27"/>
      <c r="J17" s="27"/>
      <c r="K17" s="27"/>
    </row>
    <row r="18" spans="1:11">
      <c r="A18" s="27"/>
      <c r="B18" s="27"/>
      <c r="C18" s="27"/>
      <c r="D18" s="27"/>
      <c r="E18" s="27"/>
      <c r="F18" s="27"/>
      <c r="G18" s="27"/>
      <c r="H18" s="27"/>
      <c r="I18" s="27"/>
      <c r="J18" s="27"/>
      <c r="K18" s="27"/>
    </row>
    <row r="19" spans="1:11">
      <c r="A19" s="27"/>
      <c r="B19" s="27"/>
      <c r="C19" s="27"/>
      <c r="D19" s="27"/>
      <c r="E19" s="27"/>
      <c r="F19" s="27"/>
      <c r="G19" s="27"/>
      <c r="H19" s="27"/>
      <c r="I19" s="27"/>
      <c r="J19" s="27"/>
      <c r="K19" s="27"/>
    </row>
    <row r="20" spans="1:11">
      <c r="A20" s="27"/>
      <c r="B20" s="27"/>
      <c r="C20" s="27"/>
      <c r="D20" s="27"/>
      <c r="E20" s="27"/>
      <c r="F20" s="27"/>
      <c r="G20" s="27"/>
      <c r="H20" s="27"/>
      <c r="I20" s="27"/>
      <c r="J20" s="27"/>
      <c r="K20" s="27"/>
    </row>
    <row r="21" spans="1:11">
      <c r="A21" s="27"/>
      <c r="B21" s="27"/>
      <c r="C21" s="27"/>
      <c r="D21" s="27"/>
      <c r="E21" s="27"/>
      <c r="F21" s="27"/>
      <c r="G21" s="27"/>
      <c r="H21" s="27"/>
      <c r="I21" s="27"/>
      <c r="J21" s="27"/>
      <c r="K21" s="27"/>
    </row>
    <row r="22" spans="1:11">
      <c r="A22" s="27"/>
      <c r="B22" s="27"/>
      <c r="C22" s="27"/>
      <c r="D22" s="27"/>
      <c r="E22" s="27"/>
      <c r="F22" s="27"/>
      <c r="G22" s="27"/>
      <c r="H22" s="27"/>
      <c r="I22" s="27"/>
      <c r="J22" s="27"/>
      <c r="K22" s="27"/>
    </row>
    <row r="23" spans="1:11">
      <c r="A23" s="27"/>
      <c r="B23" s="27"/>
      <c r="C23" s="27"/>
      <c r="D23" s="27"/>
      <c r="E23" s="27"/>
      <c r="F23" s="27"/>
      <c r="G23" s="27"/>
      <c r="H23" s="27"/>
      <c r="I23" s="27"/>
      <c r="J23" s="27"/>
      <c r="K23" s="27"/>
    </row>
  </sheetData>
  <mergeCells count="1">
    <mergeCell ref="A1:K1"/>
  </mergeCells>
  <conditionalFormatting sqref="G4:G23">
    <cfRule type="containsText" dxfId="0" priority="1" operator="between" text="已完成">
      <formula>NOT(ISERROR(SEARCH("已完成",G4)))</formula>
    </cfRule>
    <cfRule type="containsText" dxfId="1" priority="2" operator="between" text="进行中">
      <formula>NOT(ISERROR(SEARCH("进行中",G4)))</formula>
    </cfRule>
    <cfRule type="containsText" dxfId="2" priority="3" operator="between" text="未开始">
      <formula>NOT(ISERROR(SEARCH("未开始",G4)))</formula>
    </cfRule>
    <cfRule type="containsText" dxfId="3" priority="4" operator="between" text="暂停">
      <formula>NOT(ISERROR(SEARCH("暂停",G4)))</formula>
    </cfRule>
  </conditionalFormatting>
  <conditionalFormatting sqref="J4:J23">
    <cfRule type="containsText" dxfId="4" priority="5" operator="between" text="红">
      <formula>NOT(ISERROR(SEARCH("红",J4)))</formula>
    </cfRule>
    <cfRule type="containsText" dxfId="1" priority="6" operator="between" text="黄">
      <formula>NOT(ISERROR(SEARCH("黄",J4)))</formula>
    </cfRule>
    <cfRule type="containsText" dxfId="0" priority="7" operator="between" text="绿">
      <formula>NOT(ISERROR(SEARCH("绿",J4)))</formula>
    </cfRule>
  </conditionalFormatting>
  <dataValidations count="1">
    <dataValidation type="list" sqref="G4:G23">
      <formula1>"未开始,进行中,已完成,暂停"</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6"/>
  <sheetViews>
    <sheetView showGridLines="0" workbookViewId="0">
      <pane xSplit="4" ySplit="3" topLeftCell="E4" activePane="bottomRight" state="frozen"/>
      <selection/>
      <selection pane="topRight"/>
      <selection pane="bottomLeft"/>
      <selection pane="bottomRight" activeCell="A1" sqref="A1:I1"/>
    </sheetView>
  </sheetViews>
  <sheetFormatPr defaultColWidth="9" defaultRowHeight="16.8"/>
  <cols>
    <col min="1" max="1" width="8.88235294117647" style="1" customWidth="1"/>
    <col min="2" max="2" width="13.3308823529412" style="1" customWidth="1"/>
    <col min="3" max="3" width="13" style="1" customWidth="1"/>
    <col min="4" max="4" width="60.5588235294118" style="1" customWidth="1"/>
    <col min="5" max="5" width="53.4411764705882" style="1" customWidth="1"/>
    <col min="6" max="6" width="54.3308823529412" style="1" customWidth="1"/>
    <col min="7" max="7" width="59.2279411764706" style="1" customWidth="1"/>
    <col min="8" max="8" width="12" style="1" customWidth="1"/>
    <col min="9" max="9" width="28" style="1" customWidth="1"/>
  </cols>
  <sheetData>
    <row r="1" ht="34" customHeight="1" spans="1:9">
      <c r="A1" s="22" t="s">
        <v>486</v>
      </c>
      <c r="B1" s="4"/>
      <c r="C1" s="4"/>
      <c r="D1" s="4"/>
      <c r="E1" s="4"/>
      <c r="F1" s="4"/>
      <c r="G1" s="4"/>
      <c r="H1" s="4"/>
      <c r="I1" s="4"/>
    </row>
    <row r="3" ht="30" customHeight="1" spans="1:9">
      <c r="A3" s="25" t="s">
        <v>487</v>
      </c>
      <c r="B3" s="25" t="s">
        <v>488</v>
      </c>
      <c r="C3" s="25" t="s">
        <v>489</v>
      </c>
      <c r="D3" s="25" t="s">
        <v>490</v>
      </c>
      <c r="E3" s="25" t="s">
        <v>491</v>
      </c>
      <c r="F3" s="25" t="s">
        <v>492</v>
      </c>
      <c r="G3" s="25" t="s">
        <v>493</v>
      </c>
      <c r="H3" s="25" t="s">
        <v>494</v>
      </c>
      <c r="I3" s="25" t="s">
        <v>495</v>
      </c>
    </row>
    <row r="4" ht="43.2" customHeight="1" spans="1:9">
      <c r="A4" s="29">
        <v>1</v>
      </c>
      <c r="B4" s="30">
        <v>46195</v>
      </c>
      <c r="C4" s="30">
        <v>46199</v>
      </c>
      <c r="D4" s="24" t="s">
        <v>496</v>
      </c>
      <c r="E4" s="31" t="s">
        <v>496</v>
      </c>
      <c r="F4" s="31" t="s">
        <v>496</v>
      </c>
      <c r="G4" s="24" t="s">
        <v>64</v>
      </c>
      <c r="H4" s="32">
        <f t="shared" ref="H4:H26" si="0">IF(COUNTA(D4:G4)=0,0,(IF(AND(D4&lt;&gt;"",D4&lt;&gt;"/"),1,0)+IF(AND(E4&lt;&gt;"",E4&lt;&gt;"/"),1,0)+IF(AND(F4&lt;&gt;"",F4&lt;&gt;"/"),1,0)+IF(AND(G4&lt;&gt;"",G4&lt;&gt;"/"),1,0))/4)</f>
        <v>0.75</v>
      </c>
      <c r="I4" s="33"/>
    </row>
    <row r="5" ht="65.15" customHeight="1" spans="1:9">
      <c r="A5" s="29">
        <v>2</v>
      </c>
      <c r="B5" s="30">
        <v>46202</v>
      </c>
      <c r="C5" s="30">
        <v>46206</v>
      </c>
      <c r="D5" s="24" t="s">
        <v>497</v>
      </c>
      <c r="E5" s="4"/>
      <c r="F5" s="4"/>
      <c r="G5" s="31" t="s">
        <v>496</v>
      </c>
      <c r="H5" s="32">
        <f t="shared" si="0"/>
        <v>0.5</v>
      </c>
      <c r="I5" s="33"/>
    </row>
    <row r="6" ht="32.55" customHeight="1" spans="1:9">
      <c r="A6" s="29">
        <v>3</v>
      </c>
      <c r="B6" s="30">
        <v>46209</v>
      </c>
      <c r="C6" s="30">
        <v>46213</v>
      </c>
      <c r="D6" s="24" t="s">
        <v>498</v>
      </c>
      <c r="E6" s="31" t="s">
        <v>497</v>
      </c>
      <c r="F6" s="31" t="s">
        <v>497</v>
      </c>
      <c r="G6" s="4"/>
      <c r="H6" s="32">
        <f t="shared" si="0"/>
        <v>0.75</v>
      </c>
      <c r="I6" s="33"/>
    </row>
    <row r="7" ht="55.05" customHeight="1" spans="1:9">
      <c r="A7" s="29">
        <v>4</v>
      </c>
      <c r="B7" s="30">
        <v>46216</v>
      </c>
      <c r="C7" s="30">
        <v>46220</v>
      </c>
      <c r="D7" s="24" t="s">
        <v>499</v>
      </c>
      <c r="E7" s="4"/>
      <c r="F7" s="4"/>
      <c r="G7" s="31" t="s">
        <v>500</v>
      </c>
      <c r="H7" s="32">
        <f t="shared" si="0"/>
        <v>0.5</v>
      </c>
      <c r="I7" s="33"/>
    </row>
    <row r="8" ht="16.3" customHeight="1" spans="1:9">
      <c r="A8" s="29">
        <v>5</v>
      </c>
      <c r="B8" s="30">
        <v>46223</v>
      </c>
      <c r="C8" s="30">
        <v>46227</v>
      </c>
      <c r="D8" s="24" t="s">
        <v>501</v>
      </c>
      <c r="E8" s="4"/>
      <c r="F8" s="4"/>
      <c r="G8" s="4"/>
      <c r="H8" s="32">
        <f t="shared" si="0"/>
        <v>0.25</v>
      </c>
      <c r="I8" s="33"/>
    </row>
    <row r="9" ht="16.25" customHeight="1" spans="1:9">
      <c r="A9" s="29">
        <v>6</v>
      </c>
      <c r="B9" s="30">
        <v>46230</v>
      </c>
      <c r="C9" s="30">
        <v>46234</v>
      </c>
      <c r="D9" s="31" t="s">
        <v>502</v>
      </c>
      <c r="E9" s="31" t="s">
        <v>503</v>
      </c>
      <c r="F9" s="31" t="s">
        <v>503</v>
      </c>
      <c r="G9" s="4"/>
      <c r="H9" s="32">
        <f t="shared" si="0"/>
        <v>0.75</v>
      </c>
      <c r="I9" s="33"/>
    </row>
    <row r="10" ht="51.6" customHeight="1" spans="1:9">
      <c r="A10" s="29">
        <v>7</v>
      </c>
      <c r="B10" s="30">
        <v>46237</v>
      </c>
      <c r="C10" s="30">
        <v>46241</v>
      </c>
      <c r="D10" s="4"/>
      <c r="E10" s="4"/>
      <c r="F10" s="4"/>
      <c r="G10" s="24"/>
      <c r="H10" s="32">
        <f t="shared" si="0"/>
        <v>0</v>
      </c>
      <c r="I10" s="33"/>
    </row>
    <row r="11" ht="16.25" customHeight="1" spans="1:9">
      <c r="A11" s="29">
        <v>8</v>
      </c>
      <c r="B11" s="30">
        <v>46244</v>
      </c>
      <c r="C11" s="30">
        <v>46248</v>
      </c>
      <c r="D11" s="24"/>
      <c r="E11" s="4"/>
      <c r="F11" s="4"/>
      <c r="G11" s="24"/>
      <c r="H11" s="32">
        <f t="shared" si="0"/>
        <v>0</v>
      </c>
      <c r="I11" s="33"/>
    </row>
    <row r="12" ht="16.25" customHeight="1" spans="1:9">
      <c r="A12" s="29">
        <v>9</v>
      </c>
      <c r="B12" s="30">
        <v>46251</v>
      </c>
      <c r="C12" s="30">
        <v>46255</v>
      </c>
      <c r="D12" s="24"/>
      <c r="E12" s="4"/>
      <c r="F12" s="4"/>
      <c r="G12" s="31" t="s">
        <v>503</v>
      </c>
      <c r="H12" s="32">
        <f t="shared" si="0"/>
        <v>0.25</v>
      </c>
      <c r="I12" s="33"/>
    </row>
    <row r="13" ht="16.25" customHeight="1" spans="1:9">
      <c r="A13" s="29">
        <v>10</v>
      </c>
      <c r="B13" s="30">
        <v>46258</v>
      </c>
      <c r="C13" s="30">
        <v>46262</v>
      </c>
      <c r="D13" s="24"/>
      <c r="E13" s="4"/>
      <c r="F13" s="4"/>
      <c r="G13" s="4"/>
      <c r="H13" s="32">
        <f t="shared" si="0"/>
        <v>0</v>
      </c>
      <c r="I13" s="33"/>
    </row>
    <row r="14" ht="32.55" customHeight="1" spans="1:9">
      <c r="A14" s="29">
        <v>11</v>
      </c>
      <c r="B14" s="30">
        <v>46265</v>
      </c>
      <c r="C14" s="30">
        <v>46269</v>
      </c>
      <c r="D14" s="24"/>
      <c r="E14" s="24" t="s">
        <v>499</v>
      </c>
      <c r="F14" s="24" t="s">
        <v>499</v>
      </c>
      <c r="G14" s="4"/>
      <c r="H14" s="32">
        <f t="shared" si="0"/>
        <v>0.5</v>
      </c>
      <c r="I14" s="33"/>
    </row>
    <row r="15" s="28" customFormat="1" ht="32.55" customHeight="1" spans="1:9">
      <c r="A15" s="34">
        <v>12</v>
      </c>
      <c r="B15" s="35">
        <v>46272</v>
      </c>
      <c r="C15" s="35">
        <v>46276</v>
      </c>
      <c r="D15" s="36"/>
      <c r="E15" s="37" t="s">
        <v>501</v>
      </c>
      <c r="F15" s="37" t="s">
        <v>501</v>
      </c>
      <c r="G15" s="36" t="s">
        <v>499</v>
      </c>
      <c r="H15" s="38">
        <f t="shared" si="0"/>
        <v>0.75</v>
      </c>
      <c r="I15" s="39"/>
    </row>
    <row r="16" s="28" customFormat="1" ht="16.25" customHeight="1" spans="1:9">
      <c r="A16" s="34">
        <v>13</v>
      </c>
      <c r="B16" s="35">
        <v>46279</v>
      </c>
      <c r="C16" s="35">
        <v>46283</v>
      </c>
      <c r="D16" s="36"/>
      <c r="E16" s="4"/>
      <c r="F16" s="4"/>
      <c r="G16" s="36"/>
      <c r="H16" s="38">
        <f t="shared" si="0"/>
        <v>0</v>
      </c>
      <c r="I16" s="39"/>
    </row>
    <row r="17" s="28" customFormat="1" ht="16.25" customHeight="1" spans="1:9">
      <c r="A17" s="34">
        <v>14</v>
      </c>
      <c r="B17" s="35">
        <v>46286</v>
      </c>
      <c r="C17" s="35">
        <v>46290</v>
      </c>
      <c r="D17" s="36"/>
      <c r="E17" s="4"/>
      <c r="F17" s="4"/>
      <c r="G17" s="36"/>
      <c r="H17" s="38">
        <f t="shared" si="0"/>
        <v>0</v>
      </c>
      <c r="I17" s="39"/>
    </row>
    <row r="18" s="28" customFormat="1" ht="16.25" customHeight="1" spans="1:9">
      <c r="A18" s="34">
        <v>15</v>
      </c>
      <c r="B18" s="35">
        <v>46293</v>
      </c>
      <c r="C18" s="35">
        <v>46297</v>
      </c>
      <c r="D18" s="36"/>
      <c r="E18" s="4"/>
      <c r="F18" s="4"/>
      <c r="G18" s="36"/>
      <c r="H18" s="38">
        <f t="shared" si="0"/>
        <v>0</v>
      </c>
      <c r="I18" s="39"/>
    </row>
    <row r="19" s="28" customFormat="1" ht="16.25" customHeight="1" spans="1:9">
      <c r="A19" s="34">
        <v>16</v>
      </c>
      <c r="B19" s="35">
        <v>46300</v>
      </c>
      <c r="C19" s="35">
        <v>46304</v>
      </c>
      <c r="D19" s="36"/>
      <c r="E19" s="4"/>
      <c r="F19" s="4"/>
      <c r="G19" s="36"/>
      <c r="H19" s="38">
        <f t="shared" si="0"/>
        <v>0</v>
      </c>
      <c r="I19" s="39"/>
    </row>
    <row r="20" ht="16.25" customHeight="1" spans="1:9">
      <c r="A20" s="29">
        <v>17</v>
      </c>
      <c r="B20" s="30">
        <v>46307</v>
      </c>
      <c r="C20" s="30">
        <v>46311</v>
      </c>
      <c r="D20" s="24"/>
      <c r="E20" s="31" t="s">
        <v>502</v>
      </c>
      <c r="F20" s="31" t="s">
        <v>502</v>
      </c>
      <c r="G20" s="31" t="s">
        <v>501</v>
      </c>
      <c r="H20" s="32">
        <f t="shared" si="0"/>
        <v>0.75</v>
      </c>
      <c r="I20" s="33"/>
    </row>
    <row r="21" ht="16.25" customHeight="1" spans="1:9">
      <c r="A21" s="29">
        <v>18</v>
      </c>
      <c r="B21" s="30">
        <v>46314</v>
      </c>
      <c r="C21" s="30">
        <v>46318</v>
      </c>
      <c r="D21" s="24"/>
      <c r="E21" s="4"/>
      <c r="F21" s="4"/>
      <c r="G21" s="4"/>
      <c r="H21" s="32">
        <f t="shared" si="0"/>
        <v>0</v>
      </c>
      <c r="I21" s="33"/>
    </row>
    <row r="22" ht="16.25" customHeight="1" spans="1:9">
      <c r="A22" s="29">
        <v>19</v>
      </c>
      <c r="B22" s="30">
        <v>46321</v>
      </c>
      <c r="C22" s="30">
        <v>46325</v>
      </c>
      <c r="D22" s="24"/>
      <c r="E22" s="4"/>
      <c r="F22" s="4"/>
      <c r="G22" s="24"/>
      <c r="H22" s="32">
        <f t="shared" si="0"/>
        <v>0</v>
      </c>
      <c r="I22" s="33"/>
    </row>
    <row r="23" ht="16.25" customHeight="1" spans="1:9">
      <c r="A23" s="29">
        <v>20</v>
      </c>
      <c r="B23" s="30">
        <v>46328</v>
      </c>
      <c r="C23" s="30">
        <v>46332</v>
      </c>
      <c r="D23" s="24"/>
      <c r="E23" s="4"/>
      <c r="F23" s="4"/>
      <c r="G23" s="24"/>
      <c r="H23" s="32">
        <f t="shared" si="0"/>
        <v>0</v>
      </c>
      <c r="I23" s="33"/>
    </row>
    <row r="24" ht="16.25" customHeight="1" spans="1:9">
      <c r="A24" s="29">
        <v>21</v>
      </c>
      <c r="B24" s="30">
        <v>46335</v>
      </c>
      <c r="C24" s="30">
        <v>46339</v>
      </c>
      <c r="D24" s="24"/>
      <c r="E24" s="4"/>
      <c r="F24" s="4"/>
      <c r="G24" s="24"/>
      <c r="H24" s="32">
        <f t="shared" si="0"/>
        <v>0</v>
      </c>
      <c r="I24" s="33"/>
    </row>
    <row r="25" ht="16.25" customHeight="1" spans="1:9">
      <c r="A25" s="29">
        <v>22</v>
      </c>
      <c r="B25" s="30">
        <v>46342</v>
      </c>
      <c r="C25" s="30">
        <v>46346</v>
      </c>
      <c r="D25" s="24"/>
      <c r="E25" s="24"/>
      <c r="F25" s="24"/>
      <c r="G25" s="31" t="s">
        <v>502</v>
      </c>
      <c r="H25" s="32">
        <f t="shared" si="0"/>
        <v>0.25</v>
      </c>
      <c r="I25" s="33"/>
    </row>
    <row r="26" ht="16.25" customHeight="1" spans="1:9">
      <c r="A26" s="29">
        <v>23</v>
      </c>
      <c r="B26" s="30">
        <v>46349</v>
      </c>
      <c r="C26" s="30">
        <v>46353</v>
      </c>
      <c r="D26" s="24"/>
      <c r="E26" s="24"/>
      <c r="F26" s="24"/>
      <c r="G26" s="4"/>
      <c r="H26" s="32">
        <f t="shared" si="0"/>
        <v>0</v>
      </c>
      <c r="I26" s="33"/>
    </row>
  </sheetData>
  <mergeCells count="17">
    <mergeCell ref="A1:I1"/>
    <mergeCell ref="D9:D10"/>
    <mergeCell ref="E4:E5"/>
    <mergeCell ref="E6:E8"/>
    <mergeCell ref="E9:E13"/>
    <mergeCell ref="E15:E19"/>
    <mergeCell ref="E20:E24"/>
    <mergeCell ref="F4:F5"/>
    <mergeCell ref="F6:F8"/>
    <mergeCell ref="F9:F13"/>
    <mergeCell ref="F15:F19"/>
    <mergeCell ref="F20:F24"/>
    <mergeCell ref="G5:G6"/>
    <mergeCell ref="G7:G9"/>
    <mergeCell ref="G12:G14"/>
    <mergeCell ref="G20:G21"/>
    <mergeCell ref="G25:G26"/>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3"/>
  <sheetViews>
    <sheetView showGridLines="0" workbookViewId="0">
      <selection activeCell="A1" sqref="A1:L1"/>
    </sheetView>
  </sheetViews>
  <sheetFormatPr defaultColWidth="9" defaultRowHeight="16.8"/>
  <cols>
    <col min="1" max="1" width="11" style="1" customWidth="1"/>
    <col min="2" max="2" width="23" style="1" customWidth="1"/>
    <col min="3" max="4" width="14" style="1" customWidth="1"/>
    <col min="5" max="5" width="34" style="1" customWidth="1"/>
    <col min="6" max="6" width="38" style="1" customWidth="1"/>
    <col min="7" max="7" width="11" style="1" customWidth="1"/>
    <col min="8" max="9" width="13" style="1" customWidth="1"/>
    <col min="10" max="10" width="28" style="1" customWidth="1"/>
    <col min="11" max="11" width="11" style="1" customWidth="1"/>
    <col min="12" max="12" width="45" style="1" customWidth="1"/>
  </cols>
  <sheetData>
    <row r="1" ht="34" customHeight="1" spans="1:12">
      <c r="A1" s="22" t="s">
        <v>504</v>
      </c>
      <c r="B1" s="4"/>
      <c r="C1" s="4"/>
      <c r="D1" s="4"/>
      <c r="E1" s="4"/>
      <c r="F1" s="4"/>
      <c r="G1" s="4"/>
      <c r="H1" s="4"/>
      <c r="I1" s="4"/>
      <c r="J1" s="4"/>
      <c r="K1" s="4"/>
      <c r="L1" s="4"/>
    </row>
    <row r="3" ht="30" customHeight="1" spans="1:12">
      <c r="A3" s="25" t="s">
        <v>505</v>
      </c>
      <c r="B3" s="25" t="s">
        <v>506</v>
      </c>
      <c r="C3" s="25" t="s">
        <v>507</v>
      </c>
      <c r="D3" s="25" t="s">
        <v>508</v>
      </c>
      <c r="E3" s="25" t="s">
        <v>509</v>
      </c>
      <c r="F3" s="25" t="s">
        <v>510</v>
      </c>
      <c r="G3" s="25" t="s">
        <v>511</v>
      </c>
      <c r="H3" s="25" t="s">
        <v>39</v>
      </c>
      <c r="I3" s="25" t="s">
        <v>512</v>
      </c>
      <c r="J3" s="25" t="s">
        <v>513</v>
      </c>
      <c r="K3" s="25" t="s">
        <v>514</v>
      </c>
      <c r="L3" s="25" t="s">
        <v>515</v>
      </c>
    </row>
    <row r="4" ht="17" customHeight="1" spans="1:12">
      <c r="A4" s="24" t="s">
        <v>516</v>
      </c>
      <c r="B4" s="24" t="s">
        <v>517</v>
      </c>
      <c r="C4" s="24" t="s">
        <v>518</v>
      </c>
      <c r="D4" s="24" t="s">
        <v>519</v>
      </c>
      <c r="E4" s="24" t="s">
        <v>520</v>
      </c>
      <c r="F4" s="24" t="s">
        <v>3</v>
      </c>
      <c r="G4" s="24" t="s">
        <v>3</v>
      </c>
      <c r="H4" s="24"/>
      <c r="I4" s="24"/>
      <c r="J4" s="24"/>
      <c r="K4" s="24" t="s">
        <v>521</v>
      </c>
      <c r="L4" s="24"/>
    </row>
    <row r="5" ht="84" customHeight="1" spans="1:12">
      <c r="A5" s="24" t="s">
        <v>522</v>
      </c>
      <c r="B5" s="24" t="s">
        <v>523</v>
      </c>
      <c r="C5" s="24" t="s">
        <v>518</v>
      </c>
      <c r="D5" s="24" t="s">
        <v>524</v>
      </c>
      <c r="E5" s="24" t="s">
        <v>525</v>
      </c>
      <c r="F5" s="24" t="s">
        <v>526</v>
      </c>
      <c r="G5" s="24" t="s">
        <v>4</v>
      </c>
      <c r="H5" s="24"/>
      <c r="I5" s="24"/>
      <c r="J5" s="24"/>
      <c r="K5" s="24" t="s">
        <v>527</v>
      </c>
      <c r="L5" s="24" t="s">
        <v>528</v>
      </c>
    </row>
    <row r="6" ht="17" customHeight="1" spans="1:12">
      <c r="A6" s="24" t="s">
        <v>529</v>
      </c>
      <c r="B6" s="24" t="s">
        <v>530</v>
      </c>
      <c r="C6" s="24" t="s">
        <v>518</v>
      </c>
      <c r="D6" s="24" t="s">
        <v>531</v>
      </c>
      <c r="E6" s="24" t="s">
        <v>532</v>
      </c>
      <c r="F6" s="24" t="s">
        <v>3</v>
      </c>
      <c r="G6" s="24" t="s">
        <v>3</v>
      </c>
      <c r="H6" s="24"/>
      <c r="I6" s="24"/>
      <c r="J6" s="24"/>
      <c r="K6" s="24" t="s">
        <v>527</v>
      </c>
      <c r="L6" s="24" t="s">
        <v>533</v>
      </c>
    </row>
    <row r="7" ht="34" customHeight="1" spans="1:12">
      <c r="A7" s="24" t="s">
        <v>534</v>
      </c>
      <c r="B7" s="24" t="s">
        <v>535</v>
      </c>
      <c r="C7" s="24" t="s">
        <v>518</v>
      </c>
      <c r="D7" s="24"/>
      <c r="E7" s="24" t="s">
        <v>536</v>
      </c>
      <c r="F7" s="24" t="s">
        <v>537</v>
      </c>
      <c r="G7" s="24" t="s">
        <v>4</v>
      </c>
      <c r="H7" s="24"/>
      <c r="I7" s="24"/>
      <c r="J7" s="24"/>
      <c r="K7" s="24" t="s">
        <v>527</v>
      </c>
      <c r="L7" s="24" t="s">
        <v>538</v>
      </c>
    </row>
    <row r="8" ht="17" customHeight="1" spans="1:12">
      <c r="A8" s="24" t="s">
        <v>539</v>
      </c>
      <c r="B8" s="24" t="s">
        <v>540</v>
      </c>
      <c r="C8" s="24" t="s">
        <v>541</v>
      </c>
      <c r="D8" s="24" t="s">
        <v>542</v>
      </c>
      <c r="E8" s="24" t="s">
        <v>543</v>
      </c>
      <c r="F8" s="24" t="s">
        <v>544</v>
      </c>
      <c r="G8" s="24" t="s">
        <v>5</v>
      </c>
      <c r="H8" s="24"/>
      <c r="I8" s="24"/>
      <c r="J8" s="24"/>
      <c r="K8" s="24" t="s">
        <v>521</v>
      </c>
      <c r="L8" s="24" t="s">
        <v>545</v>
      </c>
    </row>
    <row r="9" ht="17" customHeight="1" spans="1:12">
      <c r="A9" s="24" t="s">
        <v>546</v>
      </c>
      <c r="B9" s="24" t="s">
        <v>547</v>
      </c>
      <c r="C9" s="24" t="s">
        <v>541</v>
      </c>
      <c r="D9" s="24" t="s">
        <v>64</v>
      </c>
      <c r="E9" s="24" t="s">
        <v>543</v>
      </c>
      <c r="F9" s="24" t="s">
        <v>544</v>
      </c>
      <c r="G9" s="24" t="s">
        <v>5</v>
      </c>
      <c r="H9" s="24"/>
      <c r="I9" s="24"/>
      <c r="J9" s="24"/>
      <c r="K9" s="24" t="s">
        <v>527</v>
      </c>
      <c r="L9" s="24" t="s">
        <v>548</v>
      </c>
    </row>
    <row r="10" spans="1:12">
      <c r="A10" s="27"/>
      <c r="B10" s="27"/>
      <c r="C10" s="27"/>
      <c r="D10" s="27"/>
      <c r="E10" s="27"/>
      <c r="F10" s="27"/>
      <c r="G10" s="27"/>
      <c r="H10" s="27"/>
      <c r="I10" s="27"/>
      <c r="J10" s="27"/>
      <c r="K10" s="27"/>
      <c r="L10" s="27"/>
    </row>
    <row r="11" spans="1:12">
      <c r="A11" s="27"/>
      <c r="B11" s="27"/>
      <c r="C11" s="27"/>
      <c r="D11" s="27"/>
      <c r="E11" s="27"/>
      <c r="F11" s="27"/>
      <c r="G11" s="27"/>
      <c r="H11" s="27"/>
      <c r="I11" s="27"/>
      <c r="J11" s="27"/>
      <c r="K11" s="27"/>
      <c r="L11" s="27"/>
    </row>
    <row r="12" spans="1:12">
      <c r="A12" s="27"/>
      <c r="B12" s="27"/>
      <c r="C12" s="27"/>
      <c r="D12" s="27"/>
      <c r="E12" s="27"/>
      <c r="F12" s="27"/>
      <c r="G12" s="27"/>
      <c r="H12" s="27"/>
      <c r="I12" s="27"/>
      <c r="J12" s="27"/>
      <c r="K12" s="27"/>
      <c r="L12" s="27"/>
    </row>
    <row r="13" spans="1:12">
      <c r="A13" s="27"/>
      <c r="B13" s="27"/>
      <c r="C13" s="27"/>
      <c r="D13" s="27"/>
      <c r="E13" s="27"/>
      <c r="F13" s="27"/>
      <c r="G13" s="27"/>
      <c r="H13" s="27"/>
      <c r="I13" s="27"/>
      <c r="J13" s="27"/>
      <c r="K13" s="27"/>
      <c r="L13" s="27"/>
    </row>
    <row r="14" spans="1:12">
      <c r="A14" s="27"/>
      <c r="B14" s="27"/>
      <c r="C14" s="27"/>
      <c r="D14" s="27"/>
      <c r="E14" s="27"/>
      <c r="F14" s="27"/>
      <c r="G14" s="27"/>
      <c r="H14" s="27"/>
      <c r="I14" s="27"/>
      <c r="J14" s="27"/>
      <c r="K14" s="27"/>
      <c r="L14" s="27"/>
    </row>
    <row r="15" spans="1:12">
      <c r="A15" s="27"/>
      <c r="B15" s="27"/>
      <c r="C15" s="27"/>
      <c r="D15" s="27"/>
      <c r="E15" s="27"/>
      <c r="F15" s="27"/>
      <c r="G15" s="27"/>
      <c r="H15" s="27"/>
      <c r="I15" s="27"/>
      <c r="J15" s="27"/>
      <c r="K15" s="27"/>
      <c r="L15" s="27"/>
    </row>
    <row r="16" spans="1:12">
      <c r="A16" s="27"/>
      <c r="B16" s="27"/>
      <c r="C16" s="27"/>
      <c r="D16" s="27"/>
      <c r="E16" s="27"/>
      <c r="F16" s="27"/>
      <c r="G16" s="27"/>
      <c r="H16" s="27"/>
      <c r="I16" s="27"/>
      <c r="J16" s="27"/>
      <c r="K16" s="27"/>
      <c r="L16" s="27"/>
    </row>
    <row r="17" spans="1:12">
      <c r="A17" s="27"/>
      <c r="B17" s="27"/>
      <c r="C17" s="27"/>
      <c r="D17" s="27"/>
      <c r="E17" s="27"/>
      <c r="F17" s="27"/>
      <c r="G17" s="27"/>
      <c r="H17" s="27"/>
      <c r="I17" s="27"/>
      <c r="J17" s="27"/>
      <c r="K17" s="27"/>
      <c r="L17" s="27"/>
    </row>
    <row r="18" spans="1:12">
      <c r="A18" s="27"/>
      <c r="B18" s="27"/>
      <c r="C18" s="27"/>
      <c r="D18" s="27"/>
      <c r="E18" s="27"/>
      <c r="F18" s="27"/>
      <c r="G18" s="27"/>
      <c r="H18" s="27"/>
      <c r="I18" s="27"/>
      <c r="J18" s="27"/>
      <c r="K18" s="27"/>
      <c r="L18" s="27"/>
    </row>
    <row r="19" spans="1:12">
      <c r="A19" s="27"/>
      <c r="B19" s="27"/>
      <c r="C19" s="27"/>
      <c r="D19" s="27"/>
      <c r="E19" s="27"/>
      <c r="F19" s="27"/>
      <c r="G19" s="27"/>
      <c r="H19" s="27"/>
      <c r="I19" s="27"/>
      <c r="J19" s="27"/>
      <c r="K19" s="27"/>
      <c r="L19" s="27"/>
    </row>
    <row r="20" spans="1:12">
      <c r="A20" s="27"/>
      <c r="B20" s="27"/>
      <c r="C20" s="27"/>
      <c r="D20" s="27"/>
      <c r="E20" s="27"/>
      <c r="F20" s="27"/>
      <c r="G20" s="27"/>
      <c r="H20" s="27"/>
      <c r="I20" s="27"/>
      <c r="J20" s="27"/>
      <c r="K20" s="27"/>
      <c r="L20" s="27"/>
    </row>
    <row r="21" spans="1:12">
      <c r="A21" s="27"/>
      <c r="B21" s="27"/>
      <c r="C21" s="27"/>
      <c r="D21" s="27"/>
      <c r="E21" s="27"/>
      <c r="F21" s="27"/>
      <c r="G21" s="27"/>
      <c r="H21" s="27"/>
      <c r="I21" s="27"/>
      <c r="J21" s="27"/>
      <c r="K21" s="27"/>
      <c r="L21" s="27"/>
    </row>
    <row r="22" spans="1:12">
      <c r="A22" s="27"/>
      <c r="B22" s="27"/>
      <c r="C22" s="27"/>
      <c r="D22" s="27"/>
      <c r="E22" s="27"/>
      <c r="F22" s="27"/>
      <c r="G22" s="27"/>
      <c r="H22" s="27"/>
      <c r="I22" s="27"/>
      <c r="J22" s="27"/>
      <c r="K22" s="27"/>
      <c r="L22" s="27"/>
    </row>
    <row r="23" spans="1:12">
      <c r="A23" s="27"/>
      <c r="B23" s="27"/>
      <c r="C23" s="27"/>
      <c r="D23" s="27"/>
      <c r="E23" s="27"/>
      <c r="F23" s="27"/>
      <c r="G23" s="27"/>
      <c r="H23" s="27"/>
      <c r="I23" s="27"/>
      <c r="J23" s="27"/>
      <c r="K23" s="27"/>
      <c r="L23" s="27"/>
    </row>
    <row r="24" spans="1:12">
      <c r="A24" s="27"/>
      <c r="B24" s="27"/>
      <c r="C24" s="27"/>
      <c r="D24" s="27"/>
      <c r="E24" s="27"/>
      <c r="F24" s="27"/>
      <c r="G24" s="27"/>
      <c r="H24" s="27"/>
      <c r="I24" s="27"/>
      <c r="J24" s="27"/>
      <c r="K24" s="27"/>
      <c r="L24" s="27"/>
    </row>
    <row r="25" spans="1:12">
      <c r="A25" s="27"/>
      <c r="B25" s="27"/>
      <c r="C25" s="27"/>
      <c r="D25" s="27"/>
      <c r="E25" s="27"/>
      <c r="F25" s="27"/>
      <c r="G25" s="27"/>
      <c r="H25" s="27"/>
      <c r="I25" s="27"/>
      <c r="J25" s="27"/>
      <c r="K25" s="27"/>
      <c r="L25" s="27"/>
    </row>
    <row r="26" spans="1:12">
      <c r="A26" s="27"/>
      <c r="B26" s="27"/>
      <c r="C26" s="27"/>
      <c r="D26" s="27"/>
      <c r="E26" s="27"/>
      <c r="F26" s="27"/>
      <c r="G26" s="27"/>
      <c r="H26" s="27"/>
      <c r="I26" s="27"/>
      <c r="J26" s="27"/>
      <c r="K26" s="27"/>
      <c r="L26" s="27"/>
    </row>
    <row r="27" spans="1:12">
      <c r="A27" s="27"/>
      <c r="B27" s="27"/>
      <c r="C27" s="27"/>
      <c r="D27" s="27"/>
      <c r="E27" s="27"/>
      <c r="F27" s="27"/>
      <c r="G27" s="27"/>
      <c r="H27" s="27"/>
      <c r="I27" s="27"/>
      <c r="J27" s="27"/>
      <c r="K27" s="27"/>
      <c r="L27" s="27"/>
    </row>
    <row r="28" spans="1:12">
      <c r="A28" s="27"/>
      <c r="B28" s="27"/>
      <c r="C28" s="27"/>
      <c r="D28" s="27"/>
      <c r="E28" s="27"/>
      <c r="F28" s="27"/>
      <c r="G28" s="27"/>
      <c r="H28" s="27"/>
      <c r="I28" s="27"/>
      <c r="J28" s="27"/>
      <c r="K28" s="27"/>
      <c r="L28" s="27"/>
    </row>
    <row r="29" spans="1:12">
      <c r="A29" s="27"/>
      <c r="B29" s="27"/>
      <c r="C29" s="27"/>
      <c r="D29" s="27"/>
      <c r="E29" s="27"/>
      <c r="F29" s="27"/>
      <c r="G29" s="27"/>
      <c r="H29" s="27"/>
      <c r="I29" s="27"/>
      <c r="J29" s="27"/>
      <c r="K29" s="27"/>
      <c r="L29" s="27"/>
    </row>
    <row r="30" spans="1:12">
      <c r="A30" s="27"/>
      <c r="B30" s="27"/>
      <c r="C30" s="27"/>
      <c r="D30" s="27"/>
      <c r="E30" s="27"/>
      <c r="F30" s="27"/>
      <c r="G30" s="27"/>
      <c r="H30" s="27"/>
      <c r="I30" s="27"/>
      <c r="J30" s="27"/>
      <c r="K30" s="27"/>
      <c r="L30" s="27"/>
    </row>
    <row r="31" spans="1:12">
      <c r="A31" s="27"/>
      <c r="B31" s="27"/>
      <c r="C31" s="27"/>
      <c r="D31" s="27"/>
      <c r="E31" s="27"/>
      <c r="F31" s="27"/>
      <c r="G31" s="27"/>
      <c r="H31" s="27"/>
      <c r="I31" s="27"/>
      <c r="J31" s="27"/>
      <c r="K31" s="27"/>
      <c r="L31" s="27"/>
    </row>
    <row r="32" spans="1:12">
      <c r="A32" s="27"/>
      <c r="B32" s="27"/>
      <c r="C32" s="27"/>
      <c r="D32" s="27"/>
      <c r="E32" s="27"/>
      <c r="F32" s="27"/>
      <c r="G32" s="27"/>
      <c r="H32" s="27"/>
      <c r="I32" s="27"/>
      <c r="J32" s="27"/>
      <c r="K32" s="27"/>
      <c r="L32" s="27"/>
    </row>
    <row r="33" spans="1:12">
      <c r="A33" s="27"/>
      <c r="B33" s="27"/>
      <c r="C33" s="27"/>
      <c r="D33" s="27"/>
      <c r="E33" s="27"/>
      <c r="F33" s="27"/>
      <c r="G33" s="27"/>
      <c r="H33" s="27"/>
      <c r="I33" s="27"/>
      <c r="J33" s="27"/>
      <c r="K33" s="27"/>
      <c r="L33" s="27"/>
    </row>
    <row r="34" spans="1:12">
      <c r="A34" s="27"/>
      <c r="B34" s="27"/>
      <c r="C34" s="27"/>
      <c r="D34" s="27"/>
      <c r="E34" s="27"/>
      <c r="F34" s="27"/>
      <c r="G34" s="27"/>
      <c r="H34" s="27"/>
      <c r="I34" s="27"/>
      <c r="J34" s="27"/>
      <c r="K34" s="27"/>
      <c r="L34" s="27"/>
    </row>
    <row r="35" spans="1:12">
      <c r="A35" s="27"/>
      <c r="B35" s="27"/>
      <c r="C35" s="27"/>
      <c r="D35" s="27"/>
      <c r="E35" s="27"/>
      <c r="F35" s="27"/>
      <c r="G35" s="27"/>
      <c r="H35" s="27"/>
      <c r="I35" s="27"/>
      <c r="J35" s="27"/>
      <c r="K35" s="27"/>
      <c r="L35" s="27"/>
    </row>
    <row r="36" spans="1:12">
      <c r="A36" s="27"/>
      <c r="B36" s="27"/>
      <c r="C36" s="27"/>
      <c r="D36" s="27"/>
      <c r="E36" s="27"/>
      <c r="F36" s="27"/>
      <c r="G36" s="27"/>
      <c r="H36" s="27"/>
      <c r="I36" s="27"/>
      <c r="J36" s="27"/>
      <c r="K36" s="27"/>
      <c r="L36" s="27"/>
    </row>
    <row r="37" spans="1:12">
      <c r="A37" s="27"/>
      <c r="B37" s="27"/>
      <c r="C37" s="27"/>
      <c r="D37" s="27"/>
      <c r="E37" s="27"/>
      <c r="F37" s="27"/>
      <c r="G37" s="27"/>
      <c r="H37" s="27"/>
      <c r="I37" s="27"/>
      <c r="J37" s="27"/>
      <c r="K37" s="27"/>
      <c r="L37" s="27"/>
    </row>
    <row r="38" spans="1:12">
      <c r="A38" s="27"/>
      <c r="B38" s="27"/>
      <c r="C38" s="27"/>
      <c r="D38" s="27"/>
      <c r="E38" s="27"/>
      <c r="F38" s="27"/>
      <c r="G38" s="27"/>
      <c r="H38" s="27"/>
      <c r="I38" s="27"/>
      <c r="J38" s="27"/>
      <c r="K38" s="27"/>
      <c r="L38" s="27"/>
    </row>
    <row r="39" spans="1:12">
      <c r="A39" s="27"/>
      <c r="B39" s="27"/>
      <c r="C39" s="27"/>
      <c r="D39" s="27"/>
      <c r="E39" s="27"/>
      <c r="F39" s="27"/>
      <c r="G39" s="27"/>
      <c r="H39" s="27"/>
      <c r="I39" s="27"/>
      <c r="J39" s="27"/>
      <c r="K39" s="27"/>
      <c r="L39" s="27"/>
    </row>
    <row r="40" spans="1:12">
      <c r="A40" s="27"/>
      <c r="B40" s="27"/>
      <c r="C40" s="27"/>
      <c r="D40" s="27"/>
      <c r="E40" s="27"/>
      <c r="F40" s="27"/>
      <c r="G40" s="27"/>
      <c r="H40" s="27"/>
      <c r="I40" s="27"/>
      <c r="J40" s="27"/>
      <c r="K40" s="27"/>
      <c r="L40" s="27"/>
    </row>
    <row r="41" spans="1:12">
      <c r="A41" s="27"/>
      <c r="B41" s="27"/>
      <c r="C41" s="27"/>
      <c r="D41" s="27"/>
      <c r="E41" s="27"/>
      <c r="F41" s="27"/>
      <c r="G41" s="27"/>
      <c r="H41" s="27"/>
      <c r="I41" s="27"/>
      <c r="J41" s="27"/>
      <c r="K41" s="27"/>
      <c r="L41" s="27"/>
    </row>
    <row r="42" spans="1:12">
      <c r="A42" s="27"/>
      <c r="B42" s="27"/>
      <c r="C42" s="27"/>
      <c r="D42" s="27"/>
      <c r="E42" s="27"/>
      <c r="F42" s="27"/>
      <c r="G42" s="27"/>
      <c r="H42" s="27"/>
      <c r="I42" s="27"/>
      <c r="J42" s="27"/>
      <c r="K42" s="27"/>
      <c r="L42" s="27"/>
    </row>
    <row r="43" spans="1:12">
      <c r="A43" s="27"/>
      <c r="B43" s="27"/>
      <c r="C43" s="27"/>
      <c r="D43" s="27"/>
      <c r="E43" s="27"/>
      <c r="F43" s="27"/>
      <c r="G43" s="27"/>
      <c r="H43" s="27"/>
      <c r="I43" s="27"/>
      <c r="J43" s="27"/>
      <c r="K43" s="27"/>
      <c r="L43" s="27"/>
    </row>
    <row r="44" spans="1:12">
      <c r="A44" s="27"/>
      <c r="B44" s="27"/>
      <c r="C44" s="27"/>
      <c r="D44" s="27"/>
      <c r="E44" s="27"/>
      <c r="F44" s="27"/>
      <c r="G44" s="27"/>
      <c r="H44" s="27"/>
      <c r="I44" s="27"/>
      <c r="J44" s="27"/>
      <c r="K44" s="27"/>
      <c r="L44" s="27"/>
    </row>
    <row r="45" spans="1:12">
      <c r="A45" s="27"/>
      <c r="B45" s="27"/>
      <c r="C45" s="27"/>
      <c r="D45" s="27"/>
      <c r="E45" s="27"/>
      <c r="F45" s="27"/>
      <c r="G45" s="27"/>
      <c r="H45" s="27"/>
      <c r="I45" s="27"/>
      <c r="J45" s="27"/>
      <c r="K45" s="27"/>
      <c r="L45" s="27"/>
    </row>
    <row r="46" spans="1:12">
      <c r="A46" s="27"/>
      <c r="B46" s="27"/>
      <c r="C46" s="27"/>
      <c r="D46" s="27"/>
      <c r="E46" s="27"/>
      <c r="F46" s="27"/>
      <c r="G46" s="27"/>
      <c r="H46" s="27"/>
      <c r="I46" s="27"/>
      <c r="J46" s="27"/>
      <c r="K46" s="27"/>
      <c r="L46" s="27"/>
    </row>
    <row r="47" spans="1:12">
      <c r="A47" s="27"/>
      <c r="B47" s="27"/>
      <c r="C47" s="27"/>
      <c r="D47" s="27"/>
      <c r="E47" s="27"/>
      <c r="F47" s="27"/>
      <c r="G47" s="27"/>
      <c r="H47" s="27"/>
      <c r="I47" s="27"/>
      <c r="J47" s="27"/>
      <c r="K47" s="27"/>
      <c r="L47" s="27"/>
    </row>
    <row r="48" spans="1:12">
      <c r="A48" s="27"/>
      <c r="B48" s="27"/>
      <c r="C48" s="27"/>
      <c r="D48" s="27"/>
      <c r="E48" s="27"/>
      <c r="F48" s="27"/>
      <c r="G48" s="27"/>
      <c r="H48" s="27"/>
      <c r="I48" s="27"/>
      <c r="J48" s="27"/>
      <c r="K48" s="27"/>
      <c r="L48" s="27"/>
    </row>
    <row r="49" spans="1:12">
      <c r="A49" s="27"/>
      <c r="B49" s="27"/>
      <c r="C49" s="27"/>
      <c r="D49" s="27"/>
      <c r="E49" s="27"/>
      <c r="F49" s="27"/>
      <c r="G49" s="27"/>
      <c r="H49" s="27"/>
      <c r="I49" s="27"/>
      <c r="J49" s="27"/>
      <c r="K49" s="27"/>
      <c r="L49" s="27"/>
    </row>
    <row r="50" spans="1:12">
      <c r="A50" s="27"/>
      <c r="B50" s="27"/>
      <c r="C50" s="27"/>
      <c r="D50" s="27"/>
      <c r="E50" s="27"/>
      <c r="F50" s="27"/>
      <c r="G50" s="27"/>
      <c r="H50" s="27"/>
      <c r="I50" s="27"/>
      <c r="J50" s="27"/>
      <c r="K50" s="27"/>
      <c r="L50" s="27"/>
    </row>
    <row r="51" spans="1:12">
      <c r="A51" s="27"/>
      <c r="B51" s="27"/>
      <c r="C51" s="27"/>
      <c r="D51" s="27"/>
      <c r="E51" s="27"/>
      <c r="F51" s="27"/>
      <c r="G51" s="27"/>
      <c r="H51" s="27"/>
      <c r="I51" s="27"/>
      <c r="J51" s="27"/>
      <c r="K51" s="27"/>
      <c r="L51" s="27"/>
    </row>
    <row r="52" spans="1:12">
      <c r="A52" s="27"/>
      <c r="B52" s="27"/>
      <c r="C52" s="27"/>
      <c r="D52" s="27"/>
      <c r="E52" s="27"/>
      <c r="F52" s="27"/>
      <c r="G52" s="27"/>
      <c r="H52" s="27"/>
      <c r="I52" s="27"/>
      <c r="J52" s="27"/>
      <c r="K52" s="27"/>
      <c r="L52" s="27"/>
    </row>
    <row r="53" spans="1:12">
      <c r="A53" s="27"/>
      <c r="B53" s="27"/>
      <c r="C53" s="27"/>
      <c r="D53" s="27"/>
      <c r="E53" s="27"/>
      <c r="F53" s="27"/>
      <c r="G53" s="27"/>
      <c r="H53" s="27"/>
      <c r="I53" s="27"/>
      <c r="J53" s="27"/>
      <c r="K53" s="27"/>
      <c r="L53" s="27"/>
    </row>
  </sheetData>
  <mergeCells count="1">
    <mergeCell ref="A1:L1"/>
  </mergeCells>
  <conditionalFormatting sqref="G4:G53">
    <cfRule type="containsText" dxfId="0" priority="1" operator="between" text="已完成">
      <formula>NOT(ISERROR(SEARCH("已完成",G4)))</formula>
    </cfRule>
    <cfRule type="containsText" dxfId="1" priority="2" operator="between" text="进行中">
      <formula>NOT(ISERROR(SEARCH("进行中",G4)))</formula>
    </cfRule>
    <cfRule type="containsText" dxfId="2" priority="3" operator="between" text="未开始">
      <formula>NOT(ISERROR(SEARCH("未开始",G4)))</formula>
    </cfRule>
    <cfRule type="containsText" dxfId="3" priority="4" operator="between" text="暂停">
      <formula>NOT(ISERROR(SEARCH("暂停",G4)))</formula>
    </cfRule>
  </conditionalFormatting>
  <dataValidations count="2">
    <dataValidation type="list" sqref="G4:G53">
      <formula1>"未开始,进行中,已完成,暂停"</formula1>
    </dataValidation>
    <dataValidation type="list" sqref="K4:K53">
      <formula1>"低,中,高"</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3"/>
  <sheetViews>
    <sheetView showGridLines="0" workbookViewId="0">
      <selection activeCell="A1" sqref="A1:N1"/>
    </sheetView>
  </sheetViews>
  <sheetFormatPr defaultColWidth="9" defaultRowHeight="16.8"/>
  <cols>
    <col min="1" max="1" width="11" style="1" customWidth="1"/>
    <col min="2" max="2" width="10" style="1" customWidth="1"/>
    <col min="3" max="3" width="40" style="1" customWidth="1"/>
    <col min="4" max="4" width="10" style="1" customWidth="1"/>
    <col min="5" max="5" width="22" style="1" customWidth="1"/>
    <col min="6" max="6" width="14" style="1" customWidth="1"/>
    <col min="7" max="7" width="42" style="1" customWidth="1"/>
    <col min="8" max="9" width="13" style="1" customWidth="1"/>
    <col min="10" max="10" width="30" style="1" customWidth="1"/>
    <col min="11" max="13" width="11" style="1" customWidth="1"/>
    <col min="14" max="14" width="28" style="1" customWidth="1"/>
  </cols>
  <sheetData>
    <row r="1" ht="34" customHeight="1" spans="1:14">
      <c r="A1" s="22" t="s">
        <v>549</v>
      </c>
      <c r="B1" s="4"/>
      <c r="C1" s="4"/>
      <c r="D1" s="4"/>
      <c r="E1" s="4"/>
      <c r="F1" s="4"/>
      <c r="G1" s="4"/>
      <c r="H1" s="4"/>
      <c r="I1" s="4"/>
      <c r="J1" s="4"/>
      <c r="K1" s="4"/>
      <c r="L1" s="4"/>
      <c r="M1" s="4"/>
      <c r="N1" s="4"/>
    </row>
    <row r="3" ht="30" customHeight="1" spans="1:14">
      <c r="A3" s="25" t="s">
        <v>550</v>
      </c>
      <c r="B3" s="25" t="s">
        <v>551</v>
      </c>
      <c r="C3" s="25" t="s">
        <v>552</v>
      </c>
      <c r="D3" s="25" t="s">
        <v>553</v>
      </c>
      <c r="E3" s="25" t="s">
        <v>554</v>
      </c>
      <c r="F3" s="25" t="s">
        <v>447</v>
      </c>
      <c r="G3" s="25" t="s">
        <v>555</v>
      </c>
      <c r="H3" s="25" t="s">
        <v>556</v>
      </c>
      <c r="I3" s="25" t="s">
        <v>557</v>
      </c>
      <c r="J3" s="25" t="s">
        <v>558</v>
      </c>
      <c r="K3" s="25" t="s">
        <v>21</v>
      </c>
      <c r="L3" s="25" t="s">
        <v>559</v>
      </c>
      <c r="M3" s="25" t="s">
        <v>560</v>
      </c>
      <c r="N3" s="25" t="s">
        <v>561</v>
      </c>
    </row>
    <row r="4" ht="17" customHeight="1" spans="1:14">
      <c r="A4" s="24" t="s">
        <v>562</v>
      </c>
      <c r="B4" s="24" t="s">
        <v>563</v>
      </c>
      <c r="C4" s="24" t="s">
        <v>564</v>
      </c>
      <c r="D4" s="24" t="s">
        <v>527</v>
      </c>
      <c r="E4" s="24" t="s">
        <v>565</v>
      </c>
      <c r="F4" s="24" t="s">
        <v>482</v>
      </c>
      <c r="G4" s="24" t="s">
        <v>566</v>
      </c>
      <c r="H4" s="26">
        <v>46310</v>
      </c>
      <c r="I4" s="26"/>
      <c r="J4" s="24" t="s">
        <v>567</v>
      </c>
      <c r="K4" s="24" t="s">
        <v>568</v>
      </c>
      <c r="L4" s="24">
        <f>IF(H4="","",H4-项目驾驶舱!$B$3)</f>
        <v>42</v>
      </c>
      <c r="M4" s="24" t="str">
        <f>IF(OR(K4="已关闭",H4=""),"否",IF(H4&lt;项目驾驶舱!$B$3,"是","否"))</f>
        <v>否</v>
      </c>
      <c r="N4" s="24" t="s">
        <v>569</v>
      </c>
    </row>
    <row r="5" ht="34" customHeight="1" spans="1:14">
      <c r="A5" s="24" t="s">
        <v>570</v>
      </c>
      <c r="B5" s="24" t="s">
        <v>563</v>
      </c>
      <c r="C5" s="24" t="s">
        <v>571</v>
      </c>
      <c r="D5" s="24" t="s">
        <v>527</v>
      </c>
      <c r="E5" s="24" t="s">
        <v>572</v>
      </c>
      <c r="F5" s="24" t="s">
        <v>466</v>
      </c>
      <c r="G5" s="24" t="s">
        <v>573</v>
      </c>
      <c r="H5" s="26">
        <v>46283</v>
      </c>
      <c r="I5" s="26"/>
      <c r="J5" s="24" t="s">
        <v>574</v>
      </c>
      <c r="K5" s="24" t="s">
        <v>575</v>
      </c>
      <c r="L5" s="24">
        <f>IF(H5="","",H5-项目驾驶舱!$B$3)</f>
        <v>15</v>
      </c>
      <c r="M5" s="24" t="str">
        <f>IF(OR(K5="已关闭",H5=""),"否",IF(H5&lt;项目驾驶舱!$B$3,"是","否"))</f>
        <v>否</v>
      </c>
      <c r="N5" s="24" t="s">
        <v>569</v>
      </c>
    </row>
    <row r="6" ht="17" customHeight="1" spans="1:14">
      <c r="A6" s="24" t="s">
        <v>576</v>
      </c>
      <c r="B6" s="24" t="s">
        <v>563</v>
      </c>
      <c r="C6" s="24" t="s">
        <v>577</v>
      </c>
      <c r="D6" s="24" t="s">
        <v>521</v>
      </c>
      <c r="E6" s="24" t="s">
        <v>532</v>
      </c>
      <c r="F6" s="24" t="s">
        <v>578</v>
      </c>
      <c r="G6" s="24" t="s">
        <v>579</v>
      </c>
      <c r="H6" s="26">
        <v>46290</v>
      </c>
      <c r="I6" s="26"/>
      <c r="J6" s="24" t="s">
        <v>580</v>
      </c>
      <c r="K6" s="24" t="s">
        <v>568</v>
      </c>
      <c r="L6" s="24">
        <f>IF(H6="","",H6-项目驾驶舱!$B$3)</f>
        <v>22</v>
      </c>
      <c r="M6" s="24" t="str">
        <f>IF(OR(K6="已关闭",H6=""),"否",IF(H6&lt;项目驾驶舱!$B$3,"是","否"))</f>
        <v>否</v>
      </c>
      <c r="N6" s="24" t="s">
        <v>569</v>
      </c>
    </row>
    <row r="7" ht="17" customHeight="1" spans="1:14">
      <c r="A7" s="24" t="s">
        <v>581</v>
      </c>
      <c r="B7" s="24" t="s">
        <v>563</v>
      </c>
      <c r="C7" s="24" t="s">
        <v>582</v>
      </c>
      <c r="D7" s="24" t="s">
        <v>527</v>
      </c>
      <c r="E7" s="24" t="s">
        <v>583</v>
      </c>
      <c r="F7" s="24" t="s">
        <v>482</v>
      </c>
      <c r="G7" s="24" t="s">
        <v>584</v>
      </c>
      <c r="H7" s="26">
        <v>46280</v>
      </c>
      <c r="I7" s="26"/>
      <c r="J7" s="24" t="s">
        <v>585</v>
      </c>
      <c r="K7" s="24" t="s">
        <v>575</v>
      </c>
      <c r="L7" s="24">
        <f>IF(H7="","",H7-项目驾驶舱!$B$3)</f>
        <v>12</v>
      </c>
      <c r="M7" s="24" t="str">
        <f>IF(OR(K7="已关闭",H7=""),"否",IF(H7&lt;项目驾驶舱!$B$3,"是","否"))</f>
        <v>否</v>
      </c>
      <c r="N7" s="24" t="s">
        <v>569</v>
      </c>
    </row>
    <row r="8" ht="34" customHeight="1" spans="1:14">
      <c r="A8" s="24" t="s">
        <v>586</v>
      </c>
      <c r="B8" s="24" t="s">
        <v>563</v>
      </c>
      <c r="C8" s="24" t="s">
        <v>587</v>
      </c>
      <c r="D8" s="24" t="s">
        <v>527</v>
      </c>
      <c r="E8" s="24" t="s">
        <v>588</v>
      </c>
      <c r="F8" s="24" t="s">
        <v>466</v>
      </c>
      <c r="G8" s="24" t="s">
        <v>589</v>
      </c>
      <c r="H8" s="26">
        <v>46326</v>
      </c>
      <c r="I8" s="26"/>
      <c r="J8" s="24" t="s">
        <v>590</v>
      </c>
      <c r="K8" s="24" t="s">
        <v>568</v>
      </c>
      <c r="L8" s="24">
        <f>IF(H8="","",H8-项目驾驶舱!$B$3)</f>
        <v>58</v>
      </c>
      <c r="M8" s="24" t="str">
        <f>IF(OR(K8="已关闭",H8=""),"否",IF(H8&lt;项目驾驶舱!$B$3,"是","否"))</f>
        <v>否</v>
      </c>
      <c r="N8" s="24" t="s">
        <v>569</v>
      </c>
    </row>
    <row r="9" ht="34" customHeight="1" spans="1:14">
      <c r="A9" s="24" t="s">
        <v>591</v>
      </c>
      <c r="B9" s="24" t="s">
        <v>563</v>
      </c>
      <c r="C9" s="24" t="s">
        <v>592</v>
      </c>
      <c r="D9" s="24" t="s">
        <v>527</v>
      </c>
      <c r="E9" s="24" t="s">
        <v>26</v>
      </c>
      <c r="F9" s="24" t="s">
        <v>593</v>
      </c>
      <c r="G9" s="24" t="s">
        <v>594</v>
      </c>
      <c r="H9" s="26">
        <v>46276</v>
      </c>
      <c r="I9" s="26"/>
      <c r="J9" s="24" t="s">
        <v>595</v>
      </c>
      <c r="K9" s="24" t="s">
        <v>575</v>
      </c>
      <c r="L9" s="24">
        <f>IF(H9="","",H9-项目驾驶舱!$B$3)</f>
        <v>8</v>
      </c>
      <c r="M9" s="24" t="str">
        <f>IF(OR(K9="已关闭",H9=""),"否",IF(H9&lt;项目驾驶舱!$B$3,"是","否"))</f>
        <v>否</v>
      </c>
      <c r="N9" s="24" t="s">
        <v>596</v>
      </c>
    </row>
    <row r="10" ht="17" customHeight="1" spans="1:14">
      <c r="A10" s="24"/>
      <c r="B10" s="24"/>
      <c r="C10" s="24"/>
      <c r="D10" s="24"/>
      <c r="E10" s="24"/>
      <c r="F10" s="24"/>
      <c r="G10" s="24"/>
      <c r="H10" s="26"/>
      <c r="I10" s="26"/>
      <c r="J10" s="24"/>
      <c r="K10" s="24"/>
      <c r="L10" s="24" t="str">
        <f>IF(H10="","",H10-项目驾驶舱!$B$3)</f>
        <v/>
      </c>
      <c r="M10" s="24" t="str">
        <f>IF(OR(K10="已关闭",H10=""),"否",IF(H10&lt;项目驾驶舱!$B$3,"是","否"))</f>
        <v>否</v>
      </c>
      <c r="N10" s="24"/>
    </row>
    <row r="11" ht="17" customHeight="1" spans="1:14">
      <c r="A11" s="24"/>
      <c r="B11" s="24"/>
      <c r="C11" s="24"/>
      <c r="D11" s="24"/>
      <c r="E11" s="24"/>
      <c r="F11" s="24"/>
      <c r="G11" s="24"/>
      <c r="H11" s="26"/>
      <c r="I11" s="26"/>
      <c r="J11" s="24"/>
      <c r="K11" s="24"/>
      <c r="L11" s="24" t="str">
        <f>IF(H11="","",H11-项目驾驶舱!$B$3)</f>
        <v/>
      </c>
      <c r="M11" s="24" t="str">
        <f>IF(OR(K11="已关闭",H11=""),"否",IF(H11&lt;项目驾驶舱!$B$3,"是","否"))</f>
        <v>否</v>
      </c>
      <c r="N11" s="24"/>
    </row>
    <row r="12" ht="17" customHeight="1" spans="1:14">
      <c r="A12" s="24"/>
      <c r="B12" s="24"/>
      <c r="C12" s="24"/>
      <c r="D12" s="24"/>
      <c r="E12" s="24"/>
      <c r="F12" s="24"/>
      <c r="G12" s="24"/>
      <c r="H12" s="26"/>
      <c r="I12" s="26"/>
      <c r="J12" s="24"/>
      <c r="K12" s="24"/>
      <c r="L12" s="24" t="str">
        <f>IF(H12="","",H12-项目驾驶舱!$B$3)</f>
        <v/>
      </c>
      <c r="M12" s="24" t="str">
        <f>IF(OR(K12="已关闭",H12=""),"否",IF(H12&lt;项目驾驶舱!$B$3,"是","否"))</f>
        <v>否</v>
      </c>
      <c r="N12" s="24"/>
    </row>
    <row r="13" ht="17" customHeight="1" spans="1:14">
      <c r="A13" s="24"/>
      <c r="B13" s="24"/>
      <c r="C13" s="24"/>
      <c r="D13" s="24"/>
      <c r="E13" s="24"/>
      <c r="F13" s="24"/>
      <c r="G13" s="24"/>
      <c r="H13" s="26"/>
      <c r="I13" s="26"/>
      <c r="J13" s="24"/>
      <c r="K13" s="24"/>
      <c r="L13" s="24" t="str">
        <f>IF(H13="","",H13-项目驾驶舱!$B$3)</f>
        <v/>
      </c>
      <c r="M13" s="24" t="str">
        <f>IF(OR(K13="已关闭",H13=""),"否",IF(H13&lt;项目驾驶舱!$B$3,"是","否"))</f>
        <v>否</v>
      </c>
      <c r="N13" s="24"/>
    </row>
    <row r="14" ht="17" customHeight="1" spans="1:14">
      <c r="A14" s="24"/>
      <c r="B14" s="24"/>
      <c r="C14" s="24"/>
      <c r="D14" s="24"/>
      <c r="E14" s="24"/>
      <c r="F14" s="24"/>
      <c r="G14" s="24"/>
      <c r="H14" s="26"/>
      <c r="I14" s="26"/>
      <c r="J14" s="24"/>
      <c r="K14" s="24"/>
      <c r="L14" s="24" t="str">
        <f>IF(H14="","",H14-项目驾驶舱!$B$3)</f>
        <v/>
      </c>
      <c r="M14" s="24" t="str">
        <f>IF(OR(K14="已关闭",H14=""),"否",IF(H14&lt;项目驾驶舱!$B$3,"是","否"))</f>
        <v>否</v>
      </c>
      <c r="N14" s="24"/>
    </row>
    <row r="15" ht="17" customHeight="1" spans="1:14">
      <c r="A15" s="24"/>
      <c r="B15" s="24"/>
      <c r="C15" s="24"/>
      <c r="D15" s="24"/>
      <c r="E15" s="24"/>
      <c r="F15" s="24"/>
      <c r="G15" s="24"/>
      <c r="H15" s="26"/>
      <c r="I15" s="26"/>
      <c r="J15" s="24"/>
      <c r="K15" s="24"/>
      <c r="L15" s="24" t="str">
        <f>IF(H15="","",H15-项目驾驶舱!$B$3)</f>
        <v/>
      </c>
      <c r="M15" s="24" t="str">
        <f>IF(OR(K15="已关闭",H15=""),"否",IF(H15&lt;项目驾驶舱!$B$3,"是","否"))</f>
        <v>否</v>
      </c>
      <c r="N15" s="24"/>
    </row>
    <row r="16" ht="17" customHeight="1" spans="1:14">
      <c r="A16" s="24"/>
      <c r="B16" s="24"/>
      <c r="C16" s="24"/>
      <c r="D16" s="24"/>
      <c r="E16" s="24"/>
      <c r="F16" s="24"/>
      <c r="G16" s="24"/>
      <c r="H16" s="26"/>
      <c r="I16" s="26"/>
      <c r="J16" s="24"/>
      <c r="K16" s="24"/>
      <c r="L16" s="24" t="str">
        <f>IF(H16="","",H16-项目驾驶舱!$B$3)</f>
        <v/>
      </c>
      <c r="M16" s="24" t="str">
        <f>IF(OR(K16="已关闭",H16=""),"否",IF(H16&lt;项目驾驶舱!$B$3,"是","否"))</f>
        <v>否</v>
      </c>
      <c r="N16" s="24"/>
    </row>
    <row r="17" ht="17" customHeight="1" spans="1:14">
      <c r="A17" s="24"/>
      <c r="B17" s="24"/>
      <c r="C17" s="24"/>
      <c r="D17" s="24"/>
      <c r="E17" s="24"/>
      <c r="F17" s="24"/>
      <c r="G17" s="24"/>
      <c r="H17" s="26"/>
      <c r="I17" s="26"/>
      <c r="J17" s="24"/>
      <c r="K17" s="24"/>
      <c r="L17" s="24" t="str">
        <f>IF(H17="","",H17-项目驾驶舱!$B$3)</f>
        <v/>
      </c>
      <c r="M17" s="24" t="str">
        <f>IF(OR(K17="已关闭",H17=""),"否",IF(H17&lt;项目驾驶舱!$B$3,"是","否"))</f>
        <v>否</v>
      </c>
      <c r="N17" s="24"/>
    </row>
    <row r="18" ht="17" customHeight="1" spans="1:14">
      <c r="A18" s="24"/>
      <c r="B18" s="24"/>
      <c r="C18" s="24"/>
      <c r="D18" s="24"/>
      <c r="E18" s="24"/>
      <c r="F18" s="24"/>
      <c r="G18" s="24"/>
      <c r="H18" s="26"/>
      <c r="I18" s="26"/>
      <c r="J18" s="24"/>
      <c r="K18" s="24"/>
      <c r="L18" s="24" t="str">
        <f>IF(H18="","",H18-项目驾驶舱!$B$3)</f>
        <v/>
      </c>
      <c r="M18" s="24" t="str">
        <f>IF(OR(K18="已关闭",H18=""),"否",IF(H18&lt;项目驾驶舱!$B$3,"是","否"))</f>
        <v>否</v>
      </c>
      <c r="N18" s="24"/>
    </row>
    <row r="19" ht="17" customHeight="1" spans="1:14">
      <c r="A19" s="24"/>
      <c r="B19" s="24"/>
      <c r="C19" s="24"/>
      <c r="D19" s="24"/>
      <c r="E19" s="24"/>
      <c r="F19" s="24"/>
      <c r="G19" s="24"/>
      <c r="H19" s="26"/>
      <c r="I19" s="26"/>
      <c r="J19" s="24"/>
      <c r="K19" s="24"/>
      <c r="L19" s="24" t="str">
        <f>IF(H19="","",H19-项目驾驶舱!$B$3)</f>
        <v/>
      </c>
      <c r="M19" s="24" t="str">
        <f>IF(OR(K19="已关闭",H19=""),"否",IF(H19&lt;项目驾驶舱!$B$3,"是","否"))</f>
        <v>否</v>
      </c>
      <c r="N19" s="24"/>
    </row>
    <row r="20" ht="17" customHeight="1" spans="1:14">
      <c r="A20" s="24"/>
      <c r="B20" s="24"/>
      <c r="C20" s="24"/>
      <c r="D20" s="24"/>
      <c r="E20" s="24"/>
      <c r="F20" s="24"/>
      <c r="G20" s="24"/>
      <c r="H20" s="26"/>
      <c r="I20" s="26"/>
      <c r="J20" s="24"/>
      <c r="K20" s="24"/>
      <c r="L20" s="24" t="str">
        <f>IF(H20="","",H20-项目驾驶舱!$B$3)</f>
        <v/>
      </c>
      <c r="M20" s="24" t="str">
        <f>IF(OR(K20="已关闭",H20=""),"否",IF(H20&lt;项目驾驶舱!$B$3,"是","否"))</f>
        <v>否</v>
      </c>
      <c r="N20" s="24"/>
    </row>
    <row r="21" ht="17" customHeight="1" spans="1:14">
      <c r="A21" s="24"/>
      <c r="B21" s="24"/>
      <c r="C21" s="24"/>
      <c r="D21" s="24"/>
      <c r="E21" s="24"/>
      <c r="F21" s="24"/>
      <c r="G21" s="24"/>
      <c r="H21" s="26"/>
      <c r="I21" s="26"/>
      <c r="J21" s="24"/>
      <c r="K21" s="24"/>
      <c r="L21" s="24" t="str">
        <f>IF(H21="","",H21-项目驾驶舱!$B$3)</f>
        <v/>
      </c>
      <c r="M21" s="24" t="str">
        <f>IF(OR(K21="已关闭",H21=""),"否",IF(H21&lt;项目驾驶舱!$B$3,"是","否"))</f>
        <v>否</v>
      </c>
      <c r="N21" s="24"/>
    </row>
    <row r="22" ht="17" customHeight="1" spans="1:14">
      <c r="A22" s="24"/>
      <c r="B22" s="24"/>
      <c r="C22" s="24"/>
      <c r="D22" s="24"/>
      <c r="E22" s="24"/>
      <c r="F22" s="24"/>
      <c r="G22" s="24"/>
      <c r="H22" s="26"/>
      <c r="I22" s="26"/>
      <c r="J22" s="24"/>
      <c r="K22" s="24"/>
      <c r="L22" s="24" t="str">
        <f>IF(H22="","",H22-项目驾驶舱!$B$3)</f>
        <v/>
      </c>
      <c r="M22" s="24" t="str">
        <f>IF(OR(K22="已关闭",H22=""),"否",IF(H22&lt;项目驾驶舱!$B$3,"是","否"))</f>
        <v>否</v>
      </c>
      <c r="N22" s="24"/>
    </row>
    <row r="23" ht="17" customHeight="1" spans="1:14">
      <c r="A23" s="24"/>
      <c r="B23" s="24"/>
      <c r="C23" s="24"/>
      <c r="D23" s="24"/>
      <c r="E23" s="24"/>
      <c r="F23" s="24"/>
      <c r="G23" s="24"/>
      <c r="H23" s="26"/>
      <c r="I23" s="26"/>
      <c r="J23" s="24"/>
      <c r="K23" s="24"/>
      <c r="L23" s="24" t="str">
        <f>IF(H23="","",H23-项目驾驶舱!$B$3)</f>
        <v/>
      </c>
      <c r="M23" s="24" t="str">
        <f>IF(OR(K23="已关闭",H23=""),"否",IF(H23&lt;项目驾驶舱!$B$3,"是","否"))</f>
        <v>否</v>
      </c>
      <c r="N23" s="24"/>
    </row>
    <row r="24" ht="17" customHeight="1" spans="1:14">
      <c r="A24" s="24"/>
      <c r="B24" s="24"/>
      <c r="C24" s="24"/>
      <c r="D24" s="24"/>
      <c r="E24" s="24"/>
      <c r="F24" s="24"/>
      <c r="G24" s="24"/>
      <c r="H24" s="26"/>
      <c r="I24" s="26"/>
      <c r="J24" s="24"/>
      <c r="K24" s="24"/>
      <c r="L24" s="24" t="str">
        <f>IF(H24="","",H24-项目驾驶舱!$B$3)</f>
        <v/>
      </c>
      <c r="M24" s="24" t="str">
        <f>IF(OR(K24="已关闭",H24=""),"否",IF(H24&lt;项目驾驶舱!$B$3,"是","否"))</f>
        <v>否</v>
      </c>
      <c r="N24" s="24"/>
    </row>
    <row r="25" ht="17" customHeight="1" spans="1:14">
      <c r="A25" s="24"/>
      <c r="B25" s="24"/>
      <c r="C25" s="24"/>
      <c r="D25" s="24"/>
      <c r="E25" s="24"/>
      <c r="F25" s="24"/>
      <c r="G25" s="24"/>
      <c r="H25" s="26"/>
      <c r="I25" s="26"/>
      <c r="J25" s="24"/>
      <c r="K25" s="24"/>
      <c r="L25" s="24" t="str">
        <f>IF(H25="","",H25-项目驾驶舱!$B$3)</f>
        <v/>
      </c>
      <c r="M25" s="24" t="str">
        <f>IF(OR(K25="已关闭",H25=""),"否",IF(H25&lt;项目驾驶舱!$B$3,"是","否"))</f>
        <v>否</v>
      </c>
      <c r="N25" s="24"/>
    </row>
    <row r="26" ht="17" customHeight="1" spans="1:14">
      <c r="A26" s="24"/>
      <c r="B26" s="24"/>
      <c r="C26" s="24"/>
      <c r="D26" s="24"/>
      <c r="E26" s="24"/>
      <c r="F26" s="24"/>
      <c r="G26" s="24"/>
      <c r="H26" s="26"/>
      <c r="I26" s="26"/>
      <c r="J26" s="24"/>
      <c r="K26" s="24"/>
      <c r="L26" s="24" t="str">
        <f>IF(H26="","",H26-项目驾驶舱!$B$3)</f>
        <v/>
      </c>
      <c r="M26" s="24" t="str">
        <f>IF(OR(K26="已关闭",H26=""),"否",IF(H26&lt;项目驾驶舱!$B$3,"是","否"))</f>
        <v>否</v>
      </c>
      <c r="N26" s="24"/>
    </row>
    <row r="27" ht="17" customHeight="1" spans="1:14">
      <c r="A27" s="24"/>
      <c r="B27" s="24"/>
      <c r="C27" s="24"/>
      <c r="D27" s="24"/>
      <c r="E27" s="24"/>
      <c r="F27" s="24"/>
      <c r="G27" s="24"/>
      <c r="H27" s="26"/>
      <c r="I27" s="26"/>
      <c r="J27" s="24"/>
      <c r="K27" s="24"/>
      <c r="L27" s="24" t="str">
        <f>IF(H27="","",H27-项目驾驶舱!$B$3)</f>
        <v/>
      </c>
      <c r="M27" s="24" t="str">
        <f>IF(OR(K27="已关闭",H27=""),"否",IF(H27&lt;项目驾驶舱!$B$3,"是","否"))</f>
        <v>否</v>
      </c>
      <c r="N27" s="24"/>
    </row>
    <row r="28" ht="17" customHeight="1" spans="1:14">
      <c r="A28" s="24"/>
      <c r="B28" s="24"/>
      <c r="C28" s="24"/>
      <c r="D28" s="24"/>
      <c r="E28" s="24"/>
      <c r="F28" s="24"/>
      <c r="G28" s="24"/>
      <c r="H28" s="26"/>
      <c r="I28" s="26"/>
      <c r="J28" s="24"/>
      <c r="K28" s="24"/>
      <c r="L28" s="24" t="str">
        <f>IF(H28="","",H28-项目驾驶舱!$B$3)</f>
        <v/>
      </c>
      <c r="M28" s="24" t="str">
        <f>IF(OR(K28="已关闭",H28=""),"否",IF(H28&lt;项目驾驶舱!$B$3,"是","否"))</f>
        <v>否</v>
      </c>
      <c r="N28" s="24"/>
    </row>
    <row r="29" ht="17" customHeight="1" spans="1:14">
      <c r="A29" s="24"/>
      <c r="B29" s="24"/>
      <c r="C29" s="24"/>
      <c r="D29" s="24"/>
      <c r="E29" s="24"/>
      <c r="F29" s="24"/>
      <c r="G29" s="24"/>
      <c r="H29" s="26"/>
      <c r="I29" s="26"/>
      <c r="J29" s="24"/>
      <c r="K29" s="24"/>
      <c r="L29" s="24" t="str">
        <f>IF(H29="","",H29-项目驾驶舱!$B$3)</f>
        <v/>
      </c>
      <c r="M29" s="24" t="str">
        <f>IF(OR(K29="已关闭",H29=""),"否",IF(H29&lt;项目驾驶舱!$B$3,"是","否"))</f>
        <v>否</v>
      </c>
      <c r="N29" s="24"/>
    </row>
    <row r="30" ht="17" customHeight="1" spans="1:14">
      <c r="A30" s="24"/>
      <c r="B30" s="24"/>
      <c r="C30" s="24"/>
      <c r="D30" s="24"/>
      <c r="E30" s="24"/>
      <c r="F30" s="24"/>
      <c r="G30" s="24"/>
      <c r="H30" s="26"/>
      <c r="I30" s="26"/>
      <c r="J30" s="24"/>
      <c r="K30" s="24"/>
      <c r="L30" s="24" t="str">
        <f>IF(H30="","",H30-项目驾驶舱!$B$3)</f>
        <v/>
      </c>
      <c r="M30" s="24" t="str">
        <f>IF(OR(K30="已关闭",H30=""),"否",IF(H30&lt;项目驾驶舱!$B$3,"是","否"))</f>
        <v>否</v>
      </c>
      <c r="N30" s="24"/>
    </row>
    <row r="31" ht="17" customHeight="1" spans="1:14">
      <c r="A31" s="24"/>
      <c r="B31" s="24"/>
      <c r="C31" s="24"/>
      <c r="D31" s="24"/>
      <c r="E31" s="24"/>
      <c r="F31" s="24"/>
      <c r="G31" s="24"/>
      <c r="H31" s="26"/>
      <c r="I31" s="26"/>
      <c r="J31" s="24"/>
      <c r="K31" s="24"/>
      <c r="L31" s="24" t="str">
        <f>IF(H31="","",H31-项目驾驶舱!$B$3)</f>
        <v/>
      </c>
      <c r="M31" s="24" t="str">
        <f>IF(OR(K31="已关闭",H31=""),"否",IF(H31&lt;项目驾驶舱!$B$3,"是","否"))</f>
        <v>否</v>
      </c>
      <c r="N31" s="24"/>
    </row>
    <row r="32" ht="17" customHeight="1" spans="1:14">
      <c r="A32" s="24"/>
      <c r="B32" s="24"/>
      <c r="C32" s="24"/>
      <c r="D32" s="24"/>
      <c r="E32" s="24"/>
      <c r="F32" s="24"/>
      <c r="G32" s="24"/>
      <c r="H32" s="26"/>
      <c r="I32" s="26"/>
      <c r="J32" s="24"/>
      <c r="K32" s="24"/>
      <c r="L32" s="24" t="str">
        <f>IF(H32="","",H32-项目驾驶舱!$B$3)</f>
        <v/>
      </c>
      <c r="M32" s="24" t="str">
        <f>IF(OR(K32="已关闭",H32=""),"否",IF(H32&lt;项目驾驶舱!$B$3,"是","否"))</f>
        <v>否</v>
      </c>
      <c r="N32" s="24"/>
    </row>
    <row r="33" ht="17" customHeight="1" spans="1:14">
      <c r="A33" s="24"/>
      <c r="B33" s="24"/>
      <c r="C33" s="24"/>
      <c r="D33" s="24"/>
      <c r="E33" s="24"/>
      <c r="F33" s="24"/>
      <c r="G33" s="24"/>
      <c r="H33" s="26"/>
      <c r="I33" s="26"/>
      <c r="J33" s="24"/>
      <c r="K33" s="24"/>
      <c r="L33" s="24" t="str">
        <f>IF(H33="","",H33-项目驾驶舱!$B$3)</f>
        <v/>
      </c>
      <c r="M33" s="24" t="str">
        <f>IF(OR(K33="已关闭",H33=""),"否",IF(H33&lt;项目驾驶舱!$B$3,"是","否"))</f>
        <v>否</v>
      </c>
      <c r="N33" s="24"/>
    </row>
    <row r="34" ht="17" customHeight="1" spans="1:14">
      <c r="A34" s="24"/>
      <c r="B34" s="24"/>
      <c r="C34" s="24"/>
      <c r="D34" s="24"/>
      <c r="E34" s="24"/>
      <c r="F34" s="24"/>
      <c r="G34" s="24"/>
      <c r="H34" s="26"/>
      <c r="I34" s="26"/>
      <c r="J34" s="24"/>
      <c r="K34" s="24"/>
      <c r="L34" s="24" t="str">
        <f>IF(H34="","",H34-项目驾驶舱!$B$3)</f>
        <v/>
      </c>
      <c r="M34" s="24" t="str">
        <f>IF(OR(K34="已关闭",H34=""),"否",IF(H34&lt;项目驾驶舱!$B$3,"是","否"))</f>
        <v>否</v>
      </c>
      <c r="N34" s="24"/>
    </row>
    <row r="35" ht="17" customHeight="1" spans="1:14">
      <c r="A35" s="24"/>
      <c r="B35" s="24"/>
      <c r="C35" s="24"/>
      <c r="D35" s="24"/>
      <c r="E35" s="24"/>
      <c r="F35" s="24"/>
      <c r="G35" s="24"/>
      <c r="H35" s="26"/>
      <c r="I35" s="26"/>
      <c r="J35" s="24"/>
      <c r="K35" s="24"/>
      <c r="L35" s="24" t="str">
        <f>IF(H35="","",H35-项目驾驶舱!$B$3)</f>
        <v/>
      </c>
      <c r="M35" s="24" t="str">
        <f>IF(OR(K35="已关闭",H35=""),"否",IF(H35&lt;项目驾驶舱!$B$3,"是","否"))</f>
        <v>否</v>
      </c>
      <c r="N35" s="24"/>
    </row>
    <row r="36" ht="17" customHeight="1" spans="1:14">
      <c r="A36" s="24"/>
      <c r="B36" s="24"/>
      <c r="C36" s="24"/>
      <c r="D36" s="24"/>
      <c r="E36" s="24"/>
      <c r="F36" s="24"/>
      <c r="G36" s="24"/>
      <c r="H36" s="26"/>
      <c r="I36" s="26"/>
      <c r="J36" s="24"/>
      <c r="K36" s="24"/>
      <c r="L36" s="24" t="str">
        <f>IF(H36="","",H36-项目驾驶舱!$B$3)</f>
        <v/>
      </c>
      <c r="M36" s="24" t="str">
        <f>IF(OR(K36="已关闭",H36=""),"否",IF(H36&lt;项目驾驶舱!$B$3,"是","否"))</f>
        <v>否</v>
      </c>
      <c r="N36" s="24"/>
    </row>
    <row r="37" ht="17" customHeight="1" spans="1:14">
      <c r="A37" s="24"/>
      <c r="B37" s="24"/>
      <c r="C37" s="24"/>
      <c r="D37" s="24"/>
      <c r="E37" s="24"/>
      <c r="F37" s="24"/>
      <c r="G37" s="24"/>
      <c r="H37" s="26"/>
      <c r="I37" s="26"/>
      <c r="J37" s="24"/>
      <c r="K37" s="24"/>
      <c r="L37" s="24" t="str">
        <f>IF(H37="","",H37-项目驾驶舱!$B$3)</f>
        <v/>
      </c>
      <c r="M37" s="24" t="str">
        <f>IF(OR(K37="已关闭",H37=""),"否",IF(H37&lt;项目驾驶舱!$B$3,"是","否"))</f>
        <v>否</v>
      </c>
      <c r="N37" s="24"/>
    </row>
    <row r="38" ht="17" customHeight="1" spans="1:14">
      <c r="A38" s="24"/>
      <c r="B38" s="24"/>
      <c r="C38" s="24"/>
      <c r="D38" s="24"/>
      <c r="E38" s="24"/>
      <c r="F38" s="24"/>
      <c r="G38" s="24"/>
      <c r="H38" s="26"/>
      <c r="I38" s="26"/>
      <c r="J38" s="24"/>
      <c r="K38" s="24"/>
      <c r="L38" s="24" t="str">
        <f>IF(H38="","",H38-项目驾驶舱!$B$3)</f>
        <v/>
      </c>
      <c r="M38" s="24" t="str">
        <f>IF(OR(K38="已关闭",H38=""),"否",IF(H38&lt;项目驾驶舱!$B$3,"是","否"))</f>
        <v>否</v>
      </c>
      <c r="N38" s="24"/>
    </row>
    <row r="39" ht="17" customHeight="1" spans="1:14">
      <c r="A39" s="24"/>
      <c r="B39" s="24"/>
      <c r="C39" s="24"/>
      <c r="D39" s="24"/>
      <c r="E39" s="24"/>
      <c r="F39" s="24"/>
      <c r="G39" s="24"/>
      <c r="H39" s="26"/>
      <c r="I39" s="26"/>
      <c r="J39" s="24"/>
      <c r="K39" s="24"/>
      <c r="L39" s="24" t="str">
        <f>IF(H39="","",H39-项目驾驶舱!$B$3)</f>
        <v/>
      </c>
      <c r="M39" s="24" t="str">
        <f>IF(OR(K39="已关闭",H39=""),"否",IF(H39&lt;项目驾驶舱!$B$3,"是","否"))</f>
        <v>否</v>
      </c>
      <c r="N39" s="24"/>
    </row>
    <row r="40" ht="17" customHeight="1" spans="1:14">
      <c r="A40" s="24"/>
      <c r="B40" s="24"/>
      <c r="C40" s="24"/>
      <c r="D40" s="24"/>
      <c r="E40" s="24"/>
      <c r="F40" s="24"/>
      <c r="G40" s="24"/>
      <c r="H40" s="26"/>
      <c r="I40" s="26"/>
      <c r="J40" s="24"/>
      <c r="K40" s="24"/>
      <c r="L40" s="24" t="str">
        <f>IF(H40="","",H40-项目驾驶舱!$B$3)</f>
        <v/>
      </c>
      <c r="M40" s="24" t="str">
        <f>IF(OR(K40="已关闭",H40=""),"否",IF(H40&lt;项目驾驶舱!$B$3,"是","否"))</f>
        <v>否</v>
      </c>
      <c r="N40" s="24"/>
    </row>
    <row r="41" ht="17" customHeight="1" spans="1:14">
      <c r="A41" s="24"/>
      <c r="B41" s="24"/>
      <c r="C41" s="24"/>
      <c r="D41" s="24"/>
      <c r="E41" s="24"/>
      <c r="F41" s="24"/>
      <c r="G41" s="24"/>
      <c r="H41" s="26"/>
      <c r="I41" s="26"/>
      <c r="J41" s="24"/>
      <c r="K41" s="24"/>
      <c r="L41" s="24" t="str">
        <f>IF(H41="","",H41-项目驾驶舱!$B$3)</f>
        <v/>
      </c>
      <c r="M41" s="24" t="str">
        <f>IF(OR(K41="已关闭",H41=""),"否",IF(H41&lt;项目驾驶舱!$B$3,"是","否"))</f>
        <v>否</v>
      </c>
      <c r="N41" s="24"/>
    </row>
    <row r="42" ht="17" customHeight="1" spans="1:14">
      <c r="A42" s="24"/>
      <c r="B42" s="24"/>
      <c r="C42" s="24"/>
      <c r="D42" s="24"/>
      <c r="E42" s="24"/>
      <c r="F42" s="24"/>
      <c r="G42" s="24"/>
      <c r="H42" s="26"/>
      <c r="I42" s="26"/>
      <c r="J42" s="24"/>
      <c r="K42" s="24"/>
      <c r="L42" s="24" t="str">
        <f>IF(H42="","",H42-项目驾驶舱!$B$3)</f>
        <v/>
      </c>
      <c r="M42" s="24" t="str">
        <f>IF(OR(K42="已关闭",H42=""),"否",IF(H42&lt;项目驾驶舱!$B$3,"是","否"))</f>
        <v>否</v>
      </c>
      <c r="N42" s="24"/>
    </row>
    <row r="43" ht="17" customHeight="1" spans="1:14">
      <c r="A43" s="24"/>
      <c r="B43" s="24"/>
      <c r="C43" s="24"/>
      <c r="D43" s="24"/>
      <c r="E43" s="24"/>
      <c r="F43" s="24"/>
      <c r="G43" s="24"/>
      <c r="H43" s="26"/>
      <c r="I43" s="26"/>
      <c r="J43" s="24"/>
      <c r="K43" s="24"/>
      <c r="L43" s="24" t="str">
        <f>IF(H43="","",H43-项目驾驶舱!$B$3)</f>
        <v/>
      </c>
      <c r="M43" s="24" t="str">
        <f>IF(OR(K43="已关闭",H43=""),"否",IF(H43&lt;项目驾驶舱!$B$3,"是","否"))</f>
        <v>否</v>
      </c>
      <c r="N43" s="24"/>
    </row>
    <row r="44" ht="17" customHeight="1" spans="1:14">
      <c r="A44" s="24"/>
      <c r="B44" s="24"/>
      <c r="C44" s="24"/>
      <c r="D44" s="24"/>
      <c r="E44" s="24"/>
      <c r="F44" s="24"/>
      <c r="G44" s="24"/>
      <c r="H44" s="26"/>
      <c r="I44" s="26"/>
      <c r="J44" s="24"/>
      <c r="K44" s="24"/>
      <c r="L44" s="24" t="str">
        <f>IF(H44="","",H44-项目驾驶舱!$B$3)</f>
        <v/>
      </c>
      <c r="M44" s="24" t="str">
        <f>IF(OR(K44="已关闭",H44=""),"否",IF(H44&lt;项目驾驶舱!$B$3,"是","否"))</f>
        <v>否</v>
      </c>
      <c r="N44" s="24"/>
    </row>
    <row r="45" ht="17" customHeight="1" spans="1:14">
      <c r="A45" s="24"/>
      <c r="B45" s="24"/>
      <c r="C45" s="24"/>
      <c r="D45" s="24"/>
      <c r="E45" s="24"/>
      <c r="F45" s="24"/>
      <c r="G45" s="24"/>
      <c r="H45" s="26"/>
      <c r="I45" s="26"/>
      <c r="J45" s="24"/>
      <c r="K45" s="24"/>
      <c r="L45" s="24" t="str">
        <f>IF(H45="","",H45-项目驾驶舱!$B$3)</f>
        <v/>
      </c>
      <c r="M45" s="24" t="str">
        <f>IF(OR(K45="已关闭",H45=""),"否",IF(H45&lt;项目驾驶舱!$B$3,"是","否"))</f>
        <v>否</v>
      </c>
      <c r="N45" s="24"/>
    </row>
    <row r="46" ht="17" customHeight="1" spans="1:14">
      <c r="A46" s="24"/>
      <c r="B46" s="24"/>
      <c r="C46" s="24"/>
      <c r="D46" s="24"/>
      <c r="E46" s="24"/>
      <c r="F46" s="24"/>
      <c r="G46" s="24"/>
      <c r="H46" s="26"/>
      <c r="I46" s="26"/>
      <c r="J46" s="24"/>
      <c r="K46" s="24"/>
      <c r="L46" s="24" t="str">
        <f>IF(H46="","",H46-项目驾驶舱!$B$3)</f>
        <v/>
      </c>
      <c r="M46" s="24" t="str">
        <f>IF(OR(K46="已关闭",H46=""),"否",IF(H46&lt;项目驾驶舱!$B$3,"是","否"))</f>
        <v>否</v>
      </c>
      <c r="N46" s="24"/>
    </row>
    <row r="47" ht="17" customHeight="1" spans="1:14">
      <c r="A47" s="24"/>
      <c r="B47" s="24"/>
      <c r="C47" s="24"/>
      <c r="D47" s="24"/>
      <c r="E47" s="24"/>
      <c r="F47" s="24"/>
      <c r="G47" s="24"/>
      <c r="H47" s="26"/>
      <c r="I47" s="26"/>
      <c r="J47" s="24"/>
      <c r="K47" s="24"/>
      <c r="L47" s="24" t="str">
        <f>IF(H47="","",H47-项目驾驶舱!$B$3)</f>
        <v/>
      </c>
      <c r="M47" s="24" t="str">
        <f>IF(OR(K47="已关闭",H47=""),"否",IF(H47&lt;项目驾驶舱!$B$3,"是","否"))</f>
        <v>否</v>
      </c>
      <c r="N47" s="24"/>
    </row>
    <row r="48" ht="17" customHeight="1" spans="1:14">
      <c r="A48" s="24"/>
      <c r="B48" s="24"/>
      <c r="C48" s="24"/>
      <c r="D48" s="24"/>
      <c r="E48" s="24"/>
      <c r="F48" s="24"/>
      <c r="G48" s="24"/>
      <c r="H48" s="26"/>
      <c r="I48" s="26"/>
      <c r="J48" s="24"/>
      <c r="K48" s="24"/>
      <c r="L48" s="24" t="str">
        <f>IF(H48="","",H48-项目驾驶舱!$B$3)</f>
        <v/>
      </c>
      <c r="M48" s="24" t="str">
        <f>IF(OR(K48="已关闭",H48=""),"否",IF(H48&lt;项目驾驶舱!$B$3,"是","否"))</f>
        <v>否</v>
      </c>
      <c r="N48" s="24"/>
    </row>
    <row r="49" ht="17" customHeight="1" spans="1:14">
      <c r="A49" s="24"/>
      <c r="B49" s="24"/>
      <c r="C49" s="24"/>
      <c r="D49" s="24"/>
      <c r="E49" s="24"/>
      <c r="F49" s="24"/>
      <c r="G49" s="24"/>
      <c r="H49" s="26"/>
      <c r="I49" s="26"/>
      <c r="J49" s="24"/>
      <c r="K49" s="24"/>
      <c r="L49" s="24" t="str">
        <f>IF(H49="","",H49-项目驾驶舱!$B$3)</f>
        <v/>
      </c>
      <c r="M49" s="24" t="str">
        <f>IF(OR(K49="已关闭",H49=""),"否",IF(H49&lt;项目驾驶舱!$B$3,"是","否"))</f>
        <v>否</v>
      </c>
      <c r="N49" s="24"/>
    </row>
    <row r="50" ht="17" customHeight="1" spans="1:14">
      <c r="A50" s="24"/>
      <c r="B50" s="24"/>
      <c r="C50" s="24"/>
      <c r="D50" s="24"/>
      <c r="E50" s="24"/>
      <c r="F50" s="24"/>
      <c r="G50" s="24"/>
      <c r="H50" s="26"/>
      <c r="I50" s="26"/>
      <c r="J50" s="24"/>
      <c r="K50" s="24"/>
      <c r="L50" s="24" t="str">
        <f>IF(H50="","",H50-项目驾驶舱!$B$3)</f>
        <v/>
      </c>
      <c r="M50" s="24" t="str">
        <f>IF(OR(K50="已关闭",H50=""),"否",IF(H50&lt;项目驾驶舱!$B$3,"是","否"))</f>
        <v>否</v>
      </c>
      <c r="N50" s="24"/>
    </row>
    <row r="51" ht="17" customHeight="1" spans="1:14">
      <c r="A51" s="24"/>
      <c r="B51" s="24"/>
      <c r="C51" s="24"/>
      <c r="D51" s="24"/>
      <c r="E51" s="24"/>
      <c r="F51" s="24"/>
      <c r="G51" s="24"/>
      <c r="H51" s="26"/>
      <c r="I51" s="26"/>
      <c r="J51" s="24"/>
      <c r="K51" s="24"/>
      <c r="L51" s="24" t="str">
        <f>IF(H51="","",H51-项目驾驶舱!$B$3)</f>
        <v/>
      </c>
      <c r="M51" s="24" t="str">
        <f>IF(OR(K51="已关闭",H51=""),"否",IF(H51&lt;项目驾驶舱!$B$3,"是","否"))</f>
        <v>否</v>
      </c>
      <c r="N51" s="24"/>
    </row>
    <row r="52" ht="17" customHeight="1" spans="1:14">
      <c r="A52" s="24"/>
      <c r="B52" s="24"/>
      <c r="C52" s="24"/>
      <c r="D52" s="24"/>
      <c r="E52" s="24"/>
      <c r="F52" s="24"/>
      <c r="G52" s="24"/>
      <c r="H52" s="26"/>
      <c r="I52" s="26"/>
      <c r="J52" s="24"/>
      <c r="K52" s="24"/>
      <c r="L52" s="24" t="str">
        <f>IF(H52="","",H52-项目驾驶舱!$B$3)</f>
        <v/>
      </c>
      <c r="M52" s="24" t="str">
        <f>IF(OR(K52="已关闭",H52=""),"否",IF(H52&lt;项目驾驶舱!$B$3,"是","否"))</f>
        <v>否</v>
      </c>
      <c r="N52" s="24"/>
    </row>
    <row r="53" ht="17" customHeight="1" spans="1:14">
      <c r="A53" s="24"/>
      <c r="B53" s="24"/>
      <c r="C53" s="24"/>
      <c r="D53" s="24"/>
      <c r="E53" s="24"/>
      <c r="F53" s="24"/>
      <c r="G53" s="24"/>
      <c r="H53" s="26"/>
      <c r="I53" s="26"/>
      <c r="J53" s="24"/>
      <c r="K53" s="24"/>
      <c r="L53" s="24" t="str">
        <f>IF(H53="","",H53-项目驾驶舱!$B$3)</f>
        <v/>
      </c>
      <c r="M53" s="24" t="str">
        <f>IF(OR(K53="已关闭",H53=""),"否",IF(H53&lt;项目驾驶舱!$B$3,"是","否"))</f>
        <v>否</v>
      </c>
      <c r="N53" s="24"/>
    </row>
    <row r="54" ht="17" customHeight="1" spans="1:14">
      <c r="A54" s="24"/>
      <c r="B54" s="24"/>
      <c r="C54" s="24"/>
      <c r="D54" s="24"/>
      <c r="E54" s="24"/>
      <c r="F54" s="24"/>
      <c r="G54" s="24"/>
      <c r="H54" s="26"/>
      <c r="I54" s="26"/>
      <c r="J54" s="24"/>
      <c r="K54" s="24"/>
      <c r="L54" s="24" t="str">
        <f>IF(H54="","",H54-项目驾驶舱!$B$3)</f>
        <v/>
      </c>
      <c r="M54" s="24" t="str">
        <f>IF(OR(K54="已关闭",H54=""),"否",IF(H54&lt;项目驾驶舱!$B$3,"是","否"))</f>
        <v>否</v>
      </c>
      <c r="N54" s="24"/>
    </row>
    <row r="55" ht="17" customHeight="1" spans="1:14">
      <c r="A55" s="24"/>
      <c r="B55" s="24"/>
      <c r="C55" s="24"/>
      <c r="D55" s="24"/>
      <c r="E55" s="24"/>
      <c r="F55" s="24"/>
      <c r="G55" s="24"/>
      <c r="H55" s="26"/>
      <c r="I55" s="26"/>
      <c r="J55" s="24"/>
      <c r="K55" s="24"/>
      <c r="L55" s="24" t="str">
        <f>IF(H55="","",H55-项目驾驶舱!$B$3)</f>
        <v/>
      </c>
      <c r="M55" s="24" t="str">
        <f>IF(OR(K55="已关闭",H55=""),"否",IF(H55&lt;项目驾驶舱!$B$3,"是","否"))</f>
        <v>否</v>
      </c>
      <c r="N55" s="24"/>
    </row>
    <row r="56" ht="17" customHeight="1" spans="1:14">
      <c r="A56" s="24"/>
      <c r="B56" s="24"/>
      <c r="C56" s="24"/>
      <c r="D56" s="24"/>
      <c r="E56" s="24"/>
      <c r="F56" s="24"/>
      <c r="G56" s="24"/>
      <c r="H56" s="26"/>
      <c r="I56" s="26"/>
      <c r="J56" s="24"/>
      <c r="K56" s="24"/>
      <c r="L56" s="24" t="str">
        <f>IF(H56="","",H56-项目驾驶舱!$B$3)</f>
        <v/>
      </c>
      <c r="M56" s="24" t="str">
        <f>IF(OR(K56="已关闭",H56=""),"否",IF(H56&lt;项目驾驶舱!$B$3,"是","否"))</f>
        <v>否</v>
      </c>
      <c r="N56" s="24"/>
    </row>
    <row r="57" ht="17" customHeight="1" spans="1:14">
      <c r="A57" s="24"/>
      <c r="B57" s="24"/>
      <c r="C57" s="24"/>
      <c r="D57" s="24"/>
      <c r="E57" s="24"/>
      <c r="F57" s="24"/>
      <c r="G57" s="24"/>
      <c r="H57" s="26"/>
      <c r="I57" s="26"/>
      <c r="J57" s="24"/>
      <c r="K57" s="24"/>
      <c r="L57" s="24" t="str">
        <f>IF(H57="","",H57-项目驾驶舱!$B$3)</f>
        <v/>
      </c>
      <c r="M57" s="24" t="str">
        <f>IF(OR(K57="已关闭",H57=""),"否",IF(H57&lt;项目驾驶舱!$B$3,"是","否"))</f>
        <v>否</v>
      </c>
      <c r="N57" s="24"/>
    </row>
    <row r="58" ht="17" customHeight="1" spans="1:14">
      <c r="A58" s="24"/>
      <c r="B58" s="24"/>
      <c r="C58" s="24"/>
      <c r="D58" s="24"/>
      <c r="E58" s="24"/>
      <c r="F58" s="24"/>
      <c r="G58" s="24"/>
      <c r="H58" s="26"/>
      <c r="I58" s="26"/>
      <c r="J58" s="24"/>
      <c r="K58" s="24"/>
      <c r="L58" s="24" t="str">
        <f>IF(H58="","",H58-项目驾驶舱!$B$3)</f>
        <v/>
      </c>
      <c r="M58" s="24" t="str">
        <f>IF(OR(K58="已关闭",H58=""),"否",IF(H58&lt;项目驾驶舱!$B$3,"是","否"))</f>
        <v>否</v>
      </c>
      <c r="N58" s="24"/>
    </row>
    <row r="59" ht="17" customHeight="1" spans="1:14">
      <c r="A59" s="24"/>
      <c r="B59" s="24"/>
      <c r="C59" s="24"/>
      <c r="D59" s="24"/>
      <c r="E59" s="24"/>
      <c r="F59" s="24"/>
      <c r="G59" s="24"/>
      <c r="H59" s="26"/>
      <c r="I59" s="26"/>
      <c r="J59" s="24"/>
      <c r="K59" s="24"/>
      <c r="L59" s="24" t="str">
        <f>IF(H59="","",H59-项目驾驶舱!$B$3)</f>
        <v/>
      </c>
      <c r="M59" s="24" t="str">
        <f>IF(OR(K59="已关闭",H59=""),"否",IF(H59&lt;项目驾驶舱!$B$3,"是","否"))</f>
        <v>否</v>
      </c>
      <c r="N59" s="24"/>
    </row>
    <row r="60" ht="17" customHeight="1" spans="1:14">
      <c r="A60" s="24"/>
      <c r="B60" s="24"/>
      <c r="C60" s="24"/>
      <c r="D60" s="24"/>
      <c r="E60" s="24"/>
      <c r="F60" s="24"/>
      <c r="G60" s="24"/>
      <c r="H60" s="26"/>
      <c r="I60" s="26"/>
      <c r="J60" s="24"/>
      <c r="K60" s="24"/>
      <c r="L60" s="24" t="str">
        <f>IF(H60="","",H60-项目驾驶舱!$B$3)</f>
        <v/>
      </c>
      <c r="M60" s="24" t="str">
        <f>IF(OR(K60="已关闭",H60=""),"否",IF(H60&lt;项目驾驶舱!$B$3,"是","否"))</f>
        <v>否</v>
      </c>
      <c r="N60" s="24"/>
    </row>
    <row r="61" ht="17" customHeight="1" spans="1:14">
      <c r="A61" s="24"/>
      <c r="B61" s="24"/>
      <c r="C61" s="24"/>
      <c r="D61" s="24"/>
      <c r="E61" s="24"/>
      <c r="F61" s="24"/>
      <c r="G61" s="24"/>
      <c r="H61" s="26"/>
      <c r="I61" s="26"/>
      <c r="J61" s="24"/>
      <c r="K61" s="24"/>
      <c r="L61" s="24" t="str">
        <f>IF(H61="","",H61-项目驾驶舱!$B$3)</f>
        <v/>
      </c>
      <c r="M61" s="24" t="str">
        <f>IF(OR(K61="已关闭",H61=""),"否",IF(H61&lt;项目驾驶舱!$B$3,"是","否"))</f>
        <v>否</v>
      </c>
      <c r="N61" s="24"/>
    </row>
    <row r="62" ht="17" customHeight="1" spans="1:14">
      <c r="A62" s="24"/>
      <c r="B62" s="24"/>
      <c r="C62" s="24"/>
      <c r="D62" s="24"/>
      <c r="E62" s="24"/>
      <c r="F62" s="24"/>
      <c r="G62" s="24"/>
      <c r="H62" s="26"/>
      <c r="I62" s="26"/>
      <c r="J62" s="24"/>
      <c r="K62" s="24"/>
      <c r="L62" s="24" t="str">
        <f>IF(H62="","",H62-项目驾驶舱!$B$3)</f>
        <v/>
      </c>
      <c r="M62" s="24" t="str">
        <f>IF(OR(K62="已关闭",H62=""),"否",IF(H62&lt;项目驾驶舱!$B$3,"是","否"))</f>
        <v>否</v>
      </c>
      <c r="N62" s="24"/>
    </row>
    <row r="63" ht="17" customHeight="1" spans="1:14">
      <c r="A63" s="24"/>
      <c r="B63" s="24"/>
      <c r="C63" s="24"/>
      <c r="D63" s="24"/>
      <c r="E63" s="24"/>
      <c r="F63" s="24"/>
      <c r="G63" s="24"/>
      <c r="H63" s="26"/>
      <c r="I63" s="26"/>
      <c r="J63" s="24"/>
      <c r="K63" s="24"/>
      <c r="L63" s="24" t="str">
        <f>IF(H63="","",H63-项目驾驶舱!$B$3)</f>
        <v/>
      </c>
      <c r="M63" s="24" t="str">
        <f>IF(OR(K63="已关闭",H63=""),"否",IF(H63&lt;项目驾驶舱!$B$3,"是","否"))</f>
        <v>否</v>
      </c>
      <c r="N63" s="24"/>
    </row>
    <row r="64" ht="17" customHeight="1" spans="1:14">
      <c r="A64" s="24"/>
      <c r="B64" s="24"/>
      <c r="C64" s="24"/>
      <c r="D64" s="24"/>
      <c r="E64" s="24"/>
      <c r="F64" s="24"/>
      <c r="G64" s="24"/>
      <c r="H64" s="26"/>
      <c r="I64" s="26"/>
      <c r="J64" s="24"/>
      <c r="K64" s="24"/>
      <c r="L64" s="24" t="str">
        <f>IF(H64="","",H64-项目驾驶舱!$B$3)</f>
        <v/>
      </c>
      <c r="M64" s="24" t="str">
        <f>IF(OR(K64="已关闭",H64=""),"否",IF(H64&lt;项目驾驶舱!$B$3,"是","否"))</f>
        <v>否</v>
      </c>
      <c r="N64" s="24"/>
    </row>
    <row r="65" ht="17" customHeight="1" spans="1:14">
      <c r="A65" s="24"/>
      <c r="B65" s="24"/>
      <c r="C65" s="24"/>
      <c r="D65" s="24"/>
      <c r="E65" s="24"/>
      <c r="F65" s="24"/>
      <c r="G65" s="24"/>
      <c r="H65" s="26"/>
      <c r="I65" s="26"/>
      <c r="J65" s="24"/>
      <c r="K65" s="24"/>
      <c r="L65" s="24" t="str">
        <f>IF(H65="","",H65-项目驾驶舱!$B$3)</f>
        <v/>
      </c>
      <c r="M65" s="24" t="str">
        <f>IF(OR(K65="已关闭",H65=""),"否",IF(H65&lt;项目驾驶舱!$B$3,"是","否"))</f>
        <v>否</v>
      </c>
      <c r="N65" s="24"/>
    </row>
    <row r="66" ht="17" customHeight="1" spans="1:14">
      <c r="A66" s="24"/>
      <c r="B66" s="24"/>
      <c r="C66" s="24"/>
      <c r="D66" s="24"/>
      <c r="E66" s="24"/>
      <c r="F66" s="24"/>
      <c r="G66" s="24"/>
      <c r="H66" s="26"/>
      <c r="I66" s="26"/>
      <c r="J66" s="24"/>
      <c r="K66" s="24"/>
      <c r="L66" s="24" t="str">
        <f>IF(H66="","",H66-项目驾驶舱!$B$3)</f>
        <v/>
      </c>
      <c r="M66" s="24" t="str">
        <f>IF(OR(K66="已关闭",H66=""),"否",IF(H66&lt;项目驾驶舱!$B$3,"是","否"))</f>
        <v>否</v>
      </c>
      <c r="N66" s="24"/>
    </row>
    <row r="67" ht="17" customHeight="1" spans="1:14">
      <c r="A67" s="24"/>
      <c r="B67" s="24"/>
      <c r="C67" s="24"/>
      <c r="D67" s="24"/>
      <c r="E67" s="24"/>
      <c r="F67" s="24"/>
      <c r="G67" s="24"/>
      <c r="H67" s="26"/>
      <c r="I67" s="26"/>
      <c r="J67" s="24"/>
      <c r="K67" s="24"/>
      <c r="L67" s="24" t="str">
        <f>IF(H67="","",H67-项目驾驶舱!$B$3)</f>
        <v/>
      </c>
      <c r="M67" s="24" t="str">
        <f>IF(OR(K67="已关闭",H67=""),"否",IF(H67&lt;项目驾驶舱!$B$3,"是","否"))</f>
        <v>否</v>
      </c>
      <c r="N67" s="24"/>
    </row>
    <row r="68" ht="17" customHeight="1" spans="1:14">
      <c r="A68" s="24"/>
      <c r="B68" s="24"/>
      <c r="C68" s="24"/>
      <c r="D68" s="24"/>
      <c r="E68" s="24"/>
      <c r="F68" s="24"/>
      <c r="G68" s="24"/>
      <c r="H68" s="26"/>
      <c r="I68" s="26"/>
      <c r="J68" s="24"/>
      <c r="K68" s="24"/>
      <c r="L68" s="24" t="str">
        <f>IF(H68="","",H68-项目驾驶舱!$B$3)</f>
        <v/>
      </c>
      <c r="M68" s="24" t="str">
        <f>IF(OR(K68="已关闭",H68=""),"否",IF(H68&lt;项目驾驶舱!$B$3,"是","否"))</f>
        <v>否</v>
      </c>
      <c r="N68" s="24"/>
    </row>
    <row r="69" ht="17" customHeight="1" spans="1:14">
      <c r="A69" s="24"/>
      <c r="B69" s="24"/>
      <c r="C69" s="24"/>
      <c r="D69" s="24"/>
      <c r="E69" s="24"/>
      <c r="F69" s="24"/>
      <c r="G69" s="24"/>
      <c r="H69" s="26"/>
      <c r="I69" s="26"/>
      <c r="J69" s="24"/>
      <c r="K69" s="24"/>
      <c r="L69" s="24" t="str">
        <f>IF(H69="","",H69-项目驾驶舱!$B$3)</f>
        <v/>
      </c>
      <c r="M69" s="24" t="str">
        <f>IF(OR(K69="已关闭",H69=""),"否",IF(H69&lt;项目驾驶舱!$B$3,"是","否"))</f>
        <v>否</v>
      </c>
      <c r="N69" s="24"/>
    </row>
    <row r="70" ht="17" customHeight="1" spans="1:14">
      <c r="A70" s="24"/>
      <c r="B70" s="24"/>
      <c r="C70" s="24"/>
      <c r="D70" s="24"/>
      <c r="E70" s="24"/>
      <c r="F70" s="24"/>
      <c r="G70" s="24"/>
      <c r="H70" s="26"/>
      <c r="I70" s="26"/>
      <c r="J70" s="24"/>
      <c r="K70" s="24"/>
      <c r="L70" s="24" t="str">
        <f>IF(H70="","",H70-项目驾驶舱!$B$3)</f>
        <v/>
      </c>
      <c r="M70" s="24" t="str">
        <f>IF(OR(K70="已关闭",H70=""),"否",IF(H70&lt;项目驾驶舱!$B$3,"是","否"))</f>
        <v>否</v>
      </c>
      <c r="N70" s="24"/>
    </row>
    <row r="71" ht="17" customHeight="1" spans="1:14">
      <c r="A71" s="24"/>
      <c r="B71" s="24"/>
      <c r="C71" s="24"/>
      <c r="D71" s="24"/>
      <c r="E71" s="24"/>
      <c r="F71" s="24"/>
      <c r="G71" s="24"/>
      <c r="H71" s="26"/>
      <c r="I71" s="26"/>
      <c r="J71" s="24"/>
      <c r="K71" s="24"/>
      <c r="L71" s="24" t="str">
        <f>IF(H71="","",H71-项目驾驶舱!$B$3)</f>
        <v/>
      </c>
      <c r="M71" s="24" t="str">
        <f>IF(OR(K71="已关闭",H71=""),"否",IF(H71&lt;项目驾驶舱!$B$3,"是","否"))</f>
        <v>否</v>
      </c>
      <c r="N71" s="24"/>
    </row>
    <row r="72" ht="17" customHeight="1" spans="1:14">
      <c r="A72" s="24"/>
      <c r="B72" s="24"/>
      <c r="C72" s="24"/>
      <c r="D72" s="24"/>
      <c r="E72" s="24"/>
      <c r="F72" s="24"/>
      <c r="G72" s="24"/>
      <c r="H72" s="26"/>
      <c r="I72" s="26"/>
      <c r="J72" s="24"/>
      <c r="K72" s="24"/>
      <c r="L72" s="24" t="str">
        <f>IF(H72="","",H72-项目驾驶舱!$B$3)</f>
        <v/>
      </c>
      <c r="M72" s="24" t="str">
        <f>IF(OR(K72="已关闭",H72=""),"否",IF(H72&lt;项目驾驶舱!$B$3,"是","否"))</f>
        <v>否</v>
      </c>
      <c r="N72" s="24"/>
    </row>
    <row r="73" ht="17" customHeight="1" spans="1:14">
      <c r="A73" s="24"/>
      <c r="B73" s="24"/>
      <c r="C73" s="24"/>
      <c r="D73" s="24"/>
      <c r="E73" s="24"/>
      <c r="F73" s="24"/>
      <c r="G73" s="24"/>
      <c r="H73" s="26"/>
      <c r="I73" s="26"/>
      <c r="J73" s="24"/>
      <c r="K73" s="24"/>
      <c r="L73" s="24" t="str">
        <f>IF(H73="","",H73-项目驾驶舱!$B$3)</f>
        <v/>
      </c>
      <c r="M73" s="24" t="str">
        <f>IF(OR(K73="已关闭",H73=""),"否",IF(H73&lt;项目驾驶舱!$B$3,"是","否"))</f>
        <v>否</v>
      </c>
      <c r="N73" s="24"/>
    </row>
    <row r="74" ht="17" customHeight="1" spans="1:14">
      <c r="A74" s="24"/>
      <c r="B74" s="24"/>
      <c r="C74" s="24"/>
      <c r="D74" s="24"/>
      <c r="E74" s="24"/>
      <c r="F74" s="24"/>
      <c r="G74" s="24"/>
      <c r="H74" s="26"/>
      <c r="I74" s="26"/>
      <c r="J74" s="24"/>
      <c r="K74" s="24"/>
      <c r="L74" s="24" t="str">
        <f>IF(H74="","",H74-项目驾驶舱!$B$3)</f>
        <v/>
      </c>
      <c r="M74" s="24" t="str">
        <f>IF(OR(K74="已关闭",H74=""),"否",IF(H74&lt;项目驾驶舱!$B$3,"是","否"))</f>
        <v>否</v>
      </c>
      <c r="N74" s="24"/>
    </row>
    <row r="75" ht="17" customHeight="1" spans="1:14">
      <c r="A75" s="24"/>
      <c r="B75" s="24"/>
      <c r="C75" s="24"/>
      <c r="D75" s="24"/>
      <c r="E75" s="24"/>
      <c r="F75" s="24"/>
      <c r="G75" s="24"/>
      <c r="H75" s="26"/>
      <c r="I75" s="26"/>
      <c r="J75" s="24"/>
      <c r="K75" s="24"/>
      <c r="L75" s="24" t="str">
        <f>IF(H75="","",H75-项目驾驶舱!$B$3)</f>
        <v/>
      </c>
      <c r="M75" s="24" t="str">
        <f>IF(OR(K75="已关闭",H75=""),"否",IF(H75&lt;项目驾驶舱!$B$3,"是","否"))</f>
        <v>否</v>
      </c>
      <c r="N75" s="24"/>
    </row>
    <row r="76" ht="17" customHeight="1" spans="1:14">
      <c r="A76" s="24"/>
      <c r="B76" s="24"/>
      <c r="C76" s="24"/>
      <c r="D76" s="24"/>
      <c r="E76" s="24"/>
      <c r="F76" s="24"/>
      <c r="G76" s="24"/>
      <c r="H76" s="26"/>
      <c r="I76" s="26"/>
      <c r="J76" s="24"/>
      <c r="K76" s="24"/>
      <c r="L76" s="24" t="str">
        <f>IF(H76="","",H76-项目驾驶舱!$B$3)</f>
        <v/>
      </c>
      <c r="M76" s="24" t="str">
        <f>IF(OR(K76="已关闭",H76=""),"否",IF(H76&lt;项目驾驶舱!$B$3,"是","否"))</f>
        <v>否</v>
      </c>
      <c r="N76" s="24"/>
    </row>
    <row r="77" ht="17" customHeight="1" spans="1:14">
      <c r="A77" s="24"/>
      <c r="B77" s="24"/>
      <c r="C77" s="24"/>
      <c r="D77" s="24"/>
      <c r="E77" s="24"/>
      <c r="F77" s="24"/>
      <c r="G77" s="24"/>
      <c r="H77" s="26"/>
      <c r="I77" s="26"/>
      <c r="J77" s="24"/>
      <c r="K77" s="24"/>
      <c r="L77" s="24" t="str">
        <f>IF(H77="","",H77-项目驾驶舱!$B$3)</f>
        <v/>
      </c>
      <c r="M77" s="24" t="str">
        <f>IF(OR(K77="已关闭",H77=""),"否",IF(H77&lt;项目驾驶舱!$B$3,"是","否"))</f>
        <v>否</v>
      </c>
      <c r="N77" s="24"/>
    </row>
    <row r="78" ht="17" customHeight="1" spans="1:14">
      <c r="A78" s="24"/>
      <c r="B78" s="24"/>
      <c r="C78" s="24"/>
      <c r="D78" s="24"/>
      <c r="E78" s="24"/>
      <c r="F78" s="24"/>
      <c r="G78" s="24"/>
      <c r="H78" s="26"/>
      <c r="I78" s="26"/>
      <c r="J78" s="24"/>
      <c r="K78" s="24"/>
      <c r="L78" s="24" t="str">
        <f>IF(H78="","",H78-项目驾驶舱!$B$3)</f>
        <v/>
      </c>
      <c r="M78" s="24" t="str">
        <f>IF(OR(K78="已关闭",H78=""),"否",IF(H78&lt;项目驾驶舱!$B$3,"是","否"))</f>
        <v>否</v>
      </c>
      <c r="N78" s="24"/>
    </row>
    <row r="79" ht="17" customHeight="1" spans="1:14">
      <c r="A79" s="24"/>
      <c r="B79" s="24"/>
      <c r="C79" s="24"/>
      <c r="D79" s="24"/>
      <c r="E79" s="24"/>
      <c r="F79" s="24"/>
      <c r="G79" s="24"/>
      <c r="H79" s="26"/>
      <c r="I79" s="26"/>
      <c r="J79" s="24"/>
      <c r="K79" s="24"/>
      <c r="L79" s="24" t="str">
        <f>IF(H79="","",H79-项目驾驶舱!$B$3)</f>
        <v/>
      </c>
      <c r="M79" s="24" t="str">
        <f>IF(OR(K79="已关闭",H79=""),"否",IF(H79&lt;项目驾驶舱!$B$3,"是","否"))</f>
        <v>否</v>
      </c>
      <c r="N79" s="24"/>
    </row>
    <row r="80" ht="17" customHeight="1" spans="1:14">
      <c r="A80" s="24"/>
      <c r="B80" s="24"/>
      <c r="C80" s="24"/>
      <c r="D80" s="24"/>
      <c r="E80" s="24"/>
      <c r="F80" s="24"/>
      <c r="G80" s="24"/>
      <c r="H80" s="26"/>
      <c r="I80" s="26"/>
      <c r="J80" s="24"/>
      <c r="K80" s="24"/>
      <c r="L80" s="24" t="str">
        <f>IF(H80="","",H80-项目驾驶舱!$B$3)</f>
        <v/>
      </c>
      <c r="M80" s="24" t="str">
        <f>IF(OR(K80="已关闭",H80=""),"否",IF(H80&lt;项目驾驶舱!$B$3,"是","否"))</f>
        <v>否</v>
      </c>
      <c r="N80" s="24"/>
    </row>
    <row r="81" ht="17" customHeight="1" spans="1:14">
      <c r="A81" s="24"/>
      <c r="B81" s="24"/>
      <c r="C81" s="24"/>
      <c r="D81" s="24"/>
      <c r="E81" s="24"/>
      <c r="F81" s="24"/>
      <c r="G81" s="24"/>
      <c r="H81" s="26"/>
      <c r="I81" s="26"/>
      <c r="J81" s="24"/>
      <c r="K81" s="24"/>
      <c r="L81" s="24" t="str">
        <f>IF(H81="","",H81-项目驾驶舱!$B$3)</f>
        <v/>
      </c>
      <c r="M81" s="24" t="str">
        <f>IF(OR(K81="已关闭",H81=""),"否",IF(H81&lt;项目驾驶舱!$B$3,"是","否"))</f>
        <v>否</v>
      </c>
      <c r="N81" s="24"/>
    </row>
    <row r="82" ht="17" customHeight="1" spans="1:14">
      <c r="A82" s="24"/>
      <c r="B82" s="24"/>
      <c r="C82" s="24"/>
      <c r="D82" s="24"/>
      <c r="E82" s="24"/>
      <c r="F82" s="24"/>
      <c r="G82" s="24"/>
      <c r="H82" s="26"/>
      <c r="I82" s="26"/>
      <c r="J82" s="24"/>
      <c r="K82" s="24"/>
      <c r="L82" s="24" t="str">
        <f>IF(H82="","",H82-项目驾驶舱!$B$3)</f>
        <v/>
      </c>
      <c r="M82" s="24" t="str">
        <f>IF(OR(K82="已关闭",H82=""),"否",IF(H82&lt;项目驾驶舱!$B$3,"是","否"))</f>
        <v>否</v>
      </c>
      <c r="N82" s="24"/>
    </row>
    <row r="83" ht="17" customHeight="1" spans="1:14">
      <c r="A83" s="24"/>
      <c r="B83" s="24"/>
      <c r="C83" s="24"/>
      <c r="D83" s="24"/>
      <c r="E83" s="24"/>
      <c r="F83" s="24"/>
      <c r="G83" s="24"/>
      <c r="H83" s="26"/>
      <c r="I83" s="26"/>
      <c r="J83" s="24"/>
      <c r="K83" s="24"/>
      <c r="L83" s="24" t="str">
        <f>IF(H83="","",H83-项目驾驶舱!$B$3)</f>
        <v/>
      </c>
      <c r="M83" s="24" t="str">
        <f>IF(OR(K83="已关闭",H83=""),"否",IF(H83&lt;项目驾驶舱!$B$3,"是","否"))</f>
        <v>否</v>
      </c>
      <c r="N83" s="24"/>
    </row>
    <row r="84" ht="17" customHeight="1" spans="1:14">
      <c r="A84" s="24"/>
      <c r="B84" s="24"/>
      <c r="C84" s="24"/>
      <c r="D84" s="24"/>
      <c r="E84" s="24"/>
      <c r="F84" s="24"/>
      <c r="G84" s="24"/>
      <c r="H84" s="26"/>
      <c r="I84" s="26"/>
      <c r="J84" s="24"/>
      <c r="K84" s="24"/>
      <c r="L84" s="24" t="str">
        <f>IF(H84="","",H84-项目驾驶舱!$B$3)</f>
        <v/>
      </c>
      <c r="M84" s="24" t="str">
        <f>IF(OR(K84="已关闭",H84=""),"否",IF(H84&lt;项目驾驶舱!$B$3,"是","否"))</f>
        <v>否</v>
      </c>
      <c r="N84" s="24"/>
    </row>
    <row r="85" ht="17" customHeight="1" spans="1:14">
      <c r="A85" s="24"/>
      <c r="B85" s="24"/>
      <c r="C85" s="24"/>
      <c r="D85" s="24"/>
      <c r="E85" s="24"/>
      <c r="F85" s="24"/>
      <c r="G85" s="24"/>
      <c r="H85" s="26"/>
      <c r="I85" s="26"/>
      <c r="J85" s="24"/>
      <c r="K85" s="24"/>
      <c r="L85" s="24" t="str">
        <f>IF(H85="","",H85-项目驾驶舱!$B$3)</f>
        <v/>
      </c>
      <c r="M85" s="24" t="str">
        <f>IF(OR(K85="已关闭",H85=""),"否",IF(H85&lt;项目驾驶舱!$B$3,"是","否"))</f>
        <v>否</v>
      </c>
      <c r="N85" s="24"/>
    </row>
    <row r="86" ht="17" customHeight="1" spans="1:14">
      <c r="A86" s="24"/>
      <c r="B86" s="24"/>
      <c r="C86" s="24"/>
      <c r="D86" s="24"/>
      <c r="E86" s="24"/>
      <c r="F86" s="24"/>
      <c r="G86" s="24"/>
      <c r="H86" s="26"/>
      <c r="I86" s="26"/>
      <c r="J86" s="24"/>
      <c r="K86" s="24"/>
      <c r="L86" s="24" t="str">
        <f>IF(H86="","",H86-项目驾驶舱!$B$3)</f>
        <v/>
      </c>
      <c r="M86" s="24" t="str">
        <f>IF(OR(K86="已关闭",H86=""),"否",IF(H86&lt;项目驾驶舱!$B$3,"是","否"))</f>
        <v>否</v>
      </c>
      <c r="N86" s="24"/>
    </row>
    <row r="87" ht="17" customHeight="1" spans="1:14">
      <c r="A87" s="24"/>
      <c r="B87" s="24"/>
      <c r="C87" s="24"/>
      <c r="D87" s="24"/>
      <c r="E87" s="24"/>
      <c r="F87" s="24"/>
      <c r="G87" s="24"/>
      <c r="H87" s="26"/>
      <c r="I87" s="26"/>
      <c r="J87" s="24"/>
      <c r="K87" s="24"/>
      <c r="L87" s="24" t="str">
        <f>IF(H87="","",H87-项目驾驶舱!$B$3)</f>
        <v/>
      </c>
      <c r="M87" s="24" t="str">
        <f>IF(OR(K87="已关闭",H87=""),"否",IF(H87&lt;项目驾驶舱!$B$3,"是","否"))</f>
        <v>否</v>
      </c>
      <c r="N87" s="24"/>
    </row>
    <row r="88" ht="17" customHeight="1" spans="1:14">
      <c r="A88" s="24"/>
      <c r="B88" s="24"/>
      <c r="C88" s="24"/>
      <c r="D88" s="24"/>
      <c r="E88" s="24"/>
      <c r="F88" s="24"/>
      <c r="G88" s="24"/>
      <c r="H88" s="26"/>
      <c r="I88" s="26"/>
      <c r="J88" s="24"/>
      <c r="K88" s="24"/>
      <c r="L88" s="24" t="str">
        <f>IF(H88="","",H88-项目驾驶舱!$B$3)</f>
        <v/>
      </c>
      <c r="M88" s="24" t="str">
        <f>IF(OR(K88="已关闭",H88=""),"否",IF(H88&lt;项目驾驶舱!$B$3,"是","否"))</f>
        <v>否</v>
      </c>
      <c r="N88" s="24"/>
    </row>
    <row r="89" ht="17" customHeight="1" spans="1:14">
      <c r="A89" s="24"/>
      <c r="B89" s="24"/>
      <c r="C89" s="24"/>
      <c r="D89" s="24"/>
      <c r="E89" s="24"/>
      <c r="F89" s="24"/>
      <c r="G89" s="24"/>
      <c r="H89" s="26"/>
      <c r="I89" s="26"/>
      <c r="J89" s="24"/>
      <c r="K89" s="24"/>
      <c r="L89" s="24" t="str">
        <f>IF(H89="","",H89-项目驾驶舱!$B$3)</f>
        <v/>
      </c>
      <c r="M89" s="24" t="str">
        <f>IF(OR(K89="已关闭",H89=""),"否",IF(H89&lt;项目驾驶舱!$B$3,"是","否"))</f>
        <v>否</v>
      </c>
      <c r="N89" s="24"/>
    </row>
    <row r="90" ht="17" customHeight="1" spans="1:14">
      <c r="A90" s="24"/>
      <c r="B90" s="24"/>
      <c r="C90" s="24"/>
      <c r="D90" s="24"/>
      <c r="E90" s="24"/>
      <c r="F90" s="24"/>
      <c r="G90" s="24"/>
      <c r="H90" s="26"/>
      <c r="I90" s="26"/>
      <c r="J90" s="24"/>
      <c r="K90" s="24"/>
      <c r="L90" s="24" t="str">
        <f>IF(H90="","",H90-项目驾驶舱!$B$3)</f>
        <v/>
      </c>
      <c r="M90" s="24" t="str">
        <f>IF(OR(K90="已关闭",H90=""),"否",IF(H90&lt;项目驾驶舱!$B$3,"是","否"))</f>
        <v>否</v>
      </c>
      <c r="N90" s="24"/>
    </row>
    <row r="91" ht="17" customHeight="1" spans="1:14">
      <c r="A91" s="24"/>
      <c r="B91" s="24"/>
      <c r="C91" s="24"/>
      <c r="D91" s="24"/>
      <c r="E91" s="24"/>
      <c r="F91" s="24"/>
      <c r="G91" s="24"/>
      <c r="H91" s="26"/>
      <c r="I91" s="26"/>
      <c r="J91" s="24"/>
      <c r="K91" s="24"/>
      <c r="L91" s="24" t="str">
        <f>IF(H91="","",H91-项目驾驶舱!$B$3)</f>
        <v/>
      </c>
      <c r="M91" s="24" t="str">
        <f>IF(OR(K91="已关闭",H91=""),"否",IF(H91&lt;项目驾驶舱!$B$3,"是","否"))</f>
        <v>否</v>
      </c>
      <c r="N91" s="24"/>
    </row>
    <row r="92" ht="17" customHeight="1" spans="1:14">
      <c r="A92" s="24"/>
      <c r="B92" s="24"/>
      <c r="C92" s="24"/>
      <c r="D92" s="24"/>
      <c r="E92" s="24"/>
      <c r="F92" s="24"/>
      <c r="G92" s="24"/>
      <c r="H92" s="26"/>
      <c r="I92" s="26"/>
      <c r="J92" s="24"/>
      <c r="K92" s="24"/>
      <c r="L92" s="24" t="str">
        <f>IF(H92="","",H92-项目驾驶舱!$B$3)</f>
        <v/>
      </c>
      <c r="M92" s="24" t="str">
        <f>IF(OR(K92="已关闭",H92=""),"否",IF(H92&lt;项目驾驶舱!$B$3,"是","否"))</f>
        <v>否</v>
      </c>
      <c r="N92" s="24"/>
    </row>
    <row r="93" ht="17" customHeight="1" spans="1:14">
      <c r="A93" s="24"/>
      <c r="B93" s="24"/>
      <c r="C93" s="24"/>
      <c r="D93" s="24"/>
      <c r="E93" s="24"/>
      <c r="F93" s="24"/>
      <c r="G93" s="24"/>
      <c r="H93" s="26"/>
      <c r="I93" s="26"/>
      <c r="J93" s="24"/>
      <c r="K93" s="24"/>
      <c r="L93" s="24" t="str">
        <f>IF(H93="","",H93-项目驾驶舱!$B$3)</f>
        <v/>
      </c>
      <c r="M93" s="24" t="str">
        <f>IF(OR(K93="已关闭",H93=""),"否",IF(H93&lt;项目驾驶舱!$B$3,"是","否"))</f>
        <v>否</v>
      </c>
      <c r="N93" s="24"/>
    </row>
    <row r="94" ht="17" customHeight="1" spans="1:14">
      <c r="A94" s="24"/>
      <c r="B94" s="24"/>
      <c r="C94" s="24"/>
      <c r="D94" s="24"/>
      <c r="E94" s="24"/>
      <c r="F94" s="24"/>
      <c r="G94" s="24"/>
      <c r="H94" s="26"/>
      <c r="I94" s="26"/>
      <c r="J94" s="24"/>
      <c r="K94" s="24"/>
      <c r="L94" s="24" t="str">
        <f>IF(H94="","",H94-项目驾驶舱!$B$3)</f>
        <v/>
      </c>
      <c r="M94" s="24" t="str">
        <f>IF(OR(K94="已关闭",H94=""),"否",IF(H94&lt;项目驾驶舱!$B$3,"是","否"))</f>
        <v>否</v>
      </c>
      <c r="N94" s="24"/>
    </row>
    <row r="95" ht="17" customHeight="1" spans="1:14">
      <c r="A95" s="24"/>
      <c r="B95" s="24"/>
      <c r="C95" s="24"/>
      <c r="D95" s="24"/>
      <c r="E95" s="24"/>
      <c r="F95" s="24"/>
      <c r="G95" s="24"/>
      <c r="H95" s="26"/>
      <c r="I95" s="26"/>
      <c r="J95" s="24"/>
      <c r="K95" s="24"/>
      <c r="L95" s="24" t="str">
        <f>IF(H95="","",H95-项目驾驶舱!$B$3)</f>
        <v/>
      </c>
      <c r="M95" s="24" t="str">
        <f>IF(OR(K95="已关闭",H95=""),"否",IF(H95&lt;项目驾驶舱!$B$3,"是","否"))</f>
        <v>否</v>
      </c>
      <c r="N95" s="24"/>
    </row>
    <row r="96" ht="17" customHeight="1" spans="1:14">
      <c r="A96" s="24"/>
      <c r="B96" s="24"/>
      <c r="C96" s="24"/>
      <c r="D96" s="24"/>
      <c r="E96" s="24"/>
      <c r="F96" s="24"/>
      <c r="G96" s="24"/>
      <c r="H96" s="26"/>
      <c r="I96" s="26"/>
      <c r="J96" s="24"/>
      <c r="K96" s="24"/>
      <c r="L96" s="24" t="str">
        <f>IF(H96="","",H96-项目驾驶舱!$B$3)</f>
        <v/>
      </c>
      <c r="M96" s="24" t="str">
        <f>IF(OR(K96="已关闭",H96=""),"否",IF(H96&lt;项目驾驶舱!$B$3,"是","否"))</f>
        <v>否</v>
      </c>
      <c r="N96" s="24"/>
    </row>
    <row r="97" ht="17" customHeight="1" spans="1:14">
      <c r="A97" s="24"/>
      <c r="B97" s="24"/>
      <c r="C97" s="24"/>
      <c r="D97" s="24"/>
      <c r="E97" s="24"/>
      <c r="F97" s="24"/>
      <c r="G97" s="24"/>
      <c r="H97" s="26"/>
      <c r="I97" s="26"/>
      <c r="J97" s="24"/>
      <c r="K97" s="24"/>
      <c r="L97" s="24" t="str">
        <f>IF(H97="","",H97-项目驾驶舱!$B$3)</f>
        <v/>
      </c>
      <c r="M97" s="24" t="str">
        <f>IF(OR(K97="已关闭",H97=""),"否",IF(H97&lt;项目驾驶舱!$B$3,"是","否"))</f>
        <v>否</v>
      </c>
      <c r="N97" s="24"/>
    </row>
    <row r="98" ht="17" customHeight="1" spans="1:14">
      <c r="A98" s="24"/>
      <c r="B98" s="24"/>
      <c r="C98" s="24"/>
      <c r="D98" s="24"/>
      <c r="E98" s="24"/>
      <c r="F98" s="24"/>
      <c r="G98" s="24"/>
      <c r="H98" s="26"/>
      <c r="I98" s="26"/>
      <c r="J98" s="24"/>
      <c r="K98" s="24"/>
      <c r="L98" s="24" t="str">
        <f>IF(H98="","",H98-项目驾驶舱!$B$3)</f>
        <v/>
      </c>
      <c r="M98" s="24" t="str">
        <f>IF(OR(K98="已关闭",H98=""),"否",IF(H98&lt;项目驾驶舱!$B$3,"是","否"))</f>
        <v>否</v>
      </c>
      <c r="N98" s="24"/>
    </row>
    <row r="99" ht="17" customHeight="1" spans="1:14">
      <c r="A99" s="24"/>
      <c r="B99" s="24"/>
      <c r="C99" s="24"/>
      <c r="D99" s="24"/>
      <c r="E99" s="24"/>
      <c r="F99" s="24"/>
      <c r="G99" s="24"/>
      <c r="H99" s="26"/>
      <c r="I99" s="26"/>
      <c r="J99" s="24"/>
      <c r="K99" s="24"/>
      <c r="L99" s="24" t="str">
        <f>IF(H99="","",H99-项目驾驶舱!$B$3)</f>
        <v/>
      </c>
      <c r="M99" s="24" t="str">
        <f>IF(OR(K99="已关闭",H99=""),"否",IF(H99&lt;项目驾驶舱!$B$3,"是","否"))</f>
        <v>否</v>
      </c>
      <c r="N99" s="24"/>
    </row>
    <row r="100" ht="17" customHeight="1" spans="1:14">
      <c r="A100" s="24"/>
      <c r="B100" s="24"/>
      <c r="C100" s="24"/>
      <c r="D100" s="24"/>
      <c r="E100" s="24"/>
      <c r="F100" s="24"/>
      <c r="G100" s="24"/>
      <c r="H100" s="26"/>
      <c r="I100" s="26"/>
      <c r="J100" s="24"/>
      <c r="K100" s="24"/>
      <c r="L100" s="24" t="str">
        <f>IF(H100="","",H100-项目驾驶舱!$B$3)</f>
        <v/>
      </c>
      <c r="M100" s="24" t="str">
        <f>IF(OR(K100="已关闭",H100=""),"否",IF(H100&lt;项目驾驶舱!$B$3,"是","否"))</f>
        <v>否</v>
      </c>
      <c r="N100" s="24"/>
    </row>
    <row r="101" ht="17" customHeight="1" spans="1:14">
      <c r="A101" s="24"/>
      <c r="B101" s="24"/>
      <c r="C101" s="24"/>
      <c r="D101" s="24"/>
      <c r="E101" s="24"/>
      <c r="F101" s="24"/>
      <c r="G101" s="24"/>
      <c r="H101" s="26"/>
      <c r="I101" s="26"/>
      <c r="J101" s="24"/>
      <c r="K101" s="24"/>
      <c r="L101" s="24" t="str">
        <f>IF(H101="","",H101-项目驾驶舱!$B$3)</f>
        <v/>
      </c>
      <c r="M101" s="24" t="str">
        <f>IF(OR(K101="已关闭",H101=""),"否",IF(H101&lt;项目驾驶舱!$B$3,"是","否"))</f>
        <v>否</v>
      </c>
      <c r="N101" s="24"/>
    </row>
    <row r="102" ht="17" customHeight="1" spans="1:14">
      <c r="A102" s="24"/>
      <c r="B102" s="24"/>
      <c r="C102" s="24"/>
      <c r="D102" s="24"/>
      <c r="E102" s="24"/>
      <c r="F102" s="24"/>
      <c r="G102" s="24"/>
      <c r="H102" s="26"/>
      <c r="I102" s="26"/>
      <c r="J102" s="24"/>
      <c r="K102" s="24"/>
      <c r="L102" s="24" t="str">
        <f>IF(H102="","",H102-项目驾驶舱!$B$3)</f>
        <v/>
      </c>
      <c r="M102" s="24" t="str">
        <f>IF(OR(K102="已关闭",H102=""),"否",IF(H102&lt;项目驾驶舱!$B$3,"是","否"))</f>
        <v>否</v>
      </c>
      <c r="N102" s="24"/>
    </row>
    <row r="103" ht="17" customHeight="1" spans="1:14">
      <c r="A103" s="24"/>
      <c r="B103" s="24"/>
      <c r="C103" s="24"/>
      <c r="D103" s="24"/>
      <c r="E103" s="24"/>
      <c r="F103" s="24"/>
      <c r="G103" s="24"/>
      <c r="H103" s="26"/>
      <c r="I103" s="26"/>
      <c r="J103" s="24"/>
      <c r="K103" s="24"/>
      <c r="L103" s="24" t="str">
        <f>IF(H103="","",H103-项目驾驶舱!$B$3)</f>
        <v/>
      </c>
      <c r="M103" s="24" t="str">
        <f>IF(OR(K103="已关闭",H103=""),"否",IF(H103&lt;项目驾驶舱!$B$3,"是","否"))</f>
        <v>否</v>
      </c>
      <c r="N103" s="24"/>
    </row>
  </sheetData>
  <mergeCells count="1">
    <mergeCell ref="A1:N1"/>
  </mergeCells>
  <conditionalFormatting sqref="D4:D103">
    <cfRule type="containsText" dxfId="4" priority="1" operator="between" text="高">
      <formula>NOT(ISERROR(SEARCH("高",D4)))</formula>
    </cfRule>
  </conditionalFormatting>
  <conditionalFormatting sqref="M4:M103">
    <cfRule type="containsText" dxfId="4" priority="2" operator="between" text="是">
      <formula>NOT(ISERROR(SEARCH("是",M4)))</formula>
    </cfRule>
  </conditionalFormatting>
  <dataValidations count="3">
    <dataValidation type="list" sqref="B4:B103">
      <formula1>"风险,问题"</formula1>
    </dataValidation>
    <dataValidation type="list" sqref="D4:D103">
      <formula1>"低,中,高"</formula1>
    </dataValidation>
    <dataValidation type="list" sqref="K4:K103">
      <formula1>"待处理,处理中,已关闭,已接受"</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3"/>
  <sheetViews>
    <sheetView showGridLines="0" workbookViewId="0">
      <selection activeCell="A1" sqref="A1:N1"/>
    </sheetView>
  </sheetViews>
  <sheetFormatPr defaultColWidth="9" defaultRowHeight="16.8"/>
  <cols>
    <col min="1" max="3" width="13" style="1" customWidth="1"/>
    <col min="4" max="4" width="38" style="1" customWidth="1"/>
    <col min="5" max="5" width="28" style="1" customWidth="1"/>
    <col min="6" max="6" width="10" style="1" customWidth="1"/>
    <col min="7" max="7" width="12" style="1" customWidth="1"/>
    <col min="8" max="8" width="32" style="1" customWidth="1"/>
    <col min="9" max="9" width="13" style="1" customWidth="1"/>
    <col min="10" max="10" width="15" style="1" customWidth="1"/>
    <col min="11" max="13" width="13" style="1" customWidth="1"/>
    <col min="14" max="14" width="30" style="1" customWidth="1"/>
  </cols>
  <sheetData>
    <row r="1" ht="34" customHeight="1" spans="1:14">
      <c r="A1" s="22" t="s">
        <v>597</v>
      </c>
      <c r="B1" s="4"/>
      <c r="C1" s="4"/>
      <c r="D1" s="4"/>
      <c r="E1" s="4"/>
      <c r="F1" s="4"/>
      <c r="G1" s="4"/>
      <c r="H1" s="4"/>
      <c r="I1" s="4"/>
      <c r="J1" s="4"/>
      <c r="K1" s="4"/>
      <c r="L1" s="4"/>
      <c r="M1" s="4"/>
      <c r="N1" s="4"/>
    </row>
    <row r="3" ht="30" customHeight="1" spans="1:14">
      <c r="A3" s="25" t="s">
        <v>598</v>
      </c>
      <c r="B3" s="25" t="s">
        <v>599</v>
      </c>
      <c r="C3" s="25" t="s">
        <v>600</v>
      </c>
      <c r="D3" s="25" t="s">
        <v>601</v>
      </c>
      <c r="E3" s="25" t="s">
        <v>602</v>
      </c>
      <c r="F3" s="25" t="s">
        <v>603</v>
      </c>
      <c r="G3" s="25" t="s">
        <v>604</v>
      </c>
      <c r="H3" s="25" t="s">
        <v>605</v>
      </c>
      <c r="I3" s="25" t="s">
        <v>606</v>
      </c>
      <c r="J3" s="25" t="s">
        <v>607</v>
      </c>
      <c r="K3" s="25" t="s">
        <v>608</v>
      </c>
      <c r="L3" s="25" t="s">
        <v>609</v>
      </c>
      <c r="M3" s="25" t="s">
        <v>610</v>
      </c>
      <c r="N3" s="25" t="s">
        <v>611</v>
      </c>
    </row>
    <row r="4" spans="1:14">
      <c r="A4" s="24"/>
      <c r="B4" s="26"/>
      <c r="C4" s="24"/>
      <c r="D4" s="24"/>
      <c r="E4" s="24"/>
      <c r="F4" s="24"/>
      <c r="G4" s="24"/>
      <c r="H4" s="24"/>
      <c r="I4" s="24"/>
      <c r="J4" s="24"/>
      <c r="K4" s="24"/>
      <c r="L4" s="24"/>
      <c r="M4" s="26"/>
      <c r="N4" s="24"/>
    </row>
    <row r="5" spans="1:14">
      <c r="A5" s="24"/>
      <c r="B5" s="26"/>
      <c r="C5" s="24"/>
      <c r="D5" s="24"/>
      <c r="E5" s="24"/>
      <c r="F5" s="24"/>
      <c r="G5" s="24"/>
      <c r="H5" s="24"/>
      <c r="I5" s="24"/>
      <c r="J5" s="24"/>
      <c r="K5" s="24"/>
      <c r="L5" s="24"/>
      <c r="M5" s="26"/>
      <c r="N5" s="24"/>
    </row>
    <row r="6" spans="1:14">
      <c r="A6" s="24"/>
      <c r="B6" s="26"/>
      <c r="C6" s="24"/>
      <c r="D6" s="24"/>
      <c r="E6" s="24"/>
      <c r="F6" s="24"/>
      <c r="G6" s="24"/>
      <c r="H6" s="24"/>
      <c r="I6" s="24"/>
      <c r="J6" s="24"/>
      <c r="K6" s="24"/>
      <c r="L6" s="24"/>
      <c r="M6" s="26"/>
      <c r="N6" s="24"/>
    </row>
    <row r="7" spans="1:14">
      <c r="A7" s="24"/>
      <c r="B7" s="26"/>
      <c r="C7" s="24"/>
      <c r="D7" s="24"/>
      <c r="E7" s="24"/>
      <c r="F7" s="24"/>
      <c r="G7" s="24"/>
      <c r="H7" s="24"/>
      <c r="I7" s="24"/>
      <c r="J7" s="24"/>
      <c r="K7" s="24"/>
      <c r="L7" s="24"/>
      <c r="M7" s="26"/>
      <c r="N7" s="24"/>
    </row>
    <row r="8" spans="1:14">
      <c r="A8" s="24"/>
      <c r="B8" s="26"/>
      <c r="C8" s="24"/>
      <c r="D8" s="24"/>
      <c r="E8" s="24"/>
      <c r="F8" s="24"/>
      <c r="G8" s="24"/>
      <c r="H8" s="24"/>
      <c r="I8" s="24"/>
      <c r="J8" s="24"/>
      <c r="K8" s="24"/>
      <c r="L8" s="24"/>
      <c r="M8" s="26"/>
      <c r="N8" s="24"/>
    </row>
    <row r="9" spans="1:14">
      <c r="A9" s="24"/>
      <c r="B9" s="26"/>
      <c r="C9" s="24"/>
      <c r="D9" s="24"/>
      <c r="E9" s="24"/>
      <c r="F9" s="24"/>
      <c r="G9" s="24"/>
      <c r="H9" s="24"/>
      <c r="I9" s="24"/>
      <c r="J9" s="24"/>
      <c r="K9" s="24"/>
      <c r="L9" s="24"/>
      <c r="M9" s="26"/>
      <c r="N9" s="24"/>
    </row>
    <row r="10" spans="1:14">
      <c r="A10" s="24"/>
      <c r="B10" s="26"/>
      <c r="C10" s="24"/>
      <c r="D10" s="24"/>
      <c r="E10" s="24"/>
      <c r="F10" s="24"/>
      <c r="G10" s="24"/>
      <c r="H10" s="24"/>
      <c r="I10" s="24"/>
      <c r="J10" s="24"/>
      <c r="K10" s="24"/>
      <c r="L10" s="24"/>
      <c r="M10" s="26"/>
      <c r="N10" s="24"/>
    </row>
    <row r="11" spans="1:14">
      <c r="A11" s="24"/>
      <c r="B11" s="26"/>
      <c r="C11" s="24"/>
      <c r="D11" s="24"/>
      <c r="E11" s="24"/>
      <c r="F11" s="24"/>
      <c r="G11" s="24"/>
      <c r="H11" s="24"/>
      <c r="I11" s="24"/>
      <c r="J11" s="24"/>
      <c r="K11" s="24"/>
      <c r="L11" s="24"/>
      <c r="M11" s="26"/>
      <c r="N11" s="24"/>
    </row>
    <row r="12" spans="1:14">
      <c r="A12" s="24"/>
      <c r="B12" s="26"/>
      <c r="C12" s="24"/>
      <c r="D12" s="24"/>
      <c r="E12" s="24"/>
      <c r="F12" s="24"/>
      <c r="G12" s="24"/>
      <c r="H12" s="24"/>
      <c r="I12" s="24"/>
      <c r="J12" s="24"/>
      <c r="K12" s="24"/>
      <c r="L12" s="24"/>
      <c r="M12" s="26"/>
      <c r="N12" s="24"/>
    </row>
    <row r="13" spans="1:14">
      <c r="A13" s="24"/>
      <c r="B13" s="26"/>
      <c r="C13" s="24"/>
      <c r="D13" s="24"/>
      <c r="E13" s="24"/>
      <c r="F13" s="24"/>
      <c r="G13" s="24"/>
      <c r="H13" s="24"/>
      <c r="I13" s="24"/>
      <c r="J13" s="24"/>
      <c r="K13" s="24"/>
      <c r="L13" s="24"/>
      <c r="M13" s="26"/>
      <c r="N13" s="24"/>
    </row>
    <row r="14" spans="1:14">
      <c r="A14" s="24"/>
      <c r="B14" s="26"/>
      <c r="C14" s="24"/>
      <c r="D14" s="24"/>
      <c r="E14" s="24"/>
      <c r="F14" s="24"/>
      <c r="G14" s="24"/>
      <c r="H14" s="24"/>
      <c r="I14" s="24"/>
      <c r="J14" s="24"/>
      <c r="K14" s="24"/>
      <c r="L14" s="24"/>
      <c r="M14" s="26"/>
      <c r="N14" s="24"/>
    </row>
    <row r="15" spans="1:14">
      <c r="A15" s="24"/>
      <c r="B15" s="26"/>
      <c r="C15" s="24"/>
      <c r="D15" s="24"/>
      <c r="E15" s="24"/>
      <c r="F15" s="24"/>
      <c r="G15" s="24"/>
      <c r="H15" s="24"/>
      <c r="I15" s="24"/>
      <c r="J15" s="24"/>
      <c r="K15" s="24"/>
      <c r="L15" s="24"/>
      <c r="M15" s="26"/>
      <c r="N15" s="24"/>
    </row>
    <row r="16" spans="1:14">
      <c r="A16" s="24"/>
      <c r="B16" s="26"/>
      <c r="C16" s="24"/>
      <c r="D16" s="24"/>
      <c r="E16" s="24"/>
      <c r="F16" s="24"/>
      <c r="G16" s="24"/>
      <c r="H16" s="24"/>
      <c r="I16" s="24"/>
      <c r="J16" s="24"/>
      <c r="K16" s="24"/>
      <c r="L16" s="24"/>
      <c r="M16" s="26"/>
      <c r="N16" s="24"/>
    </row>
    <row r="17" spans="1:14">
      <c r="A17" s="24"/>
      <c r="B17" s="26"/>
      <c r="C17" s="24"/>
      <c r="D17" s="24"/>
      <c r="E17" s="24"/>
      <c r="F17" s="24"/>
      <c r="G17" s="24"/>
      <c r="H17" s="24"/>
      <c r="I17" s="24"/>
      <c r="J17" s="24"/>
      <c r="K17" s="24"/>
      <c r="L17" s="24"/>
      <c r="M17" s="26"/>
      <c r="N17" s="24"/>
    </row>
    <row r="18" spans="1:14">
      <c r="A18" s="24"/>
      <c r="B18" s="26"/>
      <c r="C18" s="24"/>
      <c r="D18" s="24"/>
      <c r="E18" s="24"/>
      <c r="F18" s="24"/>
      <c r="G18" s="24"/>
      <c r="H18" s="24"/>
      <c r="I18" s="24"/>
      <c r="J18" s="24"/>
      <c r="K18" s="24"/>
      <c r="L18" s="24"/>
      <c r="M18" s="26"/>
      <c r="N18" s="24"/>
    </row>
    <row r="19" spans="1:14">
      <c r="A19" s="24"/>
      <c r="B19" s="26"/>
      <c r="C19" s="24"/>
      <c r="D19" s="24"/>
      <c r="E19" s="24"/>
      <c r="F19" s="24"/>
      <c r="G19" s="24"/>
      <c r="H19" s="24"/>
      <c r="I19" s="24"/>
      <c r="J19" s="24"/>
      <c r="K19" s="24"/>
      <c r="L19" s="24"/>
      <c r="M19" s="26"/>
      <c r="N19" s="24"/>
    </row>
    <row r="20" spans="1:14">
      <c r="A20" s="24"/>
      <c r="B20" s="26"/>
      <c r="C20" s="24"/>
      <c r="D20" s="24"/>
      <c r="E20" s="24"/>
      <c r="F20" s="24"/>
      <c r="G20" s="24"/>
      <c r="H20" s="24"/>
      <c r="I20" s="24"/>
      <c r="J20" s="24"/>
      <c r="K20" s="24"/>
      <c r="L20" s="24"/>
      <c r="M20" s="26"/>
      <c r="N20" s="24"/>
    </row>
    <row r="21" spans="1:14">
      <c r="A21" s="24"/>
      <c r="B21" s="26"/>
      <c r="C21" s="24"/>
      <c r="D21" s="24"/>
      <c r="E21" s="24"/>
      <c r="F21" s="24"/>
      <c r="G21" s="24"/>
      <c r="H21" s="24"/>
      <c r="I21" s="24"/>
      <c r="J21" s="24"/>
      <c r="K21" s="24"/>
      <c r="L21" s="24"/>
      <c r="M21" s="26"/>
      <c r="N21" s="24"/>
    </row>
    <row r="22" spans="1:14">
      <c r="A22" s="24"/>
      <c r="B22" s="26"/>
      <c r="C22" s="24"/>
      <c r="D22" s="24"/>
      <c r="E22" s="24"/>
      <c r="F22" s="24"/>
      <c r="G22" s="24"/>
      <c r="H22" s="24"/>
      <c r="I22" s="24"/>
      <c r="J22" s="24"/>
      <c r="K22" s="24"/>
      <c r="L22" s="24"/>
      <c r="M22" s="26"/>
      <c r="N22" s="24"/>
    </row>
    <row r="23" spans="1:14">
      <c r="A23" s="24"/>
      <c r="B23" s="26"/>
      <c r="C23" s="24"/>
      <c r="D23" s="24"/>
      <c r="E23" s="24"/>
      <c r="F23" s="24"/>
      <c r="G23" s="24"/>
      <c r="H23" s="24"/>
      <c r="I23" s="24"/>
      <c r="J23" s="24"/>
      <c r="K23" s="24"/>
      <c r="L23" s="24"/>
      <c r="M23" s="26"/>
      <c r="N23" s="24"/>
    </row>
    <row r="24" spans="1:14">
      <c r="A24" s="24"/>
      <c r="B24" s="26"/>
      <c r="C24" s="24"/>
      <c r="D24" s="24"/>
      <c r="E24" s="24"/>
      <c r="F24" s="24"/>
      <c r="G24" s="24"/>
      <c r="H24" s="24"/>
      <c r="I24" s="24"/>
      <c r="J24" s="24"/>
      <c r="K24" s="24"/>
      <c r="L24" s="24"/>
      <c r="M24" s="26"/>
      <c r="N24" s="24"/>
    </row>
    <row r="25" spans="1:14">
      <c r="A25" s="24"/>
      <c r="B25" s="26"/>
      <c r="C25" s="24"/>
      <c r="D25" s="24"/>
      <c r="E25" s="24"/>
      <c r="F25" s="24"/>
      <c r="G25" s="24"/>
      <c r="H25" s="24"/>
      <c r="I25" s="24"/>
      <c r="J25" s="24"/>
      <c r="K25" s="24"/>
      <c r="L25" s="24"/>
      <c r="M25" s="26"/>
      <c r="N25" s="24"/>
    </row>
    <row r="26" spans="1:14">
      <c r="A26" s="24"/>
      <c r="B26" s="26"/>
      <c r="C26" s="24"/>
      <c r="D26" s="24"/>
      <c r="E26" s="24"/>
      <c r="F26" s="24"/>
      <c r="G26" s="24"/>
      <c r="H26" s="24"/>
      <c r="I26" s="24"/>
      <c r="J26" s="24"/>
      <c r="K26" s="24"/>
      <c r="L26" s="24"/>
      <c r="M26" s="26"/>
      <c r="N26" s="24"/>
    </row>
    <row r="27" spans="1:14">
      <c r="A27" s="24"/>
      <c r="B27" s="26"/>
      <c r="C27" s="24"/>
      <c r="D27" s="24"/>
      <c r="E27" s="24"/>
      <c r="F27" s="24"/>
      <c r="G27" s="24"/>
      <c r="H27" s="24"/>
      <c r="I27" s="24"/>
      <c r="J27" s="24"/>
      <c r="K27" s="24"/>
      <c r="L27" s="24"/>
      <c r="M27" s="26"/>
      <c r="N27" s="24"/>
    </row>
    <row r="28" spans="1:14">
      <c r="A28" s="24"/>
      <c r="B28" s="26"/>
      <c r="C28" s="24"/>
      <c r="D28" s="24"/>
      <c r="E28" s="24"/>
      <c r="F28" s="24"/>
      <c r="G28" s="24"/>
      <c r="H28" s="24"/>
      <c r="I28" s="24"/>
      <c r="J28" s="24"/>
      <c r="K28" s="24"/>
      <c r="L28" s="24"/>
      <c r="M28" s="26"/>
      <c r="N28" s="24"/>
    </row>
    <row r="29" spans="1:14">
      <c r="A29" s="24"/>
      <c r="B29" s="26"/>
      <c r="C29" s="24"/>
      <c r="D29" s="24"/>
      <c r="E29" s="24"/>
      <c r="F29" s="24"/>
      <c r="G29" s="24"/>
      <c r="H29" s="24"/>
      <c r="I29" s="24"/>
      <c r="J29" s="24"/>
      <c r="K29" s="24"/>
      <c r="L29" s="24"/>
      <c r="M29" s="26"/>
      <c r="N29" s="24"/>
    </row>
    <row r="30" spans="1:14">
      <c r="A30" s="24"/>
      <c r="B30" s="26"/>
      <c r="C30" s="24"/>
      <c r="D30" s="24"/>
      <c r="E30" s="24"/>
      <c r="F30" s="24"/>
      <c r="G30" s="24"/>
      <c r="H30" s="24"/>
      <c r="I30" s="24"/>
      <c r="J30" s="24"/>
      <c r="K30" s="24"/>
      <c r="L30" s="24"/>
      <c r="M30" s="26"/>
      <c r="N30" s="24"/>
    </row>
    <row r="31" spans="1:14">
      <c r="A31" s="24"/>
      <c r="B31" s="26"/>
      <c r="C31" s="24"/>
      <c r="D31" s="24"/>
      <c r="E31" s="24"/>
      <c r="F31" s="24"/>
      <c r="G31" s="24"/>
      <c r="H31" s="24"/>
      <c r="I31" s="24"/>
      <c r="J31" s="24"/>
      <c r="K31" s="24"/>
      <c r="L31" s="24"/>
      <c r="M31" s="26"/>
      <c r="N31" s="24"/>
    </row>
    <row r="32" spans="1:14">
      <c r="A32" s="24"/>
      <c r="B32" s="26"/>
      <c r="C32" s="24"/>
      <c r="D32" s="24"/>
      <c r="E32" s="24"/>
      <c r="F32" s="24"/>
      <c r="G32" s="24"/>
      <c r="H32" s="24"/>
      <c r="I32" s="24"/>
      <c r="J32" s="24"/>
      <c r="K32" s="24"/>
      <c r="L32" s="24"/>
      <c r="M32" s="26"/>
      <c r="N32" s="24"/>
    </row>
    <row r="33" spans="1:14">
      <c r="A33" s="24"/>
      <c r="B33" s="26"/>
      <c r="C33" s="24"/>
      <c r="D33" s="24"/>
      <c r="E33" s="24"/>
      <c r="F33" s="24"/>
      <c r="G33" s="24"/>
      <c r="H33" s="24"/>
      <c r="I33" s="24"/>
      <c r="J33" s="24"/>
      <c r="K33" s="24"/>
      <c r="L33" s="24"/>
      <c r="M33" s="26"/>
      <c r="N33" s="24"/>
    </row>
    <row r="34" spans="1:14">
      <c r="A34" s="24"/>
      <c r="B34" s="26"/>
      <c r="C34" s="24"/>
      <c r="D34" s="24"/>
      <c r="E34" s="24"/>
      <c r="F34" s="24"/>
      <c r="G34" s="24"/>
      <c r="H34" s="24"/>
      <c r="I34" s="24"/>
      <c r="J34" s="24"/>
      <c r="K34" s="24"/>
      <c r="L34" s="24"/>
      <c r="M34" s="26"/>
      <c r="N34" s="24"/>
    </row>
    <row r="35" spans="1:14">
      <c r="A35" s="24"/>
      <c r="B35" s="26"/>
      <c r="C35" s="24"/>
      <c r="D35" s="24"/>
      <c r="E35" s="24"/>
      <c r="F35" s="24"/>
      <c r="G35" s="24"/>
      <c r="H35" s="24"/>
      <c r="I35" s="24"/>
      <c r="J35" s="24"/>
      <c r="K35" s="24"/>
      <c r="L35" s="24"/>
      <c r="M35" s="26"/>
      <c r="N35" s="24"/>
    </row>
    <row r="36" spans="1:14">
      <c r="A36" s="24"/>
      <c r="B36" s="26"/>
      <c r="C36" s="24"/>
      <c r="D36" s="24"/>
      <c r="E36" s="24"/>
      <c r="F36" s="24"/>
      <c r="G36" s="24"/>
      <c r="H36" s="24"/>
      <c r="I36" s="24"/>
      <c r="J36" s="24"/>
      <c r="K36" s="24"/>
      <c r="L36" s="24"/>
      <c r="M36" s="26"/>
      <c r="N36" s="24"/>
    </row>
    <row r="37" spans="1:14">
      <c r="A37" s="24"/>
      <c r="B37" s="26"/>
      <c r="C37" s="24"/>
      <c r="D37" s="24"/>
      <c r="E37" s="24"/>
      <c r="F37" s="24"/>
      <c r="G37" s="24"/>
      <c r="H37" s="24"/>
      <c r="I37" s="24"/>
      <c r="J37" s="24"/>
      <c r="K37" s="24"/>
      <c r="L37" s="24"/>
      <c r="M37" s="26"/>
      <c r="N37" s="24"/>
    </row>
    <row r="38" spans="1:14">
      <c r="A38" s="24"/>
      <c r="B38" s="26"/>
      <c r="C38" s="24"/>
      <c r="D38" s="24"/>
      <c r="E38" s="24"/>
      <c r="F38" s="24"/>
      <c r="G38" s="24"/>
      <c r="H38" s="24"/>
      <c r="I38" s="24"/>
      <c r="J38" s="24"/>
      <c r="K38" s="24"/>
      <c r="L38" s="24"/>
      <c r="M38" s="26"/>
      <c r="N38" s="24"/>
    </row>
    <row r="39" spans="1:14">
      <c r="A39" s="24"/>
      <c r="B39" s="26"/>
      <c r="C39" s="24"/>
      <c r="D39" s="24"/>
      <c r="E39" s="24"/>
      <c r="F39" s="24"/>
      <c r="G39" s="24"/>
      <c r="H39" s="24"/>
      <c r="I39" s="24"/>
      <c r="J39" s="24"/>
      <c r="K39" s="24"/>
      <c r="L39" s="24"/>
      <c r="M39" s="26"/>
      <c r="N39" s="24"/>
    </row>
    <row r="40" spans="1:14">
      <c r="A40" s="24"/>
      <c r="B40" s="26"/>
      <c r="C40" s="24"/>
      <c r="D40" s="24"/>
      <c r="E40" s="24"/>
      <c r="F40" s="24"/>
      <c r="G40" s="24"/>
      <c r="H40" s="24"/>
      <c r="I40" s="24"/>
      <c r="J40" s="24"/>
      <c r="K40" s="24"/>
      <c r="L40" s="24"/>
      <c r="M40" s="26"/>
      <c r="N40" s="24"/>
    </row>
    <row r="41" spans="1:14">
      <c r="A41" s="24"/>
      <c r="B41" s="26"/>
      <c r="C41" s="24"/>
      <c r="D41" s="24"/>
      <c r="E41" s="24"/>
      <c r="F41" s="24"/>
      <c r="G41" s="24"/>
      <c r="H41" s="24"/>
      <c r="I41" s="24"/>
      <c r="J41" s="24"/>
      <c r="K41" s="24"/>
      <c r="L41" s="24"/>
      <c r="M41" s="26"/>
      <c r="N41" s="24"/>
    </row>
    <row r="42" spans="1:14">
      <c r="A42" s="24"/>
      <c r="B42" s="26"/>
      <c r="C42" s="24"/>
      <c r="D42" s="24"/>
      <c r="E42" s="24"/>
      <c r="F42" s="24"/>
      <c r="G42" s="24"/>
      <c r="H42" s="24"/>
      <c r="I42" s="24"/>
      <c r="J42" s="24"/>
      <c r="K42" s="24"/>
      <c r="L42" s="24"/>
      <c r="M42" s="26"/>
      <c r="N42" s="24"/>
    </row>
    <row r="43" spans="1:14">
      <c r="A43" s="24"/>
      <c r="B43" s="26"/>
      <c r="C43" s="24"/>
      <c r="D43" s="24"/>
      <c r="E43" s="24"/>
      <c r="F43" s="24"/>
      <c r="G43" s="24"/>
      <c r="H43" s="24"/>
      <c r="I43" s="24"/>
      <c r="J43" s="24"/>
      <c r="K43" s="24"/>
      <c r="L43" s="24"/>
      <c r="M43" s="26"/>
      <c r="N43" s="24"/>
    </row>
    <row r="44" spans="1:14">
      <c r="A44" s="24"/>
      <c r="B44" s="26"/>
      <c r="C44" s="24"/>
      <c r="D44" s="24"/>
      <c r="E44" s="24"/>
      <c r="F44" s="24"/>
      <c r="G44" s="24"/>
      <c r="H44" s="24"/>
      <c r="I44" s="24"/>
      <c r="J44" s="24"/>
      <c r="K44" s="24"/>
      <c r="L44" s="24"/>
      <c r="M44" s="26"/>
      <c r="N44" s="24"/>
    </row>
    <row r="45" spans="1:14">
      <c r="A45" s="24"/>
      <c r="B45" s="26"/>
      <c r="C45" s="24"/>
      <c r="D45" s="24"/>
      <c r="E45" s="24"/>
      <c r="F45" s="24"/>
      <c r="G45" s="24"/>
      <c r="H45" s="24"/>
      <c r="I45" s="24"/>
      <c r="J45" s="24"/>
      <c r="K45" s="24"/>
      <c r="L45" s="24"/>
      <c r="M45" s="26"/>
      <c r="N45" s="24"/>
    </row>
    <row r="46" spans="1:14">
      <c r="A46" s="24"/>
      <c r="B46" s="26"/>
      <c r="C46" s="24"/>
      <c r="D46" s="24"/>
      <c r="E46" s="24"/>
      <c r="F46" s="24"/>
      <c r="G46" s="24"/>
      <c r="H46" s="24"/>
      <c r="I46" s="24"/>
      <c r="J46" s="24"/>
      <c r="K46" s="24"/>
      <c r="L46" s="24"/>
      <c r="M46" s="26"/>
      <c r="N46" s="24"/>
    </row>
    <row r="47" spans="1:14">
      <c r="A47" s="24"/>
      <c r="B47" s="26"/>
      <c r="C47" s="24"/>
      <c r="D47" s="24"/>
      <c r="E47" s="24"/>
      <c r="F47" s="24"/>
      <c r="G47" s="24"/>
      <c r="H47" s="24"/>
      <c r="I47" s="24"/>
      <c r="J47" s="24"/>
      <c r="K47" s="24"/>
      <c r="L47" s="24"/>
      <c r="M47" s="26"/>
      <c r="N47" s="24"/>
    </row>
    <row r="48" spans="1:14">
      <c r="A48" s="24"/>
      <c r="B48" s="26"/>
      <c r="C48" s="24"/>
      <c r="D48" s="24"/>
      <c r="E48" s="24"/>
      <c r="F48" s="24"/>
      <c r="G48" s="24"/>
      <c r="H48" s="24"/>
      <c r="I48" s="24"/>
      <c r="J48" s="24"/>
      <c r="K48" s="24"/>
      <c r="L48" s="24"/>
      <c r="M48" s="26"/>
      <c r="N48" s="24"/>
    </row>
    <row r="49" spans="1:14">
      <c r="A49" s="24"/>
      <c r="B49" s="26"/>
      <c r="C49" s="24"/>
      <c r="D49" s="24"/>
      <c r="E49" s="24"/>
      <c r="F49" s="24"/>
      <c r="G49" s="24"/>
      <c r="H49" s="24"/>
      <c r="I49" s="24"/>
      <c r="J49" s="24"/>
      <c r="K49" s="24"/>
      <c r="L49" s="24"/>
      <c r="M49" s="26"/>
      <c r="N49" s="24"/>
    </row>
    <row r="50" spans="1:14">
      <c r="A50" s="24"/>
      <c r="B50" s="26"/>
      <c r="C50" s="24"/>
      <c r="D50" s="24"/>
      <c r="E50" s="24"/>
      <c r="F50" s="24"/>
      <c r="G50" s="24"/>
      <c r="H50" s="24"/>
      <c r="I50" s="24"/>
      <c r="J50" s="24"/>
      <c r="K50" s="24"/>
      <c r="L50" s="24"/>
      <c r="M50" s="26"/>
      <c r="N50" s="24"/>
    </row>
    <row r="51" spans="1:14">
      <c r="A51" s="24"/>
      <c r="B51" s="26"/>
      <c r="C51" s="24"/>
      <c r="D51" s="24"/>
      <c r="E51" s="24"/>
      <c r="F51" s="24"/>
      <c r="G51" s="24"/>
      <c r="H51" s="24"/>
      <c r="I51" s="24"/>
      <c r="J51" s="24"/>
      <c r="K51" s="24"/>
      <c r="L51" s="24"/>
      <c r="M51" s="26"/>
      <c r="N51" s="24"/>
    </row>
    <row r="52" spans="1:14">
      <c r="A52" s="24"/>
      <c r="B52" s="26"/>
      <c r="C52" s="24"/>
      <c r="D52" s="24"/>
      <c r="E52" s="24"/>
      <c r="F52" s="24"/>
      <c r="G52" s="24"/>
      <c r="H52" s="24"/>
      <c r="I52" s="24"/>
      <c r="J52" s="24"/>
      <c r="K52" s="24"/>
      <c r="L52" s="24"/>
      <c r="M52" s="26"/>
      <c r="N52" s="24"/>
    </row>
    <row r="53" spans="1:14">
      <c r="A53" s="24"/>
      <c r="B53" s="26"/>
      <c r="C53" s="24"/>
      <c r="D53" s="24"/>
      <c r="E53" s="24"/>
      <c r="F53" s="24"/>
      <c r="G53" s="24"/>
      <c r="H53" s="24"/>
      <c r="I53" s="24"/>
      <c r="J53" s="24"/>
      <c r="K53" s="24"/>
      <c r="L53" s="24"/>
      <c r="M53" s="26"/>
      <c r="N53" s="24"/>
    </row>
  </sheetData>
  <mergeCells count="1">
    <mergeCell ref="A1:N1"/>
  </mergeCells>
  <dataValidations count="2">
    <dataValidation type="list" sqref="F4:F53">
      <formula1>"低,中,高,紧急"</formula1>
    </dataValidation>
    <dataValidation type="list" sqref="G4:G53">
      <formula1>"评估中,待审批,已批准,已拒绝,已实施,已关闭"</formula1>
    </dataValidation>
  </dataValidation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3"/>
  <sheetViews>
    <sheetView showGridLines="0" workbookViewId="0">
      <selection activeCell="A1" sqref="A1:K1"/>
    </sheetView>
  </sheetViews>
  <sheetFormatPr defaultColWidth="9" defaultRowHeight="16.8"/>
  <cols>
    <col min="1" max="1" width="12" style="1" customWidth="1"/>
    <col min="2" max="2" width="30" style="1" customWidth="1"/>
    <col min="3" max="3" width="12" style="1" customWidth="1"/>
    <col min="4" max="4" width="15" style="1" customWidth="1"/>
    <col min="5" max="6" width="13" style="1" customWidth="1"/>
    <col min="7" max="7" width="12" style="1" customWidth="1"/>
    <col min="8" max="8" width="15" style="1" customWidth="1"/>
    <col min="9" max="9" width="14" style="1" customWidth="1"/>
    <col min="10" max="10" width="32" style="1" customWidth="1"/>
    <col min="11" max="11" width="28" style="1" customWidth="1"/>
  </cols>
  <sheetData>
    <row r="1" ht="34" customHeight="1" spans="1:11">
      <c r="A1" s="22" t="s">
        <v>612</v>
      </c>
      <c r="B1" s="4"/>
      <c r="C1" s="4"/>
      <c r="D1" s="4"/>
      <c r="E1" s="4"/>
      <c r="F1" s="4"/>
      <c r="G1" s="4"/>
      <c r="H1" s="4"/>
      <c r="I1" s="4"/>
      <c r="J1" s="4"/>
      <c r="K1" s="4"/>
    </row>
    <row r="3" ht="30" customHeight="1" spans="1:11">
      <c r="A3" s="25" t="s">
        <v>613</v>
      </c>
      <c r="B3" s="25" t="s">
        <v>614</v>
      </c>
      <c r="C3" s="25" t="s">
        <v>615</v>
      </c>
      <c r="D3" s="25" t="s">
        <v>447</v>
      </c>
      <c r="E3" s="25" t="s">
        <v>39</v>
      </c>
      <c r="F3" s="25" t="s">
        <v>512</v>
      </c>
      <c r="G3" s="25" t="s">
        <v>21</v>
      </c>
      <c r="H3" s="25" t="s">
        <v>616</v>
      </c>
      <c r="I3" s="25" t="s">
        <v>617</v>
      </c>
      <c r="J3" s="25" t="s">
        <v>618</v>
      </c>
      <c r="K3" s="25" t="s">
        <v>59</v>
      </c>
    </row>
    <row r="4" ht="17" customHeight="1" spans="1:11">
      <c r="A4" s="24" t="s">
        <v>619</v>
      </c>
      <c r="B4" s="24" t="s">
        <v>620</v>
      </c>
      <c r="C4" s="24" t="s">
        <v>621</v>
      </c>
      <c r="D4" s="24" t="s">
        <v>466</v>
      </c>
      <c r="E4" s="26">
        <v>46192</v>
      </c>
      <c r="F4" s="26"/>
      <c r="G4" s="24" t="s">
        <v>4</v>
      </c>
      <c r="H4" s="24" t="s">
        <v>622</v>
      </c>
      <c r="I4" s="24" t="s">
        <v>623</v>
      </c>
      <c r="J4" s="24" t="s">
        <v>69</v>
      </c>
      <c r="K4" s="24" t="s">
        <v>69</v>
      </c>
    </row>
    <row r="5" ht="17" customHeight="1" spans="1:11">
      <c r="A5" s="24" t="s">
        <v>624</v>
      </c>
      <c r="B5" s="24" t="s">
        <v>625</v>
      </c>
      <c r="C5" s="24" t="s">
        <v>626</v>
      </c>
      <c r="D5" s="24" t="s">
        <v>65</v>
      </c>
      <c r="E5" s="26">
        <v>46241</v>
      </c>
      <c r="F5" s="26"/>
      <c r="G5" s="24" t="s">
        <v>4</v>
      </c>
      <c r="H5" s="24" t="s">
        <v>41</v>
      </c>
      <c r="I5" s="24" t="s">
        <v>623</v>
      </c>
      <c r="J5" s="24" t="s">
        <v>69</v>
      </c>
      <c r="K5" s="24" t="s">
        <v>69</v>
      </c>
    </row>
    <row r="6" ht="17" customHeight="1" spans="1:11">
      <c r="A6" s="24" t="s">
        <v>627</v>
      </c>
      <c r="B6" s="24" t="s">
        <v>628</v>
      </c>
      <c r="C6" s="24" t="s">
        <v>629</v>
      </c>
      <c r="D6" s="24" t="s">
        <v>578</v>
      </c>
      <c r="E6" s="26">
        <v>46248</v>
      </c>
      <c r="F6" s="26"/>
      <c r="G6" s="24" t="s">
        <v>4</v>
      </c>
      <c r="H6" s="24" t="s">
        <v>630</v>
      </c>
      <c r="I6" s="24" t="s">
        <v>623</v>
      </c>
      <c r="J6" s="24" t="s">
        <v>69</v>
      </c>
      <c r="K6" s="24" t="s">
        <v>69</v>
      </c>
    </row>
    <row r="7" ht="17" customHeight="1" spans="1:11">
      <c r="A7" s="24" t="s">
        <v>631</v>
      </c>
      <c r="B7" s="24" t="s">
        <v>632</v>
      </c>
      <c r="C7" s="24" t="s">
        <v>633</v>
      </c>
      <c r="D7" s="24" t="s">
        <v>482</v>
      </c>
      <c r="E7" s="26">
        <v>46283</v>
      </c>
      <c r="F7" s="26"/>
      <c r="G7" s="24" t="s">
        <v>4</v>
      </c>
      <c r="H7" s="24" t="s">
        <v>578</v>
      </c>
      <c r="I7" s="24" t="s">
        <v>623</v>
      </c>
      <c r="J7" s="24" t="s">
        <v>69</v>
      </c>
      <c r="K7" s="24" t="s">
        <v>69</v>
      </c>
    </row>
    <row r="8" ht="17" customHeight="1" spans="1:11">
      <c r="A8" s="24" t="s">
        <v>634</v>
      </c>
      <c r="B8" s="24" t="s">
        <v>635</v>
      </c>
      <c r="C8" s="24" t="s">
        <v>405</v>
      </c>
      <c r="D8" s="24" t="s">
        <v>68</v>
      </c>
      <c r="E8" s="26">
        <v>46318</v>
      </c>
      <c r="F8" s="26"/>
      <c r="G8" s="24" t="s">
        <v>4</v>
      </c>
      <c r="H8" s="24" t="s">
        <v>466</v>
      </c>
      <c r="I8" s="24" t="s">
        <v>623</v>
      </c>
      <c r="J8" s="24" t="s">
        <v>69</v>
      </c>
      <c r="K8" s="24" t="s">
        <v>69</v>
      </c>
    </row>
    <row r="9" ht="17" customHeight="1" spans="1:11">
      <c r="A9" s="24" t="s">
        <v>636</v>
      </c>
      <c r="B9" s="24" t="s">
        <v>637</v>
      </c>
      <c r="C9" s="24" t="s">
        <v>405</v>
      </c>
      <c r="D9" s="24" t="s">
        <v>68</v>
      </c>
      <c r="E9" s="26">
        <v>46353</v>
      </c>
      <c r="F9" s="26"/>
      <c r="G9" s="24" t="s">
        <v>5</v>
      </c>
      <c r="H9" s="24" t="s">
        <v>466</v>
      </c>
      <c r="I9" s="24" t="s">
        <v>623</v>
      </c>
      <c r="J9" s="24" t="s">
        <v>69</v>
      </c>
      <c r="K9" s="24" t="s">
        <v>69</v>
      </c>
    </row>
    <row r="10" ht="17" customHeight="1" spans="1:11">
      <c r="A10" s="24" t="s">
        <v>638</v>
      </c>
      <c r="B10" s="24" t="s">
        <v>639</v>
      </c>
      <c r="C10" s="24" t="s">
        <v>640</v>
      </c>
      <c r="D10" s="24" t="s">
        <v>641</v>
      </c>
      <c r="E10" s="26">
        <v>46346</v>
      </c>
      <c r="F10" s="26"/>
      <c r="G10" s="24" t="s">
        <v>5</v>
      </c>
      <c r="H10" s="24" t="s">
        <v>466</v>
      </c>
      <c r="I10" s="24" t="s">
        <v>623</v>
      </c>
      <c r="J10" s="24" t="s">
        <v>69</v>
      </c>
      <c r="K10" s="24" t="s">
        <v>69</v>
      </c>
    </row>
    <row r="11" ht="17" customHeight="1" spans="1:11">
      <c r="A11" s="24" t="s">
        <v>642</v>
      </c>
      <c r="B11" s="24" t="s">
        <v>643</v>
      </c>
      <c r="C11" s="24" t="s">
        <v>644</v>
      </c>
      <c r="D11" s="24" t="s">
        <v>645</v>
      </c>
      <c r="E11" s="26">
        <v>46349</v>
      </c>
      <c r="F11" s="26"/>
      <c r="G11" s="24" t="s">
        <v>5</v>
      </c>
      <c r="H11" s="24" t="s">
        <v>41</v>
      </c>
      <c r="I11" s="24" t="s">
        <v>623</v>
      </c>
      <c r="J11" s="24" t="s">
        <v>69</v>
      </c>
      <c r="K11" s="24" t="s">
        <v>69</v>
      </c>
    </row>
    <row r="12" ht="17" customHeight="1" spans="1:11">
      <c r="A12" s="24" t="s">
        <v>646</v>
      </c>
      <c r="B12" s="24" t="s">
        <v>647</v>
      </c>
      <c r="C12" s="24" t="s">
        <v>648</v>
      </c>
      <c r="D12" s="24" t="s">
        <v>466</v>
      </c>
      <c r="E12" s="26">
        <v>46356</v>
      </c>
      <c r="F12" s="26"/>
      <c r="G12" s="24" t="s">
        <v>5</v>
      </c>
      <c r="H12" s="24" t="s">
        <v>622</v>
      </c>
      <c r="I12" s="24" t="s">
        <v>623</v>
      </c>
      <c r="J12" s="24" t="s">
        <v>69</v>
      </c>
      <c r="K12" s="24" t="s">
        <v>69</v>
      </c>
    </row>
    <row r="13" ht="17" customHeight="1" spans="1:11">
      <c r="A13" s="24" t="s">
        <v>649</v>
      </c>
      <c r="B13" s="24" t="s">
        <v>650</v>
      </c>
      <c r="C13" s="24" t="s">
        <v>651</v>
      </c>
      <c r="D13" s="24" t="s">
        <v>466</v>
      </c>
      <c r="E13" s="26">
        <v>46360</v>
      </c>
      <c r="F13" s="26"/>
      <c r="G13" s="24" t="s">
        <v>5</v>
      </c>
      <c r="H13" s="24" t="s">
        <v>622</v>
      </c>
      <c r="I13" s="24" t="s">
        <v>623</v>
      </c>
      <c r="J13" s="24" t="s">
        <v>69</v>
      </c>
      <c r="K13" s="24" t="s">
        <v>69</v>
      </c>
    </row>
    <row r="14" spans="1:11">
      <c r="A14" s="24"/>
      <c r="B14" s="24"/>
      <c r="C14" s="24"/>
      <c r="D14" s="24"/>
      <c r="E14" s="26"/>
      <c r="F14" s="26"/>
      <c r="G14" s="24"/>
      <c r="H14" s="24"/>
      <c r="I14" s="24"/>
      <c r="J14" s="24"/>
      <c r="K14" s="24"/>
    </row>
    <row r="15" spans="1:11">
      <c r="A15" s="24"/>
      <c r="B15" s="24"/>
      <c r="C15" s="24"/>
      <c r="D15" s="24"/>
      <c r="E15" s="26"/>
      <c r="F15" s="26"/>
      <c r="G15" s="24"/>
      <c r="H15" s="24"/>
      <c r="I15" s="24"/>
      <c r="J15" s="24"/>
      <c r="K15" s="24"/>
    </row>
    <row r="16" spans="1:11">
      <c r="A16" s="24"/>
      <c r="B16" s="24"/>
      <c r="C16" s="24"/>
      <c r="D16" s="24"/>
      <c r="E16" s="26"/>
      <c r="F16" s="26"/>
      <c r="G16" s="24"/>
      <c r="H16" s="24"/>
      <c r="I16" s="24"/>
      <c r="J16" s="24"/>
      <c r="K16" s="24"/>
    </row>
    <row r="17" spans="1:11">
      <c r="A17" s="24"/>
      <c r="B17" s="24"/>
      <c r="C17" s="24"/>
      <c r="D17" s="24"/>
      <c r="E17" s="26"/>
      <c r="F17" s="26"/>
      <c r="G17" s="24"/>
      <c r="H17" s="24"/>
      <c r="I17" s="24"/>
      <c r="J17" s="24"/>
      <c r="K17" s="24"/>
    </row>
    <row r="18" spans="1:11">
      <c r="A18" s="24"/>
      <c r="B18" s="24"/>
      <c r="C18" s="24"/>
      <c r="D18" s="24"/>
      <c r="E18" s="26"/>
      <c r="F18" s="26"/>
      <c r="G18" s="24"/>
      <c r="H18" s="24"/>
      <c r="I18" s="24"/>
      <c r="J18" s="24"/>
      <c r="K18" s="24"/>
    </row>
    <row r="19" spans="1:11">
      <c r="A19" s="24"/>
      <c r="B19" s="24"/>
      <c r="C19" s="24"/>
      <c r="D19" s="24"/>
      <c r="E19" s="26"/>
      <c r="F19" s="26"/>
      <c r="G19" s="24"/>
      <c r="H19" s="24"/>
      <c r="I19" s="24"/>
      <c r="J19" s="24"/>
      <c r="K19" s="24"/>
    </row>
    <row r="20" spans="1:11">
      <c r="A20" s="24"/>
      <c r="B20" s="24"/>
      <c r="C20" s="24"/>
      <c r="D20" s="24"/>
      <c r="E20" s="26"/>
      <c r="F20" s="26"/>
      <c r="G20" s="24"/>
      <c r="H20" s="24"/>
      <c r="I20" s="24"/>
      <c r="J20" s="24"/>
      <c r="K20" s="24"/>
    </row>
    <row r="21" spans="1:11">
      <c r="A21" s="24"/>
      <c r="B21" s="24"/>
      <c r="C21" s="24"/>
      <c r="D21" s="24"/>
      <c r="E21" s="26"/>
      <c r="F21" s="26"/>
      <c r="G21" s="24"/>
      <c r="H21" s="24"/>
      <c r="I21" s="24"/>
      <c r="J21" s="24"/>
      <c r="K21" s="24"/>
    </row>
    <row r="22" spans="1:11">
      <c r="A22" s="24"/>
      <c r="B22" s="24"/>
      <c r="C22" s="24"/>
      <c r="D22" s="24"/>
      <c r="E22" s="26"/>
      <c r="F22" s="26"/>
      <c r="G22" s="24"/>
      <c r="H22" s="24"/>
      <c r="I22" s="24"/>
      <c r="J22" s="24"/>
      <c r="K22" s="24"/>
    </row>
    <row r="23" spans="1:11">
      <c r="A23" s="24"/>
      <c r="B23" s="24"/>
      <c r="C23" s="24"/>
      <c r="D23" s="24"/>
      <c r="E23" s="26"/>
      <c r="F23" s="26"/>
      <c r="G23" s="24"/>
      <c r="H23" s="24"/>
      <c r="I23" s="24"/>
      <c r="J23" s="24"/>
      <c r="K23" s="24"/>
    </row>
    <row r="24" spans="1:11">
      <c r="A24" s="24"/>
      <c r="B24" s="24"/>
      <c r="C24" s="24"/>
      <c r="D24" s="24"/>
      <c r="E24" s="26"/>
      <c r="F24" s="26"/>
      <c r="G24" s="24"/>
      <c r="H24" s="24"/>
      <c r="I24" s="24"/>
      <c r="J24" s="24"/>
      <c r="K24" s="24"/>
    </row>
    <row r="25" spans="1:11">
      <c r="A25" s="24"/>
      <c r="B25" s="24"/>
      <c r="C25" s="24"/>
      <c r="D25" s="24"/>
      <c r="E25" s="26"/>
      <c r="F25" s="26"/>
      <c r="G25" s="24"/>
      <c r="H25" s="24"/>
      <c r="I25" s="24"/>
      <c r="J25" s="24"/>
      <c r="K25" s="24"/>
    </row>
    <row r="26" spans="1:11">
      <c r="A26" s="24"/>
      <c r="B26" s="24"/>
      <c r="C26" s="24"/>
      <c r="D26" s="24"/>
      <c r="E26" s="26"/>
      <c r="F26" s="26"/>
      <c r="G26" s="24"/>
      <c r="H26" s="24"/>
      <c r="I26" s="24"/>
      <c r="J26" s="24"/>
      <c r="K26" s="24"/>
    </row>
    <row r="27" spans="1:11">
      <c r="A27" s="24"/>
      <c r="B27" s="24"/>
      <c r="C27" s="24"/>
      <c r="D27" s="24"/>
      <c r="E27" s="26"/>
      <c r="F27" s="26"/>
      <c r="G27" s="24"/>
      <c r="H27" s="24"/>
      <c r="I27" s="24"/>
      <c r="J27" s="24"/>
      <c r="K27" s="24"/>
    </row>
    <row r="28" spans="1:11">
      <c r="A28" s="24"/>
      <c r="B28" s="24"/>
      <c r="C28" s="24"/>
      <c r="D28" s="24"/>
      <c r="E28" s="26"/>
      <c r="F28" s="26"/>
      <c r="G28" s="24"/>
      <c r="H28" s="24"/>
      <c r="I28" s="24"/>
      <c r="J28" s="24"/>
      <c r="K28" s="24"/>
    </row>
    <row r="29" spans="1:11">
      <c r="A29" s="24"/>
      <c r="B29" s="24"/>
      <c r="C29" s="24"/>
      <c r="D29" s="24"/>
      <c r="E29" s="26"/>
      <c r="F29" s="26"/>
      <c r="G29" s="24"/>
      <c r="H29" s="24"/>
      <c r="I29" s="24"/>
      <c r="J29" s="24"/>
      <c r="K29" s="24"/>
    </row>
    <row r="30" spans="1:11">
      <c r="A30" s="24"/>
      <c r="B30" s="24"/>
      <c r="C30" s="24"/>
      <c r="D30" s="24"/>
      <c r="E30" s="26"/>
      <c r="F30" s="26"/>
      <c r="G30" s="24"/>
      <c r="H30" s="24"/>
      <c r="I30" s="24"/>
      <c r="J30" s="24"/>
      <c r="K30" s="24"/>
    </row>
    <row r="31" spans="1:11">
      <c r="A31" s="24"/>
      <c r="B31" s="24"/>
      <c r="C31" s="24"/>
      <c r="D31" s="24"/>
      <c r="E31" s="26"/>
      <c r="F31" s="26"/>
      <c r="G31" s="24"/>
      <c r="H31" s="24"/>
      <c r="I31" s="24"/>
      <c r="J31" s="24"/>
      <c r="K31" s="24"/>
    </row>
    <row r="32" spans="1:11">
      <c r="A32" s="24"/>
      <c r="B32" s="24"/>
      <c r="C32" s="24"/>
      <c r="D32" s="24"/>
      <c r="E32" s="26"/>
      <c r="F32" s="26"/>
      <c r="G32" s="24"/>
      <c r="H32" s="24"/>
      <c r="I32" s="24"/>
      <c r="J32" s="24"/>
      <c r="K32" s="24"/>
    </row>
    <row r="33" spans="1:11">
      <c r="A33" s="24"/>
      <c r="B33" s="24"/>
      <c r="C33" s="24"/>
      <c r="D33" s="24"/>
      <c r="E33" s="26"/>
      <c r="F33" s="26"/>
      <c r="G33" s="24"/>
      <c r="H33" s="24"/>
      <c r="I33" s="24"/>
      <c r="J33" s="24"/>
      <c r="K33" s="24"/>
    </row>
    <row r="34" spans="1:11">
      <c r="A34" s="24"/>
      <c r="B34" s="24"/>
      <c r="C34" s="24"/>
      <c r="D34" s="24"/>
      <c r="E34" s="26"/>
      <c r="F34" s="26"/>
      <c r="G34" s="24"/>
      <c r="H34" s="24"/>
      <c r="I34" s="24"/>
      <c r="J34" s="24"/>
      <c r="K34" s="24"/>
    </row>
    <row r="35" spans="1:11">
      <c r="A35" s="24"/>
      <c r="B35" s="24"/>
      <c r="C35" s="24"/>
      <c r="D35" s="24"/>
      <c r="E35" s="26"/>
      <c r="F35" s="26"/>
      <c r="G35" s="24"/>
      <c r="H35" s="24"/>
      <c r="I35" s="24"/>
      <c r="J35" s="24"/>
      <c r="K35" s="24"/>
    </row>
    <row r="36" spans="1:11">
      <c r="A36" s="24"/>
      <c r="B36" s="24"/>
      <c r="C36" s="24"/>
      <c r="D36" s="24"/>
      <c r="E36" s="26"/>
      <c r="F36" s="26"/>
      <c r="G36" s="24"/>
      <c r="H36" s="24"/>
      <c r="I36" s="24"/>
      <c r="J36" s="24"/>
      <c r="K36" s="24"/>
    </row>
    <row r="37" spans="1:11">
      <c r="A37" s="24"/>
      <c r="B37" s="24"/>
      <c r="C37" s="24"/>
      <c r="D37" s="24"/>
      <c r="E37" s="26"/>
      <c r="F37" s="26"/>
      <c r="G37" s="24"/>
      <c r="H37" s="24"/>
      <c r="I37" s="24"/>
      <c r="J37" s="24"/>
      <c r="K37" s="24"/>
    </row>
    <row r="38" spans="1:11">
      <c r="A38" s="24"/>
      <c r="B38" s="24"/>
      <c r="C38" s="24"/>
      <c r="D38" s="24"/>
      <c r="E38" s="26"/>
      <c r="F38" s="26"/>
      <c r="G38" s="24"/>
      <c r="H38" s="24"/>
      <c r="I38" s="24"/>
      <c r="J38" s="24"/>
      <c r="K38" s="24"/>
    </row>
    <row r="39" spans="1:11">
      <c r="A39" s="24"/>
      <c r="B39" s="24"/>
      <c r="C39" s="24"/>
      <c r="D39" s="24"/>
      <c r="E39" s="26"/>
      <c r="F39" s="26"/>
      <c r="G39" s="24"/>
      <c r="H39" s="24"/>
      <c r="I39" s="24"/>
      <c r="J39" s="24"/>
      <c r="K39" s="24"/>
    </row>
    <row r="40" spans="1:11">
      <c r="A40" s="24"/>
      <c r="B40" s="24"/>
      <c r="C40" s="24"/>
      <c r="D40" s="24"/>
      <c r="E40" s="26"/>
      <c r="F40" s="26"/>
      <c r="G40" s="24"/>
      <c r="H40" s="24"/>
      <c r="I40" s="24"/>
      <c r="J40" s="24"/>
      <c r="K40" s="24"/>
    </row>
    <row r="41" spans="1:11">
      <c r="A41" s="24"/>
      <c r="B41" s="24"/>
      <c r="C41" s="24"/>
      <c r="D41" s="24"/>
      <c r="E41" s="26"/>
      <c r="F41" s="26"/>
      <c r="G41" s="24"/>
      <c r="H41" s="24"/>
      <c r="I41" s="24"/>
      <c r="J41" s="24"/>
      <c r="K41" s="24"/>
    </row>
    <row r="42" spans="1:11">
      <c r="A42" s="24"/>
      <c r="B42" s="24"/>
      <c r="C42" s="24"/>
      <c r="D42" s="24"/>
      <c r="E42" s="26"/>
      <c r="F42" s="26"/>
      <c r="G42" s="24"/>
      <c r="H42" s="24"/>
      <c r="I42" s="24"/>
      <c r="J42" s="24"/>
      <c r="K42" s="24"/>
    </row>
    <row r="43" spans="1:11">
      <c r="A43" s="24"/>
      <c r="B43" s="24"/>
      <c r="C43" s="24"/>
      <c r="D43" s="24"/>
      <c r="E43" s="26"/>
      <c r="F43" s="26"/>
      <c r="G43" s="24"/>
      <c r="H43" s="24"/>
      <c r="I43" s="24"/>
      <c r="J43" s="24"/>
      <c r="K43" s="24"/>
    </row>
    <row r="44" spans="1:11">
      <c r="A44" s="24"/>
      <c r="B44" s="24"/>
      <c r="C44" s="24"/>
      <c r="D44" s="24"/>
      <c r="E44" s="26"/>
      <c r="F44" s="26"/>
      <c r="G44" s="24"/>
      <c r="H44" s="24"/>
      <c r="I44" s="24"/>
      <c r="J44" s="24"/>
      <c r="K44" s="24"/>
    </row>
    <row r="45" spans="1:11">
      <c r="A45" s="24"/>
      <c r="B45" s="24"/>
      <c r="C45" s="24"/>
      <c r="D45" s="24"/>
      <c r="E45" s="26"/>
      <c r="F45" s="26"/>
      <c r="G45" s="24"/>
      <c r="H45" s="24"/>
      <c r="I45" s="24"/>
      <c r="J45" s="24"/>
      <c r="K45" s="24"/>
    </row>
    <row r="46" spans="1:11">
      <c r="A46" s="24"/>
      <c r="B46" s="24"/>
      <c r="C46" s="24"/>
      <c r="D46" s="24"/>
      <c r="E46" s="26"/>
      <c r="F46" s="26"/>
      <c r="G46" s="24"/>
      <c r="H46" s="24"/>
      <c r="I46" s="24"/>
      <c r="J46" s="24"/>
      <c r="K46" s="24"/>
    </row>
    <row r="47" spans="1:11">
      <c r="A47" s="24"/>
      <c r="B47" s="24"/>
      <c r="C47" s="24"/>
      <c r="D47" s="24"/>
      <c r="E47" s="26"/>
      <c r="F47" s="26"/>
      <c r="G47" s="24"/>
      <c r="H47" s="24"/>
      <c r="I47" s="24"/>
      <c r="J47" s="24"/>
      <c r="K47" s="24"/>
    </row>
    <row r="48" spans="1:11">
      <c r="A48" s="24"/>
      <c r="B48" s="24"/>
      <c r="C48" s="24"/>
      <c r="D48" s="24"/>
      <c r="E48" s="26"/>
      <c r="F48" s="26"/>
      <c r="G48" s="24"/>
      <c r="H48" s="24"/>
      <c r="I48" s="24"/>
      <c r="J48" s="24"/>
      <c r="K48" s="24"/>
    </row>
    <row r="49" spans="1:11">
      <c r="A49" s="24"/>
      <c r="B49" s="24"/>
      <c r="C49" s="24"/>
      <c r="D49" s="24"/>
      <c r="E49" s="26"/>
      <c r="F49" s="26"/>
      <c r="G49" s="24"/>
      <c r="H49" s="24"/>
      <c r="I49" s="24"/>
      <c r="J49" s="24"/>
      <c r="K49" s="24"/>
    </row>
    <row r="50" spans="1:11">
      <c r="A50" s="24"/>
      <c r="B50" s="24"/>
      <c r="C50" s="24"/>
      <c r="D50" s="24"/>
      <c r="E50" s="26"/>
      <c r="F50" s="26"/>
      <c r="G50" s="24"/>
      <c r="H50" s="24"/>
      <c r="I50" s="24"/>
      <c r="J50" s="24"/>
      <c r="K50" s="24"/>
    </row>
    <row r="51" spans="1:11">
      <c r="A51" s="24"/>
      <c r="B51" s="24"/>
      <c r="C51" s="24"/>
      <c r="D51" s="24"/>
      <c r="E51" s="26"/>
      <c r="F51" s="26"/>
      <c r="G51" s="24"/>
      <c r="H51" s="24"/>
      <c r="I51" s="24"/>
      <c r="J51" s="24"/>
      <c r="K51" s="24"/>
    </row>
    <row r="52" spans="1:11">
      <c r="A52" s="24"/>
      <c r="B52" s="24"/>
      <c r="C52" s="24"/>
      <c r="D52" s="24"/>
      <c r="E52" s="26"/>
      <c r="F52" s="26"/>
      <c r="G52" s="24"/>
      <c r="H52" s="24"/>
      <c r="I52" s="24"/>
      <c r="J52" s="24"/>
      <c r="K52" s="24"/>
    </row>
    <row r="53" spans="1:11">
      <c r="A53" s="24"/>
      <c r="B53" s="24"/>
      <c r="C53" s="24"/>
      <c r="D53" s="24"/>
      <c r="E53" s="26"/>
      <c r="F53" s="26"/>
      <c r="G53" s="24"/>
      <c r="H53" s="24"/>
      <c r="I53" s="24"/>
      <c r="J53" s="24"/>
      <c r="K53" s="24"/>
    </row>
  </sheetData>
  <mergeCells count="1">
    <mergeCell ref="A1:K1"/>
  </mergeCells>
  <conditionalFormatting sqref="G4:G53">
    <cfRule type="containsText" dxfId="0" priority="1" operator="between" text="已完成">
      <formula>NOT(ISERROR(SEARCH("已完成",G4)))</formula>
    </cfRule>
    <cfRule type="containsText" dxfId="1" priority="2" operator="between" text="进行中">
      <formula>NOT(ISERROR(SEARCH("进行中",G4)))</formula>
    </cfRule>
    <cfRule type="containsText" dxfId="2" priority="3" operator="between" text="未开始">
      <formula>NOT(ISERROR(SEARCH("未开始",G4)))</formula>
    </cfRule>
    <cfRule type="containsText" dxfId="3" priority="4" operator="between" text="暂停">
      <formula>NOT(ISERROR(SEARCH("暂停",G4)))</formula>
    </cfRule>
  </conditionalFormatting>
  <dataValidations count="1">
    <dataValidation type="list" sqref="G4:G53">
      <formula1>"未开始,进行中,已完成,退回修改"</formula1>
    </dataValidation>
  </dataValidation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3"/>
  <sheetViews>
    <sheetView showGridLines="0" workbookViewId="0">
      <selection activeCell="A1" sqref="A1:L1"/>
    </sheetView>
  </sheetViews>
  <sheetFormatPr defaultColWidth="9" defaultRowHeight="16.8"/>
  <cols>
    <col min="1" max="2" width="13" style="1" customWidth="1"/>
    <col min="3" max="3" width="24" style="1" customWidth="1"/>
    <col min="4" max="4" width="42" style="1" customWidth="1"/>
    <col min="5" max="6" width="14" style="1" customWidth="1"/>
    <col min="7" max="7" width="13" style="1" customWidth="1"/>
    <col min="8" max="8" width="11" style="1" customWidth="1"/>
    <col min="9" max="9" width="13" style="1" customWidth="1"/>
    <col min="10" max="10" width="11" style="1" customWidth="1"/>
    <col min="11" max="11" width="10" style="1" customWidth="1"/>
    <col min="12" max="12" width="32" style="1" customWidth="1"/>
  </cols>
  <sheetData>
    <row r="1" ht="34" customHeight="1" spans="1:12">
      <c r="A1" s="22" t="s">
        <v>652</v>
      </c>
      <c r="B1" s="4"/>
      <c r="C1" s="4"/>
      <c r="D1" s="4"/>
      <c r="E1" s="4"/>
      <c r="F1" s="4"/>
      <c r="G1" s="4"/>
      <c r="H1" s="4"/>
      <c r="I1" s="4"/>
      <c r="J1" s="4"/>
      <c r="K1" s="4"/>
      <c r="L1" s="4"/>
    </row>
    <row r="3" ht="30" customHeight="1" spans="1:12">
      <c r="A3" s="25" t="s">
        <v>653</v>
      </c>
      <c r="B3" s="25" t="s">
        <v>654</v>
      </c>
      <c r="C3" s="25" t="s">
        <v>655</v>
      </c>
      <c r="D3" s="25" t="s">
        <v>656</v>
      </c>
      <c r="E3" s="25" t="s">
        <v>447</v>
      </c>
      <c r="F3" s="25" t="s">
        <v>657</v>
      </c>
      <c r="G3" s="25" t="s">
        <v>658</v>
      </c>
      <c r="H3" s="25" t="s">
        <v>21</v>
      </c>
      <c r="I3" s="25" t="s">
        <v>659</v>
      </c>
      <c r="J3" s="25" t="s">
        <v>660</v>
      </c>
      <c r="K3" s="25" t="s">
        <v>603</v>
      </c>
      <c r="L3" s="25" t="s">
        <v>661</v>
      </c>
    </row>
    <row r="4" spans="1:12">
      <c r="A4" s="24"/>
      <c r="B4" s="26"/>
      <c r="C4" s="24"/>
      <c r="D4" s="24"/>
      <c r="E4" s="24"/>
      <c r="F4" s="24"/>
      <c r="G4" s="26"/>
      <c r="H4" s="24"/>
      <c r="I4" s="26"/>
      <c r="J4" s="24">
        <f>IF(OR(G4="",H4="已完成"),0,MAX(0,项目驾驶舱!$B$3-G4))</f>
        <v>0</v>
      </c>
      <c r="K4" s="24"/>
      <c r="L4" s="24"/>
    </row>
    <row r="5" spans="1:12">
      <c r="A5" s="24"/>
      <c r="B5" s="26"/>
      <c r="C5" s="24"/>
      <c r="D5" s="24"/>
      <c r="E5" s="24"/>
      <c r="F5" s="24"/>
      <c r="G5" s="26"/>
      <c r="H5" s="24"/>
      <c r="I5" s="26"/>
      <c r="J5" s="24">
        <f>IF(OR(G5="",H5="已完成"),0,MAX(0,项目驾驶舱!$B$3-G5))</f>
        <v>0</v>
      </c>
      <c r="K5" s="24"/>
      <c r="L5" s="24"/>
    </row>
    <row r="6" spans="1:12">
      <c r="A6" s="24"/>
      <c r="B6" s="26"/>
      <c r="C6" s="24"/>
      <c r="D6" s="24"/>
      <c r="E6" s="24"/>
      <c r="F6" s="24"/>
      <c r="G6" s="26"/>
      <c r="H6" s="24"/>
      <c r="I6" s="26"/>
      <c r="J6" s="24">
        <f>IF(OR(G6="",H6="已完成"),0,MAX(0,项目驾驶舱!$B$3-G6))</f>
        <v>0</v>
      </c>
      <c r="K6" s="24"/>
      <c r="L6" s="24"/>
    </row>
    <row r="7" spans="1:12">
      <c r="A7" s="24"/>
      <c r="B7" s="26"/>
      <c r="C7" s="24"/>
      <c r="D7" s="24"/>
      <c r="E7" s="24"/>
      <c r="F7" s="24"/>
      <c r="G7" s="26"/>
      <c r="H7" s="24"/>
      <c r="I7" s="26"/>
      <c r="J7" s="24">
        <f>IF(OR(G7="",H7="已完成"),0,MAX(0,项目驾驶舱!$B$3-G7))</f>
        <v>0</v>
      </c>
      <c r="K7" s="24"/>
      <c r="L7" s="24"/>
    </row>
    <row r="8" spans="1:12">
      <c r="A8" s="24"/>
      <c r="B8" s="26"/>
      <c r="C8" s="24"/>
      <c r="D8" s="24"/>
      <c r="E8" s="24"/>
      <c r="F8" s="24"/>
      <c r="G8" s="26"/>
      <c r="H8" s="24"/>
      <c r="I8" s="26"/>
      <c r="J8" s="24">
        <f>IF(OR(G8="",H8="已完成"),0,MAX(0,项目驾驶舱!$B$3-G8))</f>
        <v>0</v>
      </c>
      <c r="K8" s="24"/>
      <c r="L8" s="24"/>
    </row>
    <row r="9" spans="1:12">
      <c r="A9" s="24"/>
      <c r="B9" s="26"/>
      <c r="C9" s="24"/>
      <c r="D9" s="24"/>
      <c r="E9" s="24"/>
      <c r="F9" s="24"/>
      <c r="G9" s="26"/>
      <c r="H9" s="24"/>
      <c r="I9" s="26"/>
      <c r="J9" s="24">
        <f>IF(OR(G9="",H9="已完成"),0,MAX(0,项目驾驶舱!$B$3-G9))</f>
        <v>0</v>
      </c>
      <c r="K9" s="24"/>
      <c r="L9" s="24"/>
    </row>
    <row r="10" spans="1:12">
      <c r="A10" s="24"/>
      <c r="B10" s="26"/>
      <c r="C10" s="24"/>
      <c r="D10" s="24"/>
      <c r="E10" s="24"/>
      <c r="F10" s="24"/>
      <c r="G10" s="26"/>
      <c r="H10" s="24"/>
      <c r="I10" s="26"/>
      <c r="J10" s="24">
        <f>IF(OR(G10="",H10="已完成"),0,MAX(0,项目驾驶舱!$B$3-G10))</f>
        <v>0</v>
      </c>
      <c r="K10" s="24"/>
      <c r="L10" s="24"/>
    </row>
    <row r="11" spans="1:12">
      <c r="A11" s="24"/>
      <c r="B11" s="26"/>
      <c r="C11" s="24"/>
      <c r="D11" s="24"/>
      <c r="E11" s="24"/>
      <c r="F11" s="24"/>
      <c r="G11" s="26"/>
      <c r="H11" s="24"/>
      <c r="I11" s="26"/>
      <c r="J11" s="24">
        <f>IF(OR(G11="",H11="已完成"),0,MAX(0,项目驾驶舱!$B$3-G11))</f>
        <v>0</v>
      </c>
      <c r="K11" s="24"/>
      <c r="L11" s="24"/>
    </row>
    <row r="12" spans="1:12">
      <c r="A12" s="24"/>
      <c r="B12" s="26"/>
      <c r="C12" s="24"/>
      <c r="D12" s="24"/>
      <c r="E12" s="24"/>
      <c r="F12" s="24"/>
      <c r="G12" s="26"/>
      <c r="H12" s="24"/>
      <c r="I12" s="26"/>
      <c r="J12" s="24">
        <f>IF(OR(G12="",H12="已完成"),0,MAX(0,项目驾驶舱!$B$3-G12))</f>
        <v>0</v>
      </c>
      <c r="K12" s="24"/>
      <c r="L12" s="24"/>
    </row>
    <row r="13" spans="1:12">
      <c r="A13" s="24"/>
      <c r="B13" s="26"/>
      <c r="C13" s="24"/>
      <c r="D13" s="24"/>
      <c r="E13" s="24"/>
      <c r="F13" s="24"/>
      <c r="G13" s="26"/>
      <c r="H13" s="24"/>
      <c r="I13" s="26"/>
      <c r="J13" s="24">
        <f>IF(OR(G13="",H13="已完成"),0,MAX(0,项目驾驶舱!$B$3-G13))</f>
        <v>0</v>
      </c>
      <c r="K13" s="24"/>
      <c r="L13" s="24"/>
    </row>
    <row r="14" spans="1:12">
      <c r="A14" s="24"/>
      <c r="B14" s="26"/>
      <c r="C14" s="24"/>
      <c r="D14" s="24"/>
      <c r="E14" s="24"/>
      <c r="F14" s="24"/>
      <c r="G14" s="26"/>
      <c r="H14" s="24"/>
      <c r="I14" s="26"/>
      <c r="J14" s="24">
        <f>IF(OR(G14="",H14="已完成"),0,MAX(0,项目驾驶舱!$B$3-G14))</f>
        <v>0</v>
      </c>
      <c r="K14" s="24"/>
      <c r="L14" s="24"/>
    </row>
    <row r="15" spans="1:12">
      <c r="A15" s="24"/>
      <c r="B15" s="26"/>
      <c r="C15" s="24"/>
      <c r="D15" s="24"/>
      <c r="E15" s="24"/>
      <c r="F15" s="24"/>
      <c r="G15" s="26"/>
      <c r="H15" s="24"/>
      <c r="I15" s="26"/>
      <c r="J15" s="24">
        <f>IF(OR(G15="",H15="已完成"),0,MAX(0,项目驾驶舱!$B$3-G15))</f>
        <v>0</v>
      </c>
      <c r="K15" s="24"/>
      <c r="L15" s="24"/>
    </row>
    <row r="16" spans="1:12">
      <c r="A16" s="24"/>
      <c r="B16" s="26"/>
      <c r="C16" s="24"/>
      <c r="D16" s="24"/>
      <c r="E16" s="24"/>
      <c r="F16" s="24"/>
      <c r="G16" s="26"/>
      <c r="H16" s="24"/>
      <c r="I16" s="26"/>
      <c r="J16" s="24">
        <f>IF(OR(G16="",H16="已完成"),0,MAX(0,项目驾驶舱!$B$3-G16))</f>
        <v>0</v>
      </c>
      <c r="K16" s="24"/>
      <c r="L16" s="24"/>
    </row>
    <row r="17" spans="1:12">
      <c r="A17" s="24"/>
      <c r="B17" s="26"/>
      <c r="C17" s="24"/>
      <c r="D17" s="24"/>
      <c r="E17" s="24"/>
      <c r="F17" s="24"/>
      <c r="G17" s="26"/>
      <c r="H17" s="24"/>
      <c r="I17" s="26"/>
      <c r="J17" s="24">
        <f>IF(OR(G17="",H17="已完成"),0,MAX(0,项目驾驶舱!$B$3-G17))</f>
        <v>0</v>
      </c>
      <c r="K17" s="24"/>
      <c r="L17" s="24"/>
    </row>
    <row r="18" spans="1:12">
      <c r="A18" s="24"/>
      <c r="B18" s="26"/>
      <c r="C18" s="24"/>
      <c r="D18" s="24"/>
      <c r="E18" s="24"/>
      <c r="F18" s="24"/>
      <c r="G18" s="26"/>
      <c r="H18" s="24"/>
      <c r="I18" s="26"/>
      <c r="J18" s="24">
        <f>IF(OR(G18="",H18="已完成"),0,MAX(0,项目驾驶舱!$B$3-G18))</f>
        <v>0</v>
      </c>
      <c r="K18" s="24"/>
      <c r="L18" s="24"/>
    </row>
    <row r="19" spans="1:12">
      <c r="A19" s="24"/>
      <c r="B19" s="26"/>
      <c r="C19" s="24"/>
      <c r="D19" s="24"/>
      <c r="E19" s="24"/>
      <c r="F19" s="24"/>
      <c r="G19" s="26"/>
      <c r="H19" s="24"/>
      <c r="I19" s="26"/>
      <c r="J19" s="24">
        <f>IF(OR(G19="",H19="已完成"),0,MAX(0,项目驾驶舱!$B$3-G19))</f>
        <v>0</v>
      </c>
      <c r="K19" s="24"/>
      <c r="L19" s="24"/>
    </row>
    <row r="20" spans="1:12">
      <c r="A20" s="24"/>
      <c r="B20" s="26"/>
      <c r="C20" s="24"/>
      <c r="D20" s="24"/>
      <c r="E20" s="24"/>
      <c r="F20" s="24"/>
      <c r="G20" s="26"/>
      <c r="H20" s="24"/>
      <c r="I20" s="26"/>
      <c r="J20" s="24">
        <f>IF(OR(G20="",H20="已完成"),0,MAX(0,项目驾驶舱!$B$3-G20))</f>
        <v>0</v>
      </c>
      <c r="K20" s="24"/>
      <c r="L20" s="24"/>
    </row>
    <row r="21" spans="1:12">
      <c r="A21" s="24"/>
      <c r="B21" s="26"/>
      <c r="C21" s="24"/>
      <c r="D21" s="24"/>
      <c r="E21" s="24"/>
      <c r="F21" s="24"/>
      <c r="G21" s="26"/>
      <c r="H21" s="24"/>
      <c r="I21" s="26"/>
      <c r="J21" s="24">
        <f>IF(OR(G21="",H21="已完成"),0,MAX(0,项目驾驶舱!$B$3-G21))</f>
        <v>0</v>
      </c>
      <c r="K21" s="24"/>
      <c r="L21" s="24"/>
    </row>
    <row r="22" spans="1:12">
      <c r="A22" s="24"/>
      <c r="B22" s="26"/>
      <c r="C22" s="24"/>
      <c r="D22" s="24"/>
      <c r="E22" s="24"/>
      <c r="F22" s="24"/>
      <c r="G22" s="26"/>
      <c r="H22" s="24"/>
      <c r="I22" s="26"/>
      <c r="J22" s="24">
        <f>IF(OR(G22="",H22="已完成"),0,MAX(0,项目驾驶舱!$B$3-G22))</f>
        <v>0</v>
      </c>
      <c r="K22" s="24"/>
      <c r="L22" s="24"/>
    </row>
    <row r="23" spans="1:12">
      <c r="A23" s="24"/>
      <c r="B23" s="26"/>
      <c r="C23" s="24"/>
      <c r="D23" s="24"/>
      <c r="E23" s="24"/>
      <c r="F23" s="24"/>
      <c r="G23" s="26"/>
      <c r="H23" s="24"/>
      <c r="I23" s="26"/>
      <c r="J23" s="24">
        <f>IF(OR(G23="",H23="已完成"),0,MAX(0,项目驾驶舱!$B$3-G23))</f>
        <v>0</v>
      </c>
      <c r="K23" s="24"/>
      <c r="L23" s="24"/>
    </row>
    <row r="24" spans="1:12">
      <c r="A24" s="24"/>
      <c r="B24" s="26"/>
      <c r="C24" s="24"/>
      <c r="D24" s="24"/>
      <c r="E24" s="24"/>
      <c r="F24" s="24"/>
      <c r="G24" s="26"/>
      <c r="H24" s="24"/>
      <c r="I24" s="26"/>
      <c r="J24" s="24">
        <f>IF(OR(G24="",H24="已完成"),0,MAX(0,项目驾驶舱!$B$3-G24))</f>
        <v>0</v>
      </c>
      <c r="K24" s="24"/>
      <c r="L24" s="24"/>
    </row>
    <row r="25" spans="1:12">
      <c r="A25" s="24"/>
      <c r="B25" s="26"/>
      <c r="C25" s="24"/>
      <c r="D25" s="24"/>
      <c r="E25" s="24"/>
      <c r="F25" s="24"/>
      <c r="G25" s="26"/>
      <c r="H25" s="24"/>
      <c r="I25" s="26"/>
      <c r="J25" s="24">
        <f>IF(OR(G25="",H25="已完成"),0,MAX(0,项目驾驶舱!$B$3-G25))</f>
        <v>0</v>
      </c>
      <c r="K25" s="24"/>
      <c r="L25" s="24"/>
    </row>
    <row r="26" spans="1:12">
      <c r="A26" s="24"/>
      <c r="B26" s="26"/>
      <c r="C26" s="24"/>
      <c r="D26" s="24"/>
      <c r="E26" s="24"/>
      <c r="F26" s="24"/>
      <c r="G26" s="26"/>
      <c r="H26" s="24"/>
      <c r="I26" s="26"/>
      <c r="J26" s="24">
        <f>IF(OR(G26="",H26="已完成"),0,MAX(0,项目驾驶舱!$B$3-G26))</f>
        <v>0</v>
      </c>
      <c r="K26" s="24"/>
      <c r="L26" s="24"/>
    </row>
    <row r="27" spans="1:12">
      <c r="A27" s="24"/>
      <c r="B27" s="26"/>
      <c r="C27" s="24"/>
      <c r="D27" s="24"/>
      <c r="E27" s="24"/>
      <c r="F27" s="24"/>
      <c r="G27" s="26"/>
      <c r="H27" s="24"/>
      <c r="I27" s="26"/>
      <c r="J27" s="24">
        <f>IF(OR(G27="",H27="已完成"),0,MAX(0,项目驾驶舱!$B$3-G27))</f>
        <v>0</v>
      </c>
      <c r="K27" s="24"/>
      <c r="L27" s="24"/>
    </row>
    <row r="28" spans="1:12">
      <c r="A28" s="24"/>
      <c r="B28" s="26"/>
      <c r="C28" s="24"/>
      <c r="D28" s="24"/>
      <c r="E28" s="24"/>
      <c r="F28" s="24"/>
      <c r="G28" s="26"/>
      <c r="H28" s="24"/>
      <c r="I28" s="26"/>
      <c r="J28" s="24">
        <f>IF(OR(G28="",H28="已完成"),0,MAX(0,项目驾驶舱!$B$3-G28))</f>
        <v>0</v>
      </c>
      <c r="K28" s="24"/>
      <c r="L28" s="24"/>
    </row>
    <row r="29" spans="1:12">
      <c r="A29" s="24"/>
      <c r="B29" s="26"/>
      <c r="C29" s="24"/>
      <c r="D29" s="24"/>
      <c r="E29" s="24"/>
      <c r="F29" s="24"/>
      <c r="G29" s="26"/>
      <c r="H29" s="24"/>
      <c r="I29" s="26"/>
      <c r="J29" s="24">
        <f>IF(OR(G29="",H29="已完成"),0,MAX(0,项目驾驶舱!$B$3-G29))</f>
        <v>0</v>
      </c>
      <c r="K29" s="24"/>
      <c r="L29" s="24"/>
    </row>
    <row r="30" spans="1:12">
      <c r="A30" s="24"/>
      <c r="B30" s="26"/>
      <c r="C30" s="24"/>
      <c r="D30" s="24"/>
      <c r="E30" s="24"/>
      <c r="F30" s="24"/>
      <c r="G30" s="26"/>
      <c r="H30" s="24"/>
      <c r="I30" s="26"/>
      <c r="J30" s="24">
        <f>IF(OR(G30="",H30="已完成"),0,MAX(0,项目驾驶舱!$B$3-G30))</f>
        <v>0</v>
      </c>
      <c r="K30" s="24"/>
      <c r="L30" s="24"/>
    </row>
    <row r="31" spans="1:12">
      <c r="A31" s="24"/>
      <c r="B31" s="26"/>
      <c r="C31" s="24"/>
      <c r="D31" s="24"/>
      <c r="E31" s="24"/>
      <c r="F31" s="24"/>
      <c r="G31" s="26"/>
      <c r="H31" s="24"/>
      <c r="I31" s="26"/>
      <c r="J31" s="24">
        <f>IF(OR(G31="",H31="已完成"),0,MAX(0,项目驾驶舱!$B$3-G31))</f>
        <v>0</v>
      </c>
      <c r="K31" s="24"/>
      <c r="L31" s="24"/>
    </row>
    <row r="32" spans="1:12">
      <c r="A32" s="24"/>
      <c r="B32" s="26"/>
      <c r="C32" s="24"/>
      <c r="D32" s="24"/>
      <c r="E32" s="24"/>
      <c r="F32" s="24"/>
      <c r="G32" s="26"/>
      <c r="H32" s="24"/>
      <c r="I32" s="26"/>
      <c r="J32" s="24">
        <f>IF(OR(G32="",H32="已完成"),0,MAX(0,项目驾驶舱!$B$3-G32))</f>
        <v>0</v>
      </c>
      <c r="K32" s="24"/>
      <c r="L32" s="24"/>
    </row>
    <row r="33" spans="1:12">
      <c r="A33" s="24"/>
      <c r="B33" s="26"/>
      <c r="C33" s="24"/>
      <c r="D33" s="24"/>
      <c r="E33" s="24"/>
      <c r="F33" s="24"/>
      <c r="G33" s="26"/>
      <c r="H33" s="24"/>
      <c r="I33" s="26"/>
      <c r="J33" s="24">
        <f>IF(OR(G33="",H33="已完成"),0,MAX(0,项目驾驶舱!$B$3-G33))</f>
        <v>0</v>
      </c>
      <c r="K33" s="24"/>
      <c r="L33" s="24"/>
    </row>
    <row r="34" spans="1:12">
      <c r="A34" s="24"/>
      <c r="B34" s="26"/>
      <c r="C34" s="24"/>
      <c r="D34" s="24"/>
      <c r="E34" s="24"/>
      <c r="F34" s="24"/>
      <c r="G34" s="26"/>
      <c r="H34" s="24"/>
      <c r="I34" s="26"/>
      <c r="J34" s="24">
        <f>IF(OR(G34="",H34="已完成"),0,MAX(0,项目驾驶舱!$B$3-G34))</f>
        <v>0</v>
      </c>
      <c r="K34" s="24"/>
      <c r="L34" s="24"/>
    </row>
    <row r="35" spans="1:12">
      <c r="A35" s="24"/>
      <c r="B35" s="26"/>
      <c r="C35" s="24"/>
      <c r="D35" s="24"/>
      <c r="E35" s="24"/>
      <c r="F35" s="24"/>
      <c r="G35" s="26"/>
      <c r="H35" s="24"/>
      <c r="I35" s="26"/>
      <c r="J35" s="24">
        <f>IF(OR(G35="",H35="已完成"),0,MAX(0,项目驾驶舱!$B$3-G35))</f>
        <v>0</v>
      </c>
      <c r="K35" s="24"/>
      <c r="L35" s="24"/>
    </row>
    <row r="36" spans="1:12">
      <c r="A36" s="24"/>
      <c r="B36" s="26"/>
      <c r="C36" s="24"/>
      <c r="D36" s="24"/>
      <c r="E36" s="24"/>
      <c r="F36" s="24"/>
      <c r="G36" s="26"/>
      <c r="H36" s="24"/>
      <c r="I36" s="26"/>
      <c r="J36" s="24">
        <f>IF(OR(G36="",H36="已完成"),0,MAX(0,项目驾驶舱!$B$3-G36))</f>
        <v>0</v>
      </c>
      <c r="K36" s="24"/>
      <c r="L36" s="24"/>
    </row>
    <row r="37" spans="1:12">
      <c r="A37" s="24"/>
      <c r="B37" s="26"/>
      <c r="C37" s="24"/>
      <c r="D37" s="24"/>
      <c r="E37" s="24"/>
      <c r="F37" s="24"/>
      <c r="G37" s="26"/>
      <c r="H37" s="24"/>
      <c r="I37" s="26"/>
      <c r="J37" s="24">
        <f>IF(OR(G37="",H37="已完成"),0,MAX(0,项目驾驶舱!$B$3-G37))</f>
        <v>0</v>
      </c>
      <c r="K37" s="24"/>
      <c r="L37" s="24"/>
    </row>
    <row r="38" spans="1:12">
      <c r="A38" s="24"/>
      <c r="B38" s="26"/>
      <c r="C38" s="24"/>
      <c r="D38" s="24"/>
      <c r="E38" s="24"/>
      <c r="F38" s="24"/>
      <c r="G38" s="26"/>
      <c r="H38" s="24"/>
      <c r="I38" s="26"/>
      <c r="J38" s="24">
        <f>IF(OR(G38="",H38="已完成"),0,MAX(0,项目驾驶舱!$B$3-G38))</f>
        <v>0</v>
      </c>
      <c r="K38" s="24"/>
      <c r="L38" s="24"/>
    </row>
    <row r="39" spans="1:12">
      <c r="A39" s="24"/>
      <c r="B39" s="26"/>
      <c r="C39" s="24"/>
      <c r="D39" s="24"/>
      <c r="E39" s="24"/>
      <c r="F39" s="24"/>
      <c r="G39" s="26"/>
      <c r="H39" s="24"/>
      <c r="I39" s="26"/>
      <c r="J39" s="24">
        <f>IF(OR(G39="",H39="已完成"),0,MAX(0,项目驾驶舱!$B$3-G39))</f>
        <v>0</v>
      </c>
      <c r="K39" s="24"/>
      <c r="L39" s="24"/>
    </row>
    <row r="40" spans="1:12">
      <c r="A40" s="24"/>
      <c r="B40" s="26"/>
      <c r="C40" s="24"/>
      <c r="D40" s="24"/>
      <c r="E40" s="24"/>
      <c r="F40" s="24"/>
      <c r="G40" s="26"/>
      <c r="H40" s="24"/>
      <c r="I40" s="26"/>
      <c r="J40" s="24">
        <f>IF(OR(G40="",H40="已完成"),0,MAX(0,项目驾驶舱!$B$3-G40))</f>
        <v>0</v>
      </c>
      <c r="K40" s="24"/>
      <c r="L40" s="24"/>
    </row>
    <row r="41" spans="1:12">
      <c r="A41" s="24"/>
      <c r="B41" s="26"/>
      <c r="C41" s="24"/>
      <c r="D41" s="24"/>
      <c r="E41" s="24"/>
      <c r="F41" s="24"/>
      <c r="G41" s="26"/>
      <c r="H41" s="24"/>
      <c r="I41" s="26"/>
      <c r="J41" s="24">
        <f>IF(OR(G41="",H41="已完成"),0,MAX(0,项目驾驶舱!$B$3-G41))</f>
        <v>0</v>
      </c>
      <c r="K41" s="24"/>
      <c r="L41" s="24"/>
    </row>
    <row r="42" spans="1:12">
      <c r="A42" s="24"/>
      <c r="B42" s="26"/>
      <c r="C42" s="24"/>
      <c r="D42" s="24"/>
      <c r="E42" s="24"/>
      <c r="F42" s="24"/>
      <c r="G42" s="26"/>
      <c r="H42" s="24"/>
      <c r="I42" s="26"/>
      <c r="J42" s="24">
        <f>IF(OR(G42="",H42="已完成"),0,MAX(0,项目驾驶舱!$B$3-G42))</f>
        <v>0</v>
      </c>
      <c r="K42" s="24"/>
      <c r="L42" s="24"/>
    </row>
    <row r="43" spans="1:12">
      <c r="A43" s="24"/>
      <c r="B43" s="26"/>
      <c r="C43" s="24"/>
      <c r="D43" s="24"/>
      <c r="E43" s="24"/>
      <c r="F43" s="24"/>
      <c r="G43" s="26"/>
      <c r="H43" s="24"/>
      <c r="I43" s="26"/>
      <c r="J43" s="24">
        <f>IF(OR(G43="",H43="已完成"),0,MAX(0,项目驾驶舱!$B$3-G43))</f>
        <v>0</v>
      </c>
      <c r="K43" s="24"/>
      <c r="L43" s="24"/>
    </row>
    <row r="44" spans="1:12">
      <c r="A44" s="24"/>
      <c r="B44" s="26"/>
      <c r="C44" s="24"/>
      <c r="D44" s="24"/>
      <c r="E44" s="24"/>
      <c r="F44" s="24"/>
      <c r="G44" s="26"/>
      <c r="H44" s="24"/>
      <c r="I44" s="26"/>
      <c r="J44" s="24">
        <f>IF(OR(G44="",H44="已完成"),0,MAX(0,项目驾驶舱!$B$3-G44))</f>
        <v>0</v>
      </c>
      <c r="K44" s="24"/>
      <c r="L44" s="24"/>
    </row>
    <row r="45" spans="1:12">
      <c r="A45" s="24"/>
      <c r="B45" s="26"/>
      <c r="C45" s="24"/>
      <c r="D45" s="24"/>
      <c r="E45" s="24"/>
      <c r="F45" s="24"/>
      <c r="G45" s="26"/>
      <c r="H45" s="24"/>
      <c r="I45" s="26"/>
      <c r="J45" s="24">
        <f>IF(OR(G45="",H45="已完成"),0,MAX(0,项目驾驶舱!$B$3-G45))</f>
        <v>0</v>
      </c>
      <c r="K45" s="24"/>
      <c r="L45" s="24"/>
    </row>
    <row r="46" spans="1:12">
      <c r="A46" s="24"/>
      <c r="B46" s="26"/>
      <c r="C46" s="24"/>
      <c r="D46" s="24"/>
      <c r="E46" s="24"/>
      <c r="F46" s="24"/>
      <c r="G46" s="26"/>
      <c r="H46" s="24"/>
      <c r="I46" s="26"/>
      <c r="J46" s="24">
        <f>IF(OR(G46="",H46="已完成"),0,MAX(0,项目驾驶舱!$B$3-G46))</f>
        <v>0</v>
      </c>
      <c r="K46" s="24"/>
      <c r="L46" s="24"/>
    </row>
    <row r="47" spans="1:12">
      <c r="A47" s="24"/>
      <c r="B47" s="26"/>
      <c r="C47" s="24"/>
      <c r="D47" s="24"/>
      <c r="E47" s="24"/>
      <c r="F47" s="24"/>
      <c r="G47" s="26"/>
      <c r="H47" s="24"/>
      <c r="I47" s="26"/>
      <c r="J47" s="24">
        <f>IF(OR(G47="",H47="已完成"),0,MAX(0,项目驾驶舱!$B$3-G47))</f>
        <v>0</v>
      </c>
      <c r="K47" s="24"/>
      <c r="L47" s="24"/>
    </row>
    <row r="48" spans="1:12">
      <c r="A48" s="24"/>
      <c r="B48" s="26"/>
      <c r="C48" s="24"/>
      <c r="D48" s="24"/>
      <c r="E48" s="24"/>
      <c r="F48" s="24"/>
      <c r="G48" s="26"/>
      <c r="H48" s="24"/>
      <c r="I48" s="26"/>
      <c r="J48" s="24">
        <f>IF(OR(G48="",H48="已完成"),0,MAX(0,项目驾驶舱!$B$3-G48))</f>
        <v>0</v>
      </c>
      <c r="K48" s="24"/>
      <c r="L48" s="24"/>
    </row>
    <row r="49" spans="1:12">
      <c r="A49" s="24"/>
      <c r="B49" s="26"/>
      <c r="C49" s="24"/>
      <c r="D49" s="24"/>
      <c r="E49" s="24"/>
      <c r="F49" s="24"/>
      <c r="G49" s="26"/>
      <c r="H49" s="24"/>
      <c r="I49" s="26"/>
      <c r="J49" s="24">
        <f>IF(OR(G49="",H49="已完成"),0,MAX(0,项目驾驶舱!$B$3-G49))</f>
        <v>0</v>
      </c>
      <c r="K49" s="24"/>
      <c r="L49" s="24"/>
    </row>
    <row r="50" spans="1:12">
      <c r="A50" s="24"/>
      <c r="B50" s="26"/>
      <c r="C50" s="24"/>
      <c r="D50" s="24"/>
      <c r="E50" s="24"/>
      <c r="F50" s="24"/>
      <c r="G50" s="26"/>
      <c r="H50" s="24"/>
      <c r="I50" s="26"/>
      <c r="J50" s="24">
        <f>IF(OR(G50="",H50="已完成"),0,MAX(0,项目驾驶舱!$B$3-G50))</f>
        <v>0</v>
      </c>
      <c r="K50" s="24"/>
      <c r="L50" s="24"/>
    </row>
    <row r="51" spans="1:12">
      <c r="A51" s="24"/>
      <c r="B51" s="26"/>
      <c r="C51" s="24"/>
      <c r="D51" s="24"/>
      <c r="E51" s="24"/>
      <c r="F51" s="24"/>
      <c r="G51" s="26"/>
      <c r="H51" s="24"/>
      <c r="I51" s="26"/>
      <c r="J51" s="24">
        <f>IF(OR(G51="",H51="已完成"),0,MAX(0,项目驾驶舱!$B$3-G51))</f>
        <v>0</v>
      </c>
      <c r="K51" s="24"/>
      <c r="L51" s="24"/>
    </row>
    <row r="52" spans="1:12">
      <c r="A52" s="24"/>
      <c r="B52" s="26"/>
      <c r="C52" s="24"/>
      <c r="D52" s="24"/>
      <c r="E52" s="24"/>
      <c r="F52" s="24"/>
      <c r="G52" s="26"/>
      <c r="H52" s="24"/>
      <c r="I52" s="26"/>
      <c r="J52" s="24">
        <f>IF(OR(G52="",H52="已完成"),0,MAX(0,项目驾驶舱!$B$3-G52))</f>
        <v>0</v>
      </c>
      <c r="K52" s="24"/>
      <c r="L52" s="24"/>
    </row>
    <row r="53" spans="1:12">
      <c r="A53" s="24"/>
      <c r="B53" s="26"/>
      <c r="C53" s="24"/>
      <c r="D53" s="24"/>
      <c r="E53" s="24"/>
      <c r="F53" s="24"/>
      <c r="G53" s="26"/>
      <c r="H53" s="24"/>
      <c r="I53" s="26"/>
      <c r="J53" s="24">
        <f>IF(OR(G53="",H53="已完成"),0,MAX(0,项目驾驶舱!$B$3-G53))</f>
        <v>0</v>
      </c>
      <c r="K53" s="24"/>
      <c r="L53" s="24"/>
    </row>
    <row r="54" spans="1:12">
      <c r="A54" s="24"/>
      <c r="B54" s="26"/>
      <c r="C54" s="24"/>
      <c r="D54" s="24"/>
      <c r="E54" s="24"/>
      <c r="F54" s="24"/>
      <c r="G54" s="26"/>
      <c r="H54" s="24"/>
      <c r="I54" s="26"/>
      <c r="J54" s="24">
        <f>IF(OR(G54="",H54="已完成"),0,MAX(0,项目驾驶舱!$B$3-G54))</f>
        <v>0</v>
      </c>
      <c r="K54" s="24"/>
      <c r="L54" s="24"/>
    </row>
    <row r="55" spans="1:12">
      <c r="A55" s="24"/>
      <c r="B55" s="26"/>
      <c r="C55" s="24"/>
      <c r="D55" s="24"/>
      <c r="E55" s="24"/>
      <c r="F55" s="24"/>
      <c r="G55" s="26"/>
      <c r="H55" s="24"/>
      <c r="I55" s="26"/>
      <c r="J55" s="24">
        <f>IF(OR(G55="",H55="已完成"),0,MAX(0,项目驾驶舱!$B$3-G55))</f>
        <v>0</v>
      </c>
      <c r="K55" s="24"/>
      <c r="L55" s="24"/>
    </row>
    <row r="56" spans="1:12">
      <c r="A56" s="24"/>
      <c r="B56" s="26"/>
      <c r="C56" s="24"/>
      <c r="D56" s="24"/>
      <c r="E56" s="24"/>
      <c r="F56" s="24"/>
      <c r="G56" s="26"/>
      <c r="H56" s="24"/>
      <c r="I56" s="26"/>
      <c r="J56" s="24">
        <f>IF(OR(G56="",H56="已完成"),0,MAX(0,项目驾驶舱!$B$3-G56))</f>
        <v>0</v>
      </c>
      <c r="K56" s="24"/>
      <c r="L56" s="24"/>
    </row>
    <row r="57" spans="1:12">
      <c r="A57" s="24"/>
      <c r="B57" s="26"/>
      <c r="C57" s="24"/>
      <c r="D57" s="24"/>
      <c r="E57" s="24"/>
      <c r="F57" s="24"/>
      <c r="G57" s="26"/>
      <c r="H57" s="24"/>
      <c r="I57" s="26"/>
      <c r="J57" s="24">
        <f>IF(OR(G57="",H57="已完成"),0,MAX(0,项目驾驶舱!$B$3-G57))</f>
        <v>0</v>
      </c>
      <c r="K57" s="24"/>
      <c r="L57" s="24"/>
    </row>
    <row r="58" spans="1:12">
      <c r="A58" s="24"/>
      <c r="B58" s="26"/>
      <c r="C58" s="24"/>
      <c r="D58" s="24"/>
      <c r="E58" s="24"/>
      <c r="F58" s="24"/>
      <c r="G58" s="26"/>
      <c r="H58" s="24"/>
      <c r="I58" s="26"/>
      <c r="J58" s="24">
        <f>IF(OR(G58="",H58="已完成"),0,MAX(0,项目驾驶舱!$B$3-G58))</f>
        <v>0</v>
      </c>
      <c r="K58" s="24"/>
      <c r="L58" s="24"/>
    </row>
    <row r="59" spans="1:12">
      <c r="A59" s="24"/>
      <c r="B59" s="26"/>
      <c r="C59" s="24"/>
      <c r="D59" s="24"/>
      <c r="E59" s="24"/>
      <c r="F59" s="24"/>
      <c r="G59" s="26"/>
      <c r="H59" s="24"/>
      <c r="I59" s="26"/>
      <c r="J59" s="24">
        <f>IF(OR(G59="",H59="已完成"),0,MAX(0,项目驾驶舱!$B$3-G59))</f>
        <v>0</v>
      </c>
      <c r="K59" s="24"/>
      <c r="L59" s="24"/>
    </row>
    <row r="60" spans="1:12">
      <c r="A60" s="24"/>
      <c r="B60" s="26"/>
      <c r="C60" s="24"/>
      <c r="D60" s="24"/>
      <c r="E60" s="24"/>
      <c r="F60" s="24"/>
      <c r="G60" s="26"/>
      <c r="H60" s="24"/>
      <c r="I60" s="26"/>
      <c r="J60" s="24">
        <f>IF(OR(G60="",H60="已完成"),0,MAX(0,项目驾驶舱!$B$3-G60))</f>
        <v>0</v>
      </c>
      <c r="K60" s="24"/>
      <c r="L60" s="24"/>
    </row>
    <row r="61" spans="1:12">
      <c r="A61" s="24"/>
      <c r="B61" s="26"/>
      <c r="C61" s="24"/>
      <c r="D61" s="24"/>
      <c r="E61" s="24"/>
      <c r="F61" s="24"/>
      <c r="G61" s="26"/>
      <c r="H61" s="24"/>
      <c r="I61" s="26"/>
      <c r="J61" s="24">
        <f>IF(OR(G61="",H61="已完成"),0,MAX(0,项目驾驶舱!$B$3-G61))</f>
        <v>0</v>
      </c>
      <c r="K61" s="24"/>
      <c r="L61" s="24"/>
    </row>
    <row r="62" spans="1:12">
      <c r="A62" s="24"/>
      <c r="B62" s="26"/>
      <c r="C62" s="24"/>
      <c r="D62" s="24"/>
      <c r="E62" s="24"/>
      <c r="F62" s="24"/>
      <c r="G62" s="26"/>
      <c r="H62" s="24"/>
      <c r="I62" s="26"/>
      <c r="J62" s="24">
        <f>IF(OR(G62="",H62="已完成"),0,MAX(0,项目驾驶舱!$B$3-G62))</f>
        <v>0</v>
      </c>
      <c r="K62" s="24"/>
      <c r="L62" s="24"/>
    </row>
    <row r="63" spans="1:12">
      <c r="A63" s="24"/>
      <c r="B63" s="26"/>
      <c r="C63" s="24"/>
      <c r="D63" s="24"/>
      <c r="E63" s="24"/>
      <c r="F63" s="24"/>
      <c r="G63" s="26"/>
      <c r="H63" s="24"/>
      <c r="I63" s="26"/>
      <c r="J63" s="24">
        <f>IF(OR(G63="",H63="已完成"),0,MAX(0,项目驾驶舱!$B$3-G63))</f>
        <v>0</v>
      </c>
      <c r="K63" s="24"/>
      <c r="L63" s="24"/>
    </row>
    <row r="64" spans="1:12">
      <c r="A64" s="24"/>
      <c r="B64" s="26"/>
      <c r="C64" s="24"/>
      <c r="D64" s="24"/>
      <c r="E64" s="24"/>
      <c r="F64" s="24"/>
      <c r="G64" s="26"/>
      <c r="H64" s="24"/>
      <c r="I64" s="26"/>
      <c r="J64" s="24">
        <f>IF(OR(G64="",H64="已完成"),0,MAX(0,项目驾驶舱!$B$3-G64))</f>
        <v>0</v>
      </c>
      <c r="K64" s="24"/>
      <c r="L64" s="24"/>
    </row>
    <row r="65" spans="1:12">
      <c r="A65" s="24"/>
      <c r="B65" s="26"/>
      <c r="C65" s="24"/>
      <c r="D65" s="24"/>
      <c r="E65" s="24"/>
      <c r="F65" s="24"/>
      <c r="G65" s="26"/>
      <c r="H65" s="24"/>
      <c r="I65" s="26"/>
      <c r="J65" s="24">
        <f>IF(OR(G65="",H65="已完成"),0,MAX(0,项目驾驶舱!$B$3-G65))</f>
        <v>0</v>
      </c>
      <c r="K65" s="24"/>
      <c r="L65" s="24"/>
    </row>
    <row r="66" spans="1:12">
      <c r="A66" s="24"/>
      <c r="B66" s="26"/>
      <c r="C66" s="24"/>
      <c r="D66" s="24"/>
      <c r="E66" s="24"/>
      <c r="F66" s="24"/>
      <c r="G66" s="26"/>
      <c r="H66" s="24"/>
      <c r="I66" s="26"/>
      <c r="J66" s="24">
        <f>IF(OR(G66="",H66="已完成"),0,MAX(0,项目驾驶舱!$B$3-G66))</f>
        <v>0</v>
      </c>
      <c r="K66" s="24"/>
      <c r="L66" s="24"/>
    </row>
    <row r="67" spans="1:12">
      <c r="A67" s="24"/>
      <c r="B67" s="26"/>
      <c r="C67" s="24"/>
      <c r="D67" s="24"/>
      <c r="E67" s="24"/>
      <c r="F67" s="24"/>
      <c r="G67" s="26"/>
      <c r="H67" s="24"/>
      <c r="I67" s="26"/>
      <c r="J67" s="24">
        <f>IF(OR(G67="",H67="已完成"),0,MAX(0,项目驾驶舱!$B$3-G67))</f>
        <v>0</v>
      </c>
      <c r="K67" s="24"/>
      <c r="L67" s="24"/>
    </row>
    <row r="68" spans="1:12">
      <c r="A68" s="24"/>
      <c r="B68" s="26"/>
      <c r="C68" s="24"/>
      <c r="D68" s="24"/>
      <c r="E68" s="24"/>
      <c r="F68" s="24"/>
      <c r="G68" s="26"/>
      <c r="H68" s="24"/>
      <c r="I68" s="26"/>
      <c r="J68" s="24">
        <f>IF(OR(G68="",H68="已完成"),0,MAX(0,项目驾驶舱!$B$3-G68))</f>
        <v>0</v>
      </c>
      <c r="K68" s="24"/>
      <c r="L68" s="24"/>
    </row>
    <row r="69" spans="1:12">
      <c r="A69" s="24"/>
      <c r="B69" s="26"/>
      <c r="C69" s="24"/>
      <c r="D69" s="24"/>
      <c r="E69" s="24"/>
      <c r="F69" s="24"/>
      <c r="G69" s="26"/>
      <c r="H69" s="24"/>
      <c r="I69" s="26"/>
      <c r="J69" s="24">
        <f>IF(OR(G69="",H69="已完成"),0,MAX(0,项目驾驶舱!$B$3-G69))</f>
        <v>0</v>
      </c>
      <c r="K69" s="24"/>
      <c r="L69" s="24"/>
    </row>
    <row r="70" spans="1:12">
      <c r="A70" s="24"/>
      <c r="B70" s="26"/>
      <c r="C70" s="24"/>
      <c r="D70" s="24"/>
      <c r="E70" s="24"/>
      <c r="F70" s="24"/>
      <c r="G70" s="26"/>
      <c r="H70" s="24"/>
      <c r="I70" s="26"/>
      <c r="J70" s="24">
        <f>IF(OR(G70="",H70="已完成"),0,MAX(0,项目驾驶舱!$B$3-G70))</f>
        <v>0</v>
      </c>
      <c r="K70" s="24"/>
      <c r="L70" s="24"/>
    </row>
    <row r="71" spans="1:12">
      <c r="A71" s="24"/>
      <c r="B71" s="26"/>
      <c r="C71" s="24"/>
      <c r="D71" s="24"/>
      <c r="E71" s="24"/>
      <c r="F71" s="24"/>
      <c r="G71" s="26"/>
      <c r="H71" s="24"/>
      <c r="I71" s="26"/>
      <c r="J71" s="24">
        <f>IF(OR(G71="",H71="已完成"),0,MAX(0,项目驾驶舱!$B$3-G71))</f>
        <v>0</v>
      </c>
      <c r="K71" s="24"/>
      <c r="L71" s="24"/>
    </row>
    <row r="72" spans="1:12">
      <c r="A72" s="24"/>
      <c r="B72" s="26"/>
      <c r="C72" s="24"/>
      <c r="D72" s="24"/>
      <c r="E72" s="24"/>
      <c r="F72" s="24"/>
      <c r="G72" s="26"/>
      <c r="H72" s="24"/>
      <c r="I72" s="26"/>
      <c r="J72" s="24">
        <f>IF(OR(G72="",H72="已完成"),0,MAX(0,项目驾驶舱!$B$3-G72))</f>
        <v>0</v>
      </c>
      <c r="K72" s="24"/>
      <c r="L72" s="24"/>
    </row>
    <row r="73" spans="1:12">
      <c r="A73" s="24"/>
      <c r="B73" s="26"/>
      <c r="C73" s="24"/>
      <c r="D73" s="24"/>
      <c r="E73" s="24"/>
      <c r="F73" s="24"/>
      <c r="G73" s="26"/>
      <c r="H73" s="24"/>
      <c r="I73" s="26"/>
      <c r="J73" s="24">
        <f>IF(OR(G73="",H73="已完成"),0,MAX(0,项目驾驶舱!$B$3-G73))</f>
        <v>0</v>
      </c>
      <c r="K73" s="24"/>
      <c r="L73" s="24"/>
    </row>
    <row r="74" spans="1:12">
      <c r="A74" s="24"/>
      <c r="B74" s="26"/>
      <c r="C74" s="24"/>
      <c r="D74" s="24"/>
      <c r="E74" s="24"/>
      <c r="F74" s="24"/>
      <c r="G74" s="26"/>
      <c r="H74" s="24"/>
      <c r="I74" s="26"/>
      <c r="J74" s="24">
        <f>IF(OR(G74="",H74="已完成"),0,MAX(0,项目驾驶舱!$B$3-G74))</f>
        <v>0</v>
      </c>
      <c r="K74" s="24"/>
      <c r="L74" s="24"/>
    </row>
    <row r="75" spans="1:12">
      <c r="A75" s="24"/>
      <c r="B75" s="26"/>
      <c r="C75" s="24"/>
      <c r="D75" s="24"/>
      <c r="E75" s="24"/>
      <c r="F75" s="24"/>
      <c r="G75" s="26"/>
      <c r="H75" s="24"/>
      <c r="I75" s="26"/>
      <c r="J75" s="24">
        <f>IF(OR(G75="",H75="已完成"),0,MAX(0,项目驾驶舱!$B$3-G75))</f>
        <v>0</v>
      </c>
      <c r="K75" s="24"/>
      <c r="L75" s="24"/>
    </row>
    <row r="76" spans="1:12">
      <c r="A76" s="24"/>
      <c r="B76" s="26"/>
      <c r="C76" s="24"/>
      <c r="D76" s="24"/>
      <c r="E76" s="24"/>
      <c r="F76" s="24"/>
      <c r="G76" s="26"/>
      <c r="H76" s="24"/>
      <c r="I76" s="26"/>
      <c r="J76" s="24">
        <f>IF(OR(G76="",H76="已完成"),0,MAX(0,项目驾驶舱!$B$3-G76))</f>
        <v>0</v>
      </c>
      <c r="K76" s="24"/>
      <c r="L76" s="24"/>
    </row>
    <row r="77" spans="1:12">
      <c r="A77" s="24"/>
      <c r="B77" s="26"/>
      <c r="C77" s="24"/>
      <c r="D77" s="24"/>
      <c r="E77" s="24"/>
      <c r="F77" s="24"/>
      <c r="G77" s="26"/>
      <c r="H77" s="24"/>
      <c r="I77" s="26"/>
      <c r="J77" s="24">
        <f>IF(OR(G77="",H77="已完成"),0,MAX(0,项目驾驶舱!$B$3-G77))</f>
        <v>0</v>
      </c>
      <c r="K77" s="24"/>
      <c r="L77" s="24"/>
    </row>
    <row r="78" spans="1:12">
      <c r="A78" s="24"/>
      <c r="B78" s="26"/>
      <c r="C78" s="24"/>
      <c r="D78" s="24"/>
      <c r="E78" s="24"/>
      <c r="F78" s="24"/>
      <c r="G78" s="26"/>
      <c r="H78" s="24"/>
      <c r="I78" s="26"/>
      <c r="J78" s="24">
        <f>IF(OR(G78="",H78="已完成"),0,MAX(0,项目驾驶舱!$B$3-G78))</f>
        <v>0</v>
      </c>
      <c r="K78" s="24"/>
      <c r="L78" s="24"/>
    </row>
    <row r="79" spans="1:12">
      <c r="A79" s="24"/>
      <c r="B79" s="26"/>
      <c r="C79" s="24"/>
      <c r="D79" s="24"/>
      <c r="E79" s="24"/>
      <c r="F79" s="24"/>
      <c r="G79" s="26"/>
      <c r="H79" s="24"/>
      <c r="I79" s="26"/>
      <c r="J79" s="24">
        <f>IF(OR(G79="",H79="已完成"),0,MAX(0,项目驾驶舱!$B$3-G79))</f>
        <v>0</v>
      </c>
      <c r="K79" s="24"/>
      <c r="L79" s="24"/>
    </row>
    <row r="80" spans="1:12">
      <c r="A80" s="24"/>
      <c r="B80" s="26"/>
      <c r="C80" s="24"/>
      <c r="D80" s="24"/>
      <c r="E80" s="24"/>
      <c r="F80" s="24"/>
      <c r="G80" s="26"/>
      <c r="H80" s="24"/>
      <c r="I80" s="26"/>
      <c r="J80" s="24">
        <f>IF(OR(G80="",H80="已完成"),0,MAX(0,项目驾驶舱!$B$3-G80))</f>
        <v>0</v>
      </c>
      <c r="K80" s="24"/>
      <c r="L80" s="24"/>
    </row>
    <row r="81" spans="1:12">
      <c r="A81" s="24"/>
      <c r="B81" s="26"/>
      <c r="C81" s="24"/>
      <c r="D81" s="24"/>
      <c r="E81" s="24"/>
      <c r="F81" s="24"/>
      <c r="G81" s="26"/>
      <c r="H81" s="24"/>
      <c r="I81" s="26"/>
      <c r="J81" s="24">
        <f>IF(OR(G81="",H81="已完成"),0,MAX(0,项目驾驶舱!$B$3-G81))</f>
        <v>0</v>
      </c>
      <c r="K81" s="24"/>
      <c r="L81" s="24"/>
    </row>
    <row r="82" spans="1:12">
      <c r="A82" s="24"/>
      <c r="B82" s="26"/>
      <c r="C82" s="24"/>
      <c r="D82" s="24"/>
      <c r="E82" s="24"/>
      <c r="F82" s="24"/>
      <c r="G82" s="26"/>
      <c r="H82" s="24"/>
      <c r="I82" s="26"/>
      <c r="J82" s="24">
        <f>IF(OR(G82="",H82="已完成"),0,MAX(0,项目驾驶舱!$B$3-G82))</f>
        <v>0</v>
      </c>
      <c r="K82" s="24"/>
      <c r="L82" s="24"/>
    </row>
    <row r="83" spans="1:12">
      <c r="A83" s="24"/>
      <c r="B83" s="26"/>
      <c r="C83" s="24"/>
      <c r="D83" s="24"/>
      <c r="E83" s="24"/>
      <c r="F83" s="24"/>
      <c r="G83" s="26"/>
      <c r="H83" s="24"/>
      <c r="I83" s="26"/>
      <c r="J83" s="24">
        <f>IF(OR(G83="",H83="已完成"),0,MAX(0,项目驾驶舱!$B$3-G83))</f>
        <v>0</v>
      </c>
      <c r="K83" s="24"/>
      <c r="L83" s="24"/>
    </row>
    <row r="84" spans="1:12">
      <c r="A84" s="24"/>
      <c r="B84" s="26"/>
      <c r="C84" s="24"/>
      <c r="D84" s="24"/>
      <c r="E84" s="24"/>
      <c r="F84" s="24"/>
      <c r="G84" s="26"/>
      <c r="H84" s="24"/>
      <c r="I84" s="26"/>
      <c r="J84" s="24">
        <f>IF(OR(G84="",H84="已完成"),0,MAX(0,项目驾驶舱!$B$3-G84))</f>
        <v>0</v>
      </c>
      <c r="K84" s="24"/>
      <c r="L84" s="24"/>
    </row>
    <row r="85" spans="1:12">
      <c r="A85" s="24"/>
      <c r="B85" s="26"/>
      <c r="C85" s="24"/>
      <c r="D85" s="24"/>
      <c r="E85" s="24"/>
      <c r="F85" s="24"/>
      <c r="G85" s="26"/>
      <c r="H85" s="24"/>
      <c r="I85" s="26"/>
      <c r="J85" s="24">
        <f>IF(OR(G85="",H85="已完成"),0,MAX(0,项目驾驶舱!$B$3-G85))</f>
        <v>0</v>
      </c>
      <c r="K85" s="24"/>
      <c r="L85" s="24"/>
    </row>
    <row r="86" spans="1:12">
      <c r="A86" s="24"/>
      <c r="B86" s="26"/>
      <c r="C86" s="24"/>
      <c r="D86" s="24"/>
      <c r="E86" s="24"/>
      <c r="F86" s="24"/>
      <c r="G86" s="26"/>
      <c r="H86" s="24"/>
      <c r="I86" s="26"/>
      <c r="J86" s="24">
        <f>IF(OR(G86="",H86="已完成"),0,MAX(0,项目驾驶舱!$B$3-G86))</f>
        <v>0</v>
      </c>
      <c r="K86" s="24"/>
      <c r="L86" s="24"/>
    </row>
    <row r="87" spans="1:12">
      <c r="A87" s="24"/>
      <c r="B87" s="26"/>
      <c r="C87" s="24"/>
      <c r="D87" s="24"/>
      <c r="E87" s="24"/>
      <c r="F87" s="24"/>
      <c r="G87" s="26"/>
      <c r="H87" s="24"/>
      <c r="I87" s="26"/>
      <c r="J87" s="24">
        <f>IF(OR(G87="",H87="已完成"),0,MAX(0,项目驾驶舱!$B$3-G87))</f>
        <v>0</v>
      </c>
      <c r="K87" s="24"/>
      <c r="L87" s="24"/>
    </row>
    <row r="88" spans="1:12">
      <c r="A88" s="24"/>
      <c r="B88" s="26"/>
      <c r="C88" s="24"/>
      <c r="D88" s="24"/>
      <c r="E88" s="24"/>
      <c r="F88" s="24"/>
      <c r="G88" s="26"/>
      <c r="H88" s="24"/>
      <c r="I88" s="26"/>
      <c r="J88" s="24">
        <f>IF(OR(G88="",H88="已完成"),0,MAX(0,项目驾驶舱!$B$3-G88))</f>
        <v>0</v>
      </c>
      <c r="K88" s="24"/>
      <c r="L88" s="24"/>
    </row>
    <row r="89" spans="1:12">
      <c r="A89" s="24"/>
      <c r="B89" s="26"/>
      <c r="C89" s="24"/>
      <c r="D89" s="24"/>
      <c r="E89" s="24"/>
      <c r="F89" s="24"/>
      <c r="G89" s="26"/>
      <c r="H89" s="24"/>
      <c r="I89" s="26"/>
      <c r="J89" s="24">
        <f>IF(OR(G89="",H89="已完成"),0,MAX(0,项目驾驶舱!$B$3-G89))</f>
        <v>0</v>
      </c>
      <c r="K89" s="24"/>
      <c r="L89" s="24"/>
    </row>
    <row r="90" spans="1:12">
      <c r="A90" s="24"/>
      <c r="B90" s="26"/>
      <c r="C90" s="24"/>
      <c r="D90" s="24"/>
      <c r="E90" s="24"/>
      <c r="F90" s="24"/>
      <c r="G90" s="26"/>
      <c r="H90" s="24"/>
      <c r="I90" s="26"/>
      <c r="J90" s="24">
        <f>IF(OR(G90="",H90="已完成"),0,MAX(0,项目驾驶舱!$B$3-G90))</f>
        <v>0</v>
      </c>
      <c r="K90" s="24"/>
      <c r="L90" s="24"/>
    </row>
    <row r="91" spans="1:12">
      <c r="A91" s="24"/>
      <c r="B91" s="26"/>
      <c r="C91" s="24"/>
      <c r="D91" s="24"/>
      <c r="E91" s="24"/>
      <c r="F91" s="24"/>
      <c r="G91" s="26"/>
      <c r="H91" s="24"/>
      <c r="I91" s="26"/>
      <c r="J91" s="24">
        <f>IF(OR(G91="",H91="已完成"),0,MAX(0,项目驾驶舱!$B$3-G91))</f>
        <v>0</v>
      </c>
      <c r="K91" s="24"/>
      <c r="L91" s="24"/>
    </row>
    <row r="92" spans="1:12">
      <c r="A92" s="24"/>
      <c r="B92" s="26"/>
      <c r="C92" s="24"/>
      <c r="D92" s="24"/>
      <c r="E92" s="24"/>
      <c r="F92" s="24"/>
      <c r="G92" s="26"/>
      <c r="H92" s="24"/>
      <c r="I92" s="26"/>
      <c r="J92" s="24">
        <f>IF(OR(G92="",H92="已完成"),0,MAX(0,项目驾驶舱!$B$3-G92))</f>
        <v>0</v>
      </c>
      <c r="K92" s="24"/>
      <c r="L92" s="24"/>
    </row>
    <row r="93" spans="1:12">
      <c r="A93" s="24"/>
      <c r="B93" s="26"/>
      <c r="C93" s="24"/>
      <c r="D93" s="24"/>
      <c r="E93" s="24"/>
      <c r="F93" s="24"/>
      <c r="G93" s="26"/>
      <c r="H93" s="24"/>
      <c r="I93" s="26"/>
      <c r="J93" s="24">
        <f>IF(OR(G93="",H93="已完成"),0,MAX(0,项目驾驶舱!$B$3-G93))</f>
        <v>0</v>
      </c>
      <c r="K93" s="24"/>
      <c r="L93" s="24"/>
    </row>
    <row r="94" spans="1:12">
      <c r="A94" s="24"/>
      <c r="B94" s="26"/>
      <c r="C94" s="24"/>
      <c r="D94" s="24"/>
      <c r="E94" s="24"/>
      <c r="F94" s="24"/>
      <c r="G94" s="26"/>
      <c r="H94" s="24"/>
      <c r="I94" s="26"/>
      <c r="J94" s="24">
        <f>IF(OR(G94="",H94="已完成"),0,MAX(0,项目驾驶舱!$B$3-G94))</f>
        <v>0</v>
      </c>
      <c r="K94" s="24"/>
      <c r="L94" s="24"/>
    </row>
    <row r="95" spans="1:12">
      <c r="A95" s="24"/>
      <c r="B95" s="26"/>
      <c r="C95" s="24"/>
      <c r="D95" s="24"/>
      <c r="E95" s="24"/>
      <c r="F95" s="24"/>
      <c r="G95" s="26"/>
      <c r="H95" s="24"/>
      <c r="I95" s="26"/>
      <c r="J95" s="24">
        <f>IF(OR(G95="",H95="已完成"),0,MAX(0,项目驾驶舱!$B$3-G95))</f>
        <v>0</v>
      </c>
      <c r="K95" s="24"/>
      <c r="L95" s="24"/>
    </row>
    <row r="96" spans="1:12">
      <c r="A96" s="24"/>
      <c r="B96" s="26"/>
      <c r="C96" s="24"/>
      <c r="D96" s="24"/>
      <c r="E96" s="24"/>
      <c r="F96" s="24"/>
      <c r="G96" s="26"/>
      <c r="H96" s="24"/>
      <c r="I96" s="26"/>
      <c r="J96" s="24">
        <f>IF(OR(G96="",H96="已完成"),0,MAX(0,项目驾驶舱!$B$3-G96))</f>
        <v>0</v>
      </c>
      <c r="K96" s="24"/>
      <c r="L96" s="24"/>
    </row>
    <row r="97" spans="1:12">
      <c r="A97" s="24"/>
      <c r="B97" s="26"/>
      <c r="C97" s="24"/>
      <c r="D97" s="24"/>
      <c r="E97" s="24"/>
      <c r="F97" s="24"/>
      <c r="G97" s="26"/>
      <c r="H97" s="24"/>
      <c r="I97" s="26"/>
      <c r="J97" s="24">
        <f>IF(OR(G97="",H97="已完成"),0,MAX(0,项目驾驶舱!$B$3-G97))</f>
        <v>0</v>
      </c>
      <c r="K97" s="24"/>
      <c r="L97" s="24"/>
    </row>
    <row r="98" spans="1:12">
      <c r="A98" s="24"/>
      <c r="B98" s="26"/>
      <c r="C98" s="24"/>
      <c r="D98" s="24"/>
      <c r="E98" s="24"/>
      <c r="F98" s="24"/>
      <c r="G98" s="26"/>
      <c r="H98" s="24"/>
      <c r="I98" s="26"/>
      <c r="J98" s="24">
        <f>IF(OR(G98="",H98="已完成"),0,MAX(0,项目驾驶舱!$B$3-G98))</f>
        <v>0</v>
      </c>
      <c r="K98" s="24"/>
      <c r="L98" s="24"/>
    </row>
    <row r="99" spans="1:12">
      <c r="A99" s="24"/>
      <c r="B99" s="26"/>
      <c r="C99" s="24"/>
      <c r="D99" s="24"/>
      <c r="E99" s="24"/>
      <c r="F99" s="24"/>
      <c r="G99" s="26"/>
      <c r="H99" s="24"/>
      <c r="I99" s="26"/>
      <c r="J99" s="24">
        <f>IF(OR(G99="",H99="已完成"),0,MAX(0,项目驾驶舱!$B$3-G99))</f>
        <v>0</v>
      </c>
      <c r="K99" s="24"/>
      <c r="L99" s="24"/>
    </row>
    <row r="100" spans="1:12">
      <c r="A100" s="24"/>
      <c r="B100" s="26"/>
      <c r="C100" s="24"/>
      <c r="D100" s="24"/>
      <c r="E100" s="24"/>
      <c r="F100" s="24"/>
      <c r="G100" s="26"/>
      <c r="H100" s="24"/>
      <c r="I100" s="26"/>
      <c r="J100" s="24">
        <f>IF(OR(G100="",H100="已完成"),0,MAX(0,项目驾驶舱!$B$3-G100))</f>
        <v>0</v>
      </c>
      <c r="K100" s="24"/>
      <c r="L100" s="24"/>
    </row>
    <row r="101" spans="1:12">
      <c r="A101" s="24"/>
      <c r="B101" s="26"/>
      <c r="C101" s="24"/>
      <c r="D101" s="24"/>
      <c r="E101" s="24"/>
      <c r="F101" s="24"/>
      <c r="G101" s="26"/>
      <c r="H101" s="24"/>
      <c r="I101" s="26"/>
      <c r="J101" s="24">
        <f>IF(OR(G101="",H101="已完成"),0,MAX(0,项目驾驶舱!$B$3-G101))</f>
        <v>0</v>
      </c>
      <c r="K101" s="24"/>
      <c r="L101" s="24"/>
    </row>
    <row r="102" spans="1:12">
      <c r="A102" s="24"/>
      <c r="B102" s="26"/>
      <c r="C102" s="24"/>
      <c r="D102" s="24"/>
      <c r="E102" s="24"/>
      <c r="F102" s="24"/>
      <c r="G102" s="26"/>
      <c r="H102" s="24"/>
      <c r="I102" s="26"/>
      <c r="J102" s="24">
        <f>IF(OR(G102="",H102="已完成"),0,MAX(0,项目驾驶舱!$B$3-G102))</f>
        <v>0</v>
      </c>
      <c r="K102" s="24"/>
      <c r="L102" s="24"/>
    </row>
    <row r="103" spans="1:12">
      <c r="A103" s="24"/>
      <c r="B103" s="26"/>
      <c r="C103" s="24"/>
      <c r="D103" s="24"/>
      <c r="E103" s="24"/>
      <c r="F103" s="24"/>
      <c r="G103" s="26"/>
      <c r="H103" s="24"/>
      <c r="I103" s="26"/>
      <c r="J103" s="24">
        <f>IF(OR(G103="",H103="已完成"),0,MAX(0,项目驾驶舱!$B$3-G103))</f>
        <v>0</v>
      </c>
      <c r="K103" s="24"/>
      <c r="L103" s="24"/>
    </row>
  </sheetData>
  <mergeCells count="1">
    <mergeCell ref="A1:L1"/>
  </mergeCells>
  <conditionalFormatting sqref="H4:H103">
    <cfRule type="containsText" dxfId="0" priority="1" operator="between" text="已完成">
      <formula>NOT(ISERROR(SEARCH("已完成",H4)))</formula>
    </cfRule>
    <cfRule type="containsText" dxfId="1" priority="2" operator="between" text="进行中">
      <formula>NOT(ISERROR(SEARCH("进行中",H4)))</formula>
    </cfRule>
    <cfRule type="containsText" dxfId="2" priority="3" operator="between" text="未开始">
      <formula>NOT(ISERROR(SEARCH("未开始",H4)))</formula>
    </cfRule>
    <cfRule type="containsText" dxfId="3" priority="4" operator="between" text="暂停">
      <formula>NOT(ISERROR(SEARCH("暂停",H4)))</formula>
    </cfRule>
  </conditionalFormatting>
  <dataValidations count="2">
    <dataValidation type="list" sqref="H4:H103">
      <formula1>"未开始,进行中,已完成,取消"</formula1>
    </dataValidation>
    <dataValidation type="list" sqref="K4:K103">
      <formula1>"低,中,高"</formula1>
    </dataValidation>
  </dataValidation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showGridLines="0" tabSelected="1" workbookViewId="0">
      <selection activeCell="A1" sqref="A1:H1"/>
    </sheetView>
  </sheetViews>
  <sheetFormatPr defaultColWidth="9" defaultRowHeight="16.8" outlineLevelCol="7"/>
  <cols>
    <col min="1" max="1" width="18" style="1" customWidth="1"/>
    <col min="2" max="2" width="100" style="1" customWidth="1"/>
  </cols>
  <sheetData>
    <row r="1" ht="34" customHeight="1" spans="1:8">
      <c r="A1" s="22" t="s">
        <v>662</v>
      </c>
      <c r="B1" s="4"/>
      <c r="C1" s="4"/>
      <c r="D1" s="4"/>
      <c r="E1" s="4"/>
      <c r="F1" s="4"/>
      <c r="G1" s="4"/>
      <c r="H1" s="4"/>
    </row>
    <row r="3" ht="48" customHeight="1" spans="1:8">
      <c r="A3" s="23" t="s">
        <v>663</v>
      </c>
      <c r="B3" s="24" t="s">
        <v>664</v>
      </c>
    </row>
    <row r="4" ht="48" customHeight="1" spans="1:8">
      <c r="A4" s="23" t="s">
        <v>665</v>
      </c>
      <c r="B4" s="24" t="s">
        <v>666</v>
      </c>
    </row>
    <row r="5" ht="48" customHeight="1" spans="1:8">
      <c r="A5" s="23" t="s">
        <v>667</v>
      </c>
      <c r="B5" s="24" t="s">
        <v>668</v>
      </c>
    </row>
    <row r="6" ht="48" customHeight="1" spans="1:8">
      <c r="A6" s="23" t="s">
        <v>669</v>
      </c>
      <c r="B6" s="24" t="s">
        <v>670</v>
      </c>
    </row>
    <row r="7" ht="48" customHeight="1" spans="1:8">
      <c r="A7" s="23" t="s">
        <v>1</v>
      </c>
      <c r="B7" s="24" t="s">
        <v>671</v>
      </c>
    </row>
    <row r="8" ht="48" customHeight="1" spans="1:8">
      <c r="A8" s="23" t="s">
        <v>672</v>
      </c>
      <c r="B8" s="24" t="s">
        <v>673</v>
      </c>
    </row>
    <row r="9" ht="48" customHeight="1" spans="1:8">
      <c r="A9" s="23" t="s">
        <v>674</v>
      </c>
      <c r="B9" s="24" t="s">
        <v>675</v>
      </c>
    </row>
    <row r="10" ht="48" customHeight="1" spans="1:8">
      <c r="A10" s="23" t="s">
        <v>676</v>
      </c>
      <c r="B10" s="24" t="s">
        <v>677</v>
      </c>
    </row>
    <row r="11" ht="48" customHeight="1" spans="1:8">
      <c r="A11" s="23" t="s">
        <v>385</v>
      </c>
      <c r="B11" s="24" t="s">
        <v>678</v>
      </c>
    </row>
    <row r="12" ht="48" customHeight="1" spans="1:8">
      <c r="A12" s="23" t="s">
        <v>679</v>
      </c>
      <c r="B12" s="24" t="s">
        <v>680</v>
      </c>
    </row>
    <row r="13" ht="48" customHeight="1" spans="1:8">
      <c r="A13" s="23" t="s">
        <v>681</v>
      </c>
      <c r="B13" s="24" t="s">
        <v>682</v>
      </c>
    </row>
    <row r="14" ht="48" customHeight="1" spans="1:8">
      <c r="A14" s="23" t="s">
        <v>683</v>
      </c>
      <c r="B14" s="24" t="s">
        <v>684</v>
      </c>
    </row>
    <row r="15" ht="48" customHeight="1" spans="1:8">
      <c r="A15" s="23" t="s">
        <v>514</v>
      </c>
      <c r="B15" s="24" t="s">
        <v>685</v>
      </c>
    </row>
    <row r="16" ht="48" customHeight="1" spans="1:8">
      <c r="A16" s="23" t="s">
        <v>686</v>
      </c>
      <c r="B16" s="24" t="s">
        <v>687</v>
      </c>
    </row>
    <row r="17" ht="48" customHeight="1" spans="1:2">
      <c r="A17" s="23" t="s">
        <v>688</v>
      </c>
      <c r="B17" s="24" t="s">
        <v>689</v>
      </c>
    </row>
  </sheetData>
  <mergeCells count="1">
    <mergeCell ref="A1:H1"/>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pageSetUpPr fitToPage="1"/>
  </sheetPr>
  <dimension ref="A1:L18"/>
  <sheetViews>
    <sheetView showGridLines="0" zoomScale="85" zoomScaleNormal="85" workbookViewId="0">
      <pane ySplit="4" topLeftCell="A5" activePane="bottomLeft" state="frozen"/>
      <selection/>
      <selection pane="bottomLeft" activeCell="G7" sqref="G7:H7"/>
    </sheetView>
  </sheetViews>
  <sheetFormatPr defaultColWidth="9" defaultRowHeight="16.8"/>
  <cols>
    <col min="1" max="1" width="15" style="1" customWidth="1"/>
    <col min="2" max="2" width="12" style="1" customWidth="1"/>
    <col min="3" max="3" width="24" style="1" customWidth="1"/>
    <col min="4" max="4" width="26" style="1" customWidth="1"/>
    <col min="5" max="5" width="32" style="1" customWidth="1"/>
    <col min="6" max="6" width="16" style="1" customWidth="1"/>
    <col min="7" max="7" width="3" style="1" customWidth="1"/>
    <col min="8" max="8" width="14" style="1" customWidth="1"/>
    <col min="9" max="12" width="12" style="1" customWidth="1"/>
  </cols>
  <sheetData>
    <row r="1" ht="28" customHeight="1" spans="1:12">
      <c r="A1" s="2" t="s">
        <v>690</v>
      </c>
    </row>
    <row r="2" ht="22" customHeight="1" spans="1:12">
      <c r="A2" s="3" t="s">
        <v>691</v>
      </c>
    </row>
    <row r="3" spans="1:12">
      <c r="A3" s="4"/>
      <c r="B3" s="4"/>
      <c r="C3" s="4"/>
      <c r="D3" s="4"/>
      <c r="E3" s="4"/>
      <c r="F3" s="4"/>
      <c r="G3" s="4"/>
      <c r="H3" s="4"/>
      <c r="I3" s="4"/>
      <c r="J3" s="4"/>
      <c r="K3" s="4"/>
      <c r="L3" s="4"/>
    </row>
    <row r="4" spans="1:12">
      <c r="A4" s="4" t="s">
        <v>692</v>
      </c>
      <c r="B4" s="17">
        <f>项目驾驶舱!B3</f>
        <v>46268</v>
      </c>
      <c r="D4" s="4" t="s">
        <v>693</v>
      </c>
      <c r="E4" s="18" t="s">
        <v>694</v>
      </c>
      <c r="G4" s="4" t="s">
        <v>695</v>
      </c>
      <c r="H4" s="18" t="s">
        <v>696</v>
      </c>
    </row>
    <row r="6" spans="1:12">
      <c r="A6" s="19" t="s">
        <v>697</v>
      </c>
      <c r="D6" s="19" t="s">
        <v>698</v>
      </c>
      <c r="G6" s="19" t="s">
        <v>699</v>
      </c>
      <c r="J6" s="19" t="s">
        <v>700</v>
      </c>
    </row>
    <row r="7" ht="26" spans="1:12">
      <c r="A7" s="20">
        <f>COUNTIF(项目总控台账!$A$4:$A$148,"&lt;&gt;")</f>
        <v>145</v>
      </c>
      <c r="D7" s="20">
        <f>COUNTIF(项目总控台账!$G$4:$G$148,"已完成")</f>
        <v>73</v>
      </c>
      <c r="G7" s="20">
        <f>COUNTIF(项目总控台账!$AC$4:$AC$148,"已延期")+COUNTIF(项目总控台账!$AC$4:$AC$148,"延期")</f>
        <v>24</v>
      </c>
      <c r="J7" s="20">
        <f>COUNTIFS(项目总控台账!$J$4:$J$148,"&gt;="&amp;项目驾驶舱!$B$3,项目总控台账!$J$4:$J$148,"&lt;="&amp;项目驾驶舱!$B$3+14,项目总控台账!$G$4:$G$148,"&lt;&gt;已完成")</f>
        <v>0</v>
      </c>
    </row>
    <row r="9" spans="1:12">
      <c r="A9" s="19" t="s">
        <v>701</v>
      </c>
      <c r="D9" s="19" t="s">
        <v>702</v>
      </c>
      <c r="G9" s="19" t="s">
        <v>703</v>
      </c>
      <c r="J9" s="19" t="s">
        <v>704</v>
      </c>
    </row>
    <row r="10" ht="26" spans="1:12">
      <c r="A10" s="20">
        <f>COUNTIFS(风险问题台账!$D$4:$D$102,"高",风险问题台账!$K$4:$K$102,"&lt;&gt;已关闭")</f>
        <v>5</v>
      </c>
      <c r="D10" s="20">
        <f>COUNTIF(风险问题台账!$M$4:$M$102,"是")</f>
        <v>0</v>
      </c>
      <c r="G10" s="20">
        <f>COUNTIFS(会议行动项!$J$4:$J$102,"&gt;0",会议行动项!$H$4:$H$102,"&lt;&gt;已完成")</f>
        <v>0</v>
      </c>
      <c r="J10" s="20">
        <f>COUNTIF(数据质量检查!$H$5:$H$149,"需整改")</f>
        <v>12</v>
      </c>
    </row>
    <row r="13" ht="17.6" spans="1:12">
      <c r="A13" s="14" t="s">
        <v>705</v>
      </c>
      <c r="H13" s="14" t="s">
        <v>706</v>
      </c>
    </row>
    <row r="14" ht="28" customHeight="1" spans="1:12">
      <c r="A14" s="5" t="s">
        <v>707</v>
      </c>
      <c r="B14" s="5" t="s">
        <v>21</v>
      </c>
      <c r="C14" s="5" t="s">
        <v>708</v>
      </c>
      <c r="D14" s="5" t="s">
        <v>709</v>
      </c>
      <c r="E14" s="5" t="s">
        <v>710</v>
      </c>
      <c r="F14" s="5" t="s">
        <v>711</v>
      </c>
      <c r="H14" s="21" t="s">
        <v>21</v>
      </c>
      <c r="I14" s="21" t="s">
        <v>712</v>
      </c>
    </row>
    <row r="15" spans="1:12">
      <c r="A15" s="6" t="s">
        <v>713</v>
      </c>
      <c r="B15" s="6" t="str">
        <f>IF(COUNTIF(项目总控台账!$AC$4:$AC$148,"*延期*")&gt;=5,"红",IF(OR(COUNTIF(项目总控台账!$AC$4:$AC$148,"*延期*")&gt;0,COUNTIF(项目总控台账!$G$4:$G$148,"暂停")&gt;0),"黄","绿"))</f>
        <v>红</v>
      </c>
      <c r="C15" s="6" t="str">
        <f>COUNTIF(项目总控台账!$AC$4:$AC$148,"*延期*")&amp;"项任务延期；"&amp;COUNTIF(项目总控台账!$G$4:$G$148,"暂停")&amp;"项任务暂停"</f>
        <v>24项任务延期；6项任务暂停</v>
      </c>
      <c r="D15" s="6" t="s">
        <v>714</v>
      </c>
      <c r="E15" s="6" t="s">
        <v>715</v>
      </c>
      <c r="F15" s="6" t="s">
        <v>466</v>
      </c>
      <c r="H15" s="4" t="s">
        <v>716</v>
      </c>
      <c r="I15" s="4">
        <f>COUNTIF($B$15:$B$18,H15)</f>
        <v>1</v>
      </c>
    </row>
    <row r="16" spans="1:12">
      <c r="A16" s="6" t="s">
        <v>563</v>
      </c>
      <c r="B16" s="6" t="str">
        <f>IF(COUNTIFS(风险问题台账!$D$4:$D$102,"高",风险问题台账!$K$4:$K$102,"&lt;&gt;已关闭")&gt;=3,"红",IF(COUNTIFS(风险问题台账!$D$4:$D$102,"高",风险问题台账!$K$4:$K$102,"&lt;&gt;已关闭")&gt;0,"黄","绿"))</f>
        <v>红</v>
      </c>
      <c r="C16" s="6" t="str">
        <f>COUNTIFS(风险问题台账!$D$4:$D$102,"高",风险问题台账!$K$4:$K$102,"&lt;&gt;已关闭")&amp;"项高风险未关闭"</f>
        <v>5项高风险未关闭</v>
      </c>
      <c r="D16" s="6" t="s">
        <v>717</v>
      </c>
      <c r="E16" s="6" t="s">
        <v>718</v>
      </c>
      <c r="F16" s="6" t="s">
        <v>719</v>
      </c>
      <c r="H16" s="4" t="s">
        <v>720</v>
      </c>
      <c r="I16" s="4">
        <f>COUNTIF($B$15:$B$18,H16)</f>
        <v>0</v>
      </c>
    </row>
    <row r="17" spans="1:9">
      <c r="A17" s="6" t="s">
        <v>721</v>
      </c>
      <c r="B17" s="6" t="str">
        <f>IF(COUNTIFS(会议行动项!$J$4:$J$102,"&gt;7",会议行动项!$H$4:$H$102,"&lt;&gt;已完成")&gt;0,"红",IF(COUNTIFS(会议行动项!$J$4:$J$102,"&gt;0",会议行动项!$H$4:$H$102,"&lt;&gt;已完成")&gt;0,"黄","绿"))</f>
        <v>绿</v>
      </c>
      <c r="C17" s="6" t="str">
        <f>COUNTIFS(会议行动项!$J$4:$J$102,"&gt;0",会议行动项!$H$4:$H$102,"&lt;&gt;已完成")&amp;"项行动逾期"</f>
        <v>0项行动逾期</v>
      </c>
      <c r="D17" s="6" t="s">
        <v>722</v>
      </c>
      <c r="E17" s="6" t="s">
        <v>723</v>
      </c>
      <c r="F17" s="6" t="s">
        <v>724</v>
      </c>
      <c r="H17" s="4" t="s">
        <v>725</v>
      </c>
      <c r="I17" s="4">
        <f>COUNTIF($B$15:$B$18,H17)</f>
        <v>3</v>
      </c>
    </row>
    <row r="18" spans="1:9">
      <c r="A18" s="6" t="s">
        <v>726</v>
      </c>
      <c r="B18" s="6" t="str">
        <f>IF(COUNTIF(数据质量检查!$H$5:$H$149,"需整改")&gt;=10,"红",IF(COUNTIF(数据质量检查!$H$5:$H$149,"需整改")&gt;0,"黄","绿"))</f>
        <v>红</v>
      </c>
      <c r="C18" s="6" t="str">
        <f>COUNTIF(数据质量检查!$H$5:$H$149,"需整改")&amp;"条数据需整改"</f>
        <v>12条数据需整改</v>
      </c>
      <c r="D18" s="6" t="s">
        <v>727</v>
      </c>
      <c r="E18" s="6" t="s">
        <v>728</v>
      </c>
      <c r="F18" s="6" t="s">
        <v>729</v>
      </c>
      <c r="H18" s="4" t="s">
        <v>730</v>
      </c>
      <c r="I18" s="4">
        <f>COUNTIF($B$15:$B$18,H18)</f>
        <v>0</v>
      </c>
    </row>
  </sheetData>
  <mergeCells count="19">
    <mergeCell ref="A1:L1"/>
    <mergeCell ref="A2:L2"/>
    <mergeCell ref="H4:L4"/>
    <mergeCell ref="A6:B6"/>
    <mergeCell ref="D6:E6"/>
    <mergeCell ref="G6:H6"/>
    <mergeCell ref="J6:K6"/>
    <mergeCell ref="A7:B7"/>
    <mergeCell ref="D7:E7"/>
    <mergeCell ref="G7:H7"/>
    <mergeCell ref="J7:K7"/>
    <mergeCell ref="A9:B9"/>
    <mergeCell ref="D9:E9"/>
    <mergeCell ref="G9:H9"/>
    <mergeCell ref="J9:K9"/>
    <mergeCell ref="A10:B10"/>
    <mergeCell ref="D10:E10"/>
    <mergeCell ref="G10:H10"/>
    <mergeCell ref="J10:K10"/>
  </mergeCells>
  <conditionalFormatting sqref="B15:B18">
    <cfRule type="expression" dxfId="6" priority="1">
      <formula>$B5="红"</formula>
    </cfRule>
    <cfRule type="expression" dxfId="7" priority="2">
      <formula>$B5="黄"</formula>
    </cfRule>
    <cfRule type="expression" dxfId="9" priority="3">
      <formula>$B5="绿"</formula>
    </cfRule>
    <cfRule type="expression" dxfId="10" priority="4">
      <formula>$B5="灰"</formula>
    </cfRule>
  </conditionalFormatting>
  <pageMargins left="0.75" right="0.75" top="1" bottom="1" header="0.5" footer="0.5"/>
  <pageSetup paperSize="1" fitToHeight="0" orientation="landscape"/>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J149"/>
  <sheetViews>
    <sheetView showGridLines="0" zoomScale="85" zoomScaleNormal="85" workbookViewId="0">
      <pane ySplit="4" topLeftCell="A5" activePane="bottomLeft" state="frozen"/>
      <selection/>
      <selection pane="bottomLeft" activeCell="A1" sqref="A1:J1"/>
    </sheetView>
  </sheetViews>
  <sheetFormatPr defaultColWidth="9" defaultRowHeight="16.8"/>
  <cols>
    <col min="1" max="1" width="16" style="1" customWidth="1"/>
    <col min="2" max="2" width="12" style="1" customWidth="1"/>
    <col min="3" max="3" width="28" style="1" customWidth="1"/>
    <col min="4" max="4" width="16" style="1" customWidth="1"/>
    <col min="5" max="6" width="13" style="1" customWidth="1"/>
    <col min="7" max="7" width="38" style="1" customWidth="1"/>
    <col min="8" max="8" width="12" style="1" customWidth="1"/>
    <col min="9" max="9" width="32" style="1" customWidth="1"/>
    <col min="10" max="10" width="10" style="1" customWidth="1"/>
  </cols>
  <sheetData>
    <row r="1" ht="28" customHeight="1" spans="1:10">
      <c r="A1" s="2" t="s">
        <v>731</v>
      </c>
    </row>
    <row r="2" ht="22" customHeight="1" spans="1:10">
      <c r="A2" s="3" t="s">
        <v>732</v>
      </c>
    </row>
    <row r="3" spans="1:10">
      <c r="A3" s="4"/>
      <c r="B3" s="4"/>
      <c r="C3" s="4"/>
      <c r="D3" s="4"/>
      <c r="E3" s="4"/>
      <c r="F3" s="4"/>
      <c r="G3" s="4"/>
      <c r="H3" s="4"/>
      <c r="I3" s="4"/>
      <c r="J3" s="4"/>
    </row>
    <row r="4" ht="28" customHeight="1" spans="1:10">
      <c r="A4" s="5" t="s">
        <v>733</v>
      </c>
      <c r="B4" s="5" t="s">
        <v>734</v>
      </c>
      <c r="C4" s="5" t="s">
        <v>735</v>
      </c>
      <c r="D4" s="5" t="s">
        <v>447</v>
      </c>
      <c r="E4" s="5" t="s">
        <v>38</v>
      </c>
      <c r="F4" s="5" t="s">
        <v>39</v>
      </c>
      <c r="G4" s="5" t="s">
        <v>736</v>
      </c>
      <c r="H4" s="5" t="s">
        <v>737</v>
      </c>
      <c r="I4" s="5" t="s">
        <v>710</v>
      </c>
      <c r="J4" s="5" t="s">
        <v>738</v>
      </c>
    </row>
    <row r="5" spans="1:10">
      <c r="A5" s="6" t="s">
        <v>739</v>
      </c>
      <c r="B5" s="6" t="str">
        <f>项目总控台账!A4</f>
        <v>T001</v>
      </c>
      <c r="C5" s="6" t="str">
        <f>IF(AND(项目总控台账!E4&lt;&gt;"",项目总控台账!E4&lt;&gt;"/"),项目总控台账!E4,IF(AND(项目总控台账!D4&lt;&gt;"",项目总控台账!D4&lt;&gt;"/"),项目总控台账!D4,项目总控台账!C4))</f>
        <v>新增车辆信息</v>
      </c>
      <c r="D5" s="6" t="str">
        <f>项目总控台账!H4</f>
        <v>郑士旺</v>
      </c>
      <c r="E5" s="16">
        <f>项目总控台账!I4</f>
        <v>46202</v>
      </c>
      <c r="F5" s="16">
        <f>项目总控台账!J4</f>
        <v>46234</v>
      </c>
      <c r="G5" s="6" t="str">
        <f>IF(B5="","",IF(OR(C5="",C5="/"),"缺少任务名称；","")&amp;IF(OR(D5="",D5="/"),"缺少有效主责人；","")&amp;IF(OR(E5="",E5&lt;DATE(2000,1,1)),"缺少有效计划开始；","")&amp;IF(OR(F5="",F5&lt;DATE(2000,1,1)),"缺少有效计划完成；","")&amp;IF(项目总控台账!G4="","缺少总体状态；","")&amp;IF(AND(ISNUMBER(E5),ISNUMBER(F5),E5&gt;=DATE(2000,1,1),F5&gt;=DATE(2000,1,1),E5&gt;F5),"开始晚于完成；","")&amp;IF(AND(项目总控台账!G4="已完成",项目总控台账!AB4&lt;1),"已完成但进度不足100%；",""))</f>
        <v/>
      </c>
      <c r="H5" s="6" t="str">
        <f t="shared" ref="H5:H68" si="0">IF(B5="","",IF(G5="","通过","需整改"))</f>
        <v>通过</v>
      </c>
      <c r="I5" s="6" t="str">
        <f t="shared" ref="I5:I68" si="1">IF(H5="需整改","回到项目总控台账第"&amp;J5&amp;"行补齐或修正","无需处理")</f>
        <v>无需处理</v>
      </c>
      <c r="J5" s="6">
        <v>4</v>
      </c>
    </row>
    <row r="6" spans="1:10">
      <c r="A6" s="6" t="s">
        <v>739</v>
      </c>
      <c r="B6" s="6" t="str">
        <f>项目总控台账!A5</f>
        <v>T002</v>
      </c>
      <c r="C6" s="6" t="str">
        <f>IF(AND(项目总控台账!E5&lt;&gt;"",项目总控台账!E5&lt;&gt;"/"),项目总控台账!E5,IF(AND(项目总控台账!D5&lt;&gt;"",项目总控台账!D5&lt;&gt;"/"),项目总控台账!D5,项目总控台账!C5))</f>
        <v>修改车辆信息</v>
      </c>
      <c r="D6" s="6" t="str">
        <f>项目总控台账!H5</f>
        <v>郑士旺</v>
      </c>
      <c r="E6" s="16">
        <f>项目总控台账!I5</f>
        <v>46202</v>
      </c>
      <c r="F6" s="16">
        <f>项目总控台账!J5</f>
        <v>46234</v>
      </c>
      <c r="G6" s="6" t="str">
        <f>IF(B6="","",IF(OR(C6="",C6="/"),"缺少任务名称；","")&amp;IF(OR(D6="",D6="/"),"缺少有效主责人；","")&amp;IF(OR(E6="",E6&lt;DATE(2000,1,1)),"缺少有效计划开始；","")&amp;IF(OR(F6="",F6&lt;DATE(2000,1,1)),"缺少有效计划完成；","")&amp;IF(项目总控台账!G5="","缺少总体状态；","")&amp;IF(AND(ISNUMBER(E6),ISNUMBER(F6),E6&gt;=DATE(2000,1,1),F6&gt;=DATE(2000,1,1),E6&gt;F6),"开始晚于完成；","")&amp;IF(AND(项目总控台账!G5="已完成",项目总控台账!AB5&lt;1),"已完成但进度不足100%；",""))</f>
        <v/>
      </c>
      <c r="H6" s="6" t="str">
        <f t="shared" si="0"/>
        <v>通过</v>
      </c>
      <c r="I6" s="6" t="str">
        <f t="shared" si="1"/>
        <v>无需处理</v>
      </c>
      <c r="J6" s="6">
        <v>5</v>
      </c>
    </row>
    <row r="7" spans="1:10">
      <c r="A7" s="6" t="s">
        <v>739</v>
      </c>
      <c r="B7" s="6" t="str">
        <f>项目总控台账!A6</f>
        <v>T003</v>
      </c>
      <c r="C7" s="6" t="str">
        <f>IF(AND(项目总控台账!E6&lt;&gt;"",项目总控台账!E6&lt;&gt;"/"),项目总控台账!E6,IF(AND(项目总控台账!D6&lt;&gt;"",项目总控台账!D6&lt;&gt;"/"),项目总控台账!D6,项目总控台账!C6))</f>
        <v>删除车辆信息</v>
      </c>
      <c r="D7" s="6" t="str">
        <f>项目总控台账!H6</f>
        <v>郑士旺</v>
      </c>
      <c r="E7" s="16">
        <f>项目总控台账!I6</f>
        <v>46202</v>
      </c>
      <c r="F7" s="16">
        <f>项目总控台账!J6</f>
        <v>46234</v>
      </c>
      <c r="G7" s="6" t="str">
        <f>IF(B7="","",IF(OR(C7="",C7="/"),"缺少任务名称；","")&amp;IF(OR(D7="",D7="/"),"缺少有效主责人；","")&amp;IF(OR(E7="",E7&lt;DATE(2000,1,1)),"缺少有效计划开始；","")&amp;IF(OR(F7="",F7&lt;DATE(2000,1,1)),"缺少有效计划完成；","")&amp;IF(项目总控台账!G6="","缺少总体状态；","")&amp;IF(AND(ISNUMBER(E7),ISNUMBER(F7),E7&gt;=DATE(2000,1,1),F7&gt;=DATE(2000,1,1),E7&gt;F7),"开始晚于完成；","")&amp;IF(AND(项目总控台账!G6="已完成",项目总控台账!AB6&lt;1),"已完成但进度不足100%；",""))</f>
        <v/>
      </c>
      <c r="H7" s="6" t="str">
        <f t="shared" si="0"/>
        <v>通过</v>
      </c>
      <c r="I7" s="6" t="str">
        <f t="shared" si="1"/>
        <v>无需处理</v>
      </c>
      <c r="J7" s="6">
        <v>6</v>
      </c>
    </row>
    <row r="8" spans="1:10">
      <c r="A8" s="6" t="s">
        <v>739</v>
      </c>
      <c r="B8" s="6" t="str">
        <f>项目总控台账!A7</f>
        <v>T004</v>
      </c>
      <c r="C8" s="6" t="str">
        <f>IF(AND(项目总控台账!E7&lt;&gt;"",项目总控台账!E7&lt;&gt;"/"),项目总控台账!E7,IF(AND(项目总控台账!D7&lt;&gt;"",项目总控台账!D7&lt;&gt;"/"),项目总控台账!D7,项目总控台账!C7))</f>
        <v>查询展示车辆信息</v>
      </c>
      <c r="D8" s="6" t="str">
        <f>项目总控台账!H7</f>
        <v>郑士旺</v>
      </c>
      <c r="E8" s="16">
        <f>项目总控台账!I7</f>
        <v>46202</v>
      </c>
      <c r="F8" s="16">
        <f>项目总控台账!J7</f>
        <v>46234</v>
      </c>
      <c r="G8" s="6" t="str">
        <f>IF(B8="","",IF(OR(C8="",C8="/"),"缺少任务名称；","")&amp;IF(OR(D8="",D8="/"),"缺少有效主责人；","")&amp;IF(OR(E8="",E8&lt;DATE(2000,1,1)),"缺少有效计划开始；","")&amp;IF(OR(F8="",F8&lt;DATE(2000,1,1)),"缺少有效计划完成；","")&amp;IF(项目总控台账!G7="","缺少总体状态；","")&amp;IF(AND(ISNUMBER(E8),ISNUMBER(F8),E8&gt;=DATE(2000,1,1),F8&gt;=DATE(2000,1,1),E8&gt;F8),"开始晚于完成；","")&amp;IF(AND(项目总控台账!G7="已完成",项目总控台账!AB7&lt;1),"已完成但进度不足100%；",""))</f>
        <v/>
      </c>
      <c r="H8" s="6" t="str">
        <f t="shared" si="0"/>
        <v>通过</v>
      </c>
      <c r="I8" s="6" t="str">
        <f t="shared" si="1"/>
        <v>无需处理</v>
      </c>
      <c r="J8" s="6">
        <v>7</v>
      </c>
    </row>
    <row r="9" spans="1:10">
      <c r="A9" s="6" t="s">
        <v>739</v>
      </c>
      <c r="B9" s="6" t="str">
        <f>项目总控台账!A8</f>
        <v>T005</v>
      </c>
      <c r="C9" s="6" t="str">
        <f>IF(AND(项目总控台账!E8&lt;&gt;"",项目总控台账!E8&lt;&gt;"/"),项目总控台账!E8,IF(AND(项目总控台账!D8&lt;&gt;"",项目总控台账!D8&lt;&gt;"/"),项目总控台账!D8,项目总控台账!C8))</f>
        <v>船舶唯一性校验</v>
      </c>
      <c r="D9" s="6" t="str">
        <f>项目总控台账!H8</f>
        <v>郑士旺</v>
      </c>
      <c r="E9" s="16">
        <f>项目总控台账!I8</f>
        <v>46230</v>
      </c>
      <c r="F9" s="16">
        <f>项目总控台账!J8</f>
        <v>46353</v>
      </c>
      <c r="G9" s="6" t="str">
        <f>IF(B9="","",IF(OR(C9="",C9="/"),"缺少任务名称；","")&amp;IF(OR(D9="",D9="/"),"缺少有效主责人；","")&amp;IF(OR(E9="",E9&lt;DATE(2000,1,1)),"缺少有效计划开始；","")&amp;IF(OR(F9="",F9&lt;DATE(2000,1,1)),"缺少有效计划完成；","")&amp;IF(项目总控台账!G8="","缺少总体状态；","")&amp;IF(AND(ISNUMBER(E9),ISNUMBER(F9),E9&gt;=DATE(2000,1,1),F9&gt;=DATE(2000,1,1),E9&gt;F9),"开始晚于完成；","")&amp;IF(AND(项目总控台账!G8="已完成",项目总控台账!AB8&lt;1),"已完成但进度不足100%；",""))</f>
        <v/>
      </c>
      <c r="H9" s="6" t="str">
        <f t="shared" si="0"/>
        <v>通过</v>
      </c>
      <c r="I9" s="6" t="str">
        <f t="shared" si="1"/>
        <v>无需处理</v>
      </c>
      <c r="J9" s="6">
        <v>8</v>
      </c>
    </row>
    <row r="10" spans="1:10">
      <c r="A10" s="6" t="s">
        <v>739</v>
      </c>
      <c r="B10" s="6" t="str">
        <f>项目总控台账!A9</f>
        <v>T006</v>
      </c>
      <c r="C10" s="6" t="str">
        <f>IF(AND(项目总控台账!E9&lt;&gt;"",项目总控台账!E9&lt;&gt;"/"),项目总控台账!E9,IF(AND(项目总控台账!D9&lt;&gt;"",项目总控台账!D9&lt;&gt;"/"),项目总控台账!D9,项目总控台账!C9))</f>
        <v>优化收费标准（装卸费）新增</v>
      </c>
      <c r="D10" s="6" t="str">
        <f>项目总控台账!H9</f>
        <v>郑士旺</v>
      </c>
      <c r="E10" s="16">
        <f>项目总控台账!I9</f>
        <v>46202</v>
      </c>
      <c r="F10" s="16">
        <f>项目总控台账!J9</f>
        <v>46224</v>
      </c>
      <c r="G10" s="6" t="str">
        <f>IF(B10="","",IF(OR(C10="",C10="/"),"缺少任务名称；","")&amp;IF(OR(D10="",D10="/"),"缺少有效主责人；","")&amp;IF(OR(E10="",E10&lt;DATE(2000,1,1)),"缺少有效计划开始；","")&amp;IF(OR(F10="",F10&lt;DATE(2000,1,1)),"缺少有效计划完成；","")&amp;IF(项目总控台账!G9="","缺少总体状态；","")&amp;IF(AND(ISNUMBER(E10),ISNUMBER(F10),E10&gt;=DATE(2000,1,1),F10&gt;=DATE(2000,1,1),E10&gt;F10),"开始晚于完成；","")&amp;IF(AND(项目总控台账!G9="已完成",项目总控台账!AB9&lt;1),"已完成但进度不足100%；",""))</f>
        <v/>
      </c>
      <c r="H10" s="6" t="str">
        <f t="shared" si="0"/>
        <v>通过</v>
      </c>
      <c r="I10" s="6" t="str">
        <f t="shared" si="1"/>
        <v>无需处理</v>
      </c>
      <c r="J10" s="6">
        <v>9</v>
      </c>
    </row>
    <row r="11" spans="1:10">
      <c r="A11" s="6" t="s">
        <v>739</v>
      </c>
      <c r="B11" s="6" t="str">
        <f>项目总控台账!A10</f>
        <v>T007</v>
      </c>
      <c r="C11" s="6" t="str">
        <f>IF(AND(项目总控台账!E10&lt;&gt;"",项目总控台账!E10&lt;&gt;"/"),项目总控台账!E10,IF(AND(项目总控台账!D10&lt;&gt;"",项目总控台账!D10&lt;&gt;"/"),项目总控台账!D10,项目总控台账!C10))</f>
        <v>优化收费标准（装卸费）编辑</v>
      </c>
      <c r="D11" s="6" t="str">
        <f>项目总控台账!H10</f>
        <v>郑士旺</v>
      </c>
      <c r="E11" s="16">
        <f>项目总控台账!I10</f>
        <v>46202</v>
      </c>
      <c r="F11" s="16">
        <f>项目总控台账!J10</f>
        <v>46224</v>
      </c>
      <c r="G11" s="6" t="str">
        <f>IF(B11="","",IF(OR(C11="",C11="/"),"缺少任务名称；","")&amp;IF(OR(D11="",D11="/"),"缺少有效主责人；","")&amp;IF(OR(E11="",E11&lt;DATE(2000,1,1)),"缺少有效计划开始；","")&amp;IF(OR(F11="",F11&lt;DATE(2000,1,1)),"缺少有效计划完成；","")&amp;IF(项目总控台账!G10="","缺少总体状态；","")&amp;IF(AND(ISNUMBER(E11),ISNUMBER(F11),E11&gt;=DATE(2000,1,1),F11&gt;=DATE(2000,1,1),E11&gt;F11),"开始晚于完成；","")&amp;IF(AND(项目总控台账!G10="已完成",项目总控台账!AB10&lt;1),"已完成但进度不足100%；",""))</f>
        <v/>
      </c>
      <c r="H11" s="6" t="str">
        <f t="shared" si="0"/>
        <v>通过</v>
      </c>
      <c r="I11" s="6" t="str">
        <f t="shared" si="1"/>
        <v>无需处理</v>
      </c>
      <c r="J11" s="6">
        <v>10</v>
      </c>
    </row>
    <row r="12" spans="1:10">
      <c r="A12" s="6" t="s">
        <v>739</v>
      </c>
      <c r="B12" s="6" t="str">
        <f>项目总控台账!A11</f>
        <v>T008</v>
      </c>
      <c r="C12" s="6" t="str">
        <f>IF(AND(项目总控台账!E11&lt;&gt;"",项目总控台账!E11&lt;&gt;"/"),项目总控台账!E11,IF(AND(项目总控台账!D11&lt;&gt;"",项目总控台账!D11&lt;&gt;"/"),项目总控台账!D11,项目总控台账!C11))</f>
        <v>优化收费标准（装卸费）详情</v>
      </c>
      <c r="D12" s="6" t="str">
        <f>项目总控台账!H11</f>
        <v>郑士旺</v>
      </c>
      <c r="E12" s="16">
        <f>项目总控台账!I11</f>
        <v>46202</v>
      </c>
      <c r="F12" s="16">
        <f>项目总控台账!J11</f>
        <v>46224</v>
      </c>
      <c r="G12" s="6" t="str">
        <f>IF(B12="","",IF(OR(C12="",C12="/"),"缺少任务名称；","")&amp;IF(OR(D12="",D12="/"),"缺少有效主责人；","")&amp;IF(OR(E12="",E12&lt;DATE(2000,1,1)),"缺少有效计划开始；","")&amp;IF(OR(F12="",F12&lt;DATE(2000,1,1)),"缺少有效计划完成；","")&amp;IF(项目总控台账!G11="","缺少总体状态；","")&amp;IF(AND(ISNUMBER(E12),ISNUMBER(F12),E12&gt;=DATE(2000,1,1),F12&gt;=DATE(2000,1,1),E12&gt;F12),"开始晚于完成；","")&amp;IF(AND(项目总控台账!G11="已完成",项目总控台账!AB11&lt;1),"已完成但进度不足100%；",""))</f>
        <v/>
      </c>
      <c r="H12" s="6" t="str">
        <f t="shared" si="0"/>
        <v>通过</v>
      </c>
      <c r="I12" s="6" t="str">
        <f t="shared" si="1"/>
        <v>无需处理</v>
      </c>
      <c r="J12" s="6">
        <v>11</v>
      </c>
    </row>
    <row r="13" spans="1:10">
      <c r="A13" s="6" t="s">
        <v>739</v>
      </c>
      <c r="B13" s="6" t="str">
        <f>项目总控台账!A12</f>
        <v>T009</v>
      </c>
      <c r="C13" s="6" t="str">
        <f>IF(AND(项目总控台账!E12&lt;&gt;"",项目总控台账!E12&lt;&gt;"/"),项目总控台账!E12,IF(AND(项目总控台账!D12&lt;&gt;"",项目总控台账!D12&lt;&gt;"/"),项目总控台账!D12,项目总控台账!C12))</f>
        <v>优化采样方式新增</v>
      </c>
      <c r="D13" s="6" t="str">
        <f>项目总控台账!H12</f>
        <v>郑士旺</v>
      </c>
      <c r="E13" s="16">
        <f>项目总控台账!I12</f>
        <v>46202</v>
      </c>
      <c r="F13" s="16">
        <f>项目总控台账!J12</f>
        <v>46224</v>
      </c>
      <c r="G13" s="6" t="str">
        <f>IF(B13="","",IF(OR(C13="",C13="/"),"缺少任务名称；","")&amp;IF(OR(D13="",D13="/"),"缺少有效主责人；","")&amp;IF(OR(E13="",E13&lt;DATE(2000,1,1)),"缺少有效计划开始；","")&amp;IF(OR(F13="",F13&lt;DATE(2000,1,1)),"缺少有效计划完成；","")&amp;IF(项目总控台账!G12="","缺少总体状态；","")&amp;IF(AND(ISNUMBER(E13),ISNUMBER(F13),E13&gt;=DATE(2000,1,1),F13&gt;=DATE(2000,1,1),E13&gt;F13),"开始晚于完成；","")&amp;IF(AND(项目总控台账!G12="已完成",项目总控台账!AB12&lt;1),"已完成但进度不足100%；",""))</f>
        <v/>
      </c>
      <c r="H13" s="6" t="str">
        <f t="shared" si="0"/>
        <v>通过</v>
      </c>
      <c r="I13" s="6" t="str">
        <f t="shared" si="1"/>
        <v>无需处理</v>
      </c>
      <c r="J13" s="6">
        <v>12</v>
      </c>
    </row>
    <row r="14" spans="1:10">
      <c r="A14" s="6" t="s">
        <v>739</v>
      </c>
      <c r="B14" s="6" t="str">
        <f>项目总控台账!A13</f>
        <v>T010</v>
      </c>
      <c r="C14" s="6" t="str">
        <f>IF(AND(项目总控台账!E13&lt;&gt;"",项目总控台账!E13&lt;&gt;"/"),项目总控台账!E13,IF(AND(项目总控台账!D13&lt;&gt;"",项目总控台账!D13&lt;&gt;"/"),项目总控台账!D13,项目总控台账!C13))</f>
        <v>优化采样方式编辑</v>
      </c>
      <c r="D14" s="6" t="str">
        <f>项目总控台账!H13</f>
        <v>郑士旺</v>
      </c>
      <c r="E14" s="16">
        <f>项目总控台账!I13</f>
        <v>46202</v>
      </c>
      <c r="F14" s="16">
        <f>项目总控台账!J13</f>
        <v>46224</v>
      </c>
      <c r="G14" s="6" t="str">
        <f>IF(B14="","",IF(OR(C14="",C14="/"),"缺少任务名称；","")&amp;IF(OR(D14="",D14="/"),"缺少有效主责人；","")&amp;IF(OR(E14="",E14&lt;DATE(2000,1,1)),"缺少有效计划开始；","")&amp;IF(OR(F14="",F14&lt;DATE(2000,1,1)),"缺少有效计划完成；","")&amp;IF(项目总控台账!G13="","缺少总体状态；","")&amp;IF(AND(ISNUMBER(E14),ISNUMBER(F14),E14&gt;=DATE(2000,1,1),F14&gt;=DATE(2000,1,1),E14&gt;F14),"开始晚于完成；","")&amp;IF(AND(项目总控台账!G13="已完成",项目总控台账!AB13&lt;1),"已完成但进度不足100%；",""))</f>
        <v/>
      </c>
      <c r="H14" s="6" t="str">
        <f t="shared" si="0"/>
        <v>通过</v>
      </c>
      <c r="I14" s="6" t="str">
        <f t="shared" si="1"/>
        <v>无需处理</v>
      </c>
      <c r="J14" s="6">
        <v>13</v>
      </c>
    </row>
    <row r="15" spans="1:10">
      <c r="A15" s="6" t="s">
        <v>739</v>
      </c>
      <c r="B15" s="6" t="str">
        <f>项目总控台账!A14</f>
        <v>T011</v>
      </c>
      <c r="C15" s="6" t="str">
        <f>IF(AND(项目总控台账!E14&lt;&gt;"",项目总控台账!E14&lt;&gt;"/"),项目总控台账!E14,IF(AND(项目总控台账!D14&lt;&gt;"",项目总控台账!D14&lt;&gt;"/"),项目总控台账!D14,项目总控台账!C14))</f>
        <v>获取报单数据及展示</v>
      </c>
      <c r="D15" s="6" t="str">
        <f>项目总控台账!H14</f>
        <v>郑士旺</v>
      </c>
      <c r="E15" s="16">
        <f>项目总控台账!I14</f>
        <v>46202</v>
      </c>
      <c r="F15" s="16">
        <f>项目总控台账!J14</f>
        <v>46224</v>
      </c>
      <c r="G15" s="6" t="str">
        <f>IF(B15="","",IF(OR(C15="",C15="/"),"缺少任务名称；","")&amp;IF(OR(D15="",D15="/"),"缺少有效主责人；","")&amp;IF(OR(E15="",E15&lt;DATE(2000,1,1)),"缺少有效计划开始；","")&amp;IF(OR(F15="",F15&lt;DATE(2000,1,1)),"缺少有效计划完成；","")&amp;IF(项目总控台账!G14="","缺少总体状态；","")&amp;IF(AND(ISNUMBER(E15),ISNUMBER(F15),E15&gt;=DATE(2000,1,1),F15&gt;=DATE(2000,1,1),E15&gt;F15),"开始晚于完成；","")&amp;IF(AND(项目总控台账!G14="已完成",项目总控台账!AB14&lt;1),"已完成但进度不足100%；",""))</f>
        <v/>
      </c>
      <c r="H15" s="6" t="str">
        <f t="shared" si="0"/>
        <v>通过</v>
      </c>
      <c r="I15" s="6" t="str">
        <f t="shared" si="1"/>
        <v>无需处理</v>
      </c>
      <c r="J15" s="6">
        <v>14</v>
      </c>
    </row>
    <row r="16" spans="1:10">
      <c r="A16" s="6" t="s">
        <v>739</v>
      </c>
      <c r="B16" s="6" t="str">
        <f>项目总控台账!A15</f>
        <v>T012</v>
      </c>
      <c r="C16" s="6" t="str">
        <f>IF(AND(项目总控台账!E15&lt;&gt;"",项目总控台账!E15&lt;&gt;"/"),项目总控台账!E15,IF(AND(项目总控台账!D15&lt;&gt;"",项目总控台账!D15&lt;&gt;"/"),项目总控台账!D15,项目总控台账!C15))</f>
        <v>应单入口</v>
      </c>
      <c r="D16" s="6" t="str">
        <f>项目总控台账!H15</f>
        <v>郑士旺</v>
      </c>
      <c r="E16" s="16">
        <f>项目总控台账!I15</f>
        <v>46202</v>
      </c>
      <c r="F16" s="16">
        <f>项目总控台账!J15</f>
        <v>46224</v>
      </c>
      <c r="G16" s="6" t="str">
        <f>IF(B16="","",IF(OR(C16="",C16="/"),"缺少任务名称；","")&amp;IF(OR(D16="",D16="/"),"缺少有效主责人；","")&amp;IF(OR(E16="",E16&lt;DATE(2000,1,1)),"缺少有效计划开始；","")&amp;IF(OR(F16="",F16&lt;DATE(2000,1,1)),"缺少有效计划完成；","")&amp;IF(项目总控台账!G15="","缺少总体状态；","")&amp;IF(AND(ISNUMBER(E16),ISNUMBER(F16),E16&gt;=DATE(2000,1,1),F16&gt;=DATE(2000,1,1),E16&gt;F16),"开始晚于完成；","")&amp;IF(AND(项目总控台账!G15="已完成",项目总控台账!AB15&lt;1),"已完成但进度不足100%；",""))</f>
        <v/>
      </c>
      <c r="H16" s="6" t="str">
        <f t="shared" si="0"/>
        <v>通过</v>
      </c>
      <c r="I16" s="6" t="str">
        <f t="shared" si="1"/>
        <v>无需处理</v>
      </c>
      <c r="J16" s="6">
        <v>15</v>
      </c>
    </row>
    <row r="17" spans="1:10">
      <c r="A17" s="6" t="s">
        <v>739</v>
      </c>
      <c r="B17" s="6" t="str">
        <f>项目总控台账!A16</f>
        <v>T013</v>
      </c>
      <c r="C17" s="6" t="str">
        <f>IF(AND(项目总控台账!E16&lt;&gt;"",项目总控台账!E16&lt;&gt;"/"),项目总控台账!E16,IF(AND(项目总控台账!D16&lt;&gt;"",项目总控台账!D16&lt;&gt;"/"),项目总控台账!D16,项目总控台账!C16))</f>
        <v>新增结算条款</v>
      </c>
      <c r="D17" s="6" t="str">
        <f>项目总控台账!H16</f>
        <v>郑士旺</v>
      </c>
      <c r="E17" s="16">
        <f>项目总控台账!I16</f>
        <v>46223</v>
      </c>
      <c r="F17" s="16">
        <f>项目总控台账!J16</f>
        <v>46318</v>
      </c>
      <c r="G17" s="6" t="str">
        <f>IF(B17="","",IF(OR(C17="",C17="/"),"缺少任务名称；","")&amp;IF(OR(D17="",D17="/"),"缺少有效主责人；","")&amp;IF(OR(E17="",E17&lt;DATE(2000,1,1)),"缺少有效计划开始；","")&amp;IF(OR(F17="",F17&lt;DATE(2000,1,1)),"缺少有效计划完成；","")&amp;IF(项目总控台账!G16="","缺少总体状态；","")&amp;IF(AND(ISNUMBER(E17),ISNUMBER(F17),E17&gt;=DATE(2000,1,1),F17&gt;=DATE(2000,1,1),E17&gt;F17),"开始晚于完成；","")&amp;IF(AND(项目总控台账!G16="已完成",项目总控台账!AB16&lt;1),"已完成但进度不足100%；",""))</f>
        <v/>
      </c>
      <c r="H17" s="6" t="str">
        <f t="shared" si="0"/>
        <v>通过</v>
      </c>
      <c r="I17" s="6" t="str">
        <f t="shared" si="1"/>
        <v>无需处理</v>
      </c>
      <c r="J17" s="6">
        <v>16</v>
      </c>
    </row>
    <row r="18" spans="1:10">
      <c r="A18" s="6" t="s">
        <v>739</v>
      </c>
      <c r="B18" s="6" t="str">
        <f>项目总控台账!A17</f>
        <v>T014</v>
      </c>
      <c r="C18" s="6" t="str">
        <f>IF(AND(项目总控台账!E17&lt;&gt;"",项目总控台账!E17&lt;&gt;"/"),项目总控台账!E17,IF(AND(项目总控台账!D17&lt;&gt;"",项目总控台账!D17&lt;&gt;"/"),项目总控台账!D17,项目总控台账!C17))</f>
        <v>结算条款审批</v>
      </c>
      <c r="D18" s="6" t="str">
        <f>项目总控台账!H17</f>
        <v>郑士旺</v>
      </c>
      <c r="E18" s="16">
        <f>项目总控台账!I17</f>
        <v>46223</v>
      </c>
      <c r="F18" s="16">
        <f>项目总控台账!J17</f>
        <v>46318</v>
      </c>
      <c r="G18" s="6" t="str">
        <f>IF(B18="","",IF(OR(C18="",C18="/"),"缺少任务名称；","")&amp;IF(OR(D18="",D18="/"),"缺少有效主责人；","")&amp;IF(OR(E18="",E18&lt;DATE(2000,1,1)),"缺少有效计划开始；","")&amp;IF(OR(F18="",F18&lt;DATE(2000,1,1)),"缺少有效计划完成；","")&amp;IF(项目总控台账!G17="","缺少总体状态；","")&amp;IF(AND(ISNUMBER(E18),ISNUMBER(F18),E18&gt;=DATE(2000,1,1),F18&gt;=DATE(2000,1,1),E18&gt;F18),"开始晚于完成；","")&amp;IF(AND(项目总控台账!G17="已完成",项目总控台账!AB17&lt;1),"已完成但进度不足100%；",""))</f>
        <v/>
      </c>
      <c r="H18" s="6" t="str">
        <f t="shared" si="0"/>
        <v>通过</v>
      </c>
      <c r="I18" s="6" t="str">
        <f t="shared" si="1"/>
        <v>无需处理</v>
      </c>
      <c r="J18" s="6">
        <v>17</v>
      </c>
    </row>
    <row r="19" spans="1:10">
      <c r="A19" s="6" t="s">
        <v>739</v>
      </c>
      <c r="B19" s="6" t="str">
        <f>项目总控台账!A18</f>
        <v>T015</v>
      </c>
      <c r="C19" s="6" t="str">
        <f>IF(AND(项目总控台账!E18&lt;&gt;"",项目总控台账!E18&lt;&gt;"/"),项目总控台账!E18,IF(AND(项目总控台账!D18&lt;&gt;"",项目总控台账!D18&lt;&gt;"/"),项目总控台账!D18,项目总控台账!C18))</f>
        <v>修改结算条款</v>
      </c>
      <c r="D19" s="6" t="str">
        <f>项目总控台账!H18</f>
        <v>郑士旺</v>
      </c>
      <c r="E19" s="16">
        <f>项目总控台账!I18</f>
        <v>46223</v>
      </c>
      <c r="F19" s="16">
        <f>项目总控台账!J18</f>
        <v>46318</v>
      </c>
      <c r="G19" s="6" t="str">
        <f>IF(B19="","",IF(OR(C19="",C19="/"),"缺少任务名称；","")&amp;IF(OR(D19="",D19="/"),"缺少有效主责人；","")&amp;IF(OR(E19="",E19&lt;DATE(2000,1,1)),"缺少有效计划开始；","")&amp;IF(OR(F19="",F19&lt;DATE(2000,1,1)),"缺少有效计划完成；","")&amp;IF(项目总控台账!G18="","缺少总体状态；","")&amp;IF(AND(ISNUMBER(E19),ISNUMBER(F19),E19&gt;=DATE(2000,1,1),F19&gt;=DATE(2000,1,1),E19&gt;F19),"开始晚于完成；","")&amp;IF(AND(项目总控台账!G18="已完成",项目总控台账!AB18&lt;1),"已完成但进度不足100%；",""))</f>
        <v/>
      </c>
      <c r="H19" s="6" t="str">
        <f t="shared" si="0"/>
        <v>通过</v>
      </c>
      <c r="I19" s="6" t="str">
        <f t="shared" si="1"/>
        <v>无需处理</v>
      </c>
      <c r="J19" s="6">
        <v>18</v>
      </c>
    </row>
    <row r="20" spans="1:10">
      <c r="A20" s="6" t="s">
        <v>739</v>
      </c>
      <c r="B20" s="6" t="str">
        <f>项目总控台账!A19</f>
        <v>T016</v>
      </c>
      <c r="C20" s="6" t="str">
        <f>IF(AND(项目总控台账!E19&lt;&gt;"",项目总控台账!E19&lt;&gt;"/"),项目总控台账!E19,IF(AND(项目总控台账!D19&lt;&gt;"",项目总控台账!D19&lt;&gt;"/"),项目总控台账!D19,项目总控台账!C19))</f>
        <v>删除结算条款</v>
      </c>
      <c r="D20" s="6" t="str">
        <f>项目总控台账!H19</f>
        <v>郑士旺</v>
      </c>
      <c r="E20" s="16">
        <f>项目总控台账!I19</f>
        <v>46223</v>
      </c>
      <c r="F20" s="16">
        <f>项目总控台账!J19</f>
        <v>46318</v>
      </c>
      <c r="G20" s="6" t="str">
        <f>IF(B20="","",IF(OR(C20="",C20="/"),"缺少任务名称；","")&amp;IF(OR(D20="",D20="/"),"缺少有效主责人；","")&amp;IF(OR(E20="",E20&lt;DATE(2000,1,1)),"缺少有效计划开始；","")&amp;IF(OR(F20="",F20&lt;DATE(2000,1,1)),"缺少有效计划完成；","")&amp;IF(项目总控台账!G19="","缺少总体状态；","")&amp;IF(AND(ISNUMBER(E20),ISNUMBER(F20),E20&gt;=DATE(2000,1,1),F20&gt;=DATE(2000,1,1),E20&gt;F20),"开始晚于完成；","")&amp;IF(AND(项目总控台账!G19="已完成",项目总控台账!AB19&lt;1),"已完成但进度不足100%；",""))</f>
        <v/>
      </c>
      <c r="H20" s="6" t="str">
        <f t="shared" si="0"/>
        <v>通过</v>
      </c>
      <c r="I20" s="6" t="str">
        <f t="shared" si="1"/>
        <v>无需处理</v>
      </c>
      <c r="J20" s="6">
        <v>19</v>
      </c>
    </row>
    <row r="21" spans="1:10">
      <c r="A21" s="6" t="s">
        <v>739</v>
      </c>
      <c r="B21" s="6" t="str">
        <f>项目总控台账!A20</f>
        <v>T017</v>
      </c>
      <c r="C21" s="6" t="str">
        <f>IF(AND(项目总控台账!E20&lt;&gt;"",项目总控台账!E20&lt;&gt;"/"),项目总控台账!E20,IF(AND(项目总控台账!D20&lt;&gt;"",项目总控台账!D20&lt;&gt;"/"),项目总控台账!D20,项目总控台账!C20))</f>
        <v>查询展示结算条款</v>
      </c>
      <c r="D21" s="6" t="str">
        <f>项目总控台账!H20</f>
        <v>郑士旺</v>
      </c>
      <c r="E21" s="16">
        <f>项目总控台账!I20</f>
        <v>46223</v>
      </c>
      <c r="F21" s="16">
        <f>项目总控台账!J20</f>
        <v>46318</v>
      </c>
      <c r="G21" s="6" t="str">
        <f>IF(B21="","",IF(OR(C21="",C21="/"),"缺少任务名称；","")&amp;IF(OR(D21="",D21="/"),"缺少有效主责人；","")&amp;IF(OR(E21="",E21&lt;DATE(2000,1,1)),"缺少有效计划开始；","")&amp;IF(OR(F21="",F21&lt;DATE(2000,1,1)),"缺少有效计划完成；","")&amp;IF(项目总控台账!G20="","缺少总体状态；","")&amp;IF(AND(ISNUMBER(E21),ISNUMBER(F21),E21&gt;=DATE(2000,1,1),F21&gt;=DATE(2000,1,1),E21&gt;F21),"开始晚于完成；","")&amp;IF(AND(项目总控台账!G20="已完成",项目总控台账!AB20&lt;1),"已完成但进度不足100%；",""))</f>
        <v/>
      </c>
      <c r="H21" s="6" t="str">
        <f t="shared" si="0"/>
        <v>通过</v>
      </c>
      <c r="I21" s="6" t="str">
        <f t="shared" si="1"/>
        <v>无需处理</v>
      </c>
      <c r="J21" s="6">
        <v>20</v>
      </c>
    </row>
    <row r="22" spans="1:10">
      <c r="A22" s="6" t="s">
        <v>739</v>
      </c>
      <c r="B22" s="6" t="str">
        <f>项目总控台账!A21</f>
        <v>T018</v>
      </c>
      <c r="C22" s="6" t="str">
        <f>IF(AND(项目总控台账!E21&lt;&gt;"",项目总控台账!E21&lt;&gt;"/"),项目总控台账!E21,IF(AND(项目总控台账!D21&lt;&gt;"",项目总控台账!D21&lt;&gt;"/"),项目总控台账!D21,项目总控台账!C21))</f>
        <v>结算条款推送法务系统</v>
      </c>
      <c r="D22" s="6" t="str">
        <f>项目总控台账!H21</f>
        <v>郑士旺</v>
      </c>
      <c r="E22" s="16">
        <f>项目总控台账!I21</f>
        <v>46223</v>
      </c>
      <c r="F22" s="16">
        <f>项目总控台账!J21</f>
        <v>46318</v>
      </c>
      <c r="G22" s="6" t="str">
        <f>IF(B22="","",IF(OR(C22="",C22="/"),"缺少任务名称；","")&amp;IF(OR(D22="",D22="/"),"缺少有效主责人；","")&amp;IF(OR(E22="",E22&lt;DATE(2000,1,1)),"缺少有效计划开始；","")&amp;IF(OR(F22="",F22&lt;DATE(2000,1,1)),"缺少有效计划完成；","")&amp;IF(项目总控台账!G21="","缺少总体状态；","")&amp;IF(AND(ISNUMBER(E22),ISNUMBER(F22),E22&gt;=DATE(2000,1,1),F22&gt;=DATE(2000,1,1),E22&gt;F22),"开始晚于完成；","")&amp;IF(AND(项目总控台账!G21="已完成",项目总控台账!AB21&lt;1),"已完成但进度不足100%；",""))</f>
        <v/>
      </c>
      <c r="H22" s="6" t="str">
        <f t="shared" si="0"/>
        <v>通过</v>
      </c>
      <c r="I22" s="6" t="str">
        <f t="shared" si="1"/>
        <v>无需处理</v>
      </c>
      <c r="J22" s="6">
        <v>21</v>
      </c>
    </row>
    <row r="23" spans="1:10">
      <c r="A23" s="6" t="s">
        <v>739</v>
      </c>
      <c r="B23" s="6" t="str">
        <f>项目总控台账!A22</f>
        <v>T019</v>
      </c>
      <c r="C23" s="6" t="str">
        <f>IF(AND(项目总控台账!E22&lt;&gt;"",项目总控台账!E22&lt;&gt;"/"),项目总控台账!E22,IF(AND(项目总控台账!D22&lt;&gt;"",项目总控台账!D22&lt;&gt;"/"),项目总控台账!D22,项目总控台账!C22))</f>
        <v>对接卸船计划</v>
      </c>
      <c r="D23" s="6" t="str">
        <f>项目总控台账!H22</f>
        <v>郑士旺</v>
      </c>
      <c r="E23" s="16">
        <f>项目总控台账!I22</f>
        <v>46230</v>
      </c>
      <c r="F23" s="16">
        <f>项目总控台账!J22</f>
        <v>46353</v>
      </c>
      <c r="G23" s="6" t="str">
        <f>IF(B23="","",IF(OR(C23="",C23="/"),"缺少任务名称；","")&amp;IF(OR(D23="",D23="/"),"缺少有效主责人；","")&amp;IF(OR(E23="",E23&lt;DATE(2000,1,1)),"缺少有效计划开始；","")&amp;IF(OR(F23="",F23&lt;DATE(2000,1,1)),"缺少有效计划完成；","")&amp;IF(项目总控台账!G22="","缺少总体状态；","")&amp;IF(AND(ISNUMBER(E23),ISNUMBER(F23),E23&gt;=DATE(2000,1,1),F23&gt;=DATE(2000,1,1),E23&gt;F23),"开始晚于完成；","")&amp;IF(AND(项目总控台账!G22="已完成",项目总控台账!AB22&lt;1),"已完成但进度不足100%；",""))</f>
        <v/>
      </c>
      <c r="H23" s="6" t="str">
        <f t="shared" si="0"/>
        <v>通过</v>
      </c>
      <c r="I23" s="6" t="str">
        <f t="shared" si="1"/>
        <v>无需处理</v>
      </c>
      <c r="J23" s="6">
        <v>22</v>
      </c>
    </row>
    <row r="24" spans="1:10">
      <c r="A24" s="6" t="s">
        <v>739</v>
      </c>
      <c r="B24" s="6" t="str">
        <f>项目总控台账!A23</f>
        <v>T020</v>
      </c>
      <c r="C24" s="6" t="str">
        <f>IF(AND(项目总控台账!E23&lt;&gt;"",项目总控台账!E23&lt;&gt;"/"),项目总控台账!E23,IF(AND(项目总控台账!D23&lt;&gt;"",项目总控台账!D23&lt;&gt;"/"),项目总控台账!D23,项目总控台账!C23))</f>
        <v>查询卸车计划</v>
      </c>
      <c r="D24" s="6" t="str">
        <f>项目总控台账!H23</f>
        <v>郑士旺</v>
      </c>
      <c r="E24" s="16">
        <f>项目总控台账!I23</f>
        <v>46230</v>
      </c>
      <c r="F24" s="16">
        <f>项目总控台账!J23</f>
        <v>46353</v>
      </c>
      <c r="G24" s="6" t="str">
        <f>IF(B24="","",IF(OR(C24="",C24="/"),"缺少任务名称；","")&amp;IF(OR(D24="",D24="/"),"缺少有效主责人；","")&amp;IF(OR(E24="",E24&lt;DATE(2000,1,1)),"缺少有效计划开始；","")&amp;IF(OR(F24="",F24&lt;DATE(2000,1,1)),"缺少有效计划完成；","")&amp;IF(项目总控台账!G23="","缺少总体状态；","")&amp;IF(AND(ISNUMBER(E24),ISNUMBER(F24),E24&gt;=DATE(2000,1,1),F24&gt;=DATE(2000,1,1),E24&gt;F24),"开始晚于完成；","")&amp;IF(AND(项目总控台账!G23="已完成",项目总控台账!AB23&lt;1),"已完成但进度不足100%；",""))</f>
        <v/>
      </c>
      <c r="H24" s="6" t="str">
        <f t="shared" si="0"/>
        <v>通过</v>
      </c>
      <c r="I24" s="6" t="str">
        <f t="shared" si="1"/>
        <v>无需处理</v>
      </c>
      <c r="J24" s="6">
        <v>23</v>
      </c>
    </row>
    <row r="25" spans="1:10">
      <c r="A25" s="6" t="s">
        <v>739</v>
      </c>
      <c r="B25" s="6" t="str">
        <f>项目总控台账!A24</f>
        <v>T021</v>
      </c>
      <c r="C25" s="6" t="str">
        <f>IF(AND(项目总控台账!E24&lt;&gt;"",项目总控台账!E24&lt;&gt;"/"),项目总控台账!E24,IF(AND(项目总控台账!D24&lt;&gt;"",项目总控台账!D24&lt;&gt;"/"),项目总控台账!D24,项目总控台账!C24))</f>
        <v>外部客户确认</v>
      </c>
      <c r="D25" s="6" t="str">
        <f>项目总控台账!H24</f>
        <v>郑士旺</v>
      </c>
      <c r="E25" s="16">
        <f>项目总控台账!I24</f>
        <v>46230</v>
      </c>
      <c r="F25" s="16">
        <f>项目总控台账!J24</f>
        <v>46353</v>
      </c>
      <c r="G25" s="6" t="str">
        <f>IF(B25="","",IF(OR(C25="",C25="/"),"缺少任务名称；","")&amp;IF(OR(D25="",D25="/"),"缺少有效主责人；","")&amp;IF(OR(E25="",E25&lt;DATE(2000,1,1)),"缺少有效计划开始；","")&amp;IF(OR(F25="",F25&lt;DATE(2000,1,1)),"缺少有效计划完成；","")&amp;IF(项目总控台账!G24="","缺少总体状态；","")&amp;IF(AND(ISNUMBER(E25),ISNUMBER(F25),E25&gt;=DATE(2000,1,1),F25&gt;=DATE(2000,1,1),E25&gt;F25),"开始晚于完成；","")&amp;IF(AND(项目总控台账!G24="已完成",项目总控台账!AB24&lt;1),"已完成但进度不足100%；",""))</f>
        <v/>
      </c>
      <c r="H25" s="6" t="str">
        <f t="shared" si="0"/>
        <v>通过</v>
      </c>
      <c r="I25" s="6" t="str">
        <f t="shared" si="1"/>
        <v>无需处理</v>
      </c>
      <c r="J25" s="6">
        <v>24</v>
      </c>
    </row>
    <row r="26" spans="1:10">
      <c r="A26" s="6" t="s">
        <v>739</v>
      </c>
      <c r="B26" s="6" t="str">
        <f>项目总控台账!A25</f>
        <v>T022</v>
      </c>
      <c r="C26" s="6" t="str">
        <f>IF(AND(项目总控台账!E25&lt;&gt;"",项目总控台账!E25&lt;&gt;"/"),项目总控台账!E25,IF(AND(项目总控台账!D25&lt;&gt;"",项目总控台账!D25&lt;&gt;"/"),项目总控台账!D25,项目总控台账!C25))</f>
        <v>对接卸船作业信息</v>
      </c>
      <c r="D26" s="6" t="str">
        <f>项目总控台账!H25</f>
        <v>郑士旺</v>
      </c>
      <c r="E26" s="16">
        <f>项目总控台账!I25</f>
        <v>46230</v>
      </c>
      <c r="F26" s="16">
        <f>项目总控台账!J25</f>
        <v>46353</v>
      </c>
      <c r="G26" s="6" t="str">
        <f>IF(B26="","",IF(OR(C26="",C26="/"),"缺少任务名称；","")&amp;IF(OR(D26="",D26="/"),"缺少有效主责人；","")&amp;IF(OR(E26="",E26&lt;DATE(2000,1,1)),"缺少有效计划开始；","")&amp;IF(OR(F26="",F26&lt;DATE(2000,1,1)),"缺少有效计划完成；","")&amp;IF(项目总控台账!G25="","缺少总体状态；","")&amp;IF(AND(ISNUMBER(E26),ISNUMBER(F26),E26&gt;=DATE(2000,1,1),F26&gt;=DATE(2000,1,1),E26&gt;F26),"开始晚于完成；","")&amp;IF(AND(项目总控台账!G25="已完成",项目总控台账!AB25&lt;1),"已完成但进度不足100%；",""))</f>
        <v/>
      </c>
      <c r="H26" s="6" t="str">
        <f t="shared" si="0"/>
        <v>通过</v>
      </c>
      <c r="I26" s="6" t="str">
        <f t="shared" si="1"/>
        <v>无需处理</v>
      </c>
      <c r="J26" s="6">
        <v>25</v>
      </c>
    </row>
    <row r="27" spans="1:10">
      <c r="A27" s="6" t="s">
        <v>739</v>
      </c>
      <c r="B27" s="6" t="str">
        <f>项目总控台账!A26</f>
        <v>T023</v>
      </c>
      <c r="C27" s="6" t="str">
        <f>IF(AND(项目总控台账!E26&lt;&gt;"",项目总控台账!E26&lt;&gt;"/"),项目总控台账!E26,IF(AND(项目总控台账!D26&lt;&gt;"",项目总控台账!D26&lt;&gt;"/"),项目总控台账!D26,项目总控台账!C26))</f>
        <v>查询卸船作业信息</v>
      </c>
      <c r="D27" s="6" t="str">
        <f>项目总控台账!H26</f>
        <v>郑士旺</v>
      </c>
      <c r="E27" s="16">
        <f>项目总控台账!I26</f>
        <v>46230</v>
      </c>
      <c r="F27" s="16">
        <f>项目总控台账!J26</f>
        <v>46353</v>
      </c>
      <c r="G27" s="6" t="str">
        <f>IF(B27="","",IF(OR(C27="",C27="/"),"缺少任务名称；","")&amp;IF(OR(D27="",D27="/"),"缺少有效主责人；","")&amp;IF(OR(E27="",E27&lt;DATE(2000,1,1)),"缺少有效计划开始；","")&amp;IF(OR(F27="",F27&lt;DATE(2000,1,1)),"缺少有效计划完成；","")&amp;IF(项目总控台账!G26="","缺少总体状态；","")&amp;IF(AND(ISNUMBER(E27),ISNUMBER(F27),E27&gt;=DATE(2000,1,1),F27&gt;=DATE(2000,1,1),E27&gt;F27),"开始晚于完成；","")&amp;IF(AND(项目总控台账!G26="已完成",项目总控台账!AB26&lt;1),"已完成但进度不足100%；",""))</f>
        <v/>
      </c>
      <c r="H27" s="6" t="str">
        <f t="shared" si="0"/>
        <v>通过</v>
      </c>
      <c r="I27" s="6" t="str">
        <f t="shared" si="1"/>
        <v>无需处理</v>
      </c>
      <c r="J27" s="6">
        <v>26</v>
      </c>
    </row>
    <row r="28" spans="1:10">
      <c r="A28" s="6" t="s">
        <v>739</v>
      </c>
      <c r="B28" s="6" t="str">
        <f>项目总控台账!A27</f>
        <v>T024</v>
      </c>
      <c r="C28" s="6" t="str">
        <f>IF(AND(项目总控台账!E27&lt;&gt;"",项目总控台账!E27&lt;&gt;"/"),项目总控台账!E27,IF(AND(项目总控台账!D27&lt;&gt;"",项目总控台账!D27&lt;&gt;"/"),项目总控台账!D27,项目总控台账!C27))</f>
        <v>卸船查询列表</v>
      </c>
      <c r="D28" s="6" t="str">
        <f>项目总控台账!H27</f>
        <v>郑士旺</v>
      </c>
      <c r="E28" s="16">
        <f>项目总控台账!I27</f>
        <v>46230</v>
      </c>
      <c r="F28" s="16">
        <f>项目总控台账!J27</f>
        <v>46353</v>
      </c>
      <c r="G28" s="6" t="str">
        <f>IF(B28="","",IF(OR(C28="",C28="/"),"缺少任务名称；","")&amp;IF(OR(D28="",D28="/"),"缺少有效主责人；","")&amp;IF(OR(E28="",E28&lt;DATE(2000,1,1)),"缺少有效计划开始；","")&amp;IF(OR(F28="",F28&lt;DATE(2000,1,1)),"缺少有效计划完成；","")&amp;IF(项目总控台账!G27="","缺少总体状态；","")&amp;IF(AND(ISNUMBER(E28),ISNUMBER(F28),E28&gt;=DATE(2000,1,1),F28&gt;=DATE(2000,1,1),E28&gt;F28),"开始晚于完成；","")&amp;IF(AND(项目总控台账!G27="已完成",项目总控台账!AB27&lt;1),"已完成但进度不足100%；",""))</f>
        <v/>
      </c>
      <c r="H28" s="6" t="str">
        <f t="shared" si="0"/>
        <v>通过</v>
      </c>
      <c r="I28" s="6" t="str">
        <f t="shared" si="1"/>
        <v>无需处理</v>
      </c>
      <c r="J28" s="6">
        <v>27</v>
      </c>
    </row>
    <row r="29" spans="1:10">
      <c r="A29" s="6" t="s">
        <v>739</v>
      </c>
      <c r="B29" s="6" t="str">
        <f>项目总控台账!A28</f>
        <v>T025</v>
      </c>
      <c r="C29" s="6" t="str">
        <f>IF(AND(项目总控台账!E28&lt;&gt;"",项目总控台账!E28&lt;&gt;"/"),项目总控台账!E28,IF(AND(项目总控台账!D28&lt;&gt;"",项目总控台账!D28&lt;&gt;"/"),项目总控台账!D28,项目总控台账!C28))</f>
        <v>卸船查询详情</v>
      </c>
      <c r="D29" s="6" t="str">
        <f>项目总控台账!H28</f>
        <v>郑士旺</v>
      </c>
      <c r="E29" s="16">
        <f>项目总控台账!I28</f>
        <v>46230</v>
      </c>
      <c r="F29" s="16">
        <f>项目总控台账!J28</f>
        <v>46261</v>
      </c>
      <c r="G29" s="6" t="str">
        <f>IF(B29="","",IF(OR(C29="",C29="/"),"缺少任务名称；","")&amp;IF(OR(D29="",D29="/"),"缺少有效主责人；","")&amp;IF(OR(E29="",E29&lt;DATE(2000,1,1)),"缺少有效计划开始；","")&amp;IF(OR(F29="",F29&lt;DATE(2000,1,1)),"缺少有效计划完成；","")&amp;IF(项目总控台账!G28="","缺少总体状态；","")&amp;IF(AND(ISNUMBER(E29),ISNUMBER(F29),E29&gt;=DATE(2000,1,1),F29&gt;=DATE(2000,1,1),E29&gt;F29),"开始晚于完成；","")&amp;IF(AND(项目总控台账!G28="已完成",项目总控台账!AB28&lt;1),"已完成但进度不足100%；",""))</f>
        <v/>
      </c>
      <c r="H29" s="6" t="str">
        <f t="shared" si="0"/>
        <v>通过</v>
      </c>
      <c r="I29" s="6" t="str">
        <f t="shared" si="1"/>
        <v>无需处理</v>
      </c>
      <c r="J29" s="6">
        <v>28</v>
      </c>
    </row>
    <row r="30" spans="1:10">
      <c r="A30" s="6" t="s">
        <v>739</v>
      </c>
      <c r="B30" s="6" t="str">
        <f>项目总控台账!A29</f>
        <v>T026</v>
      </c>
      <c r="C30" s="6" t="str">
        <f>IF(AND(项目总控台账!E29&lt;&gt;"",项目总控台账!E29&lt;&gt;"/"),项目总控台账!E29,IF(AND(项目总控台账!D29&lt;&gt;"",项目总控台账!D29&lt;&gt;"/"),项目总控台账!D29,项目总控台账!C29))</f>
        <v>创建卸船作业委托信息</v>
      </c>
      <c r="D30" s="6" t="str">
        <f>项目总控台账!H29</f>
        <v>郑士旺</v>
      </c>
      <c r="E30" s="16">
        <f>项目总控台账!I29</f>
        <v>46230</v>
      </c>
      <c r="F30" s="16">
        <f>项目总控台账!J29</f>
        <v>46261</v>
      </c>
      <c r="G30" s="6" t="str">
        <f>IF(B30="","",IF(OR(C30="",C30="/"),"缺少任务名称；","")&amp;IF(OR(D30="",D30="/"),"缺少有效主责人；","")&amp;IF(OR(E30="",E30&lt;DATE(2000,1,1)),"缺少有效计划开始；","")&amp;IF(OR(F30="",F30&lt;DATE(2000,1,1)),"缺少有效计划完成；","")&amp;IF(项目总控台账!G29="","缺少总体状态；","")&amp;IF(AND(ISNUMBER(E30),ISNUMBER(F30),E30&gt;=DATE(2000,1,1),F30&gt;=DATE(2000,1,1),E30&gt;F30),"开始晚于完成；","")&amp;IF(AND(项目总控台账!G29="已完成",项目总控台账!AB29&lt;1),"已完成但进度不足100%；",""))</f>
        <v/>
      </c>
      <c r="H30" s="6" t="str">
        <f t="shared" si="0"/>
        <v>通过</v>
      </c>
      <c r="I30" s="6" t="str">
        <f t="shared" si="1"/>
        <v>无需处理</v>
      </c>
      <c r="J30" s="6">
        <v>29</v>
      </c>
    </row>
    <row r="31" spans="1:10">
      <c r="A31" s="6" t="s">
        <v>739</v>
      </c>
      <c r="B31" s="6" t="str">
        <f>项目总控台账!A30</f>
        <v>T027</v>
      </c>
      <c r="C31" s="6" t="str">
        <f>IF(AND(项目总控台账!E30&lt;&gt;"",项目总控台账!E30&lt;&gt;"/"),项目总控台账!E30,IF(AND(项目总控台账!D30&lt;&gt;"",项目总控台账!D30&lt;&gt;"/"),项目总控台账!D30,项目总控台账!C30))</f>
        <v>修改卸船作业委托信息</v>
      </c>
      <c r="D31" s="6" t="str">
        <f>项目总控台账!H30</f>
        <v>郑士旺</v>
      </c>
      <c r="E31" s="16">
        <f>项目总控台账!I30</f>
        <v>46230</v>
      </c>
      <c r="F31" s="16">
        <f>项目总控台账!J30</f>
        <v>46261</v>
      </c>
      <c r="G31" s="6" t="str">
        <f>IF(B31="","",IF(OR(C31="",C31="/"),"缺少任务名称；","")&amp;IF(OR(D31="",D31="/"),"缺少有效主责人；","")&amp;IF(OR(E31="",E31&lt;DATE(2000,1,1)),"缺少有效计划开始；","")&amp;IF(OR(F31="",F31&lt;DATE(2000,1,1)),"缺少有效计划完成；","")&amp;IF(项目总控台账!G30="","缺少总体状态；","")&amp;IF(AND(ISNUMBER(E31),ISNUMBER(F31),E31&gt;=DATE(2000,1,1),F31&gt;=DATE(2000,1,1),E31&gt;F31),"开始晚于完成；","")&amp;IF(AND(项目总控台账!G30="已完成",项目总控台账!AB30&lt;1),"已完成但进度不足100%；",""))</f>
        <v/>
      </c>
      <c r="H31" s="6" t="str">
        <f t="shared" si="0"/>
        <v>通过</v>
      </c>
      <c r="I31" s="6" t="str">
        <f t="shared" si="1"/>
        <v>无需处理</v>
      </c>
      <c r="J31" s="6">
        <v>30</v>
      </c>
    </row>
    <row r="32" spans="1:10">
      <c r="A32" s="6" t="s">
        <v>739</v>
      </c>
      <c r="B32" s="6" t="str">
        <f>项目总控台账!A31</f>
        <v>T028</v>
      </c>
      <c r="C32" s="6" t="str">
        <f>IF(AND(项目总控台账!E31&lt;&gt;"",项目总控台账!E31&lt;&gt;"/"),项目总控台账!E31,IF(AND(项目总控台账!D31&lt;&gt;"",项目总控台账!D31&lt;&gt;"/"),项目总控台账!D31,项目总控台账!C31))</f>
        <v>作废卸船作业委托信息</v>
      </c>
      <c r="D32" s="6" t="str">
        <f>项目总控台账!H31</f>
        <v>郑士旺</v>
      </c>
      <c r="E32" s="16">
        <f>项目总控台账!I31</f>
        <v>46230</v>
      </c>
      <c r="F32" s="16">
        <f>项目总控台账!J31</f>
        <v>46261</v>
      </c>
      <c r="G32" s="6" t="str">
        <f>IF(B32="","",IF(OR(C32="",C32="/"),"缺少任务名称；","")&amp;IF(OR(D32="",D32="/"),"缺少有效主责人；","")&amp;IF(OR(E32="",E32&lt;DATE(2000,1,1)),"缺少有效计划开始；","")&amp;IF(OR(F32="",F32&lt;DATE(2000,1,1)),"缺少有效计划完成；","")&amp;IF(项目总控台账!G31="","缺少总体状态；","")&amp;IF(AND(ISNUMBER(E32),ISNUMBER(F32),E32&gt;=DATE(2000,1,1),F32&gt;=DATE(2000,1,1),E32&gt;F32),"开始晚于完成；","")&amp;IF(AND(项目总控台账!G31="已完成",项目总控台账!AB31&lt;1),"已完成但进度不足100%；",""))</f>
        <v/>
      </c>
      <c r="H32" s="6" t="str">
        <f t="shared" si="0"/>
        <v>通过</v>
      </c>
      <c r="I32" s="6" t="str">
        <f t="shared" si="1"/>
        <v>无需处理</v>
      </c>
      <c r="J32" s="6">
        <v>31</v>
      </c>
    </row>
    <row r="33" spans="1:10">
      <c r="A33" s="6" t="s">
        <v>739</v>
      </c>
      <c r="B33" s="6" t="str">
        <f>项目总控台账!A32</f>
        <v>T029</v>
      </c>
      <c r="C33" s="6" t="str">
        <f>IF(AND(项目总控台账!E32&lt;&gt;"",项目总控台账!E32&lt;&gt;"/"),项目总控台账!E32,IF(AND(项目总控台账!D32&lt;&gt;"",项目总控台账!D32&lt;&gt;"/"),项目总控台账!D32,项目总控台账!C32))</f>
        <v>推送卸船作业委托信息</v>
      </c>
      <c r="D33" s="6" t="str">
        <f>项目总控台账!H32</f>
        <v>郑士旺</v>
      </c>
      <c r="E33" s="16">
        <f>项目总控台账!I32</f>
        <v>46230</v>
      </c>
      <c r="F33" s="16">
        <f>项目总控台账!J32</f>
        <v>46261</v>
      </c>
      <c r="G33" s="6" t="str">
        <f>IF(B33="","",IF(OR(C33="",C33="/"),"缺少任务名称；","")&amp;IF(OR(D33="",D33="/"),"缺少有效主责人；","")&amp;IF(OR(E33="",E33&lt;DATE(2000,1,1)),"缺少有效计划开始；","")&amp;IF(OR(F33="",F33&lt;DATE(2000,1,1)),"缺少有效计划完成；","")&amp;IF(项目总控台账!G32="","缺少总体状态；","")&amp;IF(AND(ISNUMBER(E33),ISNUMBER(F33),E33&gt;=DATE(2000,1,1),F33&gt;=DATE(2000,1,1),E33&gt;F33),"开始晚于完成；","")&amp;IF(AND(项目总控台账!G32="已完成",项目总控台账!AB32&lt;1),"已完成但进度不足100%；",""))</f>
        <v/>
      </c>
      <c r="H33" s="6" t="str">
        <f t="shared" si="0"/>
        <v>通过</v>
      </c>
      <c r="I33" s="6" t="str">
        <f t="shared" si="1"/>
        <v>无需处理</v>
      </c>
      <c r="J33" s="6">
        <v>32</v>
      </c>
    </row>
    <row r="34" spans="1:10">
      <c r="A34" s="6" t="s">
        <v>739</v>
      </c>
      <c r="B34" s="6" t="str">
        <f>项目总控台账!A33</f>
        <v>T030</v>
      </c>
      <c r="C34" s="6" t="str">
        <f>IF(AND(项目总控台账!E33&lt;&gt;"",项目总控台账!E33&lt;&gt;"/"),项目总控台账!E33,IF(AND(项目总控台账!D33&lt;&gt;"",项目总控台账!D33&lt;&gt;"/"),项目总控台账!D33,项目总控台账!C33))</f>
        <v>查询卸船作业委托信息</v>
      </c>
      <c r="D34" s="6" t="str">
        <f>项目总控台账!H33</f>
        <v>郑士旺</v>
      </c>
      <c r="E34" s="16">
        <f>项目总控台账!I33</f>
        <v>46230</v>
      </c>
      <c r="F34" s="16">
        <f>项目总控台账!J33</f>
        <v>46261</v>
      </c>
      <c r="G34" s="6" t="str">
        <f>IF(B34="","",IF(OR(C34="",C34="/"),"缺少任务名称；","")&amp;IF(OR(D34="",D34="/"),"缺少有效主责人；","")&amp;IF(OR(E34="",E34&lt;DATE(2000,1,1)),"缺少有效计划开始；","")&amp;IF(OR(F34="",F34&lt;DATE(2000,1,1)),"缺少有效计划完成；","")&amp;IF(项目总控台账!G33="","缺少总体状态；","")&amp;IF(AND(ISNUMBER(E34),ISNUMBER(F34),E34&gt;=DATE(2000,1,1),F34&gt;=DATE(2000,1,1),E34&gt;F34),"开始晚于完成；","")&amp;IF(AND(项目总控台账!G33="已完成",项目总控台账!AB33&lt;1),"已完成但进度不足100%；",""))</f>
        <v/>
      </c>
      <c r="H34" s="6" t="str">
        <f t="shared" si="0"/>
        <v>通过</v>
      </c>
      <c r="I34" s="6" t="str">
        <f t="shared" si="1"/>
        <v>无需处理</v>
      </c>
      <c r="J34" s="6">
        <v>33</v>
      </c>
    </row>
    <row r="35" spans="1:10">
      <c r="A35" s="6" t="s">
        <v>739</v>
      </c>
      <c r="B35" s="6" t="str">
        <f>项目总控台账!A34</f>
        <v>T031</v>
      </c>
      <c r="C35" s="6" t="str">
        <f>IF(AND(项目总控台账!E34&lt;&gt;"",项目总控台账!E34&lt;&gt;"/"),项目总控台账!E34,IF(AND(项目总控台账!D34&lt;&gt;"",项目总控台账!D34&lt;&gt;"/"),项目总控台账!D34,项目总控台账!C34))</f>
        <v>创建外轮转内贸业务信息</v>
      </c>
      <c r="D35" s="6" t="str">
        <f>项目总控台账!H34</f>
        <v>郑士旺</v>
      </c>
      <c r="E35" s="16">
        <f>项目总控台账!I34</f>
        <v>46230</v>
      </c>
      <c r="F35" s="16">
        <f>项目总控台账!J34</f>
        <v>46353</v>
      </c>
      <c r="G35" s="6" t="str">
        <f>IF(B35="","",IF(OR(C35="",C35="/"),"缺少任务名称；","")&amp;IF(OR(D35="",D35="/"),"缺少有效主责人；","")&amp;IF(OR(E35="",E35&lt;DATE(2000,1,1)),"缺少有效计划开始；","")&amp;IF(OR(F35="",F35&lt;DATE(2000,1,1)),"缺少有效计划完成；","")&amp;IF(项目总控台账!G34="","缺少总体状态；","")&amp;IF(AND(ISNUMBER(E35),ISNUMBER(F35),E35&gt;=DATE(2000,1,1),F35&gt;=DATE(2000,1,1),E35&gt;F35),"开始晚于完成；","")&amp;IF(AND(项目总控台账!G34="已完成",项目总控台账!AB34&lt;1),"已完成但进度不足100%；",""))</f>
        <v/>
      </c>
      <c r="H35" s="6" t="str">
        <f t="shared" si="0"/>
        <v>通过</v>
      </c>
      <c r="I35" s="6" t="str">
        <f t="shared" si="1"/>
        <v>无需处理</v>
      </c>
      <c r="J35" s="6">
        <v>34</v>
      </c>
    </row>
    <row r="36" spans="1:10">
      <c r="A36" s="6" t="s">
        <v>739</v>
      </c>
      <c r="B36" s="6" t="str">
        <f>项目总控台账!A35</f>
        <v>T032</v>
      </c>
      <c r="C36" s="6" t="str">
        <f>IF(AND(项目总控台账!E35&lt;&gt;"",项目总控台账!E35&lt;&gt;"/"),项目总控台账!E35,IF(AND(项目总控台账!D35&lt;&gt;"",项目总控台账!D35&lt;&gt;"/"),项目总控台账!D35,项目总控台账!C35))</f>
        <v>作废外轮转内贸业务信息</v>
      </c>
      <c r="D36" s="6" t="str">
        <f>项目总控台账!H35</f>
        <v>郑士旺</v>
      </c>
      <c r="E36" s="16">
        <f>项目总控台账!I35</f>
        <v>46230</v>
      </c>
      <c r="F36" s="16">
        <f>项目总控台账!J35</f>
        <v>46353</v>
      </c>
      <c r="G36" s="6" t="str">
        <f>IF(B36="","",IF(OR(C36="",C36="/"),"缺少任务名称；","")&amp;IF(OR(D36="",D36="/"),"缺少有效主责人；","")&amp;IF(OR(E36="",E36&lt;DATE(2000,1,1)),"缺少有效计划开始；","")&amp;IF(OR(F36="",F36&lt;DATE(2000,1,1)),"缺少有效计划完成；","")&amp;IF(项目总控台账!G35="","缺少总体状态；","")&amp;IF(AND(ISNUMBER(E36),ISNUMBER(F36),E36&gt;=DATE(2000,1,1),F36&gt;=DATE(2000,1,1),E36&gt;F36),"开始晚于完成；","")&amp;IF(AND(项目总控台账!G35="已完成",项目总控台账!AB35&lt;1),"已完成但进度不足100%；",""))</f>
        <v/>
      </c>
      <c r="H36" s="6" t="str">
        <f t="shared" si="0"/>
        <v>通过</v>
      </c>
      <c r="I36" s="6" t="str">
        <f t="shared" si="1"/>
        <v>无需处理</v>
      </c>
      <c r="J36" s="6">
        <v>35</v>
      </c>
    </row>
    <row r="37" spans="1:10">
      <c r="A37" s="6" t="s">
        <v>739</v>
      </c>
      <c r="B37" s="6" t="str">
        <f>项目总控台账!A36</f>
        <v>T033</v>
      </c>
      <c r="C37" s="6" t="str">
        <f>IF(AND(项目总控台账!E36&lt;&gt;"",项目总控台账!E36&lt;&gt;"/"),项目总控台账!E36,IF(AND(项目总控台账!D36&lt;&gt;"",项目总控台账!D36&lt;&gt;"/"),项目总控台账!D36,项目总控台账!C36))</f>
        <v>查询外轮转内贸业务信息</v>
      </c>
      <c r="D37" s="6" t="str">
        <f>项目总控台账!H36</f>
        <v>郑士旺</v>
      </c>
      <c r="E37" s="16">
        <f>项目总控台账!I36</f>
        <v>46230</v>
      </c>
      <c r="F37" s="16">
        <f>项目总控台账!J36</f>
        <v>46353</v>
      </c>
      <c r="G37" s="6" t="str">
        <f>IF(B37="","",IF(OR(C37="",C37="/"),"缺少任务名称；","")&amp;IF(OR(D37="",D37="/"),"缺少有效主责人；","")&amp;IF(OR(E37="",E37&lt;DATE(2000,1,1)),"缺少有效计划开始；","")&amp;IF(OR(F37="",F37&lt;DATE(2000,1,1)),"缺少有效计划完成；","")&amp;IF(项目总控台账!G36="","缺少总体状态；","")&amp;IF(AND(ISNUMBER(E37),ISNUMBER(F37),E37&gt;=DATE(2000,1,1),F37&gt;=DATE(2000,1,1),E37&gt;F37),"开始晚于完成；","")&amp;IF(AND(项目总控台账!G36="已完成",项目总控台账!AB36&lt;1),"已完成但进度不足100%；",""))</f>
        <v/>
      </c>
      <c r="H37" s="6" t="str">
        <f t="shared" si="0"/>
        <v>通过</v>
      </c>
      <c r="I37" s="6" t="str">
        <f t="shared" si="1"/>
        <v>无需处理</v>
      </c>
      <c r="J37" s="6">
        <v>36</v>
      </c>
    </row>
    <row r="38" spans="1:10">
      <c r="A38" s="6" t="s">
        <v>739</v>
      </c>
      <c r="B38" s="6" t="str">
        <f>项目总控台账!A37</f>
        <v>T034</v>
      </c>
      <c r="C38" s="6" t="str">
        <f>IF(AND(项目总控台账!E37&lt;&gt;"",项目总控台账!E37&lt;&gt;"/"),项目总控台账!E37,IF(AND(项目总控台账!D37&lt;&gt;"",项目总控台账!D37&lt;&gt;"/"),项目总控台账!D37,项目总控台账!C37))</f>
        <v>新增船舶靠泊通知单</v>
      </c>
      <c r="D38" s="6" t="str">
        <f>项目总控台账!H37</f>
        <v>郑士旺</v>
      </c>
      <c r="E38" s="16">
        <f>项目总控台账!I37</f>
        <v>46230</v>
      </c>
      <c r="F38" s="16">
        <f>项目总控台账!J37</f>
        <v>46353</v>
      </c>
      <c r="G38" s="6" t="str">
        <f>IF(B38="","",IF(OR(C38="",C38="/"),"缺少任务名称；","")&amp;IF(OR(D38="",D38="/"),"缺少有效主责人；","")&amp;IF(OR(E38="",E38&lt;DATE(2000,1,1)),"缺少有效计划开始；","")&amp;IF(OR(F38="",F38&lt;DATE(2000,1,1)),"缺少有效计划完成；","")&amp;IF(项目总控台账!G37="","缺少总体状态；","")&amp;IF(AND(ISNUMBER(E38),ISNUMBER(F38),E38&gt;=DATE(2000,1,1),F38&gt;=DATE(2000,1,1),E38&gt;F38),"开始晚于完成；","")&amp;IF(AND(项目总控台账!G37="已完成",项目总控台账!AB37&lt;1),"已完成但进度不足100%；",""))</f>
        <v/>
      </c>
      <c r="H38" s="6" t="str">
        <f t="shared" si="0"/>
        <v>通过</v>
      </c>
      <c r="I38" s="6" t="str">
        <f t="shared" si="1"/>
        <v>无需处理</v>
      </c>
      <c r="J38" s="6">
        <v>37</v>
      </c>
    </row>
    <row r="39" spans="1:10">
      <c r="A39" s="6" t="s">
        <v>739</v>
      </c>
      <c r="B39" s="6" t="str">
        <f>项目总控台账!A38</f>
        <v>T035</v>
      </c>
      <c r="C39" s="6" t="str">
        <f>IF(AND(项目总控台账!E38&lt;&gt;"",项目总控台账!E38&lt;&gt;"/"),项目总控台账!E38,IF(AND(项目总控台账!D38&lt;&gt;"",项目总控台账!D38&lt;&gt;"/"),项目总控台账!D38,项目总控台账!C38))</f>
        <v>审批船舶靠泊通知单</v>
      </c>
      <c r="D39" s="6" t="str">
        <f>项目总控台账!H38</f>
        <v>郑士旺</v>
      </c>
      <c r="E39" s="16">
        <f>项目总控台账!I38</f>
        <v>46230</v>
      </c>
      <c r="F39" s="16">
        <f>项目总控台账!J38</f>
        <v>46353</v>
      </c>
      <c r="G39" s="6" t="str">
        <f>IF(B39="","",IF(OR(C39="",C39="/"),"缺少任务名称；","")&amp;IF(OR(D39="",D39="/"),"缺少有效主责人；","")&amp;IF(OR(E39="",E39&lt;DATE(2000,1,1)),"缺少有效计划开始；","")&amp;IF(OR(F39="",F39&lt;DATE(2000,1,1)),"缺少有效计划完成；","")&amp;IF(项目总控台账!G38="","缺少总体状态；","")&amp;IF(AND(ISNUMBER(E39),ISNUMBER(F39),E39&gt;=DATE(2000,1,1),F39&gt;=DATE(2000,1,1),E39&gt;F39),"开始晚于完成；","")&amp;IF(AND(项目总控台账!G38="已完成",项目总控台账!AB38&lt;1),"已完成但进度不足100%；",""))</f>
        <v/>
      </c>
      <c r="H39" s="6" t="str">
        <f t="shared" si="0"/>
        <v>通过</v>
      </c>
      <c r="I39" s="6" t="str">
        <f t="shared" si="1"/>
        <v>无需处理</v>
      </c>
      <c r="J39" s="6">
        <v>38</v>
      </c>
    </row>
    <row r="40" spans="1:10">
      <c r="A40" s="6" t="s">
        <v>739</v>
      </c>
      <c r="B40" s="6" t="str">
        <f>项目总控台账!A39</f>
        <v>T036</v>
      </c>
      <c r="C40" s="6" t="str">
        <f>IF(AND(项目总控台账!E39&lt;&gt;"",项目总控台账!E39&lt;&gt;"/"),项目总控台账!E39,IF(AND(项目总控台账!D39&lt;&gt;"",项目总控台账!D39&lt;&gt;"/"),项目总控台账!D39,项目总控台账!C39))</f>
        <v>查询船舶靠泊通知单</v>
      </c>
      <c r="D40" s="6" t="str">
        <f>项目总控台账!H39</f>
        <v>郑士旺</v>
      </c>
      <c r="E40" s="16">
        <f>项目总控台账!I39</f>
        <v>46230</v>
      </c>
      <c r="F40" s="16">
        <f>项目总控台账!J39</f>
        <v>46353</v>
      </c>
      <c r="G40" s="6" t="str">
        <f>IF(B40="","",IF(OR(C40="",C40="/"),"缺少任务名称；","")&amp;IF(OR(D40="",D40="/"),"缺少有效主责人；","")&amp;IF(OR(E40="",E40&lt;DATE(2000,1,1)),"缺少有效计划开始；","")&amp;IF(OR(F40="",F40&lt;DATE(2000,1,1)),"缺少有效计划完成；","")&amp;IF(项目总控台账!G39="","缺少总体状态；","")&amp;IF(AND(ISNUMBER(E40),ISNUMBER(F40),E40&gt;=DATE(2000,1,1),F40&gt;=DATE(2000,1,1),E40&gt;F40),"开始晚于完成；","")&amp;IF(AND(项目总控台账!G39="已完成",项目总控台账!AB39&lt;1),"已完成但进度不足100%；",""))</f>
        <v/>
      </c>
      <c r="H40" s="6" t="str">
        <f t="shared" si="0"/>
        <v>通过</v>
      </c>
      <c r="I40" s="6" t="str">
        <f t="shared" si="1"/>
        <v>无需处理</v>
      </c>
      <c r="J40" s="6">
        <v>39</v>
      </c>
    </row>
    <row r="41" spans="1:10">
      <c r="A41" s="6" t="s">
        <v>739</v>
      </c>
      <c r="B41" s="6" t="str">
        <f>项目总控台账!A40</f>
        <v>T037</v>
      </c>
      <c r="C41" s="6" t="str">
        <f>IF(AND(项目总控台账!E40&lt;&gt;"",项目总控台账!E40&lt;&gt;"/"),项目总控台账!E40,IF(AND(项目总控台账!D40&lt;&gt;"",项目总控台账!D40&lt;&gt;"/"),项目总控台账!D40,项目总控台账!C40))</f>
        <v>创建卸车流程</v>
      </c>
      <c r="D41" s="6" t="str">
        <f>项目总控台账!H40</f>
        <v>郑士旺</v>
      </c>
      <c r="E41" s="16">
        <f>项目总控台账!I40</f>
        <v>46209</v>
      </c>
      <c r="F41" s="16">
        <f>项目总控台账!J40</f>
        <v>46261</v>
      </c>
      <c r="G41" s="6" t="str">
        <f>IF(B41="","",IF(OR(C41="",C41="/"),"缺少任务名称；","")&amp;IF(OR(D41="",D41="/"),"缺少有效主责人；","")&amp;IF(OR(E41="",E41&lt;DATE(2000,1,1)),"缺少有效计划开始；","")&amp;IF(OR(F41="",F41&lt;DATE(2000,1,1)),"缺少有效计划完成；","")&amp;IF(项目总控台账!G40="","缺少总体状态；","")&amp;IF(AND(ISNUMBER(E41),ISNUMBER(F41),E41&gt;=DATE(2000,1,1),F41&gt;=DATE(2000,1,1),E41&gt;F41),"开始晚于完成；","")&amp;IF(AND(项目总控台账!G40="已完成",项目总控台账!AB40&lt;1),"已完成但进度不足100%；",""))</f>
        <v/>
      </c>
      <c r="H41" s="6" t="str">
        <f t="shared" si="0"/>
        <v>通过</v>
      </c>
      <c r="I41" s="6" t="str">
        <f t="shared" si="1"/>
        <v>无需处理</v>
      </c>
      <c r="J41" s="6">
        <v>40</v>
      </c>
    </row>
    <row r="42" spans="1:10">
      <c r="A42" s="6" t="s">
        <v>739</v>
      </c>
      <c r="B42" s="6" t="str">
        <f>项目总控台账!A41</f>
        <v>T038</v>
      </c>
      <c r="C42" s="6" t="str">
        <f>IF(AND(项目总控台账!E41&lt;&gt;"",项目总控台账!E41&lt;&gt;"/"),项目总控台账!E41,IF(AND(项目总控台账!D41&lt;&gt;"",项目总控台账!D41&lt;&gt;"/"),项目总控台账!D41,项目总控台账!C41))</f>
        <v>查询卸车流程</v>
      </c>
      <c r="D42" s="6" t="str">
        <f>项目总控台账!H41</f>
        <v>郑士旺</v>
      </c>
      <c r="E42" s="16">
        <f>项目总控台账!I41</f>
        <v>46209</v>
      </c>
      <c r="F42" s="16">
        <f>项目总控台账!J41</f>
        <v>46261</v>
      </c>
      <c r="G42" s="6" t="str">
        <f>IF(B42="","",IF(OR(C42="",C42="/"),"缺少任务名称；","")&amp;IF(OR(D42="",D42="/"),"缺少有效主责人；","")&amp;IF(OR(E42="",E42&lt;DATE(2000,1,1)),"缺少有效计划开始；","")&amp;IF(OR(F42="",F42&lt;DATE(2000,1,1)),"缺少有效计划完成；","")&amp;IF(项目总控台账!G41="","缺少总体状态；","")&amp;IF(AND(ISNUMBER(E42),ISNUMBER(F42),E42&gt;=DATE(2000,1,1),F42&gt;=DATE(2000,1,1),E42&gt;F42),"开始晚于完成；","")&amp;IF(AND(项目总控台账!G41="已完成",项目总控台账!AB41&lt;1),"已完成但进度不足100%；",""))</f>
        <v/>
      </c>
      <c r="H42" s="6" t="str">
        <f t="shared" si="0"/>
        <v>通过</v>
      </c>
      <c r="I42" s="6" t="str">
        <f t="shared" si="1"/>
        <v>无需处理</v>
      </c>
      <c r="J42" s="6">
        <v>41</v>
      </c>
    </row>
    <row r="43" spans="1:10">
      <c r="A43" s="6" t="s">
        <v>739</v>
      </c>
      <c r="B43" s="6" t="str">
        <f>项目总控台账!A42</f>
        <v>T039</v>
      </c>
      <c r="C43" s="6" t="str">
        <f>IF(AND(项目总控台账!E42&lt;&gt;"",项目总控台账!E42&lt;&gt;"/"),项目总控台账!E42,IF(AND(项目总控台账!D42&lt;&gt;"",项目总控台账!D42&lt;&gt;"/"),项目总控台账!D42,项目总控台账!C42))</f>
        <v>修改卸车流程</v>
      </c>
      <c r="D43" s="6" t="str">
        <f>项目总控台账!H42</f>
        <v>郑士旺</v>
      </c>
      <c r="E43" s="16">
        <f>项目总控台账!I42</f>
        <v>46209</v>
      </c>
      <c r="F43" s="16">
        <f>项目总控台账!J42</f>
        <v>46261</v>
      </c>
      <c r="G43" s="6" t="str">
        <f>IF(B43="","",IF(OR(C43="",C43="/"),"缺少任务名称；","")&amp;IF(OR(D43="",D43="/"),"缺少有效主责人；","")&amp;IF(OR(E43="",E43&lt;DATE(2000,1,1)),"缺少有效计划开始；","")&amp;IF(OR(F43="",F43&lt;DATE(2000,1,1)),"缺少有效计划完成；","")&amp;IF(项目总控台账!G42="","缺少总体状态；","")&amp;IF(AND(ISNUMBER(E43),ISNUMBER(F43),E43&gt;=DATE(2000,1,1),F43&gt;=DATE(2000,1,1),E43&gt;F43),"开始晚于完成；","")&amp;IF(AND(项目总控台账!G42="已完成",项目总控台账!AB42&lt;1),"已完成但进度不足100%；",""))</f>
        <v/>
      </c>
      <c r="H43" s="6" t="str">
        <f t="shared" si="0"/>
        <v>通过</v>
      </c>
      <c r="I43" s="6" t="str">
        <f t="shared" si="1"/>
        <v>无需处理</v>
      </c>
      <c r="J43" s="6">
        <v>42</v>
      </c>
    </row>
    <row r="44" spans="1:10">
      <c r="A44" s="6" t="s">
        <v>739</v>
      </c>
      <c r="B44" s="6" t="str">
        <f>项目总控台账!A43</f>
        <v>T040</v>
      </c>
      <c r="C44" s="6" t="str">
        <f>IF(AND(项目总控台账!E43&lt;&gt;"",项目总控台账!E43&lt;&gt;"/"),项目总控台账!E43,IF(AND(项目总控台账!D43&lt;&gt;"",项目总控台账!D43&lt;&gt;"/"),项目总控台账!D43,项目总控台账!C43))</f>
        <v>创建装船流程</v>
      </c>
      <c r="D44" s="6" t="str">
        <f>项目总控台账!H43</f>
        <v>郑士旺</v>
      </c>
      <c r="E44" s="16">
        <f>项目总控台账!I43</f>
        <v>46209</v>
      </c>
      <c r="F44" s="16">
        <f>项目总控台账!J43</f>
        <v>46261</v>
      </c>
      <c r="G44" s="6" t="str">
        <f>IF(B44="","",IF(OR(C44="",C44="/"),"缺少任务名称；","")&amp;IF(OR(D44="",D44="/"),"缺少有效主责人；","")&amp;IF(OR(E44="",E44&lt;DATE(2000,1,1)),"缺少有效计划开始；","")&amp;IF(OR(F44="",F44&lt;DATE(2000,1,1)),"缺少有效计划完成；","")&amp;IF(项目总控台账!G43="","缺少总体状态；","")&amp;IF(AND(ISNUMBER(E44),ISNUMBER(F44),E44&gt;=DATE(2000,1,1),F44&gt;=DATE(2000,1,1),E44&gt;F44),"开始晚于完成；","")&amp;IF(AND(项目总控台账!G43="已完成",项目总控台账!AB43&lt;1),"已完成但进度不足100%；",""))</f>
        <v/>
      </c>
      <c r="H44" s="6" t="str">
        <f t="shared" si="0"/>
        <v>通过</v>
      </c>
      <c r="I44" s="6" t="str">
        <f t="shared" si="1"/>
        <v>无需处理</v>
      </c>
      <c r="J44" s="6">
        <v>43</v>
      </c>
    </row>
    <row r="45" spans="1:10">
      <c r="A45" s="6" t="s">
        <v>739</v>
      </c>
      <c r="B45" s="6" t="str">
        <f>项目总控台账!A44</f>
        <v>T041</v>
      </c>
      <c r="C45" s="6" t="str">
        <f>IF(AND(项目总控台账!E44&lt;&gt;"",项目总控台账!E44&lt;&gt;"/"),项目总控台账!E44,IF(AND(项目总控台账!D44&lt;&gt;"",项目总控台账!D44&lt;&gt;"/"),项目总控台账!D44,项目总控台账!C44))</f>
        <v>查询装船流程</v>
      </c>
      <c r="D45" s="6" t="str">
        <f>项目总控台账!H44</f>
        <v>郑士旺</v>
      </c>
      <c r="E45" s="16">
        <f>项目总控台账!I44</f>
        <v>46209</v>
      </c>
      <c r="F45" s="16">
        <f>项目总控台账!J44</f>
        <v>46261</v>
      </c>
      <c r="G45" s="6" t="str">
        <f>IF(B45="","",IF(OR(C45="",C45="/"),"缺少任务名称；","")&amp;IF(OR(D45="",D45="/"),"缺少有效主责人；","")&amp;IF(OR(E45="",E45&lt;DATE(2000,1,1)),"缺少有效计划开始；","")&amp;IF(OR(F45="",F45&lt;DATE(2000,1,1)),"缺少有效计划完成；","")&amp;IF(项目总控台账!G44="","缺少总体状态；","")&amp;IF(AND(ISNUMBER(E45),ISNUMBER(F45),E45&gt;=DATE(2000,1,1),F45&gt;=DATE(2000,1,1),E45&gt;F45),"开始晚于完成；","")&amp;IF(AND(项目总控台账!G44="已完成",项目总控台账!AB44&lt;1),"已完成但进度不足100%；",""))</f>
        <v/>
      </c>
      <c r="H45" s="6" t="str">
        <f t="shared" si="0"/>
        <v>通过</v>
      </c>
      <c r="I45" s="6" t="str">
        <f t="shared" si="1"/>
        <v>无需处理</v>
      </c>
      <c r="J45" s="6">
        <v>44</v>
      </c>
    </row>
    <row r="46" spans="1:10">
      <c r="A46" s="6" t="s">
        <v>739</v>
      </c>
      <c r="B46" s="6" t="str">
        <f>项目总控台账!A45</f>
        <v>T042</v>
      </c>
      <c r="C46" s="6" t="str">
        <f>IF(AND(项目总控台账!E45&lt;&gt;"",项目总控台账!E45&lt;&gt;"/"),项目总控台账!E45,IF(AND(项目总控台账!D45&lt;&gt;"",项目总控台账!D45&lt;&gt;"/"),项目总控台账!D45,项目总控台账!C45))</f>
        <v>修改装船流程</v>
      </c>
      <c r="D46" s="6" t="str">
        <f>项目总控台账!H45</f>
        <v>郑士旺</v>
      </c>
      <c r="E46" s="16">
        <f>项目总控台账!I45</f>
        <v>46209</v>
      </c>
      <c r="F46" s="16">
        <f>项目总控台账!J45</f>
        <v>46261</v>
      </c>
      <c r="G46" s="6" t="str">
        <f>IF(B46="","",IF(OR(C46="",C46="/"),"缺少任务名称；","")&amp;IF(OR(D46="",D46="/"),"缺少有效主责人；","")&amp;IF(OR(E46="",E46&lt;DATE(2000,1,1)),"缺少有效计划开始；","")&amp;IF(OR(F46="",F46&lt;DATE(2000,1,1)),"缺少有效计划完成；","")&amp;IF(项目总控台账!G45="","缺少总体状态；","")&amp;IF(AND(ISNUMBER(E46),ISNUMBER(F46),E46&gt;=DATE(2000,1,1),F46&gt;=DATE(2000,1,1),E46&gt;F46),"开始晚于完成；","")&amp;IF(AND(项目总控台账!G45="已完成",项目总控台账!AB45&lt;1),"已完成但进度不足100%；",""))</f>
        <v/>
      </c>
      <c r="H46" s="6" t="str">
        <f t="shared" si="0"/>
        <v>通过</v>
      </c>
      <c r="I46" s="6" t="str">
        <f t="shared" si="1"/>
        <v>无需处理</v>
      </c>
      <c r="J46" s="6">
        <v>45</v>
      </c>
    </row>
    <row r="47" spans="1:10">
      <c r="A47" s="6" t="s">
        <v>739</v>
      </c>
      <c r="B47" s="6" t="str">
        <f>项目总控台账!A46</f>
        <v>T043</v>
      </c>
      <c r="C47" s="6" t="str">
        <f>IF(AND(项目总控台账!E46&lt;&gt;"",项目总控台账!E46&lt;&gt;"/"),项目总控台账!E46,IF(AND(项目总控台账!D46&lt;&gt;"",项目总控台账!D46&lt;&gt;"/"),项目总控台账!D46,项目总控台账!C46))</f>
        <v>创建卸船流程</v>
      </c>
      <c r="D47" s="6" t="str">
        <f>项目总控台账!H46</f>
        <v>郑士旺</v>
      </c>
      <c r="E47" s="16">
        <f>项目总控台账!I46</f>
        <v>46209</v>
      </c>
      <c r="F47" s="16">
        <f>项目总控台账!J46</f>
        <v>46269</v>
      </c>
      <c r="G47" s="6" t="str">
        <f>IF(B47="","",IF(OR(C47="",C47="/"),"缺少任务名称；","")&amp;IF(OR(D47="",D47="/"),"缺少有效主责人；","")&amp;IF(OR(E47="",E47&lt;DATE(2000,1,1)),"缺少有效计划开始；","")&amp;IF(OR(F47="",F47&lt;DATE(2000,1,1)),"缺少有效计划完成；","")&amp;IF(项目总控台账!G46="","缺少总体状态；","")&amp;IF(AND(ISNUMBER(E47),ISNUMBER(F47),E47&gt;=DATE(2000,1,1),F47&gt;=DATE(2000,1,1),E47&gt;F47),"开始晚于完成；","")&amp;IF(AND(项目总控台账!G46="已完成",项目总控台账!AB46&lt;1),"已完成但进度不足100%；",""))</f>
        <v/>
      </c>
      <c r="H47" s="6" t="str">
        <f t="shared" si="0"/>
        <v>通过</v>
      </c>
      <c r="I47" s="6" t="str">
        <f t="shared" si="1"/>
        <v>无需处理</v>
      </c>
      <c r="J47" s="6">
        <v>46</v>
      </c>
    </row>
    <row r="48" spans="1:10">
      <c r="A48" s="6" t="s">
        <v>739</v>
      </c>
      <c r="B48" s="6" t="str">
        <f>项目总控台账!A47</f>
        <v>T044</v>
      </c>
      <c r="C48" s="6" t="str">
        <f>IF(AND(项目总控台账!E47&lt;&gt;"",项目总控台账!E47&lt;&gt;"/"),项目总控台账!E47,IF(AND(项目总控台账!D47&lt;&gt;"",项目总控台账!D47&lt;&gt;"/"),项目总控台账!D47,项目总控台账!C47))</f>
        <v>查询卸船流程</v>
      </c>
      <c r="D48" s="6" t="str">
        <f>项目总控台账!H47</f>
        <v>郑士旺</v>
      </c>
      <c r="E48" s="16">
        <f>项目总控台账!I47</f>
        <v>46209</v>
      </c>
      <c r="F48" s="16">
        <f>项目总控台账!J47</f>
        <v>46269</v>
      </c>
      <c r="G48" s="6" t="str">
        <f>IF(B48="","",IF(OR(C48="",C48="/"),"缺少任务名称；","")&amp;IF(OR(D48="",D48="/"),"缺少有效主责人；","")&amp;IF(OR(E48="",E48&lt;DATE(2000,1,1)),"缺少有效计划开始；","")&amp;IF(OR(F48="",F48&lt;DATE(2000,1,1)),"缺少有效计划完成；","")&amp;IF(项目总控台账!G47="","缺少总体状态；","")&amp;IF(AND(ISNUMBER(E48),ISNUMBER(F48),E48&gt;=DATE(2000,1,1),F48&gt;=DATE(2000,1,1),E48&gt;F48),"开始晚于完成；","")&amp;IF(AND(项目总控台账!G47="已完成",项目总控台账!AB47&lt;1),"已完成但进度不足100%；",""))</f>
        <v/>
      </c>
      <c r="H48" s="6" t="str">
        <f t="shared" si="0"/>
        <v>通过</v>
      </c>
      <c r="I48" s="6" t="str">
        <f t="shared" si="1"/>
        <v>无需处理</v>
      </c>
      <c r="J48" s="6">
        <v>47</v>
      </c>
    </row>
    <row r="49" spans="1:10">
      <c r="A49" s="6" t="s">
        <v>739</v>
      </c>
      <c r="B49" s="6" t="str">
        <f>项目总控台账!A48</f>
        <v>T045</v>
      </c>
      <c r="C49" s="6" t="str">
        <f>IF(AND(项目总控台账!E48&lt;&gt;"",项目总控台账!E48&lt;&gt;"/"),项目总控台账!E48,IF(AND(项目总控台账!D48&lt;&gt;"",项目总控台账!D48&lt;&gt;"/"),项目总控台账!D48,项目总控台账!C48))</f>
        <v>修改卸船流程</v>
      </c>
      <c r="D49" s="6" t="str">
        <f>项目总控台账!H48</f>
        <v>郑士旺</v>
      </c>
      <c r="E49" s="16">
        <f>项目总控台账!I48</f>
        <v>46209</v>
      </c>
      <c r="F49" s="16">
        <f>项目总控台账!J48</f>
        <v>46269</v>
      </c>
      <c r="G49" s="6" t="str">
        <f>IF(B49="","",IF(OR(C49="",C49="/"),"缺少任务名称；","")&amp;IF(OR(D49="",D49="/"),"缺少有效主责人；","")&amp;IF(OR(E49="",E49&lt;DATE(2000,1,1)),"缺少有效计划开始；","")&amp;IF(OR(F49="",F49&lt;DATE(2000,1,1)),"缺少有效计划完成；","")&amp;IF(项目总控台账!G48="","缺少总体状态；","")&amp;IF(AND(ISNUMBER(E49),ISNUMBER(F49),E49&gt;=DATE(2000,1,1),F49&gt;=DATE(2000,1,1),E49&gt;F49),"开始晚于完成；","")&amp;IF(AND(项目总控台账!G48="已完成",项目总控台账!AB48&lt;1),"已完成但进度不足100%；",""))</f>
        <v/>
      </c>
      <c r="H49" s="6" t="str">
        <f t="shared" si="0"/>
        <v>通过</v>
      </c>
      <c r="I49" s="6" t="str">
        <f t="shared" si="1"/>
        <v>无需处理</v>
      </c>
      <c r="J49" s="6">
        <v>48</v>
      </c>
    </row>
    <row r="50" spans="1:10">
      <c r="A50" s="6" t="s">
        <v>739</v>
      </c>
      <c r="B50" s="6" t="str">
        <f>项目总控台账!A49</f>
        <v>T046</v>
      </c>
      <c r="C50" s="6" t="str">
        <f>IF(AND(项目总控台账!E49&lt;&gt;"",项目总控台账!E49&lt;&gt;"/"),项目总控台账!E49,IF(AND(项目总控台账!D49&lt;&gt;"",项目总控台账!D49&lt;&gt;"/"),项目总控台账!D49,项目总控台账!C49))</f>
        <v>新增船舶预到（外贸）</v>
      </c>
      <c r="D50" s="6" t="str">
        <f>项目总控台账!H49</f>
        <v>郑士旺</v>
      </c>
      <c r="E50" s="16">
        <f>项目总控台账!I49</f>
        <v>46230</v>
      </c>
      <c r="F50" s="16">
        <f>项目总控台账!J49</f>
        <v>46353</v>
      </c>
      <c r="G50" s="6" t="str">
        <f>IF(B50="","",IF(OR(C50="",C50="/"),"缺少任务名称；","")&amp;IF(OR(D50="",D50="/"),"缺少有效主责人；","")&amp;IF(OR(E50="",E50&lt;DATE(2000,1,1)),"缺少有效计划开始；","")&amp;IF(OR(F50="",F50&lt;DATE(2000,1,1)),"缺少有效计划完成；","")&amp;IF(项目总控台账!G49="","缺少总体状态；","")&amp;IF(AND(ISNUMBER(E50),ISNUMBER(F50),E50&gt;=DATE(2000,1,1),F50&gt;=DATE(2000,1,1),E50&gt;F50),"开始晚于完成；","")&amp;IF(AND(项目总控台账!G49="已完成",项目总控台账!AB49&lt;1),"已完成但进度不足100%；",""))</f>
        <v/>
      </c>
      <c r="H50" s="6" t="str">
        <f t="shared" si="0"/>
        <v>通过</v>
      </c>
      <c r="I50" s="6" t="str">
        <f t="shared" si="1"/>
        <v>无需处理</v>
      </c>
      <c r="J50" s="6">
        <v>49</v>
      </c>
    </row>
    <row r="51" spans="1:10">
      <c r="A51" s="6" t="s">
        <v>739</v>
      </c>
      <c r="B51" s="6" t="str">
        <f>项目总控台账!A50</f>
        <v>T047</v>
      </c>
      <c r="C51" s="6" t="str">
        <f>IF(AND(项目总控台账!E50&lt;&gt;"",项目总控台账!E50&lt;&gt;"/"),项目总控台账!E50,IF(AND(项目总控台账!D50&lt;&gt;"",项目总控台账!D50&lt;&gt;"/"),项目总控台账!D50,项目总控台账!C50))</f>
        <v>退回船舶预到（外贸）</v>
      </c>
      <c r="D51" s="6" t="str">
        <f>项目总控台账!H50</f>
        <v>郑士旺</v>
      </c>
      <c r="E51" s="16">
        <f>项目总控台账!I50</f>
        <v>46230</v>
      </c>
      <c r="F51" s="16">
        <f>项目总控台账!J50</f>
        <v>46353</v>
      </c>
      <c r="G51" s="6" t="str">
        <f>IF(B51="","",IF(OR(C51="",C51="/"),"缺少任务名称；","")&amp;IF(OR(D51="",D51="/"),"缺少有效主责人；","")&amp;IF(OR(E51="",E51&lt;DATE(2000,1,1)),"缺少有效计划开始；","")&amp;IF(OR(F51="",F51&lt;DATE(2000,1,1)),"缺少有效计划完成；","")&amp;IF(项目总控台账!G50="","缺少总体状态；","")&amp;IF(AND(ISNUMBER(E51),ISNUMBER(F51),E51&gt;=DATE(2000,1,1),F51&gt;=DATE(2000,1,1),E51&gt;F51),"开始晚于完成；","")&amp;IF(AND(项目总控台账!G50="已完成",项目总控台账!AB50&lt;1),"已完成但进度不足100%；",""))</f>
        <v/>
      </c>
      <c r="H51" s="6" t="str">
        <f t="shared" si="0"/>
        <v>通过</v>
      </c>
      <c r="I51" s="6" t="str">
        <f t="shared" si="1"/>
        <v>无需处理</v>
      </c>
      <c r="J51" s="6">
        <v>50</v>
      </c>
    </row>
    <row r="52" spans="1:10">
      <c r="A52" s="6" t="s">
        <v>739</v>
      </c>
      <c r="B52" s="6" t="str">
        <f>项目总控台账!A51</f>
        <v>T048</v>
      </c>
      <c r="C52" s="6" t="str">
        <f>IF(AND(项目总控台账!E51&lt;&gt;"",项目总控台账!E51&lt;&gt;"/"),项目总控台账!E51,IF(AND(项目总控台账!D51&lt;&gt;"",项目总控台账!D51&lt;&gt;"/"),项目总控台账!D51,项目总控台账!C51))</f>
        <v>退回船舶预到（外贸）</v>
      </c>
      <c r="D52" s="6" t="str">
        <f>项目总控台账!H51</f>
        <v>郑士旺</v>
      </c>
      <c r="E52" s="16">
        <f>项目总控台账!I51</f>
        <v>46230</v>
      </c>
      <c r="F52" s="16">
        <f>项目总控台账!J51</f>
        <v>46261</v>
      </c>
      <c r="G52" s="6" t="str">
        <f>IF(B52="","",IF(OR(C52="",C52="/"),"缺少任务名称；","")&amp;IF(OR(D52="",D52="/"),"缺少有效主责人；","")&amp;IF(OR(E52="",E52&lt;DATE(2000,1,1)),"缺少有效计划开始；","")&amp;IF(OR(F52="",F52&lt;DATE(2000,1,1)),"缺少有效计划完成；","")&amp;IF(项目总控台账!G51="","缺少总体状态；","")&amp;IF(AND(ISNUMBER(E52),ISNUMBER(F52),E52&gt;=DATE(2000,1,1),F52&gt;=DATE(2000,1,1),E52&gt;F52),"开始晚于完成；","")&amp;IF(AND(项目总控台账!G51="已完成",项目总控台账!AB51&lt;1),"已完成但进度不足100%；",""))</f>
        <v/>
      </c>
      <c r="H52" s="6" t="str">
        <f t="shared" si="0"/>
        <v>通过</v>
      </c>
      <c r="I52" s="6" t="str">
        <f t="shared" si="1"/>
        <v>无需处理</v>
      </c>
      <c r="J52" s="6">
        <v>51</v>
      </c>
    </row>
    <row r="53" spans="1:10">
      <c r="A53" s="6" t="s">
        <v>739</v>
      </c>
      <c r="B53" s="6" t="str">
        <f>项目总控台账!A52</f>
        <v>T049</v>
      </c>
      <c r="C53" s="6" t="str">
        <f>IF(AND(项目总控台账!E52&lt;&gt;"",项目总控台账!E52&lt;&gt;"/"),项目总控台账!E52,IF(AND(项目总控台账!D52&lt;&gt;"",项目总控台账!D52&lt;&gt;"/"),项目总控台账!D52,项目总控台账!C52))</f>
        <v>申请采样申请（外贸）</v>
      </c>
      <c r="D53" s="6" t="str">
        <f>项目总控台账!H52</f>
        <v>郑士旺</v>
      </c>
      <c r="E53" s="16">
        <f>项目总控台账!I52</f>
        <v>46230</v>
      </c>
      <c r="F53" s="16">
        <f>项目总控台账!J52</f>
        <v>46261</v>
      </c>
      <c r="G53" s="6" t="str">
        <f>IF(B53="","",IF(OR(C53="",C53="/"),"缺少任务名称；","")&amp;IF(OR(D53="",D53="/"),"缺少有效主责人；","")&amp;IF(OR(E53="",E53&lt;DATE(2000,1,1)),"缺少有效计划开始；","")&amp;IF(OR(F53="",F53&lt;DATE(2000,1,1)),"缺少有效计划完成；","")&amp;IF(项目总控台账!G52="","缺少总体状态；","")&amp;IF(AND(ISNUMBER(E53),ISNUMBER(F53),E53&gt;=DATE(2000,1,1),F53&gt;=DATE(2000,1,1),E53&gt;F53),"开始晚于完成；","")&amp;IF(AND(项目总控台账!G52="已完成",项目总控台账!AB52&lt;1),"已完成但进度不足100%；",""))</f>
        <v/>
      </c>
      <c r="H53" s="6" t="str">
        <f t="shared" si="0"/>
        <v>通过</v>
      </c>
      <c r="I53" s="6" t="str">
        <f t="shared" si="1"/>
        <v>无需处理</v>
      </c>
      <c r="J53" s="6">
        <v>52</v>
      </c>
    </row>
    <row r="54" spans="1:10">
      <c r="A54" s="6" t="s">
        <v>739</v>
      </c>
      <c r="B54" s="6" t="str">
        <f>项目总控台账!A53</f>
        <v>T050</v>
      </c>
      <c r="C54" s="6" t="str">
        <f>IF(AND(项目总控台账!E53&lt;&gt;"",项目总控台账!E53&lt;&gt;"/"),项目总控台账!E53,IF(AND(项目总控台账!D53&lt;&gt;"",项目总控台账!D53&lt;&gt;"/"),项目总控台账!D53,项目总控台账!C53))</f>
        <v>维护需跟踪船舶清单</v>
      </c>
      <c r="D54" s="6" t="str">
        <f>项目总控台账!H53</f>
        <v>郑士旺</v>
      </c>
      <c r="E54" s="16">
        <f>项目总控台账!I53</f>
        <v>46202</v>
      </c>
      <c r="F54" s="16">
        <f>项目总控台账!J53</f>
        <v>46234</v>
      </c>
      <c r="G54" s="6" t="str">
        <f>IF(B54="","",IF(OR(C54="",C54="/"),"缺少任务名称；","")&amp;IF(OR(D54="",D54="/"),"缺少有效主责人；","")&amp;IF(OR(E54="",E54&lt;DATE(2000,1,1)),"缺少有效计划开始；","")&amp;IF(OR(F54="",F54&lt;DATE(2000,1,1)),"缺少有效计划完成；","")&amp;IF(项目总控台账!G53="","缺少总体状态；","")&amp;IF(AND(ISNUMBER(E54),ISNUMBER(F54),E54&gt;=DATE(2000,1,1),F54&gt;=DATE(2000,1,1),E54&gt;F54),"开始晚于完成；","")&amp;IF(AND(项目总控台账!G53="已完成",项目总控台账!AB53&lt;1),"已完成但进度不足100%；",""))</f>
        <v/>
      </c>
      <c r="H54" s="6" t="str">
        <f t="shared" si="0"/>
        <v>通过</v>
      </c>
      <c r="I54" s="6" t="str">
        <f t="shared" si="1"/>
        <v>无需处理</v>
      </c>
      <c r="J54" s="6">
        <v>53</v>
      </c>
    </row>
    <row r="55" spans="1:10">
      <c r="A55" s="6" t="s">
        <v>739</v>
      </c>
      <c r="B55" s="6" t="str">
        <f>项目总控台账!A54</f>
        <v>T051</v>
      </c>
      <c r="C55" s="6" t="str">
        <f>IF(AND(项目总控台账!E54&lt;&gt;"",项目总控台账!E54&lt;&gt;"/"),项目总控台账!E54,IF(AND(项目总控台账!D54&lt;&gt;"",项目总控台账!D54&lt;&gt;"/"),项目总控台账!D54,项目总控台账!C54))</f>
        <v>根据船舶清单更新第三方系统推送数据船舶清单</v>
      </c>
      <c r="D55" s="6" t="str">
        <f>项目总控台账!H54</f>
        <v>郑士旺</v>
      </c>
      <c r="E55" s="16">
        <f>项目总控台账!I54</f>
        <v>46202</v>
      </c>
      <c r="F55" s="16">
        <f>项目总控台账!J54</f>
        <v>46261</v>
      </c>
      <c r="G55" s="6" t="str">
        <f>IF(B55="","",IF(OR(C55="",C55="/"),"缺少任务名称；","")&amp;IF(OR(D55="",D55="/"),"缺少有效主责人；","")&amp;IF(OR(E55="",E55&lt;DATE(2000,1,1)),"缺少有效计划开始；","")&amp;IF(OR(F55="",F55&lt;DATE(2000,1,1)),"缺少有效计划完成；","")&amp;IF(项目总控台账!G54="","缺少总体状态；","")&amp;IF(AND(ISNUMBER(E55),ISNUMBER(F55),E55&gt;=DATE(2000,1,1),F55&gt;=DATE(2000,1,1),E55&gt;F55),"开始晚于完成；","")&amp;IF(AND(项目总控台账!G54="已完成",项目总控台账!AB54&lt;1),"已完成但进度不足100%；",""))</f>
        <v/>
      </c>
      <c r="H55" s="6" t="str">
        <f t="shared" si="0"/>
        <v>通过</v>
      </c>
      <c r="I55" s="6" t="str">
        <f t="shared" si="1"/>
        <v>无需处理</v>
      </c>
      <c r="J55" s="6">
        <v>54</v>
      </c>
    </row>
    <row r="56" spans="1:10">
      <c r="A56" s="6" t="s">
        <v>739</v>
      </c>
      <c r="B56" s="6" t="str">
        <f>项目总控台账!A55</f>
        <v>T052</v>
      </c>
      <c r="C56" s="6" t="str">
        <f>IF(AND(项目总控台账!E55&lt;&gt;"",项目总控台账!E55&lt;&gt;"/"),项目总控台账!E55,IF(AND(项目总控台账!D55&lt;&gt;"",项目总控台账!D55&lt;&gt;"/"),项目总控台账!D55,项目总控台账!C55))</f>
        <v>船舶轨迹跟踪</v>
      </c>
      <c r="D56" s="6" t="str">
        <f>项目总控台账!H55</f>
        <v>郑士旺</v>
      </c>
      <c r="E56" s="16">
        <f>项目总控台账!I55</f>
        <v>46202</v>
      </c>
      <c r="F56" s="16">
        <f>项目总控台账!J55</f>
        <v>46261</v>
      </c>
      <c r="G56" s="6" t="str">
        <f>IF(B56="","",IF(OR(C56="",C56="/"),"缺少任务名称；","")&amp;IF(OR(D56="",D56="/"),"缺少有效主责人；","")&amp;IF(OR(E56="",E56&lt;DATE(2000,1,1)),"缺少有效计划开始；","")&amp;IF(OR(F56="",F56&lt;DATE(2000,1,1)),"缺少有效计划完成；","")&amp;IF(项目总控台账!G55="","缺少总体状态；","")&amp;IF(AND(ISNUMBER(E56),ISNUMBER(F56),E56&gt;=DATE(2000,1,1),F56&gt;=DATE(2000,1,1),E56&gt;F56),"开始晚于完成；","")&amp;IF(AND(项目总控台账!G55="已完成",项目总控台账!AB55&lt;1),"已完成但进度不足100%；",""))</f>
        <v/>
      </c>
      <c r="H56" s="6" t="str">
        <f t="shared" si="0"/>
        <v>通过</v>
      </c>
      <c r="I56" s="6" t="str">
        <f t="shared" si="1"/>
        <v>无需处理</v>
      </c>
      <c r="J56" s="6">
        <v>55</v>
      </c>
    </row>
    <row r="57" spans="1:10">
      <c r="A57" s="6" t="s">
        <v>739</v>
      </c>
      <c r="B57" s="6" t="str">
        <f>项目总控台账!A56</f>
        <v>T053</v>
      </c>
      <c r="C57" s="6" t="str">
        <f>IF(AND(项目总控台账!E56&lt;&gt;"",项目总控台账!E56&lt;&gt;"/"),项目总控台账!E56,IF(AND(项目总控台账!D56&lt;&gt;"",项目总控台账!D56&lt;&gt;"/"),项目总控台账!D56,项目总控台账!C56))</f>
        <v>接入港口侧视频监控</v>
      </c>
      <c r="D57" s="6" t="str">
        <f>项目总控台账!H56</f>
        <v>郑士旺</v>
      </c>
      <c r="E57" s="16">
        <f>项目总控台账!I56</f>
        <v>46223</v>
      </c>
      <c r="F57" s="16">
        <f>项目总控台账!J56</f>
        <v>46224</v>
      </c>
      <c r="G57" s="6" t="str">
        <f>IF(B57="","",IF(OR(C57="",C57="/"),"缺少任务名称；","")&amp;IF(OR(D57="",D57="/"),"缺少有效主责人；","")&amp;IF(OR(E57="",E57&lt;DATE(2000,1,1)),"缺少有效计划开始；","")&amp;IF(OR(F57="",F57&lt;DATE(2000,1,1)),"缺少有效计划完成；","")&amp;IF(项目总控台账!G56="","缺少总体状态；","")&amp;IF(AND(ISNUMBER(E57),ISNUMBER(F57),E57&gt;=DATE(2000,1,1),F57&gt;=DATE(2000,1,1),E57&gt;F57),"开始晚于完成；","")&amp;IF(AND(项目总控台账!G56="已完成",项目总控台账!AB56&lt;1),"已完成但进度不足100%；",""))</f>
        <v/>
      </c>
      <c r="H57" s="6" t="str">
        <f t="shared" si="0"/>
        <v>通过</v>
      </c>
      <c r="I57" s="6" t="str">
        <f t="shared" si="1"/>
        <v>无需处理</v>
      </c>
      <c r="J57" s="6">
        <v>56</v>
      </c>
    </row>
    <row r="58" spans="1:10">
      <c r="A58" s="6" t="s">
        <v>739</v>
      </c>
      <c r="B58" s="6" t="str">
        <f>项目总控台账!A57</f>
        <v>T054</v>
      </c>
      <c r="C58" s="6" t="str">
        <f>IF(AND(项目总控台账!E57&lt;&gt;"",项目总控台账!E57&lt;&gt;"/"),项目总控台账!E57,IF(AND(项目总控台账!D57&lt;&gt;"",项目总控台账!D57&lt;&gt;"/"),项目总控台账!D57,项目总控台账!C57))</f>
        <v>视频查看权限申请</v>
      </c>
      <c r="D58" s="6" t="str">
        <f>项目总控台账!H57</f>
        <v>郑士旺</v>
      </c>
      <c r="E58" s="16">
        <f>项目总控台账!I57</f>
        <v>46223</v>
      </c>
      <c r="F58" s="16">
        <f>项目总控台账!J57</f>
        <v>46224</v>
      </c>
      <c r="G58" s="6" t="str">
        <f>IF(B58="","",IF(OR(C58="",C58="/"),"缺少任务名称；","")&amp;IF(OR(D58="",D58="/"),"缺少有效主责人；","")&amp;IF(OR(E58="",E58&lt;DATE(2000,1,1)),"缺少有效计划开始；","")&amp;IF(OR(F58="",F58&lt;DATE(2000,1,1)),"缺少有效计划完成；","")&amp;IF(项目总控台账!G57="","缺少总体状态；","")&amp;IF(AND(ISNUMBER(E58),ISNUMBER(F58),E58&gt;=DATE(2000,1,1),F58&gt;=DATE(2000,1,1),E58&gt;F58),"开始晚于完成；","")&amp;IF(AND(项目总控台账!G57="已完成",项目总控台账!AB57&lt;1),"已完成但进度不足100%；",""))</f>
        <v/>
      </c>
      <c r="H58" s="6" t="str">
        <f t="shared" si="0"/>
        <v>通过</v>
      </c>
      <c r="I58" s="6" t="str">
        <f t="shared" si="1"/>
        <v>无需处理</v>
      </c>
      <c r="J58" s="6">
        <v>57</v>
      </c>
    </row>
    <row r="59" spans="1:10">
      <c r="A59" s="6" t="s">
        <v>739</v>
      </c>
      <c r="B59" s="6" t="str">
        <f>项目总控台账!A58</f>
        <v>T055</v>
      </c>
      <c r="C59" s="6" t="str">
        <f>IF(AND(项目总控台账!E58&lt;&gt;"",项目总控台账!E58&lt;&gt;"/"),项目总控台账!E58,IF(AND(项目总控台账!D58&lt;&gt;"",项目总控台账!D58&lt;&gt;"/"),项目总控台账!D58,项目总控台账!C58))</f>
        <v>视频查看权限审批</v>
      </c>
      <c r="D59" s="6" t="str">
        <f>项目总控台账!H58</f>
        <v>郑士旺</v>
      </c>
      <c r="E59" s="16">
        <f>项目总控台账!I58</f>
        <v>46223</v>
      </c>
      <c r="F59" s="16">
        <f>项目总控台账!J58</f>
        <v>46224</v>
      </c>
      <c r="G59" s="6" t="str">
        <f>IF(B59="","",IF(OR(C59="",C59="/"),"缺少任务名称；","")&amp;IF(OR(D59="",D59="/"),"缺少有效主责人；","")&amp;IF(OR(E59="",E59&lt;DATE(2000,1,1)),"缺少有效计划开始；","")&amp;IF(OR(F59="",F59&lt;DATE(2000,1,1)),"缺少有效计划完成；","")&amp;IF(项目总控台账!G58="","缺少总体状态；","")&amp;IF(AND(ISNUMBER(E59),ISNUMBER(F59),E59&gt;=DATE(2000,1,1),F59&gt;=DATE(2000,1,1),E59&gt;F59),"开始晚于完成；","")&amp;IF(AND(项目总控台账!G58="已完成",项目总控台账!AB58&lt;1),"已完成但进度不足100%；",""))</f>
        <v/>
      </c>
      <c r="H59" s="6" t="str">
        <f t="shared" si="0"/>
        <v>通过</v>
      </c>
      <c r="I59" s="6" t="str">
        <f t="shared" si="1"/>
        <v>无需处理</v>
      </c>
      <c r="J59" s="6">
        <v>58</v>
      </c>
    </row>
    <row r="60" spans="1:10">
      <c r="A60" s="6" t="s">
        <v>739</v>
      </c>
      <c r="B60" s="6" t="str">
        <f>项目总控台账!A59</f>
        <v>T056</v>
      </c>
      <c r="C60" s="6" t="str">
        <f>IF(AND(项目总控台账!E59&lt;&gt;"",项目总控台账!E59&lt;&gt;"/"),项目总控台账!E59,IF(AND(项目总控台账!D59&lt;&gt;"",项目总控台账!D59&lt;&gt;"/"),项目总控台账!D59,项目总控台账!C59))</f>
        <v>视频查看权限有效期控制</v>
      </c>
      <c r="D60" s="6" t="str">
        <f>项目总控台账!H59</f>
        <v>郑士旺</v>
      </c>
      <c r="E60" s="16">
        <f>项目总控台账!I59</f>
        <v>46223</v>
      </c>
      <c r="F60" s="16">
        <f>项目总控台账!J59</f>
        <v>46318</v>
      </c>
      <c r="G60" s="6" t="str">
        <f>IF(B60="","",IF(OR(C60="",C60="/"),"缺少任务名称；","")&amp;IF(OR(D60="",D60="/"),"缺少有效主责人；","")&amp;IF(OR(E60="",E60&lt;DATE(2000,1,1)),"缺少有效计划开始；","")&amp;IF(OR(F60="",F60&lt;DATE(2000,1,1)),"缺少有效计划完成；","")&amp;IF(项目总控台账!G59="","缺少总体状态；","")&amp;IF(AND(ISNUMBER(E60),ISNUMBER(F60),E60&gt;=DATE(2000,1,1),F60&gt;=DATE(2000,1,1),E60&gt;F60),"开始晚于完成；","")&amp;IF(AND(项目总控台账!G59="已完成",项目总控台账!AB59&lt;1),"已完成但进度不足100%；",""))</f>
        <v/>
      </c>
      <c r="H60" s="6" t="str">
        <f t="shared" si="0"/>
        <v>通过</v>
      </c>
      <c r="I60" s="6" t="str">
        <f t="shared" si="1"/>
        <v>无需处理</v>
      </c>
      <c r="J60" s="6">
        <v>59</v>
      </c>
    </row>
    <row r="61" spans="1:10">
      <c r="A61" s="6" t="s">
        <v>739</v>
      </c>
      <c r="B61" s="6" t="str">
        <f>项目总控台账!A60</f>
        <v>T057</v>
      </c>
      <c r="C61" s="6" t="str">
        <f>IF(AND(项目总控台账!E60&lt;&gt;"",项目总控台账!E60&lt;&gt;"/"),项目总控台账!E60,IF(AND(项目总控台账!D60&lt;&gt;"",项目总控台账!D60&lt;&gt;"/"),项目总控台账!D60,项目总控台账!C60))</f>
        <v>外网PC端视频监控查询</v>
      </c>
      <c r="D61" s="6" t="str">
        <f>项目总控台账!H60</f>
        <v>郑士旺</v>
      </c>
      <c r="E61" s="16">
        <f>项目总控台账!I60</f>
        <v>46223</v>
      </c>
      <c r="F61" s="16">
        <f>项目总控台账!J60</f>
        <v>46224</v>
      </c>
      <c r="G61" s="6" t="str">
        <f>IF(B61="","",IF(OR(C61="",C61="/"),"缺少任务名称；","")&amp;IF(OR(D61="",D61="/"),"缺少有效主责人；","")&amp;IF(OR(E61="",E61&lt;DATE(2000,1,1)),"缺少有效计划开始；","")&amp;IF(OR(F61="",F61&lt;DATE(2000,1,1)),"缺少有效计划完成；","")&amp;IF(项目总控台账!G60="","缺少总体状态；","")&amp;IF(AND(ISNUMBER(E61),ISNUMBER(F61),E61&gt;=DATE(2000,1,1),F61&gt;=DATE(2000,1,1),E61&gt;F61),"开始晚于完成；","")&amp;IF(AND(项目总控台账!G60="已完成",项目总控台账!AB60&lt;1),"已完成但进度不足100%；",""))</f>
        <v/>
      </c>
      <c r="H61" s="6" t="str">
        <f t="shared" si="0"/>
        <v>通过</v>
      </c>
      <c r="I61" s="6" t="str">
        <f t="shared" si="1"/>
        <v>无需处理</v>
      </c>
      <c r="J61" s="6">
        <v>60</v>
      </c>
    </row>
    <row r="62" spans="1:10">
      <c r="A62" s="6" t="s">
        <v>739</v>
      </c>
      <c r="B62" s="6" t="str">
        <f>项目总控台账!A61</f>
        <v>T058</v>
      </c>
      <c r="C62" s="6" t="str">
        <f>IF(AND(项目总控台账!E61&lt;&gt;"",项目总控台账!E61&lt;&gt;"/"),项目总控台账!E61,IF(AND(项目总控台账!D61&lt;&gt;"",项目总控台账!D61&lt;&gt;"/"),项目总控台账!D61,项目总控台账!C61))</f>
        <v>OCR识别及编辑</v>
      </c>
      <c r="D62" s="6" t="str">
        <f>项目总控台账!H61</f>
        <v>郑士旺</v>
      </c>
      <c r="E62" s="16">
        <f>项目总控台账!I61</f>
        <v>46195</v>
      </c>
      <c r="F62" s="16">
        <f>项目总控台账!J61</f>
        <v>46224</v>
      </c>
      <c r="G62" s="6" t="str">
        <f>IF(B62="","",IF(OR(C62="",C62="/"),"缺少任务名称；","")&amp;IF(OR(D62="",D62="/"),"缺少有效主责人；","")&amp;IF(OR(E62="",E62&lt;DATE(2000,1,1)),"缺少有效计划开始；","")&amp;IF(OR(F62="",F62&lt;DATE(2000,1,1)),"缺少有效计划完成；","")&amp;IF(项目总控台账!G61="","缺少总体状态；","")&amp;IF(AND(ISNUMBER(E62),ISNUMBER(F62),E62&gt;=DATE(2000,1,1),F62&gt;=DATE(2000,1,1),E62&gt;F62),"开始晚于完成；","")&amp;IF(AND(项目总控台账!G61="已完成",项目总控台账!AB61&lt;1),"已完成但进度不足100%；",""))</f>
        <v/>
      </c>
      <c r="H62" s="6" t="str">
        <f t="shared" si="0"/>
        <v>通过</v>
      </c>
      <c r="I62" s="6" t="str">
        <f t="shared" si="1"/>
        <v>无需处理</v>
      </c>
      <c r="J62" s="6">
        <v>61</v>
      </c>
    </row>
    <row r="63" spans="1:10">
      <c r="A63" s="6" t="s">
        <v>739</v>
      </c>
      <c r="B63" s="6" t="str">
        <f>项目总控台账!A62</f>
        <v>T059</v>
      </c>
      <c r="C63" s="6" t="str">
        <f>IF(AND(项目总控台账!E62&lt;&gt;"",项目总控台账!E62&lt;&gt;"/"),项目总控台账!E62,IF(AND(项目总控台账!D62&lt;&gt;"",项目总控台账!D62&lt;&gt;"/"),项目总控台账!D62,项目总控台账!C62))</f>
        <v>优化新增装车作业信息</v>
      </c>
      <c r="D63" s="6" t="str">
        <f>项目总控台账!H62</f>
        <v>郑士旺</v>
      </c>
      <c r="E63" s="16">
        <f>项目总控台账!I62</f>
        <v>46230</v>
      </c>
      <c r="F63" s="16">
        <f>项目总控台账!J62</f>
        <v>46318</v>
      </c>
      <c r="G63" s="6" t="str">
        <f>IF(B63="","",IF(OR(C63="",C63="/"),"缺少任务名称；","")&amp;IF(OR(D63="",D63="/"),"缺少有效主责人；","")&amp;IF(OR(E63="",E63&lt;DATE(2000,1,1)),"缺少有效计划开始；","")&amp;IF(OR(F63="",F63&lt;DATE(2000,1,1)),"缺少有效计划完成；","")&amp;IF(项目总控台账!G62="","缺少总体状态；","")&amp;IF(AND(ISNUMBER(E63),ISNUMBER(F63),E63&gt;=DATE(2000,1,1),F63&gt;=DATE(2000,1,1),E63&gt;F63),"开始晚于完成；","")&amp;IF(AND(项目总控台账!G62="已完成",项目总控台账!AB62&lt;1),"已完成但进度不足100%；",""))</f>
        <v/>
      </c>
      <c r="H63" s="6" t="str">
        <f t="shared" si="0"/>
        <v>通过</v>
      </c>
      <c r="I63" s="6" t="str">
        <f t="shared" si="1"/>
        <v>无需处理</v>
      </c>
      <c r="J63" s="6">
        <v>62</v>
      </c>
    </row>
    <row r="64" spans="1:10">
      <c r="A64" s="6" t="s">
        <v>739</v>
      </c>
      <c r="B64" s="6" t="str">
        <f>项目总控台账!A63</f>
        <v>T060</v>
      </c>
      <c r="C64" s="6" t="str">
        <f>IF(AND(项目总控台账!E63&lt;&gt;"",项目总控台账!E63&lt;&gt;"/"),项目总控台账!E63,IF(AND(项目总控台账!D63&lt;&gt;"",项目总控台账!D63&lt;&gt;"/"),项目总控台账!D63,项目总控台账!C63))</f>
        <v>货权录入</v>
      </c>
      <c r="D64" s="6" t="str">
        <f>项目总控台账!H63</f>
        <v>郑士旺</v>
      </c>
      <c r="E64" s="16">
        <f>项目总控台账!I63</f>
        <v>46202</v>
      </c>
      <c r="F64" s="16">
        <f>项目总控台账!J63</f>
        <v>46261</v>
      </c>
      <c r="G64" s="6" t="str">
        <f>IF(B64="","",IF(OR(C64="",C64="/"),"缺少任务名称；","")&amp;IF(OR(D64="",D64="/"),"缺少有效主责人；","")&amp;IF(OR(E64="",E64&lt;DATE(2000,1,1)),"缺少有效计划开始；","")&amp;IF(OR(F64="",F64&lt;DATE(2000,1,1)),"缺少有效计划完成；","")&amp;IF(项目总控台账!G63="","缺少总体状态；","")&amp;IF(AND(ISNUMBER(E64),ISNUMBER(F64),E64&gt;=DATE(2000,1,1),F64&gt;=DATE(2000,1,1),E64&gt;F64),"开始晚于完成；","")&amp;IF(AND(项目总控台账!G63="已完成",项目总控台账!AB63&lt;1),"已完成但进度不足100%；",""))</f>
        <v/>
      </c>
      <c r="H64" s="6" t="str">
        <f t="shared" si="0"/>
        <v>通过</v>
      </c>
      <c r="I64" s="6" t="str">
        <f t="shared" si="1"/>
        <v>无需处理</v>
      </c>
      <c r="J64" s="6">
        <v>63</v>
      </c>
    </row>
    <row r="65" spans="1:10">
      <c r="A65" s="6" t="s">
        <v>739</v>
      </c>
      <c r="B65" s="6" t="str">
        <f>项目总控台账!A64</f>
        <v>T061</v>
      </c>
      <c r="C65" s="6" t="str">
        <f>IF(AND(项目总控台账!E64&lt;&gt;"",项目总控台账!E64&lt;&gt;"/"),项目总控台账!E64,IF(AND(项目总控台账!D64&lt;&gt;"",项目总控台账!D64&lt;&gt;"/"),项目总控台账!D64,项目总控台账!C64))</f>
        <v>货权修改</v>
      </c>
      <c r="D65" s="6" t="str">
        <f>项目总控台账!H64</f>
        <v>郑士旺</v>
      </c>
      <c r="E65" s="16">
        <f>项目总控台账!I64</f>
        <v>46202</v>
      </c>
      <c r="F65" s="16">
        <f>项目总控台账!J64</f>
        <v>46261</v>
      </c>
      <c r="G65" s="6" t="str">
        <f>IF(B65="","",IF(OR(C65="",C65="/"),"缺少任务名称；","")&amp;IF(OR(D65="",D65="/"),"缺少有效主责人；","")&amp;IF(OR(E65="",E65&lt;DATE(2000,1,1)),"缺少有效计划开始；","")&amp;IF(OR(F65="",F65&lt;DATE(2000,1,1)),"缺少有效计划完成；","")&amp;IF(项目总控台账!G64="","缺少总体状态；","")&amp;IF(AND(ISNUMBER(E65),ISNUMBER(F65),E65&gt;=DATE(2000,1,1),F65&gt;=DATE(2000,1,1),E65&gt;F65),"开始晚于完成；","")&amp;IF(AND(项目总控台账!G64="已完成",项目总控台账!AB64&lt;1),"已完成但进度不足100%；",""))</f>
        <v/>
      </c>
      <c r="H65" s="6" t="str">
        <f t="shared" si="0"/>
        <v>通过</v>
      </c>
      <c r="I65" s="6" t="str">
        <f t="shared" si="1"/>
        <v>无需处理</v>
      </c>
      <c r="J65" s="6">
        <v>64</v>
      </c>
    </row>
    <row r="66" spans="1:10">
      <c r="A66" s="6" t="s">
        <v>739</v>
      </c>
      <c r="B66" s="6" t="str">
        <f>项目总控台账!A65</f>
        <v>T062</v>
      </c>
      <c r="C66" s="6" t="str">
        <f>IF(AND(项目总控台账!E65&lt;&gt;"",项目总控台账!E65&lt;&gt;"/"),项目总控台账!E65,IF(AND(项目总控台账!D65&lt;&gt;"",项目总控台账!D65&lt;&gt;"/"),项目总控台账!D65,项目总控台账!C65))</f>
        <v>获取查询</v>
      </c>
      <c r="D66" s="6" t="str">
        <f>项目总控台账!H65</f>
        <v>郑士旺</v>
      </c>
      <c r="E66" s="16">
        <f>项目总控台账!I65</f>
        <v>46202</v>
      </c>
      <c r="F66" s="16">
        <f>项目总控台账!J65</f>
        <v>46261</v>
      </c>
      <c r="G66" s="6" t="str">
        <f>IF(B66="","",IF(OR(C66="",C66="/"),"缺少任务名称；","")&amp;IF(OR(D66="",D66="/"),"缺少有效主责人；","")&amp;IF(OR(E66="",E66&lt;DATE(2000,1,1)),"缺少有效计划开始；","")&amp;IF(OR(F66="",F66&lt;DATE(2000,1,1)),"缺少有效计划完成；","")&amp;IF(项目总控台账!G65="","缺少总体状态；","")&amp;IF(AND(ISNUMBER(E66),ISNUMBER(F66),E66&gt;=DATE(2000,1,1),F66&gt;=DATE(2000,1,1),E66&gt;F66),"开始晚于完成；","")&amp;IF(AND(项目总控台账!G65="已完成",项目总控台账!AB65&lt;1),"已完成但进度不足100%；",""))</f>
        <v/>
      </c>
      <c r="H66" s="6" t="str">
        <f t="shared" si="0"/>
        <v>通过</v>
      </c>
      <c r="I66" s="6" t="str">
        <f t="shared" si="1"/>
        <v>无需处理</v>
      </c>
      <c r="J66" s="6">
        <v>65</v>
      </c>
    </row>
    <row r="67" spans="1:10">
      <c r="A67" s="6" t="s">
        <v>739</v>
      </c>
      <c r="B67" s="6" t="str">
        <f>项目总控台账!A66</f>
        <v>T063</v>
      </c>
      <c r="C67" s="6" t="str">
        <f>IF(AND(项目总控台账!E66&lt;&gt;"",项目总控台账!E66&lt;&gt;"/"),项目总控台账!E66,IF(AND(项目总控台账!D66&lt;&gt;"",项目总控台账!D66&lt;&gt;"/"),项目总控台账!D66,项目总控台账!C66))</f>
        <v>卸船作业货权跟踪</v>
      </c>
      <c r="D67" s="6" t="str">
        <f>项目总控台账!H66</f>
        <v>郑士旺</v>
      </c>
      <c r="E67" s="16">
        <f>项目总控台账!I66</f>
        <v>46202</v>
      </c>
      <c r="F67" s="16">
        <f>项目总控台账!J66</f>
        <v>46261</v>
      </c>
      <c r="G67" s="6" t="str">
        <f>IF(B67="","",IF(OR(C67="",C67="/"),"缺少任务名称；","")&amp;IF(OR(D67="",D67="/"),"缺少有效主责人；","")&amp;IF(OR(E67="",E67&lt;DATE(2000,1,1)),"缺少有效计划开始；","")&amp;IF(OR(F67="",F67&lt;DATE(2000,1,1)),"缺少有效计划完成；","")&amp;IF(项目总控台账!G66="","缺少总体状态；","")&amp;IF(AND(ISNUMBER(E67),ISNUMBER(F67),E67&gt;=DATE(2000,1,1),F67&gt;=DATE(2000,1,1),E67&gt;F67),"开始晚于完成；","")&amp;IF(AND(项目总控台账!G66="已完成",项目总控台账!AB66&lt;1),"已完成但进度不足100%；",""))</f>
        <v/>
      </c>
      <c r="H67" s="6" t="str">
        <f t="shared" si="0"/>
        <v>通过</v>
      </c>
      <c r="I67" s="6" t="str">
        <f t="shared" si="1"/>
        <v>无需处理</v>
      </c>
      <c r="J67" s="6">
        <v>66</v>
      </c>
    </row>
    <row r="68" spans="1:10">
      <c r="A68" s="6" t="s">
        <v>739</v>
      </c>
      <c r="B68" s="6" t="str">
        <f>项目总控台账!A67</f>
        <v>T064</v>
      </c>
      <c r="C68" s="6" t="str">
        <f>IF(AND(项目总控台账!E67&lt;&gt;"",项目总控台账!E67&lt;&gt;"/"),项目总控台账!E67,IF(AND(项目总控台账!D67&lt;&gt;"",项目总控台账!D67&lt;&gt;"/"),项目总控台账!D67,项目总控台账!C67))</f>
        <v>卸船作业货权跟踪</v>
      </c>
      <c r="D68" s="6" t="str">
        <f>项目总控台账!H67</f>
        <v>郑士旺</v>
      </c>
      <c r="E68" s="16">
        <f>项目总控台账!I67</f>
        <v>46202</v>
      </c>
      <c r="F68" s="16">
        <f>项目总控台账!J67</f>
        <v>46261</v>
      </c>
      <c r="G68" s="6" t="str">
        <f>IF(B68="","",IF(OR(C68="",C68="/"),"缺少任务名称；","")&amp;IF(OR(D68="",D68="/"),"缺少有效主责人；","")&amp;IF(OR(E68="",E68&lt;DATE(2000,1,1)),"缺少有效计划开始；","")&amp;IF(OR(F68="",F68&lt;DATE(2000,1,1)),"缺少有效计划完成；","")&amp;IF(项目总控台账!G67="","缺少总体状态；","")&amp;IF(AND(ISNUMBER(E68),ISNUMBER(F68),E68&gt;=DATE(2000,1,1),F68&gt;=DATE(2000,1,1),E68&gt;F68),"开始晚于完成；","")&amp;IF(AND(项目总控台账!G67="已完成",项目总控台账!AB67&lt;1),"已完成但进度不足100%；",""))</f>
        <v/>
      </c>
      <c r="H68" s="6" t="str">
        <f t="shared" si="0"/>
        <v>通过</v>
      </c>
      <c r="I68" s="6" t="str">
        <f t="shared" si="1"/>
        <v>无需处理</v>
      </c>
      <c r="J68" s="6">
        <v>67</v>
      </c>
    </row>
    <row r="69" spans="1:10">
      <c r="A69" s="6" t="s">
        <v>739</v>
      </c>
      <c r="B69" s="6" t="str">
        <f>项目总控台账!A68</f>
        <v>T065</v>
      </c>
      <c r="C69" s="6" t="str">
        <f>IF(AND(项目总控台账!E68&lt;&gt;"",项目总控台账!E68&lt;&gt;"/"),项目总控台账!E68,IF(AND(项目总控台账!D68&lt;&gt;"",项目总控台账!D68&lt;&gt;"/"),项目总控台账!D68,项目总控台账!C68))</f>
        <v>装船作业货权跟踪</v>
      </c>
      <c r="D69" s="6" t="str">
        <f>项目总控台账!H68</f>
        <v>郑士旺</v>
      </c>
      <c r="E69" s="16">
        <f>项目总控台账!I68</f>
        <v>46202</v>
      </c>
      <c r="F69" s="16">
        <f>项目总控台账!J68</f>
        <v>46261</v>
      </c>
      <c r="G69" s="6" t="str">
        <f>IF(B69="","",IF(OR(C69="",C69="/"),"缺少任务名称；","")&amp;IF(OR(D69="",D69="/"),"缺少有效主责人；","")&amp;IF(OR(E69="",E69&lt;DATE(2000,1,1)),"缺少有效计划开始；","")&amp;IF(OR(F69="",F69&lt;DATE(2000,1,1)),"缺少有效计划完成；","")&amp;IF(项目总控台账!G68="","缺少总体状态；","")&amp;IF(AND(ISNUMBER(E69),ISNUMBER(F69),E69&gt;=DATE(2000,1,1),F69&gt;=DATE(2000,1,1),E69&gt;F69),"开始晚于完成；","")&amp;IF(AND(项目总控台账!G68="已完成",项目总控台账!AB68&lt;1),"已完成但进度不足100%；",""))</f>
        <v/>
      </c>
      <c r="H69" s="6" t="str">
        <f t="shared" ref="H69:H132" si="2">IF(B69="","",IF(G69="","通过","需整改"))</f>
        <v>通过</v>
      </c>
      <c r="I69" s="6" t="str">
        <f t="shared" ref="I69:I132" si="3">IF(H69="需整改","回到项目总控台账第"&amp;J69&amp;"行补齐或修正","无需处理")</f>
        <v>无需处理</v>
      </c>
      <c r="J69" s="6">
        <v>68</v>
      </c>
    </row>
    <row r="70" spans="1:10">
      <c r="A70" s="6" t="s">
        <v>739</v>
      </c>
      <c r="B70" s="6" t="str">
        <f>项目总控台账!A69</f>
        <v>T066</v>
      </c>
      <c r="C70" s="6" t="str">
        <f>IF(AND(项目总控台账!E69&lt;&gt;"",项目总控台账!E69&lt;&gt;"/"),项目总控台账!E69,IF(AND(项目总控台账!D69&lt;&gt;"",项目总控台账!D69&lt;&gt;"/"),项目总控台账!D69,项目总控台账!C69))</f>
        <v>装船作业货权跟踪</v>
      </c>
      <c r="D70" s="6" t="str">
        <f>项目总控台账!H69</f>
        <v>郑士旺</v>
      </c>
      <c r="E70" s="16">
        <f>项目总控台账!I69</f>
        <v>46202</v>
      </c>
      <c r="F70" s="16">
        <f>项目总控台账!J69</f>
        <v>46261</v>
      </c>
      <c r="G70" s="6" t="str">
        <f>IF(B70="","",IF(OR(C70="",C70="/"),"缺少任务名称；","")&amp;IF(OR(D70="",D70="/"),"缺少有效主责人；","")&amp;IF(OR(E70="",E70&lt;DATE(2000,1,1)),"缺少有效计划开始；","")&amp;IF(OR(F70="",F70&lt;DATE(2000,1,1)),"缺少有效计划完成；","")&amp;IF(项目总控台账!G69="","缺少总体状态；","")&amp;IF(AND(ISNUMBER(E70),ISNUMBER(F70),E70&gt;=DATE(2000,1,1),F70&gt;=DATE(2000,1,1),E70&gt;F70),"开始晚于完成；","")&amp;IF(AND(项目总控台账!G69="已完成",项目总控台账!AB69&lt;1),"已完成但进度不足100%；",""))</f>
        <v/>
      </c>
      <c r="H70" s="6" t="str">
        <f t="shared" si="2"/>
        <v>通过</v>
      </c>
      <c r="I70" s="6" t="str">
        <f t="shared" si="3"/>
        <v>无需处理</v>
      </c>
      <c r="J70" s="6">
        <v>69</v>
      </c>
    </row>
    <row r="71" spans="1:10">
      <c r="A71" s="6" t="s">
        <v>739</v>
      </c>
      <c r="B71" s="6" t="str">
        <f>项目总控台账!A70</f>
        <v>T067</v>
      </c>
      <c r="C71" s="6" t="str">
        <f>IF(AND(项目总控台账!E70&lt;&gt;"",项目总控台账!E70&lt;&gt;"/"),项目总控台账!E70,IF(AND(项目总控台账!D70&lt;&gt;"",项目总控台账!D70&lt;&gt;"/"),项目总控台账!D70,项目总控台账!C70))</f>
        <v>装船作业货权跟踪</v>
      </c>
      <c r="D71" s="6" t="str">
        <f>项目总控台账!H70</f>
        <v>郑士旺</v>
      </c>
      <c r="E71" s="16">
        <f>项目总控台账!I70</f>
        <v>46202</v>
      </c>
      <c r="F71" s="16">
        <f>项目总控台账!J70</f>
        <v>46261</v>
      </c>
      <c r="G71" s="6" t="str">
        <f>IF(B71="","",IF(OR(C71="",C71="/"),"缺少任务名称；","")&amp;IF(OR(D71="",D71="/"),"缺少有效主责人；","")&amp;IF(OR(E71="",E71&lt;DATE(2000,1,1)),"缺少有效计划开始；","")&amp;IF(OR(F71="",F71&lt;DATE(2000,1,1)),"缺少有效计划完成；","")&amp;IF(项目总控台账!G70="","缺少总体状态；","")&amp;IF(AND(ISNUMBER(E71),ISNUMBER(F71),E71&gt;=DATE(2000,1,1),F71&gt;=DATE(2000,1,1),E71&gt;F71),"开始晚于完成；","")&amp;IF(AND(项目总控台账!G70="已完成",项目总控台账!AB70&lt;1),"已完成但进度不足100%；",""))</f>
        <v/>
      </c>
      <c r="H71" s="6" t="str">
        <f t="shared" si="2"/>
        <v>通过</v>
      </c>
      <c r="I71" s="6" t="str">
        <f t="shared" si="3"/>
        <v>无需处理</v>
      </c>
      <c r="J71" s="6">
        <v>70</v>
      </c>
    </row>
    <row r="72" spans="1:10">
      <c r="A72" s="6" t="s">
        <v>739</v>
      </c>
      <c r="B72" s="6" t="str">
        <f>项目总控台账!A71</f>
        <v>T068</v>
      </c>
      <c r="C72" s="6" t="str">
        <f>IF(AND(项目总控台账!E71&lt;&gt;"",项目总控台账!E71&lt;&gt;"/"),项目总控台账!E71,IF(AND(项目总控台账!D71&lt;&gt;"",项目总控台账!D71&lt;&gt;"/"),项目总控台账!D71,项目总控台账!C71))</f>
        <v>装船作业货权跟踪</v>
      </c>
      <c r="D72" s="6" t="str">
        <f>项目总控台账!H71</f>
        <v>郑士旺</v>
      </c>
      <c r="E72" s="16">
        <f>项目总控台账!I71</f>
        <v>46202</v>
      </c>
      <c r="F72" s="16">
        <f>项目总控台账!J71</f>
        <v>46261</v>
      </c>
      <c r="G72" s="6" t="str">
        <f>IF(B72="","",IF(OR(C72="",C72="/"),"缺少任务名称；","")&amp;IF(OR(D72="",D72="/"),"缺少有效主责人；","")&amp;IF(OR(E72="",E72&lt;DATE(2000,1,1)),"缺少有效计划开始；","")&amp;IF(OR(F72="",F72&lt;DATE(2000,1,1)),"缺少有效计划完成；","")&amp;IF(项目总控台账!G71="","缺少总体状态；","")&amp;IF(AND(ISNUMBER(E72),ISNUMBER(F72),E72&gt;=DATE(2000,1,1),F72&gt;=DATE(2000,1,1),E72&gt;F72),"开始晚于完成；","")&amp;IF(AND(项目总控台账!G71="已完成",项目总控台账!AB71&lt;1),"已完成但进度不足100%；",""))</f>
        <v/>
      </c>
      <c r="H72" s="6" t="str">
        <f t="shared" si="2"/>
        <v>通过</v>
      </c>
      <c r="I72" s="6" t="str">
        <f t="shared" si="3"/>
        <v>无需处理</v>
      </c>
      <c r="J72" s="6">
        <v>71</v>
      </c>
    </row>
    <row r="73" spans="1:10">
      <c r="A73" s="6" t="s">
        <v>739</v>
      </c>
      <c r="B73" s="6" t="str">
        <f>项目总控台账!A72</f>
        <v>T069</v>
      </c>
      <c r="C73" s="6" t="str">
        <f>IF(AND(项目总控台账!E72&lt;&gt;"",项目总控台账!E72&lt;&gt;"/"),项目总控台账!E72,IF(AND(项目总控台账!D72&lt;&gt;"",项目总控台账!D72&lt;&gt;"/"),项目总控台账!D72,项目总控台账!C72))</f>
        <v>新增、详情、修改页内容调整</v>
      </c>
      <c r="D73" s="6" t="str">
        <f>项目总控台账!H72</f>
        <v>郑士旺</v>
      </c>
      <c r="E73" s="16">
        <f>项目总控台账!I72</f>
        <v>46195</v>
      </c>
      <c r="F73" s="16">
        <f>项目总控台账!J72</f>
        <v>46224</v>
      </c>
      <c r="G73" s="6" t="str">
        <f>IF(B73="","",IF(OR(C73="",C73="/"),"缺少任务名称；","")&amp;IF(OR(D73="",D73="/"),"缺少有效主责人；","")&amp;IF(OR(E73="",E73&lt;DATE(2000,1,1)),"缺少有效计划开始；","")&amp;IF(OR(F73="",F73&lt;DATE(2000,1,1)),"缺少有效计划完成；","")&amp;IF(项目总控台账!G72="","缺少总体状态；","")&amp;IF(AND(ISNUMBER(E73),ISNUMBER(F73),E73&gt;=DATE(2000,1,1),F73&gt;=DATE(2000,1,1),E73&gt;F73),"开始晚于完成；","")&amp;IF(AND(项目总控台账!G72="已完成",项目总控台账!AB72&lt;1),"已完成但进度不足100%；",""))</f>
        <v/>
      </c>
      <c r="H73" s="6" t="str">
        <f t="shared" si="2"/>
        <v>通过</v>
      </c>
      <c r="I73" s="6" t="str">
        <f t="shared" si="3"/>
        <v>无需处理</v>
      </c>
      <c r="J73" s="6">
        <v>72</v>
      </c>
    </row>
    <row r="74" spans="1:10">
      <c r="A74" s="6" t="s">
        <v>739</v>
      </c>
      <c r="B74" s="6" t="str">
        <f>项目总控台账!A73</f>
        <v>T070</v>
      </c>
      <c r="C74" s="6" t="str">
        <f>IF(AND(项目总控台账!E73&lt;&gt;"",项目总控台账!E73&lt;&gt;"/"),项目总控台账!E73,IF(AND(项目总控台账!D73&lt;&gt;"",项目总控台账!D73&lt;&gt;"/"),项目总控台账!D73,项目总控台账!C73))</f>
        <v>生成报告</v>
      </c>
      <c r="D74" s="6" t="str">
        <f>项目总控台账!H73</f>
        <v>郑士旺</v>
      </c>
      <c r="E74" s="16">
        <f>项目总控台账!I73</f>
        <v>46195</v>
      </c>
      <c r="F74" s="16">
        <f>项目总控台账!J73</f>
        <v>46224</v>
      </c>
      <c r="G74" s="6" t="str">
        <f>IF(B74="","",IF(OR(C74="",C74="/"),"缺少任务名称；","")&amp;IF(OR(D74="",D74="/"),"缺少有效主责人；","")&amp;IF(OR(E74="",E74&lt;DATE(2000,1,1)),"缺少有效计划开始；","")&amp;IF(OR(F74="",F74&lt;DATE(2000,1,1)),"缺少有效计划完成；","")&amp;IF(项目总控台账!G73="","缺少总体状态；","")&amp;IF(AND(ISNUMBER(E74),ISNUMBER(F74),E74&gt;=DATE(2000,1,1),F74&gt;=DATE(2000,1,1),E74&gt;F74),"开始晚于完成；","")&amp;IF(AND(项目总控台账!G73="已完成",项目总控台账!AB73&lt;1),"已完成但进度不足100%；",""))</f>
        <v/>
      </c>
      <c r="H74" s="6" t="str">
        <f t="shared" si="2"/>
        <v>通过</v>
      </c>
      <c r="I74" s="6" t="str">
        <f t="shared" si="3"/>
        <v>无需处理</v>
      </c>
      <c r="J74" s="6">
        <v>73</v>
      </c>
    </row>
    <row r="75" spans="1:10">
      <c r="A75" s="6" t="s">
        <v>739</v>
      </c>
      <c r="B75" s="6" t="str">
        <f>项目总控台账!A74</f>
        <v>T071</v>
      </c>
      <c r="C75" s="6" t="str">
        <f>IF(AND(项目总控台账!E74&lt;&gt;"",项目总控台账!E74&lt;&gt;"/"),项目总控台账!E74,IF(AND(项目总控台账!D74&lt;&gt;"",项目总控台账!D74&lt;&gt;"/"),项目总控台账!D74,项目总控台账!C74))</f>
        <v>装船作业信息录入优化（太仓）</v>
      </c>
      <c r="D75" s="6" t="str">
        <f>项目总控台账!H74</f>
        <v>郑士旺</v>
      </c>
      <c r="E75" s="16">
        <f>项目总控台账!I74</f>
        <v>46195</v>
      </c>
      <c r="F75" s="16">
        <f>项目总控台账!J74</f>
        <v>46224</v>
      </c>
      <c r="G75" s="6" t="str">
        <f>IF(B75="","",IF(OR(C75="",C75="/"),"缺少任务名称；","")&amp;IF(OR(D75="",D75="/"),"缺少有效主责人；","")&amp;IF(OR(E75="",E75&lt;DATE(2000,1,1)),"缺少有效计划开始；","")&amp;IF(OR(F75="",F75&lt;DATE(2000,1,1)),"缺少有效计划完成；","")&amp;IF(项目总控台账!G74="","缺少总体状态；","")&amp;IF(AND(ISNUMBER(E75),ISNUMBER(F75),E75&gt;=DATE(2000,1,1),F75&gt;=DATE(2000,1,1),E75&gt;F75),"开始晚于完成；","")&amp;IF(AND(项目总控台账!G74="已完成",项目总控台账!AB74&lt;1),"已完成但进度不足100%；",""))</f>
        <v/>
      </c>
      <c r="H75" s="6" t="str">
        <f t="shared" si="2"/>
        <v>通过</v>
      </c>
      <c r="I75" s="6" t="str">
        <f t="shared" si="3"/>
        <v>无需处理</v>
      </c>
      <c r="J75" s="6">
        <v>74</v>
      </c>
    </row>
    <row r="76" spans="1:10">
      <c r="A76" s="6" t="s">
        <v>739</v>
      </c>
      <c r="B76" s="6" t="str">
        <f>项目总控台账!A75</f>
        <v>T072</v>
      </c>
      <c r="C76" s="6" t="str">
        <f>IF(AND(项目总控台账!E75&lt;&gt;"",项目总控台账!E75&lt;&gt;"/"),项目总控台账!E75,IF(AND(项目总控台账!D75&lt;&gt;"",项目总控台账!D75&lt;&gt;"/"),项目总控台账!D75,项目总控台账!C75))</f>
        <v>OCR识别</v>
      </c>
      <c r="D76" s="6" t="str">
        <f>项目总控台账!H75</f>
        <v>郑士旺</v>
      </c>
      <c r="E76" s="16">
        <f>项目总控台账!I75</f>
        <v>46202</v>
      </c>
      <c r="F76" s="16">
        <f>项目总控台账!J75</f>
        <v>46234</v>
      </c>
      <c r="G76" s="6" t="str">
        <f>IF(B76="","",IF(OR(C76="",C76="/"),"缺少任务名称；","")&amp;IF(OR(D76="",D76="/"),"缺少有效主责人；","")&amp;IF(OR(E76="",E76&lt;DATE(2000,1,1)),"缺少有效计划开始；","")&amp;IF(OR(F76="",F76&lt;DATE(2000,1,1)),"缺少有效计划完成；","")&amp;IF(项目总控台账!G75="","缺少总体状态；","")&amp;IF(AND(ISNUMBER(E76),ISNUMBER(F76),E76&gt;=DATE(2000,1,1),F76&gt;=DATE(2000,1,1),E76&gt;F76),"开始晚于完成；","")&amp;IF(AND(项目总控台账!G75="已完成",项目总控台账!AB75&lt;1),"已完成但进度不足100%；",""))</f>
        <v/>
      </c>
      <c r="H76" s="6" t="str">
        <f t="shared" si="2"/>
        <v>通过</v>
      </c>
      <c r="I76" s="6" t="str">
        <f t="shared" si="3"/>
        <v>无需处理</v>
      </c>
      <c r="J76" s="6">
        <v>75</v>
      </c>
    </row>
    <row r="77" spans="1:10">
      <c r="A77" s="6" t="s">
        <v>739</v>
      </c>
      <c r="B77" s="6" t="str">
        <f>项目总控台账!A76</f>
        <v>T073</v>
      </c>
      <c r="C77" s="6" t="str">
        <f>IF(AND(项目总控台账!E76&lt;&gt;"",项目总控台账!E76&lt;&gt;"/"),项目总控台账!E76,IF(AND(项目总控台账!D76&lt;&gt;"",项目总控台账!D76&lt;&gt;"/"),项目总控台账!D76,项目总控台账!C76))</f>
        <v>采样作业信息录入新增</v>
      </c>
      <c r="D77" s="6" t="str">
        <f>项目总控台账!H76</f>
        <v>郑士旺</v>
      </c>
      <c r="E77" s="16">
        <f>项目总控台账!I76</f>
        <v>46202</v>
      </c>
      <c r="F77" s="16">
        <f>项目总控台账!J76</f>
        <v>46224</v>
      </c>
      <c r="G77" s="6" t="str">
        <f>IF(B77="","",IF(OR(C77="",C77="/"),"缺少任务名称；","")&amp;IF(OR(D77="",D77="/"),"缺少有效主责人；","")&amp;IF(OR(E77="",E77&lt;DATE(2000,1,1)),"缺少有效计划开始；","")&amp;IF(OR(F77="",F77&lt;DATE(2000,1,1)),"缺少有效计划完成；","")&amp;IF(项目总控台账!G76="","缺少总体状态；","")&amp;IF(AND(ISNUMBER(E77),ISNUMBER(F77),E77&gt;=DATE(2000,1,1),F77&gt;=DATE(2000,1,1),E77&gt;F77),"开始晚于完成；","")&amp;IF(AND(项目总控台账!G76="已完成",项目总控台账!AB76&lt;1),"已完成但进度不足100%；",""))</f>
        <v/>
      </c>
      <c r="H77" s="6" t="str">
        <f t="shared" si="2"/>
        <v>通过</v>
      </c>
      <c r="I77" s="6" t="str">
        <f t="shared" si="3"/>
        <v>无需处理</v>
      </c>
      <c r="J77" s="6">
        <v>76</v>
      </c>
    </row>
    <row r="78" spans="1:10">
      <c r="A78" s="6" t="s">
        <v>739</v>
      </c>
      <c r="B78" s="6" t="str">
        <f>项目总控台账!A77</f>
        <v>T074</v>
      </c>
      <c r="C78" s="6" t="str">
        <f>IF(AND(项目总控台账!E77&lt;&gt;"",项目总控台账!E77&lt;&gt;"/"),项目总控台账!E77,IF(AND(项目总控台账!D77&lt;&gt;"",项目总控台账!D77&lt;&gt;"/"),项目总控台账!D77,项目总控台账!C77))</f>
        <v>采样作业信息录入编辑</v>
      </c>
      <c r="D78" s="6" t="str">
        <f>项目总控台账!H77</f>
        <v>郑士旺</v>
      </c>
      <c r="E78" s="16">
        <f>项目总控台账!I77</f>
        <v>46202</v>
      </c>
      <c r="F78" s="16">
        <f>项目总控台账!J77</f>
        <v>46224</v>
      </c>
      <c r="G78" s="6" t="str">
        <f>IF(B78="","",IF(OR(C78="",C78="/"),"缺少任务名称；","")&amp;IF(OR(D78="",D78="/"),"缺少有效主责人；","")&amp;IF(OR(E78="",E78&lt;DATE(2000,1,1)),"缺少有效计划开始；","")&amp;IF(OR(F78="",F78&lt;DATE(2000,1,1)),"缺少有效计划完成；","")&amp;IF(项目总控台账!G77="","缺少总体状态；","")&amp;IF(AND(ISNUMBER(E78),ISNUMBER(F78),E78&gt;=DATE(2000,1,1),F78&gt;=DATE(2000,1,1),E78&gt;F78),"开始晚于完成；","")&amp;IF(AND(项目总控台账!G77="已完成",项目总控台账!AB77&lt;1),"已完成但进度不足100%；",""))</f>
        <v/>
      </c>
      <c r="H78" s="6" t="str">
        <f t="shared" si="2"/>
        <v>通过</v>
      </c>
      <c r="I78" s="6" t="str">
        <f t="shared" si="3"/>
        <v>无需处理</v>
      </c>
      <c r="J78" s="6">
        <v>77</v>
      </c>
    </row>
    <row r="79" spans="1:10">
      <c r="A79" s="6" t="s">
        <v>739</v>
      </c>
      <c r="B79" s="6" t="str">
        <f>项目总控台账!A78</f>
        <v>T075</v>
      </c>
      <c r="C79" s="6" t="str">
        <f>IF(AND(项目总控台账!E78&lt;&gt;"",项目总控台账!E78&lt;&gt;"/"),项目总控台账!E78,IF(AND(项目总控台账!D78&lt;&gt;"",项目总控台账!D78&lt;&gt;"/"),项目总控台账!D78,项目总控台账!C78))</f>
        <v>采样作业信息录入详情</v>
      </c>
      <c r="D79" s="6" t="str">
        <f>项目总控台账!H78</f>
        <v>郑士旺</v>
      </c>
      <c r="E79" s="16">
        <f>项目总控台账!I78</f>
        <v>46202</v>
      </c>
      <c r="F79" s="16">
        <f>项目总控台账!J78</f>
        <v>46224</v>
      </c>
      <c r="G79" s="6" t="str">
        <f>IF(B79="","",IF(OR(C79="",C79="/"),"缺少任务名称；","")&amp;IF(OR(D79="",D79="/"),"缺少有效主责人；","")&amp;IF(OR(E79="",E79&lt;DATE(2000,1,1)),"缺少有效计划开始；","")&amp;IF(OR(F79="",F79&lt;DATE(2000,1,1)),"缺少有效计划完成；","")&amp;IF(项目总控台账!G78="","缺少总体状态；","")&amp;IF(AND(ISNUMBER(E79),ISNUMBER(F79),E79&gt;=DATE(2000,1,1),F79&gt;=DATE(2000,1,1),E79&gt;F79),"开始晚于完成；","")&amp;IF(AND(项目总控台账!G78="已完成",项目总控台账!AB78&lt;1),"已完成但进度不足100%；",""))</f>
        <v/>
      </c>
      <c r="H79" s="6" t="str">
        <f t="shared" si="2"/>
        <v>通过</v>
      </c>
      <c r="I79" s="6" t="str">
        <f t="shared" si="3"/>
        <v>无需处理</v>
      </c>
      <c r="J79" s="6">
        <v>78</v>
      </c>
    </row>
    <row r="80" spans="1:10">
      <c r="A80" s="6" t="s">
        <v>739</v>
      </c>
      <c r="B80" s="6" t="str">
        <f>项目总控台账!A79</f>
        <v>T076</v>
      </c>
      <c r="C80" s="6" t="str">
        <f>IF(AND(项目总控台账!E79&lt;&gt;"",项目总控台账!E79&lt;&gt;"/"),项目总控台账!E79,IF(AND(项目总控台账!D79&lt;&gt;"",项目总控台账!D79&lt;&gt;"/"),项目总控台账!D79,项目总控台账!C79))</f>
        <v>采样作业信息录入删除</v>
      </c>
      <c r="D80" s="6" t="str">
        <f>项目总控台账!H79</f>
        <v>郑士旺</v>
      </c>
      <c r="E80" s="16">
        <f>项目总控台账!I79</f>
        <v>46202</v>
      </c>
      <c r="F80" s="16">
        <f>项目总控台账!J79</f>
        <v>46224</v>
      </c>
      <c r="G80" s="6" t="str">
        <f>IF(B80="","",IF(OR(C80="",C80="/"),"缺少任务名称；","")&amp;IF(OR(D80="",D80="/"),"缺少有效主责人；","")&amp;IF(OR(E80="",E80&lt;DATE(2000,1,1)),"缺少有效计划开始；","")&amp;IF(OR(F80="",F80&lt;DATE(2000,1,1)),"缺少有效计划完成；","")&amp;IF(项目总控台账!G79="","缺少总体状态；","")&amp;IF(AND(ISNUMBER(E80),ISNUMBER(F80),E80&gt;=DATE(2000,1,1),F80&gt;=DATE(2000,1,1),E80&gt;F80),"开始晚于完成；","")&amp;IF(AND(项目总控台账!G79="已完成",项目总控台账!AB79&lt;1),"已完成但进度不足100%；",""))</f>
        <v/>
      </c>
      <c r="H80" s="6" t="str">
        <f t="shared" si="2"/>
        <v>通过</v>
      </c>
      <c r="I80" s="6" t="str">
        <f t="shared" si="3"/>
        <v>无需处理</v>
      </c>
      <c r="J80" s="6">
        <v>79</v>
      </c>
    </row>
    <row r="81" spans="1:10">
      <c r="A81" s="6" t="s">
        <v>739</v>
      </c>
      <c r="B81" s="6" t="str">
        <f>项目总控台账!A80</f>
        <v>T077</v>
      </c>
      <c r="C81" s="6" t="str">
        <f>IF(AND(项目总控台账!E80&lt;&gt;"",项目总控台账!E80&lt;&gt;"/"),项目总控台账!E80,IF(AND(项目总控台账!D80&lt;&gt;"",项目总控台账!D80&lt;&gt;"/"),项目总控台账!D80,项目总控台账!C80))</f>
        <v>采样作业信息录入列表</v>
      </c>
      <c r="D81" s="6" t="str">
        <f>项目总控台账!H80</f>
        <v>郑士旺</v>
      </c>
      <c r="E81" s="16">
        <f>项目总控台账!I80</f>
        <v>46202</v>
      </c>
      <c r="F81" s="16">
        <f>项目总控台账!J80</f>
        <v>46224</v>
      </c>
      <c r="G81" s="6" t="str">
        <f>IF(B81="","",IF(OR(C81="",C81="/"),"缺少任务名称；","")&amp;IF(OR(D81="",D81="/"),"缺少有效主责人；","")&amp;IF(OR(E81="",E81&lt;DATE(2000,1,1)),"缺少有效计划开始；","")&amp;IF(OR(F81="",F81&lt;DATE(2000,1,1)),"缺少有效计划完成；","")&amp;IF(项目总控台账!G80="","缺少总体状态；","")&amp;IF(AND(ISNUMBER(E81),ISNUMBER(F81),E81&gt;=DATE(2000,1,1),F81&gt;=DATE(2000,1,1),E81&gt;F81),"开始晚于完成；","")&amp;IF(AND(项目总控台账!G80="已完成",项目总控台账!AB80&lt;1),"已完成但进度不足100%；",""))</f>
        <v/>
      </c>
      <c r="H81" s="6" t="str">
        <f t="shared" si="2"/>
        <v>通过</v>
      </c>
      <c r="I81" s="6" t="str">
        <f t="shared" si="3"/>
        <v>无需处理</v>
      </c>
      <c r="J81" s="6">
        <v>80</v>
      </c>
    </row>
    <row r="82" spans="1:10">
      <c r="A82" s="6" t="s">
        <v>739</v>
      </c>
      <c r="B82" s="6" t="str">
        <f>项目总控台账!A81</f>
        <v>T078</v>
      </c>
      <c r="C82" s="6" t="str">
        <f>IF(AND(项目总控台账!E81&lt;&gt;"",项目总控台账!E81&lt;&gt;"/"),项目总控台账!E81,IF(AND(项目总控台账!D81&lt;&gt;"",项目总控台账!D81&lt;&gt;"/"),项目总控台账!D81,项目总控台账!C81))</f>
        <v>业务数据合同签订校验</v>
      </c>
      <c r="D82" s="6" t="str">
        <f>项目总控台账!H81</f>
        <v>郑士旺</v>
      </c>
      <c r="E82" s="16">
        <f>项目总控台账!I81</f>
        <v>46223</v>
      </c>
      <c r="F82" s="16">
        <f>项目总控台账!J81</f>
        <v>46339</v>
      </c>
      <c r="G82" s="6" t="str">
        <f>IF(B82="","",IF(OR(C82="",C82="/"),"缺少任务名称；","")&amp;IF(OR(D82="",D82="/"),"缺少有效主责人；","")&amp;IF(OR(E82="",E82&lt;DATE(2000,1,1)),"缺少有效计划开始；","")&amp;IF(OR(F82="",F82&lt;DATE(2000,1,1)),"缺少有效计划完成；","")&amp;IF(项目总控台账!G81="","缺少总体状态；","")&amp;IF(AND(ISNUMBER(E82),ISNUMBER(F82),E82&gt;=DATE(2000,1,1),F82&gt;=DATE(2000,1,1),E82&gt;F82),"开始晚于完成；","")&amp;IF(AND(项目总控台账!G81="已完成",项目总控台账!AB81&lt;1),"已完成但进度不足100%；",""))</f>
        <v/>
      </c>
      <c r="H82" s="6" t="str">
        <f t="shared" si="2"/>
        <v>通过</v>
      </c>
      <c r="I82" s="6" t="str">
        <f t="shared" si="3"/>
        <v>无需处理</v>
      </c>
      <c r="J82" s="6">
        <v>81</v>
      </c>
    </row>
    <row r="83" spans="1:10">
      <c r="A83" s="6" t="s">
        <v>739</v>
      </c>
      <c r="B83" s="6" t="str">
        <f>项目总控台账!A82</f>
        <v>T079</v>
      </c>
      <c r="C83" s="6" t="str">
        <f>IF(AND(项目总控台账!E82&lt;&gt;"",项目总控台账!E82&lt;&gt;"/"),项目总控台账!E82,IF(AND(项目总控台账!D82&lt;&gt;"",项目总控台账!D82&lt;&gt;"/"),项目总控台账!D82,项目总控台账!C82))</f>
        <v>结算数据合同签订校验</v>
      </c>
      <c r="D83" s="6" t="str">
        <f>项目总控台账!H82</f>
        <v>郑士旺</v>
      </c>
      <c r="E83" s="16">
        <f>项目总控台账!I82</f>
        <v>46223</v>
      </c>
      <c r="F83" s="16">
        <f>项目总控台账!J82</f>
        <v>46339</v>
      </c>
      <c r="G83" s="6" t="str">
        <f>IF(B83="","",IF(OR(C83="",C83="/"),"缺少任务名称；","")&amp;IF(OR(D83="",D83="/"),"缺少有效主责人；","")&amp;IF(OR(E83="",E83&lt;DATE(2000,1,1)),"缺少有效计划开始；","")&amp;IF(OR(F83="",F83&lt;DATE(2000,1,1)),"缺少有效计划完成；","")&amp;IF(项目总控台账!G82="","缺少总体状态；","")&amp;IF(AND(ISNUMBER(E83),ISNUMBER(F83),E83&gt;=DATE(2000,1,1),F83&gt;=DATE(2000,1,1),E83&gt;F83),"开始晚于完成；","")&amp;IF(AND(项目总控台账!G82="已完成",项目总控台账!AB82&lt;1),"已完成但进度不足100%；",""))</f>
        <v/>
      </c>
      <c r="H83" s="6" t="str">
        <f t="shared" si="2"/>
        <v>通过</v>
      </c>
      <c r="I83" s="6" t="str">
        <f t="shared" si="3"/>
        <v>无需处理</v>
      </c>
      <c r="J83" s="6">
        <v>82</v>
      </c>
    </row>
    <row r="84" spans="1:10">
      <c r="A84" s="6" t="s">
        <v>739</v>
      </c>
      <c r="B84" s="6" t="str">
        <f>项目总控台账!A83</f>
        <v>T080</v>
      </c>
      <c r="C84" s="6" t="str">
        <f>IF(AND(项目总控台账!E83&lt;&gt;"",项目总控台账!E83&lt;&gt;"/"),项目总控台账!E83,IF(AND(项目总控台账!D83&lt;&gt;"",项目总控台账!D83&lt;&gt;"/"),项目总控台账!D83,项目总控台账!C83))</f>
        <v>合同校验结果查询</v>
      </c>
      <c r="D84" s="6" t="str">
        <f>项目总控台账!H83</f>
        <v>郑士旺</v>
      </c>
      <c r="E84" s="16">
        <f>项目总控台账!I83</f>
        <v>46223</v>
      </c>
      <c r="F84" s="16">
        <f>项目总控台账!J83</f>
        <v>46261</v>
      </c>
      <c r="G84" s="6" t="str">
        <f>IF(B84="","",IF(OR(C84="",C84="/"),"缺少任务名称；","")&amp;IF(OR(D84="",D84="/"),"缺少有效主责人；","")&amp;IF(OR(E84="",E84&lt;DATE(2000,1,1)),"缺少有效计划开始；","")&amp;IF(OR(F84="",F84&lt;DATE(2000,1,1)),"缺少有效计划完成；","")&amp;IF(项目总控台账!G83="","缺少总体状态；","")&amp;IF(AND(ISNUMBER(E84),ISNUMBER(F84),E84&gt;=DATE(2000,1,1),F84&gt;=DATE(2000,1,1),E84&gt;F84),"开始晚于完成；","")&amp;IF(AND(项目总控台账!G83="已完成",项目总控台账!AB83&lt;1),"已完成但进度不足100%；",""))</f>
        <v/>
      </c>
      <c r="H84" s="6" t="str">
        <f t="shared" si="2"/>
        <v>通过</v>
      </c>
      <c r="I84" s="6" t="str">
        <f t="shared" si="3"/>
        <v>无需处理</v>
      </c>
      <c r="J84" s="6">
        <v>83</v>
      </c>
    </row>
    <row r="85" spans="1:10">
      <c r="A85" s="6" t="s">
        <v>739</v>
      </c>
      <c r="B85" s="6" t="str">
        <f>项目总控台账!A84</f>
        <v>T081</v>
      </c>
      <c r="C85" s="6" t="str">
        <f>IF(AND(项目总控台账!E84&lt;&gt;"",项目总控台账!E84&lt;&gt;"/"),项目总控台账!E84,IF(AND(项目总控台账!D84&lt;&gt;"",项目总控台账!D84&lt;&gt;"/"),项目总控台账!D84,项目总控台账!C84))</f>
        <v>数据对接</v>
      </c>
      <c r="D85" s="6" t="str">
        <f>项目总控台账!H84</f>
        <v>郑士旺</v>
      </c>
      <c r="E85" s="16">
        <f>项目总控台账!I84</f>
        <v>46230</v>
      </c>
      <c r="F85" s="16">
        <f>项目总控台账!J84</f>
        <v>46353</v>
      </c>
      <c r="G85" s="6" t="str">
        <f>IF(B85="","",IF(OR(C85="",C85="/"),"缺少任务名称；","")&amp;IF(OR(D85="",D85="/"),"缺少有效主责人；","")&amp;IF(OR(E85="",E85&lt;DATE(2000,1,1)),"缺少有效计划开始；","")&amp;IF(OR(F85="",F85&lt;DATE(2000,1,1)),"缺少有效计划完成；","")&amp;IF(项目总控台账!G84="","缺少总体状态；","")&amp;IF(AND(ISNUMBER(E85),ISNUMBER(F85),E85&gt;=DATE(2000,1,1),F85&gt;=DATE(2000,1,1),E85&gt;F85),"开始晚于完成；","")&amp;IF(AND(项目总控台账!G84="已完成",项目总控台账!AB84&lt;1),"已完成但进度不足100%；",""))</f>
        <v/>
      </c>
      <c r="H85" s="6" t="str">
        <f t="shared" si="2"/>
        <v>通过</v>
      </c>
      <c r="I85" s="6" t="str">
        <f t="shared" si="3"/>
        <v>无需处理</v>
      </c>
      <c r="J85" s="6">
        <v>84</v>
      </c>
    </row>
    <row r="86" spans="1:10">
      <c r="A86" s="6" t="s">
        <v>739</v>
      </c>
      <c r="B86" s="6" t="str">
        <f>项目总控台账!A85</f>
        <v>T082</v>
      </c>
      <c r="C86" s="6" t="str">
        <f>IF(AND(项目总控台账!E85&lt;&gt;"",项目总控台账!E85&lt;&gt;"/"),项目总控台账!E85,IF(AND(项目总控台账!D85&lt;&gt;"",项目总控台账!D85&lt;&gt;"/"),项目总控台账!D85,项目总控台账!C85))</f>
        <v>数据展示</v>
      </c>
      <c r="D86" s="6" t="str">
        <f>项目总控台账!H85</f>
        <v>郑士旺</v>
      </c>
      <c r="E86" s="16">
        <f>项目总控台账!I85</f>
        <v>46230</v>
      </c>
      <c r="F86" s="16">
        <f>项目总控台账!J85</f>
        <v>46224</v>
      </c>
      <c r="G86" s="6" t="str">
        <f>IF(B86="","",IF(OR(C86="",C86="/"),"缺少任务名称；","")&amp;IF(OR(D86="",D86="/"),"缺少有效主责人；","")&amp;IF(OR(E86="",E86&lt;DATE(2000,1,1)),"缺少有效计划开始；","")&amp;IF(OR(F86="",F86&lt;DATE(2000,1,1)),"缺少有效计划完成；","")&amp;IF(项目总控台账!G85="","缺少总体状态；","")&amp;IF(AND(ISNUMBER(E86),ISNUMBER(F86),E86&gt;=DATE(2000,1,1),F86&gt;=DATE(2000,1,1),E86&gt;F86),"开始晚于完成；","")&amp;IF(AND(项目总控台账!G85="已完成",项目总控台账!AB85&lt;1),"已完成但进度不足100%；",""))</f>
        <v>开始晚于完成；</v>
      </c>
      <c r="H86" s="6" t="str">
        <f t="shared" si="2"/>
        <v>需整改</v>
      </c>
      <c r="I86" s="6" t="str">
        <f t="shared" si="3"/>
        <v>回到项目总控台账第85行补齐或修正</v>
      </c>
      <c r="J86" s="6">
        <v>85</v>
      </c>
    </row>
    <row r="87" spans="1:10">
      <c r="A87" s="6" t="s">
        <v>739</v>
      </c>
      <c r="B87" s="6" t="str">
        <f>项目总控台账!A86</f>
        <v>T083</v>
      </c>
      <c r="C87" s="6" t="str">
        <f>IF(AND(项目总控台账!E86&lt;&gt;"",项目总控台账!E86&lt;&gt;"/"),项目总控台账!E86,IF(AND(项目总控台账!D86&lt;&gt;"",项目总控台账!D86&lt;&gt;"/"),项目总控台账!D86,项目总控台账!C86))</f>
        <v>数据对接</v>
      </c>
      <c r="D87" s="6" t="str">
        <f>项目总控台账!H86</f>
        <v>郑士旺</v>
      </c>
      <c r="E87" s="16">
        <f>项目总控台账!I86</f>
        <v>46230</v>
      </c>
      <c r="F87" s="16">
        <f>项目总控台账!J86</f>
        <v>46224</v>
      </c>
      <c r="G87" s="6" t="str">
        <f>IF(B87="","",IF(OR(C87="",C87="/"),"缺少任务名称；","")&amp;IF(OR(D87="",D87="/"),"缺少有效主责人；","")&amp;IF(OR(E87="",E87&lt;DATE(2000,1,1)),"缺少有效计划开始；","")&amp;IF(OR(F87="",F87&lt;DATE(2000,1,1)),"缺少有效计划完成；","")&amp;IF(项目总控台账!G86="","缺少总体状态；","")&amp;IF(AND(ISNUMBER(E87),ISNUMBER(F87),E87&gt;=DATE(2000,1,1),F87&gt;=DATE(2000,1,1),E87&gt;F87),"开始晚于完成；","")&amp;IF(AND(项目总控台账!G86="已完成",项目总控台账!AB86&lt;1),"已完成但进度不足100%；",""))</f>
        <v>开始晚于完成；</v>
      </c>
      <c r="H87" s="6" t="str">
        <f t="shared" si="2"/>
        <v>需整改</v>
      </c>
      <c r="I87" s="6" t="str">
        <f t="shared" si="3"/>
        <v>回到项目总控台账第86行补齐或修正</v>
      </c>
      <c r="J87" s="6">
        <v>86</v>
      </c>
    </row>
    <row r="88" spans="1:10">
      <c r="A88" s="6" t="s">
        <v>739</v>
      </c>
      <c r="B88" s="6" t="str">
        <f>项目总控台账!A87</f>
        <v>T084</v>
      </c>
      <c r="C88" s="6" t="str">
        <f>IF(AND(项目总控台账!E87&lt;&gt;"",项目总控台账!E87&lt;&gt;"/"),项目总控台账!E87,IF(AND(项目总控台账!D87&lt;&gt;"",项目总控台账!D87&lt;&gt;"/"),项目总控台账!D87,项目总控台账!C87))</f>
        <v>数据产生</v>
      </c>
      <c r="D88" s="6" t="str">
        <f>项目总控台账!H87</f>
        <v>郑士旺</v>
      </c>
      <c r="E88" s="16">
        <f>项目总控台账!I87</f>
        <v>46230</v>
      </c>
      <c r="F88" s="16">
        <f>项目总控台账!J87</f>
        <v>46224</v>
      </c>
      <c r="G88" s="6" t="str">
        <f>IF(B88="","",IF(OR(C88="",C88="/"),"缺少任务名称；","")&amp;IF(OR(D88="",D88="/"),"缺少有效主责人；","")&amp;IF(OR(E88="",E88&lt;DATE(2000,1,1)),"缺少有效计划开始；","")&amp;IF(OR(F88="",F88&lt;DATE(2000,1,1)),"缺少有效计划完成；","")&amp;IF(项目总控台账!G87="","缺少总体状态；","")&amp;IF(AND(ISNUMBER(E88),ISNUMBER(F88),E88&gt;=DATE(2000,1,1),F88&gt;=DATE(2000,1,1),E88&gt;F88),"开始晚于完成；","")&amp;IF(AND(项目总控台账!G87="已完成",项目总控台账!AB87&lt;1),"已完成但进度不足100%；",""))</f>
        <v>开始晚于完成；</v>
      </c>
      <c r="H88" s="6" t="str">
        <f t="shared" si="2"/>
        <v>需整改</v>
      </c>
      <c r="I88" s="6" t="str">
        <f t="shared" si="3"/>
        <v>回到项目总控台账第87行补齐或修正</v>
      </c>
      <c r="J88" s="6">
        <v>87</v>
      </c>
    </row>
    <row r="89" spans="1:10">
      <c r="A89" s="6" t="s">
        <v>739</v>
      </c>
      <c r="B89" s="6" t="str">
        <f>项目总控台账!A88</f>
        <v>T085</v>
      </c>
      <c r="C89" s="6" t="str">
        <f>IF(AND(项目总控台账!E88&lt;&gt;"",项目总控台账!E88&lt;&gt;"/"),项目总控台账!E88,IF(AND(项目总控台账!D88&lt;&gt;"",项目总控台账!D88&lt;&gt;"/"),项目总控台账!D88,项目总控台账!C88))</f>
        <v>数据对接</v>
      </c>
      <c r="D89" s="6" t="str">
        <f>项目总控台账!H88</f>
        <v>郑士旺</v>
      </c>
      <c r="E89" s="16">
        <f>项目总控台账!I88</f>
        <v>46230</v>
      </c>
      <c r="F89" s="16">
        <f>项目总控台账!J88</f>
        <v>46224</v>
      </c>
      <c r="G89" s="6" t="str">
        <f>IF(B89="","",IF(OR(C89="",C89="/"),"缺少任务名称；","")&amp;IF(OR(D89="",D89="/"),"缺少有效主责人；","")&amp;IF(OR(E89="",E89&lt;DATE(2000,1,1)),"缺少有效计划开始；","")&amp;IF(OR(F89="",F89&lt;DATE(2000,1,1)),"缺少有效计划完成；","")&amp;IF(项目总控台账!G88="","缺少总体状态；","")&amp;IF(AND(ISNUMBER(E89),ISNUMBER(F89),E89&gt;=DATE(2000,1,1),F89&gt;=DATE(2000,1,1),E89&gt;F89),"开始晚于完成；","")&amp;IF(AND(项目总控台账!G88="已完成",项目总控台账!AB88&lt;1),"已完成但进度不足100%；",""))</f>
        <v>开始晚于完成；</v>
      </c>
      <c r="H89" s="6" t="str">
        <f t="shared" si="2"/>
        <v>需整改</v>
      </c>
      <c r="I89" s="6" t="str">
        <f t="shared" si="3"/>
        <v>回到项目总控台账第88行补齐或修正</v>
      </c>
      <c r="J89" s="6">
        <v>88</v>
      </c>
    </row>
    <row r="90" spans="1:10">
      <c r="A90" s="6" t="s">
        <v>739</v>
      </c>
      <c r="B90" s="6" t="str">
        <f>项目总控台账!A89</f>
        <v>T086</v>
      </c>
      <c r="C90" s="6" t="str">
        <f>IF(AND(项目总控台账!E89&lt;&gt;"",项目总控台账!E89&lt;&gt;"/"),项目总控台账!E89,IF(AND(项目总控台账!D89&lt;&gt;"",项目总控台账!D89&lt;&gt;"/"),项目总控台账!D89,项目总控台账!C89))</f>
        <v>数据展示</v>
      </c>
      <c r="D90" s="6" t="str">
        <f>项目总控台账!H89</f>
        <v>郑士旺</v>
      </c>
      <c r="E90" s="16">
        <f>项目总控台账!I89</f>
        <v>46230</v>
      </c>
      <c r="F90" s="16">
        <f>项目总控台账!J89</f>
        <v>46224</v>
      </c>
      <c r="G90" s="6" t="str">
        <f>IF(B90="","",IF(OR(C90="",C90="/"),"缺少任务名称；","")&amp;IF(OR(D90="",D90="/"),"缺少有效主责人；","")&amp;IF(OR(E90="",E90&lt;DATE(2000,1,1)),"缺少有效计划开始；","")&amp;IF(OR(F90="",F90&lt;DATE(2000,1,1)),"缺少有效计划完成；","")&amp;IF(项目总控台账!G89="","缺少总体状态；","")&amp;IF(AND(ISNUMBER(E90),ISNUMBER(F90),E90&gt;=DATE(2000,1,1),F90&gt;=DATE(2000,1,1),E90&gt;F90),"开始晚于完成；","")&amp;IF(AND(项目总控台账!G89="已完成",项目总控台账!AB89&lt;1),"已完成但进度不足100%；",""))</f>
        <v>开始晚于完成；</v>
      </c>
      <c r="H90" s="6" t="str">
        <f t="shared" si="2"/>
        <v>需整改</v>
      </c>
      <c r="I90" s="6" t="str">
        <f t="shared" si="3"/>
        <v>回到项目总控台账第89行补齐或修正</v>
      </c>
      <c r="J90" s="6">
        <v>89</v>
      </c>
    </row>
    <row r="91" spans="1:10">
      <c r="A91" s="6" t="s">
        <v>739</v>
      </c>
      <c r="B91" s="6" t="str">
        <f>项目总控台账!A90</f>
        <v>T087</v>
      </c>
      <c r="C91" s="6" t="str">
        <f>IF(AND(项目总控台账!E90&lt;&gt;"",项目总控台账!E90&lt;&gt;"/"),项目总控台账!E90,IF(AND(项目总控台账!D90&lt;&gt;"",项目总控台账!D90&lt;&gt;"/"),项目总控台账!D90,项目总控台账!C90))</f>
        <v>数据对接</v>
      </c>
      <c r="D91" s="6" t="str">
        <f>项目总控台账!H90</f>
        <v>郑士旺</v>
      </c>
      <c r="E91" s="16">
        <f>项目总控台账!I90</f>
        <v>46230</v>
      </c>
      <c r="F91" s="16">
        <f>项目总控台账!J90</f>
        <v>46224</v>
      </c>
      <c r="G91" s="6" t="str">
        <f>IF(B91="","",IF(OR(C91="",C91="/"),"缺少任务名称；","")&amp;IF(OR(D91="",D91="/"),"缺少有效主责人；","")&amp;IF(OR(E91="",E91&lt;DATE(2000,1,1)),"缺少有效计划开始；","")&amp;IF(OR(F91="",F91&lt;DATE(2000,1,1)),"缺少有效计划完成；","")&amp;IF(项目总控台账!G90="","缺少总体状态；","")&amp;IF(AND(ISNUMBER(E91),ISNUMBER(F91),E91&gt;=DATE(2000,1,1),F91&gt;=DATE(2000,1,1),E91&gt;F91),"开始晚于完成；","")&amp;IF(AND(项目总控台账!G90="已完成",项目总控台账!AB90&lt;1),"已完成但进度不足100%；",""))</f>
        <v>开始晚于完成；</v>
      </c>
      <c r="H91" s="6" t="str">
        <f t="shared" si="2"/>
        <v>需整改</v>
      </c>
      <c r="I91" s="6" t="str">
        <f t="shared" si="3"/>
        <v>回到项目总控台账第90行补齐或修正</v>
      </c>
      <c r="J91" s="6">
        <v>90</v>
      </c>
    </row>
    <row r="92" spans="1:10">
      <c r="A92" s="6" t="s">
        <v>739</v>
      </c>
      <c r="B92" s="6" t="str">
        <f>项目总控台账!A91</f>
        <v>T088</v>
      </c>
      <c r="C92" s="6" t="str">
        <f>IF(AND(项目总控台账!E91&lt;&gt;"",项目总控台账!E91&lt;&gt;"/"),项目总控台账!E91,IF(AND(项目总控台账!D91&lt;&gt;"",项目总控台账!D91&lt;&gt;"/"),项目总控台账!D91,项目总控台账!C91))</f>
        <v>数据展示</v>
      </c>
      <c r="D92" s="6" t="str">
        <f>项目总控台账!H91</f>
        <v>郑士旺</v>
      </c>
      <c r="E92" s="16">
        <f>项目总控台账!I91</f>
        <v>46230</v>
      </c>
      <c r="F92" s="16">
        <f>项目总控台账!J91</f>
        <v>46353</v>
      </c>
      <c r="G92" s="6" t="str">
        <f>IF(B92="","",IF(OR(C92="",C92="/"),"缺少任务名称；","")&amp;IF(OR(D92="",D92="/"),"缺少有效主责人；","")&amp;IF(OR(E92="",E92&lt;DATE(2000,1,1)),"缺少有效计划开始；","")&amp;IF(OR(F92="",F92&lt;DATE(2000,1,1)),"缺少有效计划完成；","")&amp;IF(项目总控台账!G91="","缺少总体状态；","")&amp;IF(AND(ISNUMBER(E92),ISNUMBER(F92),E92&gt;=DATE(2000,1,1),F92&gt;=DATE(2000,1,1),E92&gt;F92),"开始晚于完成；","")&amp;IF(AND(项目总控台账!G91="已完成",项目总控台账!AB91&lt;1),"已完成但进度不足100%；",""))</f>
        <v/>
      </c>
      <c r="H92" s="6" t="str">
        <f t="shared" si="2"/>
        <v>通过</v>
      </c>
      <c r="I92" s="6" t="str">
        <f t="shared" si="3"/>
        <v>无需处理</v>
      </c>
      <c r="J92" s="6">
        <v>91</v>
      </c>
    </row>
    <row r="93" spans="1:10">
      <c r="A93" s="6" t="s">
        <v>739</v>
      </c>
      <c r="B93" s="6" t="str">
        <f>项目总控台账!A92</f>
        <v>T089</v>
      </c>
      <c r="C93" s="6" t="str">
        <f>IF(AND(项目总控台账!E92&lt;&gt;"",项目总控台账!E92&lt;&gt;"/"),项目总控台账!E92,IF(AND(项目总控台账!D92&lt;&gt;"",项目总控台账!D92&lt;&gt;"/"),项目总控台账!D92,项目总控台账!C92))</f>
        <v>新增采样服务费（外贸）</v>
      </c>
      <c r="D93" s="6" t="str">
        <f>项目总控台账!H92</f>
        <v>郑士旺</v>
      </c>
      <c r="E93" s="16">
        <f>项目总控台账!I92</f>
        <v>46230</v>
      </c>
      <c r="F93" s="16">
        <f>项目总控台账!J92</f>
        <v>46353</v>
      </c>
      <c r="G93" s="6" t="str">
        <f>IF(B93="","",IF(OR(C93="",C93="/"),"缺少任务名称；","")&amp;IF(OR(D93="",D93="/"),"缺少有效主责人；","")&amp;IF(OR(E93="",E93&lt;DATE(2000,1,1)),"缺少有效计划开始；","")&amp;IF(OR(F93="",F93&lt;DATE(2000,1,1)),"缺少有效计划完成；","")&amp;IF(项目总控台账!G92="","缺少总体状态；","")&amp;IF(AND(ISNUMBER(E93),ISNUMBER(F93),E93&gt;=DATE(2000,1,1),F93&gt;=DATE(2000,1,1),E93&gt;F93),"开始晚于完成；","")&amp;IF(AND(项目总控台账!G92="已完成",项目总控台账!AB92&lt;1),"已完成但进度不足100%；",""))</f>
        <v/>
      </c>
      <c r="H93" s="6" t="str">
        <f t="shared" si="2"/>
        <v>通过</v>
      </c>
      <c r="I93" s="6" t="str">
        <f t="shared" si="3"/>
        <v>无需处理</v>
      </c>
      <c r="J93" s="6">
        <v>92</v>
      </c>
    </row>
    <row r="94" spans="1:10">
      <c r="A94" s="6" t="s">
        <v>739</v>
      </c>
      <c r="B94" s="6" t="str">
        <f>项目总控台账!A93</f>
        <v>T090</v>
      </c>
      <c r="C94" s="6" t="str">
        <f>IF(AND(项目总控台账!E93&lt;&gt;"",项目总控台账!E93&lt;&gt;"/"),项目总控台账!E93,IF(AND(项目总控台账!D93&lt;&gt;"",项目总控台账!D93&lt;&gt;"/"),项目总控台账!D93,项目总控台账!C93))</f>
        <v>审批采样服务费（外贸）</v>
      </c>
      <c r="D94" s="6" t="str">
        <f>项目总控台账!H93</f>
        <v>郑士旺</v>
      </c>
      <c r="E94" s="16">
        <f>项目总控台账!I93</f>
        <v>46230</v>
      </c>
      <c r="F94" s="16">
        <f>项目总控台账!J93</f>
        <v>46353</v>
      </c>
      <c r="G94" s="6" t="str">
        <f>IF(B94="","",IF(OR(C94="",C94="/"),"缺少任务名称；","")&amp;IF(OR(D94="",D94="/"),"缺少有效主责人；","")&amp;IF(OR(E94="",E94&lt;DATE(2000,1,1)),"缺少有效计划开始；","")&amp;IF(OR(F94="",F94&lt;DATE(2000,1,1)),"缺少有效计划完成；","")&amp;IF(项目总控台账!G93="","缺少总体状态；","")&amp;IF(AND(ISNUMBER(E94),ISNUMBER(F94),E94&gt;=DATE(2000,1,1),F94&gt;=DATE(2000,1,1),E94&gt;F94),"开始晚于完成；","")&amp;IF(AND(项目总控台账!G93="已完成",项目总控台账!AB93&lt;1),"已完成但进度不足100%；",""))</f>
        <v/>
      </c>
      <c r="H94" s="6" t="str">
        <f t="shared" si="2"/>
        <v>通过</v>
      </c>
      <c r="I94" s="6" t="str">
        <f t="shared" si="3"/>
        <v>无需处理</v>
      </c>
      <c r="J94" s="6">
        <v>93</v>
      </c>
    </row>
    <row r="95" spans="1:10">
      <c r="A95" s="6" t="s">
        <v>739</v>
      </c>
      <c r="B95" s="6" t="str">
        <f>项目总控台账!A94</f>
        <v>T091</v>
      </c>
      <c r="C95" s="6" t="str">
        <f>IF(AND(项目总控台账!E94&lt;&gt;"",项目总控台账!E94&lt;&gt;"/"),项目总控台账!E94,IF(AND(项目总控台账!D94&lt;&gt;"",项目总控台账!D94&lt;&gt;"/"),项目总控台账!D94,项目总控台账!C94))</f>
        <v>单据签章</v>
      </c>
      <c r="D95" s="6" t="str">
        <f>项目总控台账!H94</f>
        <v>郑士旺</v>
      </c>
      <c r="E95" s="16">
        <f>项目总控台账!I94</f>
        <v>46230</v>
      </c>
      <c r="F95" s="16">
        <f>项目总控台账!J94</f>
        <v>46353</v>
      </c>
      <c r="G95" s="6" t="str">
        <f>IF(B95="","",IF(OR(C95="",C95="/"),"缺少任务名称；","")&amp;IF(OR(D95="",D95="/"),"缺少有效主责人；","")&amp;IF(OR(E95="",E95&lt;DATE(2000,1,1)),"缺少有效计划开始；","")&amp;IF(OR(F95="",F95&lt;DATE(2000,1,1)),"缺少有效计划完成；","")&amp;IF(项目总控台账!G94="","缺少总体状态；","")&amp;IF(AND(ISNUMBER(E95),ISNUMBER(F95),E95&gt;=DATE(2000,1,1),F95&gt;=DATE(2000,1,1),E95&gt;F95),"开始晚于完成；","")&amp;IF(AND(项目总控台账!G94="已完成",项目总控台账!AB94&lt;1),"已完成但进度不足100%；",""))</f>
        <v/>
      </c>
      <c r="H95" s="6" t="str">
        <f t="shared" si="2"/>
        <v>通过</v>
      </c>
      <c r="I95" s="6" t="str">
        <f t="shared" si="3"/>
        <v>无需处理</v>
      </c>
      <c r="J95" s="6">
        <v>94</v>
      </c>
    </row>
    <row r="96" spans="1:10">
      <c r="A96" s="6" t="s">
        <v>739</v>
      </c>
      <c r="B96" s="6" t="str">
        <f>项目总控台账!A95</f>
        <v>T092</v>
      </c>
      <c r="C96" s="6" t="str">
        <f>IF(AND(项目总控台账!E95&lt;&gt;"",项目总控台账!E95&lt;&gt;"/"),项目总控台账!E95,IF(AND(项目总控台账!D95&lt;&gt;"",项目总控台账!D95&lt;&gt;"/"),项目总控台账!D95,项目总控台账!C95))</f>
        <v>数据推送</v>
      </c>
      <c r="D96" s="6" t="str">
        <f>项目总控台账!H95</f>
        <v>郑士旺</v>
      </c>
      <c r="E96" s="16">
        <f>项目总控台账!I95</f>
        <v>46230</v>
      </c>
      <c r="F96" s="16">
        <f>项目总控台账!J95</f>
        <v>46353</v>
      </c>
      <c r="G96" s="6" t="str">
        <f>IF(B96="","",IF(OR(C96="",C96="/"),"缺少任务名称；","")&amp;IF(OR(D96="",D96="/"),"缺少有效主责人；","")&amp;IF(OR(E96="",E96&lt;DATE(2000,1,1)),"缺少有效计划开始；","")&amp;IF(OR(F96="",F96&lt;DATE(2000,1,1)),"缺少有效计划完成；","")&amp;IF(项目总控台账!G95="","缺少总体状态；","")&amp;IF(AND(ISNUMBER(E96),ISNUMBER(F96),E96&gt;=DATE(2000,1,1),F96&gt;=DATE(2000,1,1),E96&gt;F96),"开始晚于完成；","")&amp;IF(AND(项目总控台账!G95="已完成",项目总控台账!AB95&lt;1),"已完成但进度不足100%；",""))</f>
        <v/>
      </c>
      <c r="H96" s="6" t="str">
        <f t="shared" si="2"/>
        <v>通过</v>
      </c>
      <c r="I96" s="6" t="str">
        <f t="shared" si="3"/>
        <v>无需处理</v>
      </c>
      <c r="J96" s="6">
        <v>95</v>
      </c>
    </row>
    <row r="97" spans="1:10">
      <c r="A97" s="6" t="s">
        <v>739</v>
      </c>
      <c r="B97" s="6" t="str">
        <f>项目总控台账!A96</f>
        <v>T093</v>
      </c>
      <c r="C97" s="6" t="str">
        <f>IF(AND(项目总控台账!E96&lt;&gt;"",项目总控台账!E96&lt;&gt;"/"),项目总控台账!E96,IF(AND(项目总控台账!D96&lt;&gt;"",项目总控台账!D96&lt;&gt;"/"),项目总控台账!D96,项目总控台账!C96))</f>
        <v>数据对接</v>
      </c>
      <c r="D97" s="6" t="str">
        <f>项目总控台账!H96</f>
        <v>郑士旺</v>
      </c>
      <c r="E97" s="16">
        <f>项目总控台账!I96</f>
        <v>46230</v>
      </c>
      <c r="F97" s="16">
        <f>项目总控台账!J96</f>
        <v>46353</v>
      </c>
      <c r="G97" s="6" t="str">
        <f>IF(B97="","",IF(OR(C97="",C97="/"),"缺少任务名称；","")&amp;IF(OR(D97="",D97="/"),"缺少有效主责人；","")&amp;IF(OR(E97="",E97&lt;DATE(2000,1,1)),"缺少有效计划开始；","")&amp;IF(OR(F97="",F97&lt;DATE(2000,1,1)),"缺少有效计划完成；","")&amp;IF(项目总控台账!G96="","缺少总体状态；","")&amp;IF(AND(ISNUMBER(E97),ISNUMBER(F97),E97&gt;=DATE(2000,1,1),F97&gt;=DATE(2000,1,1),E97&gt;F97),"开始晚于完成；","")&amp;IF(AND(项目总控台账!G96="已完成",项目总控台账!AB96&lt;1),"已完成但进度不足100%；",""))</f>
        <v/>
      </c>
      <c r="H97" s="6" t="str">
        <f t="shared" si="2"/>
        <v>通过</v>
      </c>
      <c r="I97" s="6" t="str">
        <f t="shared" si="3"/>
        <v>无需处理</v>
      </c>
      <c r="J97" s="6">
        <v>96</v>
      </c>
    </row>
    <row r="98" spans="1:10">
      <c r="A98" s="6" t="s">
        <v>739</v>
      </c>
      <c r="B98" s="6" t="str">
        <f>项目总控台账!A97</f>
        <v>T094</v>
      </c>
      <c r="C98" s="6" t="str">
        <f>IF(AND(项目总控台账!E97&lt;&gt;"",项目总控台账!E97&lt;&gt;"/"),项目总控台账!E97,IF(AND(项目总控台账!D97&lt;&gt;"",项目总控台账!D97&lt;&gt;"/"),项目总控台账!D97,项目总控台账!C97))</f>
        <v>数据展示</v>
      </c>
      <c r="D98" s="6" t="str">
        <f>项目总控台账!H97</f>
        <v>郑士旺</v>
      </c>
      <c r="E98" s="16">
        <f>项目总控台账!I97</f>
        <v>46230</v>
      </c>
      <c r="F98" s="16">
        <f>项目总控台账!J97</f>
        <v>46353</v>
      </c>
      <c r="G98" s="6" t="str">
        <f>IF(B98="","",IF(OR(C98="",C98="/"),"缺少任务名称；","")&amp;IF(OR(D98="",D98="/"),"缺少有效主责人；","")&amp;IF(OR(E98="",E98&lt;DATE(2000,1,1)),"缺少有效计划开始；","")&amp;IF(OR(F98="",F98&lt;DATE(2000,1,1)),"缺少有效计划完成；","")&amp;IF(项目总控台账!G97="","缺少总体状态；","")&amp;IF(AND(ISNUMBER(E98),ISNUMBER(F98),E98&gt;=DATE(2000,1,1),F98&gt;=DATE(2000,1,1),E98&gt;F98),"开始晚于完成；","")&amp;IF(AND(项目总控台账!G97="已完成",项目总控台账!AB97&lt;1),"已完成但进度不足100%；",""))</f>
        <v/>
      </c>
      <c r="H98" s="6" t="str">
        <f t="shared" si="2"/>
        <v>通过</v>
      </c>
      <c r="I98" s="6" t="str">
        <f t="shared" si="3"/>
        <v>无需处理</v>
      </c>
      <c r="J98" s="6">
        <v>97</v>
      </c>
    </row>
    <row r="99" spans="1:10">
      <c r="A99" s="6" t="s">
        <v>739</v>
      </c>
      <c r="B99" s="6" t="str">
        <f>项目总控台账!A98</f>
        <v>T095</v>
      </c>
      <c r="C99" s="6" t="str">
        <f>IF(AND(项目总控台账!E98&lt;&gt;"",项目总控台账!E98&lt;&gt;"/"),项目总控台账!E98,IF(AND(项目总控台账!D98&lt;&gt;"",项目总控台账!D98&lt;&gt;"/"),项目总控台账!D98,项目总控台账!C98))</f>
        <v>自动生成堆存费</v>
      </c>
      <c r="D99" s="6" t="str">
        <f>项目总控台账!H98</f>
        <v>郑士旺</v>
      </c>
      <c r="E99" s="16">
        <f>项目总控台账!I98</f>
        <v>46202</v>
      </c>
      <c r="F99" s="16">
        <f>项目总控台账!J98</f>
        <v>46234</v>
      </c>
      <c r="G99" s="6" t="str">
        <f>IF(B99="","",IF(OR(C99="",C99="/"),"缺少任务名称；","")&amp;IF(OR(D99="",D99="/"),"缺少有效主责人；","")&amp;IF(OR(E99="",E99&lt;DATE(2000,1,1)),"缺少有效计划开始；","")&amp;IF(OR(F99="",F99&lt;DATE(2000,1,1)),"缺少有效计划完成；","")&amp;IF(项目总控台账!G98="","缺少总体状态；","")&amp;IF(AND(ISNUMBER(E99),ISNUMBER(F99),E99&gt;=DATE(2000,1,1),F99&gt;=DATE(2000,1,1),E99&gt;F99),"开始晚于完成；","")&amp;IF(AND(项目总控台账!G98="已完成",项目总控台账!AB98&lt;1),"已完成但进度不足100%；",""))</f>
        <v/>
      </c>
      <c r="H99" s="6" t="str">
        <f t="shared" si="2"/>
        <v>通过</v>
      </c>
      <c r="I99" s="6" t="str">
        <f t="shared" si="3"/>
        <v>无需处理</v>
      </c>
      <c r="J99" s="6">
        <v>98</v>
      </c>
    </row>
    <row r="100" spans="1:10">
      <c r="A100" s="6" t="s">
        <v>739</v>
      </c>
      <c r="B100" s="6" t="str">
        <f>项目总控台账!A99</f>
        <v>T096</v>
      </c>
      <c r="C100" s="6" t="str">
        <f>IF(AND(项目总控台账!E99&lt;&gt;"",项目总控台账!E99&lt;&gt;"/"),项目总控台账!E99,IF(AND(项目总控台账!D99&lt;&gt;"",项目总控台账!D99&lt;&gt;"/"),项目总控台账!D99,项目总控台账!C99))</f>
        <v>自动生成装船港杂费</v>
      </c>
      <c r="D100" s="6" t="str">
        <f>项目总控台账!H99</f>
        <v>郑士旺</v>
      </c>
      <c r="E100" s="16">
        <f>项目总控台账!I99</f>
        <v>46202</v>
      </c>
      <c r="F100" s="16">
        <f>项目总控台账!J99</f>
        <v>46261</v>
      </c>
      <c r="G100" s="6" t="str">
        <f>IF(B100="","",IF(OR(C100="",C100="/"),"缺少任务名称；","")&amp;IF(OR(D100="",D100="/"),"缺少有效主责人；","")&amp;IF(OR(E100="",E100&lt;DATE(2000,1,1)),"缺少有效计划开始；","")&amp;IF(OR(F100="",F100&lt;DATE(2000,1,1)),"缺少有效计划完成；","")&amp;IF(项目总控台账!G99="","缺少总体状态；","")&amp;IF(AND(ISNUMBER(E100),ISNUMBER(F100),E100&gt;=DATE(2000,1,1),F100&gt;=DATE(2000,1,1),E100&gt;F100),"开始晚于完成；","")&amp;IF(AND(项目总控台账!G99="已完成",项目总控台账!AB99&lt;1),"已完成但进度不足100%；",""))</f>
        <v/>
      </c>
      <c r="H100" s="6" t="str">
        <f t="shared" si="2"/>
        <v>通过</v>
      </c>
      <c r="I100" s="6" t="str">
        <f t="shared" si="3"/>
        <v>无需处理</v>
      </c>
      <c r="J100" s="6">
        <v>99</v>
      </c>
    </row>
    <row r="101" spans="1:10">
      <c r="A101" s="6" t="s">
        <v>739</v>
      </c>
      <c r="B101" s="6" t="str">
        <f>项目总控台账!A100</f>
        <v>T097</v>
      </c>
      <c r="C101" s="6" t="str">
        <f>IF(AND(项目总控台账!E100&lt;&gt;"",项目总控台账!E100&lt;&gt;"/"),项目总控台账!E100,IF(AND(项目总控台账!D100&lt;&gt;"",项目总控台账!D100&lt;&gt;"/"),项目总控台账!D100,项目总控台账!C100))</f>
        <v>自动生成租赁费</v>
      </c>
      <c r="D101" s="6" t="str">
        <f>项目总控台账!H100</f>
        <v>郑士旺</v>
      </c>
      <c r="E101" s="16">
        <f>项目总控台账!I100</f>
        <v>46202</v>
      </c>
      <c r="F101" s="16">
        <f>项目总控台账!J100</f>
        <v>46234</v>
      </c>
      <c r="G101" s="6" t="str">
        <f>IF(B101="","",IF(OR(C101="",C101="/"),"缺少任务名称；","")&amp;IF(OR(D101="",D101="/"),"缺少有效主责人；","")&amp;IF(OR(E101="",E101&lt;DATE(2000,1,1)),"缺少有效计划开始；","")&amp;IF(OR(F101="",F101&lt;DATE(2000,1,1)),"缺少有效计划完成；","")&amp;IF(项目总控台账!G100="","缺少总体状态；","")&amp;IF(AND(ISNUMBER(E101),ISNUMBER(F101),E101&gt;=DATE(2000,1,1),F101&gt;=DATE(2000,1,1),E101&gt;F101),"开始晚于完成；","")&amp;IF(AND(项目总控台账!G100="已完成",项目总控台账!AB100&lt;1),"已完成但进度不足100%；",""))</f>
        <v/>
      </c>
      <c r="H101" s="6" t="str">
        <f t="shared" si="2"/>
        <v>通过</v>
      </c>
      <c r="I101" s="6" t="str">
        <f t="shared" si="3"/>
        <v>无需处理</v>
      </c>
      <c r="J101" s="6">
        <v>100</v>
      </c>
    </row>
    <row r="102" spans="1:10">
      <c r="A102" s="6" t="s">
        <v>739</v>
      </c>
      <c r="B102" s="6" t="str">
        <f>项目总控台账!A101</f>
        <v>T098</v>
      </c>
      <c r="C102" s="6" t="str">
        <f>IF(AND(项目总控台账!E101&lt;&gt;"",项目总控台账!E101&lt;&gt;"/"),项目总控台账!E101,IF(AND(项目总控台账!D101&lt;&gt;"",项目总控台账!D101&lt;&gt;"/"),项目总控台账!D101,项目总控台账!C101))</f>
        <v>优化装卸费新增</v>
      </c>
      <c r="D102" s="6" t="str">
        <f>项目总控台账!H101</f>
        <v>郑士旺</v>
      </c>
      <c r="E102" s="16">
        <f>项目总控台账!I101</f>
        <v>46202</v>
      </c>
      <c r="F102" s="16">
        <f>项目总控台账!J101</f>
        <v>46224</v>
      </c>
      <c r="G102" s="6" t="str">
        <f>IF(B102="","",IF(OR(C102="",C102="/"),"缺少任务名称；","")&amp;IF(OR(D102="",D102="/"),"缺少有效主责人；","")&amp;IF(OR(E102="",E102&lt;DATE(2000,1,1)),"缺少有效计划开始；","")&amp;IF(OR(F102="",F102&lt;DATE(2000,1,1)),"缺少有效计划完成；","")&amp;IF(项目总控台账!G101="","缺少总体状态；","")&amp;IF(AND(ISNUMBER(E102),ISNUMBER(F102),E102&gt;=DATE(2000,1,1),F102&gt;=DATE(2000,1,1),E102&gt;F102),"开始晚于完成；","")&amp;IF(AND(项目总控台账!G101="已完成",项目总控台账!AB101&lt;1),"已完成但进度不足100%；",""))</f>
        <v/>
      </c>
      <c r="H102" s="6" t="str">
        <f t="shared" si="2"/>
        <v>通过</v>
      </c>
      <c r="I102" s="6" t="str">
        <f t="shared" si="3"/>
        <v>无需处理</v>
      </c>
      <c r="J102" s="6">
        <v>101</v>
      </c>
    </row>
    <row r="103" spans="1:10">
      <c r="A103" s="6" t="s">
        <v>739</v>
      </c>
      <c r="B103" s="6" t="str">
        <f>项目总控台账!A102</f>
        <v>T099</v>
      </c>
      <c r="C103" s="6" t="str">
        <f>IF(AND(项目总控台账!E102&lt;&gt;"",项目总控台账!E102&lt;&gt;"/"),项目总控台账!E102,IF(AND(项目总控台账!D102&lt;&gt;"",项目总控台账!D102&lt;&gt;"/"),项目总控台账!D102,项目总控台账!C102))</f>
        <v>优化装卸费编辑</v>
      </c>
      <c r="D103" s="6" t="str">
        <f>项目总控台账!H102</f>
        <v>郑士旺</v>
      </c>
      <c r="E103" s="16">
        <f>项目总控台账!I102</f>
        <v>46202</v>
      </c>
      <c r="F103" s="16">
        <f>项目总控台账!J102</f>
        <v>46224</v>
      </c>
      <c r="G103" s="6" t="str">
        <f>IF(B103="","",IF(OR(C103="",C103="/"),"缺少任务名称；","")&amp;IF(OR(D103="",D103="/"),"缺少有效主责人；","")&amp;IF(OR(E103="",E103&lt;DATE(2000,1,1)),"缺少有效计划开始；","")&amp;IF(OR(F103="",F103&lt;DATE(2000,1,1)),"缺少有效计划完成；","")&amp;IF(项目总控台账!G102="","缺少总体状态；","")&amp;IF(AND(ISNUMBER(E103),ISNUMBER(F103),E103&gt;=DATE(2000,1,1),F103&gt;=DATE(2000,1,1),E103&gt;F103),"开始晚于完成；","")&amp;IF(AND(项目总控台账!G102="已完成",项目总控台账!AB102&lt;1),"已完成但进度不足100%；",""))</f>
        <v/>
      </c>
      <c r="H103" s="6" t="str">
        <f t="shared" si="2"/>
        <v>通过</v>
      </c>
      <c r="I103" s="6" t="str">
        <f t="shared" si="3"/>
        <v>无需处理</v>
      </c>
      <c r="J103" s="6">
        <v>102</v>
      </c>
    </row>
    <row r="104" spans="1:10">
      <c r="A104" s="6" t="s">
        <v>739</v>
      </c>
      <c r="B104" s="6" t="str">
        <f>项目总控台账!A103</f>
        <v>T100</v>
      </c>
      <c r="C104" s="6" t="str">
        <f>IF(AND(项目总控台账!E103&lt;&gt;"",项目总控台账!E103&lt;&gt;"/"),项目总控台账!E103,IF(AND(项目总控台账!D103&lt;&gt;"",项目总控台账!D103&lt;&gt;"/"),项目总控台账!D103,项目总控台账!C103))</f>
        <v>创建行业资讯数据</v>
      </c>
      <c r="D104" s="6" t="str">
        <f>项目总控台账!H103</f>
        <v>郑士旺</v>
      </c>
      <c r="E104" s="16">
        <f>项目总控台账!I103</f>
        <v>46209</v>
      </c>
      <c r="F104" s="16">
        <f>项目总控台账!J103</f>
        <v>46224</v>
      </c>
      <c r="G104" s="6" t="str">
        <f>IF(B104="","",IF(OR(C104="",C104="/"),"缺少任务名称；","")&amp;IF(OR(D104="",D104="/"),"缺少有效主责人；","")&amp;IF(OR(E104="",E104&lt;DATE(2000,1,1)),"缺少有效计划开始；","")&amp;IF(OR(F104="",F104&lt;DATE(2000,1,1)),"缺少有效计划完成；","")&amp;IF(项目总控台账!G103="","缺少总体状态；","")&amp;IF(AND(ISNUMBER(E104),ISNUMBER(F104),E104&gt;=DATE(2000,1,1),F104&gt;=DATE(2000,1,1),E104&gt;F104),"开始晚于完成；","")&amp;IF(AND(项目总控台账!G103="已完成",项目总控台账!AB103&lt;1),"已完成但进度不足100%；",""))</f>
        <v/>
      </c>
      <c r="H104" s="6" t="str">
        <f t="shared" si="2"/>
        <v>通过</v>
      </c>
      <c r="I104" s="6" t="str">
        <f t="shared" si="3"/>
        <v>无需处理</v>
      </c>
      <c r="J104" s="6">
        <v>103</v>
      </c>
    </row>
    <row r="105" spans="1:10">
      <c r="A105" s="6" t="s">
        <v>739</v>
      </c>
      <c r="B105" s="6" t="str">
        <f>项目总控台账!A104</f>
        <v>T101</v>
      </c>
      <c r="C105" s="6" t="str">
        <f>IF(AND(项目总控台账!E104&lt;&gt;"",项目总控台账!E104&lt;&gt;"/"),项目总控台账!E104,IF(AND(项目总控台账!D104&lt;&gt;"",项目总控台账!D104&lt;&gt;"/"),项目总控台账!D104,项目总控台账!C104))</f>
        <v>修改行业资讯数据</v>
      </c>
      <c r="D105" s="6" t="str">
        <f>项目总控台账!H104</f>
        <v>郑士旺</v>
      </c>
      <c r="E105" s="16">
        <f>项目总控台账!I104</f>
        <v>46209</v>
      </c>
      <c r="F105" s="16">
        <f>项目总控台账!J104</f>
        <v>46224</v>
      </c>
      <c r="G105" s="6" t="str">
        <f>IF(B105="","",IF(OR(C105="",C105="/"),"缺少任务名称；","")&amp;IF(OR(D105="",D105="/"),"缺少有效主责人；","")&amp;IF(OR(E105="",E105&lt;DATE(2000,1,1)),"缺少有效计划开始；","")&amp;IF(OR(F105="",F105&lt;DATE(2000,1,1)),"缺少有效计划完成；","")&amp;IF(项目总控台账!G104="","缺少总体状态；","")&amp;IF(AND(ISNUMBER(E105),ISNUMBER(F105),E105&gt;=DATE(2000,1,1),F105&gt;=DATE(2000,1,1),E105&gt;F105),"开始晚于完成；","")&amp;IF(AND(项目总控台账!G104="已完成",项目总控台账!AB104&lt;1),"已完成但进度不足100%；",""))</f>
        <v/>
      </c>
      <c r="H105" s="6" t="str">
        <f t="shared" si="2"/>
        <v>通过</v>
      </c>
      <c r="I105" s="6" t="str">
        <f t="shared" si="3"/>
        <v>无需处理</v>
      </c>
      <c r="J105" s="6">
        <v>104</v>
      </c>
    </row>
    <row r="106" spans="1:10">
      <c r="A106" s="6" t="s">
        <v>739</v>
      </c>
      <c r="B106" s="6" t="str">
        <f>项目总控台账!A105</f>
        <v>T102</v>
      </c>
      <c r="C106" s="6" t="str">
        <f>IF(AND(项目总控台账!E105&lt;&gt;"",项目总控台账!E105&lt;&gt;"/"),项目总控台账!E105,IF(AND(项目总控台账!D105&lt;&gt;"",项目总控台账!D105&lt;&gt;"/"),项目总控台账!D105,项目总控台账!C105))</f>
        <v>删除行业资讯数据</v>
      </c>
      <c r="D106" s="6" t="str">
        <f>项目总控台账!H105</f>
        <v>郑士旺</v>
      </c>
      <c r="E106" s="16">
        <f>项目总控台账!I105</f>
        <v>46209</v>
      </c>
      <c r="F106" s="16">
        <f>项目总控台账!J105</f>
        <v>46224</v>
      </c>
      <c r="G106" s="6" t="str">
        <f>IF(B106="","",IF(OR(C106="",C106="/"),"缺少任务名称；","")&amp;IF(OR(D106="",D106="/"),"缺少有效主责人；","")&amp;IF(OR(E106="",E106&lt;DATE(2000,1,1)),"缺少有效计划开始；","")&amp;IF(OR(F106="",F106&lt;DATE(2000,1,1)),"缺少有效计划完成；","")&amp;IF(项目总控台账!G105="","缺少总体状态；","")&amp;IF(AND(ISNUMBER(E106),ISNUMBER(F106),E106&gt;=DATE(2000,1,1),F106&gt;=DATE(2000,1,1),E106&gt;F106),"开始晚于完成；","")&amp;IF(AND(项目总控台账!G105="已完成",项目总控台账!AB105&lt;1),"已完成但进度不足100%；",""))</f>
        <v/>
      </c>
      <c r="H106" s="6" t="str">
        <f t="shared" si="2"/>
        <v>通过</v>
      </c>
      <c r="I106" s="6" t="str">
        <f t="shared" si="3"/>
        <v>无需处理</v>
      </c>
      <c r="J106" s="6">
        <v>105</v>
      </c>
    </row>
    <row r="107" spans="1:10">
      <c r="A107" s="6" t="s">
        <v>739</v>
      </c>
      <c r="B107" s="6" t="str">
        <f>项目总控台账!A106</f>
        <v>T103</v>
      </c>
      <c r="C107" s="6" t="str">
        <f>IF(AND(项目总控台账!E106&lt;&gt;"",项目总控台账!E106&lt;&gt;"/"),项目总控台账!E106,IF(AND(项目总控台账!D106&lt;&gt;"",项目总控台账!D106&lt;&gt;"/"),项目总控台账!D106,项目总控台账!C106))</f>
        <v>展示行业资讯数据</v>
      </c>
      <c r="D107" s="6" t="str">
        <f>项目总控台账!H106</f>
        <v>郑士旺</v>
      </c>
      <c r="E107" s="16">
        <f>项目总控台账!I106</f>
        <v>46209</v>
      </c>
      <c r="F107" s="16">
        <f>项目总控台账!J106</f>
        <v>46224</v>
      </c>
      <c r="G107" s="6" t="str">
        <f>IF(B107="","",IF(OR(C107="",C107="/"),"缺少任务名称；","")&amp;IF(OR(D107="",D107="/"),"缺少有效主责人；","")&amp;IF(OR(E107="",E107&lt;DATE(2000,1,1)),"缺少有效计划开始；","")&amp;IF(OR(F107="",F107&lt;DATE(2000,1,1)),"缺少有效计划完成；","")&amp;IF(项目总控台账!G106="","缺少总体状态；","")&amp;IF(AND(ISNUMBER(E107),ISNUMBER(F107),E107&gt;=DATE(2000,1,1),F107&gt;=DATE(2000,1,1),E107&gt;F107),"开始晚于完成；","")&amp;IF(AND(项目总控台账!G106="已完成",项目总控台账!AB106&lt;1),"已完成但进度不足100%；",""))</f>
        <v/>
      </c>
      <c r="H107" s="6" t="str">
        <f t="shared" si="2"/>
        <v>通过</v>
      </c>
      <c r="I107" s="6" t="str">
        <f t="shared" si="3"/>
        <v>无需处理</v>
      </c>
      <c r="J107" s="6">
        <v>106</v>
      </c>
    </row>
    <row r="108" spans="1:10">
      <c r="A108" s="6" t="s">
        <v>739</v>
      </c>
      <c r="B108" s="6" t="str">
        <f>项目总控台账!A107</f>
        <v>T104</v>
      </c>
      <c r="C108" s="6" t="str">
        <f>IF(AND(项目总控台账!E107&lt;&gt;"",项目总控台账!E107&lt;&gt;"/"),项目总控台账!E107,IF(AND(项目总控台账!D107&lt;&gt;"",项目总控台账!D107&lt;&gt;"/"),项目总控台账!D107,项目总控台账!C107))</f>
        <v>吞吐量统计（曹妃甸）</v>
      </c>
      <c r="D108" s="6" t="str">
        <f>项目总控台账!H107</f>
        <v>郑士旺</v>
      </c>
      <c r="E108" s="16">
        <f>项目总控台账!I107</f>
        <v>46209</v>
      </c>
      <c r="F108" s="16">
        <f>项目总控台账!J107</f>
        <v>46269</v>
      </c>
      <c r="G108" s="6" t="str">
        <f>IF(B108="","",IF(OR(C108="",C108="/"),"缺少任务名称；","")&amp;IF(OR(D108="",D108="/"),"缺少有效主责人；","")&amp;IF(OR(E108="",E108&lt;DATE(2000,1,1)),"缺少有效计划开始；","")&amp;IF(OR(F108="",F108&lt;DATE(2000,1,1)),"缺少有效计划完成；","")&amp;IF(项目总控台账!G107="","缺少总体状态；","")&amp;IF(AND(ISNUMBER(E108),ISNUMBER(F108),E108&gt;=DATE(2000,1,1),F108&gt;=DATE(2000,1,1),E108&gt;F108),"开始晚于完成；","")&amp;IF(AND(项目总控台账!G107="已完成",项目总控台账!AB107&lt;1),"已完成但进度不足100%；",""))</f>
        <v/>
      </c>
      <c r="H108" s="6" t="str">
        <f t="shared" si="2"/>
        <v>通过</v>
      </c>
      <c r="I108" s="6" t="str">
        <f t="shared" si="3"/>
        <v>无需处理</v>
      </c>
      <c r="J108" s="6">
        <v>107</v>
      </c>
    </row>
    <row r="109" spans="1:10">
      <c r="A109" s="6" t="s">
        <v>739</v>
      </c>
      <c r="B109" s="6" t="str">
        <f>项目总控台账!A108</f>
        <v>T105</v>
      </c>
      <c r="C109" s="6" t="str">
        <f>IF(AND(项目总控台账!E108&lt;&gt;"",项目总控台账!E108&lt;&gt;"/"),项目总控台账!E108,IF(AND(项目总控台账!D108&lt;&gt;"",项目总控台账!D108&lt;&gt;"/"),项目总控台账!D108,项目总控台账!C108))</f>
        <v>泊位占用率分析（曹妃甸）</v>
      </c>
      <c r="D109" s="6" t="str">
        <f>项目总控台账!H108</f>
        <v>郑士旺</v>
      </c>
      <c r="E109" s="16">
        <f>项目总控台账!I108</f>
        <v>46209</v>
      </c>
      <c r="F109" s="16">
        <f>项目总控台账!J108</f>
        <v>46269</v>
      </c>
      <c r="G109" s="6" t="str">
        <f>IF(B109="","",IF(OR(C109="",C109="/"),"缺少任务名称；","")&amp;IF(OR(D109="",D109="/"),"缺少有效主责人；","")&amp;IF(OR(E109="",E109&lt;DATE(2000,1,1)),"缺少有效计划开始；","")&amp;IF(OR(F109="",F109&lt;DATE(2000,1,1)),"缺少有效计划完成；","")&amp;IF(项目总控台账!G108="","缺少总体状态；","")&amp;IF(AND(ISNUMBER(E109),ISNUMBER(F109),E109&gt;=DATE(2000,1,1),F109&gt;=DATE(2000,1,1),E109&gt;F109),"开始晚于完成；","")&amp;IF(AND(项目总控台账!G108="已完成",项目总控台账!AB108&lt;1),"已完成但进度不足100%；",""))</f>
        <v/>
      </c>
      <c r="H109" s="6" t="str">
        <f t="shared" si="2"/>
        <v>通过</v>
      </c>
      <c r="I109" s="6" t="str">
        <f t="shared" si="3"/>
        <v>无需处理</v>
      </c>
      <c r="J109" s="6">
        <v>108</v>
      </c>
    </row>
    <row r="110" spans="1:10">
      <c r="A110" s="6" t="s">
        <v>739</v>
      </c>
      <c r="B110" s="6" t="str">
        <f>项目总控台账!A109</f>
        <v>T106</v>
      </c>
      <c r="C110" s="6" t="str">
        <f>IF(AND(项目总控台账!E109&lt;&gt;"",项目总控台账!E109&lt;&gt;"/"),项目总控台账!E109,IF(AND(项目总控台账!D109&lt;&gt;"",项目总控台账!D109&lt;&gt;"/"),项目总控台账!D109,项目总控台账!C109))</f>
        <v>堆存库存统计（曹妃甸）</v>
      </c>
      <c r="D110" s="6" t="str">
        <f>项目总控台账!H109</f>
        <v>郑士旺</v>
      </c>
      <c r="E110" s="16">
        <f>项目总控台账!I109</f>
        <v>46209</v>
      </c>
      <c r="F110" s="16">
        <f>项目总控台账!J109</f>
        <v>46269</v>
      </c>
      <c r="G110" s="6" t="str">
        <f>IF(B110="","",IF(OR(C110="",C110="/"),"缺少任务名称；","")&amp;IF(OR(D110="",D110="/"),"缺少有效主责人；","")&amp;IF(OR(E110="",E110&lt;DATE(2000,1,1)),"缺少有效计划开始；","")&amp;IF(OR(F110="",F110&lt;DATE(2000,1,1)),"缺少有效计划完成；","")&amp;IF(项目总控台账!G109="","缺少总体状态；","")&amp;IF(AND(ISNUMBER(E110),ISNUMBER(F110),E110&gt;=DATE(2000,1,1),F110&gt;=DATE(2000,1,1),E110&gt;F110),"开始晚于完成；","")&amp;IF(AND(项目总控台账!G109="已完成",项目总控台账!AB109&lt;1),"已完成但进度不足100%；",""))</f>
        <v/>
      </c>
      <c r="H110" s="6" t="str">
        <f t="shared" si="2"/>
        <v>通过</v>
      </c>
      <c r="I110" s="6" t="str">
        <f t="shared" si="3"/>
        <v>无需处理</v>
      </c>
      <c r="J110" s="6">
        <v>109</v>
      </c>
    </row>
    <row r="111" spans="1:10">
      <c r="A111" s="6" t="s">
        <v>739</v>
      </c>
      <c r="B111" s="6" t="str">
        <f>项目总控台账!A110</f>
        <v>T107</v>
      </c>
      <c r="C111" s="6" t="str">
        <f>IF(AND(项目总控台账!E110&lt;&gt;"",项目总控台账!E110&lt;&gt;"/"),项目总控台账!E110,IF(AND(项目总控台账!D110&lt;&gt;"",项目总控台账!D110&lt;&gt;"/"),项目总控台账!D110,项目总控台账!C110))</f>
        <v>分货主实时统计表（曹妃甸）</v>
      </c>
      <c r="D111" s="6" t="str">
        <f>项目总控台账!H110</f>
        <v>郑士旺</v>
      </c>
      <c r="E111" s="16">
        <f>项目总控台账!I110</f>
        <v>46209</v>
      </c>
      <c r="F111" s="16">
        <f>项目总控台账!J110</f>
        <v>46269</v>
      </c>
      <c r="G111" s="6" t="str">
        <f>IF(B111="","",IF(OR(C111="",C111="/"),"缺少任务名称；","")&amp;IF(OR(D111="",D111="/"),"缺少有效主责人；","")&amp;IF(OR(E111="",E111&lt;DATE(2000,1,1)),"缺少有效计划开始；","")&amp;IF(OR(F111="",F111&lt;DATE(2000,1,1)),"缺少有效计划完成；","")&amp;IF(项目总控台账!G110="","缺少总体状态；","")&amp;IF(AND(ISNUMBER(E111),ISNUMBER(F111),E111&gt;=DATE(2000,1,1),F111&gt;=DATE(2000,1,1),E111&gt;F111),"开始晚于完成；","")&amp;IF(AND(项目总控台账!G110="已完成",项目总控台账!AB110&lt;1),"已完成但进度不足100%；",""))</f>
        <v/>
      </c>
      <c r="H111" s="6" t="str">
        <f t="shared" si="2"/>
        <v>通过</v>
      </c>
      <c r="I111" s="6" t="str">
        <f t="shared" si="3"/>
        <v>无需处理</v>
      </c>
      <c r="J111" s="6">
        <v>110</v>
      </c>
    </row>
    <row r="112" spans="1:10">
      <c r="A112" s="6" t="s">
        <v>739</v>
      </c>
      <c r="B112" s="6" t="str">
        <f>项目总控台账!A111</f>
        <v>T108</v>
      </c>
      <c r="C112" s="6" t="str">
        <f>IF(AND(项目总控台账!E111&lt;&gt;"",项目总控台账!E111&lt;&gt;"/"),项目总控台账!E111,IF(AND(项目总控台账!D111&lt;&gt;"",项目总控台账!D111&lt;&gt;"/"),项目总控台账!D111,项目总控台账!C111))</f>
        <v>综合装船效率分析（曹妃甸）</v>
      </c>
      <c r="D112" s="6" t="str">
        <f>项目总控台账!H111</f>
        <v>郑士旺</v>
      </c>
      <c r="E112" s="16">
        <f>项目总控台账!I111</f>
        <v>46209</v>
      </c>
      <c r="F112" s="16">
        <f>项目总控台账!J111</f>
        <v>46269</v>
      </c>
      <c r="G112" s="6" t="str">
        <f>IF(B112="","",IF(OR(C112="",C112="/"),"缺少任务名称；","")&amp;IF(OR(D112="",D112="/"),"缺少有效主责人；","")&amp;IF(OR(E112="",E112&lt;DATE(2000,1,1)),"缺少有效计划开始；","")&amp;IF(OR(F112="",F112&lt;DATE(2000,1,1)),"缺少有效计划完成；","")&amp;IF(项目总控台账!G111="","缺少总体状态；","")&amp;IF(AND(ISNUMBER(E112),ISNUMBER(F112),E112&gt;=DATE(2000,1,1),F112&gt;=DATE(2000,1,1),E112&gt;F112),"开始晚于完成；","")&amp;IF(AND(项目总控台账!G111="已完成",项目总控台账!AB111&lt;1),"已完成但进度不足100%；",""))</f>
        <v/>
      </c>
      <c r="H112" s="6" t="str">
        <f t="shared" si="2"/>
        <v>通过</v>
      </c>
      <c r="I112" s="6" t="str">
        <f t="shared" si="3"/>
        <v>无需处理</v>
      </c>
      <c r="J112" s="6">
        <v>111</v>
      </c>
    </row>
    <row r="113" spans="1:10">
      <c r="A113" s="6" t="s">
        <v>739</v>
      </c>
      <c r="B113" s="6" t="str">
        <f>项目总控台账!A112</f>
        <v>T109</v>
      </c>
      <c r="C113" s="6" t="str">
        <f>IF(AND(项目总控台账!E112&lt;&gt;"",项目总控台账!E112&lt;&gt;"/"),项目总控台账!E112,IF(AND(项目总控台账!D112&lt;&gt;"",项目总控台账!D112&lt;&gt;"/"),项目总控台账!D112,项目总控台账!C112))</f>
        <v>综合卸车效率分析（曹妃甸）</v>
      </c>
      <c r="D113" s="6" t="str">
        <f>项目总控台账!H112</f>
        <v>郑士旺</v>
      </c>
      <c r="E113" s="16">
        <f>项目总控台账!I112</f>
        <v>46209</v>
      </c>
      <c r="F113" s="16">
        <f>项目总控台账!J112</f>
        <v>46269</v>
      </c>
      <c r="G113" s="6" t="str">
        <f>IF(B113="","",IF(OR(C113="",C113="/"),"缺少任务名称；","")&amp;IF(OR(D113="",D113="/"),"缺少有效主责人；","")&amp;IF(OR(E113="",E113&lt;DATE(2000,1,1)),"缺少有效计划开始；","")&amp;IF(OR(F113="",F113&lt;DATE(2000,1,1)),"缺少有效计划完成；","")&amp;IF(项目总控台账!G112="","缺少总体状态；","")&amp;IF(AND(ISNUMBER(E113),ISNUMBER(F113),E113&gt;=DATE(2000,1,1),F113&gt;=DATE(2000,1,1),E113&gt;F113),"开始晚于完成；","")&amp;IF(AND(项目总控台账!G112="已完成",项目总控台账!AB112&lt;1),"已完成但进度不足100%；",""))</f>
        <v/>
      </c>
      <c r="H113" s="6" t="str">
        <f t="shared" si="2"/>
        <v>通过</v>
      </c>
      <c r="I113" s="6" t="str">
        <f t="shared" si="3"/>
        <v>无需处理</v>
      </c>
      <c r="J113" s="6">
        <v>112</v>
      </c>
    </row>
    <row r="114" spans="1:10">
      <c r="A114" s="6" t="s">
        <v>739</v>
      </c>
      <c r="B114" s="6" t="str">
        <f>项目总控台账!A113</f>
        <v>T110</v>
      </c>
      <c r="C114" s="6" t="str">
        <f>IF(AND(项目总控台账!E113&lt;&gt;"",项目总控台账!E113&lt;&gt;"/"),项目总控台账!E113,IF(AND(项目总控台账!D113&lt;&gt;"",项目总控台账!D113&lt;&gt;"/"),项目总控台账!D113,项目总控台账!C113))</f>
        <v>综合卸船效率分析（曹妃甸）</v>
      </c>
      <c r="D114" s="6" t="str">
        <f>项目总控台账!H113</f>
        <v>郑士旺</v>
      </c>
      <c r="E114" s="16">
        <f>项目总控台账!I113</f>
        <v>46209</v>
      </c>
      <c r="F114" s="16">
        <f>项目总控台账!J113</f>
        <v>46269</v>
      </c>
      <c r="G114" s="6" t="str">
        <f>IF(B114="","",IF(OR(C114="",C114="/"),"缺少任务名称；","")&amp;IF(OR(D114="",D114="/"),"缺少有效主责人；","")&amp;IF(OR(E114="",E114&lt;DATE(2000,1,1)),"缺少有效计划开始；","")&amp;IF(OR(F114="",F114&lt;DATE(2000,1,1)),"缺少有效计划完成；","")&amp;IF(项目总控台账!G113="","缺少总体状态；","")&amp;IF(AND(ISNUMBER(E114),ISNUMBER(F114),E114&gt;=DATE(2000,1,1),F114&gt;=DATE(2000,1,1),E114&gt;F114),"开始晚于完成；","")&amp;IF(AND(项目总控台账!G113="已完成",项目总控台账!AB113&lt;1),"已完成但进度不足100%；",""))</f>
        <v/>
      </c>
      <c r="H114" s="6" t="str">
        <f t="shared" si="2"/>
        <v>通过</v>
      </c>
      <c r="I114" s="6" t="str">
        <f t="shared" si="3"/>
        <v>无需处理</v>
      </c>
      <c r="J114" s="6">
        <v>113</v>
      </c>
    </row>
    <row r="115" spans="1:10">
      <c r="A115" s="6" t="s">
        <v>739</v>
      </c>
      <c r="B115" s="6" t="str">
        <f>项目总控台账!A114</f>
        <v>T111</v>
      </c>
      <c r="C115" s="6" t="str">
        <f>IF(AND(项目总控台账!E114&lt;&gt;"",项目总控台账!E114&lt;&gt;"/"),项目总控台账!E114,IF(AND(项目总控台账!D114&lt;&gt;"",项目总控台账!D114&lt;&gt;"/"),项目总控台账!D114,项目总控台账!C114))</f>
        <v>吞吐量统计（太仓）</v>
      </c>
      <c r="D115" s="6" t="str">
        <f>项目总控台账!H114</f>
        <v>/</v>
      </c>
      <c r="E115" s="16" t="str">
        <f>项目总控台账!I114</f>
        <v/>
      </c>
      <c r="F115" s="16" t="str">
        <f>项目总控台账!J114</f>
        <v/>
      </c>
      <c r="G115" s="6" t="str">
        <f>IF(B115="","",IF(OR(C115="",C115="/"),"缺少任务名称；","")&amp;IF(OR(D115="",D115="/"),"缺少有效主责人；","")&amp;IF(OR(E115="",E115&lt;DATE(2000,1,1)),"缺少有效计划开始；","")&amp;IF(OR(F115="",F115&lt;DATE(2000,1,1)),"缺少有效计划完成；","")&amp;IF(项目总控台账!G114="","缺少总体状态；","")&amp;IF(AND(ISNUMBER(E115),ISNUMBER(F115),E115&gt;=DATE(2000,1,1),F115&gt;=DATE(2000,1,1),E115&gt;F115),"开始晚于完成；","")&amp;IF(AND(项目总控台账!G114="已完成",项目总控台账!AB114&lt;1),"已完成但进度不足100%；",""))</f>
        <v>缺少有效主责人；缺少有效计划开始；缺少有效计划完成；</v>
      </c>
      <c r="H115" s="6" t="str">
        <f t="shared" si="2"/>
        <v>需整改</v>
      </c>
      <c r="I115" s="6" t="str">
        <f t="shared" si="3"/>
        <v>回到项目总控台账第114行补齐或修正</v>
      </c>
      <c r="J115" s="6">
        <v>114</v>
      </c>
    </row>
    <row r="116" spans="1:10">
      <c r="A116" s="6" t="s">
        <v>739</v>
      </c>
      <c r="B116" s="6" t="str">
        <f>项目总控台账!A115</f>
        <v>T112</v>
      </c>
      <c r="C116" s="6" t="str">
        <f>IF(AND(项目总控台账!E115&lt;&gt;"",项目总控台账!E115&lt;&gt;"/"),项目总控台账!E115,IF(AND(项目总控台账!D115&lt;&gt;"",项目总控台账!D115&lt;&gt;"/"),项目总控台账!D115,项目总控台账!C115))</f>
        <v>泊位占用率分析（太仓）</v>
      </c>
      <c r="D116" s="6" t="str">
        <f>项目总控台账!H115</f>
        <v>/</v>
      </c>
      <c r="E116" s="16" t="str">
        <f>项目总控台账!I115</f>
        <v/>
      </c>
      <c r="F116" s="16" t="str">
        <f>项目总控台账!J115</f>
        <v/>
      </c>
      <c r="G116" s="6" t="str">
        <f>IF(B116="","",IF(OR(C116="",C116="/"),"缺少任务名称；","")&amp;IF(OR(D116="",D116="/"),"缺少有效主责人；","")&amp;IF(OR(E116="",E116&lt;DATE(2000,1,1)),"缺少有效计划开始；","")&amp;IF(OR(F116="",F116&lt;DATE(2000,1,1)),"缺少有效计划完成；","")&amp;IF(项目总控台账!G115="","缺少总体状态；","")&amp;IF(AND(ISNUMBER(E116),ISNUMBER(F116),E116&gt;=DATE(2000,1,1),F116&gt;=DATE(2000,1,1),E116&gt;F116),"开始晚于完成；","")&amp;IF(AND(项目总控台账!G115="已完成",项目总控台账!AB115&lt;1),"已完成但进度不足100%；",""))</f>
        <v>缺少有效主责人；缺少有效计划开始；缺少有效计划完成；</v>
      </c>
      <c r="H116" s="6" t="str">
        <f t="shared" si="2"/>
        <v>需整改</v>
      </c>
      <c r="I116" s="6" t="str">
        <f t="shared" si="3"/>
        <v>回到项目总控台账第115行补齐或修正</v>
      </c>
      <c r="J116" s="6">
        <v>115</v>
      </c>
    </row>
    <row r="117" spans="1:10">
      <c r="A117" s="6" t="s">
        <v>739</v>
      </c>
      <c r="B117" s="6" t="str">
        <f>项目总控台账!A116</f>
        <v>T113</v>
      </c>
      <c r="C117" s="6" t="str">
        <f>IF(AND(项目总控台账!E116&lt;&gt;"",项目总控台账!E116&lt;&gt;"/"),项目总控台账!E116,IF(AND(项目总控台账!D116&lt;&gt;"",项目总控台账!D116&lt;&gt;"/"),项目总控台账!D116,项目总控台账!C116))</f>
        <v>堆存库存统计（太仓）</v>
      </c>
      <c r="D117" s="6" t="str">
        <f>项目总控台账!H116</f>
        <v>/</v>
      </c>
      <c r="E117" s="16" t="str">
        <f>项目总控台账!I116</f>
        <v/>
      </c>
      <c r="F117" s="16" t="str">
        <f>项目总控台账!J116</f>
        <v/>
      </c>
      <c r="G117" s="6" t="str">
        <f>IF(B117="","",IF(OR(C117="",C117="/"),"缺少任务名称；","")&amp;IF(OR(D117="",D117="/"),"缺少有效主责人；","")&amp;IF(OR(E117="",E117&lt;DATE(2000,1,1)),"缺少有效计划开始；","")&amp;IF(OR(F117="",F117&lt;DATE(2000,1,1)),"缺少有效计划完成；","")&amp;IF(项目总控台账!G116="","缺少总体状态；","")&amp;IF(AND(ISNUMBER(E117),ISNUMBER(F117),E117&gt;=DATE(2000,1,1),F117&gt;=DATE(2000,1,1),E117&gt;F117),"开始晚于完成；","")&amp;IF(AND(项目总控台账!G116="已完成",项目总控台账!AB116&lt;1),"已完成但进度不足100%；",""))</f>
        <v>缺少有效主责人；缺少有效计划开始；缺少有效计划完成；</v>
      </c>
      <c r="H117" s="6" t="str">
        <f t="shared" si="2"/>
        <v>需整改</v>
      </c>
      <c r="I117" s="6" t="str">
        <f t="shared" si="3"/>
        <v>回到项目总控台账第116行补齐或修正</v>
      </c>
      <c r="J117" s="6">
        <v>116</v>
      </c>
    </row>
    <row r="118" spans="1:10">
      <c r="A118" s="6" t="s">
        <v>739</v>
      </c>
      <c r="B118" s="6" t="str">
        <f>项目总控台账!A117</f>
        <v>T114</v>
      </c>
      <c r="C118" s="6" t="str">
        <f>IF(AND(项目总控台账!E117&lt;&gt;"",项目总控台账!E117&lt;&gt;"/"),项目总控台账!E117,IF(AND(项目总控台账!D117&lt;&gt;"",项目总控台账!D117&lt;&gt;"/"),项目总控台账!D117,项目总控台账!C117))</f>
        <v>分货主实时统计表（太仓）</v>
      </c>
      <c r="D118" s="6" t="str">
        <f>项目总控台账!H117</f>
        <v>/</v>
      </c>
      <c r="E118" s="16" t="str">
        <f>项目总控台账!I117</f>
        <v/>
      </c>
      <c r="F118" s="16" t="str">
        <f>项目总控台账!J117</f>
        <v/>
      </c>
      <c r="G118" s="6" t="str">
        <f>IF(B118="","",IF(OR(C118="",C118="/"),"缺少任务名称；","")&amp;IF(OR(D118="",D118="/"),"缺少有效主责人；","")&amp;IF(OR(E118="",E118&lt;DATE(2000,1,1)),"缺少有效计划开始；","")&amp;IF(OR(F118="",F118&lt;DATE(2000,1,1)),"缺少有效计划完成；","")&amp;IF(项目总控台账!G117="","缺少总体状态；","")&amp;IF(AND(ISNUMBER(E118),ISNUMBER(F118),E118&gt;=DATE(2000,1,1),F118&gt;=DATE(2000,1,1),E118&gt;F118),"开始晚于完成；","")&amp;IF(AND(项目总控台账!G117="已完成",项目总控台账!AB117&lt;1),"已完成但进度不足100%；",""))</f>
        <v>缺少有效主责人；缺少有效计划开始；缺少有效计划完成；</v>
      </c>
      <c r="H118" s="6" t="str">
        <f t="shared" si="2"/>
        <v>需整改</v>
      </c>
      <c r="I118" s="6" t="str">
        <f t="shared" si="3"/>
        <v>回到项目总控台账第117行补齐或修正</v>
      </c>
      <c r="J118" s="6">
        <v>117</v>
      </c>
    </row>
    <row r="119" spans="1:10">
      <c r="A119" s="6" t="s">
        <v>739</v>
      </c>
      <c r="B119" s="6" t="str">
        <f>项目总控台账!A118</f>
        <v>T115</v>
      </c>
      <c r="C119" s="6" t="str">
        <f>IF(AND(项目总控台账!E118&lt;&gt;"",项目总控台账!E118&lt;&gt;"/"),项目总控台账!E118,IF(AND(项目总控台账!D118&lt;&gt;"",项目总控台账!D118&lt;&gt;"/"),项目总控台账!D118,项目总控台账!C118))</f>
        <v>综合卸船效率分析（太仓）</v>
      </c>
      <c r="D119" s="6" t="str">
        <f>项目总控台账!H118</f>
        <v>/</v>
      </c>
      <c r="E119" s="16" t="str">
        <f>项目总控台账!I118</f>
        <v/>
      </c>
      <c r="F119" s="16" t="str">
        <f>项目总控台账!J118</f>
        <v/>
      </c>
      <c r="G119" s="6" t="str">
        <f>IF(B119="","",IF(OR(C119="",C119="/"),"缺少任务名称；","")&amp;IF(OR(D119="",D119="/"),"缺少有效主责人；","")&amp;IF(OR(E119="",E119&lt;DATE(2000,1,1)),"缺少有效计划开始；","")&amp;IF(OR(F119="",F119&lt;DATE(2000,1,1)),"缺少有效计划完成；","")&amp;IF(项目总控台账!G118="","缺少总体状态；","")&amp;IF(AND(ISNUMBER(E119),ISNUMBER(F119),E119&gt;=DATE(2000,1,1),F119&gt;=DATE(2000,1,1),E119&gt;F119),"开始晚于完成；","")&amp;IF(AND(项目总控台账!G118="已完成",项目总控台账!AB118&lt;1),"已完成但进度不足100%；",""))</f>
        <v>缺少有效主责人；缺少有效计划开始；缺少有效计划完成；</v>
      </c>
      <c r="H119" s="6" t="str">
        <f t="shared" si="2"/>
        <v>需整改</v>
      </c>
      <c r="I119" s="6" t="str">
        <f t="shared" si="3"/>
        <v>回到项目总控台账第118行补齐或修正</v>
      </c>
      <c r="J119" s="6">
        <v>118</v>
      </c>
    </row>
    <row r="120" spans="1:10">
      <c r="A120" s="6" t="s">
        <v>739</v>
      </c>
      <c r="B120" s="6" t="str">
        <f>项目总控台账!A119</f>
        <v>T116</v>
      </c>
      <c r="C120" s="6" t="str">
        <f>IF(AND(项目总控台账!E119&lt;&gt;"",项目总控台账!E119&lt;&gt;"/"),项目总控台账!E119,IF(AND(项目总控台账!D119&lt;&gt;"",项目总控台账!D119&lt;&gt;"/"),项目总控台账!D119,项目总控台账!C119))</f>
        <v>堆垛雨布苫盖情况表（太仓）</v>
      </c>
      <c r="D120" s="6" t="str">
        <f>项目总控台账!H119</f>
        <v>/</v>
      </c>
      <c r="E120" s="16" t="str">
        <f>项目总控台账!I119</f>
        <v/>
      </c>
      <c r="F120" s="16" t="str">
        <f>项目总控台账!J119</f>
        <v/>
      </c>
      <c r="G120" s="6" t="str">
        <f>IF(B120="","",IF(OR(C120="",C120="/"),"缺少任务名称；","")&amp;IF(OR(D120="",D120="/"),"缺少有效主责人；","")&amp;IF(OR(E120="",E120&lt;DATE(2000,1,1)),"缺少有效计划开始；","")&amp;IF(OR(F120="",F120&lt;DATE(2000,1,1)),"缺少有效计划完成；","")&amp;IF(项目总控台账!G119="","缺少总体状态；","")&amp;IF(AND(ISNUMBER(E120),ISNUMBER(F120),E120&gt;=DATE(2000,1,1),F120&gt;=DATE(2000,1,1),E120&gt;F120),"开始晚于完成；","")&amp;IF(AND(项目总控台账!G119="已完成",项目总控台账!AB119&lt;1),"已完成但进度不足100%；",""))</f>
        <v>缺少有效主责人；缺少有效计划开始；缺少有效计划完成；</v>
      </c>
      <c r="H120" s="6" t="str">
        <f t="shared" si="2"/>
        <v>需整改</v>
      </c>
      <c r="I120" s="6" t="str">
        <f t="shared" si="3"/>
        <v>回到项目总控台账第119行补齐或修正</v>
      </c>
      <c r="J120" s="6">
        <v>119</v>
      </c>
    </row>
    <row r="121" spans="1:10">
      <c r="A121" s="6" t="s">
        <v>739</v>
      </c>
      <c r="B121" s="6" t="str">
        <f>项目总控台账!A120</f>
        <v>T117</v>
      </c>
      <c r="C121" s="6" t="str">
        <f>IF(AND(项目总控台账!E120&lt;&gt;"",项目总控台账!E120&lt;&gt;"/"),项目总控台账!E120,IF(AND(项目总控台账!D120&lt;&gt;"",项目总控台账!D120&lt;&gt;"/"),项目总控台账!D120,项目总控台账!C120))</f>
        <v>经营任务情况分析报告</v>
      </c>
      <c r="D121" s="6" t="str">
        <f>项目总控台账!H120</f>
        <v>郑士旺</v>
      </c>
      <c r="E121" s="16">
        <f>项目总控台账!I120</f>
        <v>46230</v>
      </c>
      <c r="F121" s="16">
        <f>项目总控台账!J120</f>
        <v>46269</v>
      </c>
      <c r="G121" s="6" t="str">
        <f>IF(B121="","",IF(OR(C121="",C121="/"),"缺少任务名称；","")&amp;IF(OR(D121="",D121="/"),"缺少有效主责人；","")&amp;IF(OR(E121="",E121&lt;DATE(2000,1,1)),"缺少有效计划开始；","")&amp;IF(OR(F121="",F121&lt;DATE(2000,1,1)),"缺少有效计划完成；","")&amp;IF(项目总控台账!G120="","缺少总体状态；","")&amp;IF(AND(ISNUMBER(E121),ISNUMBER(F121),E121&gt;=DATE(2000,1,1),F121&gt;=DATE(2000,1,1),E121&gt;F121),"开始晚于完成；","")&amp;IF(AND(项目总控台账!G120="已完成",项目总控台账!AB120&lt;1),"已完成但进度不足100%；",""))</f>
        <v/>
      </c>
      <c r="H121" s="6" t="str">
        <f t="shared" si="2"/>
        <v>通过</v>
      </c>
      <c r="I121" s="6" t="str">
        <f t="shared" si="3"/>
        <v>无需处理</v>
      </c>
      <c r="J121" s="6">
        <v>120</v>
      </c>
    </row>
    <row r="122" spans="1:10">
      <c r="A122" s="6" t="s">
        <v>739</v>
      </c>
      <c r="B122" s="6" t="str">
        <f>项目总控台账!A121</f>
        <v>T118</v>
      </c>
      <c r="C122" s="6" t="str">
        <f>IF(AND(项目总控台账!E121&lt;&gt;"",项目总控台账!E121&lt;&gt;"/"),项目总控台账!E121,IF(AND(项目总控台账!D121&lt;&gt;"",项目总控台账!D121&lt;&gt;"/"),项目总控台账!D121,项目总控台账!C121))</f>
        <v>客户月报报告</v>
      </c>
      <c r="D122" s="6" t="str">
        <f>项目总控台账!H121</f>
        <v>郑士旺</v>
      </c>
      <c r="E122" s="16">
        <f>项目总控台账!I121</f>
        <v>46230</v>
      </c>
      <c r="F122" s="16">
        <f>项目总控台账!J121</f>
        <v>46269</v>
      </c>
      <c r="G122" s="6" t="str">
        <f>IF(B122="","",IF(OR(C122="",C122="/"),"缺少任务名称；","")&amp;IF(OR(D122="",D122="/"),"缺少有效主责人；","")&amp;IF(OR(E122="",E122&lt;DATE(2000,1,1)),"缺少有效计划开始；","")&amp;IF(OR(F122="",F122&lt;DATE(2000,1,1)),"缺少有效计划完成；","")&amp;IF(项目总控台账!G121="","缺少总体状态；","")&amp;IF(AND(ISNUMBER(E122),ISNUMBER(F122),E122&gt;=DATE(2000,1,1),F122&gt;=DATE(2000,1,1),E122&gt;F122),"开始晚于完成；","")&amp;IF(AND(项目总控台账!G121="已完成",项目总控台账!AB121&lt;1),"已完成但进度不足100%；",""))</f>
        <v/>
      </c>
      <c r="H122" s="6" t="str">
        <f t="shared" si="2"/>
        <v>通过</v>
      </c>
      <c r="I122" s="6" t="str">
        <f t="shared" si="3"/>
        <v>无需处理</v>
      </c>
      <c r="J122" s="6">
        <v>121</v>
      </c>
    </row>
    <row r="123" spans="1:10">
      <c r="A123" s="6" t="s">
        <v>739</v>
      </c>
      <c r="B123" s="6" t="str">
        <f>项目总控台账!A122</f>
        <v>T119</v>
      </c>
      <c r="C123" s="6" t="str">
        <f>IF(AND(项目总控台账!E122&lt;&gt;"",项目总控台账!E122&lt;&gt;"/"),项目总控台账!E122,IF(AND(项目总控台账!D122&lt;&gt;"",项目总控台账!D122&lt;&gt;"/"),项目总控台账!D122,项目总控台账!C122))</f>
        <v>月度客户情况报告</v>
      </c>
      <c r="D123" s="6" t="str">
        <f>项目总控台账!H122</f>
        <v>郑士旺</v>
      </c>
      <c r="E123" s="16">
        <f>项目总控台账!I122</f>
        <v>46230</v>
      </c>
      <c r="F123" s="16">
        <f>项目总控台账!J122</f>
        <v>46269</v>
      </c>
      <c r="G123" s="6" t="str">
        <f>IF(B123="","",IF(OR(C123="",C123="/"),"缺少任务名称；","")&amp;IF(OR(D123="",D123="/"),"缺少有效主责人；","")&amp;IF(OR(E123="",E123&lt;DATE(2000,1,1)),"缺少有效计划开始；","")&amp;IF(OR(F123="",F123&lt;DATE(2000,1,1)),"缺少有效计划完成；","")&amp;IF(项目总控台账!G122="","缺少总体状态；","")&amp;IF(AND(ISNUMBER(E123),ISNUMBER(F123),E123&gt;=DATE(2000,1,1),F123&gt;=DATE(2000,1,1),E123&gt;F123),"开始晚于完成；","")&amp;IF(AND(项目总控台账!G122="已完成",项目总控台账!AB122&lt;1),"已完成但进度不足100%；",""))</f>
        <v/>
      </c>
      <c r="H123" s="6" t="str">
        <f t="shared" si="2"/>
        <v>通过</v>
      </c>
      <c r="I123" s="6" t="str">
        <f t="shared" si="3"/>
        <v>无需处理</v>
      </c>
      <c r="J123" s="6">
        <v>122</v>
      </c>
    </row>
    <row r="124" spans="1:10">
      <c r="A124" s="6" t="s">
        <v>739</v>
      </c>
      <c r="B124" s="6" t="str">
        <f>项目总控台账!A123</f>
        <v>T120</v>
      </c>
      <c r="C124" s="6" t="str">
        <f>IF(AND(项目总控台账!E123&lt;&gt;"",项目总控台账!E123&lt;&gt;"/"),项目总控台账!E123,IF(AND(项目总控台账!D123&lt;&gt;"",项目总控台账!D123&lt;&gt;"/"),项目总控台账!D123,项目总控台账!C123))</f>
        <v>商务计划周报</v>
      </c>
      <c r="D124" s="6" t="str">
        <f>项目总控台账!H123</f>
        <v>郑士旺</v>
      </c>
      <c r="E124" s="16">
        <f>项目总控台账!I123</f>
        <v>46230</v>
      </c>
      <c r="F124" s="16">
        <f>项目总控台账!J123</f>
        <v>46269</v>
      </c>
      <c r="G124" s="6" t="str">
        <f>IF(B124="","",IF(OR(C124="",C124="/"),"缺少任务名称；","")&amp;IF(OR(D124="",D124="/"),"缺少有效主责人；","")&amp;IF(OR(E124="",E124&lt;DATE(2000,1,1)),"缺少有效计划开始；","")&amp;IF(OR(F124="",F124&lt;DATE(2000,1,1)),"缺少有效计划完成；","")&amp;IF(项目总控台账!G123="","缺少总体状态；","")&amp;IF(AND(ISNUMBER(E124),ISNUMBER(F124),E124&gt;=DATE(2000,1,1),F124&gt;=DATE(2000,1,1),E124&gt;F124),"开始晚于完成；","")&amp;IF(AND(项目总控台账!G123="已完成",项目总控台账!AB123&lt;1),"已完成但进度不足100%；",""))</f>
        <v/>
      </c>
      <c r="H124" s="6" t="str">
        <f t="shared" si="2"/>
        <v>通过</v>
      </c>
      <c r="I124" s="6" t="str">
        <f t="shared" si="3"/>
        <v>无需处理</v>
      </c>
      <c r="J124" s="6">
        <v>123</v>
      </c>
    </row>
    <row r="125" spans="1:10">
      <c r="A125" s="6" t="s">
        <v>739</v>
      </c>
      <c r="B125" s="6" t="str">
        <f>项目总控台账!A124</f>
        <v>T121</v>
      </c>
      <c r="C125" s="6" t="str">
        <f>IF(AND(项目总控台账!E124&lt;&gt;"",项目总控台账!E124&lt;&gt;"/"),项目总控台账!E124,IF(AND(项目总控台账!D124&lt;&gt;"",项目总控台账!D124&lt;&gt;"/"),项目总控台账!D124,项目总控台账!C124))</f>
        <v>船舶供应服务查询</v>
      </c>
      <c r="D125" s="6" t="str">
        <f>项目总控台账!H124</f>
        <v>郑士旺</v>
      </c>
      <c r="E125" s="16">
        <f>项目总控台账!I124</f>
        <v>46216</v>
      </c>
      <c r="F125" s="16">
        <f>项目总控台账!J124</f>
        <v>46261</v>
      </c>
      <c r="G125" s="6" t="str">
        <f>IF(B125="","",IF(OR(C125="",C125="/"),"缺少任务名称；","")&amp;IF(OR(D125="",D125="/"),"缺少有效主责人；","")&amp;IF(OR(E125="",E125&lt;DATE(2000,1,1)),"缺少有效计划开始；","")&amp;IF(OR(F125="",F125&lt;DATE(2000,1,1)),"缺少有效计划完成；","")&amp;IF(项目总控台账!G124="","缺少总体状态；","")&amp;IF(AND(ISNUMBER(E125),ISNUMBER(F125),E125&gt;=DATE(2000,1,1),F125&gt;=DATE(2000,1,1),E125&gt;F125),"开始晚于完成；","")&amp;IF(AND(项目总控台账!G124="已完成",项目总控台账!AB124&lt;1),"已完成但进度不足100%；",""))</f>
        <v/>
      </c>
      <c r="H125" s="6" t="str">
        <f t="shared" si="2"/>
        <v>通过</v>
      </c>
      <c r="I125" s="6" t="str">
        <f t="shared" si="3"/>
        <v>无需处理</v>
      </c>
      <c r="J125" s="6">
        <v>124</v>
      </c>
    </row>
    <row r="126" spans="1:10">
      <c r="A126" s="6" t="s">
        <v>739</v>
      </c>
      <c r="B126" s="6" t="str">
        <f>项目总控台账!A125</f>
        <v>T122</v>
      </c>
      <c r="C126" s="6" t="str">
        <f>IF(AND(项目总控台账!E125&lt;&gt;"",项目总控台账!E125&lt;&gt;"/"),项目总控台账!E125,IF(AND(项目总控台账!D125&lt;&gt;"",项目总控台账!D125&lt;&gt;"/"),项目总控台账!D125,项目总控台账!C125))</f>
        <v>船舶预到（内贸）查询</v>
      </c>
      <c r="D126" s="6" t="str">
        <f>项目总控台账!H125</f>
        <v>郑士旺</v>
      </c>
      <c r="E126" s="16">
        <f>项目总控台账!I125</f>
        <v>46216</v>
      </c>
      <c r="F126" s="16">
        <f>项目总控台账!J125</f>
        <v>46261</v>
      </c>
      <c r="G126" s="6" t="str">
        <f>IF(B126="","",IF(OR(C126="",C126="/"),"缺少任务名称；","")&amp;IF(OR(D126="",D126="/"),"缺少有效主责人；","")&amp;IF(OR(E126="",E126&lt;DATE(2000,1,1)),"缺少有效计划开始；","")&amp;IF(OR(F126="",F126&lt;DATE(2000,1,1)),"缺少有效计划完成；","")&amp;IF(项目总控台账!G125="","缺少总体状态；","")&amp;IF(AND(ISNUMBER(E126),ISNUMBER(F126),E126&gt;=DATE(2000,1,1),F126&gt;=DATE(2000,1,1),E126&gt;F126),"开始晚于完成；","")&amp;IF(AND(项目总控台账!G125="已完成",项目总控台账!AB125&lt;1),"已完成但进度不足100%；",""))</f>
        <v/>
      </c>
      <c r="H126" s="6" t="str">
        <f t="shared" si="2"/>
        <v>通过</v>
      </c>
      <c r="I126" s="6" t="str">
        <f t="shared" si="3"/>
        <v>无需处理</v>
      </c>
      <c r="J126" s="6">
        <v>125</v>
      </c>
    </row>
    <row r="127" spans="1:10">
      <c r="A127" s="6" t="s">
        <v>739</v>
      </c>
      <c r="B127" s="6" t="str">
        <f>项目总控台账!A126</f>
        <v>T123</v>
      </c>
      <c r="C127" s="6" t="str">
        <f>IF(AND(项目总控台账!E126&lt;&gt;"",项目总控台账!E126&lt;&gt;"/"),项目总控台账!E126,IF(AND(项目总控台账!D126&lt;&gt;"",项目总控台账!D126&lt;&gt;"/"),项目总控台账!D126,项目总控台账!C126))</f>
        <v>台账查询</v>
      </c>
      <c r="D127" s="6" t="str">
        <f>项目总控台账!H126</f>
        <v>郑士旺</v>
      </c>
      <c r="E127" s="16">
        <f>项目总控台账!I126</f>
        <v>46216</v>
      </c>
      <c r="F127" s="16">
        <f>项目总控台账!J126</f>
        <v>46261</v>
      </c>
      <c r="G127" s="6" t="str">
        <f>IF(B127="","",IF(OR(C127="",C127="/"),"缺少任务名称；","")&amp;IF(OR(D127="",D127="/"),"缺少有效主责人；","")&amp;IF(OR(E127="",E127&lt;DATE(2000,1,1)),"缺少有效计划开始；","")&amp;IF(OR(F127="",F127&lt;DATE(2000,1,1)),"缺少有效计划完成；","")&amp;IF(项目总控台账!G126="","缺少总体状态；","")&amp;IF(AND(ISNUMBER(E127),ISNUMBER(F127),E127&gt;=DATE(2000,1,1),F127&gt;=DATE(2000,1,1),E127&gt;F127),"开始晚于完成；","")&amp;IF(AND(项目总控台账!G126="已完成",项目总控台账!AB126&lt;1),"已完成但进度不足100%；",""))</f>
        <v/>
      </c>
      <c r="H127" s="6" t="str">
        <f t="shared" si="2"/>
        <v>通过</v>
      </c>
      <c r="I127" s="6" t="str">
        <f t="shared" si="3"/>
        <v>无需处理</v>
      </c>
      <c r="J127" s="6">
        <v>126</v>
      </c>
    </row>
    <row r="128" spans="1:10">
      <c r="A128" s="6" t="s">
        <v>739</v>
      </c>
      <c r="B128" s="6" t="str">
        <f>项目总控台账!A127</f>
        <v>T124</v>
      </c>
      <c r="C128" s="6" t="str">
        <f>IF(AND(项目总控台账!E127&lt;&gt;"",项目总控台账!E127&lt;&gt;"/"),项目总控台账!E127,IF(AND(项目总控台账!D127&lt;&gt;"",项目总控台账!D127&lt;&gt;"/"),项目总控台账!D127,项目总控台账!C127))</f>
        <v>停泊费（内贸）查询</v>
      </c>
      <c r="D128" s="6" t="str">
        <f>项目总控台账!H127</f>
        <v>郑士旺</v>
      </c>
      <c r="E128" s="16">
        <f>项目总控台账!I127</f>
        <v>46216</v>
      </c>
      <c r="F128" s="16">
        <f>项目总控台账!J127</f>
        <v>46261</v>
      </c>
      <c r="G128" s="6" t="str">
        <f>IF(B128="","",IF(OR(C128="",C128="/"),"缺少任务名称；","")&amp;IF(OR(D128="",D128="/"),"缺少有效主责人；","")&amp;IF(OR(E128="",E128&lt;DATE(2000,1,1)),"缺少有效计划开始；","")&amp;IF(OR(F128="",F128&lt;DATE(2000,1,1)),"缺少有效计划完成；","")&amp;IF(项目总控台账!G127="","缺少总体状态；","")&amp;IF(AND(ISNUMBER(E128),ISNUMBER(F128),E128&gt;=DATE(2000,1,1),F128&gt;=DATE(2000,1,1),E128&gt;F128),"开始晚于完成；","")&amp;IF(AND(项目总控台账!G127="已完成",项目总控台账!AB127&lt;1),"已完成但进度不足100%；",""))</f>
        <v/>
      </c>
      <c r="H128" s="6" t="str">
        <f t="shared" si="2"/>
        <v>通过</v>
      </c>
      <c r="I128" s="6" t="str">
        <f t="shared" si="3"/>
        <v>无需处理</v>
      </c>
      <c r="J128" s="6">
        <v>127</v>
      </c>
    </row>
    <row r="129" spans="1:10">
      <c r="A129" s="6" t="s">
        <v>739</v>
      </c>
      <c r="B129" s="6" t="str">
        <f>项目总控台账!A128</f>
        <v>T125</v>
      </c>
      <c r="C129" s="6" t="str">
        <f>IF(AND(项目总控台账!E128&lt;&gt;"",项目总控台账!E128&lt;&gt;"/"),项目总控台账!E128,IF(AND(项目总控台账!D128&lt;&gt;"",项目总控台账!D128&lt;&gt;"/"),项目总控台账!D128,项目总控台账!C128))</f>
        <v>船舶供应服务费（内贸）查询</v>
      </c>
      <c r="D129" s="6" t="str">
        <f>项目总控台账!H128</f>
        <v>郑士旺</v>
      </c>
      <c r="E129" s="16">
        <f>项目总控台账!I128</f>
        <v>46216</v>
      </c>
      <c r="F129" s="16">
        <f>项目总控台账!J128</f>
        <v>46261</v>
      </c>
      <c r="G129" s="6" t="str">
        <f>IF(B129="","",IF(OR(C129="",C129="/"),"缺少任务名称；","")&amp;IF(OR(D129="",D129="/"),"缺少有效主责人；","")&amp;IF(OR(E129="",E129&lt;DATE(2000,1,1)),"缺少有效计划开始；","")&amp;IF(OR(F129="",F129&lt;DATE(2000,1,1)),"缺少有效计划完成；","")&amp;IF(项目总控台账!G128="","缺少总体状态；","")&amp;IF(AND(ISNUMBER(E129),ISNUMBER(F129),E129&gt;=DATE(2000,1,1),F129&gt;=DATE(2000,1,1),E129&gt;F129),"开始晚于完成；","")&amp;IF(AND(项目总控台账!G128="已完成",项目总控台账!AB128&lt;1),"已完成但进度不足100%；",""))</f>
        <v/>
      </c>
      <c r="H129" s="6" t="str">
        <f t="shared" si="2"/>
        <v>通过</v>
      </c>
      <c r="I129" s="6" t="str">
        <f t="shared" si="3"/>
        <v>无需处理</v>
      </c>
      <c r="J129" s="6">
        <v>128</v>
      </c>
    </row>
    <row r="130" spans="1:10">
      <c r="A130" s="6" t="s">
        <v>739</v>
      </c>
      <c r="B130" s="6" t="str">
        <f>项目总控台账!A129</f>
        <v>T126</v>
      </c>
      <c r="C130" s="6" t="str">
        <f>IF(AND(项目总控台账!E129&lt;&gt;"",项目总控台账!E129&lt;&gt;"/"),项目总控台账!E129,IF(AND(项目总控台账!D129&lt;&gt;"",项目总控台账!D129&lt;&gt;"/"),项目总控台账!D129,项目总控台账!C129))</f>
        <v>停泊费（外贸）查询</v>
      </c>
      <c r="D130" s="6" t="str">
        <f>项目总控台账!H129</f>
        <v>郑士旺</v>
      </c>
      <c r="E130" s="16">
        <f>项目总控台账!I129</f>
        <v>46230</v>
      </c>
      <c r="F130" s="16">
        <f>项目总控台账!J129</f>
        <v>46353</v>
      </c>
      <c r="G130" s="6" t="str">
        <f>IF(B130="","",IF(OR(C130="",C130="/"),"缺少任务名称；","")&amp;IF(OR(D130="",D130="/"),"缺少有效主责人；","")&amp;IF(OR(E130="",E130&lt;DATE(2000,1,1)),"缺少有效计划开始；","")&amp;IF(OR(F130="",F130&lt;DATE(2000,1,1)),"缺少有效计划完成；","")&amp;IF(项目总控台账!G129="","缺少总体状态；","")&amp;IF(AND(ISNUMBER(E130),ISNUMBER(F130),E130&gt;=DATE(2000,1,1),F130&gt;=DATE(2000,1,1),E130&gt;F130),"开始晚于完成；","")&amp;IF(AND(项目总控台账!G129="已完成",项目总控台账!AB129&lt;1),"已完成但进度不足100%；",""))</f>
        <v/>
      </c>
      <c r="H130" s="6" t="str">
        <f t="shared" si="2"/>
        <v>通过</v>
      </c>
      <c r="I130" s="6" t="str">
        <f t="shared" si="3"/>
        <v>无需处理</v>
      </c>
      <c r="J130" s="6">
        <v>129</v>
      </c>
    </row>
    <row r="131" spans="1:10">
      <c r="A131" s="6" t="s">
        <v>739</v>
      </c>
      <c r="B131" s="6" t="str">
        <f>项目总控台账!A130</f>
        <v>T127</v>
      </c>
      <c r="C131" s="6" t="str">
        <f>IF(AND(项目总控台账!E130&lt;&gt;"",项目总控台账!E130&lt;&gt;"/"),项目总控台账!E130,IF(AND(项目总控台账!D130&lt;&gt;"",项目总控台账!D130&lt;&gt;"/"),项目总控台账!D130,项目总控台账!C130))</f>
        <v>锚泊费（外贸）查询</v>
      </c>
      <c r="D131" s="6" t="str">
        <f>项目总控台账!H130</f>
        <v>郑士旺</v>
      </c>
      <c r="E131" s="16">
        <f>项目总控台账!I130</f>
        <v>46230</v>
      </c>
      <c r="F131" s="16">
        <f>项目总控台账!J130</f>
        <v>46261</v>
      </c>
      <c r="G131" s="6" t="str">
        <f>IF(B131="","",IF(OR(C131="",C131="/"),"缺少任务名称；","")&amp;IF(OR(D131="",D131="/"),"缺少有效主责人；","")&amp;IF(OR(E131="",E131&lt;DATE(2000,1,1)),"缺少有效计划开始；","")&amp;IF(OR(F131="",F131&lt;DATE(2000,1,1)),"缺少有效计划完成；","")&amp;IF(项目总控台账!G130="","缺少总体状态；","")&amp;IF(AND(ISNUMBER(E131),ISNUMBER(F131),E131&gt;=DATE(2000,1,1),F131&gt;=DATE(2000,1,1),E131&gt;F131),"开始晚于完成；","")&amp;IF(AND(项目总控台账!G130="已完成",项目总控台账!AB130&lt;1),"已完成但进度不足100%；",""))</f>
        <v/>
      </c>
      <c r="H131" s="6" t="str">
        <f t="shared" si="2"/>
        <v>通过</v>
      </c>
      <c r="I131" s="6" t="str">
        <f t="shared" si="3"/>
        <v>无需处理</v>
      </c>
      <c r="J131" s="6">
        <v>130</v>
      </c>
    </row>
    <row r="132" spans="1:10">
      <c r="A132" s="6" t="s">
        <v>739</v>
      </c>
      <c r="B132" s="6" t="str">
        <f>项目总控台账!A131</f>
        <v>T128</v>
      </c>
      <c r="C132" s="6" t="str">
        <f>IF(AND(项目总控台账!E131&lt;&gt;"",项目总控台账!E131&lt;&gt;"/"),项目总控台账!E131,IF(AND(项目总控台账!D131&lt;&gt;"",项目总控台账!D131&lt;&gt;"/"),项目总控台账!D131,项目总控台账!C131))</f>
        <v>堆存费（外贸）查询</v>
      </c>
      <c r="D132" s="6" t="str">
        <f>项目总控台账!H131</f>
        <v>郑士旺</v>
      </c>
      <c r="E132" s="16">
        <f>项目总控台账!I131</f>
        <v>46230</v>
      </c>
      <c r="F132" s="16">
        <f>项目总控台账!J131</f>
        <v>46261</v>
      </c>
      <c r="G132" s="6" t="str">
        <f>IF(B132="","",IF(OR(C132="",C132="/"),"缺少任务名称；","")&amp;IF(OR(D132="",D132="/"),"缺少有效主责人；","")&amp;IF(OR(E132="",E132&lt;DATE(2000,1,1)),"缺少有效计划开始；","")&amp;IF(OR(F132="",F132&lt;DATE(2000,1,1)),"缺少有效计划完成；","")&amp;IF(项目总控台账!G131="","缺少总体状态；","")&amp;IF(AND(ISNUMBER(E132),ISNUMBER(F132),E132&gt;=DATE(2000,1,1),F132&gt;=DATE(2000,1,1),E132&gt;F132),"开始晚于完成；","")&amp;IF(AND(项目总控台账!G131="已完成",项目总控台账!AB131&lt;1),"已完成但进度不足100%；",""))</f>
        <v/>
      </c>
      <c r="H132" s="6" t="str">
        <f t="shared" si="2"/>
        <v>通过</v>
      </c>
      <c r="I132" s="6" t="str">
        <f t="shared" si="3"/>
        <v>无需处理</v>
      </c>
      <c r="J132" s="6">
        <v>131</v>
      </c>
    </row>
    <row r="133" spans="1:10">
      <c r="A133" s="6" t="s">
        <v>739</v>
      </c>
      <c r="B133" s="6" t="str">
        <f>项目总控台账!A132</f>
        <v>T129</v>
      </c>
      <c r="C133" s="6" t="str">
        <f>IF(AND(项目总控台账!E132&lt;&gt;"",项目总控台账!E132&lt;&gt;"/"),项目总控台账!E132,IF(AND(项目总控台账!D132&lt;&gt;"",项目总控台账!D132&lt;&gt;"/"),项目总控台账!D132,项目总控台账!C132))</f>
        <v>卸船费（外贸）查询</v>
      </c>
      <c r="D133" s="6" t="str">
        <f>项目总控台账!H132</f>
        <v>郑士旺</v>
      </c>
      <c r="E133" s="16">
        <f>项目总控台账!I132</f>
        <v>46230</v>
      </c>
      <c r="F133" s="16">
        <f>项目总控台账!J132</f>
        <v>46353</v>
      </c>
      <c r="G133" s="6" t="str">
        <f>IF(B133="","",IF(OR(C133="",C133="/"),"缺少任务名称；","")&amp;IF(OR(D133="",D133="/"),"缺少有效主责人；","")&amp;IF(OR(E133="",E133&lt;DATE(2000,1,1)),"缺少有效计划开始；","")&amp;IF(OR(F133="",F133&lt;DATE(2000,1,1)),"缺少有效计划完成；","")&amp;IF(项目总控台账!G132="","缺少总体状态；","")&amp;IF(AND(ISNUMBER(E133),ISNUMBER(F133),E133&gt;=DATE(2000,1,1),F133&gt;=DATE(2000,1,1),E133&gt;F133),"开始晚于完成；","")&amp;IF(AND(项目总控台账!G132="已完成",项目总控台账!AB132&lt;1),"已完成但进度不足100%；",""))</f>
        <v/>
      </c>
      <c r="H133" s="6" t="str">
        <f t="shared" ref="H133:H149" si="4">IF(B133="","",IF(G133="","通过","需整改"))</f>
        <v>通过</v>
      </c>
      <c r="I133" s="6" t="str">
        <f t="shared" ref="I133:I149" si="5">IF(H133="需整改","回到项目总控台账第"&amp;J133&amp;"行补齐或修正","无需处理")</f>
        <v>无需处理</v>
      </c>
      <c r="J133" s="6">
        <v>132</v>
      </c>
    </row>
    <row r="134" spans="1:10">
      <c r="A134" s="6" t="s">
        <v>739</v>
      </c>
      <c r="B134" s="6" t="str">
        <f>项目总控台账!A133</f>
        <v>T130</v>
      </c>
      <c r="C134" s="6" t="str">
        <f>IF(AND(项目总控台账!E133&lt;&gt;"",项目总控台账!E133&lt;&gt;"/"),项目总控台账!E133,IF(AND(项目总控台账!D133&lt;&gt;"",项目总控台账!D133&lt;&gt;"/"),项目总控台账!D133,项目总控台账!C133))</f>
        <v>采样服务费（外贸）查询</v>
      </c>
      <c r="D134" s="6" t="str">
        <f>项目总控台账!H133</f>
        <v>郑士旺</v>
      </c>
      <c r="E134" s="16">
        <f>项目总控台账!I133</f>
        <v>46230</v>
      </c>
      <c r="F134" s="16">
        <f>项目总控台账!J133</f>
        <v>46353</v>
      </c>
      <c r="G134" s="6" t="str">
        <f>IF(B134="","",IF(OR(C134="",C134="/"),"缺少任务名称；","")&amp;IF(OR(D134="",D134="/"),"缺少有效主责人；","")&amp;IF(OR(E134="",E134&lt;DATE(2000,1,1)),"缺少有效计划开始；","")&amp;IF(OR(F134="",F134&lt;DATE(2000,1,1)),"缺少有效计划完成；","")&amp;IF(项目总控台账!G133="","缺少总体状态；","")&amp;IF(AND(ISNUMBER(E134),ISNUMBER(F134),E134&gt;=DATE(2000,1,1),F134&gt;=DATE(2000,1,1),E134&gt;F134),"开始晚于完成；","")&amp;IF(AND(项目总控台账!G133="已完成",项目总控台账!AB133&lt;1),"已完成但进度不足100%；",""))</f>
        <v/>
      </c>
      <c r="H134" s="6" t="str">
        <f t="shared" si="4"/>
        <v>通过</v>
      </c>
      <c r="I134" s="6" t="str">
        <f t="shared" si="5"/>
        <v>无需处理</v>
      </c>
      <c r="J134" s="6">
        <v>133</v>
      </c>
    </row>
    <row r="135" spans="1:10">
      <c r="A135" s="6" t="s">
        <v>739</v>
      </c>
      <c r="B135" s="6" t="str">
        <f>项目总控台账!A134</f>
        <v>T131</v>
      </c>
      <c r="C135" s="6" t="str">
        <f>IF(AND(项目总控台账!E134&lt;&gt;"",项目总控台账!E134&lt;&gt;"/"),项目总控台账!E134,IF(AND(项目总控台账!D134&lt;&gt;"",项目总控台账!D134&lt;&gt;"/"),项目总控台账!D134,项目总控台账!C134))</f>
        <v>船舶供应服务费（外贸）查询</v>
      </c>
      <c r="D135" s="6" t="str">
        <f>项目总控台账!H134</f>
        <v>郑士旺</v>
      </c>
      <c r="E135" s="16">
        <f>项目总控台账!I134</f>
        <v>46230</v>
      </c>
      <c r="F135" s="16">
        <f>项目总控台账!J134</f>
        <v>46353</v>
      </c>
      <c r="G135" s="6" t="str">
        <f>IF(B135="","",IF(OR(C135="",C135="/"),"缺少任务名称；","")&amp;IF(OR(D135="",D135="/"),"缺少有效主责人；","")&amp;IF(OR(E135="",E135&lt;DATE(2000,1,1)),"缺少有效计划开始；","")&amp;IF(OR(F135="",F135&lt;DATE(2000,1,1)),"缺少有效计划完成；","")&amp;IF(项目总控台账!G134="","缺少总体状态；","")&amp;IF(AND(ISNUMBER(E135),ISNUMBER(F135),E135&gt;=DATE(2000,1,1),F135&gt;=DATE(2000,1,1),E135&gt;F135),"开始晚于完成；","")&amp;IF(AND(项目总控台账!G134="已完成",项目总控台账!AB134&lt;1),"已完成但进度不足100%；",""))</f>
        <v/>
      </c>
      <c r="H135" s="6" t="str">
        <f t="shared" si="4"/>
        <v>通过</v>
      </c>
      <c r="I135" s="6" t="str">
        <f t="shared" si="5"/>
        <v>无需处理</v>
      </c>
      <c r="J135" s="6">
        <v>134</v>
      </c>
    </row>
    <row r="136" spans="1:10">
      <c r="A136" s="6" t="s">
        <v>739</v>
      </c>
      <c r="B136" s="6" t="str">
        <f>项目总控台账!A135</f>
        <v>T132</v>
      </c>
      <c r="C136" s="6" t="str">
        <f>IF(AND(项目总控台账!E135&lt;&gt;"",项目总控台账!E135&lt;&gt;"/"),项目总控台账!E135,IF(AND(项目总控台账!D135&lt;&gt;"",项目总控台账!D135&lt;&gt;"/"),项目总控台账!D135,项目总控台账!C135))</f>
        <v>新增船舶靠泊通知单</v>
      </c>
      <c r="D136" s="6" t="str">
        <f>项目总控台账!H135</f>
        <v>郑士旺</v>
      </c>
      <c r="E136" s="16">
        <f>项目总控台账!I135</f>
        <v>46230</v>
      </c>
      <c r="F136" s="16">
        <f>项目总控台账!J135</f>
        <v>46353</v>
      </c>
      <c r="G136" s="6" t="str">
        <f>IF(B136="","",IF(OR(C136="",C136="/"),"缺少任务名称；","")&amp;IF(OR(D136="",D136="/"),"缺少有效主责人；","")&amp;IF(OR(E136="",E136&lt;DATE(2000,1,1)),"缺少有效计划开始；","")&amp;IF(OR(F136="",F136&lt;DATE(2000,1,1)),"缺少有效计划完成；","")&amp;IF(项目总控台账!G135="","缺少总体状态；","")&amp;IF(AND(ISNUMBER(E136),ISNUMBER(F136),E136&gt;=DATE(2000,1,1),F136&gt;=DATE(2000,1,1),E136&gt;F136),"开始晚于完成；","")&amp;IF(AND(项目总控台账!G135="已完成",项目总控台账!AB135&lt;1),"已完成但进度不足100%；",""))</f>
        <v/>
      </c>
      <c r="H136" s="6" t="str">
        <f t="shared" si="4"/>
        <v>通过</v>
      </c>
      <c r="I136" s="6" t="str">
        <f t="shared" si="5"/>
        <v>无需处理</v>
      </c>
      <c r="J136" s="6">
        <v>135</v>
      </c>
    </row>
    <row r="137" spans="1:10">
      <c r="A137" s="6" t="s">
        <v>739</v>
      </c>
      <c r="B137" s="6" t="str">
        <f>项目总控台账!A136</f>
        <v>T133</v>
      </c>
      <c r="C137" s="6" t="str">
        <f>IF(AND(项目总控台账!E136&lt;&gt;"",项目总控台账!E136&lt;&gt;"/"),项目总控台账!E136,IF(AND(项目总控台账!D136&lt;&gt;"",项目总控台账!D136&lt;&gt;"/"),项目总控台账!D136,项目总控台账!C136))</f>
        <v>查询船舶靠泊通知单</v>
      </c>
      <c r="D137" s="6" t="str">
        <f>项目总控台账!H136</f>
        <v>郑士旺</v>
      </c>
      <c r="E137" s="16">
        <f>项目总控台账!I136</f>
        <v>46230</v>
      </c>
      <c r="F137" s="16">
        <f>项目总控台账!J136</f>
        <v>46353</v>
      </c>
      <c r="G137" s="6" t="str">
        <f>IF(B137="","",IF(OR(C137="",C137="/"),"缺少任务名称；","")&amp;IF(OR(D137="",D137="/"),"缺少有效主责人；","")&amp;IF(OR(E137="",E137&lt;DATE(2000,1,1)),"缺少有效计划开始；","")&amp;IF(OR(F137="",F137&lt;DATE(2000,1,1)),"缺少有效计划完成；","")&amp;IF(项目总控台账!G136="","缺少总体状态；","")&amp;IF(AND(ISNUMBER(E137),ISNUMBER(F137),E137&gt;=DATE(2000,1,1),F137&gt;=DATE(2000,1,1),E137&gt;F137),"开始晚于完成；","")&amp;IF(AND(项目总控台账!G136="已完成",项目总控台账!AB136&lt;1),"已完成但进度不足100%；",""))</f>
        <v/>
      </c>
      <c r="H137" s="6" t="str">
        <f t="shared" si="4"/>
        <v>通过</v>
      </c>
      <c r="I137" s="6" t="str">
        <f t="shared" si="5"/>
        <v>无需处理</v>
      </c>
      <c r="J137" s="6">
        <v>136</v>
      </c>
    </row>
    <row r="138" spans="1:10">
      <c r="A138" s="6" t="s">
        <v>739</v>
      </c>
      <c r="B138" s="6" t="str">
        <f>项目总控台账!A137</f>
        <v>T134</v>
      </c>
      <c r="C138" s="6" t="str">
        <f>IF(AND(项目总控台账!E137&lt;&gt;"",项目总控台账!E137&lt;&gt;"/"),项目总控台账!E137,IF(AND(项目总控台账!D137&lt;&gt;"",项目总控台账!D137&lt;&gt;"/"),项目总控台账!D137,项目总控台账!C137))</f>
        <v>卸船计划查询</v>
      </c>
      <c r="D138" s="6" t="str">
        <f>项目总控台账!H137</f>
        <v>郑士旺</v>
      </c>
      <c r="E138" s="16">
        <f>项目总控台账!I137</f>
        <v>46230</v>
      </c>
      <c r="F138" s="16">
        <f>项目总控台账!J137</f>
        <v>46353</v>
      </c>
      <c r="G138" s="6" t="str">
        <f>IF(B138="","",IF(OR(C138="",C138="/"),"缺少任务名称；","")&amp;IF(OR(D138="",D138="/"),"缺少有效主责人；","")&amp;IF(OR(E138="",E138&lt;DATE(2000,1,1)),"缺少有效计划开始；","")&amp;IF(OR(F138="",F138&lt;DATE(2000,1,1)),"缺少有效计划完成；","")&amp;IF(项目总控台账!G137="","缺少总体状态；","")&amp;IF(AND(ISNUMBER(E138),ISNUMBER(F138),E138&gt;=DATE(2000,1,1),F138&gt;=DATE(2000,1,1),E138&gt;F138),"开始晚于完成；","")&amp;IF(AND(项目总控台账!G137="已完成",项目总控台账!AB137&lt;1),"已完成但进度不足100%；",""))</f>
        <v/>
      </c>
      <c r="H138" s="6" t="str">
        <f t="shared" si="4"/>
        <v>通过</v>
      </c>
      <c r="I138" s="6" t="str">
        <f t="shared" si="5"/>
        <v>无需处理</v>
      </c>
      <c r="J138" s="6">
        <v>137</v>
      </c>
    </row>
    <row r="139" spans="1:10">
      <c r="A139" s="6" t="s">
        <v>739</v>
      </c>
      <c r="B139" s="6" t="str">
        <f>项目总控台账!A138</f>
        <v>T135</v>
      </c>
      <c r="C139" s="6" t="str">
        <f>IF(AND(项目总控台账!E138&lt;&gt;"",项目总控台账!E138&lt;&gt;"/"),项目总控台账!E138,IF(AND(项目总控台账!D138&lt;&gt;"",项目总控台账!D138&lt;&gt;"/"),项目总控台账!D138,项目总控台账!C138))</f>
        <v>卸船查询</v>
      </c>
      <c r="D139" s="6" t="str">
        <f>项目总控台账!H138</f>
        <v>郑士旺</v>
      </c>
      <c r="E139" s="16">
        <f>项目总控台账!I138</f>
        <v>46230</v>
      </c>
      <c r="F139" s="16">
        <f>项目总控台账!J138</f>
        <v>46353</v>
      </c>
      <c r="G139" s="6" t="str">
        <f>IF(B139="","",IF(OR(C139="",C139="/"),"缺少任务名称；","")&amp;IF(OR(D139="",D139="/"),"缺少有效主责人；","")&amp;IF(OR(E139="",E139&lt;DATE(2000,1,1)),"缺少有效计划开始；","")&amp;IF(OR(F139="",F139&lt;DATE(2000,1,1)),"缺少有效计划完成；","")&amp;IF(项目总控台账!G138="","缺少总体状态；","")&amp;IF(AND(ISNUMBER(E139),ISNUMBER(F139),E139&gt;=DATE(2000,1,1),F139&gt;=DATE(2000,1,1),E139&gt;F139),"开始晚于完成；","")&amp;IF(AND(项目总控台账!G138="已完成",项目总控台账!AB138&lt;1),"已完成但进度不足100%；",""))</f>
        <v/>
      </c>
      <c r="H139" s="6" t="str">
        <f t="shared" si="4"/>
        <v>通过</v>
      </c>
      <c r="I139" s="6" t="str">
        <f t="shared" si="5"/>
        <v>无需处理</v>
      </c>
      <c r="J139" s="6">
        <v>138</v>
      </c>
    </row>
    <row r="140" spans="1:10">
      <c r="A140" s="6" t="s">
        <v>739</v>
      </c>
      <c r="B140" s="6" t="str">
        <f>项目总控台账!A139</f>
        <v>T136</v>
      </c>
      <c r="C140" s="6" t="str">
        <f>IF(AND(项目总控台账!E139&lt;&gt;"",项目总控台账!E139&lt;&gt;"/"),项目总控台账!E139,IF(AND(项目总控台账!D139&lt;&gt;"",项目总控台账!D139&lt;&gt;"/"),项目总控台账!D139,项目总控台账!C139))</f>
        <v>卸船作业委托</v>
      </c>
      <c r="D140" s="6" t="str">
        <f>项目总控台账!H139</f>
        <v>郑士旺</v>
      </c>
      <c r="E140" s="16">
        <f>项目总控台账!I139</f>
        <v>46230</v>
      </c>
      <c r="F140" s="16">
        <f>项目总控台账!J139</f>
        <v>46353</v>
      </c>
      <c r="G140" s="6" t="str">
        <f>IF(B140="","",IF(OR(C140="",C140="/"),"缺少任务名称；","")&amp;IF(OR(D140="",D140="/"),"缺少有效主责人；","")&amp;IF(OR(E140="",E140&lt;DATE(2000,1,1)),"缺少有效计划开始；","")&amp;IF(OR(F140="",F140&lt;DATE(2000,1,1)),"缺少有效计划完成；","")&amp;IF(项目总控台账!G139="","缺少总体状态；","")&amp;IF(AND(ISNUMBER(E140),ISNUMBER(F140),E140&gt;=DATE(2000,1,1),F140&gt;=DATE(2000,1,1),E140&gt;F140),"开始晚于完成；","")&amp;IF(AND(项目总控台账!G139="已完成",项目总控台账!AB139&lt;1),"已完成但进度不足100%；",""))</f>
        <v/>
      </c>
      <c r="H140" s="6" t="str">
        <f t="shared" si="4"/>
        <v>通过</v>
      </c>
      <c r="I140" s="6" t="str">
        <f t="shared" si="5"/>
        <v>无需处理</v>
      </c>
      <c r="J140" s="6">
        <v>139</v>
      </c>
    </row>
    <row r="141" spans="1:10">
      <c r="A141" s="6" t="s">
        <v>739</v>
      </c>
      <c r="B141" s="6" t="str">
        <f>项目总控台账!A140</f>
        <v>T137</v>
      </c>
      <c r="C141" s="6" t="str">
        <f>IF(AND(项目总控台账!E140&lt;&gt;"",项目总控台账!E140&lt;&gt;"/"),项目总控台账!E140,IF(AND(项目总控台账!D140&lt;&gt;"",项目总控台账!D140&lt;&gt;"/"),项目总控台账!D140,项目总控台账!C140))</f>
        <v>外轮转内贸业务查询</v>
      </c>
      <c r="D141" s="6" t="str">
        <f>项目总控台账!H140</f>
        <v>郑士旺</v>
      </c>
      <c r="E141" s="16">
        <f>项目总控台账!I140</f>
        <v>46230</v>
      </c>
      <c r="F141" s="16">
        <f>项目总控台账!J140</f>
        <v>46353</v>
      </c>
      <c r="G141" s="6" t="str">
        <f>IF(B141="","",IF(OR(C141="",C141="/"),"缺少任务名称；","")&amp;IF(OR(D141="",D141="/"),"缺少有效主责人；","")&amp;IF(OR(E141="",E141&lt;DATE(2000,1,1)),"缺少有效计划开始；","")&amp;IF(OR(F141="",F141&lt;DATE(2000,1,1)),"缺少有效计划完成；","")&amp;IF(项目总控台账!G140="","缺少总体状态；","")&amp;IF(AND(ISNUMBER(E141),ISNUMBER(F141),E141&gt;=DATE(2000,1,1),F141&gt;=DATE(2000,1,1),E141&gt;F141),"开始晚于完成；","")&amp;IF(AND(项目总控台账!G140="已完成",项目总控台账!AB140&lt;1),"已完成但进度不足100%；",""))</f>
        <v/>
      </c>
      <c r="H141" s="6" t="str">
        <f t="shared" si="4"/>
        <v>通过</v>
      </c>
      <c r="I141" s="6" t="str">
        <f t="shared" si="5"/>
        <v>无需处理</v>
      </c>
      <c r="J141" s="6">
        <v>140</v>
      </c>
    </row>
    <row r="142" spans="1:10">
      <c r="A142" s="6" t="s">
        <v>739</v>
      </c>
      <c r="B142" s="6" t="str">
        <f>项目总控台账!A141</f>
        <v>T138</v>
      </c>
      <c r="C142" s="6" t="str">
        <f>IF(AND(项目总控台账!E141&lt;&gt;"",项目总控台账!E141&lt;&gt;"/"),项目总控台账!E141,IF(AND(项目总控台账!D141&lt;&gt;"",项目总控台账!D141&lt;&gt;"/"),项目总控台账!D141,项目总控台账!C141))</f>
        <v>查询卸车流程</v>
      </c>
      <c r="D142" s="6" t="str">
        <f>项目总控台账!H141</f>
        <v>郑士旺</v>
      </c>
      <c r="E142" s="16">
        <f>项目总控台账!I141</f>
        <v>46209</v>
      </c>
      <c r="F142" s="16">
        <f>项目总控台账!J141</f>
        <v>46261</v>
      </c>
      <c r="G142" s="6" t="str">
        <f>IF(B142="","",IF(OR(C142="",C142="/"),"缺少任务名称；","")&amp;IF(OR(D142="",D142="/"),"缺少有效主责人；","")&amp;IF(OR(E142="",E142&lt;DATE(2000,1,1)),"缺少有效计划开始；","")&amp;IF(OR(F142="",F142&lt;DATE(2000,1,1)),"缺少有效计划完成；","")&amp;IF(项目总控台账!G141="","缺少总体状态；","")&amp;IF(AND(ISNUMBER(E142),ISNUMBER(F142),E142&gt;=DATE(2000,1,1),F142&gt;=DATE(2000,1,1),E142&gt;F142),"开始晚于完成；","")&amp;IF(AND(项目总控台账!G141="已完成",项目总控台账!AB141&lt;1),"已完成但进度不足100%；",""))</f>
        <v/>
      </c>
      <c r="H142" s="6" t="str">
        <f t="shared" si="4"/>
        <v>通过</v>
      </c>
      <c r="I142" s="6" t="str">
        <f t="shared" si="5"/>
        <v>无需处理</v>
      </c>
      <c r="J142" s="6">
        <v>141</v>
      </c>
    </row>
    <row r="143" spans="1:10">
      <c r="A143" s="6" t="s">
        <v>739</v>
      </c>
      <c r="B143" s="6" t="str">
        <f>项目总控台账!A142</f>
        <v>T139</v>
      </c>
      <c r="C143" s="6" t="str">
        <f>IF(AND(项目总控台账!E142&lt;&gt;"",项目总控台账!E142&lt;&gt;"/"),项目总控台账!E142,IF(AND(项目总控台账!D142&lt;&gt;"",项目总控台账!D142&lt;&gt;"/"),项目总控台账!D142,项目总控台账!C142))</f>
        <v>查询装船流程</v>
      </c>
      <c r="D143" s="6" t="str">
        <f>项目总控台账!H142</f>
        <v>郑士旺</v>
      </c>
      <c r="E143" s="16">
        <f>项目总控台账!I142</f>
        <v>46209</v>
      </c>
      <c r="F143" s="16">
        <f>项目总控台账!J142</f>
        <v>46261</v>
      </c>
      <c r="G143" s="6" t="str">
        <f>IF(B143="","",IF(OR(C143="",C143="/"),"缺少任务名称；","")&amp;IF(OR(D143="",D143="/"),"缺少有效主责人；","")&amp;IF(OR(E143="",E143&lt;DATE(2000,1,1)),"缺少有效计划开始；","")&amp;IF(OR(F143="",F143&lt;DATE(2000,1,1)),"缺少有效计划完成；","")&amp;IF(项目总控台账!G142="","缺少总体状态；","")&amp;IF(AND(ISNUMBER(E143),ISNUMBER(F143),E143&gt;=DATE(2000,1,1),F143&gt;=DATE(2000,1,1),E143&gt;F143),"开始晚于完成；","")&amp;IF(AND(项目总控台账!G142="已完成",项目总控台账!AB142&lt;1),"已完成但进度不足100%；",""))</f>
        <v/>
      </c>
      <c r="H143" s="6" t="str">
        <f t="shared" si="4"/>
        <v>通过</v>
      </c>
      <c r="I143" s="6" t="str">
        <f t="shared" si="5"/>
        <v>无需处理</v>
      </c>
      <c r="J143" s="6">
        <v>142</v>
      </c>
    </row>
    <row r="144" spans="1:10">
      <c r="A144" s="6" t="s">
        <v>739</v>
      </c>
      <c r="B144" s="6" t="str">
        <f>项目总控台账!A143</f>
        <v>T140</v>
      </c>
      <c r="C144" s="6" t="str">
        <f>IF(AND(项目总控台账!E143&lt;&gt;"",项目总控台账!E143&lt;&gt;"/"),项目总控台账!E143,IF(AND(项目总控台账!D143&lt;&gt;"",项目总控台账!D143&lt;&gt;"/"),项目总控台账!D143,项目总控台账!C143))</f>
        <v>查询卸船流程</v>
      </c>
      <c r="D144" s="6" t="str">
        <f>项目总控台账!H143</f>
        <v>郑士旺</v>
      </c>
      <c r="E144" s="16">
        <f>项目总控台账!I143</f>
        <v>46209</v>
      </c>
      <c r="F144" s="16">
        <f>项目总控台账!J143</f>
        <v>46353</v>
      </c>
      <c r="G144" s="6" t="str">
        <f>IF(B144="","",IF(OR(C144="",C144="/"),"缺少任务名称；","")&amp;IF(OR(D144="",D144="/"),"缺少有效主责人；","")&amp;IF(OR(E144="",E144&lt;DATE(2000,1,1)),"缺少有效计划开始；","")&amp;IF(OR(F144="",F144&lt;DATE(2000,1,1)),"缺少有效计划完成；","")&amp;IF(项目总控台账!G143="","缺少总体状态；","")&amp;IF(AND(ISNUMBER(E144),ISNUMBER(F144),E144&gt;=DATE(2000,1,1),F144&gt;=DATE(2000,1,1),E144&gt;F144),"开始晚于完成；","")&amp;IF(AND(项目总控台账!G143="已完成",项目总控台账!AB143&lt;1),"已完成但进度不足100%；",""))</f>
        <v/>
      </c>
      <c r="H144" s="6" t="str">
        <f t="shared" si="4"/>
        <v>通过</v>
      </c>
      <c r="I144" s="6" t="str">
        <f t="shared" si="5"/>
        <v>无需处理</v>
      </c>
      <c r="J144" s="6">
        <v>143</v>
      </c>
    </row>
    <row r="145" spans="1:10">
      <c r="A145" s="6" t="s">
        <v>739</v>
      </c>
      <c r="B145" s="6" t="str">
        <f>项目总控台账!A144</f>
        <v>T141</v>
      </c>
      <c r="C145" s="6" t="str">
        <f>IF(AND(项目总控台账!E144&lt;&gt;"",项目总控台账!E144&lt;&gt;"/"),项目总控台账!E144,IF(AND(项目总控台账!D144&lt;&gt;"",项目总控台账!D144&lt;&gt;"/"),项目总控台账!D144,项目总控台账!C144))</f>
        <v>视频监控查询</v>
      </c>
      <c r="D145" s="6" t="str">
        <f>项目总控台账!H144</f>
        <v>郑士旺</v>
      </c>
      <c r="E145" s="16">
        <f>项目总控台账!I144</f>
        <v>46223</v>
      </c>
      <c r="F145" s="16">
        <f>项目总控台账!J144</f>
        <v>46318</v>
      </c>
      <c r="G145" s="6" t="str">
        <f>IF(B145="","",IF(OR(C145="",C145="/"),"缺少任务名称；","")&amp;IF(OR(D145="",D145="/"),"缺少有效主责人；","")&amp;IF(OR(E145="",E145&lt;DATE(2000,1,1)),"缺少有效计划开始；","")&amp;IF(OR(F145="",F145&lt;DATE(2000,1,1)),"缺少有效计划完成；","")&amp;IF(项目总控台账!G144="","缺少总体状态；","")&amp;IF(AND(ISNUMBER(E145),ISNUMBER(F145),E145&gt;=DATE(2000,1,1),F145&gt;=DATE(2000,1,1),E145&gt;F145),"开始晚于完成；","")&amp;IF(AND(项目总控台账!G144="已完成",项目总控台账!AB144&lt;1),"已完成但进度不足100%；",""))</f>
        <v/>
      </c>
      <c r="H145" s="6" t="str">
        <f t="shared" si="4"/>
        <v>通过</v>
      </c>
      <c r="I145" s="6" t="str">
        <f t="shared" si="5"/>
        <v>无需处理</v>
      </c>
      <c r="J145" s="6">
        <v>144</v>
      </c>
    </row>
    <row r="146" spans="1:10">
      <c r="A146" s="6" t="s">
        <v>739</v>
      </c>
      <c r="B146" s="6" t="str">
        <f>项目总控台账!A145</f>
        <v>T142</v>
      </c>
      <c r="C146" s="6" t="str">
        <f>IF(AND(项目总控台账!E145&lt;&gt;"",项目总控台账!E145&lt;&gt;"/"),项目总控台账!E145,IF(AND(项目总控台账!D145&lt;&gt;"",项目总控台账!D145&lt;&gt;"/"),项目总控台账!D145,项目总控台账!C145))</f>
        <v>审批船舶靠泊通知单</v>
      </c>
      <c r="D146" s="6" t="str">
        <f>项目总控台账!H145</f>
        <v>郑士旺</v>
      </c>
      <c r="E146" s="16">
        <f>项目总控台账!I145</f>
        <v>46230</v>
      </c>
      <c r="F146" s="16">
        <f>项目总控台账!J145</f>
        <v>46353</v>
      </c>
      <c r="G146" s="6" t="str">
        <f>IF(B146="","",IF(OR(C146="",C146="/"),"缺少任务名称；","")&amp;IF(OR(D146="",D146="/"),"缺少有效主责人；","")&amp;IF(OR(E146="",E146&lt;DATE(2000,1,1)),"缺少有效计划开始；","")&amp;IF(OR(F146="",F146&lt;DATE(2000,1,1)),"缺少有效计划完成；","")&amp;IF(项目总控台账!G145="","缺少总体状态；","")&amp;IF(AND(ISNUMBER(E146),ISNUMBER(F146),E146&gt;=DATE(2000,1,1),F146&gt;=DATE(2000,1,1),E146&gt;F146),"开始晚于完成；","")&amp;IF(AND(项目总控台账!G145="已完成",项目总控台账!AB145&lt;1),"已完成但进度不足100%；",""))</f>
        <v/>
      </c>
      <c r="H146" s="6" t="str">
        <f t="shared" si="4"/>
        <v>通过</v>
      </c>
      <c r="I146" s="6" t="str">
        <f t="shared" si="5"/>
        <v>无需处理</v>
      </c>
      <c r="J146" s="6">
        <v>145</v>
      </c>
    </row>
    <row r="147" spans="1:10">
      <c r="A147" s="6" t="s">
        <v>739</v>
      </c>
      <c r="B147" s="6" t="str">
        <f>项目总控台账!A146</f>
        <v>T143</v>
      </c>
      <c r="C147" s="6" t="str">
        <f>IF(AND(项目总控台账!E146&lt;&gt;"",项目总控台账!E146&lt;&gt;"/"),项目总控台账!E146,IF(AND(项目总控台账!D146&lt;&gt;"",项目总控台账!D146&lt;&gt;"/"),项目总控台账!D146,项目总控台账!C146))</f>
        <v>图片上传</v>
      </c>
      <c r="D147" s="6" t="str">
        <f>项目总控台账!H146</f>
        <v>郑士旺</v>
      </c>
      <c r="E147" s="16">
        <f>项目总控台账!I146</f>
        <v>46209</v>
      </c>
      <c r="F147" s="16">
        <f>项目总控台账!J146</f>
        <v>46261</v>
      </c>
      <c r="G147" s="6" t="str">
        <f>IF(B147="","",IF(OR(C147="",C147="/"),"缺少任务名称；","")&amp;IF(OR(D147="",D147="/"),"缺少有效主责人；","")&amp;IF(OR(E147="",E147&lt;DATE(2000,1,1)),"缺少有效计划开始；","")&amp;IF(OR(F147="",F147&lt;DATE(2000,1,1)),"缺少有效计划完成；","")&amp;IF(项目总控台账!G146="","缺少总体状态；","")&amp;IF(AND(ISNUMBER(E147),ISNUMBER(F147),E147&gt;=DATE(2000,1,1),F147&gt;=DATE(2000,1,1),E147&gt;F147),"开始晚于完成；","")&amp;IF(AND(项目总控台账!G146="已完成",项目总控台账!AB146&lt;1),"已完成但进度不足100%；",""))</f>
        <v/>
      </c>
      <c r="H147" s="6" t="str">
        <f t="shared" si="4"/>
        <v>通过</v>
      </c>
      <c r="I147" s="6" t="str">
        <f t="shared" si="5"/>
        <v>无需处理</v>
      </c>
      <c r="J147" s="6">
        <v>146</v>
      </c>
    </row>
    <row r="148" spans="1:10">
      <c r="A148" s="6" t="s">
        <v>739</v>
      </c>
      <c r="B148" s="6" t="str">
        <f>项目总控台账!A147</f>
        <v>T144</v>
      </c>
      <c r="C148" s="6" t="str">
        <f>IF(AND(项目总控台账!E147&lt;&gt;"",项目总控台账!E147&lt;&gt;"/"),项目总控台账!E147,IF(AND(项目总控台账!D147&lt;&gt;"",项目总控台账!D147&lt;&gt;"/"),项目总控台账!D147,项目总控台账!C147))</f>
        <v>图片上传</v>
      </c>
      <c r="D148" s="6" t="str">
        <f>项目总控台账!H147</f>
        <v>郑士旺</v>
      </c>
      <c r="E148" s="16">
        <f>项目总控台账!I147</f>
        <v>46209</v>
      </c>
      <c r="F148" s="16">
        <f>项目总控台账!J147</f>
        <v>46261</v>
      </c>
      <c r="G148" s="6" t="str">
        <f>IF(B148="","",IF(OR(C148="",C148="/"),"缺少任务名称；","")&amp;IF(OR(D148="",D148="/"),"缺少有效主责人；","")&amp;IF(OR(E148="",E148&lt;DATE(2000,1,1)),"缺少有效计划开始；","")&amp;IF(OR(F148="",F148&lt;DATE(2000,1,1)),"缺少有效计划完成；","")&amp;IF(项目总控台账!G147="","缺少总体状态；","")&amp;IF(AND(ISNUMBER(E148),ISNUMBER(F148),E148&gt;=DATE(2000,1,1),F148&gt;=DATE(2000,1,1),E148&gt;F148),"开始晚于完成；","")&amp;IF(AND(项目总控台账!G147="已完成",项目总控台账!AB147&lt;1),"已完成但进度不足100%；",""))</f>
        <v/>
      </c>
      <c r="H148" s="6" t="str">
        <f t="shared" si="4"/>
        <v>通过</v>
      </c>
      <c r="I148" s="6" t="str">
        <f t="shared" si="5"/>
        <v>无需处理</v>
      </c>
      <c r="J148" s="6">
        <v>147</v>
      </c>
    </row>
    <row r="149" spans="1:10">
      <c r="A149" s="6" t="s">
        <v>739</v>
      </c>
      <c r="B149" s="6" t="str">
        <f>项目总控台账!A148</f>
        <v>T145</v>
      </c>
      <c r="C149" s="6" t="str">
        <f>IF(AND(项目总控台账!E148&lt;&gt;"",项目总控台账!E148&lt;&gt;"/"),项目总控台账!E148,IF(AND(项目总控台账!D148&lt;&gt;"",项目总控台账!D148&lt;&gt;"/"),项目总控台账!D148,项目总控台账!C148))</f>
        <v>图片上传</v>
      </c>
      <c r="D149" s="6" t="str">
        <f>项目总控台账!H148</f>
        <v>郑士旺</v>
      </c>
      <c r="E149" s="16">
        <f>项目总控台账!I148</f>
        <v>46209</v>
      </c>
      <c r="F149" s="16">
        <f>项目总控台账!J148</f>
        <v>46269</v>
      </c>
      <c r="G149" s="6" t="str">
        <f>IF(B149="","",IF(OR(C149="",C149="/"),"缺少任务名称；","")&amp;IF(OR(D149="",D149="/"),"缺少有效主责人；","")&amp;IF(OR(E149="",E149&lt;DATE(2000,1,1)),"缺少有效计划开始；","")&amp;IF(OR(F149="",F149&lt;DATE(2000,1,1)),"缺少有效计划完成；","")&amp;IF(项目总控台账!G148="","缺少总体状态；","")&amp;IF(AND(ISNUMBER(E149),ISNUMBER(F149),E149&gt;=DATE(2000,1,1),F149&gt;=DATE(2000,1,1),E149&gt;F149),"开始晚于完成；","")&amp;IF(AND(项目总控台账!G148="已完成",项目总控台账!AB148&lt;1),"已完成但进度不足100%；",""))</f>
        <v/>
      </c>
      <c r="H149" s="6" t="str">
        <f t="shared" si="4"/>
        <v>通过</v>
      </c>
      <c r="I149" s="6" t="str">
        <f t="shared" si="5"/>
        <v>无需处理</v>
      </c>
      <c r="J149" s="6">
        <v>148</v>
      </c>
    </row>
  </sheetData>
  <autoFilter xmlns:etc="http://www.wps.cn/officeDocument/2017/etCustomData" ref="A4:J149" etc:filterBottomFollowUsedRange="0">
    <extLst/>
  </autoFilter>
  <mergeCells count="2">
    <mergeCell ref="A1:J1"/>
    <mergeCell ref="A2:J2"/>
  </mergeCells>
  <conditionalFormatting sqref="H5:H149">
    <cfRule type="expression" dxfId="6" priority="1">
      <formula>$H5="需整改"</formula>
    </cfRule>
    <cfRule type="expression" dxfId="8" priority="2">
      <formula>$H5="通过"</formula>
    </cfRule>
  </conditionalFormatting>
  <pageMargins left="0.75" right="0.75" top="1" bottom="1" header="0.5" footer="0.5"/>
  <pageSetup paperSize="1" fitToHeight="0" orientation="landscape"/>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pageSetUpPr fitToPage="1"/>
  </sheetPr>
  <dimension ref="A1:M54"/>
  <sheetViews>
    <sheetView showGridLines="0" zoomScale="85" zoomScaleNormal="85" workbookViewId="0">
      <pane ySplit="4" topLeftCell="A5" activePane="bottomLeft" state="frozen"/>
      <selection/>
      <selection pane="bottomLeft" activeCell="A1" sqref="A1:M1"/>
    </sheetView>
  </sheetViews>
  <sheetFormatPr defaultColWidth="9" defaultRowHeight="16.8"/>
  <cols>
    <col min="1" max="1" width="11" style="1" customWidth="1"/>
    <col min="2" max="2" width="13" style="1" customWidth="1"/>
    <col min="3" max="3" width="24" style="1" customWidth="1"/>
    <col min="4" max="5" width="34" style="1" customWidth="1"/>
    <col min="6" max="6" width="28" style="1" customWidth="1"/>
    <col min="7" max="7" width="14" style="1" customWidth="1"/>
    <col min="8" max="8" width="13" style="1" customWidth="1"/>
    <col min="9" max="9" width="12" style="1" customWidth="1"/>
    <col min="10" max="10" width="11" style="1" customWidth="1"/>
    <col min="11" max="11" width="22" style="1" customWidth="1"/>
    <col min="12" max="12" width="28" style="1" customWidth="1"/>
    <col min="13" max="13" width="13" style="1" customWidth="1"/>
  </cols>
  <sheetData>
    <row r="1" ht="28" customHeight="1" spans="1:13">
      <c r="A1" s="2" t="s">
        <v>740</v>
      </c>
    </row>
    <row r="2" ht="22" customHeight="1" spans="1:13">
      <c r="A2" s="3" t="s">
        <v>741</v>
      </c>
    </row>
    <row r="3" spans="1:13">
      <c r="A3" s="4"/>
      <c r="B3" s="4"/>
      <c r="C3" s="4"/>
      <c r="D3" s="4"/>
      <c r="E3" s="4"/>
      <c r="F3" s="4"/>
      <c r="G3" s="4"/>
      <c r="H3" s="4"/>
      <c r="I3" s="4"/>
      <c r="J3" s="4"/>
      <c r="K3" s="4"/>
      <c r="L3" s="4"/>
      <c r="M3" s="4"/>
    </row>
    <row r="4" ht="28" customHeight="1" spans="1:13">
      <c r="A4" s="5" t="s">
        <v>742</v>
      </c>
      <c r="B4" s="5" t="s">
        <v>599</v>
      </c>
      <c r="C4" s="5" t="s">
        <v>743</v>
      </c>
      <c r="D4" s="5" t="s">
        <v>744</v>
      </c>
      <c r="E4" s="5" t="s">
        <v>745</v>
      </c>
      <c r="F4" s="5" t="s">
        <v>746</v>
      </c>
      <c r="G4" s="5" t="s">
        <v>747</v>
      </c>
      <c r="H4" s="5" t="s">
        <v>748</v>
      </c>
      <c r="I4" s="5" t="s">
        <v>749</v>
      </c>
      <c r="J4" s="5" t="s">
        <v>660</v>
      </c>
      <c r="K4" s="5" t="s">
        <v>554</v>
      </c>
      <c r="L4" s="5" t="s">
        <v>750</v>
      </c>
      <c r="M4" s="5" t="s">
        <v>751</v>
      </c>
    </row>
    <row r="5" spans="1:13">
      <c r="A5" s="6" t="str">
        <f t="shared" ref="A5:A54" si="0">IF(C5="","","D-"&amp;TEXT(ROW()-4,"000"))</f>
        <v/>
      </c>
      <c r="B5" s="9"/>
      <c r="C5" s="8"/>
      <c r="D5" s="8"/>
      <c r="E5" s="8"/>
      <c r="F5" s="8"/>
      <c r="G5" s="8"/>
      <c r="H5" s="9"/>
      <c r="I5" s="8"/>
      <c r="J5" s="6">
        <f>IF(OR(H5="",I5="已决策"),0,MAX(0,项目驾驶舱!$B$3-H5))</f>
        <v>0</v>
      </c>
      <c r="K5" s="8"/>
      <c r="L5" s="8"/>
      <c r="M5" s="9"/>
    </row>
    <row r="6" spans="1:13">
      <c r="A6" s="6" t="str">
        <f t="shared" si="0"/>
        <v/>
      </c>
      <c r="B6" s="9"/>
      <c r="C6" s="8"/>
      <c r="D6" s="8"/>
      <c r="E6" s="8"/>
      <c r="F6" s="8"/>
      <c r="G6" s="8"/>
      <c r="H6" s="9"/>
      <c r="I6" s="8"/>
      <c r="J6" s="6">
        <f>IF(OR(H6="",I6="已决策"),0,MAX(0,项目驾驶舱!$B$3-H6))</f>
        <v>0</v>
      </c>
      <c r="K6" s="8"/>
      <c r="L6" s="8"/>
      <c r="M6" s="9"/>
    </row>
    <row r="7" spans="1:13">
      <c r="A7" s="6" t="str">
        <f t="shared" si="0"/>
        <v/>
      </c>
      <c r="B7" s="9"/>
      <c r="C7" s="8"/>
      <c r="D7" s="8"/>
      <c r="E7" s="8"/>
      <c r="F7" s="8"/>
      <c r="G7" s="8"/>
      <c r="H7" s="9"/>
      <c r="I7" s="8"/>
      <c r="J7" s="6">
        <f>IF(OR(H7="",I7="已决策"),0,MAX(0,项目驾驶舱!$B$3-H7))</f>
        <v>0</v>
      </c>
      <c r="K7" s="8"/>
      <c r="L7" s="8"/>
      <c r="M7" s="9"/>
    </row>
    <row r="8" spans="1:13">
      <c r="A8" s="6" t="str">
        <f t="shared" si="0"/>
        <v/>
      </c>
      <c r="B8" s="9"/>
      <c r="C8" s="8"/>
      <c r="D8" s="8"/>
      <c r="E8" s="8"/>
      <c r="F8" s="8"/>
      <c r="G8" s="8"/>
      <c r="H8" s="9"/>
      <c r="I8" s="8"/>
      <c r="J8" s="6">
        <f>IF(OR(H8="",I8="已决策"),0,MAX(0,项目驾驶舱!$B$3-H8))</f>
        <v>0</v>
      </c>
      <c r="K8" s="8"/>
      <c r="L8" s="8"/>
      <c r="M8" s="9"/>
    </row>
    <row r="9" spans="1:13">
      <c r="A9" s="6" t="str">
        <f t="shared" si="0"/>
        <v/>
      </c>
      <c r="B9" s="9"/>
      <c r="C9" s="8"/>
      <c r="D9" s="8"/>
      <c r="E9" s="8"/>
      <c r="F9" s="8"/>
      <c r="G9" s="8"/>
      <c r="H9" s="9"/>
      <c r="I9" s="8"/>
      <c r="J9" s="6">
        <f>IF(OR(H9="",I9="已决策"),0,MAX(0,项目驾驶舱!$B$3-H9))</f>
        <v>0</v>
      </c>
      <c r="K9" s="8"/>
      <c r="L9" s="8"/>
      <c r="M9" s="9"/>
    </row>
    <row r="10" spans="1:13">
      <c r="A10" s="6" t="str">
        <f t="shared" si="0"/>
        <v/>
      </c>
      <c r="B10" s="9"/>
      <c r="C10" s="8"/>
      <c r="D10" s="8"/>
      <c r="E10" s="8"/>
      <c r="F10" s="8"/>
      <c r="G10" s="8"/>
      <c r="H10" s="9"/>
      <c r="I10" s="8"/>
      <c r="J10" s="6">
        <f>IF(OR(H10="",I10="已决策"),0,MAX(0,项目驾驶舱!$B$3-H10))</f>
        <v>0</v>
      </c>
      <c r="K10" s="8"/>
      <c r="L10" s="8"/>
      <c r="M10" s="9"/>
    </row>
    <row r="11" spans="1:13">
      <c r="A11" s="6" t="str">
        <f t="shared" si="0"/>
        <v/>
      </c>
      <c r="B11" s="9"/>
      <c r="C11" s="8"/>
      <c r="D11" s="8"/>
      <c r="E11" s="8"/>
      <c r="F11" s="8"/>
      <c r="G11" s="8"/>
      <c r="H11" s="9"/>
      <c r="I11" s="8"/>
      <c r="J11" s="6">
        <f>IF(OR(H11="",I11="已决策"),0,MAX(0,项目驾驶舱!$B$3-H11))</f>
        <v>0</v>
      </c>
      <c r="K11" s="8"/>
      <c r="L11" s="8"/>
      <c r="M11" s="9"/>
    </row>
    <row r="12" spans="1:13">
      <c r="A12" s="6" t="str">
        <f t="shared" si="0"/>
        <v/>
      </c>
      <c r="B12" s="9"/>
      <c r="C12" s="8"/>
      <c r="D12" s="8"/>
      <c r="E12" s="8"/>
      <c r="F12" s="8"/>
      <c r="G12" s="8"/>
      <c r="H12" s="9"/>
      <c r="I12" s="8"/>
      <c r="J12" s="6">
        <f>IF(OR(H12="",I12="已决策"),0,MAX(0,项目驾驶舱!$B$3-H12))</f>
        <v>0</v>
      </c>
      <c r="K12" s="8"/>
      <c r="L12" s="8"/>
      <c r="M12" s="9"/>
    </row>
    <row r="13" spans="1:13">
      <c r="A13" s="6" t="str">
        <f t="shared" si="0"/>
        <v/>
      </c>
      <c r="B13" s="9"/>
      <c r="C13" s="8"/>
      <c r="D13" s="8"/>
      <c r="E13" s="8"/>
      <c r="F13" s="8"/>
      <c r="G13" s="8"/>
      <c r="H13" s="9"/>
      <c r="I13" s="8"/>
      <c r="J13" s="6">
        <f>IF(OR(H13="",I13="已决策"),0,MAX(0,项目驾驶舱!$B$3-H13))</f>
        <v>0</v>
      </c>
      <c r="K13" s="8"/>
      <c r="L13" s="8"/>
      <c r="M13" s="9"/>
    </row>
    <row r="14" spans="1:13">
      <c r="A14" s="6" t="str">
        <f t="shared" si="0"/>
        <v/>
      </c>
      <c r="B14" s="9"/>
      <c r="C14" s="8"/>
      <c r="D14" s="8"/>
      <c r="E14" s="8"/>
      <c r="F14" s="8"/>
      <c r="G14" s="8"/>
      <c r="H14" s="9"/>
      <c r="I14" s="8"/>
      <c r="J14" s="6">
        <f>IF(OR(H14="",I14="已决策"),0,MAX(0,项目驾驶舱!$B$3-H14))</f>
        <v>0</v>
      </c>
      <c r="K14" s="8"/>
      <c r="L14" s="8"/>
      <c r="M14" s="9"/>
    </row>
    <row r="15" spans="1:13">
      <c r="A15" s="6" t="str">
        <f t="shared" si="0"/>
        <v/>
      </c>
      <c r="B15" s="9"/>
      <c r="C15" s="8"/>
      <c r="D15" s="8"/>
      <c r="E15" s="8"/>
      <c r="F15" s="8"/>
      <c r="G15" s="8"/>
      <c r="H15" s="9"/>
      <c r="I15" s="8"/>
      <c r="J15" s="6">
        <f>IF(OR(H15="",I15="已决策"),0,MAX(0,项目驾驶舱!$B$3-H15))</f>
        <v>0</v>
      </c>
      <c r="K15" s="8"/>
      <c r="L15" s="8"/>
      <c r="M15" s="9"/>
    </row>
    <row r="16" spans="1:13">
      <c r="A16" s="6" t="str">
        <f t="shared" si="0"/>
        <v/>
      </c>
      <c r="B16" s="9"/>
      <c r="C16" s="8"/>
      <c r="D16" s="8"/>
      <c r="E16" s="8"/>
      <c r="F16" s="8"/>
      <c r="G16" s="8"/>
      <c r="H16" s="9"/>
      <c r="I16" s="8"/>
      <c r="J16" s="6">
        <f>IF(OR(H16="",I16="已决策"),0,MAX(0,项目驾驶舱!$B$3-H16))</f>
        <v>0</v>
      </c>
      <c r="K16" s="8"/>
      <c r="L16" s="8"/>
      <c r="M16" s="9"/>
    </row>
    <row r="17" spans="1:13">
      <c r="A17" s="6" t="str">
        <f t="shared" si="0"/>
        <v/>
      </c>
      <c r="B17" s="9"/>
      <c r="C17" s="8"/>
      <c r="D17" s="8"/>
      <c r="E17" s="8"/>
      <c r="F17" s="8"/>
      <c r="G17" s="8"/>
      <c r="H17" s="9"/>
      <c r="I17" s="8"/>
      <c r="J17" s="6">
        <f>IF(OR(H17="",I17="已决策"),0,MAX(0,项目驾驶舱!$B$3-H17))</f>
        <v>0</v>
      </c>
      <c r="K17" s="8"/>
      <c r="L17" s="8"/>
      <c r="M17" s="9"/>
    </row>
    <row r="18" spans="1:13">
      <c r="A18" s="6" t="str">
        <f t="shared" si="0"/>
        <v/>
      </c>
      <c r="B18" s="9"/>
      <c r="C18" s="8"/>
      <c r="D18" s="8"/>
      <c r="E18" s="8"/>
      <c r="F18" s="8"/>
      <c r="G18" s="8"/>
      <c r="H18" s="9"/>
      <c r="I18" s="8"/>
      <c r="J18" s="6">
        <f>IF(OR(H18="",I18="已决策"),0,MAX(0,项目驾驶舱!$B$3-H18))</f>
        <v>0</v>
      </c>
      <c r="K18" s="8"/>
      <c r="L18" s="8"/>
      <c r="M18" s="9"/>
    </row>
    <row r="19" spans="1:13">
      <c r="A19" s="6" t="str">
        <f t="shared" si="0"/>
        <v/>
      </c>
      <c r="B19" s="9"/>
      <c r="C19" s="8"/>
      <c r="D19" s="8"/>
      <c r="E19" s="8"/>
      <c r="F19" s="8"/>
      <c r="G19" s="8"/>
      <c r="H19" s="9"/>
      <c r="I19" s="8"/>
      <c r="J19" s="6">
        <f>IF(OR(H19="",I19="已决策"),0,MAX(0,项目驾驶舱!$B$3-H19))</f>
        <v>0</v>
      </c>
      <c r="K19" s="8"/>
      <c r="L19" s="8"/>
      <c r="M19" s="9"/>
    </row>
    <row r="20" spans="1:13">
      <c r="A20" s="6" t="str">
        <f t="shared" si="0"/>
        <v/>
      </c>
      <c r="B20" s="9"/>
      <c r="C20" s="8"/>
      <c r="D20" s="8"/>
      <c r="E20" s="8"/>
      <c r="F20" s="8"/>
      <c r="G20" s="8"/>
      <c r="H20" s="9"/>
      <c r="I20" s="8"/>
      <c r="J20" s="6">
        <f>IF(OR(H20="",I20="已决策"),0,MAX(0,项目驾驶舱!$B$3-H20))</f>
        <v>0</v>
      </c>
      <c r="K20" s="8"/>
      <c r="L20" s="8"/>
      <c r="M20" s="9"/>
    </row>
    <row r="21" spans="1:13">
      <c r="A21" s="6" t="str">
        <f t="shared" si="0"/>
        <v/>
      </c>
      <c r="B21" s="9"/>
      <c r="C21" s="8"/>
      <c r="D21" s="8"/>
      <c r="E21" s="8"/>
      <c r="F21" s="8"/>
      <c r="G21" s="8"/>
      <c r="H21" s="9"/>
      <c r="I21" s="8"/>
      <c r="J21" s="6">
        <f>IF(OR(H21="",I21="已决策"),0,MAX(0,项目驾驶舱!$B$3-H21))</f>
        <v>0</v>
      </c>
      <c r="K21" s="8"/>
      <c r="L21" s="8"/>
      <c r="M21" s="9"/>
    </row>
    <row r="22" spans="1:13">
      <c r="A22" s="6" t="str">
        <f t="shared" si="0"/>
        <v/>
      </c>
      <c r="B22" s="9"/>
      <c r="C22" s="8"/>
      <c r="D22" s="8"/>
      <c r="E22" s="8"/>
      <c r="F22" s="8"/>
      <c r="G22" s="8"/>
      <c r="H22" s="9"/>
      <c r="I22" s="8"/>
      <c r="J22" s="6">
        <f>IF(OR(H22="",I22="已决策"),0,MAX(0,项目驾驶舱!$B$3-H22))</f>
        <v>0</v>
      </c>
      <c r="K22" s="8"/>
      <c r="L22" s="8"/>
      <c r="M22" s="9"/>
    </row>
    <row r="23" spans="1:13">
      <c r="A23" s="6" t="str">
        <f t="shared" si="0"/>
        <v/>
      </c>
      <c r="B23" s="9"/>
      <c r="C23" s="8"/>
      <c r="D23" s="8"/>
      <c r="E23" s="8"/>
      <c r="F23" s="8"/>
      <c r="G23" s="8"/>
      <c r="H23" s="9"/>
      <c r="I23" s="8"/>
      <c r="J23" s="6">
        <f>IF(OR(H23="",I23="已决策"),0,MAX(0,项目驾驶舱!$B$3-H23))</f>
        <v>0</v>
      </c>
      <c r="K23" s="8"/>
      <c r="L23" s="8"/>
      <c r="M23" s="9"/>
    </row>
    <row r="24" spans="1:13">
      <c r="A24" s="6" t="str">
        <f t="shared" si="0"/>
        <v/>
      </c>
      <c r="B24" s="9"/>
      <c r="C24" s="8"/>
      <c r="D24" s="8"/>
      <c r="E24" s="8"/>
      <c r="F24" s="8"/>
      <c r="G24" s="8"/>
      <c r="H24" s="9"/>
      <c r="I24" s="8"/>
      <c r="J24" s="6">
        <f>IF(OR(H24="",I24="已决策"),0,MAX(0,项目驾驶舱!$B$3-H24))</f>
        <v>0</v>
      </c>
      <c r="K24" s="8"/>
      <c r="L24" s="8"/>
      <c r="M24" s="9"/>
    </row>
    <row r="25" spans="1:13">
      <c r="A25" s="6" t="str">
        <f t="shared" si="0"/>
        <v/>
      </c>
      <c r="B25" s="9"/>
      <c r="C25" s="8"/>
      <c r="D25" s="8"/>
      <c r="E25" s="8"/>
      <c r="F25" s="8"/>
      <c r="G25" s="8"/>
      <c r="H25" s="9"/>
      <c r="I25" s="8"/>
      <c r="J25" s="6">
        <f>IF(OR(H25="",I25="已决策"),0,MAX(0,项目驾驶舱!$B$3-H25))</f>
        <v>0</v>
      </c>
      <c r="K25" s="8"/>
      <c r="L25" s="8"/>
      <c r="M25" s="9"/>
    </row>
    <row r="26" spans="1:13">
      <c r="A26" s="6" t="str">
        <f t="shared" si="0"/>
        <v/>
      </c>
      <c r="B26" s="9"/>
      <c r="C26" s="8"/>
      <c r="D26" s="8"/>
      <c r="E26" s="8"/>
      <c r="F26" s="8"/>
      <c r="G26" s="8"/>
      <c r="H26" s="9"/>
      <c r="I26" s="8"/>
      <c r="J26" s="6">
        <f>IF(OR(H26="",I26="已决策"),0,MAX(0,项目驾驶舱!$B$3-H26))</f>
        <v>0</v>
      </c>
      <c r="K26" s="8"/>
      <c r="L26" s="8"/>
      <c r="M26" s="9"/>
    </row>
    <row r="27" spans="1:13">
      <c r="A27" s="6" t="str">
        <f t="shared" si="0"/>
        <v/>
      </c>
      <c r="B27" s="9"/>
      <c r="C27" s="8"/>
      <c r="D27" s="8"/>
      <c r="E27" s="8"/>
      <c r="F27" s="8"/>
      <c r="G27" s="8"/>
      <c r="H27" s="9"/>
      <c r="I27" s="8"/>
      <c r="J27" s="6">
        <f>IF(OR(H27="",I27="已决策"),0,MAX(0,项目驾驶舱!$B$3-H27))</f>
        <v>0</v>
      </c>
      <c r="K27" s="8"/>
      <c r="L27" s="8"/>
      <c r="M27" s="9"/>
    </row>
    <row r="28" spans="1:13">
      <c r="A28" s="6" t="str">
        <f t="shared" si="0"/>
        <v/>
      </c>
      <c r="B28" s="9"/>
      <c r="C28" s="8"/>
      <c r="D28" s="8"/>
      <c r="E28" s="8"/>
      <c r="F28" s="8"/>
      <c r="G28" s="8"/>
      <c r="H28" s="9"/>
      <c r="I28" s="8"/>
      <c r="J28" s="6">
        <f>IF(OR(H28="",I28="已决策"),0,MAX(0,项目驾驶舱!$B$3-H28))</f>
        <v>0</v>
      </c>
      <c r="K28" s="8"/>
      <c r="L28" s="8"/>
      <c r="M28" s="9"/>
    </row>
    <row r="29" spans="1:13">
      <c r="A29" s="6" t="str">
        <f t="shared" si="0"/>
        <v/>
      </c>
      <c r="B29" s="9"/>
      <c r="C29" s="8"/>
      <c r="D29" s="8"/>
      <c r="E29" s="8"/>
      <c r="F29" s="8"/>
      <c r="G29" s="8"/>
      <c r="H29" s="9"/>
      <c r="I29" s="8"/>
      <c r="J29" s="6">
        <f>IF(OR(H29="",I29="已决策"),0,MAX(0,项目驾驶舱!$B$3-H29))</f>
        <v>0</v>
      </c>
      <c r="K29" s="8"/>
      <c r="L29" s="8"/>
      <c r="M29" s="9"/>
    </row>
    <row r="30" spans="1:13">
      <c r="A30" s="6" t="str">
        <f t="shared" si="0"/>
        <v/>
      </c>
      <c r="B30" s="9"/>
      <c r="C30" s="8"/>
      <c r="D30" s="8"/>
      <c r="E30" s="8"/>
      <c r="F30" s="8"/>
      <c r="G30" s="8"/>
      <c r="H30" s="9"/>
      <c r="I30" s="8"/>
      <c r="J30" s="6">
        <f>IF(OR(H30="",I30="已决策"),0,MAX(0,项目驾驶舱!$B$3-H30))</f>
        <v>0</v>
      </c>
      <c r="K30" s="8"/>
      <c r="L30" s="8"/>
      <c r="M30" s="9"/>
    </row>
    <row r="31" spans="1:13">
      <c r="A31" s="6" t="str">
        <f t="shared" si="0"/>
        <v/>
      </c>
      <c r="B31" s="9"/>
      <c r="C31" s="8"/>
      <c r="D31" s="8"/>
      <c r="E31" s="8"/>
      <c r="F31" s="8"/>
      <c r="G31" s="8"/>
      <c r="H31" s="9"/>
      <c r="I31" s="8"/>
      <c r="J31" s="6">
        <f>IF(OR(H31="",I31="已决策"),0,MAX(0,项目驾驶舱!$B$3-H31))</f>
        <v>0</v>
      </c>
      <c r="K31" s="8"/>
      <c r="L31" s="8"/>
      <c r="M31" s="9"/>
    </row>
    <row r="32" spans="1:13">
      <c r="A32" s="6" t="str">
        <f t="shared" si="0"/>
        <v/>
      </c>
      <c r="B32" s="9"/>
      <c r="C32" s="8"/>
      <c r="D32" s="8"/>
      <c r="E32" s="8"/>
      <c r="F32" s="8"/>
      <c r="G32" s="8"/>
      <c r="H32" s="9"/>
      <c r="I32" s="8"/>
      <c r="J32" s="6">
        <f>IF(OR(H32="",I32="已决策"),0,MAX(0,项目驾驶舱!$B$3-H32))</f>
        <v>0</v>
      </c>
      <c r="K32" s="8"/>
      <c r="L32" s="8"/>
      <c r="M32" s="9"/>
    </row>
    <row r="33" spans="1:13">
      <c r="A33" s="6" t="str">
        <f t="shared" si="0"/>
        <v/>
      </c>
      <c r="B33" s="9"/>
      <c r="C33" s="8"/>
      <c r="D33" s="8"/>
      <c r="E33" s="8"/>
      <c r="F33" s="8"/>
      <c r="G33" s="8"/>
      <c r="H33" s="9"/>
      <c r="I33" s="8"/>
      <c r="J33" s="6">
        <f>IF(OR(H33="",I33="已决策"),0,MAX(0,项目驾驶舱!$B$3-H33))</f>
        <v>0</v>
      </c>
      <c r="K33" s="8"/>
      <c r="L33" s="8"/>
      <c r="M33" s="9"/>
    </row>
    <row r="34" spans="1:13">
      <c r="A34" s="6" t="str">
        <f t="shared" si="0"/>
        <v/>
      </c>
      <c r="B34" s="9"/>
      <c r="C34" s="8"/>
      <c r="D34" s="8"/>
      <c r="E34" s="8"/>
      <c r="F34" s="8"/>
      <c r="G34" s="8"/>
      <c r="H34" s="9"/>
      <c r="I34" s="8"/>
      <c r="J34" s="6">
        <f>IF(OR(H34="",I34="已决策"),0,MAX(0,项目驾驶舱!$B$3-H34))</f>
        <v>0</v>
      </c>
      <c r="K34" s="8"/>
      <c r="L34" s="8"/>
      <c r="M34" s="9"/>
    </row>
    <row r="35" spans="1:13">
      <c r="A35" s="6" t="str">
        <f t="shared" si="0"/>
        <v/>
      </c>
      <c r="B35" s="9"/>
      <c r="C35" s="8"/>
      <c r="D35" s="8"/>
      <c r="E35" s="8"/>
      <c r="F35" s="8"/>
      <c r="G35" s="8"/>
      <c r="H35" s="9"/>
      <c r="I35" s="8"/>
      <c r="J35" s="6">
        <f>IF(OR(H35="",I35="已决策"),0,MAX(0,项目驾驶舱!$B$3-H35))</f>
        <v>0</v>
      </c>
      <c r="K35" s="8"/>
      <c r="L35" s="8"/>
      <c r="M35" s="9"/>
    </row>
    <row r="36" spans="1:13">
      <c r="A36" s="6" t="str">
        <f t="shared" si="0"/>
        <v/>
      </c>
      <c r="B36" s="9"/>
      <c r="C36" s="8"/>
      <c r="D36" s="8"/>
      <c r="E36" s="8"/>
      <c r="F36" s="8"/>
      <c r="G36" s="8"/>
      <c r="H36" s="9"/>
      <c r="I36" s="8"/>
      <c r="J36" s="6">
        <f>IF(OR(H36="",I36="已决策"),0,MAX(0,项目驾驶舱!$B$3-H36))</f>
        <v>0</v>
      </c>
      <c r="K36" s="8"/>
      <c r="L36" s="8"/>
      <c r="M36" s="9"/>
    </row>
    <row r="37" spans="1:13">
      <c r="A37" s="6" t="str">
        <f t="shared" si="0"/>
        <v/>
      </c>
      <c r="B37" s="9"/>
      <c r="C37" s="8"/>
      <c r="D37" s="8"/>
      <c r="E37" s="8"/>
      <c r="F37" s="8"/>
      <c r="G37" s="8"/>
      <c r="H37" s="9"/>
      <c r="I37" s="8"/>
      <c r="J37" s="6">
        <f>IF(OR(H37="",I37="已决策"),0,MAX(0,项目驾驶舱!$B$3-H37))</f>
        <v>0</v>
      </c>
      <c r="K37" s="8"/>
      <c r="L37" s="8"/>
      <c r="M37" s="9"/>
    </row>
    <row r="38" spans="1:13">
      <c r="A38" s="6" t="str">
        <f t="shared" si="0"/>
        <v/>
      </c>
      <c r="B38" s="9"/>
      <c r="C38" s="8"/>
      <c r="D38" s="8"/>
      <c r="E38" s="8"/>
      <c r="F38" s="8"/>
      <c r="G38" s="8"/>
      <c r="H38" s="9"/>
      <c r="I38" s="8"/>
      <c r="J38" s="6">
        <f>IF(OR(H38="",I38="已决策"),0,MAX(0,项目驾驶舱!$B$3-H38))</f>
        <v>0</v>
      </c>
      <c r="K38" s="8"/>
      <c r="L38" s="8"/>
      <c r="M38" s="9"/>
    </row>
    <row r="39" spans="1:13">
      <c r="A39" s="6" t="str">
        <f t="shared" si="0"/>
        <v/>
      </c>
      <c r="B39" s="9"/>
      <c r="C39" s="8"/>
      <c r="D39" s="8"/>
      <c r="E39" s="8"/>
      <c r="F39" s="8"/>
      <c r="G39" s="8"/>
      <c r="H39" s="9"/>
      <c r="I39" s="8"/>
      <c r="J39" s="6">
        <f>IF(OR(H39="",I39="已决策"),0,MAX(0,项目驾驶舱!$B$3-H39))</f>
        <v>0</v>
      </c>
      <c r="K39" s="8"/>
      <c r="L39" s="8"/>
      <c r="M39" s="9"/>
    </row>
    <row r="40" spans="1:13">
      <c r="A40" s="6" t="str">
        <f t="shared" si="0"/>
        <v/>
      </c>
      <c r="B40" s="9"/>
      <c r="C40" s="8"/>
      <c r="D40" s="8"/>
      <c r="E40" s="8"/>
      <c r="F40" s="8"/>
      <c r="G40" s="8"/>
      <c r="H40" s="9"/>
      <c r="I40" s="8"/>
      <c r="J40" s="6">
        <f>IF(OR(H40="",I40="已决策"),0,MAX(0,项目驾驶舱!$B$3-H40))</f>
        <v>0</v>
      </c>
      <c r="K40" s="8"/>
      <c r="L40" s="8"/>
      <c r="M40" s="9"/>
    </row>
    <row r="41" spans="1:13">
      <c r="A41" s="6" t="str">
        <f t="shared" si="0"/>
        <v/>
      </c>
      <c r="B41" s="9"/>
      <c r="C41" s="8"/>
      <c r="D41" s="8"/>
      <c r="E41" s="8"/>
      <c r="F41" s="8"/>
      <c r="G41" s="8"/>
      <c r="H41" s="9"/>
      <c r="I41" s="8"/>
      <c r="J41" s="6">
        <f>IF(OR(H41="",I41="已决策"),0,MAX(0,项目驾驶舱!$B$3-H41))</f>
        <v>0</v>
      </c>
      <c r="K41" s="8"/>
      <c r="L41" s="8"/>
      <c r="M41" s="9"/>
    </row>
    <row r="42" spans="1:13">
      <c r="A42" s="6" t="str">
        <f t="shared" si="0"/>
        <v/>
      </c>
      <c r="B42" s="9"/>
      <c r="C42" s="8"/>
      <c r="D42" s="8"/>
      <c r="E42" s="8"/>
      <c r="F42" s="8"/>
      <c r="G42" s="8"/>
      <c r="H42" s="9"/>
      <c r="I42" s="8"/>
      <c r="J42" s="6">
        <f>IF(OR(H42="",I42="已决策"),0,MAX(0,项目驾驶舱!$B$3-H42))</f>
        <v>0</v>
      </c>
      <c r="K42" s="8"/>
      <c r="L42" s="8"/>
      <c r="M42" s="9"/>
    </row>
    <row r="43" spans="1:13">
      <c r="A43" s="6" t="str">
        <f t="shared" si="0"/>
        <v/>
      </c>
      <c r="B43" s="9"/>
      <c r="C43" s="8"/>
      <c r="D43" s="8"/>
      <c r="E43" s="8"/>
      <c r="F43" s="8"/>
      <c r="G43" s="8"/>
      <c r="H43" s="9"/>
      <c r="I43" s="8"/>
      <c r="J43" s="6">
        <f>IF(OR(H43="",I43="已决策"),0,MAX(0,项目驾驶舱!$B$3-H43))</f>
        <v>0</v>
      </c>
      <c r="K43" s="8"/>
      <c r="L43" s="8"/>
      <c r="M43" s="9"/>
    </row>
    <row r="44" spans="1:13">
      <c r="A44" s="6" t="str">
        <f t="shared" si="0"/>
        <v/>
      </c>
      <c r="B44" s="9"/>
      <c r="C44" s="8"/>
      <c r="D44" s="8"/>
      <c r="E44" s="8"/>
      <c r="F44" s="8"/>
      <c r="G44" s="8"/>
      <c r="H44" s="9"/>
      <c r="I44" s="8"/>
      <c r="J44" s="6">
        <f>IF(OR(H44="",I44="已决策"),0,MAX(0,项目驾驶舱!$B$3-H44))</f>
        <v>0</v>
      </c>
      <c r="K44" s="8"/>
      <c r="L44" s="8"/>
      <c r="M44" s="9"/>
    </row>
    <row r="45" spans="1:13">
      <c r="A45" s="6" t="str">
        <f t="shared" si="0"/>
        <v/>
      </c>
      <c r="B45" s="9"/>
      <c r="C45" s="8"/>
      <c r="D45" s="8"/>
      <c r="E45" s="8"/>
      <c r="F45" s="8"/>
      <c r="G45" s="8"/>
      <c r="H45" s="9"/>
      <c r="I45" s="8"/>
      <c r="J45" s="6">
        <f>IF(OR(H45="",I45="已决策"),0,MAX(0,项目驾驶舱!$B$3-H45))</f>
        <v>0</v>
      </c>
      <c r="K45" s="8"/>
      <c r="L45" s="8"/>
      <c r="M45" s="9"/>
    </row>
    <row r="46" spans="1:13">
      <c r="A46" s="6" t="str">
        <f t="shared" si="0"/>
        <v/>
      </c>
      <c r="B46" s="9"/>
      <c r="C46" s="8"/>
      <c r="D46" s="8"/>
      <c r="E46" s="8"/>
      <c r="F46" s="8"/>
      <c r="G46" s="8"/>
      <c r="H46" s="9"/>
      <c r="I46" s="8"/>
      <c r="J46" s="6">
        <f>IF(OR(H46="",I46="已决策"),0,MAX(0,项目驾驶舱!$B$3-H46))</f>
        <v>0</v>
      </c>
      <c r="K46" s="8"/>
      <c r="L46" s="8"/>
      <c r="M46" s="9"/>
    </row>
    <row r="47" spans="1:13">
      <c r="A47" s="6" t="str">
        <f t="shared" si="0"/>
        <v/>
      </c>
      <c r="B47" s="9"/>
      <c r="C47" s="8"/>
      <c r="D47" s="8"/>
      <c r="E47" s="8"/>
      <c r="F47" s="8"/>
      <c r="G47" s="8"/>
      <c r="H47" s="9"/>
      <c r="I47" s="8"/>
      <c r="J47" s="6">
        <f>IF(OR(H47="",I47="已决策"),0,MAX(0,项目驾驶舱!$B$3-H47))</f>
        <v>0</v>
      </c>
      <c r="K47" s="8"/>
      <c r="L47" s="8"/>
      <c r="M47" s="9"/>
    </row>
    <row r="48" spans="1:13">
      <c r="A48" s="6" t="str">
        <f t="shared" si="0"/>
        <v/>
      </c>
      <c r="B48" s="9"/>
      <c r="C48" s="8"/>
      <c r="D48" s="8"/>
      <c r="E48" s="8"/>
      <c r="F48" s="8"/>
      <c r="G48" s="8"/>
      <c r="H48" s="9"/>
      <c r="I48" s="8"/>
      <c r="J48" s="6">
        <f>IF(OR(H48="",I48="已决策"),0,MAX(0,项目驾驶舱!$B$3-H48))</f>
        <v>0</v>
      </c>
      <c r="K48" s="8"/>
      <c r="L48" s="8"/>
      <c r="M48" s="9"/>
    </row>
    <row r="49" spans="1:13">
      <c r="A49" s="6" t="str">
        <f t="shared" si="0"/>
        <v/>
      </c>
      <c r="B49" s="9"/>
      <c r="C49" s="8"/>
      <c r="D49" s="8"/>
      <c r="E49" s="8"/>
      <c r="F49" s="8"/>
      <c r="G49" s="8"/>
      <c r="H49" s="9"/>
      <c r="I49" s="8"/>
      <c r="J49" s="6">
        <f>IF(OR(H49="",I49="已决策"),0,MAX(0,项目驾驶舱!$B$3-H49))</f>
        <v>0</v>
      </c>
      <c r="K49" s="8"/>
      <c r="L49" s="8"/>
      <c r="M49" s="9"/>
    </row>
    <row r="50" spans="1:13">
      <c r="A50" s="6" t="str">
        <f t="shared" si="0"/>
        <v/>
      </c>
      <c r="B50" s="9"/>
      <c r="C50" s="8"/>
      <c r="D50" s="8"/>
      <c r="E50" s="8"/>
      <c r="F50" s="8"/>
      <c r="G50" s="8"/>
      <c r="H50" s="9"/>
      <c r="I50" s="8"/>
      <c r="J50" s="6">
        <f>IF(OR(H50="",I50="已决策"),0,MAX(0,项目驾驶舱!$B$3-H50))</f>
        <v>0</v>
      </c>
      <c r="K50" s="8"/>
      <c r="L50" s="8"/>
      <c r="M50" s="9"/>
    </row>
    <row r="51" spans="1:13">
      <c r="A51" s="6" t="str">
        <f t="shared" si="0"/>
        <v/>
      </c>
      <c r="B51" s="9"/>
      <c r="C51" s="8"/>
      <c r="D51" s="8"/>
      <c r="E51" s="8"/>
      <c r="F51" s="8"/>
      <c r="G51" s="8"/>
      <c r="H51" s="9"/>
      <c r="I51" s="8"/>
      <c r="J51" s="6">
        <f>IF(OR(H51="",I51="已决策"),0,MAX(0,项目驾驶舱!$B$3-H51))</f>
        <v>0</v>
      </c>
      <c r="K51" s="8"/>
      <c r="L51" s="8"/>
      <c r="M51" s="9"/>
    </row>
    <row r="52" spans="1:13">
      <c r="A52" s="6" t="str">
        <f t="shared" si="0"/>
        <v/>
      </c>
      <c r="B52" s="9"/>
      <c r="C52" s="8"/>
      <c r="D52" s="8"/>
      <c r="E52" s="8"/>
      <c r="F52" s="8"/>
      <c r="G52" s="8"/>
      <c r="H52" s="9"/>
      <c r="I52" s="8"/>
      <c r="J52" s="6">
        <f>IF(OR(H52="",I52="已决策"),0,MAX(0,项目驾驶舱!$B$3-H52))</f>
        <v>0</v>
      </c>
      <c r="K52" s="8"/>
      <c r="L52" s="8"/>
      <c r="M52" s="9"/>
    </row>
    <row r="53" spans="1:13">
      <c r="A53" s="6" t="str">
        <f t="shared" si="0"/>
        <v/>
      </c>
      <c r="B53" s="9"/>
      <c r="C53" s="8"/>
      <c r="D53" s="8"/>
      <c r="E53" s="8"/>
      <c r="F53" s="8"/>
      <c r="G53" s="8"/>
      <c r="H53" s="9"/>
      <c r="I53" s="8"/>
      <c r="J53" s="6">
        <f>IF(OR(H53="",I53="已决策"),0,MAX(0,项目驾驶舱!$B$3-H53))</f>
        <v>0</v>
      </c>
      <c r="K53" s="8"/>
      <c r="L53" s="8"/>
      <c r="M53" s="9"/>
    </row>
    <row r="54" spans="1:13">
      <c r="A54" s="6" t="str">
        <f t="shared" si="0"/>
        <v/>
      </c>
      <c r="B54" s="9"/>
      <c r="C54" s="8"/>
      <c r="D54" s="8"/>
      <c r="E54" s="8"/>
      <c r="F54" s="8"/>
      <c r="G54" s="8"/>
      <c r="H54" s="9"/>
      <c r="I54" s="8"/>
      <c r="J54" s="6">
        <f>IF(OR(H54="",I54="已决策"),0,MAX(0,项目驾驶舱!$B$3-H54))</f>
        <v>0</v>
      </c>
      <c r="K54" s="8"/>
      <c r="L54" s="8"/>
      <c r="M54" s="9"/>
    </row>
  </sheetData>
  <autoFilter xmlns:etc="http://www.wps.cn/officeDocument/2017/etCustomData" ref="A4:M54" etc:filterBottomFollowUsedRange="0">
    <extLst/>
  </autoFilter>
  <mergeCells count="2">
    <mergeCell ref="A1:M1"/>
    <mergeCell ref="A2:M2"/>
  </mergeCells>
  <conditionalFormatting sqref="J5:J54">
    <cfRule type="expression" dxfId="6" priority="1">
      <formula>$J5&gt;0</formula>
    </cfRule>
  </conditionalFormatting>
  <dataValidations count="1">
    <dataValidation type="list" allowBlank="1" sqref="I5:I54">
      <formula1>"待提出,待决策,已决策,已关闭"</formula1>
    </dataValidation>
  </dataValidations>
  <pageMargins left="0.75" right="0.75" top="1" bottom="1" header="0.5" footer="0.5"/>
  <pageSetup paperSize="1" fitToHeight="0" orientation="landscape"/>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AD47"/>
    <pageSetUpPr fitToPage="1"/>
  </sheetPr>
  <dimension ref="A1:M149"/>
  <sheetViews>
    <sheetView showGridLines="0" zoomScale="85" zoomScaleNormal="85" workbookViewId="0">
      <pane ySplit="4" topLeftCell="A5" activePane="bottomLeft" state="frozen"/>
      <selection/>
      <selection pane="bottomLeft" activeCell="A1" sqref="A1:M1"/>
    </sheetView>
  </sheetViews>
  <sheetFormatPr defaultColWidth="9" defaultRowHeight="16.8"/>
  <cols>
    <col min="1" max="2" width="11" style="1" customWidth="1"/>
    <col min="3" max="3" width="28" style="1" customWidth="1"/>
    <col min="4" max="5" width="13" style="1" customWidth="1"/>
    <col min="6" max="6" width="16" style="1" customWidth="1"/>
    <col min="7" max="7" width="13" style="1" customWidth="1"/>
    <col min="8" max="8" width="12" style="1" customWidth="1"/>
    <col min="9" max="9" width="13" style="1" customWidth="1"/>
    <col min="10" max="10" width="30" style="1" customWidth="1"/>
    <col min="11" max="11" width="34" style="1" customWidth="1"/>
    <col min="12" max="12" width="13" style="1" customWidth="1"/>
    <col min="13" max="13" width="24" style="1" customWidth="1"/>
  </cols>
  <sheetData>
    <row r="1" ht="28" customHeight="1" spans="1:13">
      <c r="A1" s="2" t="s">
        <v>752</v>
      </c>
    </row>
    <row r="2" ht="22" customHeight="1" spans="1:13">
      <c r="A2" s="3" t="s">
        <v>753</v>
      </c>
    </row>
    <row r="3" spans="1:13">
      <c r="A3" s="4"/>
      <c r="B3" s="4"/>
      <c r="C3" s="4"/>
      <c r="D3" s="4"/>
      <c r="E3" s="4"/>
      <c r="F3" s="4"/>
      <c r="G3" s="4"/>
      <c r="H3" s="4"/>
      <c r="I3" s="4"/>
      <c r="J3" s="4"/>
      <c r="K3" s="4"/>
      <c r="L3" s="4"/>
      <c r="M3" s="4"/>
    </row>
    <row r="4" ht="28" customHeight="1" spans="1:13">
      <c r="A4" s="5" t="s">
        <v>754</v>
      </c>
      <c r="B4" s="5" t="s">
        <v>31</v>
      </c>
      <c r="C4" s="5" t="s">
        <v>735</v>
      </c>
      <c r="D4" s="5" t="s">
        <v>23</v>
      </c>
      <c r="E4" s="5" t="s">
        <v>36</v>
      </c>
      <c r="F4" s="5" t="s">
        <v>37</v>
      </c>
      <c r="G4" s="5" t="s">
        <v>39</v>
      </c>
      <c r="H4" s="5" t="s">
        <v>755</v>
      </c>
      <c r="I4" s="5" t="s">
        <v>57</v>
      </c>
      <c r="J4" s="5" t="s">
        <v>58</v>
      </c>
      <c r="K4" s="5" t="s">
        <v>710</v>
      </c>
      <c r="L4" s="5" t="s">
        <v>756</v>
      </c>
      <c r="M4" s="5" t="s">
        <v>757</v>
      </c>
    </row>
    <row r="5" spans="1:13">
      <c r="A5" s="6" t="str">
        <f>IF(B5="","",IF(AND(E5&lt;&gt;"已完成",ISNUMBER(G5),G5&lt;=项目驾驶舱!$B$3+14),"是","否"))</f>
        <v>否</v>
      </c>
      <c r="B5" s="6" t="str">
        <f>项目总控台账!A4</f>
        <v>T001</v>
      </c>
      <c r="C5" s="6" t="str">
        <f>IF(AND(项目总控台账!E4&lt;&gt;"",项目总控台账!E4&lt;&gt;"/"),项目总控台账!E4,IF(AND(项目总控台账!D4&lt;&gt;"",项目总控台账!D4&lt;&gt;"/"),项目总控台账!D4,项目总控台账!C4))</f>
        <v>新增车辆信息</v>
      </c>
      <c r="D5" s="6" t="str">
        <f>项目总控台账!F4</f>
        <v>第一批次</v>
      </c>
      <c r="E5" s="6" t="str">
        <f>项目总控台账!G4</f>
        <v>已完成</v>
      </c>
      <c r="F5" s="6" t="str">
        <f>项目总控台账!H4</f>
        <v>郑士旺</v>
      </c>
      <c r="G5" s="16">
        <f>项目总控台账!J4</f>
        <v>46234</v>
      </c>
      <c r="H5" s="6">
        <f>IF(G5="","",G5-项目驾驶舱!$B$3)</f>
        <v>-34</v>
      </c>
      <c r="I5" s="6" t="str">
        <f>项目总控台账!AC4</f>
        <v>正常</v>
      </c>
      <c r="J5" s="6" t="str">
        <f>项目总控台账!AD4</f>
        <v>69</v>
      </c>
      <c r="K5" s="6" t="str">
        <f t="shared" ref="K5:K68" si="0">IF(A5&lt;&gt;"是","",IF(OR(E5="暂停",E5="挂起"),"确认暂停原因、恢复条件和责任人",IF(H5&lt;0,"立即确认延期原因、影响及补救计划",IF(H5&lt;=7,"本周确认交付承诺和完成证据","提前检查依赖与风险"))))</f>
        <v/>
      </c>
      <c r="L5" s="9"/>
      <c r="M5" s="8"/>
    </row>
    <row r="6" spans="1:13">
      <c r="A6" s="6" t="str">
        <f>IF(B6="","",IF(AND(E6&lt;&gt;"已完成",ISNUMBER(G6),G6&lt;=项目驾驶舱!$B$3+14),"是","否"))</f>
        <v>否</v>
      </c>
      <c r="B6" s="6" t="str">
        <f>项目总控台账!A5</f>
        <v>T002</v>
      </c>
      <c r="C6" s="6" t="str">
        <f>IF(AND(项目总控台账!E5&lt;&gt;"",项目总控台账!E5&lt;&gt;"/"),项目总控台账!E5,IF(AND(项目总控台账!D5&lt;&gt;"",项目总控台账!D5&lt;&gt;"/"),项目总控台账!D5,项目总控台账!C5))</f>
        <v>修改车辆信息</v>
      </c>
      <c r="D6" s="6" t="str">
        <f>项目总控台账!F5</f>
        <v>第一批次</v>
      </c>
      <c r="E6" s="6" t="str">
        <f>项目总控台账!G5</f>
        <v>已完成</v>
      </c>
      <c r="F6" s="6" t="str">
        <f>项目总控台账!H5</f>
        <v>郑士旺</v>
      </c>
      <c r="G6" s="16">
        <f>项目总控台账!J5</f>
        <v>46234</v>
      </c>
      <c r="H6" s="6">
        <f>IF(G6="","",G6-项目驾驶舱!$B$3)</f>
        <v>-34</v>
      </c>
      <c r="I6" s="6" t="str">
        <f>项目总控台账!AC5</f>
        <v>正常</v>
      </c>
      <c r="J6" s="6" t="str">
        <f>项目总控台账!AD5</f>
        <v>69</v>
      </c>
      <c r="K6" s="6" t="str">
        <f t="shared" si="0"/>
        <v/>
      </c>
      <c r="L6" s="9"/>
      <c r="M6" s="8"/>
    </row>
    <row r="7" spans="1:13">
      <c r="A7" s="6" t="str">
        <f>IF(B7="","",IF(AND(E7&lt;&gt;"已完成",ISNUMBER(G7),G7&lt;=项目驾驶舱!$B$3+14),"是","否"))</f>
        <v>否</v>
      </c>
      <c r="B7" s="6" t="str">
        <f>项目总控台账!A6</f>
        <v>T003</v>
      </c>
      <c r="C7" s="6" t="str">
        <f>IF(AND(项目总控台账!E6&lt;&gt;"",项目总控台账!E6&lt;&gt;"/"),项目总控台账!E6,IF(AND(项目总控台账!D6&lt;&gt;"",项目总控台账!D6&lt;&gt;"/"),项目总控台账!D6,项目总控台账!C6))</f>
        <v>删除车辆信息</v>
      </c>
      <c r="D7" s="6" t="str">
        <f>项目总控台账!F6</f>
        <v>第一批次</v>
      </c>
      <c r="E7" s="6" t="str">
        <f>项目总控台账!G6</f>
        <v>已完成</v>
      </c>
      <c r="F7" s="6" t="str">
        <f>项目总控台账!H6</f>
        <v>郑士旺</v>
      </c>
      <c r="G7" s="16">
        <f>项目总控台账!J6</f>
        <v>46234</v>
      </c>
      <c r="H7" s="6">
        <f>IF(G7="","",G7-项目驾驶舱!$B$3)</f>
        <v>-34</v>
      </c>
      <c r="I7" s="6" t="str">
        <f>项目总控台账!AC6</f>
        <v>正常</v>
      </c>
      <c r="J7" s="6" t="str">
        <f>项目总控台账!AD6</f>
        <v>69</v>
      </c>
      <c r="K7" s="6" t="str">
        <f t="shared" si="0"/>
        <v/>
      </c>
      <c r="L7" s="9"/>
      <c r="M7" s="8"/>
    </row>
    <row r="8" spans="1:13">
      <c r="A8" s="6" t="str">
        <f>IF(B8="","",IF(AND(E8&lt;&gt;"已完成",ISNUMBER(G8),G8&lt;=项目驾驶舱!$B$3+14),"是","否"))</f>
        <v>否</v>
      </c>
      <c r="B8" s="6" t="str">
        <f>项目总控台账!A7</f>
        <v>T004</v>
      </c>
      <c r="C8" s="6" t="str">
        <f>IF(AND(项目总控台账!E7&lt;&gt;"",项目总控台账!E7&lt;&gt;"/"),项目总控台账!E7,IF(AND(项目总控台账!D7&lt;&gt;"",项目总控台账!D7&lt;&gt;"/"),项目总控台账!D7,项目总控台账!C7))</f>
        <v>查询展示车辆信息</v>
      </c>
      <c r="D8" s="6" t="str">
        <f>项目总控台账!F7</f>
        <v>第一批次</v>
      </c>
      <c r="E8" s="6" t="str">
        <f>项目总控台账!G7</f>
        <v>已完成</v>
      </c>
      <c r="F8" s="6" t="str">
        <f>项目总控台账!H7</f>
        <v>郑士旺</v>
      </c>
      <c r="G8" s="16">
        <f>项目总控台账!J7</f>
        <v>46234</v>
      </c>
      <c r="H8" s="6">
        <f>IF(G8="","",G8-项目驾驶舱!$B$3)</f>
        <v>-34</v>
      </c>
      <c r="I8" s="6" t="str">
        <f>项目总控台账!AC7</f>
        <v>正常</v>
      </c>
      <c r="J8" s="6" t="str">
        <f>项目总控台账!AD7</f>
        <v>69</v>
      </c>
      <c r="K8" s="6" t="str">
        <f t="shared" si="0"/>
        <v/>
      </c>
      <c r="L8" s="9"/>
      <c r="M8" s="8"/>
    </row>
    <row r="9" spans="1:13">
      <c r="A9" s="6" t="str">
        <f>IF(B9="","",IF(AND(E9&lt;&gt;"已完成",ISNUMBER(G9),G9&lt;=项目驾驶舱!$B$3+14),"是","否"))</f>
        <v>否</v>
      </c>
      <c r="B9" s="6" t="str">
        <f>项目总控台账!A8</f>
        <v>T005</v>
      </c>
      <c r="C9" s="6" t="str">
        <f>IF(AND(项目总控台账!E8&lt;&gt;"",项目总控台账!E8&lt;&gt;"/"),项目总控台账!E8,IF(AND(项目总控台账!D8&lt;&gt;"",项目总控台账!D8&lt;&gt;"/"),项目总控台账!D8,项目总控台账!C8))</f>
        <v>船舶唯一性校验</v>
      </c>
      <c r="D9" s="6" t="str">
        <f>项目总控台账!F8</f>
        <v>第二批次</v>
      </c>
      <c r="E9" s="6" t="str">
        <f>项目总控台账!G8</f>
        <v>已完成</v>
      </c>
      <c r="F9" s="6" t="str">
        <f>项目总控台账!H8</f>
        <v>郑士旺</v>
      </c>
      <c r="G9" s="16">
        <f>项目总控台账!J8</f>
        <v>46353</v>
      </c>
      <c r="H9" s="6">
        <f>IF(G9="","",G9-项目驾驶舱!$B$3)</f>
        <v>85</v>
      </c>
      <c r="I9" s="6" t="str">
        <f>项目总控台账!AC8</f>
        <v>正常</v>
      </c>
      <c r="J9" s="6" t="str">
        <f>项目总控台账!AD8</f>
        <v>69</v>
      </c>
      <c r="K9" s="6" t="str">
        <f t="shared" si="0"/>
        <v/>
      </c>
      <c r="L9" s="9"/>
      <c r="M9" s="8"/>
    </row>
    <row r="10" spans="1:13">
      <c r="A10" s="6" t="str">
        <f>IF(B10="","",IF(AND(E10&lt;&gt;"已完成",ISNUMBER(G10),G10&lt;=项目驾驶舱!$B$3+14),"是","否"))</f>
        <v>否</v>
      </c>
      <c r="B10" s="6" t="str">
        <f>项目总控台账!A9</f>
        <v>T006</v>
      </c>
      <c r="C10" s="6" t="str">
        <f>IF(AND(项目总控台账!E9&lt;&gt;"",项目总控台账!E9&lt;&gt;"/"),项目总控台账!E9,IF(AND(项目总控台账!D9&lt;&gt;"",项目总控台账!D9&lt;&gt;"/"),项目总控台账!D9,项目总控台账!C9))</f>
        <v>优化收费标准（装卸费）新增</v>
      </c>
      <c r="D10" s="6" t="str">
        <f>项目总控台账!F9</f>
        <v>第一批次</v>
      </c>
      <c r="E10" s="6" t="str">
        <f>项目总控台账!G9</f>
        <v>已完成</v>
      </c>
      <c r="F10" s="6" t="str">
        <f>项目总控台账!H9</f>
        <v>郑士旺</v>
      </c>
      <c r="G10" s="16">
        <f>项目总控台账!J9</f>
        <v>46224</v>
      </c>
      <c r="H10" s="6">
        <f>IF(G10="","",G10-项目驾驶舱!$B$3)</f>
        <v>-44</v>
      </c>
      <c r="I10" s="6" t="str">
        <f>项目总控台账!AC9</f>
        <v>正常</v>
      </c>
      <c r="J10" s="6" t="str">
        <f>项目总控台账!AD9</f>
        <v>69</v>
      </c>
      <c r="K10" s="6" t="str">
        <f t="shared" si="0"/>
        <v/>
      </c>
      <c r="L10" s="9"/>
      <c r="M10" s="8"/>
    </row>
    <row r="11" spans="1:13">
      <c r="A11" s="6" t="str">
        <f>IF(B11="","",IF(AND(E11&lt;&gt;"已完成",ISNUMBER(G11),G11&lt;=项目驾驶舱!$B$3+14),"是","否"))</f>
        <v>否</v>
      </c>
      <c r="B11" s="6" t="str">
        <f>项目总控台账!A10</f>
        <v>T007</v>
      </c>
      <c r="C11" s="6" t="str">
        <f>IF(AND(项目总控台账!E10&lt;&gt;"",项目总控台账!E10&lt;&gt;"/"),项目总控台账!E10,IF(AND(项目总控台账!D10&lt;&gt;"",项目总控台账!D10&lt;&gt;"/"),项目总控台账!D10,项目总控台账!C10))</f>
        <v>优化收费标准（装卸费）编辑</v>
      </c>
      <c r="D11" s="6" t="str">
        <f>项目总控台账!F10</f>
        <v>第一批次</v>
      </c>
      <c r="E11" s="6" t="str">
        <f>项目总控台账!G10</f>
        <v>已完成</v>
      </c>
      <c r="F11" s="6" t="str">
        <f>项目总控台账!H10</f>
        <v>郑士旺</v>
      </c>
      <c r="G11" s="16">
        <f>项目总控台账!J10</f>
        <v>46224</v>
      </c>
      <c r="H11" s="6">
        <f>IF(G11="","",G11-项目驾驶舱!$B$3)</f>
        <v>-44</v>
      </c>
      <c r="I11" s="6" t="str">
        <f>项目总控台账!AC10</f>
        <v>正常</v>
      </c>
      <c r="J11" s="6" t="str">
        <f>项目总控台账!AD10</f>
        <v>69</v>
      </c>
      <c r="K11" s="6" t="str">
        <f t="shared" si="0"/>
        <v/>
      </c>
      <c r="L11" s="9"/>
      <c r="M11" s="8"/>
    </row>
    <row r="12" spans="1:13">
      <c r="A12" s="6" t="str">
        <f>IF(B12="","",IF(AND(E12&lt;&gt;"已完成",ISNUMBER(G12),G12&lt;=项目驾驶舱!$B$3+14),"是","否"))</f>
        <v>否</v>
      </c>
      <c r="B12" s="6" t="str">
        <f>项目总控台账!A11</f>
        <v>T008</v>
      </c>
      <c r="C12" s="6" t="str">
        <f>IF(AND(项目总控台账!E11&lt;&gt;"",项目总控台账!E11&lt;&gt;"/"),项目总控台账!E11,IF(AND(项目总控台账!D11&lt;&gt;"",项目总控台账!D11&lt;&gt;"/"),项目总控台账!D11,项目总控台账!C11))</f>
        <v>优化收费标准（装卸费）详情</v>
      </c>
      <c r="D12" s="6" t="str">
        <f>项目总控台账!F11</f>
        <v>第一批次</v>
      </c>
      <c r="E12" s="6" t="str">
        <f>项目总控台账!G11</f>
        <v>已完成</v>
      </c>
      <c r="F12" s="6" t="str">
        <f>项目总控台账!H11</f>
        <v>郑士旺</v>
      </c>
      <c r="G12" s="16">
        <f>项目总控台账!J11</f>
        <v>46224</v>
      </c>
      <c r="H12" s="6">
        <f>IF(G12="","",G12-项目驾驶舱!$B$3)</f>
        <v>-44</v>
      </c>
      <c r="I12" s="6" t="str">
        <f>项目总控台账!AC11</f>
        <v>正常</v>
      </c>
      <c r="J12" s="6" t="str">
        <f>项目总控台账!AD11</f>
        <v>69</v>
      </c>
      <c r="K12" s="6" t="str">
        <f t="shared" si="0"/>
        <v/>
      </c>
      <c r="L12" s="9"/>
      <c r="M12" s="8"/>
    </row>
    <row r="13" spans="1:13">
      <c r="A13" s="6" t="str">
        <f>IF(B13="","",IF(AND(E13&lt;&gt;"已完成",ISNUMBER(G13),G13&lt;=项目驾驶舱!$B$3+14),"是","否"))</f>
        <v>否</v>
      </c>
      <c r="B13" s="6" t="str">
        <f>项目总控台账!A12</f>
        <v>T009</v>
      </c>
      <c r="C13" s="6" t="str">
        <f>IF(AND(项目总控台账!E12&lt;&gt;"",项目总控台账!E12&lt;&gt;"/"),项目总控台账!E12,IF(AND(项目总控台账!D12&lt;&gt;"",项目总控台账!D12&lt;&gt;"/"),项目总控台账!D12,项目总控台账!C12))</f>
        <v>优化采样方式新增</v>
      </c>
      <c r="D13" s="6" t="str">
        <f>项目总控台账!F12</f>
        <v>第一批次</v>
      </c>
      <c r="E13" s="6" t="str">
        <f>项目总控台账!G12</f>
        <v>已完成</v>
      </c>
      <c r="F13" s="6" t="str">
        <f>项目总控台账!H12</f>
        <v>郑士旺</v>
      </c>
      <c r="G13" s="16">
        <f>项目总控台账!J12</f>
        <v>46224</v>
      </c>
      <c r="H13" s="6">
        <f>IF(G13="","",G13-项目驾驶舱!$B$3)</f>
        <v>-44</v>
      </c>
      <c r="I13" s="6" t="str">
        <f>项目总控台账!AC12</f>
        <v>正常</v>
      </c>
      <c r="J13" s="6" t="str">
        <f>项目总控台账!AD12</f>
        <v>69</v>
      </c>
      <c r="K13" s="6" t="str">
        <f t="shared" si="0"/>
        <v/>
      </c>
      <c r="L13" s="9"/>
      <c r="M13" s="8"/>
    </row>
    <row r="14" spans="1:13">
      <c r="A14" s="6" t="str">
        <f>IF(B14="","",IF(AND(E14&lt;&gt;"已完成",ISNUMBER(G14),G14&lt;=项目驾驶舱!$B$3+14),"是","否"))</f>
        <v>否</v>
      </c>
      <c r="B14" s="6" t="str">
        <f>项目总控台账!A13</f>
        <v>T010</v>
      </c>
      <c r="C14" s="6" t="str">
        <f>IF(AND(项目总控台账!E13&lt;&gt;"",项目总控台账!E13&lt;&gt;"/"),项目总控台账!E13,IF(AND(项目总控台账!D13&lt;&gt;"",项目总控台账!D13&lt;&gt;"/"),项目总控台账!D13,项目总控台账!C13))</f>
        <v>优化采样方式编辑</v>
      </c>
      <c r="D14" s="6" t="str">
        <f>项目总控台账!F13</f>
        <v>第一批次</v>
      </c>
      <c r="E14" s="6" t="str">
        <f>项目总控台账!G13</f>
        <v>已完成</v>
      </c>
      <c r="F14" s="6" t="str">
        <f>项目总控台账!H13</f>
        <v>郑士旺</v>
      </c>
      <c r="G14" s="16">
        <f>项目总控台账!J13</f>
        <v>46224</v>
      </c>
      <c r="H14" s="6">
        <f>IF(G14="","",G14-项目驾驶舱!$B$3)</f>
        <v>-44</v>
      </c>
      <c r="I14" s="6" t="str">
        <f>项目总控台账!AC13</f>
        <v>正常</v>
      </c>
      <c r="J14" s="6" t="str">
        <f>项目总控台账!AD13</f>
        <v>69</v>
      </c>
      <c r="K14" s="6" t="str">
        <f t="shared" si="0"/>
        <v/>
      </c>
      <c r="L14" s="9"/>
      <c r="M14" s="8"/>
    </row>
    <row r="15" spans="1:13">
      <c r="A15" s="6" t="str">
        <f>IF(B15="","",IF(AND(E15&lt;&gt;"已完成",ISNUMBER(G15),G15&lt;=项目驾驶舱!$B$3+14),"是","否"))</f>
        <v>否</v>
      </c>
      <c r="B15" s="6" t="str">
        <f>项目总控台账!A14</f>
        <v>T011</v>
      </c>
      <c r="C15" s="6" t="str">
        <f>IF(AND(项目总控台账!E14&lt;&gt;"",项目总控台账!E14&lt;&gt;"/"),项目总控台账!E14,IF(AND(项目总控台账!D14&lt;&gt;"",项目总控台账!D14&lt;&gt;"/"),项目总控台账!D14,项目总控台账!C14))</f>
        <v>获取报单数据及展示</v>
      </c>
      <c r="D15" s="6" t="str">
        <f>项目总控台账!F14</f>
        <v>第一批次</v>
      </c>
      <c r="E15" s="6" t="str">
        <f>项目总控台账!G14</f>
        <v>已完成</v>
      </c>
      <c r="F15" s="6" t="str">
        <f>项目总控台账!H14</f>
        <v>郑士旺</v>
      </c>
      <c r="G15" s="16">
        <f>项目总控台账!J14</f>
        <v>46224</v>
      </c>
      <c r="H15" s="6">
        <f>IF(G15="","",G15-项目驾驶舱!$B$3)</f>
        <v>-44</v>
      </c>
      <c r="I15" s="6" t="str">
        <f>项目总控台账!AC14</f>
        <v>正常</v>
      </c>
      <c r="J15" s="6" t="str">
        <f>项目总控台账!AD14</f>
        <v>69</v>
      </c>
      <c r="K15" s="6" t="str">
        <f t="shared" si="0"/>
        <v/>
      </c>
      <c r="L15" s="9"/>
      <c r="M15" s="8"/>
    </row>
    <row r="16" spans="1:13">
      <c r="A16" s="6" t="str">
        <f>IF(B16="","",IF(AND(E16&lt;&gt;"已完成",ISNUMBER(G16),G16&lt;=项目驾驶舱!$B$3+14),"是","否"))</f>
        <v>否</v>
      </c>
      <c r="B16" s="6" t="str">
        <f>项目总控台账!A15</f>
        <v>T012</v>
      </c>
      <c r="C16" s="6" t="str">
        <f>IF(AND(项目总控台账!E15&lt;&gt;"",项目总控台账!E15&lt;&gt;"/"),项目总控台账!E15,IF(AND(项目总控台账!D15&lt;&gt;"",项目总控台账!D15&lt;&gt;"/"),项目总控台账!D15,项目总控台账!C15))</f>
        <v>应单入口</v>
      </c>
      <c r="D16" s="6" t="str">
        <f>项目总控台账!F15</f>
        <v>第一批次</v>
      </c>
      <c r="E16" s="6" t="str">
        <f>项目总控台账!G15</f>
        <v>已完成</v>
      </c>
      <c r="F16" s="6" t="str">
        <f>项目总控台账!H15</f>
        <v>郑士旺</v>
      </c>
      <c r="G16" s="16">
        <f>项目总控台账!J15</f>
        <v>46224</v>
      </c>
      <c r="H16" s="6">
        <f>IF(G16="","",G16-项目驾驶舱!$B$3)</f>
        <v>-44</v>
      </c>
      <c r="I16" s="6" t="str">
        <f>项目总控台账!AC15</f>
        <v>正常</v>
      </c>
      <c r="J16" s="6" t="str">
        <f>项目总控台账!AD15</f>
        <v>69</v>
      </c>
      <c r="K16" s="6" t="str">
        <f t="shared" si="0"/>
        <v/>
      </c>
      <c r="L16" s="9"/>
      <c r="M16" s="8"/>
    </row>
    <row r="17" spans="1:13">
      <c r="A17" s="6" t="str">
        <f>IF(B17="","",IF(AND(E17&lt;&gt;"已完成",ISNUMBER(G17),G17&lt;=项目驾驶舱!$B$3+14),"是","否"))</f>
        <v>否</v>
      </c>
      <c r="B17" s="6" t="str">
        <f>项目总控台账!A16</f>
        <v>T013</v>
      </c>
      <c r="C17" s="6" t="str">
        <f>IF(AND(项目总控台账!E16&lt;&gt;"",项目总控台账!E16&lt;&gt;"/"),项目总控台账!E16,IF(AND(项目总控台账!D16&lt;&gt;"",项目总控台账!D16&lt;&gt;"/"),项目总控台账!D16,项目总控台账!C16))</f>
        <v>新增结算条款</v>
      </c>
      <c r="D17" s="6" t="str">
        <f>项目总控台账!F16</f>
        <v>第二批次</v>
      </c>
      <c r="E17" s="6" t="str">
        <f>项目总控台账!G16</f>
        <v>未开始</v>
      </c>
      <c r="F17" s="6" t="str">
        <f>项目总控台账!H16</f>
        <v>郑士旺</v>
      </c>
      <c r="G17" s="16">
        <f>项目总控台账!J16</f>
        <v>46318</v>
      </c>
      <c r="H17" s="6">
        <f>IF(G17="","",G17-项目驾驶舱!$B$3)</f>
        <v>50</v>
      </c>
      <c r="I17" s="6" t="str">
        <f>项目总控台账!AC16</f>
        <v>正常</v>
      </c>
      <c r="J17" s="6" t="str">
        <f>项目总控台账!AD16</f>
        <v>69</v>
      </c>
      <c r="K17" s="6" t="str">
        <f t="shared" si="0"/>
        <v/>
      </c>
      <c r="L17" s="9"/>
      <c r="M17" s="8"/>
    </row>
    <row r="18" spans="1:13">
      <c r="A18" s="6" t="str">
        <f>IF(B18="","",IF(AND(E18&lt;&gt;"已完成",ISNUMBER(G18),G18&lt;=项目驾驶舱!$B$3+14),"是","否"))</f>
        <v>否</v>
      </c>
      <c r="B18" s="6" t="str">
        <f>项目总控台账!A17</f>
        <v>T014</v>
      </c>
      <c r="C18" s="6" t="str">
        <f>IF(AND(项目总控台账!E17&lt;&gt;"",项目总控台账!E17&lt;&gt;"/"),项目总控台账!E17,IF(AND(项目总控台账!D17&lt;&gt;"",项目总控台账!D17&lt;&gt;"/"),项目总控台账!D17,项目总控台账!C17))</f>
        <v>结算条款审批</v>
      </c>
      <c r="D18" s="6" t="str">
        <f>项目总控台账!F17</f>
        <v>第二批次</v>
      </c>
      <c r="E18" s="6" t="str">
        <f>项目总控台账!G17</f>
        <v>未开始</v>
      </c>
      <c r="F18" s="6" t="str">
        <f>项目总控台账!H17</f>
        <v>郑士旺</v>
      </c>
      <c r="G18" s="16">
        <f>项目总控台账!J17</f>
        <v>46318</v>
      </c>
      <c r="H18" s="6">
        <f>IF(G18="","",G18-项目驾驶舱!$B$3)</f>
        <v>50</v>
      </c>
      <c r="I18" s="6" t="str">
        <f>项目总控台账!AC17</f>
        <v>正常</v>
      </c>
      <c r="J18" s="6" t="str">
        <f>项目总控台账!AD17</f>
        <v>69</v>
      </c>
      <c r="K18" s="6" t="str">
        <f t="shared" si="0"/>
        <v/>
      </c>
      <c r="L18" s="9"/>
      <c r="M18" s="8"/>
    </row>
    <row r="19" spans="1:13">
      <c r="A19" s="6" t="str">
        <f>IF(B19="","",IF(AND(E19&lt;&gt;"已完成",ISNUMBER(G19),G19&lt;=项目驾驶舱!$B$3+14),"是","否"))</f>
        <v>否</v>
      </c>
      <c r="B19" s="6" t="str">
        <f>项目总控台账!A18</f>
        <v>T015</v>
      </c>
      <c r="C19" s="6" t="str">
        <f>IF(AND(项目总控台账!E18&lt;&gt;"",项目总控台账!E18&lt;&gt;"/"),项目总控台账!E18,IF(AND(项目总控台账!D18&lt;&gt;"",项目总控台账!D18&lt;&gt;"/"),项目总控台账!D18,项目总控台账!C18))</f>
        <v>修改结算条款</v>
      </c>
      <c r="D19" s="6" t="str">
        <f>项目总控台账!F18</f>
        <v>第二批次</v>
      </c>
      <c r="E19" s="6" t="str">
        <f>项目总控台账!G18</f>
        <v>未开始</v>
      </c>
      <c r="F19" s="6" t="str">
        <f>项目总控台账!H18</f>
        <v>郑士旺</v>
      </c>
      <c r="G19" s="16">
        <f>项目总控台账!J18</f>
        <v>46318</v>
      </c>
      <c r="H19" s="6">
        <f>IF(G19="","",G19-项目驾驶舱!$B$3)</f>
        <v>50</v>
      </c>
      <c r="I19" s="6" t="str">
        <f>项目总控台账!AC18</f>
        <v>正常</v>
      </c>
      <c r="J19" s="6" t="str">
        <f>项目总控台账!AD18</f>
        <v>69</v>
      </c>
      <c r="K19" s="6" t="str">
        <f t="shared" si="0"/>
        <v/>
      </c>
      <c r="L19" s="9"/>
      <c r="M19" s="8"/>
    </row>
    <row r="20" spans="1:13">
      <c r="A20" s="6" t="str">
        <f>IF(B20="","",IF(AND(E20&lt;&gt;"已完成",ISNUMBER(G20),G20&lt;=项目驾驶舱!$B$3+14),"是","否"))</f>
        <v>否</v>
      </c>
      <c r="B20" s="6" t="str">
        <f>项目总控台账!A19</f>
        <v>T016</v>
      </c>
      <c r="C20" s="6" t="str">
        <f>IF(AND(项目总控台账!E19&lt;&gt;"",项目总控台账!E19&lt;&gt;"/"),项目总控台账!E19,IF(AND(项目总控台账!D19&lt;&gt;"",项目总控台账!D19&lt;&gt;"/"),项目总控台账!D19,项目总控台账!C19))</f>
        <v>删除结算条款</v>
      </c>
      <c r="D20" s="6" t="str">
        <f>项目总控台账!F19</f>
        <v>第二批次</v>
      </c>
      <c r="E20" s="6" t="str">
        <f>项目总控台账!G19</f>
        <v>未开始</v>
      </c>
      <c r="F20" s="6" t="str">
        <f>项目总控台账!H19</f>
        <v>郑士旺</v>
      </c>
      <c r="G20" s="16">
        <f>项目总控台账!J19</f>
        <v>46318</v>
      </c>
      <c r="H20" s="6">
        <f>IF(G20="","",G20-项目驾驶舱!$B$3)</f>
        <v>50</v>
      </c>
      <c r="I20" s="6" t="str">
        <f>项目总控台账!AC19</f>
        <v>正常</v>
      </c>
      <c r="J20" s="6" t="str">
        <f>项目总控台账!AD19</f>
        <v>69</v>
      </c>
      <c r="K20" s="6" t="str">
        <f t="shared" si="0"/>
        <v/>
      </c>
      <c r="L20" s="9"/>
      <c r="M20" s="8"/>
    </row>
    <row r="21" spans="1:13">
      <c r="A21" s="6" t="str">
        <f>IF(B21="","",IF(AND(E21&lt;&gt;"已完成",ISNUMBER(G21),G21&lt;=项目驾驶舱!$B$3+14),"是","否"))</f>
        <v>否</v>
      </c>
      <c r="B21" s="6" t="str">
        <f>项目总控台账!A20</f>
        <v>T017</v>
      </c>
      <c r="C21" s="6" t="str">
        <f>IF(AND(项目总控台账!E20&lt;&gt;"",项目总控台账!E20&lt;&gt;"/"),项目总控台账!E20,IF(AND(项目总控台账!D20&lt;&gt;"",项目总控台账!D20&lt;&gt;"/"),项目总控台账!D20,项目总控台账!C20))</f>
        <v>查询展示结算条款</v>
      </c>
      <c r="D21" s="6" t="str">
        <f>项目总控台账!F20</f>
        <v>第二批次</v>
      </c>
      <c r="E21" s="6" t="str">
        <f>项目总控台账!G20</f>
        <v>未开始</v>
      </c>
      <c r="F21" s="6" t="str">
        <f>项目总控台账!H20</f>
        <v>郑士旺</v>
      </c>
      <c r="G21" s="16">
        <f>项目总控台账!J20</f>
        <v>46318</v>
      </c>
      <c r="H21" s="6">
        <f>IF(G21="","",G21-项目驾驶舱!$B$3)</f>
        <v>50</v>
      </c>
      <c r="I21" s="6" t="str">
        <f>项目总控台账!AC20</f>
        <v>正常</v>
      </c>
      <c r="J21" s="6" t="str">
        <f>项目总控台账!AD20</f>
        <v>69</v>
      </c>
      <c r="K21" s="6" t="str">
        <f t="shared" si="0"/>
        <v/>
      </c>
      <c r="L21" s="9"/>
      <c r="M21" s="8"/>
    </row>
    <row r="22" spans="1:13">
      <c r="A22" s="6" t="str">
        <f>IF(B22="","",IF(AND(E22&lt;&gt;"已完成",ISNUMBER(G22),G22&lt;=项目驾驶舱!$B$3+14),"是","否"))</f>
        <v>否</v>
      </c>
      <c r="B22" s="6" t="str">
        <f>项目总控台账!A21</f>
        <v>T018</v>
      </c>
      <c r="C22" s="6" t="str">
        <f>IF(AND(项目总控台账!E21&lt;&gt;"",项目总控台账!E21&lt;&gt;"/"),项目总控台账!E21,IF(AND(项目总控台账!D21&lt;&gt;"",项目总控台账!D21&lt;&gt;"/"),项目总控台账!D21,项目总控台账!C21))</f>
        <v>结算条款推送法务系统</v>
      </c>
      <c r="D22" s="6" t="str">
        <f>项目总控台账!F21</f>
        <v>第二批次</v>
      </c>
      <c r="E22" s="6" t="str">
        <f>项目总控台账!G21</f>
        <v>未开始</v>
      </c>
      <c r="F22" s="6" t="str">
        <f>项目总控台账!H21</f>
        <v>郑士旺</v>
      </c>
      <c r="G22" s="16">
        <f>项目总控台账!J21</f>
        <v>46318</v>
      </c>
      <c r="H22" s="6">
        <f>IF(G22="","",G22-项目驾驶舱!$B$3)</f>
        <v>50</v>
      </c>
      <c r="I22" s="6" t="str">
        <f>项目总控台账!AC21</f>
        <v>正常</v>
      </c>
      <c r="J22" s="6" t="str">
        <f>项目总控台账!AD21</f>
        <v>69</v>
      </c>
      <c r="K22" s="6" t="str">
        <f t="shared" si="0"/>
        <v/>
      </c>
      <c r="L22" s="9"/>
      <c r="M22" s="8"/>
    </row>
    <row r="23" spans="1:13">
      <c r="A23" s="6" t="str">
        <f>IF(B23="","",IF(AND(E23&lt;&gt;"已完成",ISNUMBER(G23),G23&lt;=项目驾驶舱!$B$3+14),"是","否"))</f>
        <v>否</v>
      </c>
      <c r="B23" s="6" t="str">
        <f>项目总控台账!A22</f>
        <v>T019</v>
      </c>
      <c r="C23" s="6" t="str">
        <f>IF(AND(项目总控台账!E22&lt;&gt;"",项目总控台账!E22&lt;&gt;"/"),项目总控台账!E22,IF(AND(项目总控台账!D22&lt;&gt;"",项目总控台账!D22&lt;&gt;"/"),项目总控台账!D22,项目总控台账!C22))</f>
        <v>对接卸船计划</v>
      </c>
      <c r="D23" s="6" t="str">
        <f>项目总控台账!F22</f>
        <v>第二批次</v>
      </c>
      <c r="E23" s="6" t="str">
        <f>项目总控台账!G22</f>
        <v>进行中</v>
      </c>
      <c r="F23" s="6" t="str">
        <f>项目总控台账!H22</f>
        <v>郑士旺</v>
      </c>
      <c r="G23" s="16">
        <f>项目总控台账!J22</f>
        <v>46353</v>
      </c>
      <c r="H23" s="6">
        <f>IF(G23="","",G23-项目驾驶舱!$B$3)</f>
        <v>85</v>
      </c>
      <c r="I23" s="6" t="str">
        <f>项目总控台账!AC22</f>
        <v>正常</v>
      </c>
      <c r="J23" s="6" t="str">
        <f>项目总控台账!AD22</f>
        <v>69</v>
      </c>
      <c r="K23" s="6" t="str">
        <f t="shared" si="0"/>
        <v/>
      </c>
      <c r="L23" s="9"/>
      <c r="M23" s="8"/>
    </row>
    <row r="24" spans="1:13">
      <c r="A24" s="6" t="str">
        <f>IF(B24="","",IF(AND(E24&lt;&gt;"已完成",ISNUMBER(G24),G24&lt;=项目驾驶舱!$B$3+14),"是","否"))</f>
        <v>否</v>
      </c>
      <c r="B24" s="6" t="str">
        <f>项目总控台账!A23</f>
        <v>T020</v>
      </c>
      <c r="C24" s="6" t="str">
        <f>IF(AND(项目总控台账!E23&lt;&gt;"",项目总控台账!E23&lt;&gt;"/"),项目总控台账!E23,IF(AND(项目总控台账!D23&lt;&gt;"",项目总控台账!D23&lt;&gt;"/"),项目总控台账!D23,项目总控台账!C23))</f>
        <v>查询卸车计划</v>
      </c>
      <c r="D24" s="6" t="str">
        <f>项目总控台账!F23</f>
        <v>第二批次</v>
      </c>
      <c r="E24" s="6" t="str">
        <f>项目总控台账!G23</f>
        <v>进行中</v>
      </c>
      <c r="F24" s="6" t="str">
        <f>项目总控台账!H23</f>
        <v>郑士旺</v>
      </c>
      <c r="G24" s="16">
        <f>项目总控台账!J23</f>
        <v>46353</v>
      </c>
      <c r="H24" s="6">
        <f>IF(G24="","",G24-项目驾驶舱!$B$3)</f>
        <v>85</v>
      </c>
      <c r="I24" s="6" t="str">
        <f>项目总控台账!AC23</f>
        <v>正常</v>
      </c>
      <c r="J24" s="6" t="str">
        <f>项目总控台账!AD23</f>
        <v>69</v>
      </c>
      <c r="K24" s="6" t="str">
        <f t="shared" si="0"/>
        <v/>
      </c>
      <c r="L24" s="9"/>
      <c r="M24" s="8"/>
    </row>
    <row r="25" spans="1:13">
      <c r="A25" s="6" t="str">
        <f>IF(B25="","",IF(AND(E25&lt;&gt;"已完成",ISNUMBER(G25),G25&lt;=项目驾驶舱!$B$3+14),"是","否"))</f>
        <v>否</v>
      </c>
      <c r="B25" s="6" t="str">
        <f>项目总控台账!A24</f>
        <v>T021</v>
      </c>
      <c r="C25" s="6" t="str">
        <f>IF(AND(项目总控台账!E24&lt;&gt;"",项目总控台账!E24&lt;&gt;"/"),项目总控台账!E24,IF(AND(项目总控台账!D24&lt;&gt;"",项目总控台账!D24&lt;&gt;"/"),项目总控台账!D24,项目总控台账!C24))</f>
        <v>外部客户确认</v>
      </c>
      <c r="D25" s="6" t="str">
        <f>项目总控台账!F24</f>
        <v>第二批次</v>
      </c>
      <c r="E25" s="6" t="str">
        <f>项目总控台账!G24</f>
        <v>进行中</v>
      </c>
      <c r="F25" s="6" t="str">
        <f>项目总控台账!H24</f>
        <v>郑士旺</v>
      </c>
      <c r="G25" s="16">
        <f>项目总控台账!J24</f>
        <v>46353</v>
      </c>
      <c r="H25" s="6">
        <f>IF(G25="","",G25-项目驾驶舱!$B$3)</f>
        <v>85</v>
      </c>
      <c r="I25" s="6" t="str">
        <f>项目总控台账!AC24</f>
        <v>正常</v>
      </c>
      <c r="J25" s="6" t="str">
        <f>项目总控台账!AD24</f>
        <v>69</v>
      </c>
      <c r="K25" s="6" t="str">
        <f t="shared" si="0"/>
        <v/>
      </c>
      <c r="L25" s="9"/>
      <c r="M25" s="8"/>
    </row>
    <row r="26" spans="1:13">
      <c r="A26" s="6" t="str">
        <f>IF(B26="","",IF(AND(E26&lt;&gt;"已完成",ISNUMBER(G26),G26&lt;=项目驾驶舱!$B$3+14),"是","否"))</f>
        <v>否</v>
      </c>
      <c r="B26" s="6" t="str">
        <f>项目总控台账!A25</f>
        <v>T022</v>
      </c>
      <c r="C26" s="6" t="str">
        <f>IF(AND(项目总控台账!E25&lt;&gt;"",项目总控台账!E25&lt;&gt;"/"),项目总控台账!E25,IF(AND(项目总控台账!D25&lt;&gt;"",项目总控台账!D25&lt;&gt;"/"),项目总控台账!D25,项目总控台账!C25))</f>
        <v>对接卸船作业信息</v>
      </c>
      <c r="D26" s="6" t="str">
        <f>项目总控台账!F25</f>
        <v>第二批次</v>
      </c>
      <c r="E26" s="6" t="str">
        <f>项目总控台账!G25</f>
        <v>未开始</v>
      </c>
      <c r="F26" s="6" t="str">
        <f>项目总控台账!H25</f>
        <v>郑士旺</v>
      </c>
      <c r="G26" s="16">
        <f>项目总控台账!J25</f>
        <v>46353</v>
      </c>
      <c r="H26" s="6">
        <f>IF(G26="","",G26-项目驾驶舱!$B$3)</f>
        <v>85</v>
      </c>
      <c r="I26" s="6" t="str">
        <f>项目总控台账!AC25</f>
        <v>正常</v>
      </c>
      <c r="J26" s="6" t="str">
        <f>项目总控台账!AD25</f>
        <v>69</v>
      </c>
      <c r="K26" s="6" t="str">
        <f t="shared" si="0"/>
        <v/>
      </c>
      <c r="L26" s="9"/>
      <c r="M26" s="8"/>
    </row>
    <row r="27" spans="1:13">
      <c r="A27" s="6" t="str">
        <f>IF(B27="","",IF(AND(E27&lt;&gt;"已完成",ISNUMBER(G27),G27&lt;=项目驾驶舱!$B$3+14),"是","否"))</f>
        <v>否</v>
      </c>
      <c r="B27" s="6" t="str">
        <f>项目总控台账!A26</f>
        <v>T023</v>
      </c>
      <c r="C27" s="6" t="str">
        <f>IF(AND(项目总控台账!E26&lt;&gt;"",项目总控台账!E26&lt;&gt;"/"),项目总控台账!E26,IF(AND(项目总控台账!D26&lt;&gt;"",项目总控台账!D26&lt;&gt;"/"),项目总控台账!D26,项目总控台账!C26))</f>
        <v>查询卸船作业信息</v>
      </c>
      <c r="D27" s="6" t="str">
        <f>项目总控台账!F26</f>
        <v>第二批次</v>
      </c>
      <c r="E27" s="6" t="str">
        <f>项目总控台账!G26</f>
        <v>未开始</v>
      </c>
      <c r="F27" s="6" t="str">
        <f>项目总控台账!H26</f>
        <v>郑士旺</v>
      </c>
      <c r="G27" s="16">
        <f>项目总控台账!J26</f>
        <v>46353</v>
      </c>
      <c r="H27" s="6">
        <f>IF(G27="","",G27-项目驾驶舱!$B$3)</f>
        <v>85</v>
      </c>
      <c r="I27" s="6" t="str">
        <f>项目总控台账!AC26</f>
        <v>正常</v>
      </c>
      <c r="J27" s="6" t="str">
        <f>项目总控台账!AD26</f>
        <v>69</v>
      </c>
      <c r="K27" s="6" t="str">
        <f t="shared" si="0"/>
        <v/>
      </c>
      <c r="L27" s="9"/>
      <c r="M27" s="8"/>
    </row>
    <row r="28" spans="1:13">
      <c r="A28" s="6" t="str">
        <f>IF(B28="","",IF(AND(E28&lt;&gt;"已完成",ISNUMBER(G28),G28&lt;=项目驾驶舱!$B$3+14),"是","否"))</f>
        <v>否</v>
      </c>
      <c r="B28" s="6" t="str">
        <f>项目总控台账!A27</f>
        <v>T024</v>
      </c>
      <c r="C28" s="6" t="str">
        <f>IF(AND(项目总控台账!E27&lt;&gt;"",项目总控台账!E27&lt;&gt;"/"),项目总控台账!E27,IF(AND(项目总控台账!D27&lt;&gt;"",项目总控台账!D27&lt;&gt;"/"),项目总控台账!D27,项目总控台账!C27))</f>
        <v>卸船查询列表</v>
      </c>
      <c r="D28" s="6" t="str">
        <f>项目总控台账!F27</f>
        <v>第二批次</v>
      </c>
      <c r="E28" s="6" t="str">
        <f>项目总控台账!G27</f>
        <v>未开始</v>
      </c>
      <c r="F28" s="6" t="str">
        <f>项目总控台账!H27</f>
        <v>郑士旺</v>
      </c>
      <c r="G28" s="16">
        <f>项目总控台账!J27</f>
        <v>46353</v>
      </c>
      <c r="H28" s="6">
        <f>IF(G28="","",G28-项目驾驶舱!$B$3)</f>
        <v>85</v>
      </c>
      <c r="I28" s="6" t="str">
        <f>项目总控台账!AC27</f>
        <v>正常</v>
      </c>
      <c r="J28" s="6" t="str">
        <f>项目总控台账!AD27</f>
        <v>69</v>
      </c>
      <c r="K28" s="6" t="str">
        <f t="shared" si="0"/>
        <v/>
      </c>
      <c r="L28" s="9"/>
      <c r="M28" s="8"/>
    </row>
    <row r="29" spans="1:13">
      <c r="A29" s="6" t="str">
        <f>IF(B29="","",IF(AND(E29&lt;&gt;"已完成",ISNUMBER(G29),G29&lt;=项目驾驶舱!$B$3+14),"是","否"))</f>
        <v>是</v>
      </c>
      <c r="B29" s="6" t="str">
        <f>项目总控台账!A28</f>
        <v>T025</v>
      </c>
      <c r="C29" s="6" t="str">
        <f>IF(AND(项目总控台账!E28&lt;&gt;"",项目总控台账!E28&lt;&gt;"/"),项目总控台账!E28,IF(AND(项目总控台账!D28&lt;&gt;"",项目总控台账!D28&lt;&gt;"/"),项目总控台账!D28,项目总控台账!C28))</f>
        <v>卸船查询详情</v>
      </c>
      <c r="D29" s="6" t="str">
        <f>项目总控台账!F28</f>
        <v>第二批次</v>
      </c>
      <c r="E29" s="6" t="str">
        <f>项目总控台账!G28</f>
        <v>未开始</v>
      </c>
      <c r="F29" s="6" t="str">
        <f>项目总控台账!H28</f>
        <v>郑士旺</v>
      </c>
      <c r="G29" s="16">
        <f>项目总控台账!J28</f>
        <v>46261</v>
      </c>
      <c r="H29" s="6">
        <f>IF(G29="","",G29-项目驾驶舱!$B$3)</f>
        <v>-7</v>
      </c>
      <c r="I29" s="6" t="str">
        <f>项目总控台账!AC28</f>
        <v>已延期</v>
      </c>
      <c r="J29" s="6" t="str">
        <f>项目总控台账!AD28</f>
        <v>69</v>
      </c>
      <c r="K29" s="6" t="str">
        <f t="shared" si="0"/>
        <v>立即确认延期原因、影响及补救计划</v>
      </c>
      <c r="L29" s="9"/>
      <c r="M29" s="8"/>
    </row>
    <row r="30" spans="1:13">
      <c r="A30" s="6" t="str">
        <f>IF(B30="","",IF(AND(E30&lt;&gt;"已完成",ISNUMBER(G30),G30&lt;=项目驾驶舱!$B$3+14),"是","否"))</f>
        <v>是</v>
      </c>
      <c r="B30" s="6" t="str">
        <f>项目总控台账!A29</f>
        <v>T026</v>
      </c>
      <c r="C30" s="6" t="str">
        <f>IF(AND(项目总控台账!E29&lt;&gt;"",项目总控台账!E29&lt;&gt;"/"),项目总控台账!E29,IF(AND(项目总控台账!D29&lt;&gt;"",项目总控台账!D29&lt;&gt;"/"),项目总控台账!D29,项目总控台账!C29))</f>
        <v>创建卸船作业委托信息</v>
      </c>
      <c r="D30" s="6" t="str">
        <f>项目总控台账!F29</f>
        <v>第二批次</v>
      </c>
      <c r="E30" s="6" t="str">
        <f>项目总控台账!G29</f>
        <v>进行中</v>
      </c>
      <c r="F30" s="6" t="str">
        <f>项目总控台账!H29</f>
        <v>郑士旺</v>
      </c>
      <c r="G30" s="16">
        <f>项目总控台账!J29</f>
        <v>46261</v>
      </c>
      <c r="H30" s="6">
        <f>IF(G30="","",G30-项目驾驶舱!$B$3)</f>
        <v>-7</v>
      </c>
      <c r="I30" s="6" t="str">
        <f>项目总控台账!AC29</f>
        <v>已延期</v>
      </c>
      <c r="J30" s="6" t="str">
        <f>项目总控台账!AD29</f>
        <v>69</v>
      </c>
      <c r="K30" s="6" t="str">
        <f t="shared" si="0"/>
        <v>立即确认延期原因、影响及补救计划</v>
      </c>
      <c r="L30" s="9"/>
      <c r="M30" s="8"/>
    </row>
    <row r="31" spans="1:13">
      <c r="A31" s="6" t="str">
        <f>IF(B31="","",IF(AND(E31&lt;&gt;"已完成",ISNUMBER(G31),G31&lt;=项目驾驶舱!$B$3+14),"是","否"))</f>
        <v>是</v>
      </c>
      <c r="B31" s="6" t="str">
        <f>项目总控台账!A30</f>
        <v>T027</v>
      </c>
      <c r="C31" s="6" t="str">
        <f>IF(AND(项目总控台账!E30&lt;&gt;"",项目总控台账!E30&lt;&gt;"/"),项目总控台账!E30,IF(AND(项目总控台账!D30&lt;&gt;"",项目总控台账!D30&lt;&gt;"/"),项目总控台账!D30,项目总控台账!C30))</f>
        <v>修改卸船作业委托信息</v>
      </c>
      <c r="D31" s="6" t="str">
        <f>项目总控台账!F30</f>
        <v>第二批次</v>
      </c>
      <c r="E31" s="6" t="str">
        <f>项目总控台账!G30</f>
        <v>进行中</v>
      </c>
      <c r="F31" s="6" t="str">
        <f>项目总控台账!H30</f>
        <v>郑士旺</v>
      </c>
      <c r="G31" s="16">
        <f>项目总控台账!J30</f>
        <v>46261</v>
      </c>
      <c r="H31" s="6">
        <f>IF(G31="","",G31-项目驾驶舱!$B$3)</f>
        <v>-7</v>
      </c>
      <c r="I31" s="6" t="str">
        <f>项目总控台账!AC30</f>
        <v>已延期</v>
      </c>
      <c r="J31" s="6" t="str">
        <f>项目总控台账!AD30</f>
        <v>69</v>
      </c>
      <c r="K31" s="6" t="str">
        <f t="shared" si="0"/>
        <v>立即确认延期原因、影响及补救计划</v>
      </c>
      <c r="L31" s="9"/>
      <c r="M31" s="8"/>
    </row>
    <row r="32" spans="1:13">
      <c r="A32" s="6" t="str">
        <f>IF(B32="","",IF(AND(E32&lt;&gt;"已完成",ISNUMBER(G32),G32&lt;=项目驾驶舱!$B$3+14),"是","否"))</f>
        <v>是</v>
      </c>
      <c r="B32" s="6" t="str">
        <f>项目总控台账!A31</f>
        <v>T028</v>
      </c>
      <c r="C32" s="6" t="str">
        <f>IF(AND(项目总控台账!E31&lt;&gt;"",项目总控台账!E31&lt;&gt;"/"),项目总控台账!E31,IF(AND(项目总控台账!D31&lt;&gt;"",项目总控台账!D31&lt;&gt;"/"),项目总控台账!D31,项目总控台账!C31))</f>
        <v>作废卸船作业委托信息</v>
      </c>
      <c r="D32" s="6" t="str">
        <f>项目总控台账!F31</f>
        <v>第二批次</v>
      </c>
      <c r="E32" s="6" t="str">
        <f>项目总控台账!G31</f>
        <v>进行中</v>
      </c>
      <c r="F32" s="6" t="str">
        <f>项目总控台账!H31</f>
        <v>郑士旺</v>
      </c>
      <c r="G32" s="16">
        <f>项目总控台账!J31</f>
        <v>46261</v>
      </c>
      <c r="H32" s="6">
        <f>IF(G32="","",G32-项目驾驶舱!$B$3)</f>
        <v>-7</v>
      </c>
      <c r="I32" s="6" t="str">
        <f>项目总控台账!AC31</f>
        <v>已延期</v>
      </c>
      <c r="J32" s="6" t="str">
        <f>项目总控台账!AD31</f>
        <v>69</v>
      </c>
      <c r="K32" s="6" t="str">
        <f t="shared" si="0"/>
        <v>立即确认延期原因、影响及补救计划</v>
      </c>
      <c r="L32" s="9"/>
      <c r="M32" s="8"/>
    </row>
    <row r="33" spans="1:13">
      <c r="A33" s="6" t="str">
        <f>IF(B33="","",IF(AND(E33&lt;&gt;"已完成",ISNUMBER(G33),G33&lt;=项目驾驶舱!$B$3+14),"是","否"))</f>
        <v>是</v>
      </c>
      <c r="B33" s="6" t="str">
        <f>项目总控台账!A32</f>
        <v>T029</v>
      </c>
      <c r="C33" s="6" t="str">
        <f>IF(AND(项目总控台账!E32&lt;&gt;"",项目总控台账!E32&lt;&gt;"/"),项目总控台账!E32,IF(AND(项目总控台账!D32&lt;&gt;"",项目总控台账!D32&lt;&gt;"/"),项目总控台账!D32,项目总控台账!C32))</f>
        <v>推送卸船作业委托信息</v>
      </c>
      <c r="D33" s="6" t="str">
        <f>项目总控台账!F32</f>
        <v>第二批次</v>
      </c>
      <c r="E33" s="6" t="str">
        <f>项目总控台账!G32</f>
        <v>进行中</v>
      </c>
      <c r="F33" s="6" t="str">
        <f>项目总控台账!H32</f>
        <v>郑士旺</v>
      </c>
      <c r="G33" s="16">
        <f>项目总控台账!J32</f>
        <v>46261</v>
      </c>
      <c r="H33" s="6">
        <f>IF(G33="","",G33-项目驾驶舱!$B$3)</f>
        <v>-7</v>
      </c>
      <c r="I33" s="6" t="str">
        <f>项目总控台账!AC32</f>
        <v>已延期</v>
      </c>
      <c r="J33" s="6" t="str">
        <f>项目总控台账!AD32</f>
        <v>69</v>
      </c>
      <c r="K33" s="6" t="str">
        <f t="shared" si="0"/>
        <v>立即确认延期原因、影响及补救计划</v>
      </c>
      <c r="L33" s="9"/>
      <c r="M33" s="8"/>
    </row>
    <row r="34" spans="1:13">
      <c r="A34" s="6" t="str">
        <f>IF(B34="","",IF(AND(E34&lt;&gt;"已完成",ISNUMBER(G34),G34&lt;=项目驾驶舱!$B$3+14),"是","否"))</f>
        <v>是</v>
      </c>
      <c r="B34" s="6" t="str">
        <f>项目总控台账!A33</f>
        <v>T030</v>
      </c>
      <c r="C34" s="6" t="str">
        <f>IF(AND(项目总控台账!E33&lt;&gt;"",项目总控台账!E33&lt;&gt;"/"),项目总控台账!E33,IF(AND(项目总控台账!D33&lt;&gt;"",项目总控台账!D33&lt;&gt;"/"),项目总控台账!D33,项目总控台账!C33))</f>
        <v>查询卸船作业委托信息</v>
      </c>
      <c r="D34" s="6" t="str">
        <f>项目总控台账!F33</f>
        <v>第二批次</v>
      </c>
      <c r="E34" s="6" t="str">
        <f>项目总控台账!G33</f>
        <v>进行中</v>
      </c>
      <c r="F34" s="6" t="str">
        <f>项目总控台账!H33</f>
        <v>郑士旺</v>
      </c>
      <c r="G34" s="16">
        <f>项目总控台账!J33</f>
        <v>46261</v>
      </c>
      <c r="H34" s="6">
        <f>IF(G34="","",G34-项目驾驶舱!$B$3)</f>
        <v>-7</v>
      </c>
      <c r="I34" s="6" t="str">
        <f>项目总控台账!AC33</f>
        <v>已延期</v>
      </c>
      <c r="J34" s="6" t="str">
        <f>项目总控台账!AD33</f>
        <v>69</v>
      </c>
      <c r="K34" s="6" t="str">
        <f t="shared" si="0"/>
        <v>立即确认延期原因、影响及补救计划</v>
      </c>
      <c r="L34" s="9"/>
      <c r="M34" s="8"/>
    </row>
    <row r="35" spans="1:13">
      <c r="A35" s="6" t="str">
        <f>IF(B35="","",IF(AND(E35&lt;&gt;"已完成",ISNUMBER(G35),G35&lt;=项目驾驶舱!$B$3+14),"是","否"))</f>
        <v>否</v>
      </c>
      <c r="B35" s="6" t="str">
        <f>项目总控台账!A34</f>
        <v>T031</v>
      </c>
      <c r="C35" s="6" t="str">
        <f>IF(AND(项目总控台账!E34&lt;&gt;"",项目总控台账!E34&lt;&gt;"/"),项目总控台账!E34,IF(AND(项目总控台账!D34&lt;&gt;"",项目总控台账!D34&lt;&gt;"/"),项目总控台账!D34,项目总控台账!C34))</f>
        <v>创建外轮转内贸业务信息</v>
      </c>
      <c r="D35" s="6" t="str">
        <f>项目总控台账!F34</f>
        <v>第二批次</v>
      </c>
      <c r="E35" s="6" t="str">
        <f>项目总控台账!G34</f>
        <v>未开始</v>
      </c>
      <c r="F35" s="6" t="str">
        <f>项目总控台账!H34</f>
        <v>郑士旺</v>
      </c>
      <c r="G35" s="16">
        <f>项目总控台账!J34</f>
        <v>46353</v>
      </c>
      <c r="H35" s="6">
        <f>IF(G35="","",G35-项目驾驶舱!$B$3)</f>
        <v>85</v>
      </c>
      <c r="I35" s="6" t="str">
        <f>项目总控台账!AC34</f>
        <v>正常</v>
      </c>
      <c r="J35" s="6" t="str">
        <f>项目总控台账!AD34</f>
        <v>69</v>
      </c>
      <c r="K35" s="6" t="str">
        <f t="shared" si="0"/>
        <v/>
      </c>
      <c r="L35" s="9"/>
      <c r="M35" s="8"/>
    </row>
    <row r="36" spans="1:13">
      <c r="A36" s="6" t="str">
        <f>IF(B36="","",IF(AND(E36&lt;&gt;"已完成",ISNUMBER(G36),G36&lt;=项目驾驶舱!$B$3+14),"是","否"))</f>
        <v>否</v>
      </c>
      <c r="B36" s="6" t="str">
        <f>项目总控台账!A35</f>
        <v>T032</v>
      </c>
      <c r="C36" s="6" t="str">
        <f>IF(AND(项目总控台账!E35&lt;&gt;"",项目总控台账!E35&lt;&gt;"/"),项目总控台账!E35,IF(AND(项目总控台账!D35&lt;&gt;"",项目总控台账!D35&lt;&gt;"/"),项目总控台账!D35,项目总控台账!C35))</f>
        <v>作废外轮转内贸业务信息</v>
      </c>
      <c r="D36" s="6" t="str">
        <f>项目总控台账!F35</f>
        <v>第二批次</v>
      </c>
      <c r="E36" s="6" t="str">
        <f>项目总控台账!G35</f>
        <v>未开始</v>
      </c>
      <c r="F36" s="6" t="str">
        <f>项目总控台账!H35</f>
        <v>郑士旺</v>
      </c>
      <c r="G36" s="16">
        <f>项目总控台账!J35</f>
        <v>46353</v>
      </c>
      <c r="H36" s="6">
        <f>IF(G36="","",G36-项目驾驶舱!$B$3)</f>
        <v>85</v>
      </c>
      <c r="I36" s="6" t="str">
        <f>项目总控台账!AC35</f>
        <v>正常</v>
      </c>
      <c r="J36" s="6" t="str">
        <f>项目总控台账!AD35</f>
        <v>69</v>
      </c>
      <c r="K36" s="6" t="str">
        <f t="shared" si="0"/>
        <v/>
      </c>
      <c r="L36" s="9"/>
      <c r="M36" s="8"/>
    </row>
    <row r="37" spans="1:13">
      <c r="A37" s="6" t="str">
        <f>IF(B37="","",IF(AND(E37&lt;&gt;"已完成",ISNUMBER(G37),G37&lt;=项目驾驶舱!$B$3+14),"是","否"))</f>
        <v>否</v>
      </c>
      <c r="B37" s="6" t="str">
        <f>项目总控台账!A36</f>
        <v>T033</v>
      </c>
      <c r="C37" s="6" t="str">
        <f>IF(AND(项目总控台账!E36&lt;&gt;"",项目总控台账!E36&lt;&gt;"/"),项目总控台账!E36,IF(AND(项目总控台账!D36&lt;&gt;"",项目总控台账!D36&lt;&gt;"/"),项目总控台账!D36,项目总控台账!C36))</f>
        <v>查询外轮转内贸业务信息</v>
      </c>
      <c r="D37" s="6" t="str">
        <f>项目总控台账!F36</f>
        <v>第二批次</v>
      </c>
      <c r="E37" s="6" t="str">
        <f>项目总控台账!G36</f>
        <v>未开始</v>
      </c>
      <c r="F37" s="6" t="str">
        <f>项目总控台账!H36</f>
        <v>郑士旺</v>
      </c>
      <c r="G37" s="16">
        <f>项目总控台账!J36</f>
        <v>46353</v>
      </c>
      <c r="H37" s="6">
        <f>IF(G37="","",G37-项目驾驶舱!$B$3)</f>
        <v>85</v>
      </c>
      <c r="I37" s="6" t="str">
        <f>项目总控台账!AC36</f>
        <v>正常</v>
      </c>
      <c r="J37" s="6" t="str">
        <f>项目总控台账!AD36</f>
        <v>69</v>
      </c>
      <c r="K37" s="6" t="str">
        <f t="shared" si="0"/>
        <v/>
      </c>
      <c r="L37" s="9"/>
      <c r="M37" s="8"/>
    </row>
    <row r="38" spans="1:13">
      <c r="A38" s="6" t="str">
        <f>IF(B38="","",IF(AND(E38&lt;&gt;"已完成",ISNUMBER(G38),G38&lt;=项目驾驶舱!$B$3+14),"是","否"))</f>
        <v>否</v>
      </c>
      <c r="B38" s="6" t="str">
        <f>项目总控台账!A37</f>
        <v>T034</v>
      </c>
      <c r="C38" s="6" t="str">
        <f>IF(AND(项目总控台账!E37&lt;&gt;"",项目总控台账!E37&lt;&gt;"/"),项目总控台账!E37,IF(AND(项目总控台账!D37&lt;&gt;"",项目总控台账!D37&lt;&gt;"/"),项目总控台账!D37,项目总控台账!C37))</f>
        <v>新增船舶靠泊通知单</v>
      </c>
      <c r="D38" s="6" t="str">
        <f>项目总控台账!F37</f>
        <v>第二批次</v>
      </c>
      <c r="E38" s="6" t="str">
        <f>项目总控台账!G37</f>
        <v>进行中</v>
      </c>
      <c r="F38" s="6" t="str">
        <f>项目总控台账!H37</f>
        <v>郑士旺</v>
      </c>
      <c r="G38" s="16">
        <f>项目总控台账!J37</f>
        <v>46353</v>
      </c>
      <c r="H38" s="6">
        <f>IF(G38="","",G38-项目驾驶舱!$B$3)</f>
        <v>85</v>
      </c>
      <c r="I38" s="6" t="str">
        <f>项目总控台账!AC37</f>
        <v>正常</v>
      </c>
      <c r="J38" s="6" t="str">
        <f>项目总控台账!AD37</f>
        <v>69</v>
      </c>
      <c r="K38" s="6" t="str">
        <f t="shared" si="0"/>
        <v/>
      </c>
      <c r="L38" s="9"/>
      <c r="M38" s="8"/>
    </row>
    <row r="39" spans="1:13">
      <c r="A39" s="6" t="str">
        <f>IF(B39="","",IF(AND(E39&lt;&gt;"已完成",ISNUMBER(G39),G39&lt;=项目驾驶舱!$B$3+14),"是","否"))</f>
        <v>否</v>
      </c>
      <c r="B39" s="6" t="str">
        <f>项目总控台账!A38</f>
        <v>T035</v>
      </c>
      <c r="C39" s="6" t="str">
        <f>IF(AND(项目总控台账!E38&lt;&gt;"",项目总控台账!E38&lt;&gt;"/"),项目总控台账!E38,IF(AND(项目总控台账!D38&lt;&gt;"",项目总控台账!D38&lt;&gt;"/"),项目总控台账!D38,项目总控台账!C38))</f>
        <v>审批船舶靠泊通知单</v>
      </c>
      <c r="D39" s="6" t="str">
        <f>项目总控台账!F38</f>
        <v>第二批次</v>
      </c>
      <c r="E39" s="6" t="str">
        <f>项目总控台账!G38</f>
        <v>进行中</v>
      </c>
      <c r="F39" s="6" t="str">
        <f>项目总控台账!H38</f>
        <v>郑士旺</v>
      </c>
      <c r="G39" s="16">
        <f>项目总控台账!J38</f>
        <v>46353</v>
      </c>
      <c r="H39" s="6">
        <f>IF(G39="","",G39-项目驾驶舱!$B$3)</f>
        <v>85</v>
      </c>
      <c r="I39" s="6" t="str">
        <f>项目总控台账!AC38</f>
        <v>正常</v>
      </c>
      <c r="J39" s="6" t="str">
        <f>项目总控台账!AD38</f>
        <v>69</v>
      </c>
      <c r="K39" s="6" t="str">
        <f t="shared" si="0"/>
        <v/>
      </c>
      <c r="L39" s="9"/>
      <c r="M39" s="8"/>
    </row>
    <row r="40" spans="1:13">
      <c r="A40" s="6" t="str">
        <f>IF(B40="","",IF(AND(E40&lt;&gt;"已完成",ISNUMBER(G40),G40&lt;=项目驾驶舱!$B$3+14),"是","否"))</f>
        <v>否</v>
      </c>
      <c r="B40" s="6" t="str">
        <f>项目总控台账!A39</f>
        <v>T036</v>
      </c>
      <c r="C40" s="6" t="str">
        <f>IF(AND(项目总控台账!E39&lt;&gt;"",项目总控台账!E39&lt;&gt;"/"),项目总控台账!E39,IF(AND(项目总控台账!D39&lt;&gt;"",项目总控台账!D39&lt;&gt;"/"),项目总控台账!D39,项目总控台账!C39))</f>
        <v>查询船舶靠泊通知单</v>
      </c>
      <c r="D40" s="6" t="str">
        <f>项目总控台账!F39</f>
        <v>第二批次</v>
      </c>
      <c r="E40" s="6" t="str">
        <f>项目总控台账!G39</f>
        <v>进行中</v>
      </c>
      <c r="F40" s="6" t="str">
        <f>项目总控台账!H39</f>
        <v>郑士旺</v>
      </c>
      <c r="G40" s="16">
        <f>项目总控台账!J39</f>
        <v>46353</v>
      </c>
      <c r="H40" s="6">
        <f>IF(G40="","",G40-项目驾驶舱!$B$3)</f>
        <v>85</v>
      </c>
      <c r="I40" s="6" t="str">
        <f>项目总控台账!AC39</f>
        <v>正常</v>
      </c>
      <c r="J40" s="6" t="str">
        <f>项目总控台账!AD39</f>
        <v>69</v>
      </c>
      <c r="K40" s="6" t="str">
        <f t="shared" si="0"/>
        <v/>
      </c>
      <c r="L40" s="9"/>
      <c r="M40" s="8"/>
    </row>
    <row r="41" spans="1:13">
      <c r="A41" s="6" t="str">
        <f>IF(B41="","",IF(AND(E41&lt;&gt;"已完成",ISNUMBER(G41),G41&lt;=项目驾驶舱!$B$3+14),"是","否"))</f>
        <v>否</v>
      </c>
      <c r="B41" s="6" t="str">
        <f>项目总控台账!A40</f>
        <v>T037</v>
      </c>
      <c r="C41" s="6" t="str">
        <f>IF(AND(项目总控台账!E40&lt;&gt;"",项目总控台账!E40&lt;&gt;"/"),项目总控台账!E40,IF(AND(项目总控台账!D40&lt;&gt;"",项目总控台账!D40&lt;&gt;"/"),项目总控台账!D40,项目总控台账!C40))</f>
        <v>创建卸车流程</v>
      </c>
      <c r="D41" s="6" t="str">
        <f>项目总控台账!F40</f>
        <v>第一批次</v>
      </c>
      <c r="E41" s="6" t="str">
        <f>项目总控台账!G40</f>
        <v>已完成</v>
      </c>
      <c r="F41" s="6" t="str">
        <f>项目总控台账!H40</f>
        <v>郑士旺</v>
      </c>
      <c r="G41" s="16">
        <f>项目总控台账!J40</f>
        <v>46261</v>
      </c>
      <c r="H41" s="6">
        <f>IF(G41="","",G41-项目驾驶舱!$B$3)</f>
        <v>-7</v>
      </c>
      <c r="I41" s="6" t="str">
        <f>项目总控台账!AC40</f>
        <v>正常</v>
      </c>
      <c r="J41" s="6" t="str">
        <f>项目总控台账!AD40</f>
        <v>69</v>
      </c>
      <c r="K41" s="6" t="str">
        <f t="shared" si="0"/>
        <v/>
      </c>
      <c r="L41" s="9"/>
      <c r="M41" s="8"/>
    </row>
    <row r="42" spans="1:13">
      <c r="A42" s="6" t="str">
        <f>IF(B42="","",IF(AND(E42&lt;&gt;"已完成",ISNUMBER(G42),G42&lt;=项目驾驶舱!$B$3+14),"是","否"))</f>
        <v>否</v>
      </c>
      <c r="B42" s="6" t="str">
        <f>项目总控台账!A41</f>
        <v>T038</v>
      </c>
      <c r="C42" s="6" t="str">
        <f>IF(AND(项目总控台账!E41&lt;&gt;"",项目总控台账!E41&lt;&gt;"/"),项目总控台账!E41,IF(AND(项目总控台账!D41&lt;&gt;"",项目总控台账!D41&lt;&gt;"/"),项目总控台账!D41,项目总控台账!C41))</f>
        <v>查询卸车流程</v>
      </c>
      <c r="D42" s="6" t="str">
        <f>项目总控台账!F41</f>
        <v>第一批次</v>
      </c>
      <c r="E42" s="6" t="str">
        <f>项目总控台账!G41</f>
        <v>已完成</v>
      </c>
      <c r="F42" s="6" t="str">
        <f>项目总控台账!H41</f>
        <v>郑士旺</v>
      </c>
      <c r="G42" s="16">
        <f>项目总控台账!J41</f>
        <v>46261</v>
      </c>
      <c r="H42" s="6">
        <f>IF(G42="","",G42-项目驾驶舱!$B$3)</f>
        <v>-7</v>
      </c>
      <c r="I42" s="6" t="str">
        <f>项目总控台账!AC41</f>
        <v>正常</v>
      </c>
      <c r="J42" s="6" t="str">
        <f>项目总控台账!AD41</f>
        <v>69</v>
      </c>
      <c r="K42" s="6" t="str">
        <f t="shared" si="0"/>
        <v/>
      </c>
      <c r="L42" s="9"/>
      <c r="M42" s="8"/>
    </row>
    <row r="43" spans="1:13">
      <c r="A43" s="6" t="str">
        <f>IF(B43="","",IF(AND(E43&lt;&gt;"已完成",ISNUMBER(G43),G43&lt;=项目驾驶舱!$B$3+14),"是","否"))</f>
        <v>否</v>
      </c>
      <c r="B43" s="6" t="str">
        <f>项目总控台账!A42</f>
        <v>T039</v>
      </c>
      <c r="C43" s="6" t="str">
        <f>IF(AND(项目总控台账!E42&lt;&gt;"",项目总控台账!E42&lt;&gt;"/"),项目总控台账!E42,IF(AND(项目总控台账!D42&lt;&gt;"",项目总控台账!D42&lt;&gt;"/"),项目总控台账!D42,项目总控台账!C42))</f>
        <v>修改卸车流程</v>
      </c>
      <c r="D43" s="6" t="str">
        <f>项目总控台账!F42</f>
        <v>第一批次</v>
      </c>
      <c r="E43" s="6" t="str">
        <f>项目总控台账!G42</f>
        <v>已完成</v>
      </c>
      <c r="F43" s="6" t="str">
        <f>项目总控台账!H42</f>
        <v>郑士旺</v>
      </c>
      <c r="G43" s="16">
        <f>项目总控台账!J42</f>
        <v>46261</v>
      </c>
      <c r="H43" s="6">
        <f>IF(G43="","",G43-项目驾驶舱!$B$3)</f>
        <v>-7</v>
      </c>
      <c r="I43" s="6" t="str">
        <f>项目总控台账!AC42</f>
        <v>正常</v>
      </c>
      <c r="J43" s="6" t="str">
        <f>项目总控台账!AD42</f>
        <v>69</v>
      </c>
      <c r="K43" s="6" t="str">
        <f t="shared" si="0"/>
        <v/>
      </c>
      <c r="L43" s="9"/>
      <c r="M43" s="8"/>
    </row>
    <row r="44" spans="1:13">
      <c r="A44" s="6" t="str">
        <f>IF(B44="","",IF(AND(E44&lt;&gt;"已完成",ISNUMBER(G44),G44&lt;=项目驾驶舱!$B$3+14),"是","否"))</f>
        <v>否</v>
      </c>
      <c r="B44" s="6" t="str">
        <f>项目总控台账!A43</f>
        <v>T040</v>
      </c>
      <c r="C44" s="6" t="str">
        <f>IF(AND(项目总控台账!E43&lt;&gt;"",项目总控台账!E43&lt;&gt;"/"),项目总控台账!E43,IF(AND(项目总控台账!D43&lt;&gt;"",项目总控台账!D43&lt;&gt;"/"),项目总控台账!D43,项目总控台账!C43))</f>
        <v>创建装船流程</v>
      </c>
      <c r="D44" s="6" t="str">
        <f>项目总控台账!F43</f>
        <v>第一批次</v>
      </c>
      <c r="E44" s="6" t="str">
        <f>项目总控台账!G43</f>
        <v>已完成</v>
      </c>
      <c r="F44" s="6" t="str">
        <f>项目总控台账!H43</f>
        <v>郑士旺</v>
      </c>
      <c r="G44" s="16">
        <f>项目总控台账!J43</f>
        <v>46261</v>
      </c>
      <c r="H44" s="6">
        <f>IF(G44="","",G44-项目驾驶舱!$B$3)</f>
        <v>-7</v>
      </c>
      <c r="I44" s="6" t="str">
        <f>项目总控台账!AC43</f>
        <v>正常</v>
      </c>
      <c r="J44" s="6" t="str">
        <f>项目总控台账!AD43</f>
        <v>69</v>
      </c>
      <c r="K44" s="6" t="str">
        <f t="shared" si="0"/>
        <v/>
      </c>
      <c r="L44" s="9"/>
      <c r="M44" s="8"/>
    </row>
    <row r="45" spans="1:13">
      <c r="A45" s="6" t="str">
        <f>IF(B45="","",IF(AND(E45&lt;&gt;"已完成",ISNUMBER(G45),G45&lt;=项目驾驶舱!$B$3+14),"是","否"))</f>
        <v>否</v>
      </c>
      <c r="B45" s="6" t="str">
        <f>项目总控台账!A44</f>
        <v>T041</v>
      </c>
      <c r="C45" s="6" t="str">
        <f>IF(AND(项目总控台账!E44&lt;&gt;"",项目总控台账!E44&lt;&gt;"/"),项目总控台账!E44,IF(AND(项目总控台账!D44&lt;&gt;"",项目总控台账!D44&lt;&gt;"/"),项目总控台账!D44,项目总控台账!C44))</f>
        <v>查询装船流程</v>
      </c>
      <c r="D45" s="6" t="str">
        <f>项目总控台账!F44</f>
        <v>第一批次</v>
      </c>
      <c r="E45" s="6" t="str">
        <f>项目总控台账!G44</f>
        <v>已完成</v>
      </c>
      <c r="F45" s="6" t="str">
        <f>项目总控台账!H44</f>
        <v>郑士旺</v>
      </c>
      <c r="G45" s="16">
        <f>项目总控台账!J44</f>
        <v>46261</v>
      </c>
      <c r="H45" s="6">
        <f>IF(G45="","",G45-项目驾驶舱!$B$3)</f>
        <v>-7</v>
      </c>
      <c r="I45" s="6" t="str">
        <f>项目总控台账!AC44</f>
        <v>正常</v>
      </c>
      <c r="J45" s="6" t="str">
        <f>项目总控台账!AD44</f>
        <v>69</v>
      </c>
      <c r="K45" s="6" t="str">
        <f t="shared" si="0"/>
        <v/>
      </c>
      <c r="L45" s="9"/>
      <c r="M45" s="8"/>
    </row>
    <row r="46" spans="1:13">
      <c r="A46" s="6" t="str">
        <f>IF(B46="","",IF(AND(E46&lt;&gt;"已完成",ISNUMBER(G46),G46&lt;=项目驾驶舱!$B$3+14),"是","否"))</f>
        <v>否</v>
      </c>
      <c r="B46" s="6" t="str">
        <f>项目总控台账!A45</f>
        <v>T042</v>
      </c>
      <c r="C46" s="6" t="str">
        <f>IF(AND(项目总控台账!E45&lt;&gt;"",项目总控台账!E45&lt;&gt;"/"),项目总控台账!E45,IF(AND(项目总控台账!D45&lt;&gt;"",项目总控台账!D45&lt;&gt;"/"),项目总控台账!D45,项目总控台账!C45))</f>
        <v>修改装船流程</v>
      </c>
      <c r="D46" s="6" t="str">
        <f>项目总控台账!F45</f>
        <v>第一批次</v>
      </c>
      <c r="E46" s="6" t="str">
        <f>项目总控台账!G45</f>
        <v>已完成</v>
      </c>
      <c r="F46" s="6" t="str">
        <f>项目总控台账!H45</f>
        <v>郑士旺</v>
      </c>
      <c r="G46" s="16">
        <f>项目总控台账!J45</f>
        <v>46261</v>
      </c>
      <c r="H46" s="6">
        <f>IF(G46="","",G46-项目驾驶舱!$B$3)</f>
        <v>-7</v>
      </c>
      <c r="I46" s="6" t="str">
        <f>项目总控台账!AC45</f>
        <v>正常</v>
      </c>
      <c r="J46" s="6" t="str">
        <f>项目总控台账!AD45</f>
        <v>69</v>
      </c>
      <c r="K46" s="6" t="str">
        <f t="shared" si="0"/>
        <v/>
      </c>
      <c r="L46" s="9"/>
      <c r="M46" s="8"/>
    </row>
    <row r="47" spans="1:13">
      <c r="A47" s="6" t="str">
        <f>IF(B47="","",IF(AND(E47&lt;&gt;"已完成",ISNUMBER(G47),G47&lt;=项目驾驶舱!$B$3+14),"是","否"))</f>
        <v>否</v>
      </c>
      <c r="B47" s="6" t="str">
        <f>项目总控台账!A46</f>
        <v>T043</v>
      </c>
      <c r="C47" s="6" t="str">
        <f>IF(AND(项目总控台账!E46&lt;&gt;"",项目总控台账!E46&lt;&gt;"/"),项目总控台账!E46,IF(AND(项目总控台账!D46&lt;&gt;"",项目总控台账!D46&lt;&gt;"/"),项目总控台账!D46,项目总控台账!C46))</f>
        <v>创建卸船流程</v>
      </c>
      <c r="D47" s="6" t="str">
        <f>项目总控台账!F46</f>
        <v>第二批次</v>
      </c>
      <c r="E47" s="6" t="str">
        <f>项目总控台账!G46</f>
        <v>已完成</v>
      </c>
      <c r="F47" s="6" t="str">
        <f>项目总控台账!H46</f>
        <v>郑士旺</v>
      </c>
      <c r="G47" s="16">
        <f>项目总控台账!J46</f>
        <v>46269</v>
      </c>
      <c r="H47" s="6">
        <f>IF(G47="","",G47-项目驾驶舱!$B$3)</f>
        <v>1</v>
      </c>
      <c r="I47" s="6" t="str">
        <f>项目总控台账!AC46</f>
        <v>正常</v>
      </c>
      <c r="J47" s="6" t="str">
        <f>项目总控台账!AD46</f>
        <v>69</v>
      </c>
      <c r="K47" s="6" t="str">
        <f t="shared" si="0"/>
        <v/>
      </c>
      <c r="L47" s="9"/>
      <c r="M47" s="8"/>
    </row>
    <row r="48" spans="1:13">
      <c r="A48" s="6" t="str">
        <f>IF(B48="","",IF(AND(E48&lt;&gt;"已完成",ISNUMBER(G48),G48&lt;=项目驾驶舱!$B$3+14),"是","否"))</f>
        <v>否</v>
      </c>
      <c r="B48" s="6" t="str">
        <f>项目总控台账!A47</f>
        <v>T044</v>
      </c>
      <c r="C48" s="6" t="str">
        <f>IF(AND(项目总控台账!E47&lt;&gt;"",项目总控台账!E47&lt;&gt;"/"),项目总控台账!E47,IF(AND(项目总控台账!D47&lt;&gt;"",项目总控台账!D47&lt;&gt;"/"),项目总控台账!D47,项目总控台账!C47))</f>
        <v>查询卸船流程</v>
      </c>
      <c r="D48" s="6" t="str">
        <f>项目总控台账!F47</f>
        <v>第二批次</v>
      </c>
      <c r="E48" s="6" t="str">
        <f>项目总控台账!G47</f>
        <v>已完成</v>
      </c>
      <c r="F48" s="6" t="str">
        <f>项目总控台账!H47</f>
        <v>郑士旺</v>
      </c>
      <c r="G48" s="16">
        <f>项目总控台账!J47</f>
        <v>46269</v>
      </c>
      <c r="H48" s="6">
        <f>IF(G48="","",G48-项目驾驶舱!$B$3)</f>
        <v>1</v>
      </c>
      <c r="I48" s="6" t="str">
        <f>项目总控台账!AC47</f>
        <v>正常</v>
      </c>
      <c r="J48" s="6" t="str">
        <f>项目总控台账!AD47</f>
        <v>69</v>
      </c>
      <c r="K48" s="6" t="str">
        <f t="shared" si="0"/>
        <v/>
      </c>
      <c r="L48" s="9"/>
      <c r="M48" s="8"/>
    </row>
    <row r="49" spans="1:13">
      <c r="A49" s="6" t="str">
        <f>IF(B49="","",IF(AND(E49&lt;&gt;"已完成",ISNUMBER(G49),G49&lt;=项目驾驶舱!$B$3+14),"是","否"))</f>
        <v>否</v>
      </c>
      <c r="B49" s="6" t="str">
        <f>项目总控台账!A48</f>
        <v>T045</v>
      </c>
      <c r="C49" s="6" t="str">
        <f>IF(AND(项目总控台账!E48&lt;&gt;"",项目总控台账!E48&lt;&gt;"/"),项目总控台账!E48,IF(AND(项目总控台账!D48&lt;&gt;"",项目总控台账!D48&lt;&gt;"/"),项目总控台账!D48,项目总控台账!C48))</f>
        <v>修改卸船流程</v>
      </c>
      <c r="D49" s="6" t="str">
        <f>项目总控台账!F48</f>
        <v>第二批次</v>
      </c>
      <c r="E49" s="6" t="str">
        <f>项目总控台账!G48</f>
        <v>已完成</v>
      </c>
      <c r="F49" s="6" t="str">
        <f>项目总控台账!H48</f>
        <v>郑士旺</v>
      </c>
      <c r="G49" s="16">
        <f>项目总控台账!J48</f>
        <v>46269</v>
      </c>
      <c r="H49" s="6">
        <f>IF(G49="","",G49-项目驾驶舱!$B$3)</f>
        <v>1</v>
      </c>
      <c r="I49" s="6" t="str">
        <f>项目总控台账!AC48</f>
        <v>正常</v>
      </c>
      <c r="J49" s="6" t="str">
        <f>项目总控台账!AD48</f>
        <v>69</v>
      </c>
      <c r="K49" s="6" t="str">
        <f t="shared" si="0"/>
        <v/>
      </c>
      <c r="L49" s="9"/>
      <c r="M49" s="8"/>
    </row>
    <row r="50" spans="1:13">
      <c r="A50" s="6" t="str">
        <f>IF(B50="","",IF(AND(E50&lt;&gt;"已完成",ISNUMBER(G50),G50&lt;=项目驾驶舱!$B$3+14),"是","否"))</f>
        <v>否</v>
      </c>
      <c r="B50" s="6" t="str">
        <f>项目总控台账!A49</f>
        <v>T046</v>
      </c>
      <c r="C50" s="6" t="str">
        <f>IF(AND(项目总控台账!E49&lt;&gt;"",项目总控台账!E49&lt;&gt;"/"),项目总控台账!E49,IF(AND(项目总控台账!D49&lt;&gt;"",项目总控台账!D49&lt;&gt;"/"),项目总控台账!D49,项目总控台账!C49))</f>
        <v>新增船舶预到（外贸）</v>
      </c>
      <c r="D50" s="6" t="str">
        <f>项目总控台账!F49</f>
        <v>第二批次</v>
      </c>
      <c r="E50" s="6" t="str">
        <f>项目总控台账!G49</f>
        <v>已完成</v>
      </c>
      <c r="F50" s="6" t="str">
        <f>项目总控台账!H49</f>
        <v>郑士旺</v>
      </c>
      <c r="G50" s="16">
        <f>项目总控台账!J49</f>
        <v>46353</v>
      </c>
      <c r="H50" s="6">
        <f>IF(G50="","",G50-项目驾驶舱!$B$3)</f>
        <v>85</v>
      </c>
      <c r="I50" s="6" t="str">
        <f>项目总控台账!AC49</f>
        <v>正常</v>
      </c>
      <c r="J50" s="6" t="str">
        <f>项目总控台账!AD49</f>
        <v>69</v>
      </c>
      <c r="K50" s="6" t="str">
        <f t="shared" si="0"/>
        <v/>
      </c>
      <c r="L50" s="9"/>
      <c r="M50" s="8"/>
    </row>
    <row r="51" spans="1:13">
      <c r="A51" s="6" t="str">
        <f>IF(B51="","",IF(AND(E51&lt;&gt;"已完成",ISNUMBER(G51),G51&lt;=项目驾驶舱!$B$3+14),"是","否"))</f>
        <v>否</v>
      </c>
      <c r="B51" s="6" t="str">
        <f>项目总控台账!A50</f>
        <v>T047</v>
      </c>
      <c r="C51" s="6" t="str">
        <f>IF(AND(项目总控台账!E50&lt;&gt;"",项目总控台账!E50&lt;&gt;"/"),项目总控台账!E50,IF(AND(项目总控台账!D50&lt;&gt;"",项目总控台账!D50&lt;&gt;"/"),项目总控台账!D50,项目总控台账!C50))</f>
        <v>退回船舶预到（外贸）</v>
      </c>
      <c r="D51" s="6" t="str">
        <f>项目总控台账!F50</f>
        <v>第二批次</v>
      </c>
      <c r="E51" s="6" t="str">
        <f>项目总控台账!G50</f>
        <v>未开始</v>
      </c>
      <c r="F51" s="6" t="str">
        <f>项目总控台账!H50</f>
        <v>郑士旺</v>
      </c>
      <c r="G51" s="16">
        <f>项目总控台账!J50</f>
        <v>46353</v>
      </c>
      <c r="H51" s="6">
        <f>IF(G51="","",G51-项目驾驶舱!$B$3)</f>
        <v>85</v>
      </c>
      <c r="I51" s="6" t="str">
        <f>项目总控台账!AC50</f>
        <v>正常</v>
      </c>
      <c r="J51" s="6" t="str">
        <f>项目总控台账!AD50</f>
        <v>69</v>
      </c>
      <c r="K51" s="6" t="str">
        <f t="shared" si="0"/>
        <v/>
      </c>
      <c r="L51" s="9"/>
      <c r="M51" s="8"/>
    </row>
    <row r="52" spans="1:13">
      <c r="A52" s="6" t="str">
        <f>IF(B52="","",IF(AND(E52&lt;&gt;"已完成",ISNUMBER(G52),G52&lt;=项目驾驶舱!$B$3+14),"是","否"))</f>
        <v>是</v>
      </c>
      <c r="B52" s="6" t="str">
        <f>项目总控台账!A51</f>
        <v>T048</v>
      </c>
      <c r="C52" s="6" t="str">
        <f>IF(AND(项目总控台账!E51&lt;&gt;"",项目总控台账!E51&lt;&gt;"/"),项目总控台账!E51,IF(AND(项目总控台账!D51&lt;&gt;"",项目总控台账!D51&lt;&gt;"/"),项目总控台账!D51,项目总控台账!C51))</f>
        <v>退回船舶预到（外贸）</v>
      </c>
      <c r="D52" s="6" t="str">
        <f>项目总控台账!F51</f>
        <v>第二批次</v>
      </c>
      <c r="E52" s="6" t="str">
        <f>项目总控台账!G51</f>
        <v>未开始</v>
      </c>
      <c r="F52" s="6" t="str">
        <f>项目总控台账!H51</f>
        <v>郑士旺</v>
      </c>
      <c r="G52" s="16">
        <f>项目总控台账!J51</f>
        <v>46261</v>
      </c>
      <c r="H52" s="6">
        <f>IF(G52="","",G52-项目驾驶舱!$B$3)</f>
        <v>-7</v>
      </c>
      <c r="I52" s="6" t="str">
        <f>项目总控台账!AC51</f>
        <v>已延期</v>
      </c>
      <c r="J52" s="6" t="str">
        <f>项目总控台账!AD51</f>
        <v>69</v>
      </c>
      <c r="K52" s="6" t="str">
        <f t="shared" si="0"/>
        <v>立即确认延期原因、影响及补救计划</v>
      </c>
      <c r="L52" s="9"/>
      <c r="M52" s="8"/>
    </row>
    <row r="53" spans="1:13">
      <c r="A53" s="6" t="str">
        <f>IF(B53="","",IF(AND(E53&lt;&gt;"已完成",ISNUMBER(G53),G53&lt;=项目驾驶舱!$B$3+14),"是","否"))</f>
        <v>否</v>
      </c>
      <c r="B53" s="6" t="str">
        <f>项目总控台账!A52</f>
        <v>T049</v>
      </c>
      <c r="C53" s="6" t="str">
        <f>IF(AND(项目总控台账!E52&lt;&gt;"",项目总控台账!E52&lt;&gt;"/"),项目总控台账!E52,IF(AND(项目总控台账!D52&lt;&gt;"",项目总控台账!D52&lt;&gt;"/"),项目总控台账!D52,项目总控台账!C52))</f>
        <v>申请采样申请（外贸）</v>
      </c>
      <c r="D53" s="6" t="str">
        <f>项目总控台账!F52</f>
        <v>第二批次</v>
      </c>
      <c r="E53" s="6" t="str">
        <f>项目总控台账!G52</f>
        <v>已完成</v>
      </c>
      <c r="F53" s="6" t="str">
        <f>项目总控台账!H52</f>
        <v>郑士旺</v>
      </c>
      <c r="G53" s="16">
        <f>项目总控台账!J52</f>
        <v>46261</v>
      </c>
      <c r="H53" s="6">
        <f>IF(G53="","",G53-项目驾驶舱!$B$3)</f>
        <v>-7</v>
      </c>
      <c r="I53" s="6" t="str">
        <f>项目总控台账!AC52</f>
        <v>正常</v>
      </c>
      <c r="J53" s="6" t="str">
        <f>项目总控台账!AD52</f>
        <v>69</v>
      </c>
      <c r="K53" s="6" t="str">
        <f t="shared" si="0"/>
        <v/>
      </c>
      <c r="L53" s="9"/>
      <c r="M53" s="8"/>
    </row>
    <row r="54" spans="1:13">
      <c r="A54" s="6" t="str">
        <f>IF(B54="","",IF(AND(E54&lt;&gt;"已完成",ISNUMBER(G54),G54&lt;=项目驾驶舱!$B$3+14),"是","否"))</f>
        <v>是</v>
      </c>
      <c r="B54" s="6" t="str">
        <f>项目总控台账!A53</f>
        <v>T050</v>
      </c>
      <c r="C54" s="6" t="str">
        <f>IF(AND(项目总控台账!E53&lt;&gt;"",项目总控台账!E53&lt;&gt;"/"),项目总控台账!E53,IF(AND(项目总控台账!D53&lt;&gt;"",项目总控台账!D53&lt;&gt;"/"),项目总控台账!D53,项目总控台账!C53))</f>
        <v>维护需跟踪船舶清单</v>
      </c>
      <c r="D54" s="6" t="str">
        <f>项目总控台账!F53</f>
        <v>第一批次</v>
      </c>
      <c r="E54" s="6" t="str">
        <f>项目总控台账!G53</f>
        <v>进行中</v>
      </c>
      <c r="F54" s="6" t="str">
        <f>项目总控台账!H53</f>
        <v>郑士旺</v>
      </c>
      <c r="G54" s="16">
        <f>项目总控台账!J53</f>
        <v>46234</v>
      </c>
      <c r="H54" s="6">
        <f>IF(G54="","",G54-项目驾驶舱!$B$3)</f>
        <v>-34</v>
      </c>
      <c r="I54" s="6" t="str">
        <f>项目总控台账!AC53</f>
        <v>已延期</v>
      </c>
      <c r="J54" s="6" t="str">
        <f>项目总控台账!AD53</f>
        <v>69</v>
      </c>
      <c r="K54" s="6" t="str">
        <f t="shared" si="0"/>
        <v>立即确认延期原因、影响及补救计划</v>
      </c>
      <c r="L54" s="9"/>
      <c r="M54" s="8"/>
    </row>
    <row r="55" spans="1:13">
      <c r="A55" s="6" t="str">
        <f>IF(B55="","",IF(AND(E55&lt;&gt;"已完成",ISNUMBER(G55),G55&lt;=项目驾驶舱!$B$3+14),"是","否"))</f>
        <v>是</v>
      </c>
      <c r="B55" s="6" t="str">
        <f>项目总控台账!A54</f>
        <v>T051</v>
      </c>
      <c r="C55" s="6" t="str">
        <f>IF(AND(项目总控台账!E54&lt;&gt;"",项目总控台账!E54&lt;&gt;"/"),项目总控台账!E54,IF(AND(项目总控台账!D54&lt;&gt;"",项目总控台账!D54&lt;&gt;"/"),项目总控台账!D54,项目总控台账!C54))</f>
        <v>根据船舶清单更新第三方系统推送数据船舶清单</v>
      </c>
      <c r="D55" s="6" t="str">
        <f>项目总控台账!F54</f>
        <v>第一批次</v>
      </c>
      <c r="E55" s="6" t="str">
        <f>项目总控台账!G54</f>
        <v>进行中</v>
      </c>
      <c r="F55" s="6" t="str">
        <f>项目总控台账!H54</f>
        <v>郑士旺</v>
      </c>
      <c r="G55" s="16">
        <f>项目总控台账!J54</f>
        <v>46261</v>
      </c>
      <c r="H55" s="6">
        <f>IF(G55="","",G55-项目驾驶舱!$B$3)</f>
        <v>-7</v>
      </c>
      <c r="I55" s="6" t="str">
        <f>项目总控台账!AC54</f>
        <v>已延期</v>
      </c>
      <c r="J55" s="6" t="str">
        <f>项目总控台账!AD54</f>
        <v>69</v>
      </c>
      <c r="K55" s="6" t="str">
        <f t="shared" si="0"/>
        <v>立即确认延期原因、影响及补救计划</v>
      </c>
      <c r="L55" s="9"/>
      <c r="M55" s="8"/>
    </row>
    <row r="56" spans="1:13">
      <c r="A56" s="6" t="str">
        <f>IF(B56="","",IF(AND(E56&lt;&gt;"已完成",ISNUMBER(G56),G56&lt;=项目驾驶舱!$B$3+14),"是","否"))</f>
        <v>是</v>
      </c>
      <c r="B56" s="6" t="str">
        <f>项目总控台账!A55</f>
        <v>T052</v>
      </c>
      <c r="C56" s="6" t="str">
        <f>IF(AND(项目总控台账!E55&lt;&gt;"",项目总控台账!E55&lt;&gt;"/"),项目总控台账!E55,IF(AND(项目总控台账!D55&lt;&gt;"",项目总控台账!D55&lt;&gt;"/"),项目总控台账!D55,项目总控台账!C55))</f>
        <v>船舶轨迹跟踪</v>
      </c>
      <c r="D56" s="6" t="str">
        <f>项目总控台账!F55</f>
        <v>第一批次</v>
      </c>
      <c r="E56" s="6" t="str">
        <f>项目总控台账!G55</f>
        <v>进行中</v>
      </c>
      <c r="F56" s="6" t="str">
        <f>项目总控台账!H55</f>
        <v>郑士旺</v>
      </c>
      <c r="G56" s="16">
        <f>项目总控台账!J55</f>
        <v>46261</v>
      </c>
      <c r="H56" s="6">
        <f>IF(G56="","",G56-项目驾驶舱!$B$3)</f>
        <v>-7</v>
      </c>
      <c r="I56" s="6" t="str">
        <f>项目总控台账!AC55</f>
        <v>已延期</v>
      </c>
      <c r="J56" s="6" t="str">
        <f>项目总控台账!AD55</f>
        <v>69</v>
      </c>
      <c r="K56" s="6" t="str">
        <f t="shared" si="0"/>
        <v>立即确认延期原因、影响及补救计划</v>
      </c>
      <c r="L56" s="9"/>
      <c r="M56" s="8"/>
    </row>
    <row r="57" spans="1:13">
      <c r="A57" s="6" t="str">
        <f>IF(B57="","",IF(AND(E57&lt;&gt;"已完成",ISNUMBER(G57),G57&lt;=项目驾驶舱!$B$3+14),"是","否"))</f>
        <v>是</v>
      </c>
      <c r="B57" s="6" t="str">
        <f>项目总控台账!A56</f>
        <v>T053</v>
      </c>
      <c r="C57" s="6" t="str">
        <f>IF(AND(项目总控台账!E56&lt;&gt;"",项目总控台账!E56&lt;&gt;"/"),项目总控台账!E56,IF(AND(项目总控台账!D56&lt;&gt;"",项目总控台账!D56&lt;&gt;"/"),项目总控台账!D56,项目总控台账!C56))</f>
        <v>接入港口侧视频监控</v>
      </c>
      <c r="D57" s="6" t="str">
        <f>项目总控台账!F56</f>
        <v>第二批次</v>
      </c>
      <c r="E57" s="6" t="str">
        <f>项目总控台账!G56</f>
        <v>未开始</v>
      </c>
      <c r="F57" s="6" t="str">
        <f>项目总控台账!H56</f>
        <v>郑士旺</v>
      </c>
      <c r="G57" s="16">
        <f>项目总控台账!J56</f>
        <v>46224</v>
      </c>
      <c r="H57" s="6">
        <f>IF(G57="","",G57-项目驾驶舱!$B$3)</f>
        <v>-44</v>
      </c>
      <c r="I57" s="6" t="str">
        <f>项目总控台账!AC56</f>
        <v>已延期</v>
      </c>
      <c r="J57" s="6" t="str">
        <f>项目总控台账!AD56</f>
        <v>69</v>
      </c>
      <c r="K57" s="6" t="str">
        <f t="shared" si="0"/>
        <v>立即确认延期原因、影响及补救计划</v>
      </c>
      <c r="L57" s="9"/>
      <c r="M57" s="8"/>
    </row>
    <row r="58" spans="1:13">
      <c r="A58" s="6" t="str">
        <f>IF(B58="","",IF(AND(E58&lt;&gt;"已完成",ISNUMBER(G58),G58&lt;=项目驾驶舱!$B$3+14),"是","否"))</f>
        <v>是</v>
      </c>
      <c r="B58" s="6" t="str">
        <f>项目总控台账!A57</f>
        <v>T054</v>
      </c>
      <c r="C58" s="6" t="str">
        <f>IF(AND(项目总控台账!E57&lt;&gt;"",项目总控台账!E57&lt;&gt;"/"),项目总控台账!E57,IF(AND(项目总控台账!D57&lt;&gt;"",项目总控台账!D57&lt;&gt;"/"),项目总控台账!D57,项目总控台账!C57))</f>
        <v>视频查看权限申请</v>
      </c>
      <c r="D58" s="6" t="str">
        <f>项目总控台账!F57</f>
        <v>第二批次</v>
      </c>
      <c r="E58" s="6" t="str">
        <f>项目总控台账!G57</f>
        <v>未开始</v>
      </c>
      <c r="F58" s="6" t="str">
        <f>项目总控台账!H57</f>
        <v>郑士旺</v>
      </c>
      <c r="G58" s="16">
        <f>项目总控台账!J57</f>
        <v>46224</v>
      </c>
      <c r="H58" s="6">
        <f>IF(G58="","",G58-项目驾驶舱!$B$3)</f>
        <v>-44</v>
      </c>
      <c r="I58" s="6" t="str">
        <f>项目总控台账!AC57</f>
        <v>已延期</v>
      </c>
      <c r="J58" s="6" t="str">
        <f>项目总控台账!AD57</f>
        <v>69</v>
      </c>
      <c r="K58" s="6" t="str">
        <f t="shared" si="0"/>
        <v>立即确认延期原因、影响及补救计划</v>
      </c>
      <c r="L58" s="9"/>
      <c r="M58" s="8"/>
    </row>
    <row r="59" spans="1:13">
      <c r="A59" s="6" t="str">
        <f>IF(B59="","",IF(AND(E59&lt;&gt;"已完成",ISNUMBER(G59),G59&lt;=项目驾驶舱!$B$3+14),"是","否"))</f>
        <v>是</v>
      </c>
      <c r="B59" s="6" t="str">
        <f>项目总控台账!A58</f>
        <v>T055</v>
      </c>
      <c r="C59" s="6" t="str">
        <f>IF(AND(项目总控台账!E58&lt;&gt;"",项目总控台账!E58&lt;&gt;"/"),项目总控台账!E58,IF(AND(项目总控台账!D58&lt;&gt;"",项目总控台账!D58&lt;&gt;"/"),项目总控台账!D58,项目总控台账!C58))</f>
        <v>视频查看权限审批</v>
      </c>
      <c r="D59" s="6" t="str">
        <f>项目总控台账!F58</f>
        <v>第二批次</v>
      </c>
      <c r="E59" s="6" t="str">
        <f>项目总控台账!G58</f>
        <v>未开始</v>
      </c>
      <c r="F59" s="6" t="str">
        <f>项目总控台账!H58</f>
        <v>郑士旺</v>
      </c>
      <c r="G59" s="16">
        <f>项目总控台账!J58</f>
        <v>46224</v>
      </c>
      <c r="H59" s="6">
        <f>IF(G59="","",G59-项目驾驶舱!$B$3)</f>
        <v>-44</v>
      </c>
      <c r="I59" s="6" t="str">
        <f>项目总控台账!AC58</f>
        <v>已延期</v>
      </c>
      <c r="J59" s="6" t="str">
        <f>项目总控台账!AD58</f>
        <v>69</v>
      </c>
      <c r="K59" s="6" t="str">
        <f t="shared" si="0"/>
        <v>立即确认延期原因、影响及补救计划</v>
      </c>
      <c r="L59" s="9"/>
      <c r="M59" s="8"/>
    </row>
    <row r="60" spans="1:13">
      <c r="A60" s="6" t="str">
        <f>IF(B60="","",IF(AND(E60&lt;&gt;"已完成",ISNUMBER(G60),G60&lt;=项目驾驶舱!$B$3+14),"是","否"))</f>
        <v>否</v>
      </c>
      <c r="B60" s="6" t="str">
        <f>项目总控台账!A59</f>
        <v>T056</v>
      </c>
      <c r="C60" s="6" t="str">
        <f>IF(AND(项目总控台账!E59&lt;&gt;"",项目总控台账!E59&lt;&gt;"/"),项目总控台账!E59,IF(AND(项目总控台账!D59&lt;&gt;"",项目总控台账!D59&lt;&gt;"/"),项目总控台账!D59,项目总控台账!C59))</f>
        <v>视频查看权限有效期控制</v>
      </c>
      <c r="D60" s="6" t="str">
        <f>项目总控台账!F59</f>
        <v>第二批次</v>
      </c>
      <c r="E60" s="6" t="str">
        <f>项目总控台账!G59</f>
        <v>未开始</v>
      </c>
      <c r="F60" s="6" t="str">
        <f>项目总控台账!H59</f>
        <v>郑士旺</v>
      </c>
      <c r="G60" s="16">
        <f>项目总控台账!J59</f>
        <v>46318</v>
      </c>
      <c r="H60" s="6">
        <f>IF(G60="","",G60-项目驾驶舱!$B$3)</f>
        <v>50</v>
      </c>
      <c r="I60" s="6" t="str">
        <f>项目总控台账!AC59</f>
        <v>正常</v>
      </c>
      <c r="J60" s="6" t="str">
        <f>项目总控台账!AD59</f>
        <v>69</v>
      </c>
      <c r="K60" s="6" t="str">
        <f t="shared" si="0"/>
        <v/>
      </c>
      <c r="L60" s="9"/>
      <c r="M60" s="8"/>
    </row>
    <row r="61" spans="1:13">
      <c r="A61" s="6" t="str">
        <f>IF(B61="","",IF(AND(E61&lt;&gt;"已完成",ISNUMBER(G61),G61&lt;=项目驾驶舱!$B$3+14),"是","否"))</f>
        <v>是</v>
      </c>
      <c r="B61" s="6" t="str">
        <f>项目总控台账!A60</f>
        <v>T057</v>
      </c>
      <c r="C61" s="6" t="str">
        <f>IF(AND(项目总控台账!E60&lt;&gt;"",项目总控台账!E60&lt;&gt;"/"),项目总控台账!E60,IF(AND(项目总控台账!D60&lt;&gt;"",项目总控台账!D60&lt;&gt;"/"),项目总控台账!D60,项目总控台账!C60))</f>
        <v>外网PC端视频监控查询</v>
      </c>
      <c r="D61" s="6" t="str">
        <f>项目总控台账!F60</f>
        <v>第二批次</v>
      </c>
      <c r="E61" s="6" t="str">
        <f>项目总控台账!G60</f>
        <v>未开始</v>
      </c>
      <c r="F61" s="6" t="str">
        <f>项目总控台账!H60</f>
        <v>郑士旺</v>
      </c>
      <c r="G61" s="16">
        <f>项目总控台账!J60</f>
        <v>46224</v>
      </c>
      <c r="H61" s="6">
        <f>IF(G61="","",G61-项目驾驶舱!$B$3)</f>
        <v>-44</v>
      </c>
      <c r="I61" s="6" t="str">
        <f>项目总控台账!AC60</f>
        <v>已延期</v>
      </c>
      <c r="J61" s="6" t="str">
        <f>项目总控台账!AD60</f>
        <v>69</v>
      </c>
      <c r="K61" s="6" t="str">
        <f t="shared" si="0"/>
        <v>立即确认延期原因、影响及补救计划</v>
      </c>
      <c r="L61" s="9"/>
      <c r="M61" s="8"/>
    </row>
    <row r="62" spans="1:13">
      <c r="A62" s="6" t="str">
        <f>IF(B62="","",IF(AND(E62&lt;&gt;"已完成",ISNUMBER(G62),G62&lt;=项目驾驶舱!$B$3+14),"是","否"))</f>
        <v>否</v>
      </c>
      <c r="B62" s="6" t="str">
        <f>项目总控台账!A61</f>
        <v>T058</v>
      </c>
      <c r="C62" s="6" t="str">
        <f>IF(AND(项目总控台账!E61&lt;&gt;"",项目总控台账!E61&lt;&gt;"/"),项目总控台账!E61,IF(AND(项目总控台账!D61&lt;&gt;"",项目总控台账!D61&lt;&gt;"/"),项目总控台账!D61,项目总控台账!C61))</f>
        <v>OCR识别及编辑</v>
      </c>
      <c r="D62" s="6" t="str">
        <f>项目总控台账!F61</f>
        <v>第一批次</v>
      </c>
      <c r="E62" s="6" t="str">
        <f>项目总控台账!G61</f>
        <v>已完成</v>
      </c>
      <c r="F62" s="6" t="str">
        <f>项目总控台账!H61</f>
        <v>郑士旺</v>
      </c>
      <c r="G62" s="16">
        <f>项目总控台账!J61</f>
        <v>46224</v>
      </c>
      <c r="H62" s="6">
        <f>IF(G62="","",G62-项目驾驶舱!$B$3)</f>
        <v>-44</v>
      </c>
      <c r="I62" s="6" t="str">
        <f>项目总控台账!AC61</f>
        <v>正常</v>
      </c>
      <c r="J62" s="6" t="str">
        <f>项目总控台账!AD61</f>
        <v>69</v>
      </c>
      <c r="K62" s="6" t="str">
        <f t="shared" si="0"/>
        <v/>
      </c>
      <c r="L62" s="9"/>
      <c r="M62" s="8"/>
    </row>
    <row r="63" spans="1:13">
      <c r="A63" s="6" t="str">
        <f>IF(B63="","",IF(AND(E63&lt;&gt;"已完成",ISNUMBER(G63),G63&lt;=项目驾驶舱!$B$3+14),"是","否"))</f>
        <v>否</v>
      </c>
      <c r="B63" s="6" t="str">
        <f>项目总控台账!A62</f>
        <v>T059</v>
      </c>
      <c r="C63" s="6" t="str">
        <f>IF(AND(项目总控台账!E62&lt;&gt;"",项目总控台账!E62&lt;&gt;"/"),项目总控台账!E62,IF(AND(项目总控台账!D62&lt;&gt;"",项目总控台账!D62&lt;&gt;"/"),项目总控台账!D62,项目总控台账!C62))</f>
        <v>优化新增装车作业信息</v>
      </c>
      <c r="D63" s="6" t="str">
        <f>项目总控台账!F62</f>
        <v>第一批次</v>
      </c>
      <c r="E63" s="6" t="str">
        <f>项目总控台账!G62</f>
        <v>已完成</v>
      </c>
      <c r="F63" s="6" t="str">
        <f>项目总控台账!H62</f>
        <v>郑士旺</v>
      </c>
      <c r="G63" s="16">
        <f>项目总控台账!J62</f>
        <v>46318</v>
      </c>
      <c r="H63" s="6">
        <f>IF(G63="","",G63-项目驾驶舱!$B$3)</f>
        <v>50</v>
      </c>
      <c r="I63" s="6" t="str">
        <f>项目总控台账!AC62</f>
        <v>正常</v>
      </c>
      <c r="J63" s="6" t="str">
        <f>项目总控台账!AD62</f>
        <v>69</v>
      </c>
      <c r="K63" s="6" t="str">
        <f t="shared" si="0"/>
        <v/>
      </c>
      <c r="L63" s="9"/>
      <c r="M63" s="8"/>
    </row>
    <row r="64" spans="1:13">
      <c r="A64" s="6" t="str">
        <f>IF(B64="","",IF(AND(E64&lt;&gt;"已完成",ISNUMBER(G64),G64&lt;=项目驾驶舱!$B$3+14),"是","否"))</f>
        <v>否</v>
      </c>
      <c r="B64" s="6" t="str">
        <f>项目总控台账!A63</f>
        <v>T060</v>
      </c>
      <c r="C64" s="6" t="str">
        <f>IF(AND(项目总控台账!E63&lt;&gt;"",项目总控台账!E63&lt;&gt;"/"),项目总控台账!E63,IF(AND(项目总控台账!D63&lt;&gt;"",项目总控台账!D63&lt;&gt;"/"),项目总控台账!D63,项目总控台账!C63))</f>
        <v>货权录入</v>
      </c>
      <c r="D64" s="6" t="str">
        <f>项目总控台账!F63</f>
        <v>第一批次</v>
      </c>
      <c r="E64" s="6" t="str">
        <f>项目总控台账!G63</f>
        <v>已完成</v>
      </c>
      <c r="F64" s="6" t="str">
        <f>项目总控台账!H63</f>
        <v>郑士旺</v>
      </c>
      <c r="G64" s="16">
        <f>项目总控台账!J63</f>
        <v>46261</v>
      </c>
      <c r="H64" s="6">
        <f>IF(G64="","",G64-项目驾驶舱!$B$3)</f>
        <v>-7</v>
      </c>
      <c r="I64" s="6" t="str">
        <f>项目总控台账!AC63</f>
        <v>正常</v>
      </c>
      <c r="J64" s="6" t="str">
        <f>项目总控台账!AD63</f>
        <v>69</v>
      </c>
      <c r="K64" s="6" t="str">
        <f t="shared" si="0"/>
        <v/>
      </c>
      <c r="L64" s="9"/>
      <c r="M64" s="8"/>
    </row>
    <row r="65" spans="1:13">
      <c r="A65" s="6" t="str">
        <f>IF(B65="","",IF(AND(E65&lt;&gt;"已完成",ISNUMBER(G65),G65&lt;=项目驾驶舱!$B$3+14),"是","否"))</f>
        <v>否</v>
      </c>
      <c r="B65" s="6" t="str">
        <f>项目总控台账!A64</f>
        <v>T061</v>
      </c>
      <c r="C65" s="6" t="str">
        <f>IF(AND(项目总控台账!E64&lt;&gt;"",项目总控台账!E64&lt;&gt;"/"),项目总控台账!E64,IF(AND(项目总控台账!D64&lt;&gt;"",项目总控台账!D64&lt;&gt;"/"),项目总控台账!D64,项目总控台账!C64))</f>
        <v>货权修改</v>
      </c>
      <c r="D65" s="6" t="str">
        <f>项目总控台账!F64</f>
        <v>第一批次</v>
      </c>
      <c r="E65" s="6" t="str">
        <f>项目总控台账!G64</f>
        <v>已完成</v>
      </c>
      <c r="F65" s="6" t="str">
        <f>项目总控台账!H64</f>
        <v>郑士旺</v>
      </c>
      <c r="G65" s="16">
        <f>项目总控台账!J64</f>
        <v>46261</v>
      </c>
      <c r="H65" s="6">
        <f>IF(G65="","",G65-项目驾驶舱!$B$3)</f>
        <v>-7</v>
      </c>
      <c r="I65" s="6" t="str">
        <f>项目总控台账!AC64</f>
        <v>正常</v>
      </c>
      <c r="J65" s="6" t="str">
        <f>项目总控台账!AD64</f>
        <v>69</v>
      </c>
      <c r="K65" s="6" t="str">
        <f t="shared" si="0"/>
        <v/>
      </c>
      <c r="L65" s="9"/>
      <c r="M65" s="8"/>
    </row>
    <row r="66" spans="1:13">
      <c r="A66" s="6" t="str">
        <f>IF(B66="","",IF(AND(E66&lt;&gt;"已完成",ISNUMBER(G66),G66&lt;=项目驾驶舱!$B$3+14),"是","否"))</f>
        <v>否</v>
      </c>
      <c r="B66" s="6" t="str">
        <f>项目总控台账!A65</f>
        <v>T062</v>
      </c>
      <c r="C66" s="6" t="str">
        <f>IF(AND(项目总控台账!E65&lt;&gt;"",项目总控台账!E65&lt;&gt;"/"),项目总控台账!E65,IF(AND(项目总控台账!D65&lt;&gt;"",项目总控台账!D65&lt;&gt;"/"),项目总控台账!D65,项目总控台账!C65))</f>
        <v>获取查询</v>
      </c>
      <c r="D66" s="6" t="str">
        <f>项目总控台账!F65</f>
        <v>第一批次</v>
      </c>
      <c r="E66" s="6" t="str">
        <f>项目总控台账!G65</f>
        <v>已完成</v>
      </c>
      <c r="F66" s="6" t="str">
        <f>项目总控台账!H65</f>
        <v>郑士旺</v>
      </c>
      <c r="G66" s="16">
        <f>项目总控台账!J65</f>
        <v>46261</v>
      </c>
      <c r="H66" s="6">
        <f>IF(G66="","",G66-项目驾驶舱!$B$3)</f>
        <v>-7</v>
      </c>
      <c r="I66" s="6" t="str">
        <f>项目总控台账!AC65</f>
        <v>正常</v>
      </c>
      <c r="J66" s="6" t="str">
        <f>项目总控台账!AD65</f>
        <v>69</v>
      </c>
      <c r="K66" s="6" t="str">
        <f t="shared" si="0"/>
        <v/>
      </c>
      <c r="L66" s="9"/>
      <c r="M66" s="8"/>
    </row>
    <row r="67" spans="1:13">
      <c r="A67" s="6" t="str">
        <f>IF(B67="","",IF(AND(E67&lt;&gt;"已完成",ISNUMBER(G67),G67&lt;=项目驾驶舱!$B$3+14),"是","否"))</f>
        <v>否</v>
      </c>
      <c r="B67" s="6" t="str">
        <f>项目总控台账!A66</f>
        <v>T063</v>
      </c>
      <c r="C67" s="6" t="str">
        <f>IF(AND(项目总控台账!E66&lt;&gt;"",项目总控台账!E66&lt;&gt;"/"),项目总控台账!E66,IF(AND(项目总控台账!D66&lt;&gt;"",项目总控台账!D66&lt;&gt;"/"),项目总控台账!D66,项目总控台账!C66))</f>
        <v>卸船作业货权跟踪</v>
      </c>
      <c r="D67" s="6" t="str">
        <f>项目总控台账!F66</f>
        <v>第一批次</v>
      </c>
      <c r="E67" s="6" t="str">
        <f>项目总控台账!G66</f>
        <v>已完成</v>
      </c>
      <c r="F67" s="6" t="str">
        <f>项目总控台账!H66</f>
        <v>郑士旺</v>
      </c>
      <c r="G67" s="16">
        <f>项目总控台账!J66</f>
        <v>46261</v>
      </c>
      <c r="H67" s="6">
        <f>IF(G67="","",G67-项目驾驶舱!$B$3)</f>
        <v>-7</v>
      </c>
      <c r="I67" s="6" t="str">
        <f>项目总控台账!AC66</f>
        <v>正常</v>
      </c>
      <c r="J67" s="6" t="str">
        <f>项目总控台账!AD66</f>
        <v>69</v>
      </c>
      <c r="K67" s="6" t="str">
        <f t="shared" si="0"/>
        <v/>
      </c>
      <c r="L67" s="9"/>
      <c r="M67" s="8"/>
    </row>
    <row r="68" spans="1:13">
      <c r="A68" s="6" t="str">
        <f>IF(B68="","",IF(AND(E68&lt;&gt;"已完成",ISNUMBER(G68),G68&lt;=项目驾驶舱!$B$3+14),"是","否"))</f>
        <v>否</v>
      </c>
      <c r="B68" s="6" t="str">
        <f>项目总控台账!A67</f>
        <v>T064</v>
      </c>
      <c r="C68" s="6" t="str">
        <f>IF(AND(项目总控台账!E67&lt;&gt;"",项目总控台账!E67&lt;&gt;"/"),项目总控台账!E67,IF(AND(项目总控台账!D67&lt;&gt;"",项目总控台账!D67&lt;&gt;"/"),项目总控台账!D67,项目总控台账!C67))</f>
        <v>卸船作业货权跟踪</v>
      </c>
      <c r="D68" s="6" t="str">
        <f>项目总控台账!F67</f>
        <v>第一批次</v>
      </c>
      <c r="E68" s="6" t="str">
        <f>项目总控台账!G67</f>
        <v>已完成</v>
      </c>
      <c r="F68" s="6" t="str">
        <f>项目总控台账!H67</f>
        <v>郑士旺</v>
      </c>
      <c r="G68" s="16">
        <f>项目总控台账!J67</f>
        <v>46261</v>
      </c>
      <c r="H68" s="6">
        <f>IF(G68="","",G68-项目驾驶舱!$B$3)</f>
        <v>-7</v>
      </c>
      <c r="I68" s="6" t="str">
        <f>项目总控台账!AC67</f>
        <v>正常</v>
      </c>
      <c r="J68" s="6" t="str">
        <f>项目总控台账!AD67</f>
        <v>69</v>
      </c>
      <c r="K68" s="6" t="str">
        <f t="shared" si="0"/>
        <v/>
      </c>
      <c r="L68" s="9"/>
      <c r="M68" s="8"/>
    </row>
    <row r="69" spans="1:13">
      <c r="A69" s="6" t="str">
        <f>IF(B69="","",IF(AND(E69&lt;&gt;"已完成",ISNUMBER(G69),G69&lt;=项目驾驶舱!$B$3+14),"是","否"))</f>
        <v>否</v>
      </c>
      <c r="B69" s="6" t="str">
        <f>项目总控台账!A68</f>
        <v>T065</v>
      </c>
      <c r="C69" s="6" t="str">
        <f>IF(AND(项目总控台账!E68&lt;&gt;"",项目总控台账!E68&lt;&gt;"/"),项目总控台账!E68,IF(AND(项目总控台账!D68&lt;&gt;"",项目总控台账!D68&lt;&gt;"/"),项目总控台账!D68,项目总控台账!C68))</f>
        <v>装船作业货权跟踪</v>
      </c>
      <c r="D69" s="6" t="str">
        <f>项目总控台账!F68</f>
        <v>第一批次</v>
      </c>
      <c r="E69" s="6" t="str">
        <f>项目总控台账!G68</f>
        <v>已完成</v>
      </c>
      <c r="F69" s="6" t="str">
        <f>项目总控台账!H68</f>
        <v>郑士旺</v>
      </c>
      <c r="G69" s="16">
        <f>项目总控台账!J68</f>
        <v>46261</v>
      </c>
      <c r="H69" s="6">
        <f>IF(G69="","",G69-项目驾驶舱!$B$3)</f>
        <v>-7</v>
      </c>
      <c r="I69" s="6" t="str">
        <f>项目总控台账!AC68</f>
        <v>正常</v>
      </c>
      <c r="J69" s="6" t="str">
        <f>项目总控台账!AD68</f>
        <v>69</v>
      </c>
      <c r="K69" s="6" t="str">
        <f t="shared" ref="K69:K132" si="1">IF(A69&lt;&gt;"是","",IF(OR(E69="暂停",E69="挂起"),"确认暂停原因、恢复条件和责任人",IF(H69&lt;0,"立即确认延期原因、影响及补救计划",IF(H69&lt;=7,"本周确认交付承诺和完成证据","提前检查依赖与风险"))))</f>
        <v/>
      </c>
      <c r="L69" s="9"/>
      <c r="M69" s="8"/>
    </row>
    <row r="70" spans="1:13">
      <c r="A70" s="6" t="str">
        <f>IF(B70="","",IF(AND(E70&lt;&gt;"已完成",ISNUMBER(G70),G70&lt;=项目驾驶舱!$B$3+14),"是","否"))</f>
        <v>否</v>
      </c>
      <c r="B70" s="6" t="str">
        <f>项目总控台账!A69</f>
        <v>T066</v>
      </c>
      <c r="C70" s="6" t="str">
        <f>IF(AND(项目总控台账!E69&lt;&gt;"",项目总控台账!E69&lt;&gt;"/"),项目总控台账!E69,IF(AND(项目总控台账!D69&lt;&gt;"",项目总控台账!D69&lt;&gt;"/"),项目总控台账!D69,项目总控台账!C69))</f>
        <v>装船作业货权跟踪</v>
      </c>
      <c r="D70" s="6" t="str">
        <f>项目总控台账!F69</f>
        <v>第一批次</v>
      </c>
      <c r="E70" s="6" t="str">
        <f>项目总控台账!G69</f>
        <v>已完成</v>
      </c>
      <c r="F70" s="6" t="str">
        <f>项目总控台账!H69</f>
        <v>郑士旺</v>
      </c>
      <c r="G70" s="16">
        <f>项目总控台账!J69</f>
        <v>46261</v>
      </c>
      <c r="H70" s="6">
        <f>IF(G70="","",G70-项目驾驶舱!$B$3)</f>
        <v>-7</v>
      </c>
      <c r="I70" s="6" t="str">
        <f>项目总控台账!AC69</f>
        <v>正常</v>
      </c>
      <c r="J70" s="6" t="str">
        <f>项目总控台账!AD69</f>
        <v>69</v>
      </c>
      <c r="K70" s="6" t="str">
        <f t="shared" si="1"/>
        <v/>
      </c>
      <c r="L70" s="9"/>
      <c r="M70" s="8"/>
    </row>
    <row r="71" spans="1:13">
      <c r="A71" s="6" t="str">
        <f>IF(B71="","",IF(AND(E71&lt;&gt;"已完成",ISNUMBER(G71),G71&lt;=项目驾驶舱!$B$3+14),"是","否"))</f>
        <v>否</v>
      </c>
      <c r="B71" s="6" t="str">
        <f>项目总控台账!A70</f>
        <v>T067</v>
      </c>
      <c r="C71" s="6" t="str">
        <f>IF(AND(项目总控台账!E70&lt;&gt;"",项目总控台账!E70&lt;&gt;"/"),项目总控台账!E70,IF(AND(项目总控台账!D70&lt;&gt;"",项目总控台账!D70&lt;&gt;"/"),项目总控台账!D70,项目总控台账!C70))</f>
        <v>装船作业货权跟踪</v>
      </c>
      <c r="D71" s="6" t="str">
        <f>项目总控台账!F70</f>
        <v>第一批次</v>
      </c>
      <c r="E71" s="6" t="str">
        <f>项目总控台账!G70</f>
        <v>已完成</v>
      </c>
      <c r="F71" s="6" t="str">
        <f>项目总控台账!H70</f>
        <v>郑士旺</v>
      </c>
      <c r="G71" s="16">
        <f>项目总控台账!J70</f>
        <v>46261</v>
      </c>
      <c r="H71" s="6">
        <f>IF(G71="","",G71-项目驾驶舱!$B$3)</f>
        <v>-7</v>
      </c>
      <c r="I71" s="6" t="str">
        <f>项目总控台账!AC70</f>
        <v>正常</v>
      </c>
      <c r="J71" s="6" t="str">
        <f>项目总控台账!AD70</f>
        <v>69</v>
      </c>
      <c r="K71" s="6" t="str">
        <f t="shared" si="1"/>
        <v/>
      </c>
      <c r="L71" s="9"/>
      <c r="M71" s="8"/>
    </row>
    <row r="72" spans="1:13">
      <c r="A72" s="6" t="str">
        <f>IF(B72="","",IF(AND(E72&lt;&gt;"已完成",ISNUMBER(G72),G72&lt;=项目驾驶舱!$B$3+14),"是","否"))</f>
        <v>否</v>
      </c>
      <c r="B72" s="6" t="str">
        <f>项目总控台账!A71</f>
        <v>T068</v>
      </c>
      <c r="C72" s="6" t="str">
        <f>IF(AND(项目总控台账!E71&lt;&gt;"",项目总控台账!E71&lt;&gt;"/"),项目总控台账!E71,IF(AND(项目总控台账!D71&lt;&gt;"",项目总控台账!D71&lt;&gt;"/"),项目总控台账!D71,项目总控台账!C71))</f>
        <v>装船作业货权跟踪</v>
      </c>
      <c r="D72" s="6" t="str">
        <f>项目总控台账!F71</f>
        <v>第一批次</v>
      </c>
      <c r="E72" s="6" t="str">
        <f>项目总控台账!G71</f>
        <v>已完成</v>
      </c>
      <c r="F72" s="6" t="str">
        <f>项目总控台账!H71</f>
        <v>郑士旺</v>
      </c>
      <c r="G72" s="16">
        <f>项目总控台账!J71</f>
        <v>46261</v>
      </c>
      <c r="H72" s="6">
        <f>IF(G72="","",G72-项目驾驶舱!$B$3)</f>
        <v>-7</v>
      </c>
      <c r="I72" s="6" t="str">
        <f>项目总控台账!AC71</f>
        <v>正常</v>
      </c>
      <c r="J72" s="6" t="str">
        <f>项目总控台账!AD71</f>
        <v>69</v>
      </c>
      <c r="K72" s="6" t="str">
        <f t="shared" si="1"/>
        <v/>
      </c>
      <c r="L72" s="9"/>
      <c r="M72" s="8"/>
    </row>
    <row r="73" spans="1:13">
      <c r="A73" s="6" t="str">
        <f>IF(B73="","",IF(AND(E73&lt;&gt;"已完成",ISNUMBER(G73),G73&lt;=项目驾驶舱!$B$3+14),"是","否"))</f>
        <v>否</v>
      </c>
      <c r="B73" s="6" t="str">
        <f>项目总控台账!A72</f>
        <v>T069</v>
      </c>
      <c r="C73" s="6" t="str">
        <f>IF(AND(项目总控台账!E72&lt;&gt;"",项目总控台账!E72&lt;&gt;"/"),项目总控台账!E72,IF(AND(项目总控台账!D72&lt;&gt;"",项目总控台账!D72&lt;&gt;"/"),项目总控台账!D72,项目总控台账!C72))</f>
        <v>新增、详情、修改页内容调整</v>
      </c>
      <c r="D73" s="6" t="str">
        <f>项目总控台账!F72</f>
        <v>第一批次</v>
      </c>
      <c r="E73" s="6" t="str">
        <f>项目总控台账!G72</f>
        <v>已完成</v>
      </c>
      <c r="F73" s="6" t="str">
        <f>项目总控台账!H72</f>
        <v>郑士旺</v>
      </c>
      <c r="G73" s="16">
        <f>项目总控台账!J72</f>
        <v>46224</v>
      </c>
      <c r="H73" s="6">
        <f>IF(G73="","",G73-项目驾驶舱!$B$3)</f>
        <v>-44</v>
      </c>
      <c r="I73" s="6" t="str">
        <f>项目总控台账!AC72</f>
        <v>正常</v>
      </c>
      <c r="J73" s="6" t="str">
        <f>项目总控台账!AD72</f>
        <v>69</v>
      </c>
      <c r="K73" s="6" t="str">
        <f t="shared" si="1"/>
        <v/>
      </c>
      <c r="L73" s="9"/>
      <c r="M73" s="8"/>
    </row>
    <row r="74" spans="1:13">
      <c r="A74" s="6" t="str">
        <f>IF(B74="","",IF(AND(E74&lt;&gt;"已完成",ISNUMBER(G74),G74&lt;=项目驾驶舱!$B$3+14),"是","否"))</f>
        <v>否</v>
      </c>
      <c r="B74" s="6" t="str">
        <f>项目总控台账!A73</f>
        <v>T070</v>
      </c>
      <c r="C74" s="6" t="str">
        <f>IF(AND(项目总控台账!E73&lt;&gt;"",项目总控台账!E73&lt;&gt;"/"),项目总控台账!E73,IF(AND(项目总控台账!D73&lt;&gt;"",项目总控台账!D73&lt;&gt;"/"),项目总控台账!D73,项目总控台账!C73))</f>
        <v>生成报告</v>
      </c>
      <c r="D74" s="6" t="str">
        <f>项目总控台账!F73</f>
        <v>第一批次</v>
      </c>
      <c r="E74" s="6" t="str">
        <f>项目总控台账!G73</f>
        <v>已完成</v>
      </c>
      <c r="F74" s="6" t="str">
        <f>项目总控台账!H73</f>
        <v>郑士旺</v>
      </c>
      <c r="G74" s="16">
        <f>项目总控台账!J73</f>
        <v>46224</v>
      </c>
      <c r="H74" s="6">
        <f>IF(G74="","",G74-项目驾驶舱!$B$3)</f>
        <v>-44</v>
      </c>
      <c r="I74" s="6" t="str">
        <f>项目总控台账!AC73</f>
        <v>正常</v>
      </c>
      <c r="J74" s="6" t="str">
        <f>项目总控台账!AD73</f>
        <v>69</v>
      </c>
      <c r="K74" s="6" t="str">
        <f t="shared" si="1"/>
        <v/>
      </c>
      <c r="L74" s="9"/>
      <c r="M74" s="8"/>
    </row>
    <row r="75" spans="1:13">
      <c r="A75" s="6" t="str">
        <f>IF(B75="","",IF(AND(E75&lt;&gt;"已完成",ISNUMBER(G75),G75&lt;=项目驾驶舱!$B$3+14),"是","否"))</f>
        <v>否</v>
      </c>
      <c r="B75" s="6" t="str">
        <f>项目总控台账!A74</f>
        <v>T071</v>
      </c>
      <c r="C75" s="6" t="str">
        <f>IF(AND(项目总控台账!E74&lt;&gt;"",项目总控台账!E74&lt;&gt;"/"),项目总控台账!E74,IF(AND(项目总控台账!D74&lt;&gt;"",项目总控台账!D74&lt;&gt;"/"),项目总控台账!D74,项目总控台账!C74))</f>
        <v>装船作业信息录入优化（太仓）</v>
      </c>
      <c r="D75" s="6" t="str">
        <f>项目总控台账!F74</f>
        <v>第一批次</v>
      </c>
      <c r="E75" s="6" t="str">
        <f>项目总控台账!G74</f>
        <v>已完成</v>
      </c>
      <c r="F75" s="6" t="str">
        <f>项目总控台账!H74</f>
        <v>郑士旺</v>
      </c>
      <c r="G75" s="16">
        <f>项目总控台账!J74</f>
        <v>46224</v>
      </c>
      <c r="H75" s="6">
        <f>IF(G75="","",G75-项目驾驶舱!$B$3)</f>
        <v>-44</v>
      </c>
      <c r="I75" s="6" t="str">
        <f>项目总控台账!AC74</f>
        <v>正常</v>
      </c>
      <c r="J75" s="6" t="str">
        <f>项目总控台账!AD74</f>
        <v>69</v>
      </c>
      <c r="K75" s="6" t="str">
        <f t="shared" si="1"/>
        <v/>
      </c>
      <c r="L75" s="9"/>
      <c r="M75" s="8"/>
    </row>
    <row r="76" spans="1:13">
      <c r="A76" s="6" t="str">
        <f>IF(B76="","",IF(AND(E76&lt;&gt;"已完成",ISNUMBER(G76),G76&lt;=项目驾驶舱!$B$3+14),"是","否"))</f>
        <v>否</v>
      </c>
      <c r="B76" s="6" t="str">
        <f>项目总控台账!A75</f>
        <v>T072</v>
      </c>
      <c r="C76" s="6" t="str">
        <f>IF(AND(项目总控台账!E75&lt;&gt;"",项目总控台账!E75&lt;&gt;"/"),项目总控台账!E75,IF(AND(项目总控台账!D75&lt;&gt;"",项目总控台账!D75&lt;&gt;"/"),项目总控台账!D75,项目总控台账!C75))</f>
        <v>OCR识别</v>
      </c>
      <c r="D76" s="6" t="str">
        <f>项目总控台账!F75</f>
        <v>第一批次</v>
      </c>
      <c r="E76" s="6" t="str">
        <f>项目总控台账!G75</f>
        <v>已完成</v>
      </c>
      <c r="F76" s="6" t="str">
        <f>项目总控台账!H75</f>
        <v>郑士旺</v>
      </c>
      <c r="G76" s="16">
        <f>项目总控台账!J75</f>
        <v>46234</v>
      </c>
      <c r="H76" s="6">
        <f>IF(G76="","",G76-项目驾驶舱!$B$3)</f>
        <v>-34</v>
      </c>
      <c r="I76" s="6" t="str">
        <f>项目总控台账!AC75</f>
        <v>正常</v>
      </c>
      <c r="J76" s="6" t="str">
        <f>项目总控台账!AD75</f>
        <v>69</v>
      </c>
      <c r="K76" s="6" t="str">
        <f t="shared" si="1"/>
        <v/>
      </c>
      <c r="L76" s="9"/>
      <c r="M76" s="8"/>
    </row>
    <row r="77" spans="1:13">
      <c r="A77" s="6" t="str">
        <f>IF(B77="","",IF(AND(E77&lt;&gt;"已完成",ISNUMBER(G77),G77&lt;=项目驾驶舱!$B$3+14),"是","否"))</f>
        <v>否</v>
      </c>
      <c r="B77" s="6" t="str">
        <f>项目总控台账!A76</f>
        <v>T073</v>
      </c>
      <c r="C77" s="6" t="str">
        <f>IF(AND(项目总控台账!E76&lt;&gt;"",项目总控台账!E76&lt;&gt;"/"),项目总控台账!E76,IF(AND(项目总控台账!D76&lt;&gt;"",项目总控台账!D76&lt;&gt;"/"),项目总控台账!D76,项目总控台账!C76))</f>
        <v>采样作业信息录入新增</v>
      </c>
      <c r="D77" s="6" t="str">
        <f>项目总控台账!F76</f>
        <v>第一批次</v>
      </c>
      <c r="E77" s="6" t="str">
        <f>项目总控台账!G76</f>
        <v>已完成</v>
      </c>
      <c r="F77" s="6" t="str">
        <f>项目总控台账!H76</f>
        <v>郑士旺</v>
      </c>
      <c r="G77" s="16">
        <f>项目总控台账!J76</f>
        <v>46224</v>
      </c>
      <c r="H77" s="6">
        <f>IF(G77="","",G77-项目驾驶舱!$B$3)</f>
        <v>-44</v>
      </c>
      <c r="I77" s="6" t="str">
        <f>项目总控台账!AC76</f>
        <v>正常</v>
      </c>
      <c r="J77" s="6" t="str">
        <f>项目总控台账!AD76</f>
        <v>69</v>
      </c>
      <c r="K77" s="6" t="str">
        <f t="shared" si="1"/>
        <v/>
      </c>
      <c r="L77" s="9"/>
      <c r="M77" s="8"/>
    </row>
    <row r="78" spans="1:13">
      <c r="A78" s="6" t="str">
        <f>IF(B78="","",IF(AND(E78&lt;&gt;"已完成",ISNUMBER(G78),G78&lt;=项目驾驶舱!$B$3+14),"是","否"))</f>
        <v>否</v>
      </c>
      <c r="B78" s="6" t="str">
        <f>项目总控台账!A77</f>
        <v>T074</v>
      </c>
      <c r="C78" s="6" t="str">
        <f>IF(AND(项目总控台账!E77&lt;&gt;"",项目总控台账!E77&lt;&gt;"/"),项目总控台账!E77,IF(AND(项目总控台账!D77&lt;&gt;"",项目总控台账!D77&lt;&gt;"/"),项目总控台账!D77,项目总控台账!C77))</f>
        <v>采样作业信息录入编辑</v>
      </c>
      <c r="D78" s="6" t="str">
        <f>项目总控台账!F77</f>
        <v>第一批次</v>
      </c>
      <c r="E78" s="6" t="str">
        <f>项目总控台账!G77</f>
        <v>已完成</v>
      </c>
      <c r="F78" s="6" t="str">
        <f>项目总控台账!H77</f>
        <v>郑士旺</v>
      </c>
      <c r="G78" s="16">
        <f>项目总控台账!J77</f>
        <v>46224</v>
      </c>
      <c r="H78" s="6">
        <f>IF(G78="","",G78-项目驾驶舱!$B$3)</f>
        <v>-44</v>
      </c>
      <c r="I78" s="6" t="str">
        <f>项目总控台账!AC77</f>
        <v>正常</v>
      </c>
      <c r="J78" s="6" t="str">
        <f>项目总控台账!AD77</f>
        <v>69</v>
      </c>
      <c r="K78" s="6" t="str">
        <f t="shared" si="1"/>
        <v/>
      </c>
      <c r="L78" s="9"/>
      <c r="M78" s="8"/>
    </row>
    <row r="79" spans="1:13">
      <c r="A79" s="6" t="str">
        <f>IF(B79="","",IF(AND(E79&lt;&gt;"已完成",ISNUMBER(G79),G79&lt;=项目驾驶舱!$B$3+14),"是","否"))</f>
        <v>否</v>
      </c>
      <c r="B79" s="6" t="str">
        <f>项目总控台账!A78</f>
        <v>T075</v>
      </c>
      <c r="C79" s="6" t="str">
        <f>IF(AND(项目总控台账!E78&lt;&gt;"",项目总控台账!E78&lt;&gt;"/"),项目总控台账!E78,IF(AND(项目总控台账!D78&lt;&gt;"",项目总控台账!D78&lt;&gt;"/"),项目总控台账!D78,项目总控台账!C78))</f>
        <v>采样作业信息录入详情</v>
      </c>
      <c r="D79" s="6" t="str">
        <f>项目总控台账!F78</f>
        <v>第一批次</v>
      </c>
      <c r="E79" s="6" t="str">
        <f>项目总控台账!G78</f>
        <v>已完成</v>
      </c>
      <c r="F79" s="6" t="str">
        <f>项目总控台账!H78</f>
        <v>郑士旺</v>
      </c>
      <c r="G79" s="16">
        <f>项目总控台账!J78</f>
        <v>46224</v>
      </c>
      <c r="H79" s="6">
        <f>IF(G79="","",G79-项目驾驶舱!$B$3)</f>
        <v>-44</v>
      </c>
      <c r="I79" s="6" t="str">
        <f>项目总控台账!AC78</f>
        <v>正常</v>
      </c>
      <c r="J79" s="6" t="str">
        <f>项目总控台账!AD78</f>
        <v>69</v>
      </c>
      <c r="K79" s="6" t="str">
        <f t="shared" si="1"/>
        <v/>
      </c>
      <c r="L79" s="9"/>
      <c r="M79" s="8"/>
    </row>
    <row r="80" spans="1:13">
      <c r="A80" s="6" t="str">
        <f>IF(B80="","",IF(AND(E80&lt;&gt;"已完成",ISNUMBER(G80),G80&lt;=项目驾驶舱!$B$3+14),"是","否"))</f>
        <v>否</v>
      </c>
      <c r="B80" s="6" t="str">
        <f>项目总控台账!A79</f>
        <v>T076</v>
      </c>
      <c r="C80" s="6" t="str">
        <f>IF(AND(项目总控台账!E79&lt;&gt;"",项目总控台账!E79&lt;&gt;"/"),项目总控台账!E79,IF(AND(项目总控台账!D79&lt;&gt;"",项目总控台账!D79&lt;&gt;"/"),项目总控台账!D79,项目总控台账!C79))</f>
        <v>采样作业信息录入删除</v>
      </c>
      <c r="D80" s="6" t="str">
        <f>项目总控台账!F79</f>
        <v>第一批次</v>
      </c>
      <c r="E80" s="6" t="str">
        <f>项目总控台账!G79</f>
        <v>已完成</v>
      </c>
      <c r="F80" s="6" t="str">
        <f>项目总控台账!H79</f>
        <v>郑士旺</v>
      </c>
      <c r="G80" s="16">
        <f>项目总控台账!J79</f>
        <v>46224</v>
      </c>
      <c r="H80" s="6">
        <f>IF(G80="","",G80-项目驾驶舱!$B$3)</f>
        <v>-44</v>
      </c>
      <c r="I80" s="6" t="str">
        <f>项目总控台账!AC79</f>
        <v>正常</v>
      </c>
      <c r="J80" s="6" t="str">
        <f>项目总控台账!AD79</f>
        <v>69</v>
      </c>
      <c r="K80" s="6" t="str">
        <f t="shared" si="1"/>
        <v/>
      </c>
      <c r="L80" s="9"/>
      <c r="M80" s="8"/>
    </row>
    <row r="81" spans="1:13">
      <c r="A81" s="6" t="str">
        <f>IF(B81="","",IF(AND(E81&lt;&gt;"已完成",ISNUMBER(G81),G81&lt;=项目驾驶舱!$B$3+14),"是","否"))</f>
        <v>否</v>
      </c>
      <c r="B81" s="6" t="str">
        <f>项目总控台账!A80</f>
        <v>T077</v>
      </c>
      <c r="C81" s="6" t="str">
        <f>IF(AND(项目总控台账!E80&lt;&gt;"",项目总控台账!E80&lt;&gt;"/"),项目总控台账!E80,IF(AND(项目总控台账!D80&lt;&gt;"",项目总控台账!D80&lt;&gt;"/"),项目总控台账!D80,项目总控台账!C80))</f>
        <v>采样作业信息录入列表</v>
      </c>
      <c r="D81" s="6" t="str">
        <f>项目总控台账!F80</f>
        <v>第一批次</v>
      </c>
      <c r="E81" s="6" t="str">
        <f>项目总控台账!G80</f>
        <v>已完成</v>
      </c>
      <c r="F81" s="6" t="str">
        <f>项目总控台账!H80</f>
        <v>郑士旺</v>
      </c>
      <c r="G81" s="16">
        <f>项目总控台账!J80</f>
        <v>46224</v>
      </c>
      <c r="H81" s="6">
        <f>IF(G81="","",G81-项目驾驶舱!$B$3)</f>
        <v>-44</v>
      </c>
      <c r="I81" s="6" t="str">
        <f>项目总控台账!AC80</f>
        <v>正常</v>
      </c>
      <c r="J81" s="6" t="str">
        <f>项目总控台账!AD80</f>
        <v>69</v>
      </c>
      <c r="K81" s="6" t="str">
        <f t="shared" si="1"/>
        <v/>
      </c>
      <c r="L81" s="9"/>
      <c r="M81" s="8"/>
    </row>
    <row r="82" spans="1:13">
      <c r="A82" s="6" t="str">
        <f>IF(B82="","",IF(AND(E82&lt;&gt;"已完成",ISNUMBER(G82),G82&lt;=项目驾驶舱!$B$3+14),"是","否"))</f>
        <v>否</v>
      </c>
      <c r="B82" s="6" t="str">
        <f>项目总控台账!A81</f>
        <v>T078</v>
      </c>
      <c r="C82" s="6" t="str">
        <f>IF(AND(项目总控台账!E81&lt;&gt;"",项目总控台账!E81&lt;&gt;"/"),项目总控台账!E81,IF(AND(项目总控台账!D81&lt;&gt;"",项目总控台账!D81&lt;&gt;"/"),项目总控台账!D81,项目总控台账!C81))</f>
        <v>业务数据合同签订校验</v>
      </c>
      <c r="D82" s="6" t="str">
        <f>项目总控台账!F81</f>
        <v>第二批次</v>
      </c>
      <c r="E82" s="6" t="str">
        <f>项目总控台账!G81</f>
        <v>未开始</v>
      </c>
      <c r="F82" s="6" t="str">
        <f>项目总控台账!H81</f>
        <v>郑士旺</v>
      </c>
      <c r="G82" s="16">
        <f>项目总控台账!J81</f>
        <v>46339</v>
      </c>
      <c r="H82" s="6">
        <f>IF(G82="","",G82-项目驾驶舱!$B$3)</f>
        <v>71</v>
      </c>
      <c r="I82" s="6" t="str">
        <f>项目总控台账!AC81</f>
        <v>正常</v>
      </c>
      <c r="J82" s="6" t="str">
        <f>项目总控台账!AD81</f>
        <v>69</v>
      </c>
      <c r="K82" s="6" t="str">
        <f t="shared" si="1"/>
        <v/>
      </c>
      <c r="L82" s="9"/>
      <c r="M82" s="8"/>
    </row>
    <row r="83" spans="1:13">
      <c r="A83" s="6" t="str">
        <f>IF(B83="","",IF(AND(E83&lt;&gt;"已完成",ISNUMBER(G83),G83&lt;=项目驾驶舱!$B$3+14),"是","否"))</f>
        <v>否</v>
      </c>
      <c r="B83" s="6" t="str">
        <f>项目总控台账!A82</f>
        <v>T079</v>
      </c>
      <c r="C83" s="6" t="str">
        <f>IF(AND(项目总控台账!E82&lt;&gt;"",项目总控台账!E82&lt;&gt;"/"),项目总控台账!E82,IF(AND(项目总控台账!D82&lt;&gt;"",项目总控台账!D82&lt;&gt;"/"),项目总控台账!D82,项目总控台账!C82))</f>
        <v>结算数据合同签订校验</v>
      </c>
      <c r="D83" s="6" t="str">
        <f>项目总控台账!F82</f>
        <v>第二批次</v>
      </c>
      <c r="E83" s="6" t="str">
        <f>项目总控台账!G82</f>
        <v>未开始</v>
      </c>
      <c r="F83" s="6" t="str">
        <f>项目总控台账!H82</f>
        <v>郑士旺</v>
      </c>
      <c r="G83" s="16">
        <f>项目总控台账!J82</f>
        <v>46339</v>
      </c>
      <c r="H83" s="6">
        <f>IF(G83="","",G83-项目驾驶舱!$B$3)</f>
        <v>71</v>
      </c>
      <c r="I83" s="6" t="str">
        <f>项目总控台账!AC82</f>
        <v>正常</v>
      </c>
      <c r="J83" s="6" t="str">
        <f>项目总控台账!AD82</f>
        <v>69</v>
      </c>
      <c r="K83" s="6" t="str">
        <f t="shared" si="1"/>
        <v/>
      </c>
      <c r="L83" s="9"/>
      <c r="M83" s="8"/>
    </row>
    <row r="84" spans="1:13">
      <c r="A84" s="6" t="str">
        <f>IF(B84="","",IF(AND(E84&lt;&gt;"已完成",ISNUMBER(G84),G84&lt;=项目驾驶舱!$B$3+14),"是","否"))</f>
        <v>是</v>
      </c>
      <c r="B84" s="6" t="str">
        <f>项目总控台账!A83</f>
        <v>T080</v>
      </c>
      <c r="C84" s="6" t="str">
        <f>IF(AND(项目总控台账!E83&lt;&gt;"",项目总控台账!E83&lt;&gt;"/"),项目总控台账!E83,IF(AND(项目总控台账!D83&lt;&gt;"",项目总控台账!D83&lt;&gt;"/"),项目总控台账!D83,项目总控台账!C83))</f>
        <v>合同校验结果查询</v>
      </c>
      <c r="D84" s="6" t="str">
        <f>项目总控台账!F83</f>
        <v>第二批次</v>
      </c>
      <c r="E84" s="6" t="str">
        <f>项目总控台账!G83</f>
        <v>未开始</v>
      </c>
      <c r="F84" s="6" t="str">
        <f>项目总控台账!H83</f>
        <v>郑士旺</v>
      </c>
      <c r="G84" s="16">
        <f>项目总控台账!J83</f>
        <v>46261</v>
      </c>
      <c r="H84" s="6">
        <f>IF(G84="","",G84-项目驾驶舱!$B$3)</f>
        <v>-7</v>
      </c>
      <c r="I84" s="6" t="str">
        <f>项目总控台账!AC83</f>
        <v>已延期</v>
      </c>
      <c r="J84" s="6" t="str">
        <f>项目总控台账!AD83</f>
        <v>69</v>
      </c>
      <c r="K84" s="6" t="str">
        <f t="shared" si="1"/>
        <v>立即确认延期原因、影响及补救计划</v>
      </c>
      <c r="L84" s="9"/>
      <c r="M84" s="8"/>
    </row>
    <row r="85" spans="1:13">
      <c r="A85" s="6" t="str">
        <f>IF(B85="","",IF(AND(E85&lt;&gt;"已完成",ISNUMBER(G85),G85&lt;=项目驾驶舱!$B$3+14),"是","否"))</f>
        <v>否</v>
      </c>
      <c r="B85" s="6" t="str">
        <f>项目总控台账!A84</f>
        <v>T081</v>
      </c>
      <c r="C85" s="6" t="str">
        <f>IF(AND(项目总控台账!E84&lt;&gt;"",项目总控台账!E84&lt;&gt;"/"),项目总控台账!E84,IF(AND(项目总控台账!D84&lt;&gt;"",项目总控台账!D84&lt;&gt;"/"),项目总控台账!D84,项目总控台账!C84))</f>
        <v>数据对接</v>
      </c>
      <c r="D85" s="6" t="str">
        <f>项目总控台账!F84</f>
        <v>第二批次</v>
      </c>
      <c r="E85" s="6" t="str">
        <f>项目总控台账!G84</f>
        <v>未开始</v>
      </c>
      <c r="F85" s="6" t="str">
        <f>项目总控台账!H84</f>
        <v>郑士旺</v>
      </c>
      <c r="G85" s="16">
        <f>项目总控台账!J84</f>
        <v>46353</v>
      </c>
      <c r="H85" s="6">
        <f>IF(G85="","",G85-项目驾驶舱!$B$3)</f>
        <v>85</v>
      </c>
      <c r="I85" s="6" t="str">
        <f>项目总控台账!AC84</f>
        <v>正常</v>
      </c>
      <c r="J85" s="6" t="str">
        <f>项目总控台账!AD84</f>
        <v>69</v>
      </c>
      <c r="K85" s="6" t="str">
        <f t="shared" si="1"/>
        <v/>
      </c>
      <c r="L85" s="9"/>
      <c r="M85" s="8"/>
    </row>
    <row r="86" spans="1:13">
      <c r="A86" s="6" t="str">
        <f>IF(B86="","",IF(AND(E86&lt;&gt;"已完成",ISNUMBER(G86),G86&lt;=项目驾驶舱!$B$3+14),"是","否"))</f>
        <v>是</v>
      </c>
      <c r="B86" s="6" t="str">
        <f>项目总控台账!A85</f>
        <v>T082</v>
      </c>
      <c r="C86" s="6" t="str">
        <f>IF(AND(项目总控台账!E85&lt;&gt;"",项目总控台账!E85&lt;&gt;"/"),项目总控台账!E85,IF(AND(项目总控台账!D85&lt;&gt;"",项目总控台账!D85&lt;&gt;"/"),项目总控台账!D85,项目总控台账!C85))</f>
        <v>数据展示</v>
      </c>
      <c r="D86" s="6" t="str">
        <f>项目总控台账!F85</f>
        <v>第二批次</v>
      </c>
      <c r="E86" s="6" t="str">
        <f>项目总控台账!G85</f>
        <v>未开始</v>
      </c>
      <c r="F86" s="6" t="str">
        <f>项目总控台账!H85</f>
        <v>郑士旺</v>
      </c>
      <c r="G86" s="16">
        <f>项目总控台账!J85</f>
        <v>46224</v>
      </c>
      <c r="H86" s="6">
        <f>IF(G86="","",G86-项目驾驶舱!$B$3)</f>
        <v>-44</v>
      </c>
      <c r="I86" s="6" t="str">
        <f>项目总控台账!AC85</f>
        <v>已延期</v>
      </c>
      <c r="J86" s="6" t="str">
        <f>项目总控台账!AD85</f>
        <v>69</v>
      </c>
      <c r="K86" s="6" t="str">
        <f t="shared" si="1"/>
        <v>立即确认延期原因、影响及补救计划</v>
      </c>
      <c r="L86" s="9"/>
      <c r="M86" s="8"/>
    </row>
    <row r="87" spans="1:13">
      <c r="A87" s="6" t="str">
        <f>IF(B87="","",IF(AND(E87&lt;&gt;"已完成",ISNUMBER(G87),G87&lt;=项目驾驶舱!$B$3+14),"是","否"))</f>
        <v>是</v>
      </c>
      <c r="B87" s="6" t="str">
        <f>项目总控台账!A86</f>
        <v>T083</v>
      </c>
      <c r="C87" s="6" t="str">
        <f>IF(AND(项目总控台账!E86&lt;&gt;"",项目总控台账!E86&lt;&gt;"/"),项目总控台账!E86,IF(AND(项目总控台账!D86&lt;&gt;"",项目总控台账!D86&lt;&gt;"/"),项目总控台账!D86,项目总控台账!C86))</f>
        <v>数据对接</v>
      </c>
      <c r="D87" s="6" t="str">
        <f>项目总控台账!F86</f>
        <v>第二批次</v>
      </c>
      <c r="E87" s="6" t="str">
        <f>项目总控台账!G86</f>
        <v>未开始</v>
      </c>
      <c r="F87" s="6" t="str">
        <f>项目总控台账!H86</f>
        <v>郑士旺</v>
      </c>
      <c r="G87" s="16">
        <f>项目总控台账!J86</f>
        <v>46224</v>
      </c>
      <c r="H87" s="6">
        <f>IF(G87="","",G87-项目驾驶舱!$B$3)</f>
        <v>-44</v>
      </c>
      <c r="I87" s="6" t="str">
        <f>项目总控台账!AC86</f>
        <v>已延期</v>
      </c>
      <c r="J87" s="6" t="str">
        <f>项目总控台账!AD86</f>
        <v>69</v>
      </c>
      <c r="K87" s="6" t="str">
        <f t="shared" si="1"/>
        <v>立即确认延期原因、影响及补救计划</v>
      </c>
      <c r="L87" s="9"/>
      <c r="M87" s="8"/>
    </row>
    <row r="88" spans="1:13">
      <c r="A88" s="6" t="str">
        <f>IF(B88="","",IF(AND(E88&lt;&gt;"已完成",ISNUMBER(G88),G88&lt;=项目驾驶舱!$B$3+14),"是","否"))</f>
        <v>是</v>
      </c>
      <c r="B88" s="6" t="str">
        <f>项目总控台账!A87</f>
        <v>T084</v>
      </c>
      <c r="C88" s="6" t="str">
        <f>IF(AND(项目总控台账!E87&lt;&gt;"",项目总控台账!E87&lt;&gt;"/"),项目总控台账!E87,IF(AND(项目总控台账!D87&lt;&gt;"",项目总控台账!D87&lt;&gt;"/"),项目总控台账!D87,项目总控台账!C87))</f>
        <v>数据产生</v>
      </c>
      <c r="D88" s="6" t="str">
        <f>项目总控台账!F87</f>
        <v>第二批次</v>
      </c>
      <c r="E88" s="6" t="str">
        <f>项目总控台账!G87</f>
        <v>未开始</v>
      </c>
      <c r="F88" s="6" t="str">
        <f>项目总控台账!H87</f>
        <v>郑士旺</v>
      </c>
      <c r="G88" s="16">
        <f>项目总控台账!J87</f>
        <v>46224</v>
      </c>
      <c r="H88" s="6">
        <f>IF(G88="","",G88-项目驾驶舱!$B$3)</f>
        <v>-44</v>
      </c>
      <c r="I88" s="6" t="str">
        <f>项目总控台账!AC87</f>
        <v>已延期</v>
      </c>
      <c r="J88" s="6" t="str">
        <f>项目总控台账!AD87</f>
        <v>69</v>
      </c>
      <c r="K88" s="6" t="str">
        <f t="shared" si="1"/>
        <v>立即确认延期原因、影响及补救计划</v>
      </c>
      <c r="L88" s="9"/>
      <c r="M88" s="8"/>
    </row>
    <row r="89" spans="1:13">
      <c r="A89" s="6" t="str">
        <f>IF(B89="","",IF(AND(E89&lt;&gt;"已完成",ISNUMBER(G89),G89&lt;=项目驾驶舱!$B$3+14),"是","否"))</f>
        <v>是</v>
      </c>
      <c r="B89" s="6" t="str">
        <f>项目总控台账!A88</f>
        <v>T085</v>
      </c>
      <c r="C89" s="6" t="str">
        <f>IF(AND(项目总控台账!E88&lt;&gt;"",项目总控台账!E88&lt;&gt;"/"),项目总控台账!E88,IF(AND(项目总控台账!D88&lt;&gt;"",项目总控台账!D88&lt;&gt;"/"),项目总控台账!D88,项目总控台账!C88))</f>
        <v>数据对接</v>
      </c>
      <c r="D89" s="6" t="str">
        <f>项目总控台账!F88</f>
        <v>第二批次</v>
      </c>
      <c r="E89" s="6" t="str">
        <f>项目总控台账!G88</f>
        <v>未开始</v>
      </c>
      <c r="F89" s="6" t="str">
        <f>项目总控台账!H88</f>
        <v>郑士旺</v>
      </c>
      <c r="G89" s="16">
        <f>项目总控台账!J88</f>
        <v>46224</v>
      </c>
      <c r="H89" s="6">
        <f>IF(G89="","",G89-项目驾驶舱!$B$3)</f>
        <v>-44</v>
      </c>
      <c r="I89" s="6" t="str">
        <f>项目总控台账!AC88</f>
        <v>已延期</v>
      </c>
      <c r="J89" s="6" t="str">
        <f>项目总控台账!AD88</f>
        <v>69</v>
      </c>
      <c r="K89" s="6" t="str">
        <f t="shared" si="1"/>
        <v>立即确认延期原因、影响及补救计划</v>
      </c>
      <c r="L89" s="9"/>
      <c r="M89" s="8"/>
    </row>
    <row r="90" spans="1:13">
      <c r="A90" s="6" t="str">
        <f>IF(B90="","",IF(AND(E90&lt;&gt;"已完成",ISNUMBER(G90),G90&lt;=项目驾驶舱!$B$3+14),"是","否"))</f>
        <v>是</v>
      </c>
      <c r="B90" s="6" t="str">
        <f>项目总控台账!A89</f>
        <v>T086</v>
      </c>
      <c r="C90" s="6" t="str">
        <f>IF(AND(项目总控台账!E89&lt;&gt;"",项目总控台账!E89&lt;&gt;"/"),项目总控台账!E89,IF(AND(项目总控台账!D89&lt;&gt;"",项目总控台账!D89&lt;&gt;"/"),项目总控台账!D89,项目总控台账!C89))</f>
        <v>数据展示</v>
      </c>
      <c r="D90" s="6" t="str">
        <f>项目总控台账!F89</f>
        <v>第二批次</v>
      </c>
      <c r="E90" s="6" t="str">
        <f>项目总控台账!G89</f>
        <v>未开始</v>
      </c>
      <c r="F90" s="6" t="str">
        <f>项目总控台账!H89</f>
        <v>郑士旺</v>
      </c>
      <c r="G90" s="16">
        <f>项目总控台账!J89</f>
        <v>46224</v>
      </c>
      <c r="H90" s="6">
        <f>IF(G90="","",G90-项目驾驶舱!$B$3)</f>
        <v>-44</v>
      </c>
      <c r="I90" s="6" t="str">
        <f>项目总控台账!AC89</f>
        <v>已延期</v>
      </c>
      <c r="J90" s="6" t="str">
        <f>项目总控台账!AD89</f>
        <v>69</v>
      </c>
      <c r="K90" s="6" t="str">
        <f t="shared" si="1"/>
        <v>立即确认延期原因、影响及补救计划</v>
      </c>
      <c r="L90" s="9"/>
      <c r="M90" s="8"/>
    </row>
    <row r="91" spans="1:13">
      <c r="A91" s="6" t="str">
        <f>IF(B91="","",IF(AND(E91&lt;&gt;"已完成",ISNUMBER(G91),G91&lt;=项目驾驶舱!$B$3+14),"是","否"))</f>
        <v>是</v>
      </c>
      <c r="B91" s="6" t="str">
        <f>项目总控台账!A90</f>
        <v>T087</v>
      </c>
      <c r="C91" s="6" t="str">
        <f>IF(AND(项目总控台账!E90&lt;&gt;"",项目总控台账!E90&lt;&gt;"/"),项目总控台账!E90,IF(AND(项目总控台账!D90&lt;&gt;"",项目总控台账!D90&lt;&gt;"/"),项目总控台账!D90,项目总控台账!C90))</f>
        <v>数据对接</v>
      </c>
      <c r="D91" s="6" t="str">
        <f>项目总控台账!F90</f>
        <v>第二批次</v>
      </c>
      <c r="E91" s="6" t="str">
        <f>项目总控台账!G90</f>
        <v>未开始</v>
      </c>
      <c r="F91" s="6" t="str">
        <f>项目总控台账!H90</f>
        <v>郑士旺</v>
      </c>
      <c r="G91" s="16">
        <f>项目总控台账!J90</f>
        <v>46224</v>
      </c>
      <c r="H91" s="6">
        <f>IF(G91="","",G91-项目驾驶舱!$B$3)</f>
        <v>-44</v>
      </c>
      <c r="I91" s="6" t="str">
        <f>项目总控台账!AC90</f>
        <v>已延期</v>
      </c>
      <c r="J91" s="6" t="str">
        <f>项目总控台账!AD90</f>
        <v>69</v>
      </c>
      <c r="K91" s="6" t="str">
        <f t="shared" si="1"/>
        <v>立即确认延期原因、影响及补救计划</v>
      </c>
      <c r="L91" s="9"/>
      <c r="M91" s="8"/>
    </row>
    <row r="92" spans="1:13">
      <c r="A92" s="6" t="str">
        <f>IF(B92="","",IF(AND(E92&lt;&gt;"已完成",ISNUMBER(G92),G92&lt;=项目驾驶舱!$B$3+14),"是","否"))</f>
        <v>否</v>
      </c>
      <c r="B92" s="6" t="str">
        <f>项目总控台账!A91</f>
        <v>T088</v>
      </c>
      <c r="C92" s="6" t="str">
        <f>IF(AND(项目总控台账!E91&lt;&gt;"",项目总控台账!E91&lt;&gt;"/"),项目总控台账!E91,IF(AND(项目总控台账!D91&lt;&gt;"",项目总控台账!D91&lt;&gt;"/"),项目总控台账!D91,项目总控台账!C91))</f>
        <v>数据展示</v>
      </c>
      <c r="D92" s="6" t="str">
        <f>项目总控台账!F91</f>
        <v>第二批次</v>
      </c>
      <c r="E92" s="6" t="str">
        <f>项目总控台账!G91</f>
        <v>未开始</v>
      </c>
      <c r="F92" s="6" t="str">
        <f>项目总控台账!H91</f>
        <v>郑士旺</v>
      </c>
      <c r="G92" s="16">
        <f>项目总控台账!J91</f>
        <v>46353</v>
      </c>
      <c r="H92" s="6">
        <f>IF(G92="","",G92-项目驾驶舱!$B$3)</f>
        <v>85</v>
      </c>
      <c r="I92" s="6" t="str">
        <f>项目总控台账!AC91</f>
        <v>正常</v>
      </c>
      <c r="J92" s="6" t="str">
        <f>项目总控台账!AD91</f>
        <v>69</v>
      </c>
      <c r="K92" s="6" t="str">
        <f t="shared" si="1"/>
        <v/>
      </c>
      <c r="L92" s="9"/>
      <c r="M92" s="8"/>
    </row>
    <row r="93" spans="1:13">
      <c r="A93" s="6" t="str">
        <f>IF(B93="","",IF(AND(E93&lt;&gt;"已完成",ISNUMBER(G93),G93&lt;=项目驾驶舱!$B$3+14),"是","否"))</f>
        <v>否</v>
      </c>
      <c r="B93" s="6" t="str">
        <f>项目总控台账!A92</f>
        <v>T089</v>
      </c>
      <c r="C93" s="6" t="str">
        <f>IF(AND(项目总控台账!E92&lt;&gt;"",项目总控台账!E92&lt;&gt;"/"),项目总控台账!E92,IF(AND(项目总控台账!D92&lt;&gt;"",项目总控台账!D92&lt;&gt;"/"),项目总控台账!D92,项目总控台账!C92))</f>
        <v>新增采样服务费（外贸）</v>
      </c>
      <c r="D93" s="6" t="str">
        <f>项目总控台账!F92</f>
        <v>第二批次</v>
      </c>
      <c r="E93" s="6" t="str">
        <f>项目总控台账!G92</f>
        <v>未开始</v>
      </c>
      <c r="F93" s="6" t="str">
        <f>项目总控台账!H92</f>
        <v>郑士旺</v>
      </c>
      <c r="G93" s="16">
        <f>项目总控台账!J92</f>
        <v>46353</v>
      </c>
      <c r="H93" s="6">
        <f>IF(G93="","",G93-项目驾驶舱!$B$3)</f>
        <v>85</v>
      </c>
      <c r="I93" s="6" t="str">
        <f>项目总控台账!AC92</f>
        <v>正常</v>
      </c>
      <c r="J93" s="6" t="str">
        <f>项目总控台账!AD92</f>
        <v>69</v>
      </c>
      <c r="K93" s="6" t="str">
        <f t="shared" si="1"/>
        <v/>
      </c>
      <c r="L93" s="9"/>
      <c r="M93" s="8"/>
    </row>
    <row r="94" spans="1:13">
      <c r="A94" s="6" t="str">
        <f>IF(B94="","",IF(AND(E94&lt;&gt;"已完成",ISNUMBER(G94),G94&lt;=项目驾驶舱!$B$3+14),"是","否"))</f>
        <v>否</v>
      </c>
      <c r="B94" s="6" t="str">
        <f>项目总控台账!A93</f>
        <v>T090</v>
      </c>
      <c r="C94" s="6" t="str">
        <f>IF(AND(项目总控台账!E93&lt;&gt;"",项目总控台账!E93&lt;&gt;"/"),项目总控台账!E93,IF(AND(项目总控台账!D93&lt;&gt;"",项目总控台账!D93&lt;&gt;"/"),项目总控台账!D93,项目总控台账!C93))</f>
        <v>审批采样服务费（外贸）</v>
      </c>
      <c r="D94" s="6" t="str">
        <f>项目总控台账!F93</f>
        <v>第二批次</v>
      </c>
      <c r="E94" s="6" t="str">
        <f>项目总控台账!G93</f>
        <v>未开始</v>
      </c>
      <c r="F94" s="6" t="str">
        <f>项目总控台账!H93</f>
        <v>郑士旺</v>
      </c>
      <c r="G94" s="16">
        <f>项目总控台账!J93</f>
        <v>46353</v>
      </c>
      <c r="H94" s="6">
        <f>IF(G94="","",G94-项目驾驶舱!$B$3)</f>
        <v>85</v>
      </c>
      <c r="I94" s="6" t="str">
        <f>项目总控台账!AC93</f>
        <v>正常</v>
      </c>
      <c r="J94" s="6" t="str">
        <f>项目总控台账!AD93</f>
        <v>69</v>
      </c>
      <c r="K94" s="6" t="str">
        <f t="shared" si="1"/>
        <v/>
      </c>
      <c r="L94" s="9"/>
      <c r="M94" s="8"/>
    </row>
    <row r="95" spans="1:13">
      <c r="A95" s="6" t="str">
        <f>IF(B95="","",IF(AND(E95&lt;&gt;"已完成",ISNUMBER(G95),G95&lt;=项目驾驶舱!$B$3+14),"是","否"))</f>
        <v>否</v>
      </c>
      <c r="B95" s="6" t="str">
        <f>项目总控台账!A94</f>
        <v>T091</v>
      </c>
      <c r="C95" s="6" t="str">
        <f>IF(AND(项目总控台账!E94&lt;&gt;"",项目总控台账!E94&lt;&gt;"/"),项目总控台账!E94,IF(AND(项目总控台账!D94&lt;&gt;"",项目总控台账!D94&lt;&gt;"/"),项目总控台账!D94,项目总控台账!C94))</f>
        <v>单据签章</v>
      </c>
      <c r="D95" s="6" t="str">
        <f>项目总控台账!F94</f>
        <v>第二批次</v>
      </c>
      <c r="E95" s="6" t="str">
        <f>项目总控台账!G94</f>
        <v>未开始</v>
      </c>
      <c r="F95" s="6" t="str">
        <f>项目总控台账!H94</f>
        <v>郑士旺</v>
      </c>
      <c r="G95" s="16">
        <f>项目总控台账!J94</f>
        <v>46353</v>
      </c>
      <c r="H95" s="6">
        <f>IF(G95="","",G95-项目驾驶舱!$B$3)</f>
        <v>85</v>
      </c>
      <c r="I95" s="6" t="str">
        <f>项目总控台账!AC94</f>
        <v>正常</v>
      </c>
      <c r="J95" s="6" t="str">
        <f>项目总控台账!AD94</f>
        <v>69</v>
      </c>
      <c r="K95" s="6" t="str">
        <f t="shared" si="1"/>
        <v/>
      </c>
      <c r="L95" s="9"/>
      <c r="M95" s="8"/>
    </row>
    <row r="96" spans="1:13">
      <c r="A96" s="6" t="str">
        <f>IF(B96="","",IF(AND(E96&lt;&gt;"已完成",ISNUMBER(G96),G96&lt;=项目驾驶舱!$B$3+14),"是","否"))</f>
        <v>否</v>
      </c>
      <c r="B96" s="6" t="str">
        <f>项目总控台账!A95</f>
        <v>T092</v>
      </c>
      <c r="C96" s="6" t="str">
        <f>IF(AND(项目总控台账!E95&lt;&gt;"",项目总控台账!E95&lt;&gt;"/"),项目总控台账!E95,IF(AND(项目总控台账!D95&lt;&gt;"",项目总控台账!D95&lt;&gt;"/"),项目总控台账!D95,项目总控台账!C95))</f>
        <v>数据推送</v>
      </c>
      <c r="D96" s="6" t="str">
        <f>项目总控台账!F95</f>
        <v>第二批次</v>
      </c>
      <c r="E96" s="6" t="str">
        <f>项目总控台账!G95</f>
        <v>未开始</v>
      </c>
      <c r="F96" s="6" t="str">
        <f>项目总控台账!H95</f>
        <v>郑士旺</v>
      </c>
      <c r="G96" s="16">
        <f>项目总控台账!J95</f>
        <v>46353</v>
      </c>
      <c r="H96" s="6">
        <f>IF(G96="","",G96-项目驾驶舱!$B$3)</f>
        <v>85</v>
      </c>
      <c r="I96" s="6" t="str">
        <f>项目总控台账!AC95</f>
        <v>正常</v>
      </c>
      <c r="J96" s="6" t="str">
        <f>项目总控台账!AD95</f>
        <v>69</v>
      </c>
      <c r="K96" s="6" t="str">
        <f t="shared" si="1"/>
        <v/>
      </c>
      <c r="L96" s="9"/>
      <c r="M96" s="8"/>
    </row>
    <row r="97" spans="1:13">
      <c r="A97" s="6" t="str">
        <f>IF(B97="","",IF(AND(E97&lt;&gt;"已完成",ISNUMBER(G97),G97&lt;=项目驾驶舱!$B$3+14),"是","否"))</f>
        <v>否</v>
      </c>
      <c r="B97" s="6" t="str">
        <f>项目总控台账!A96</f>
        <v>T093</v>
      </c>
      <c r="C97" s="6" t="str">
        <f>IF(AND(项目总控台账!E96&lt;&gt;"",项目总控台账!E96&lt;&gt;"/"),项目总控台账!E96,IF(AND(项目总控台账!D96&lt;&gt;"",项目总控台账!D96&lt;&gt;"/"),项目总控台账!D96,项目总控台账!C96))</f>
        <v>数据对接</v>
      </c>
      <c r="D97" s="6" t="str">
        <f>项目总控台账!F96</f>
        <v>第二批次</v>
      </c>
      <c r="E97" s="6" t="str">
        <f>项目总控台账!G96</f>
        <v>未开始</v>
      </c>
      <c r="F97" s="6" t="str">
        <f>项目总控台账!H96</f>
        <v>郑士旺</v>
      </c>
      <c r="G97" s="16">
        <f>项目总控台账!J96</f>
        <v>46353</v>
      </c>
      <c r="H97" s="6">
        <f>IF(G97="","",G97-项目驾驶舱!$B$3)</f>
        <v>85</v>
      </c>
      <c r="I97" s="6" t="str">
        <f>项目总控台账!AC96</f>
        <v>正常</v>
      </c>
      <c r="J97" s="6" t="str">
        <f>项目总控台账!AD96</f>
        <v>69</v>
      </c>
      <c r="K97" s="6" t="str">
        <f t="shared" si="1"/>
        <v/>
      </c>
      <c r="L97" s="9"/>
      <c r="M97" s="8"/>
    </row>
    <row r="98" spans="1:13">
      <c r="A98" s="6" t="str">
        <f>IF(B98="","",IF(AND(E98&lt;&gt;"已完成",ISNUMBER(G98),G98&lt;=项目驾驶舱!$B$3+14),"是","否"))</f>
        <v>否</v>
      </c>
      <c r="B98" s="6" t="str">
        <f>项目总控台账!A97</f>
        <v>T094</v>
      </c>
      <c r="C98" s="6" t="str">
        <f>IF(AND(项目总控台账!E97&lt;&gt;"",项目总控台账!E97&lt;&gt;"/"),项目总控台账!E97,IF(AND(项目总控台账!D97&lt;&gt;"",项目总控台账!D97&lt;&gt;"/"),项目总控台账!D97,项目总控台账!C97))</f>
        <v>数据展示</v>
      </c>
      <c r="D98" s="6" t="str">
        <f>项目总控台账!F97</f>
        <v>第二批次</v>
      </c>
      <c r="E98" s="6" t="str">
        <f>项目总控台账!G97</f>
        <v>未开始</v>
      </c>
      <c r="F98" s="6" t="str">
        <f>项目总控台账!H97</f>
        <v>郑士旺</v>
      </c>
      <c r="G98" s="16">
        <f>项目总控台账!J97</f>
        <v>46353</v>
      </c>
      <c r="H98" s="6">
        <f>IF(G98="","",G98-项目驾驶舱!$B$3)</f>
        <v>85</v>
      </c>
      <c r="I98" s="6" t="str">
        <f>项目总控台账!AC97</f>
        <v>正常</v>
      </c>
      <c r="J98" s="6" t="str">
        <f>项目总控台账!AD97</f>
        <v>69</v>
      </c>
      <c r="K98" s="6" t="str">
        <f t="shared" si="1"/>
        <v/>
      </c>
      <c r="L98" s="9"/>
      <c r="M98" s="8"/>
    </row>
    <row r="99" spans="1:13">
      <c r="A99" s="6" t="str">
        <f>IF(B99="","",IF(AND(E99&lt;&gt;"已完成",ISNUMBER(G99),G99&lt;=项目驾驶舱!$B$3+14),"是","否"))</f>
        <v>是</v>
      </c>
      <c r="B99" s="6" t="str">
        <f>项目总控台账!A98</f>
        <v>T095</v>
      </c>
      <c r="C99" s="6" t="str">
        <f>IF(AND(项目总控台账!E98&lt;&gt;"",项目总控台账!E98&lt;&gt;"/"),项目总控台账!E98,IF(AND(项目总控台账!D98&lt;&gt;"",项目总控台账!D98&lt;&gt;"/"),项目总控台账!D98,项目总控台账!C98))</f>
        <v>自动生成堆存费</v>
      </c>
      <c r="D99" s="6" t="str">
        <f>项目总控台账!F98</f>
        <v>第一批次</v>
      </c>
      <c r="E99" s="6" t="str">
        <f>项目总控台账!G98</f>
        <v>进行中</v>
      </c>
      <c r="F99" s="6" t="str">
        <f>项目总控台账!H98</f>
        <v>郑士旺</v>
      </c>
      <c r="G99" s="16">
        <f>项目总控台账!J98</f>
        <v>46234</v>
      </c>
      <c r="H99" s="6">
        <f>IF(G99="","",G99-项目驾驶舱!$B$3)</f>
        <v>-34</v>
      </c>
      <c r="I99" s="6" t="str">
        <f>项目总控台账!AC98</f>
        <v>已延期</v>
      </c>
      <c r="J99" s="6" t="str">
        <f>项目总控台账!AD98</f>
        <v>69</v>
      </c>
      <c r="K99" s="6" t="str">
        <f t="shared" si="1"/>
        <v>立即确认延期原因、影响及补救计划</v>
      </c>
      <c r="L99" s="9"/>
      <c r="M99" s="8"/>
    </row>
    <row r="100" spans="1:13">
      <c r="A100" s="6" t="str">
        <f>IF(B100="","",IF(AND(E100&lt;&gt;"已完成",ISNUMBER(G100),G100&lt;=项目驾驶舱!$B$3+14),"是","否"))</f>
        <v>否</v>
      </c>
      <c r="B100" s="6" t="str">
        <f>项目总控台账!A99</f>
        <v>T096</v>
      </c>
      <c r="C100" s="6" t="str">
        <f>IF(AND(项目总控台账!E99&lt;&gt;"",项目总控台账!E99&lt;&gt;"/"),项目总控台账!E99,IF(AND(项目总控台账!D99&lt;&gt;"",项目总控台账!D99&lt;&gt;"/"),项目总控台账!D99,项目总控台账!C99))</f>
        <v>自动生成装船港杂费</v>
      </c>
      <c r="D100" s="6" t="str">
        <f>项目总控台账!F99</f>
        <v>第一批次</v>
      </c>
      <c r="E100" s="6" t="str">
        <f>项目总控台账!G99</f>
        <v>已完成</v>
      </c>
      <c r="F100" s="6" t="str">
        <f>项目总控台账!H99</f>
        <v>郑士旺</v>
      </c>
      <c r="G100" s="16">
        <f>项目总控台账!J99</f>
        <v>46261</v>
      </c>
      <c r="H100" s="6">
        <f>IF(G100="","",G100-项目驾驶舱!$B$3)</f>
        <v>-7</v>
      </c>
      <c r="I100" s="6" t="str">
        <f>项目总控台账!AC99</f>
        <v>正常</v>
      </c>
      <c r="J100" s="6" t="str">
        <f>项目总控台账!AD99</f>
        <v>69</v>
      </c>
      <c r="K100" s="6" t="str">
        <f t="shared" si="1"/>
        <v/>
      </c>
      <c r="L100" s="9"/>
      <c r="M100" s="8"/>
    </row>
    <row r="101" spans="1:13">
      <c r="A101" s="6" t="str">
        <f>IF(B101="","",IF(AND(E101&lt;&gt;"已完成",ISNUMBER(G101),G101&lt;=项目驾驶舱!$B$3+14),"是","否"))</f>
        <v>否</v>
      </c>
      <c r="B101" s="6" t="str">
        <f>项目总控台账!A100</f>
        <v>T097</v>
      </c>
      <c r="C101" s="6" t="str">
        <f>IF(AND(项目总控台账!E100&lt;&gt;"",项目总控台账!E100&lt;&gt;"/"),项目总控台账!E100,IF(AND(项目总控台账!D100&lt;&gt;"",项目总控台账!D100&lt;&gt;"/"),项目总控台账!D100,项目总控台账!C100))</f>
        <v>自动生成租赁费</v>
      </c>
      <c r="D101" s="6" t="str">
        <f>项目总控台账!F100</f>
        <v>第一批次</v>
      </c>
      <c r="E101" s="6" t="str">
        <f>项目总控台账!G100</f>
        <v>已完成</v>
      </c>
      <c r="F101" s="6" t="str">
        <f>项目总控台账!H100</f>
        <v>郑士旺</v>
      </c>
      <c r="G101" s="16">
        <f>项目总控台账!J100</f>
        <v>46234</v>
      </c>
      <c r="H101" s="6">
        <f>IF(G101="","",G101-项目驾驶舱!$B$3)</f>
        <v>-34</v>
      </c>
      <c r="I101" s="6" t="str">
        <f>项目总控台账!AC100</f>
        <v>正常</v>
      </c>
      <c r="J101" s="6" t="str">
        <f>项目总控台账!AD100</f>
        <v>69</v>
      </c>
      <c r="K101" s="6" t="str">
        <f t="shared" si="1"/>
        <v/>
      </c>
      <c r="L101" s="9"/>
      <c r="M101" s="8"/>
    </row>
    <row r="102" spans="1:13">
      <c r="A102" s="6" t="str">
        <f>IF(B102="","",IF(AND(E102&lt;&gt;"已完成",ISNUMBER(G102),G102&lt;=项目驾驶舱!$B$3+14),"是","否"))</f>
        <v>否</v>
      </c>
      <c r="B102" s="6" t="str">
        <f>项目总控台账!A101</f>
        <v>T098</v>
      </c>
      <c r="C102" s="6" t="str">
        <f>IF(AND(项目总控台账!E101&lt;&gt;"",项目总控台账!E101&lt;&gt;"/"),项目总控台账!E101,IF(AND(项目总控台账!D101&lt;&gt;"",项目总控台账!D101&lt;&gt;"/"),项目总控台账!D101,项目总控台账!C101))</f>
        <v>优化装卸费新增</v>
      </c>
      <c r="D102" s="6" t="str">
        <f>项目总控台账!F101</f>
        <v>第一批次</v>
      </c>
      <c r="E102" s="6" t="str">
        <f>项目总控台账!G101</f>
        <v>已完成</v>
      </c>
      <c r="F102" s="6" t="str">
        <f>项目总控台账!H101</f>
        <v>郑士旺</v>
      </c>
      <c r="G102" s="16">
        <f>项目总控台账!J101</f>
        <v>46224</v>
      </c>
      <c r="H102" s="6">
        <f>IF(G102="","",G102-项目驾驶舱!$B$3)</f>
        <v>-44</v>
      </c>
      <c r="I102" s="6" t="str">
        <f>项目总控台账!AC101</f>
        <v>正常</v>
      </c>
      <c r="J102" s="6" t="str">
        <f>项目总控台账!AD101</f>
        <v>69</v>
      </c>
      <c r="K102" s="6" t="str">
        <f t="shared" si="1"/>
        <v/>
      </c>
      <c r="L102" s="9"/>
      <c r="M102" s="8"/>
    </row>
    <row r="103" spans="1:13">
      <c r="A103" s="6" t="str">
        <f>IF(B103="","",IF(AND(E103&lt;&gt;"已完成",ISNUMBER(G103),G103&lt;=项目驾驶舱!$B$3+14),"是","否"))</f>
        <v>否</v>
      </c>
      <c r="B103" s="6" t="str">
        <f>项目总控台账!A102</f>
        <v>T099</v>
      </c>
      <c r="C103" s="6" t="str">
        <f>IF(AND(项目总控台账!E102&lt;&gt;"",项目总控台账!E102&lt;&gt;"/"),项目总控台账!E102,IF(AND(项目总控台账!D102&lt;&gt;"",项目总控台账!D102&lt;&gt;"/"),项目总控台账!D102,项目总控台账!C102))</f>
        <v>优化装卸费编辑</v>
      </c>
      <c r="D103" s="6" t="str">
        <f>项目总控台账!F102</f>
        <v>第一批次</v>
      </c>
      <c r="E103" s="6" t="str">
        <f>项目总控台账!G102</f>
        <v>已完成</v>
      </c>
      <c r="F103" s="6" t="str">
        <f>项目总控台账!H102</f>
        <v>郑士旺</v>
      </c>
      <c r="G103" s="16">
        <f>项目总控台账!J102</f>
        <v>46224</v>
      </c>
      <c r="H103" s="6">
        <f>IF(G103="","",G103-项目驾驶舱!$B$3)</f>
        <v>-44</v>
      </c>
      <c r="I103" s="6" t="str">
        <f>项目总控台账!AC102</f>
        <v>正常</v>
      </c>
      <c r="J103" s="6" t="str">
        <f>项目总控台账!AD102</f>
        <v>69</v>
      </c>
      <c r="K103" s="6" t="str">
        <f t="shared" si="1"/>
        <v/>
      </c>
      <c r="L103" s="9"/>
      <c r="M103" s="8"/>
    </row>
    <row r="104" spans="1:13">
      <c r="A104" s="6" t="str">
        <f>IF(B104="","",IF(AND(E104&lt;&gt;"已完成",ISNUMBER(G104),G104&lt;=项目驾驶舱!$B$3+14),"是","否"))</f>
        <v>否</v>
      </c>
      <c r="B104" s="6" t="str">
        <f>项目总控台账!A103</f>
        <v>T100</v>
      </c>
      <c r="C104" s="6" t="str">
        <f>IF(AND(项目总控台账!E103&lt;&gt;"",项目总控台账!E103&lt;&gt;"/"),项目总控台账!E103,IF(AND(项目总控台账!D103&lt;&gt;"",项目总控台账!D103&lt;&gt;"/"),项目总控台账!D103,项目总控台账!C103))</f>
        <v>创建行业资讯数据</v>
      </c>
      <c r="D104" s="6" t="str">
        <f>项目总控台账!F103</f>
        <v>第一批次</v>
      </c>
      <c r="E104" s="6" t="str">
        <f>项目总控台账!G103</f>
        <v>已完成</v>
      </c>
      <c r="F104" s="6" t="str">
        <f>项目总控台账!H103</f>
        <v>郑士旺</v>
      </c>
      <c r="G104" s="16">
        <f>项目总控台账!J103</f>
        <v>46224</v>
      </c>
      <c r="H104" s="6">
        <f>IF(G104="","",G104-项目驾驶舱!$B$3)</f>
        <v>-44</v>
      </c>
      <c r="I104" s="6" t="str">
        <f>项目总控台账!AC103</f>
        <v>正常</v>
      </c>
      <c r="J104" s="6" t="str">
        <f>项目总控台账!AD103</f>
        <v>69</v>
      </c>
      <c r="K104" s="6" t="str">
        <f t="shared" si="1"/>
        <v/>
      </c>
      <c r="L104" s="9"/>
      <c r="M104" s="8"/>
    </row>
    <row r="105" spans="1:13">
      <c r="A105" s="6" t="str">
        <f>IF(B105="","",IF(AND(E105&lt;&gt;"已完成",ISNUMBER(G105),G105&lt;=项目驾驶舱!$B$3+14),"是","否"))</f>
        <v>否</v>
      </c>
      <c r="B105" s="6" t="str">
        <f>项目总控台账!A104</f>
        <v>T101</v>
      </c>
      <c r="C105" s="6" t="str">
        <f>IF(AND(项目总控台账!E104&lt;&gt;"",项目总控台账!E104&lt;&gt;"/"),项目总控台账!E104,IF(AND(项目总控台账!D104&lt;&gt;"",项目总控台账!D104&lt;&gt;"/"),项目总控台账!D104,项目总控台账!C104))</f>
        <v>修改行业资讯数据</v>
      </c>
      <c r="D105" s="6" t="str">
        <f>项目总控台账!F104</f>
        <v>第一批次</v>
      </c>
      <c r="E105" s="6" t="str">
        <f>项目总控台账!G104</f>
        <v>已完成</v>
      </c>
      <c r="F105" s="6" t="str">
        <f>项目总控台账!H104</f>
        <v>郑士旺</v>
      </c>
      <c r="G105" s="16">
        <f>项目总控台账!J104</f>
        <v>46224</v>
      </c>
      <c r="H105" s="6">
        <f>IF(G105="","",G105-项目驾驶舱!$B$3)</f>
        <v>-44</v>
      </c>
      <c r="I105" s="6" t="str">
        <f>项目总控台账!AC104</f>
        <v>正常</v>
      </c>
      <c r="J105" s="6" t="str">
        <f>项目总控台账!AD104</f>
        <v>69</v>
      </c>
      <c r="K105" s="6" t="str">
        <f t="shared" si="1"/>
        <v/>
      </c>
      <c r="L105" s="9"/>
      <c r="M105" s="8"/>
    </row>
    <row r="106" spans="1:13">
      <c r="A106" s="6" t="str">
        <f>IF(B106="","",IF(AND(E106&lt;&gt;"已完成",ISNUMBER(G106),G106&lt;=项目驾驶舱!$B$3+14),"是","否"))</f>
        <v>否</v>
      </c>
      <c r="B106" s="6" t="str">
        <f>项目总控台账!A105</f>
        <v>T102</v>
      </c>
      <c r="C106" s="6" t="str">
        <f>IF(AND(项目总控台账!E105&lt;&gt;"",项目总控台账!E105&lt;&gt;"/"),项目总控台账!E105,IF(AND(项目总控台账!D105&lt;&gt;"",项目总控台账!D105&lt;&gt;"/"),项目总控台账!D105,项目总控台账!C105))</f>
        <v>删除行业资讯数据</v>
      </c>
      <c r="D106" s="6" t="str">
        <f>项目总控台账!F105</f>
        <v>第一批次</v>
      </c>
      <c r="E106" s="6" t="str">
        <f>项目总控台账!G105</f>
        <v>已完成</v>
      </c>
      <c r="F106" s="6" t="str">
        <f>项目总控台账!H105</f>
        <v>郑士旺</v>
      </c>
      <c r="G106" s="16">
        <f>项目总控台账!J105</f>
        <v>46224</v>
      </c>
      <c r="H106" s="6">
        <f>IF(G106="","",G106-项目驾驶舱!$B$3)</f>
        <v>-44</v>
      </c>
      <c r="I106" s="6" t="str">
        <f>项目总控台账!AC105</f>
        <v>正常</v>
      </c>
      <c r="J106" s="6" t="str">
        <f>项目总控台账!AD105</f>
        <v>69</v>
      </c>
      <c r="K106" s="6" t="str">
        <f t="shared" si="1"/>
        <v/>
      </c>
      <c r="L106" s="9"/>
      <c r="M106" s="8"/>
    </row>
    <row r="107" spans="1:13">
      <c r="A107" s="6" t="str">
        <f>IF(B107="","",IF(AND(E107&lt;&gt;"已完成",ISNUMBER(G107),G107&lt;=项目驾驶舱!$B$3+14),"是","否"))</f>
        <v>否</v>
      </c>
      <c r="B107" s="6" t="str">
        <f>项目总控台账!A106</f>
        <v>T103</v>
      </c>
      <c r="C107" s="6" t="str">
        <f>IF(AND(项目总控台账!E106&lt;&gt;"",项目总控台账!E106&lt;&gt;"/"),项目总控台账!E106,IF(AND(项目总控台账!D106&lt;&gt;"",项目总控台账!D106&lt;&gt;"/"),项目总控台账!D106,项目总控台账!C106))</f>
        <v>展示行业资讯数据</v>
      </c>
      <c r="D107" s="6" t="str">
        <f>项目总控台账!F106</f>
        <v>第一批次</v>
      </c>
      <c r="E107" s="6" t="str">
        <f>项目总控台账!G106</f>
        <v>已完成</v>
      </c>
      <c r="F107" s="6" t="str">
        <f>项目总控台账!H106</f>
        <v>郑士旺</v>
      </c>
      <c r="G107" s="16">
        <f>项目总控台账!J106</f>
        <v>46224</v>
      </c>
      <c r="H107" s="6">
        <f>IF(G107="","",G107-项目驾驶舱!$B$3)</f>
        <v>-44</v>
      </c>
      <c r="I107" s="6" t="str">
        <f>项目总控台账!AC106</f>
        <v>正常</v>
      </c>
      <c r="J107" s="6" t="str">
        <f>项目总控台账!AD106</f>
        <v>69</v>
      </c>
      <c r="K107" s="6" t="str">
        <f t="shared" si="1"/>
        <v/>
      </c>
      <c r="L107" s="9"/>
      <c r="M107" s="8"/>
    </row>
    <row r="108" spans="1:13">
      <c r="A108" s="6" t="str">
        <f>IF(B108="","",IF(AND(E108&lt;&gt;"已完成",ISNUMBER(G108),G108&lt;=项目驾驶舱!$B$3+14),"是","否"))</f>
        <v>否</v>
      </c>
      <c r="B108" s="6" t="str">
        <f>项目总控台账!A107</f>
        <v>T104</v>
      </c>
      <c r="C108" s="6" t="str">
        <f>IF(AND(项目总控台账!E107&lt;&gt;"",项目总控台账!E107&lt;&gt;"/"),项目总控台账!E107,IF(AND(项目总控台账!D107&lt;&gt;"",项目总控台账!D107&lt;&gt;"/"),项目总控台账!D107,项目总控台账!C107))</f>
        <v>吞吐量统计（曹妃甸）</v>
      </c>
      <c r="D108" s="6" t="str">
        <f>项目总控台账!F107</f>
        <v>第一批次</v>
      </c>
      <c r="E108" s="6" t="str">
        <f>项目总控台账!G107</f>
        <v>已完成</v>
      </c>
      <c r="F108" s="6" t="str">
        <f>项目总控台账!H107</f>
        <v>郑士旺</v>
      </c>
      <c r="G108" s="16">
        <f>项目总控台账!J107</f>
        <v>46269</v>
      </c>
      <c r="H108" s="6">
        <f>IF(G108="","",G108-项目驾驶舱!$B$3)</f>
        <v>1</v>
      </c>
      <c r="I108" s="6" t="str">
        <f>项目总控台账!AC107</f>
        <v>正常</v>
      </c>
      <c r="J108" s="6" t="str">
        <f>项目总控台账!AD107</f>
        <v>69</v>
      </c>
      <c r="K108" s="6" t="str">
        <f t="shared" si="1"/>
        <v/>
      </c>
      <c r="L108" s="9"/>
      <c r="M108" s="8"/>
    </row>
    <row r="109" spans="1:13">
      <c r="A109" s="6" t="str">
        <f>IF(B109="","",IF(AND(E109&lt;&gt;"已完成",ISNUMBER(G109),G109&lt;=项目驾驶舱!$B$3+14),"是","否"))</f>
        <v>否</v>
      </c>
      <c r="B109" s="6" t="str">
        <f>项目总控台账!A108</f>
        <v>T105</v>
      </c>
      <c r="C109" s="6" t="str">
        <f>IF(AND(项目总控台账!E108&lt;&gt;"",项目总控台账!E108&lt;&gt;"/"),项目总控台账!E108,IF(AND(项目总控台账!D108&lt;&gt;"",项目总控台账!D108&lt;&gt;"/"),项目总控台账!D108,项目总控台账!C108))</f>
        <v>泊位占用率分析（曹妃甸）</v>
      </c>
      <c r="D109" s="6" t="str">
        <f>项目总控台账!F108</f>
        <v>第一批次</v>
      </c>
      <c r="E109" s="6" t="str">
        <f>项目总控台账!G108</f>
        <v>已完成</v>
      </c>
      <c r="F109" s="6" t="str">
        <f>项目总控台账!H108</f>
        <v>郑士旺</v>
      </c>
      <c r="G109" s="16">
        <f>项目总控台账!J108</f>
        <v>46269</v>
      </c>
      <c r="H109" s="6">
        <f>IF(G109="","",G109-项目驾驶舱!$B$3)</f>
        <v>1</v>
      </c>
      <c r="I109" s="6" t="str">
        <f>项目总控台账!AC108</f>
        <v>正常</v>
      </c>
      <c r="J109" s="6" t="str">
        <f>项目总控台账!AD108</f>
        <v>69</v>
      </c>
      <c r="K109" s="6" t="str">
        <f t="shared" si="1"/>
        <v/>
      </c>
      <c r="L109" s="9"/>
      <c r="M109" s="8"/>
    </row>
    <row r="110" spans="1:13">
      <c r="A110" s="6" t="str">
        <f>IF(B110="","",IF(AND(E110&lt;&gt;"已完成",ISNUMBER(G110),G110&lt;=项目驾驶舱!$B$3+14),"是","否"))</f>
        <v>否</v>
      </c>
      <c r="B110" s="6" t="str">
        <f>项目总控台账!A109</f>
        <v>T106</v>
      </c>
      <c r="C110" s="6" t="str">
        <f>IF(AND(项目总控台账!E109&lt;&gt;"",项目总控台账!E109&lt;&gt;"/"),项目总控台账!E109,IF(AND(项目总控台账!D109&lt;&gt;"",项目总控台账!D109&lt;&gt;"/"),项目总控台账!D109,项目总控台账!C109))</f>
        <v>堆存库存统计（曹妃甸）</v>
      </c>
      <c r="D110" s="6" t="str">
        <f>项目总控台账!F109</f>
        <v>第一批次</v>
      </c>
      <c r="E110" s="6" t="str">
        <f>项目总控台账!G109</f>
        <v>已完成</v>
      </c>
      <c r="F110" s="6" t="str">
        <f>项目总控台账!H109</f>
        <v>郑士旺</v>
      </c>
      <c r="G110" s="16">
        <f>项目总控台账!J109</f>
        <v>46269</v>
      </c>
      <c r="H110" s="6">
        <f>IF(G110="","",G110-项目驾驶舱!$B$3)</f>
        <v>1</v>
      </c>
      <c r="I110" s="6" t="str">
        <f>项目总控台账!AC109</f>
        <v>正常</v>
      </c>
      <c r="J110" s="6" t="str">
        <f>项目总控台账!AD109</f>
        <v>69</v>
      </c>
      <c r="K110" s="6" t="str">
        <f t="shared" si="1"/>
        <v/>
      </c>
      <c r="L110" s="9"/>
      <c r="M110" s="8"/>
    </row>
    <row r="111" spans="1:13">
      <c r="A111" s="6" t="str">
        <f>IF(B111="","",IF(AND(E111&lt;&gt;"已完成",ISNUMBER(G111),G111&lt;=项目驾驶舱!$B$3+14),"是","否"))</f>
        <v>否</v>
      </c>
      <c r="B111" s="6" t="str">
        <f>项目总控台账!A110</f>
        <v>T107</v>
      </c>
      <c r="C111" s="6" t="str">
        <f>IF(AND(项目总控台账!E110&lt;&gt;"",项目总控台账!E110&lt;&gt;"/"),项目总控台账!E110,IF(AND(项目总控台账!D110&lt;&gt;"",项目总控台账!D110&lt;&gt;"/"),项目总控台账!D110,项目总控台账!C110))</f>
        <v>分货主实时统计表（曹妃甸）</v>
      </c>
      <c r="D111" s="6" t="str">
        <f>项目总控台账!F110</f>
        <v>第一批次</v>
      </c>
      <c r="E111" s="6" t="str">
        <f>项目总控台账!G110</f>
        <v>已完成</v>
      </c>
      <c r="F111" s="6" t="str">
        <f>项目总控台账!H110</f>
        <v>郑士旺</v>
      </c>
      <c r="G111" s="16">
        <f>项目总控台账!J110</f>
        <v>46269</v>
      </c>
      <c r="H111" s="6">
        <f>IF(G111="","",G111-项目驾驶舱!$B$3)</f>
        <v>1</v>
      </c>
      <c r="I111" s="6" t="str">
        <f>项目总控台账!AC110</f>
        <v>正常</v>
      </c>
      <c r="J111" s="6" t="str">
        <f>项目总控台账!AD110</f>
        <v>69</v>
      </c>
      <c r="K111" s="6" t="str">
        <f t="shared" si="1"/>
        <v/>
      </c>
      <c r="L111" s="9"/>
      <c r="M111" s="8"/>
    </row>
    <row r="112" spans="1:13">
      <c r="A112" s="6" t="str">
        <f>IF(B112="","",IF(AND(E112&lt;&gt;"已完成",ISNUMBER(G112),G112&lt;=项目驾驶舱!$B$3+14),"是","否"))</f>
        <v>否</v>
      </c>
      <c r="B112" s="6" t="str">
        <f>项目总控台账!A111</f>
        <v>T108</v>
      </c>
      <c r="C112" s="6" t="str">
        <f>IF(AND(项目总控台账!E111&lt;&gt;"",项目总控台账!E111&lt;&gt;"/"),项目总控台账!E111,IF(AND(项目总控台账!D111&lt;&gt;"",项目总控台账!D111&lt;&gt;"/"),项目总控台账!D111,项目总控台账!C111))</f>
        <v>综合装船效率分析（曹妃甸）</v>
      </c>
      <c r="D112" s="6" t="str">
        <f>项目总控台账!F111</f>
        <v>第一批次</v>
      </c>
      <c r="E112" s="6" t="str">
        <f>项目总控台账!G111</f>
        <v>已完成</v>
      </c>
      <c r="F112" s="6" t="str">
        <f>项目总控台账!H111</f>
        <v>郑士旺</v>
      </c>
      <c r="G112" s="16">
        <f>项目总控台账!J111</f>
        <v>46269</v>
      </c>
      <c r="H112" s="6">
        <f>IF(G112="","",G112-项目驾驶舱!$B$3)</f>
        <v>1</v>
      </c>
      <c r="I112" s="6" t="str">
        <f>项目总控台账!AC111</f>
        <v>正常</v>
      </c>
      <c r="J112" s="6" t="str">
        <f>项目总控台账!AD111</f>
        <v>69</v>
      </c>
      <c r="K112" s="6" t="str">
        <f t="shared" si="1"/>
        <v/>
      </c>
      <c r="L112" s="9"/>
      <c r="M112" s="8"/>
    </row>
    <row r="113" spans="1:13">
      <c r="A113" s="6" t="str">
        <f>IF(B113="","",IF(AND(E113&lt;&gt;"已完成",ISNUMBER(G113),G113&lt;=项目驾驶舱!$B$3+14),"是","否"))</f>
        <v>否</v>
      </c>
      <c r="B113" s="6" t="str">
        <f>项目总控台账!A112</f>
        <v>T109</v>
      </c>
      <c r="C113" s="6" t="str">
        <f>IF(AND(项目总控台账!E112&lt;&gt;"",项目总控台账!E112&lt;&gt;"/"),项目总控台账!E112,IF(AND(项目总控台账!D112&lt;&gt;"",项目总控台账!D112&lt;&gt;"/"),项目总控台账!D112,项目总控台账!C112))</f>
        <v>综合卸车效率分析（曹妃甸）</v>
      </c>
      <c r="D113" s="6" t="str">
        <f>项目总控台账!F112</f>
        <v>第一批次</v>
      </c>
      <c r="E113" s="6" t="str">
        <f>项目总控台账!G112</f>
        <v>已完成</v>
      </c>
      <c r="F113" s="6" t="str">
        <f>项目总控台账!H112</f>
        <v>郑士旺</v>
      </c>
      <c r="G113" s="16">
        <f>项目总控台账!J112</f>
        <v>46269</v>
      </c>
      <c r="H113" s="6">
        <f>IF(G113="","",G113-项目驾驶舱!$B$3)</f>
        <v>1</v>
      </c>
      <c r="I113" s="6" t="str">
        <f>项目总控台账!AC112</f>
        <v>正常</v>
      </c>
      <c r="J113" s="6" t="str">
        <f>项目总控台账!AD112</f>
        <v>69</v>
      </c>
      <c r="K113" s="6" t="str">
        <f t="shared" si="1"/>
        <v/>
      </c>
      <c r="L113" s="9"/>
      <c r="M113" s="8"/>
    </row>
    <row r="114" spans="1:13">
      <c r="A114" s="6" t="str">
        <f>IF(B114="","",IF(AND(E114&lt;&gt;"已完成",ISNUMBER(G114),G114&lt;=项目驾驶舱!$B$3+14),"是","否"))</f>
        <v>否</v>
      </c>
      <c r="B114" s="6" t="str">
        <f>项目总控台账!A113</f>
        <v>T110</v>
      </c>
      <c r="C114" s="6" t="str">
        <f>IF(AND(项目总控台账!E113&lt;&gt;"",项目总控台账!E113&lt;&gt;"/"),项目总控台账!E113,IF(AND(项目总控台账!D113&lt;&gt;"",项目总控台账!D113&lt;&gt;"/"),项目总控台账!D113,项目总控台账!C113))</f>
        <v>综合卸船效率分析（曹妃甸）</v>
      </c>
      <c r="D114" s="6" t="str">
        <f>项目总控台账!F113</f>
        <v>第二批次</v>
      </c>
      <c r="E114" s="6" t="str">
        <f>项目总控台账!G113</f>
        <v>已完成</v>
      </c>
      <c r="F114" s="6" t="str">
        <f>项目总控台账!H113</f>
        <v>郑士旺</v>
      </c>
      <c r="G114" s="16">
        <f>项目总控台账!J113</f>
        <v>46269</v>
      </c>
      <c r="H114" s="6">
        <f>IF(G114="","",G114-项目驾驶舱!$B$3)</f>
        <v>1</v>
      </c>
      <c r="I114" s="6" t="str">
        <f>项目总控台账!AC113</f>
        <v>正常</v>
      </c>
      <c r="J114" s="6" t="str">
        <f>项目总控台账!AD113</f>
        <v>69</v>
      </c>
      <c r="K114" s="6" t="str">
        <f t="shared" si="1"/>
        <v/>
      </c>
      <c r="L114" s="9"/>
      <c r="M114" s="8"/>
    </row>
    <row r="115" spans="1:13">
      <c r="A115" s="6" t="str">
        <f>IF(B115="","",IF(AND(E115&lt;&gt;"已完成",ISNUMBER(G115),G115&lt;=项目驾驶舱!$B$3+14),"是","否"))</f>
        <v>否</v>
      </c>
      <c r="B115" s="6" t="str">
        <f>项目总控台账!A114</f>
        <v>T111</v>
      </c>
      <c r="C115" s="6" t="str">
        <f>IF(AND(项目总控台账!E114&lt;&gt;"",项目总控台账!E114&lt;&gt;"/"),项目总控台账!E114,IF(AND(项目总控台账!D114&lt;&gt;"",项目总控台账!D114&lt;&gt;"/"),项目总控台账!D114,项目总控台账!C114))</f>
        <v>吞吐量统计（太仓）</v>
      </c>
      <c r="D115" s="6" t="str">
        <f>项目总控台账!F114</f>
        <v>/</v>
      </c>
      <c r="E115" s="6" t="str">
        <f>项目总控台账!G114</f>
        <v>暂停</v>
      </c>
      <c r="F115" s="6" t="str">
        <f>项目总控台账!H114</f>
        <v>/</v>
      </c>
      <c r="G115" s="16" t="str">
        <f>项目总控台账!J114</f>
        <v/>
      </c>
      <c r="H115" s="6" t="str">
        <f>IF(G115="","",G115-项目驾驶舱!$B$3)</f>
        <v/>
      </c>
      <c r="I115" s="6" t="str">
        <f>项目总控台账!AC114</f>
        <v>暂停</v>
      </c>
      <c r="J115" s="6" t="str">
        <f>项目总控台账!AD114</f>
        <v>69</v>
      </c>
      <c r="K115" s="6" t="str">
        <f t="shared" si="1"/>
        <v/>
      </c>
      <c r="L115" s="9"/>
      <c r="M115" s="8"/>
    </row>
    <row r="116" spans="1:13">
      <c r="A116" s="6" t="str">
        <f>IF(B116="","",IF(AND(E116&lt;&gt;"已完成",ISNUMBER(G116),G116&lt;=项目驾驶舱!$B$3+14),"是","否"))</f>
        <v>否</v>
      </c>
      <c r="B116" s="6" t="str">
        <f>项目总控台账!A115</f>
        <v>T112</v>
      </c>
      <c r="C116" s="6" t="str">
        <f>IF(AND(项目总控台账!E115&lt;&gt;"",项目总控台账!E115&lt;&gt;"/"),项目总控台账!E115,IF(AND(项目总控台账!D115&lt;&gt;"",项目总控台账!D115&lt;&gt;"/"),项目总控台账!D115,项目总控台账!C115))</f>
        <v>泊位占用率分析（太仓）</v>
      </c>
      <c r="D116" s="6" t="str">
        <f>项目总控台账!F115</f>
        <v>/</v>
      </c>
      <c r="E116" s="6" t="str">
        <f>项目总控台账!G115</f>
        <v>暂停</v>
      </c>
      <c r="F116" s="6" t="str">
        <f>项目总控台账!H115</f>
        <v>/</v>
      </c>
      <c r="G116" s="16" t="str">
        <f>项目总控台账!J115</f>
        <v/>
      </c>
      <c r="H116" s="6" t="str">
        <f>IF(G116="","",G116-项目驾驶舱!$B$3)</f>
        <v/>
      </c>
      <c r="I116" s="6" t="str">
        <f>项目总控台账!AC115</f>
        <v>暂停</v>
      </c>
      <c r="J116" s="6" t="str">
        <f>项目总控台账!AD115</f>
        <v>69</v>
      </c>
      <c r="K116" s="6" t="str">
        <f t="shared" si="1"/>
        <v/>
      </c>
      <c r="L116" s="9"/>
      <c r="M116" s="8"/>
    </row>
    <row r="117" spans="1:13">
      <c r="A117" s="6" t="str">
        <f>IF(B117="","",IF(AND(E117&lt;&gt;"已完成",ISNUMBER(G117),G117&lt;=项目驾驶舱!$B$3+14),"是","否"))</f>
        <v>否</v>
      </c>
      <c r="B117" s="6" t="str">
        <f>项目总控台账!A116</f>
        <v>T113</v>
      </c>
      <c r="C117" s="6" t="str">
        <f>IF(AND(项目总控台账!E116&lt;&gt;"",项目总控台账!E116&lt;&gt;"/"),项目总控台账!E116,IF(AND(项目总控台账!D116&lt;&gt;"",项目总控台账!D116&lt;&gt;"/"),项目总控台账!D116,项目总控台账!C116))</f>
        <v>堆存库存统计（太仓）</v>
      </c>
      <c r="D117" s="6" t="str">
        <f>项目总控台账!F116</f>
        <v>/</v>
      </c>
      <c r="E117" s="6" t="str">
        <f>项目总控台账!G116</f>
        <v>暂停</v>
      </c>
      <c r="F117" s="6" t="str">
        <f>项目总控台账!H116</f>
        <v>/</v>
      </c>
      <c r="G117" s="16" t="str">
        <f>项目总控台账!J116</f>
        <v/>
      </c>
      <c r="H117" s="6" t="str">
        <f>IF(G117="","",G117-项目驾驶舱!$B$3)</f>
        <v/>
      </c>
      <c r="I117" s="6" t="str">
        <f>项目总控台账!AC116</f>
        <v>暂停</v>
      </c>
      <c r="J117" s="6" t="str">
        <f>项目总控台账!AD116</f>
        <v>69</v>
      </c>
      <c r="K117" s="6" t="str">
        <f t="shared" si="1"/>
        <v/>
      </c>
      <c r="L117" s="9"/>
      <c r="M117" s="8"/>
    </row>
    <row r="118" spans="1:13">
      <c r="A118" s="6" t="str">
        <f>IF(B118="","",IF(AND(E118&lt;&gt;"已完成",ISNUMBER(G118),G118&lt;=项目驾驶舱!$B$3+14),"是","否"))</f>
        <v>否</v>
      </c>
      <c r="B118" s="6" t="str">
        <f>项目总控台账!A117</f>
        <v>T114</v>
      </c>
      <c r="C118" s="6" t="str">
        <f>IF(AND(项目总控台账!E117&lt;&gt;"",项目总控台账!E117&lt;&gt;"/"),项目总控台账!E117,IF(AND(项目总控台账!D117&lt;&gt;"",项目总控台账!D117&lt;&gt;"/"),项目总控台账!D117,项目总控台账!C117))</f>
        <v>分货主实时统计表（太仓）</v>
      </c>
      <c r="D118" s="6" t="str">
        <f>项目总控台账!F117</f>
        <v>/</v>
      </c>
      <c r="E118" s="6" t="str">
        <f>项目总控台账!G117</f>
        <v>暂停</v>
      </c>
      <c r="F118" s="6" t="str">
        <f>项目总控台账!H117</f>
        <v>/</v>
      </c>
      <c r="G118" s="16" t="str">
        <f>项目总控台账!J117</f>
        <v/>
      </c>
      <c r="H118" s="6" t="str">
        <f>IF(G118="","",G118-项目驾驶舱!$B$3)</f>
        <v/>
      </c>
      <c r="I118" s="6" t="str">
        <f>项目总控台账!AC117</f>
        <v>暂停</v>
      </c>
      <c r="J118" s="6" t="str">
        <f>项目总控台账!AD117</f>
        <v>69</v>
      </c>
      <c r="K118" s="6" t="str">
        <f t="shared" si="1"/>
        <v/>
      </c>
      <c r="L118" s="9"/>
      <c r="M118" s="8"/>
    </row>
    <row r="119" spans="1:13">
      <c r="A119" s="6" t="str">
        <f>IF(B119="","",IF(AND(E119&lt;&gt;"已完成",ISNUMBER(G119),G119&lt;=项目驾驶舱!$B$3+14),"是","否"))</f>
        <v>否</v>
      </c>
      <c r="B119" s="6" t="str">
        <f>项目总控台账!A118</f>
        <v>T115</v>
      </c>
      <c r="C119" s="6" t="str">
        <f>IF(AND(项目总控台账!E118&lt;&gt;"",项目总控台账!E118&lt;&gt;"/"),项目总控台账!E118,IF(AND(项目总控台账!D118&lt;&gt;"",项目总控台账!D118&lt;&gt;"/"),项目总控台账!D118,项目总控台账!C118))</f>
        <v>综合卸船效率分析（太仓）</v>
      </c>
      <c r="D119" s="6" t="str">
        <f>项目总控台账!F118</f>
        <v>/</v>
      </c>
      <c r="E119" s="6" t="str">
        <f>项目总控台账!G118</f>
        <v>暂停</v>
      </c>
      <c r="F119" s="6" t="str">
        <f>项目总控台账!H118</f>
        <v>/</v>
      </c>
      <c r="G119" s="16" t="str">
        <f>项目总控台账!J118</f>
        <v/>
      </c>
      <c r="H119" s="6" t="str">
        <f>IF(G119="","",G119-项目驾驶舱!$B$3)</f>
        <v/>
      </c>
      <c r="I119" s="6" t="str">
        <f>项目总控台账!AC118</f>
        <v>暂停</v>
      </c>
      <c r="J119" s="6" t="str">
        <f>项目总控台账!AD118</f>
        <v>69</v>
      </c>
      <c r="K119" s="6" t="str">
        <f t="shared" si="1"/>
        <v/>
      </c>
      <c r="L119" s="9"/>
      <c r="M119" s="8"/>
    </row>
    <row r="120" spans="1:13">
      <c r="A120" s="6" t="str">
        <f>IF(B120="","",IF(AND(E120&lt;&gt;"已完成",ISNUMBER(G120),G120&lt;=项目驾驶舱!$B$3+14),"是","否"))</f>
        <v>否</v>
      </c>
      <c r="B120" s="6" t="str">
        <f>项目总控台账!A119</f>
        <v>T116</v>
      </c>
      <c r="C120" s="6" t="str">
        <f>IF(AND(项目总控台账!E119&lt;&gt;"",项目总控台账!E119&lt;&gt;"/"),项目总控台账!E119,IF(AND(项目总控台账!D119&lt;&gt;"",项目总控台账!D119&lt;&gt;"/"),项目总控台账!D119,项目总控台账!C119))</f>
        <v>堆垛雨布苫盖情况表（太仓）</v>
      </c>
      <c r="D120" s="6" t="str">
        <f>项目总控台账!F119</f>
        <v>/</v>
      </c>
      <c r="E120" s="6" t="str">
        <f>项目总控台账!G119</f>
        <v>暂停</v>
      </c>
      <c r="F120" s="6" t="str">
        <f>项目总控台账!H119</f>
        <v>/</v>
      </c>
      <c r="G120" s="16" t="str">
        <f>项目总控台账!J119</f>
        <v/>
      </c>
      <c r="H120" s="6" t="str">
        <f>IF(G120="","",G120-项目驾驶舱!$B$3)</f>
        <v/>
      </c>
      <c r="I120" s="6" t="str">
        <f>项目总控台账!AC119</f>
        <v>暂停</v>
      </c>
      <c r="J120" s="6" t="str">
        <f>项目总控台账!AD119</f>
        <v>69</v>
      </c>
      <c r="K120" s="6" t="str">
        <f t="shared" si="1"/>
        <v/>
      </c>
      <c r="L120" s="9"/>
      <c r="M120" s="8"/>
    </row>
    <row r="121" spans="1:13">
      <c r="A121" s="6" t="str">
        <f>IF(B121="","",IF(AND(E121&lt;&gt;"已完成",ISNUMBER(G121),G121&lt;=项目驾驶舱!$B$3+14),"是","否"))</f>
        <v>否</v>
      </c>
      <c r="B121" s="6" t="str">
        <f>项目总控台账!A120</f>
        <v>T117</v>
      </c>
      <c r="C121" s="6" t="str">
        <f>IF(AND(项目总控台账!E120&lt;&gt;"",项目总控台账!E120&lt;&gt;"/"),项目总控台账!E120,IF(AND(项目总控台账!D120&lt;&gt;"",项目总控台账!D120&lt;&gt;"/"),项目总控台账!D120,项目总控台账!C120))</f>
        <v>经营任务情况分析报告</v>
      </c>
      <c r="D121" s="6" t="str">
        <f>项目总控台账!F120</f>
        <v>第一批次</v>
      </c>
      <c r="E121" s="6" t="str">
        <f>项目总控台账!G120</f>
        <v>已完成</v>
      </c>
      <c r="F121" s="6" t="str">
        <f>项目总控台账!H120</f>
        <v>郑士旺</v>
      </c>
      <c r="G121" s="16">
        <f>项目总控台账!J120</f>
        <v>46269</v>
      </c>
      <c r="H121" s="6">
        <f>IF(G121="","",G121-项目驾驶舱!$B$3)</f>
        <v>1</v>
      </c>
      <c r="I121" s="6" t="str">
        <f>项目总控台账!AC120</f>
        <v>正常</v>
      </c>
      <c r="J121" s="6" t="str">
        <f>项目总控台账!AD120</f>
        <v>69</v>
      </c>
      <c r="K121" s="6" t="str">
        <f t="shared" si="1"/>
        <v/>
      </c>
      <c r="L121" s="9"/>
      <c r="M121" s="8"/>
    </row>
    <row r="122" spans="1:13">
      <c r="A122" s="6" t="str">
        <f>IF(B122="","",IF(AND(E122&lt;&gt;"已完成",ISNUMBER(G122),G122&lt;=项目驾驶舱!$B$3+14),"是","否"))</f>
        <v>否</v>
      </c>
      <c r="B122" s="6" t="str">
        <f>项目总控台账!A121</f>
        <v>T118</v>
      </c>
      <c r="C122" s="6" t="str">
        <f>IF(AND(项目总控台账!E121&lt;&gt;"",项目总控台账!E121&lt;&gt;"/"),项目总控台账!E121,IF(AND(项目总控台账!D121&lt;&gt;"",项目总控台账!D121&lt;&gt;"/"),项目总控台账!D121,项目总控台账!C121))</f>
        <v>客户月报报告</v>
      </c>
      <c r="D122" s="6" t="str">
        <f>项目总控台账!F121</f>
        <v>第一批次</v>
      </c>
      <c r="E122" s="6" t="str">
        <f>项目总控台账!G121</f>
        <v>已完成</v>
      </c>
      <c r="F122" s="6" t="str">
        <f>项目总控台账!H121</f>
        <v>郑士旺</v>
      </c>
      <c r="G122" s="16">
        <f>项目总控台账!J121</f>
        <v>46269</v>
      </c>
      <c r="H122" s="6">
        <f>IF(G122="","",G122-项目驾驶舱!$B$3)</f>
        <v>1</v>
      </c>
      <c r="I122" s="6" t="str">
        <f>项目总控台账!AC121</f>
        <v>正常</v>
      </c>
      <c r="J122" s="6" t="str">
        <f>项目总控台账!AD121</f>
        <v>69</v>
      </c>
      <c r="K122" s="6" t="str">
        <f t="shared" si="1"/>
        <v/>
      </c>
      <c r="L122" s="9"/>
      <c r="M122" s="8"/>
    </row>
    <row r="123" spans="1:13">
      <c r="A123" s="6" t="str">
        <f>IF(B123="","",IF(AND(E123&lt;&gt;"已完成",ISNUMBER(G123),G123&lt;=项目驾驶舱!$B$3+14),"是","否"))</f>
        <v>否</v>
      </c>
      <c r="B123" s="6" t="str">
        <f>项目总控台账!A122</f>
        <v>T119</v>
      </c>
      <c r="C123" s="6" t="str">
        <f>IF(AND(项目总控台账!E122&lt;&gt;"",项目总控台账!E122&lt;&gt;"/"),项目总控台账!E122,IF(AND(项目总控台账!D122&lt;&gt;"",项目总控台账!D122&lt;&gt;"/"),项目总控台账!D122,项目总控台账!C122))</f>
        <v>月度客户情况报告</v>
      </c>
      <c r="D123" s="6" t="str">
        <f>项目总控台账!F122</f>
        <v>第一批次</v>
      </c>
      <c r="E123" s="6" t="str">
        <f>项目总控台账!G122</f>
        <v>已完成</v>
      </c>
      <c r="F123" s="6" t="str">
        <f>项目总控台账!H122</f>
        <v>郑士旺</v>
      </c>
      <c r="G123" s="16">
        <f>项目总控台账!J122</f>
        <v>46269</v>
      </c>
      <c r="H123" s="6">
        <f>IF(G123="","",G123-项目驾驶舱!$B$3)</f>
        <v>1</v>
      </c>
      <c r="I123" s="6" t="str">
        <f>项目总控台账!AC122</f>
        <v>正常</v>
      </c>
      <c r="J123" s="6" t="str">
        <f>项目总控台账!AD122</f>
        <v>69</v>
      </c>
      <c r="K123" s="6" t="str">
        <f t="shared" si="1"/>
        <v/>
      </c>
      <c r="L123" s="9"/>
      <c r="M123" s="8"/>
    </row>
    <row r="124" spans="1:13">
      <c r="A124" s="6" t="str">
        <f>IF(B124="","",IF(AND(E124&lt;&gt;"已完成",ISNUMBER(G124),G124&lt;=项目驾驶舱!$B$3+14),"是","否"))</f>
        <v>否</v>
      </c>
      <c r="B124" s="6" t="str">
        <f>项目总控台账!A123</f>
        <v>T120</v>
      </c>
      <c r="C124" s="6" t="str">
        <f>IF(AND(项目总控台账!E123&lt;&gt;"",项目总控台账!E123&lt;&gt;"/"),项目总控台账!E123,IF(AND(项目总控台账!D123&lt;&gt;"",项目总控台账!D123&lt;&gt;"/"),项目总控台账!D123,项目总控台账!C123))</f>
        <v>商务计划周报</v>
      </c>
      <c r="D124" s="6" t="str">
        <f>项目总控台账!F123</f>
        <v>第一批次</v>
      </c>
      <c r="E124" s="6" t="str">
        <f>项目总控台账!G123</f>
        <v>已完成</v>
      </c>
      <c r="F124" s="6" t="str">
        <f>项目总控台账!H123</f>
        <v>郑士旺</v>
      </c>
      <c r="G124" s="16">
        <f>项目总控台账!J123</f>
        <v>46269</v>
      </c>
      <c r="H124" s="6">
        <f>IF(G124="","",G124-项目驾驶舱!$B$3)</f>
        <v>1</v>
      </c>
      <c r="I124" s="6" t="str">
        <f>项目总控台账!AC123</f>
        <v>正常</v>
      </c>
      <c r="J124" s="6" t="str">
        <f>项目总控台账!AD123</f>
        <v>69</v>
      </c>
      <c r="K124" s="6" t="str">
        <f t="shared" si="1"/>
        <v/>
      </c>
      <c r="L124" s="9"/>
      <c r="M124" s="8"/>
    </row>
    <row r="125" spans="1:13">
      <c r="A125" s="6" t="str">
        <f>IF(B125="","",IF(AND(E125&lt;&gt;"已完成",ISNUMBER(G125),G125&lt;=项目驾驶舱!$B$3+14),"是","否"))</f>
        <v>否</v>
      </c>
      <c r="B125" s="6" t="str">
        <f>项目总控台账!A124</f>
        <v>T121</v>
      </c>
      <c r="C125" s="6" t="str">
        <f>IF(AND(项目总控台账!E124&lt;&gt;"",项目总控台账!E124&lt;&gt;"/"),项目总控台账!E124,IF(AND(项目总控台账!D124&lt;&gt;"",项目总控台账!D124&lt;&gt;"/"),项目总控台账!D124,项目总控台账!C124))</f>
        <v>船舶供应服务查询</v>
      </c>
      <c r="D125" s="6" t="str">
        <f>项目总控台账!F124</f>
        <v>第二批次</v>
      </c>
      <c r="E125" s="6" t="str">
        <f>项目总控台账!G124</f>
        <v>已完成</v>
      </c>
      <c r="F125" s="6" t="str">
        <f>项目总控台账!H124</f>
        <v>郑士旺</v>
      </c>
      <c r="G125" s="16">
        <f>项目总控台账!J124</f>
        <v>46261</v>
      </c>
      <c r="H125" s="6">
        <f>IF(G125="","",G125-项目驾驶舱!$B$3)</f>
        <v>-7</v>
      </c>
      <c r="I125" s="6" t="str">
        <f>项目总控台账!AC124</f>
        <v>正常</v>
      </c>
      <c r="J125" s="6" t="str">
        <f>项目总控台账!AD124</f>
        <v>69</v>
      </c>
      <c r="K125" s="6" t="str">
        <f t="shared" si="1"/>
        <v/>
      </c>
      <c r="L125" s="9"/>
      <c r="M125" s="8"/>
    </row>
    <row r="126" spans="1:13">
      <c r="A126" s="6" t="str">
        <f>IF(B126="","",IF(AND(E126&lt;&gt;"已完成",ISNUMBER(G126),G126&lt;=项目驾驶舱!$B$3+14),"是","否"))</f>
        <v>否</v>
      </c>
      <c r="B126" s="6" t="str">
        <f>项目总控台账!A125</f>
        <v>T122</v>
      </c>
      <c r="C126" s="6" t="str">
        <f>IF(AND(项目总控台账!E125&lt;&gt;"",项目总控台账!E125&lt;&gt;"/"),项目总控台账!E125,IF(AND(项目总控台账!D125&lt;&gt;"",项目总控台账!D125&lt;&gt;"/"),项目总控台账!D125,项目总控台账!C125))</f>
        <v>船舶预到（内贸）查询</v>
      </c>
      <c r="D126" s="6" t="str">
        <f>项目总控台账!F125</f>
        <v>第二批次</v>
      </c>
      <c r="E126" s="6" t="str">
        <f>项目总控台账!G125</f>
        <v>已完成</v>
      </c>
      <c r="F126" s="6" t="str">
        <f>项目总控台账!H125</f>
        <v>郑士旺</v>
      </c>
      <c r="G126" s="16">
        <f>项目总控台账!J125</f>
        <v>46261</v>
      </c>
      <c r="H126" s="6">
        <f>IF(G126="","",G126-项目驾驶舱!$B$3)</f>
        <v>-7</v>
      </c>
      <c r="I126" s="6" t="str">
        <f>项目总控台账!AC125</f>
        <v>正常</v>
      </c>
      <c r="J126" s="6" t="str">
        <f>项目总控台账!AD125</f>
        <v>69</v>
      </c>
      <c r="K126" s="6" t="str">
        <f t="shared" si="1"/>
        <v/>
      </c>
      <c r="L126" s="9"/>
      <c r="M126" s="8"/>
    </row>
    <row r="127" spans="1:13">
      <c r="A127" s="6" t="str">
        <f>IF(B127="","",IF(AND(E127&lt;&gt;"已完成",ISNUMBER(G127),G127&lt;=项目驾驶舱!$B$3+14),"是","否"))</f>
        <v>否</v>
      </c>
      <c r="B127" s="6" t="str">
        <f>项目总控台账!A126</f>
        <v>T123</v>
      </c>
      <c r="C127" s="6" t="str">
        <f>IF(AND(项目总控台账!E126&lt;&gt;"",项目总控台账!E126&lt;&gt;"/"),项目总控台账!E126,IF(AND(项目总控台账!D126&lt;&gt;"",项目总控台账!D126&lt;&gt;"/"),项目总控台账!D126,项目总控台账!C126))</f>
        <v>台账查询</v>
      </c>
      <c r="D127" s="6" t="str">
        <f>项目总控台账!F126</f>
        <v>第二批次</v>
      </c>
      <c r="E127" s="6" t="str">
        <f>项目总控台账!G126</f>
        <v>已完成</v>
      </c>
      <c r="F127" s="6" t="str">
        <f>项目总控台账!H126</f>
        <v>郑士旺</v>
      </c>
      <c r="G127" s="16">
        <f>项目总控台账!J126</f>
        <v>46261</v>
      </c>
      <c r="H127" s="6">
        <f>IF(G127="","",G127-项目驾驶舱!$B$3)</f>
        <v>-7</v>
      </c>
      <c r="I127" s="6" t="str">
        <f>项目总控台账!AC126</f>
        <v>正常</v>
      </c>
      <c r="J127" s="6" t="str">
        <f>项目总控台账!AD126</f>
        <v>69</v>
      </c>
      <c r="K127" s="6" t="str">
        <f t="shared" si="1"/>
        <v/>
      </c>
      <c r="L127" s="9"/>
      <c r="M127" s="8"/>
    </row>
    <row r="128" spans="1:13">
      <c r="A128" s="6" t="str">
        <f>IF(B128="","",IF(AND(E128&lt;&gt;"已完成",ISNUMBER(G128),G128&lt;=项目驾驶舱!$B$3+14),"是","否"))</f>
        <v>否</v>
      </c>
      <c r="B128" s="6" t="str">
        <f>项目总控台账!A127</f>
        <v>T124</v>
      </c>
      <c r="C128" s="6" t="str">
        <f>IF(AND(项目总控台账!E127&lt;&gt;"",项目总控台账!E127&lt;&gt;"/"),项目总控台账!E127,IF(AND(项目总控台账!D127&lt;&gt;"",项目总控台账!D127&lt;&gt;"/"),项目总控台账!D127,项目总控台账!C127))</f>
        <v>停泊费（内贸）查询</v>
      </c>
      <c r="D128" s="6" t="str">
        <f>项目总控台账!F127</f>
        <v>第二批次</v>
      </c>
      <c r="E128" s="6" t="str">
        <f>项目总控台账!G127</f>
        <v>已完成</v>
      </c>
      <c r="F128" s="6" t="str">
        <f>项目总控台账!H127</f>
        <v>郑士旺</v>
      </c>
      <c r="G128" s="16">
        <f>项目总控台账!J127</f>
        <v>46261</v>
      </c>
      <c r="H128" s="6">
        <f>IF(G128="","",G128-项目驾驶舱!$B$3)</f>
        <v>-7</v>
      </c>
      <c r="I128" s="6" t="str">
        <f>项目总控台账!AC127</f>
        <v>正常</v>
      </c>
      <c r="J128" s="6" t="str">
        <f>项目总控台账!AD127</f>
        <v>69</v>
      </c>
      <c r="K128" s="6" t="str">
        <f t="shared" si="1"/>
        <v/>
      </c>
      <c r="L128" s="9"/>
      <c r="M128" s="8"/>
    </row>
    <row r="129" spans="1:13">
      <c r="A129" s="6" t="str">
        <f>IF(B129="","",IF(AND(E129&lt;&gt;"已完成",ISNUMBER(G129),G129&lt;=项目驾驶舱!$B$3+14),"是","否"))</f>
        <v>否</v>
      </c>
      <c r="B129" s="6" t="str">
        <f>项目总控台账!A128</f>
        <v>T125</v>
      </c>
      <c r="C129" s="6" t="str">
        <f>IF(AND(项目总控台账!E128&lt;&gt;"",项目总控台账!E128&lt;&gt;"/"),项目总控台账!E128,IF(AND(项目总控台账!D128&lt;&gt;"",项目总控台账!D128&lt;&gt;"/"),项目总控台账!D128,项目总控台账!C128))</f>
        <v>船舶供应服务费（内贸）查询</v>
      </c>
      <c r="D129" s="6" t="str">
        <f>项目总控台账!F128</f>
        <v>第二批次</v>
      </c>
      <c r="E129" s="6" t="str">
        <f>项目总控台账!G128</f>
        <v>已完成</v>
      </c>
      <c r="F129" s="6" t="str">
        <f>项目总控台账!H128</f>
        <v>郑士旺</v>
      </c>
      <c r="G129" s="16">
        <f>项目总控台账!J128</f>
        <v>46261</v>
      </c>
      <c r="H129" s="6">
        <f>IF(G129="","",G129-项目驾驶舱!$B$3)</f>
        <v>-7</v>
      </c>
      <c r="I129" s="6" t="str">
        <f>项目总控台账!AC128</f>
        <v>正常</v>
      </c>
      <c r="J129" s="6" t="str">
        <f>项目总控台账!AD128</f>
        <v>69</v>
      </c>
      <c r="K129" s="6" t="str">
        <f t="shared" si="1"/>
        <v/>
      </c>
      <c r="L129" s="9"/>
      <c r="M129" s="8"/>
    </row>
    <row r="130" spans="1:13">
      <c r="A130" s="6" t="str">
        <f>IF(B130="","",IF(AND(E130&lt;&gt;"已完成",ISNUMBER(G130),G130&lt;=项目驾驶舱!$B$3+14),"是","否"))</f>
        <v>否</v>
      </c>
      <c r="B130" s="6" t="str">
        <f>项目总控台账!A129</f>
        <v>T126</v>
      </c>
      <c r="C130" s="6" t="str">
        <f>IF(AND(项目总控台账!E129&lt;&gt;"",项目总控台账!E129&lt;&gt;"/"),项目总控台账!E129,IF(AND(项目总控台账!D129&lt;&gt;"",项目总控台账!D129&lt;&gt;"/"),项目总控台账!D129,项目总控台账!C129))</f>
        <v>停泊费（外贸）查询</v>
      </c>
      <c r="D130" s="6" t="str">
        <f>项目总控台账!F129</f>
        <v>第二批次</v>
      </c>
      <c r="E130" s="6" t="str">
        <f>项目总控台账!G129</f>
        <v>未开始</v>
      </c>
      <c r="F130" s="6" t="str">
        <f>项目总控台账!H129</f>
        <v>郑士旺</v>
      </c>
      <c r="G130" s="16">
        <f>项目总控台账!J129</f>
        <v>46353</v>
      </c>
      <c r="H130" s="6">
        <f>IF(G130="","",G130-项目驾驶舱!$B$3)</f>
        <v>85</v>
      </c>
      <c r="I130" s="6" t="str">
        <f>项目总控台账!AC129</f>
        <v>正常</v>
      </c>
      <c r="J130" s="6" t="str">
        <f>项目总控台账!AD129</f>
        <v>69</v>
      </c>
      <c r="K130" s="6" t="str">
        <f t="shared" si="1"/>
        <v/>
      </c>
      <c r="L130" s="9"/>
      <c r="M130" s="8"/>
    </row>
    <row r="131" spans="1:13">
      <c r="A131" s="6" t="str">
        <f>IF(B131="","",IF(AND(E131&lt;&gt;"已完成",ISNUMBER(G131),G131&lt;=项目驾驶舱!$B$3+14),"是","否"))</f>
        <v>是</v>
      </c>
      <c r="B131" s="6" t="str">
        <f>项目总控台账!A130</f>
        <v>T127</v>
      </c>
      <c r="C131" s="6" t="str">
        <f>IF(AND(项目总控台账!E130&lt;&gt;"",项目总控台账!E130&lt;&gt;"/"),项目总控台账!E130,IF(AND(项目总控台账!D130&lt;&gt;"",项目总控台账!D130&lt;&gt;"/"),项目总控台账!D130,项目总控台账!C130))</f>
        <v>锚泊费（外贸）查询</v>
      </c>
      <c r="D131" s="6" t="str">
        <f>项目总控台账!F130</f>
        <v>第二批次</v>
      </c>
      <c r="E131" s="6" t="str">
        <f>项目总控台账!G130</f>
        <v>未开始</v>
      </c>
      <c r="F131" s="6" t="str">
        <f>项目总控台账!H130</f>
        <v>郑士旺</v>
      </c>
      <c r="G131" s="16">
        <f>项目总控台账!J130</f>
        <v>46261</v>
      </c>
      <c r="H131" s="6">
        <f>IF(G131="","",G131-项目驾驶舱!$B$3)</f>
        <v>-7</v>
      </c>
      <c r="I131" s="6" t="str">
        <f>项目总控台账!AC130</f>
        <v>已延期</v>
      </c>
      <c r="J131" s="6" t="str">
        <f>项目总控台账!AD130</f>
        <v>69</v>
      </c>
      <c r="K131" s="6" t="str">
        <f t="shared" si="1"/>
        <v>立即确认延期原因、影响及补救计划</v>
      </c>
      <c r="L131" s="9"/>
      <c r="M131" s="8"/>
    </row>
    <row r="132" spans="1:13">
      <c r="A132" s="6" t="str">
        <f>IF(B132="","",IF(AND(E132&lt;&gt;"已完成",ISNUMBER(G132),G132&lt;=项目驾驶舱!$B$3+14),"是","否"))</f>
        <v>是</v>
      </c>
      <c r="B132" s="6" t="str">
        <f>项目总控台账!A131</f>
        <v>T128</v>
      </c>
      <c r="C132" s="6" t="str">
        <f>IF(AND(项目总控台账!E131&lt;&gt;"",项目总控台账!E131&lt;&gt;"/"),项目总控台账!E131,IF(AND(项目总控台账!D131&lt;&gt;"",项目总控台账!D131&lt;&gt;"/"),项目总控台账!D131,项目总控台账!C131))</f>
        <v>堆存费（外贸）查询</v>
      </c>
      <c r="D132" s="6" t="str">
        <f>项目总控台账!F131</f>
        <v>第二批次</v>
      </c>
      <c r="E132" s="6" t="str">
        <f>项目总控台账!G131</f>
        <v>未开始</v>
      </c>
      <c r="F132" s="6" t="str">
        <f>项目总控台账!H131</f>
        <v>郑士旺</v>
      </c>
      <c r="G132" s="16">
        <f>项目总控台账!J131</f>
        <v>46261</v>
      </c>
      <c r="H132" s="6">
        <f>IF(G132="","",G132-项目驾驶舱!$B$3)</f>
        <v>-7</v>
      </c>
      <c r="I132" s="6" t="str">
        <f>项目总控台账!AC131</f>
        <v>已延期</v>
      </c>
      <c r="J132" s="6" t="str">
        <f>项目总控台账!AD131</f>
        <v>69</v>
      </c>
      <c r="K132" s="6" t="str">
        <f t="shared" si="1"/>
        <v>立即确认延期原因、影响及补救计划</v>
      </c>
      <c r="L132" s="9"/>
      <c r="M132" s="8"/>
    </row>
    <row r="133" spans="1:13">
      <c r="A133" s="6" t="str">
        <f>IF(B133="","",IF(AND(E133&lt;&gt;"已完成",ISNUMBER(G133),G133&lt;=项目驾驶舱!$B$3+14),"是","否"))</f>
        <v>否</v>
      </c>
      <c r="B133" s="6" t="str">
        <f>项目总控台账!A132</f>
        <v>T129</v>
      </c>
      <c r="C133" s="6" t="str">
        <f>IF(AND(项目总控台账!E132&lt;&gt;"",项目总控台账!E132&lt;&gt;"/"),项目总控台账!E132,IF(AND(项目总控台账!D132&lt;&gt;"",项目总控台账!D132&lt;&gt;"/"),项目总控台账!D132,项目总控台账!C132))</f>
        <v>卸船费（外贸）查询</v>
      </c>
      <c r="D133" s="6" t="str">
        <f>项目总控台账!F132</f>
        <v>第二批次</v>
      </c>
      <c r="E133" s="6" t="str">
        <f>项目总控台账!G132</f>
        <v>未开始</v>
      </c>
      <c r="F133" s="6" t="str">
        <f>项目总控台账!H132</f>
        <v>郑士旺</v>
      </c>
      <c r="G133" s="16">
        <f>项目总控台账!J132</f>
        <v>46353</v>
      </c>
      <c r="H133" s="6">
        <f>IF(G133="","",G133-项目驾驶舱!$B$3)</f>
        <v>85</v>
      </c>
      <c r="I133" s="6" t="str">
        <f>项目总控台账!AC132</f>
        <v>正常</v>
      </c>
      <c r="J133" s="6" t="str">
        <f>项目总控台账!AD132</f>
        <v>69</v>
      </c>
      <c r="K133" s="6" t="str">
        <f t="shared" ref="K133:K149" si="2">IF(A133&lt;&gt;"是","",IF(OR(E133="暂停",E133="挂起"),"确认暂停原因、恢复条件和责任人",IF(H133&lt;0,"立即确认延期原因、影响及补救计划",IF(H133&lt;=7,"本周确认交付承诺和完成证据","提前检查依赖与风险"))))</f>
        <v/>
      </c>
      <c r="L133" s="9"/>
      <c r="M133" s="8"/>
    </row>
    <row r="134" spans="1:13">
      <c r="A134" s="6" t="str">
        <f>IF(B134="","",IF(AND(E134&lt;&gt;"已完成",ISNUMBER(G134),G134&lt;=项目驾驶舱!$B$3+14),"是","否"))</f>
        <v>否</v>
      </c>
      <c r="B134" s="6" t="str">
        <f>项目总控台账!A133</f>
        <v>T130</v>
      </c>
      <c r="C134" s="6" t="str">
        <f>IF(AND(项目总控台账!E133&lt;&gt;"",项目总控台账!E133&lt;&gt;"/"),项目总控台账!E133,IF(AND(项目总控台账!D133&lt;&gt;"",项目总控台账!D133&lt;&gt;"/"),项目总控台账!D133,项目总控台账!C133))</f>
        <v>采样服务费（外贸）查询</v>
      </c>
      <c r="D134" s="6" t="str">
        <f>项目总控台账!F133</f>
        <v>第二批次</v>
      </c>
      <c r="E134" s="6" t="str">
        <f>项目总控台账!G133</f>
        <v>未开始</v>
      </c>
      <c r="F134" s="6" t="str">
        <f>项目总控台账!H133</f>
        <v>郑士旺</v>
      </c>
      <c r="G134" s="16">
        <f>项目总控台账!J133</f>
        <v>46353</v>
      </c>
      <c r="H134" s="6">
        <f>IF(G134="","",G134-项目驾驶舱!$B$3)</f>
        <v>85</v>
      </c>
      <c r="I134" s="6" t="str">
        <f>项目总控台账!AC133</f>
        <v>正常</v>
      </c>
      <c r="J134" s="6" t="str">
        <f>项目总控台账!AD133</f>
        <v>69</v>
      </c>
      <c r="K134" s="6" t="str">
        <f t="shared" si="2"/>
        <v/>
      </c>
      <c r="L134" s="9"/>
      <c r="M134" s="8"/>
    </row>
    <row r="135" spans="1:13">
      <c r="A135" s="6" t="str">
        <f>IF(B135="","",IF(AND(E135&lt;&gt;"已完成",ISNUMBER(G135),G135&lt;=项目驾驶舱!$B$3+14),"是","否"))</f>
        <v>否</v>
      </c>
      <c r="B135" s="6" t="str">
        <f>项目总控台账!A134</f>
        <v>T131</v>
      </c>
      <c r="C135" s="6" t="str">
        <f>IF(AND(项目总控台账!E134&lt;&gt;"",项目总控台账!E134&lt;&gt;"/"),项目总控台账!E134,IF(AND(项目总控台账!D134&lt;&gt;"",项目总控台账!D134&lt;&gt;"/"),项目总控台账!D134,项目总控台账!C134))</f>
        <v>船舶供应服务费（外贸）查询</v>
      </c>
      <c r="D135" s="6" t="str">
        <f>项目总控台账!F134</f>
        <v>第二批次</v>
      </c>
      <c r="E135" s="6" t="str">
        <f>项目总控台账!G134</f>
        <v>未开始</v>
      </c>
      <c r="F135" s="6" t="str">
        <f>项目总控台账!H134</f>
        <v>郑士旺</v>
      </c>
      <c r="G135" s="16">
        <f>项目总控台账!J134</f>
        <v>46353</v>
      </c>
      <c r="H135" s="6">
        <f>IF(G135="","",G135-项目驾驶舱!$B$3)</f>
        <v>85</v>
      </c>
      <c r="I135" s="6" t="str">
        <f>项目总控台账!AC134</f>
        <v>正常</v>
      </c>
      <c r="J135" s="6" t="str">
        <f>项目总控台账!AD134</f>
        <v>69</v>
      </c>
      <c r="K135" s="6" t="str">
        <f t="shared" si="2"/>
        <v/>
      </c>
      <c r="L135" s="9"/>
      <c r="M135" s="8"/>
    </row>
    <row r="136" spans="1:13">
      <c r="A136" s="6" t="str">
        <f>IF(B136="","",IF(AND(E136&lt;&gt;"已完成",ISNUMBER(G136),G136&lt;=项目驾驶舱!$B$3+14),"是","否"))</f>
        <v>否</v>
      </c>
      <c r="B136" s="6" t="str">
        <f>项目总控台账!A135</f>
        <v>T132</v>
      </c>
      <c r="C136" s="6" t="str">
        <f>IF(AND(项目总控台账!E135&lt;&gt;"",项目总控台账!E135&lt;&gt;"/"),项目总控台账!E135,IF(AND(项目总控台账!D135&lt;&gt;"",项目总控台账!D135&lt;&gt;"/"),项目总控台账!D135,项目总控台账!C135))</f>
        <v>新增船舶靠泊通知单</v>
      </c>
      <c r="D136" s="6" t="str">
        <f>项目总控台账!F135</f>
        <v>第二批次</v>
      </c>
      <c r="E136" s="6" t="str">
        <f>项目总控台账!G135</f>
        <v>未开始</v>
      </c>
      <c r="F136" s="6" t="str">
        <f>项目总控台账!H135</f>
        <v>郑士旺</v>
      </c>
      <c r="G136" s="16">
        <f>项目总控台账!J135</f>
        <v>46353</v>
      </c>
      <c r="H136" s="6">
        <f>IF(G136="","",G136-项目驾驶舱!$B$3)</f>
        <v>85</v>
      </c>
      <c r="I136" s="6" t="str">
        <f>项目总控台账!AC135</f>
        <v>正常</v>
      </c>
      <c r="J136" s="6" t="str">
        <f>项目总控台账!AD135</f>
        <v>69</v>
      </c>
      <c r="K136" s="6" t="str">
        <f t="shared" si="2"/>
        <v/>
      </c>
      <c r="L136" s="9"/>
      <c r="M136" s="8"/>
    </row>
    <row r="137" spans="1:13">
      <c r="A137" s="6" t="str">
        <f>IF(B137="","",IF(AND(E137&lt;&gt;"已完成",ISNUMBER(G137),G137&lt;=项目驾驶舱!$B$3+14),"是","否"))</f>
        <v>否</v>
      </c>
      <c r="B137" s="6" t="str">
        <f>项目总控台账!A136</f>
        <v>T133</v>
      </c>
      <c r="C137" s="6" t="str">
        <f>IF(AND(项目总控台账!E136&lt;&gt;"",项目总控台账!E136&lt;&gt;"/"),项目总控台账!E136,IF(AND(项目总控台账!D136&lt;&gt;"",项目总控台账!D136&lt;&gt;"/"),项目总控台账!D136,项目总控台账!C136))</f>
        <v>查询船舶靠泊通知单</v>
      </c>
      <c r="D137" s="6" t="str">
        <f>项目总控台账!F136</f>
        <v>第二批次</v>
      </c>
      <c r="E137" s="6" t="str">
        <f>项目总控台账!G136</f>
        <v>未开始</v>
      </c>
      <c r="F137" s="6" t="str">
        <f>项目总控台账!H136</f>
        <v>郑士旺</v>
      </c>
      <c r="G137" s="16">
        <f>项目总控台账!J136</f>
        <v>46353</v>
      </c>
      <c r="H137" s="6">
        <f>IF(G137="","",G137-项目驾驶舱!$B$3)</f>
        <v>85</v>
      </c>
      <c r="I137" s="6" t="str">
        <f>项目总控台账!AC136</f>
        <v>正常</v>
      </c>
      <c r="J137" s="6" t="str">
        <f>项目总控台账!AD136</f>
        <v>69</v>
      </c>
      <c r="K137" s="6" t="str">
        <f t="shared" si="2"/>
        <v/>
      </c>
      <c r="L137" s="9"/>
      <c r="M137" s="8"/>
    </row>
    <row r="138" spans="1:13">
      <c r="A138" s="6" t="str">
        <f>IF(B138="","",IF(AND(E138&lt;&gt;"已完成",ISNUMBER(G138),G138&lt;=项目驾驶舱!$B$3+14),"是","否"))</f>
        <v>否</v>
      </c>
      <c r="B138" s="6" t="str">
        <f>项目总控台账!A137</f>
        <v>T134</v>
      </c>
      <c r="C138" s="6" t="str">
        <f>IF(AND(项目总控台账!E137&lt;&gt;"",项目总控台账!E137&lt;&gt;"/"),项目总控台账!E137,IF(AND(项目总控台账!D137&lt;&gt;"",项目总控台账!D137&lt;&gt;"/"),项目总控台账!D137,项目总控台账!C137))</f>
        <v>卸船计划查询</v>
      </c>
      <c r="D138" s="6" t="str">
        <f>项目总控台账!F137</f>
        <v>第二批次</v>
      </c>
      <c r="E138" s="6" t="str">
        <f>项目总控台账!G137</f>
        <v>未开始</v>
      </c>
      <c r="F138" s="6" t="str">
        <f>项目总控台账!H137</f>
        <v>郑士旺</v>
      </c>
      <c r="G138" s="16">
        <f>项目总控台账!J137</f>
        <v>46353</v>
      </c>
      <c r="H138" s="6">
        <f>IF(G138="","",G138-项目驾驶舱!$B$3)</f>
        <v>85</v>
      </c>
      <c r="I138" s="6" t="str">
        <f>项目总控台账!AC137</f>
        <v>正常</v>
      </c>
      <c r="J138" s="6" t="str">
        <f>项目总控台账!AD137</f>
        <v>69</v>
      </c>
      <c r="K138" s="6" t="str">
        <f t="shared" si="2"/>
        <v/>
      </c>
      <c r="L138" s="9"/>
      <c r="M138" s="8"/>
    </row>
    <row r="139" spans="1:13">
      <c r="A139" s="6" t="str">
        <f>IF(B139="","",IF(AND(E139&lt;&gt;"已完成",ISNUMBER(G139),G139&lt;=项目驾驶舱!$B$3+14),"是","否"))</f>
        <v>否</v>
      </c>
      <c r="B139" s="6" t="str">
        <f>项目总控台账!A138</f>
        <v>T135</v>
      </c>
      <c r="C139" s="6" t="str">
        <f>IF(AND(项目总控台账!E138&lt;&gt;"",项目总控台账!E138&lt;&gt;"/"),项目总控台账!E138,IF(AND(项目总控台账!D138&lt;&gt;"",项目总控台账!D138&lt;&gt;"/"),项目总控台账!D138,项目总控台账!C138))</f>
        <v>卸船查询</v>
      </c>
      <c r="D139" s="6" t="str">
        <f>项目总控台账!F138</f>
        <v>第二批次</v>
      </c>
      <c r="E139" s="6" t="str">
        <f>项目总控台账!G138</f>
        <v>未开始</v>
      </c>
      <c r="F139" s="6" t="str">
        <f>项目总控台账!H138</f>
        <v>郑士旺</v>
      </c>
      <c r="G139" s="16">
        <f>项目总控台账!J138</f>
        <v>46353</v>
      </c>
      <c r="H139" s="6">
        <f>IF(G139="","",G139-项目驾驶舱!$B$3)</f>
        <v>85</v>
      </c>
      <c r="I139" s="6" t="str">
        <f>项目总控台账!AC138</f>
        <v>正常</v>
      </c>
      <c r="J139" s="6" t="str">
        <f>项目总控台账!AD138</f>
        <v>69</v>
      </c>
      <c r="K139" s="6" t="str">
        <f t="shared" si="2"/>
        <v/>
      </c>
      <c r="L139" s="9"/>
      <c r="M139" s="8"/>
    </row>
    <row r="140" spans="1:13">
      <c r="A140" s="6" t="str">
        <f>IF(B140="","",IF(AND(E140&lt;&gt;"已完成",ISNUMBER(G140),G140&lt;=项目驾驶舱!$B$3+14),"是","否"))</f>
        <v>否</v>
      </c>
      <c r="B140" s="6" t="str">
        <f>项目总控台账!A139</f>
        <v>T136</v>
      </c>
      <c r="C140" s="6" t="str">
        <f>IF(AND(项目总控台账!E139&lt;&gt;"",项目总控台账!E139&lt;&gt;"/"),项目总控台账!E139,IF(AND(项目总控台账!D139&lt;&gt;"",项目总控台账!D139&lt;&gt;"/"),项目总控台账!D139,项目总控台账!C139))</f>
        <v>卸船作业委托</v>
      </c>
      <c r="D140" s="6" t="str">
        <f>项目总控台账!F139</f>
        <v>第二批次</v>
      </c>
      <c r="E140" s="6" t="str">
        <f>项目总控台账!G139</f>
        <v>未开始</v>
      </c>
      <c r="F140" s="6" t="str">
        <f>项目总控台账!H139</f>
        <v>郑士旺</v>
      </c>
      <c r="G140" s="16">
        <f>项目总控台账!J139</f>
        <v>46353</v>
      </c>
      <c r="H140" s="6">
        <f>IF(G140="","",G140-项目驾驶舱!$B$3)</f>
        <v>85</v>
      </c>
      <c r="I140" s="6" t="str">
        <f>项目总控台账!AC139</f>
        <v>正常</v>
      </c>
      <c r="J140" s="6" t="str">
        <f>项目总控台账!AD139</f>
        <v>69</v>
      </c>
      <c r="K140" s="6" t="str">
        <f t="shared" si="2"/>
        <v/>
      </c>
      <c r="L140" s="9"/>
      <c r="M140" s="8"/>
    </row>
    <row r="141" spans="1:13">
      <c r="A141" s="6" t="str">
        <f>IF(B141="","",IF(AND(E141&lt;&gt;"已完成",ISNUMBER(G141),G141&lt;=项目驾驶舱!$B$3+14),"是","否"))</f>
        <v>否</v>
      </c>
      <c r="B141" s="6" t="str">
        <f>项目总控台账!A140</f>
        <v>T137</v>
      </c>
      <c r="C141" s="6" t="str">
        <f>IF(AND(项目总控台账!E140&lt;&gt;"",项目总控台账!E140&lt;&gt;"/"),项目总控台账!E140,IF(AND(项目总控台账!D140&lt;&gt;"",项目总控台账!D140&lt;&gt;"/"),项目总控台账!D140,项目总控台账!C140))</f>
        <v>外轮转内贸业务查询</v>
      </c>
      <c r="D141" s="6" t="str">
        <f>项目总控台账!F140</f>
        <v>第二批次</v>
      </c>
      <c r="E141" s="6" t="str">
        <f>项目总控台账!G140</f>
        <v>未开始</v>
      </c>
      <c r="F141" s="6" t="str">
        <f>项目总控台账!H140</f>
        <v>郑士旺</v>
      </c>
      <c r="G141" s="16">
        <f>项目总控台账!J140</f>
        <v>46353</v>
      </c>
      <c r="H141" s="6">
        <f>IF(G141="","",G141-项目驾驶舱!$B$3)</f>
        <v>85</v>
      </c>
      <c r="I141" s="6" t="str">
        <f>项目总控台账!AC140</f>
        <v>正常</v>
      </c>
      <c r="J141" s="6" t="str">
        <f>项目总控台账!AD140</f>
        <v>69</v>
      </c>
      <c r="K141" s="6" t="str">
        <f t="shared" si="2"/>
        <v/>
      </c>
      <c r="L141" s="9"/>
      <c r="M141" s="8"/>
    </row>
    <row r="142" spans="1:13">
      <c r="A142" s="6" t="str">
        <f>IF(B142="","",IF(AND(E142&lt;&gt;"已完成",ISNUMBER(G142),G142&lt;=项目驾驶舱!$B$3+14),"是","否"))</f>
        <v>否</v>
      </c>
      <c r="B142" s="6" t="str">
        <f>项目总控台账!A141</f>
        <v>T138</v>
      </c>
      <c r="C142" s="6" t="str">
        <f>IF(AND(项目总控台账!E141&lt;&gt;"",项目总控台账!E141&lt;&gt;"/"),项目总控台账!E141,IF(AND(项目总控台账!D141&lt;&gt;"",项目总控台账!D141&lt;&gt;"/"),项目总控台账!D141,项目总控台账!C141))</f>
        <v>查询卸车流程</v>
      </c>
      <c r="D142" s="6" t="str">
        <f>项目总控台账!F141</f>
        <v>第二批次</v>
      </c>
      <c r="E142" s="6" t="str">
        <f>项目总控台账!G141</f>
        <v>已完成</v>
      </c>
      <c r="F142" s="6" t="str">
        <f>项目总控台账!H141</f>
        <v>郑士旺</v>
      </c>
      <c r="G142" s="16">
        <f>项目总控台账!J141</f>
        <v>46261</v>
      </c>
      <c r="H142" s="6">
        <f>IF(G142="","",G142-项目驾驶舱!$B$3)</f>
        <v>-7</v>
      </c>
      <c r="I142" s="6" t="str">
        <f>项目总控台账!AC141</f>
        <v>正常</v>
      </c>
      <c r="J142" s="6" t="str">
        <f>项目总控台账!AD141</f>
        <v>69</v>
      </c>
      <c r="K142" s="6" t="str">
        <f t="shared" si="2"/>
        <v/>
      </c>
      <c r="L142" s="9"/>
      <c r="M142" s="8"/>
    </row>
    <row r="143" spans="1:13">
      <c r="A143" s="6" t="str">
        <f>IF(B143="","",IF(AND(E143&lt;&gt;"已完成",ISNUMBER(G143),G143&lt;=项目驾驶舱!$B$3+14),"是","否"))</f>
        <v>否</v>
      </c>
      <c r="B143" s="6" t="str">
        <f>项目总控台账!A142</f>
        <v>T139</v>
      </c>
      <c r="C143" s="6" t="str">
        <f>IF(AND(项目总控台账!E142&lt;&gt;"",项目总控台账!E142&lt;&gt;"/"),项目总控台账!E142,IF(AND(项目总控台账!D142&lt;&gt;"",项目总控台账!D142&lt;&gt;"/"),项目总控台账!D142,项目总控台账!C142))</f>
        <v>查询装船流程</v>
      </c>
      <c r="D143" s="6" t="str">
        <f>项目总控台账!F142</f>
        <v>第二批次</v>
      </c>
      <c r="E143" s="6" t="str">
        <f>项目总控台账!G142</f>
        <v>已完成</v>
      </c>
      <c r="F143" s="6" t="str">
        <f>项目总控台账!H142</f>
        <v>郑士旺</v>
      </c>
      <c r="G143" s="16">
        <f>项目总控台账!J142</f>
        <v>46261</v>
      </c>
      <c r="H143" s="6">
        <f>IF(G143="","",G143-项目驾驶舱!$B$3)</f>
        <v>-7</v>
      </c>
      <c r="I143" s="6" t="str">
        <f>项目总控台账!AC142</f>
        <v>正常</v>
      </c>
      <c r="J143" s="6" t="str">
        <f>项目总控台账!AD142</f>
        <v>69</v>
      </c>
      <c r="K143" s="6" t="str">
        <f t="shared" si="2"/>
        <v/>
      </c>
      <c r="L143" s="9"/>
      <c r="M143" s="8"/>
    </row>
    <row r="144" spans="1:13">
      <c r="A144" s="6" t="str">
        <f>IF(B144="","",IF(AND(E144&lt;&gt;"已完成",ISNUMBER(G144),G144&lt;=项目驾驶舱!$B$3+14),"是","否"))</f>
        <v>否</v>
      </c>
      <c r="B144" s="6" t="str">
        <f>项目总控台账!A143</f>
        <v>T140</v>
      </c>
      <c r="C144" s="6" t="str">
        <f>IF(AND(项目总控台账!E143&lt;&gt;"",项目总控台账!E143&lt;&gt;"/"),项目总控台账!E143,IF(AND(项目总控台账!D143&lt;&gt;"",项目总控台账!D143&lt;&gt;"/"),项目总控台账!D143,项目总控台账!C143))</f>
        <v>查询卸船流程</v>
      </c>
      <c r="D144" s="6" t="str">
        <f>项目总控台账!F143</f>
        <v>第二批次</v>
      </c>
      <c r="E144" s="6" t="str">
        <f>项目总控台账!G143</f>
        <v>已完成</v>
      </c>
      <c r="F144" s="6" t="str">
        <f>项目总控台账!H143</f>
        <v>郑士旺</v>
      </c>
      <c r="G144" s="16">
        <f>项目总控台账!J143</f>
        <v>46353</v>
      </c>
      <c r="H144" s="6">
        <f>IF(G144="","",G144-项目驾驶舱!$B$3)</f>
        <v>85</v>
      </c>
      <c r="I144" s="6" t="str">
        <f>项目总控台账!AC143</f>
        <v>正常</v>
      </c>
      <c r="J144" s="6" t="str">
        <f>项目总控台账!AD143</f>
        <v>69</v>
      </c>
      <c r="K144" s="6" t="str">
        <f t="shared" si="2"/>
        <v/>
      </c>
      <c r="L144" s="9"/>
      <c r="M144" s="8"/>
    </row>
    <row r="145" spans="1:13">
      <c r="A145" s="6" t="str">
        <f>IF(B145="","",IF(AND(E145&lt;&gt;"已完成",ISNUMBER(G145),G145&lt;=项目驾驶舱!$B$3+14),"是","否"))</f>
        <v>否</v>
      </c>
      <c r="B145" s="6" t="str">
        <f>项目总控台账!A144</f>
        <v>T141</v>
      </c>
      <c r="C145" s="6" t="str">
        <f>IF(AND(项目总控台账!E144&lt;&gt;"",项目总控台账!E144&lt;&gt;"/"),项目总控台账!E144,IF(AND(项目总控台账!D144&lt;&gt;"",项目总控台账!D144&lt;&gt;"/"),项目总控台账!D144,项目总控台账!C144))</f>
        <v>视频监控查询</v>
      </c>
      <c r="D145" s="6" t="str">
        <f>项目总控台账!F144</f>
        <v>第二批次</v>
      </c>
      <c r="E145" s="6" t="str">
        <f>项目总控台账!G144</f>
        <v>未开始</v>
      </c>
      <c r="F145" s="6" t="str">
        <f>项目总控台账!H144</f>
        <v>郑士旺</v>
      </c>
      <c r="G145" s="16">
        <f>项目总控台账!J144</f>
        <v>46318</v>
      </c>
      <c r="H145" s="6">
        <f>IF(G145="","",G145-项目驾驶舱!$B$3)</f>
        <v>50</v>
      </c>
      <c r="I145" s="6" t="str">
        <f>项目总控台账!AC144</f>
        <v>正常</v>
      </c>
      <c r="J145" s="6" t="str">
        <f>项目总控台账!AD144</f>
        <v>69</v>
      </c>
      <c r="K145" s="6" t="str">
        <f t="shared" si="2"/>
        <v/>
      </c>
      <c r="L145" s="9"/>
      <c r="M145" s="8"/>
    </row>
    <row r="146" spans="1:13">
      <c r="A146" s="6" t="str">
        <f>IF(B146="","",IF(AND(E146&lt;&gt;"已完成",ISNUMBER(G146),G146&lt;=项目驾驶舱!$B$3+14),"是","否"))</f>
        <v>否</v>
      </c>
      <c r="B146" s="6" t="str">
        <f>项目总控台账!A145</f>
        <v>T142</v>
      </c>
      <c r="C146" s="6" t="str">
        <f>IF(AND(项目总控台账!E145&lt;&gt;"",项目总控台账!E145&lt;&gt;"/"),项目总控台账!E145,IF(AND(项目总控台账!D145&lt;&gt;"",项目总控台账!D145&lt;&gt;"/"),项目总控台账!D145,项目总控台账!C145))</f>
        <v>审批船舶靠泊通知单</v>
      </c>
      <c r="D146" s="6" t="str">
        <f>项目总控台账!F145</f>
        <v>第二批次</v>
      </c>
      <c r="E146" s="6" t="str">
        <f>项目总控台账!G145</f>
        <v>未开始</v>
      </c>
      <c r="F146" s="6" t="str">
        <f>项目总控台账!H145</f>
        <v>郑士旺</v>
      </c>
      <c r="G146" s="16">
        <f>项目总控台账!J145</f>
        <v>46353</v>
      </c>
      <c r="H146" s="6">
        <f>IF(G146="","",G146-项目驾驶舱!$B$3)</f>
        <v>85</v>
      </c>
      <c r="I146" s="6" t="str">
        <f>项目总控台账!AC145</f>
        <v>正常</v>
      </c>
      <c r="J146" s="6" t="str">
        <f>项目总控台账!AD145</f>
        <v>69</v>
      </c>
      <c r="K146" s="6" t="str">
        <f t="shared" si="2"/>
        <v/>
      </c>
      <c r="L146" s="9"/>
      <c r="M146" s="8"/>
    </row>
    <row r="147" spans="1:13">
      <c r="A147" s="6" t="str">
        <f>IF(B147="","",IF(AND(E147&lt;&gt;"已完成",ISNUMBER(G147),G147&lt;=项目驾驶舱!$B$3+14),"是","否"))</f>
        <v>否</v>
      </c>
      <c r="B147" s="6" t="str">
        <f>项目总控台账!A146</f>
        <v>T143</v>
      </c>
      <c r="C147" s="6" t="str">
        <f>IF(AND(项目总控台账!E146&lt;&gt;"",项目总控台账!E146&lt;&gt;"/"),项目总控台账!E146,IF(AND(项目总控台账!D146&lt;&gt;"",项目总控台账!D146&lt;&gt;"/"),项目总控台账!D146,项目总控台账!C146))</f>
        <v>图片上传</v>
      </c>
      <c r="D147" s="6" t="str">
        <f>项目总控台账!F146</f>
        <v>第一批次</v>
      </c>
      <c r="E147" s="6" t="str">
        <f>项目总控台账!G146</f>
        <v>已完成</v>
      </c>
      <c r="F147" s="6" t="str">
        <f>项目总控台账!H146</f>
        <v>郑士旺</v>
      </c>
      <c r="G147" s="16">
        <f>项目总控台账!J146</f>
        <v>46261</v>
      </c>
      <c r="H147" s="6">
        <f>IF(G147="","",G147-项目驾驶舱!$B$3)</f>
        <v>-7</v>
      </c>
      <c r="I147" s="6" t="str">
        <f>项目总控台账!AC146</f>
        <v>正常</v>
      </c>
      <c r="J147" s="6" t="str">
        <f>项目总控台账!AD146</f>
        <v>69</v>
      </c>
      <c r="K147" s="6" t="str">
        <f t="shared" si="2"/>
        <v/>
      </c>
      <c r="L147" s="9"/>
      <c r="M147" s="8"/>
    </row>
    <row r="148" spans="1:13">
      <c r="A148" s="6" t="str">
        <f>IF(B148="","",IF(AND(E148&lt;&gt;"已完成",ISNUMBER(G148),G148&lt;=项目驾驶舱!$B$3+14),"是","否"))</f>
        <v>否</v>
      </c>
      <c r="B148" s="6" t="str">
        <f>项目总控台账!A147</f>
        <v>T144</v>
      </c>
      <c r="C148" s="6" t="str">
        <f>IF(AND(项目总控台账!E147&lt;&gt;"",项目总控台账!E147&lt;&gt;"/"),项目总控台账!E147,IF(AND(项目总控台账!D147&lt;&gt;"",项目总控台账!D147&lt;&gt;"/"),项目总控台账!D147,项目总控台账!C147))</f>
        <v>图片上传</v>
      </c>
      <c r="D148" s="6" t="str">
        <f>项目总控台账!F147</f>
        <v>第一批次</v>
      </c>
      <c r="E148" s="6" t="str">
        <f>项目总控台账!G147</f>
        <v>已完成</v>
      </c>
      <c r="F148" s="6" t="str">
        <f>项目总控台账!H147</f>
        <v>郑士旺</v>
      </c>
      <c r="G148" s="16">
        <f>项目总控台账!J147</f>
        <v>46261</v>
      </c>
      <c r="H148" s="6">
        <f>IF(G148="","",G148-项目驾驶舱!$B$3)</f>
        <v>-7</v>
      </c>
      <c r="I148" s="6" t="str">
        <f>项目总控台账!AC147</f>
        <v>正常</v>
      </c>
      <c r="J148" s="6" t="str">
        <f>项目总控台账!AD147</f>
        <v>69</v>
      </c>
      <c r="K148" s="6" t="str">
        <f t="shared" si="2"/>
        <v/>
      </c>
      <c r="L148" s="9"/>
      <c r="M148" s="8"/>
    </row>
    <row r="149" spans="1:13">
      <c r="A149" s="6" t="str">
        <f>IF(B149="","",IF(AND(E149&lt;&gt;"已完成",ISNUMBER(G149),G149&lt;=项目驾驶舱!$B$3+14),"是","否"))</f>
        <v>否</v>
      </c>
      <c r="B149" s="6" t="str">
        <f>项目总控台账!A148</f>
        <v>T145</v>
      </c>
      <c r="C149" s="6" t="str">
        <f>IF(AND(项目总控台账!E148&lt;&gt;"",项目总控台账!E148&lt;&gt;"/"),项目总控台账!E148,IF(AND(项目总控台账!D148&lt;&gt;"",项目总控台账!D148&lt;&gt;"/"),项目总控台账!D148,项目总控台账!C148))</f>
        <v>图片上传</v>
      </c>
      <c r="D149" s="6" t="str">
        <f>项目总控台账!F148</f>
        <v>第二批次</v>
      </c>
      <c r="E149" s="6" t="str">
        <f>项目总控台账!G148</f>
        <v>已完成</v>
      </c>
      <c r="F149" s="6" t="str">
        <f>项目总控台账!H148</f>
        <v>郑士旺</v>
      </c>
      <c r="G149" s="16">
        <f>项目总控台账!J148</f>
        <v>46269</v>
      </c>
      <c r="H149" s="6">
        <f>IF(G149="","",G149-项目驾驶舱!$B$3)</f>
        <v>1</v>
      </c>
      <c r="I149" s="6" t="str">
        <f>项目总控台账!AC148</f>
        <v>正常</v>
      </c>
      <c r="J149" s="6">
        <f>项目总控台账!AD148</f>
        <v>0</v>
      </c>
      <c r="K149" s="6" t="str">
        <f t="shared" si="2"/>
        <v/>
      </c>
      <c r="L149" s="9"/>
      <c r="M149" s="8"/>
    </row>
  </sheetData>
  <autoFilter xmlns:etc="http://www.wps.cn/officeDocument/2017/etCustomData" ref="A4:M149" etc:filterBottomFollowUsedRange="0">
    <extLst/>
  </autoFilter>
  <mergeCells count="2">
    <mergeCell ref="A1:M1"/>
    <mergeCell ref="A2:M2"/>
  </mergeCells>
  <conditionalFormatting sqref="A5:A149">
    <cfRule type="expression" dxfId="7" priority="1">
      <formula>$A5="是"</formula>
    </cfRule>
  </conditionalFormatting>
  <conditionalFormatting sqref="H5:H149">
    <cfRule type="expression" dxfId="6" priority="2">
      <formula>$H5&lt;0</formula>
    </cfRule>
  </conditionalFormatting>
  <pageMargins left="0.75" right="0.75" top="1" bottom="1" header="0.5" footer="0.5"/>
  <pageSetup paperSize="1" fitToHeight="0" orientation="landscape"/>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7365D"/>
    <pageSetUpPr fitToPage="1"/>
  </sheetPr>
  <dimension ref="A1:J39"/>
  <sheetViews>
    <sheetView showGridLines="0" zoomScale="85" zoomScaleNormal="85" workbookViewId="0">
      <selection activeCell="A1" sqref="A1:J1"/>
    </sheetView>
  </sheetViews>
  <sheetFormatPr defaultColWidth="9" defaultRowHeight="16.8"/>
  <cols>
    <col min="1" max="1" width="22" style="1" customWidth="1"/>
    <col min="2" max="2" width="16" style="1" customWidth="1"/>
    <col min="3" max="3" width="34" style="1" customWidth="1"/>
    <col min="4" max="4" width="4" style="1" customWidth="1"/>
    <col min="5" max="10" width="14" style="1" customWidth="1"/>
  </cols>
  <sheetData>
    <row r="1" ht="28" customHeight="1" spans="1:10">
      <c r="A1" s="2" t="s">
        <v>758</v>
      </c>
    </row>
    <row r="2" ht="22" customHeight="1" spans="1:10">
      <c r="A2" s="3" t="s">
        <v>759</v>
      </c>
    </row>
    <row r="3" spans="1:10">
      <c r="A3" s="4"/>
      <c r="B3" s="4"/>
      <c r="C3" s="4"/>
      <c r="D3" s="4"/>
      <c r="E3" s="4"/>
      <c r="F3" s="4"/>
      <c r="G3" s="4"/>
      <c r="H3" s="4"/>
      <c r="I3" s="4"/>
      <c r="J3" s="4"/>
    </row>
    <row r="4" spans="1:10">
      <c r="A4" s="10" t="s">
        <v>760</v>
      </c>
      <c r="B4" s="11">
        <f>项目驾驶舱!B3</f>
        <v>46268</v>
      </c>
    </row>
    <row r="5" spans="1:10">
      <c r="A5" s="10" t="s">
        <v>761</v>
      </c>
      <c r="B5" s="12" t="str">
        <f>AI项目诊断!E4</f>
        <v>待确认</v>
      </c>
    </row>
    <row r="6" spans="1:10">
      <c r="A6" s="10" t="s">
        <v>762</v>
      </c>
      <c r="B6" s="12" t="str">
        <f>AI项目诊断!H4</f>
        <v>根据诊断指标补充总体判断、最大失控点和需要的支持。</v>
      </c>
    </row>
    <row r="8" spans="1:10">
      <c r="A8" s="13" t="s">
        <v>763</v>
      </c>
    </row>
    <row r="9" ht="36" customHeight="1" spans="1:10">
      <c r="A9" s="8" t="s">
        <v>764</v>
      </c>
    </row>
    <row r="12" spans="1:10">
      <c r="A12" s="13" t="s">
        <v>765</v>
      </c>
    </row>
    <row r="13" ht="36" customHeight="1" spans="1:10">
      <c r="A13" s="8" t="s">
        <v>766</v>
      </c>
    </row>
    <row r="17" spans="1:1">
      <c r="A17" s="13" t="s">
        <v>767</v>
      </c>
    </row>
    <row r="18" ht="36" customHeight="1" spans="1:1">
      <c r="A18" s="8" t="s">
        <v>768</v>
      </c>
    </row>
    <row r="22" spans="1:1">
      <c r="A22" s="13" t="s">
        <v>769</v>
      </c>
    </row>
    <row r="23" ht="36" customHeight="1" spans="1:1">
      <c r="A23" s="8" t="s">
        <v>770</v>
      </c>
    </row>
    <row r="27" spans="1:1">
      <c r="A27" s="13" t="s">
        <v>771</v>
      </c>
    </row>
    <row r="28" ht="36" customHeight="1" spans="1:1">
      <c r="A28" s="8" t="s">
        <v>772</v>
      </c>
    </row>
    <row r="32" ht="17.6" spans="1:1">
      <c r="A32" s="14" t="s">
        <v>773</v>
      </c>
    </row>
    <row r="33" ht="28" customHeight="1" spans="1:3">
      <c r="A33" s="5" t="s">
        <v>774</v>
      </c>
      <c r="B33" s="5" t="s">
        <v>775</v>
      </c>
      <c r="C33" s="5" t="s">
        <v>776</v>
      </c>
    </row>
    <row r="34" spans="1:3">
      <c r="A34" s="6" t="s">
        <v>17</v>
      </c>
      <c r="B34" s="15">
        <f>IFERROR(COUNTIF(项目总控台账!$G$4:$G$148,"已完成")/COUNTIF(项目总控台账!$A$4:$A$148,"&lt;&gt;"),0)</f>
        <v>0.503448275862069</v>
      </c>
      <c r="C34" s="6" t="s">
        <v>777</v>
      </c>
    </row>
    <row r="35" spans="1:3">
      <c r="A35" s="6" t="s">
        <v>778</v>
      </c>
      <c r="B35" s="6">
        <f>COUNTIF(项目总控台账!$AC$4:$AC$148,"*延期*")</f>
        <v>24</v>
      </c>
      <c r="C35" s="6" t="s">
        <v>779</v>
      </c>
    </row>
    <row r="36" spans="1:3">
      <c r="A36" s="6" t="s">
        <v>701</v>
      </c>
      <c r="B36" s="6">
        <f>COUNTIFS(风险问题台账!$D$4:$D$102,"高",风险问题台账!$K$4:$K$102,"&lt;&gt;已关闭")</f>
        <v>5</v>
      </c>
      <c r="C36" s="6" t="s">
        <v>780</v>
      </c>
    </row>
    <row r="37" spans="1:3">
      <c r="A37" s="6" t="s">
        <v>703</v>
      </c>
      <c r="B37" s="6">
        <f>COUNTIFS(会议行动项!$J$4:$J$102,"&gt;0",会议行动项!$H$4:$H$102,"&lt;&gt;已完成")</f>
        <v>0</v>
      </c>
      <c r="C37" s="6" t="s">
        <v>781</v>
      </c>
    </row>
    <row r="38" spans="1:3">
      <c r="A38" s="6" t="s">
        <v>740</v>
      </c>
      <c r="B38" s="6">
        <f>COUNTIFS(待决策事项!$C$5:$C$54,"&lt;&gt;",待决策事项!$I$5:$I$54,"&lt;&gt;已决策",待决策事项!$I$5:$I$54,"&lt;&gt;已关闭")</f>
        <v>0</v>
      </c>
      <c r="C38" s="6" t="s">
        <v>782</v>
      </c>
    </row>
    <row r="39" spans="1:3">
      <c r="A39" s="6" t="s">
        <v>704</v>
      </c>
      <c r="B39" s="6">
        <f>COUNTIF(数据质量检查!$H$5:$H$149,"需整改")</f>
        <v>12</v>
      </c>
      <c r="C39" s="6" t="s">
        <v>783</v>
      </c>
    </row>
  </sheetData>
  <mergeCells count="15">
    <mergeCell ref="A1:J1"/>
    <mergeCell ref="A2:J2"/>
    <mergeCell ref="B4:J4"/>
    <mergeCell ref="B5:J5"/>
    <mergeCell ref="B6:J6"/>
    <mergeCell ref="A8:J8"/>
    <mergeCell ref="A12:J12"/>
    <mergeCell ref="A17:J17"/>
    <mergeCell ref="A22:J22"/>
    <mergeCell ref="A27:J27"/>
    <mergeCell ref="A9:J11"/>
    <mergeCell ref="A13:J15"/>
    <mergeCell ref="A18:J20"/>
    <mergeCell ref="A28:J30"/>
    <mergeCell ref="A23:J25"/>
  </mergeCells>
  <pageMargins left="0.75" right="0.75" top="1" bottom="1" header="0.5" footer="0.5"/>
  <pageSetup paperSize="1" fitToHeight="0" orientation="landscape"/>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F7F7F"/>
    <pageSetUpPr fitToPage="1"/>
  </sheetPr>
  <dimension ref="A1:L104"/>
  <sheetViews>
    <sheetView showGridLines="0" zoomScale="85" zoomScaleNormal="85" workbookViewId="0">
      <pane ySplit="4" topLeftCell="A5" activePane="bottomLeft" state="frozen"/>
      <selection/>
      <selection pane="bottomLeft" activeCell="E15" sqref="E15"/>
    </sheetView>
  </sheetViews>
  <sheetFormatPr defaultColWidth="9" defaultRowHeight="16.8"/>
  <cols>
    <col min="1" max="1" width="12" style="1" customWidth="1"/>
    <col min="2" max="2" width="18" style="1" customWidth="1"/>
    <col min="3" max="3" width="15" style="1" customWidth="1"/>
    <col min="4" max="4" width="13" style="1" customWidth="1"/>
    <col min="5" max="5" width="22" style="1" customWidth="1"/>
    <col min="6" max="6" width="36" style="1" customWidth="1"/>
    <col min="7" max="7" width="12" style="1" customWidth="1"/>
    <col min="8" max="8" width="36" style="1" customWidth="1"/>
    <col min="9" max="9" width="30" style="1" customWidth="1"/>
    <col min="10" max="10" width="14" style="1" customWidth="1"/>
    <col min="11" max="12" width="13" style="1" customWidth="1"/>
  </cols>
  <sheetData>
    <row r="1" ht="28" customHeight="1" spans="1:12">
      <c r="A1" s="2" t="s">
        <v>784</v>
      </c>
    </row>
    <row r="2" ht="22" customHeight="1" spans="1:12">
      <c r="A2" s="3" t="s">
        <v>785</v>
      </c>
    </row>
    <row r="3" spans="1:12">
      <c r="A3" s="4"/>
      <c r="B3" s="4"/>
      <c r="C3" s="4"/>
      <c r="D3" s="4"/>
      <c r="E3" s="4"/>
      <c r="F3" s="4"/>
      <c r="G3" s="4"/>
      <c r="H3" s="4"/>
      <c r="I3" s="4"/>
      <c r="J3" s="4"/>
      <c r="K3" s="4"/>
      <c r="L3" s="4"/>
    </row>
    <row r="4" ht="28" customHeight="1" spans="1:12">
      <c r="A4" s="5" t="s">
        <v>786</v>
      </c>
      <c r="B4" s="5" t="s">
        <v>787</v>
      </c>
      <c r="C4" s="5" t="s">
        <v>788</v>
      </c>
      <c r="D4" s="5" t="s">
        <v>692</v>
      </c>
      <c r="E4" s="5" t="s">
        <v>789</v>
      </c>
      <c r="F4" s="5" t="s">
        <v>790</v>
      </c>
      <c r="G4" s="5" t="s">
        <v>514</v>
      </c>
      <c r="H4" s="5" t="s">
        <v>791</v>
      </c>
      <c r="I4" s="5" t="s">
        <v>792</v>
      </c>
      <c r="J4" s="5" t="s">
        <v>793</v>
      </c>
      <c r="K4" s="5" t="s">
        <v>794</v>
      </c>
      <c r="L4" s="5" t="s">
        <v>795</v>
      </c>
    </row>
    <row r="5" spans="1:12">
      <c r="A5" s="6" t="str">
        <f t="shared" ref="A5:A68" si="0">IF(B5="","","AI-"&amp;TEXT(ROW()-4,"0000"))</f>
        <v/>
      </c>
      <c r="B5" s="7"/>
      <c r="C5" s="8"/>
      <c r="D5" s="9"/>
      <c r="E5" s="8"/>
      <c r="F5" s="8"/>
      <c r="G5" s="8"/>
      <c r="H5" s="8"/>
      <c r="I5" s="8"/>
      <c r="J5" s="8"/>
      <c r="K5" s="8"/>
      <c r="L5" s="9"/>
    </row>
    <row r="6" spans="1:12">
      <c r="A6" s="6" t="str">
        <f t="shared" si="0"/>
        <v/>
      </c>
      <c r="B6" s="7"/>
      <c r="C6" s="8"/>
      <c r="D6" s="9"/>
      <c r="E6" s="8"/>
      <c r="F6" s="8"/>
      <c r="G6" s="8"/>
      <c r="H6" s="8"/>
      <c r="I6" s="8"/>
      <c r="J6" s="8"/>
      <c r="K6" s="8"/>
      <c r="L6" s="9"/>
    </row>
    <row r="7" spans="1:12">
      <c r="A7" s="6" t="str">
        <f t="shared" si="0"/>
        <v/>
      </c>
      <c r="B7" s="7"/>
      <c r="C7" s="8"/>
      <c r="D7" s="9"/>
      <c r="E7" s="8"/>
      <c r="F7" s="8"/>
      <c r="G7" s="8"/>
      <c r="H7" s="8"/>
      <c r="I7" s="8"/>
      <c r="J7" s="8"/>
      <c r="K7" s="8"/>
      <c r="L7" s="9"/>
    </row>
    <row r="8" spans="1:12">
      <c r="A8" s="6" t="str">
        <f t="shared" si="0"/>
        <v/>
      </c>
      <c r="B8" s="7"/>
      <c r="C8" s="8"/>
      <c r="D8" s="9"/>
      <c r="E8" s="8"/>
      <c r="F8" s="8"/>
      <c r="G8" s="8"/>
      <c r="H8" s="8"/>
      <c r="I8" s="8"/>
      <c r="J8" s="8"/>
      <c r="K8" s="8"/>
      <c r="L8" s="9"/>
    </row>
    <row r="9" spans="1:12">
      <c r="A9" s="6" t="str">
        <f t="shared" si="0"/>
        <v/>
      </c>
      <c r="B9" s="7"/>
      <c r="C9" s="8"/>
      <c r="D9" s="9"/>
      <c r="E9" s="8"/>
      <c r="F9" s="8"/>
      <c r="G9" s="8"/>
      <c r="H9" s="8"/>
      <c r="I9" s="8"/>
      <c r="J9" s="8"/>
      <c r="K9" s="8"/>
      <c r="L9" s="9"/>
    </row>
    <row r="10" spans="1:12">
      <c r="A10" s="6" t="str">
        <f t="shared" si="0"/>
        <v/>
      </c>
      <c r="B10" s="7"/>
      <c r="C10" s="8"/>
      <c r="D10" s="9"/>
      <c r="E10" s="8"/>
      <c r="F10" s="8"/>
      <c r="G10" s="8"/>
      <c r="H10" s="8"/>
      <c r="I10" s="8"/>
      <c r="J10" s="8"/>
      <c r="K10" s="8"/>
      <c r="L10" s="9"/>
    </row>
    <row r="11" spans="1:12">
      <c r="A11" s="6" t="str">
        <f t="shared" si="0"/>
        <v/>
      </c>
      <c r="B11" s="7"/>
      <c r="C11" s="8"/>
      <c r="D11" s="9"/>
      <c r="E11" s="8"/>
      <c r="F11" s="8"/>
      <c r="G11" s="8"/>
      <c r="H11" s="8"/>
      <c r="I11" s="8"/>
      <c r="J11" s="8"/>
      <c r="K11" s="8"/>
      <c r="L11" s="9"/>
    </row>
    <row r="12" spans="1:12">
      <c r="A12" s="6" t="str">
        <f t="shared" si="0"/>
        <v/>
      </c>
      <c r="B12" s="7"/>
      <c r="C12" s="8"/>
      <c r="D12" s="9"/>
      <c r="E12" s="8"/>
      <c r="F12" s="8"/>
      <c r="G12" s="8"/>
      <c r="H12" s="8"/>
      <c r="I12" s="8"/>
      <c r="J12" s="8"/>
      <c r="K12" s="8"/>
      <c r="L12" s="9"/>
    </row>
    <row r="13" spans="1:12">
      <c r="A13" s="6" t="str">
        <f t="shared" si="0"/>
        <v/>
      </c>
      <c r="B13" s="7"/>
      <c r="C13" s="8"/>
      <c r="D13" s="9"/>
      <c r="E13" s="8"/>
      <c r="F13" s="8"/>
      <c r="G13" s="8"/>
      <c r="H13" s="8"/>
      <c r="I13" s="8"/>
      <c r="J13" s="8"/>
      <c r="K13" s="8"/>
      <c r="L13" s="9"/>
    </row>
    <row r="14" spans="1:12">
      <c r="A14" s="6" t="str">
        <f t="shared" si="0"/>
        <v/>
      </c>
      <c r="B14" s="7"/>
      <c r="C14" s="8"/>
      <c r="D14" s="9"/>
      <c r="E14" s="8"/>
      <c r="F14" s="8"/>
      <c r="G14" s="8"/>
      <c r="H14" s="8"/>
      <c r="I14" s="8"/>
      <c r="J14" s="8"/>
      <c r="K14" s="8"/>
      <c r="L14" s="9"/>
    </row>
    <row r="15" spans="1:12">
      <c r="A15" s="6" t="str">
        <f t="shared" si="0"/>
        <v/>
      </c>
      <c r="B15" s="7"/>
      <c r="C15" s="8"/>
      <c r="D15" s="9"/>
      <c r="E15" s="8"/>
      <c r="F15" s="8"/>
      <c r="G15" s="8"/>
      <c r="H15" s="8"/>
      <c r="I15" s="8"/>
      <c r="J15" s="8"/>
      <c r="K15" s="8"/>
      <c r="L15" s="9"/>
    </row>
    <row r="16" spans="1:12">
      <c r="A16" s="6" t="str">
        <f t="shared" si="0"/>
        <v/>
      </c>
      <c r="B16" s="7"/>
      <c r="C16" s="8"/>
      <c r="D16" s="9"/>
      <c r="E16" s="8"/>
      <c r="F16" s="8"/>
      <c r="G16" s="8"/>
      <c r="H16" s="8"/>
      <c r="I16" s="8"/>
      <c r="J16" s="8"/>
      <c r="K16" s="8"/>
      <c r="L16" s="9"/>
    </row>
    <row r="17" spans="1:12">
      <c r="A17" s="6" t="str">
        <f t="shared" si="0"/>
        <v/>
      </c>
      <c r="B17" s="7"/>
      <c r="C17" s="8"/>
      <c r="D17" s="9"/>
      <c r="E17" s="8"/>
      <c r="F17" s="8"/>
      <c r="G17" s="8"/>
      <c r="H17" s="8"/>
      <c r="I17" s="8"/>
      <c r="J17" s="8"/>
      <c r="K17" s="8"/>
      <c r="L17" s="9"/>
    </row>
    <row r="18" spans="1:12">
      <c r="A18" s="6" t="str">
        <f t="shared" si="0"/>
        <v/>
      </c>
      <c r="B18" s="7"/>
      <c r="C18" s="8"/>
      <c r="D18" s="9"/>
      <c r="E18" s="8"/>
      <c r="F18" s="8"/>
      <c r="G18" s="8"/>
      <c r="H18" s="8"/>
      <c r="I18" s="8"/>
      <c r="J18" s="8"/>
      <c r="K18" s="8"/>
      <c r="L18" s="9"/>
    </row>
    <row r="19" spans="1:12">
      <c r="A19" s="6" t="str">
        <f t="shared" si="0"/>
        <v/>
      </c>
      <c r="B19" s="7"/>
      <c r="C19" s="8"/>
      <c r="D19" s="9"/>
      <c r="E19" s="8"/>
      <c r="F19" s="8"/>
      <c r="G19" s="8"/>
      <c r="H19" s="8"/>
      <c r="I19" s="8"/>
      <c r="J19" s="8"/>
      <c r="K19" s="8"/>
      <c r="L19" s="9"/>
    </row>
    <row r="20" spans="1:12">
      <c r="A20" s="6" t="str">
        <f t="shared" si="0"/>
        <v/>
      </c>
      <c r="B20" s="7"/>
      <c r="C20" s="8"/>
      <c r="D20" s="9"/>
      <c r="E20" s="8"/>
      <c r="F20" s="8"/>
      <c r="G20" s="8"/>
      <c r="H20" s="8"/>
      <c r="I20" s="8"/>
      <c r="J20" s="8"/>
      <c r="K20" s="8"/>
      <c r="L20" s="9"/>
    </row>
    <row r="21" spans="1:12">
      <c r="A21" s="6" t="str">
        <f t="shared" si="0"/>
        <v/>
      </c>
      <c r="B21" s="7"/>
      <c r="C21" s="8"/>
      <c r="D21" s="9"/>
      <c r="E21" s="8"/>
      <c r="F21" s="8"/>
      <c r="G21" s="8"/>
      <c r="H21" s="8"/>
      <c r="I21" s="8"/>
      <c r="J21" s="8"/>
      <c r="K21" s="8"/>
      <c r="L21" s="9"/>
    </row>
    <row r="22" spans="1:12">
      <c r="A22" s="6" t="str">
        <f t="shared" si="0"/>
        <v/>
      </c>
      <c r="B22" s="7"/>
      <c r="C22" s="8"/>
      <c r="D22" s="9"/>
      <c r="E22" s="8"/>
      <c r="F22" s="8"/>
      <c r="G22" s="8"/>
      <c r="H22" s="8"/>
      <c r="I22" s="8"/>
      <c r="J22" s="8"/>
      <c r="K22" s="8"/>
      <c r="L22" s="9"/>
    </row>
    <row r="23" spans="1:12">
      <c r="A23" s="6" t="str">
        <f t="shared" si="0"/>
        <v/>
      </c>
      <c r="B23" s="7"/>
      <c r="C23" s="8"/>
      <c r="D23" s="9"/>
      <c r="E23" s="8"/>
      <c r="F23" s="8"/>
      <c r="G23" s="8"/>
      <c r="H23" s="8"/>
      <c r="I23" s="8"/>
      <c r="J23" s="8"/>
      <c r="K23" s="8"/>
      <c r="L23" s="9"/>
    </row>
    <row r="24" spans="1:12">
      <c r="A24" s="6" t="str">
        <f t="shared" si="0"/>
        <v/>
      </c>
      <c r="B24" s="7"/>
      <c r="C24" s="8"/>
      <c r="D24" s="9"/>
      <c r="E24" s="8"/>
      <c r="F24" s="8"/>
      <c r="G24" s="8"/>
      <c r="H24" s="8"/>
      <c r="I24" s="8"/>
      <c r="J24" s="8"/>
      <c r="K24" s="8"/>
      <c r="L24" s="9"/>
    </row>
    <row r="25" spans="1:12">
      <c r="A25" s="6" t="str">
        <f t="shared" si="0"/>
        <v/>
      </c>
      <c r="B25" s="7"/>
      <c r="C25" s="8"/>
      <c r="D25" s="9"/>
      <c r="E25" s="8"/>
      <c r="F25" s="8"/>
      <c r="G25" s="8"/>
      <c r="H25" s="8"/>
      <c r="I25" s="8"/>
      <c r="J25" s="8"/>
      <c r="K25" s="8"/>
      <c r="L25" s="9"/>
    </row>
    <row r="26" spans="1:12">
      <c r="A26" s="6" t="str">
        <f t="shared" si="0"/>
        <v/>
      </c>
      <c r="B26" s="7"/>
      <c r="C26" s="8"/>
      <c r="D26" s="9"/>
      <c r="E26" s="8"/>
      <c r="F26" s="8"/>
      <c r="G26" s="8"/>
      <c r="H26" s="8"/>
      <c r="I26" s="8"/>
      <c r="J26" s="8"/>
      <c r="K26" s="8"/>
      <c r="L26" s="9"/>
    </row>
    <row r="27" spans="1:12">
      <c r="A27" s="6" t="str">
        <f t="shared" si="0"/>
        <v/>
      </c>
      <c r="B27" s="7"/>
      <c r="C27" s="8"/>
      <c r="D27" s="9"/>
      <c r="E27" s="8"/>
      <c r="F27" s="8"/>
      <c r="G27" s="8"/>
      <c r="H27" s="8"/>
      <c r="I27" s="8"/>
      <c r="J27" s="8"/>
      <c r="K27" s="8"/>
      <c r="L27" s="9"/>
    </row>
    <row r="28" spans="1:12">
      <c r="A28" s="6" t="str">
        <f t="shared" si="0"/>
        <v/>
      </c>
      <c r="B28" s="7"/>
      <c r="C28" s="8"/>
      <c r="D28" s="9"/>
      <c r="E28" s="8"/>
      <c r="F28" s="8"/>
      <c r="G28" s="8"/>
      <c r="H28" s="8"/>
      <c r="I28" s="8"/>
      <c r="J28" s="8"/>
      <c r="K28" s="8"/>
      <c r="L28" s="9"/>
    </row>
    <row r="29" spans="1:12">
      <c r="A29" s="6" t="str">
        <f t="shared" si="0"/>
        <v/>
      </c>
      <c r="B29" s="7"/>
      <c r="C29" s="8"/>
      <c r="D29" s="9"/>
      <c r="E29" s="8"/>
      <c r="F29" s="8"/>
      <c r="G29" s="8"/>
      <c r="H29" s="8"/>
      <c r="I29" s="8"/>
      <c r="J29" s="8"/>
      <c r="K29" s="8"/>
      <c r="L29" s="9"/>
    </row>
    <row r="30" spans="1:12">
      <c r="A30" s="6" t="str">
        <f t="shared" si="0"/>
        <v/>
      </c>
      <c r="B30" s="7"/>
      <c r="C30" s="8"/>
      <c r="D30" s="9"/>
      <c r="E30" s="8"/>
      <c r="F30" s="8"/>
      <c r="G30" s="8"/>
      <c r="H30" s="8"/>
      <c r="I30" s="8"/>
      <c r="J30" s="8"/>
      <c r="K30" s="8"/>
      <c r="L30" s="9"/>
    </row>
    <row r="31" spans="1:12">
      <c r="A31" s="6" t="str">
        <f t="shared" si="0"/>
        <v/>
      </c>
      <c r="B31" s="7"/>
      <c r="C31" s="8"/>
      <c r="D31" s="9"/>
      <c r="E31" s="8"/>
      <c r="F31" s="8"/>
      <c r="G31" s="8"/>
      <c r="H31" s="8"/>
      <c r="I31" s="8"/>
      <c r="J31" s="8"/>
      <c r="K31" s="8"/>
      <c r="L31" s="9"/>
    </row>
    <row r="32" spans="1:12">
      <c r="A32" s="6" t="str">
        <f t="shared" si="0"/>
        <v/>
      </c>
      <c r="B32" s="7"/>
      <c r="C32" s="8"/>
      <c r="D32" s="9"/>
      <c r="E32" s="8"/>
      <c r="F32" s="8"/>
      <c r="G32" s="8"/>
      <c r="H32" s="8"/>
      <c r="I32" s="8"/>
      <c r="J32" s="8"/>
      <c r="K32" s="8"/>
      <c r="L32" s="9"/>
    </row>
    <row r="33" spans="1:12">
      <c r="A33" s="6" t="str">
        <f t="shared" si="0"/>
        <v/>
      </c>
      <c r="B33" s="7"/>
      <c r="C33" s="8"/>
      <c r="D33" s="9"/>
      <c r="E33" s="8"/>
      <c r="F33" s="8"/>
      <c r="G33" s="8"/>
      <c r="H33" s="8"/>
      <c r="I33" s="8"/>
      <c r="J33" s="8"/>
      <c r="K33" s="8"/>
      <c r="L33" s="9"/>
    </row>
    <row r="34" spans="1:12">
      <c r="A34" s="6" t="str">
        <f t="shared" si="0"/>
        <v/>
      </c>
      <c r="B34" s="7"/>
      <c r="C34" s="8"/>
      <c r="D34" s="9"/>
      <c r="E34" s="8"/>
      <c r="F34" s="8"/>
      <c r="G34" s="8"/>
      <c r="H34" s="8"/>
      <c r="I34" s="8"/>
      <c r="J34" s="8"/>
      <c r="K34" s="8"/>
      <c r="L34" s="9"/>
    </row>
    <row r="35" spans="1:12">
      <c r="A35" s="6" t="str">
        <f t="shared" si="0"/>
        <v/>
      </c>
      <c r="B35" s="7"/>
      <c r="C35" s="8"/>
      <c r="D35" s="9"/>
      <c r="E35" s="8"/>
      <c r="F35" s="8"/>
      <c r="G35" s="8"/>
      <c r="H35" s="8"/>
      <c r="I35" s="8"/>
      <c r="J35" s="8"/>
      <c r="K35" s="8"/>
      <c r="L35" s="9"/>
    </row>
    <row r="36" spans="1:12">
      <c r="A36" s="6" t="str">
        <f t="shared" si="0"/>
        <v/>
      </c>
      <c r="B36" s="7"/>
      <c r="C36" s="8"/>
      <c r="D36" s="9"/>
      <c r="E36" s="8"/>
      <c r="F36" s="8"/>
      <c r="G36" s="8"/>
      <c r="H36" s="8"/>
      <c r="I36" s="8"/>
      <c r="J36" s="8"/>
      <c r="K36" s="8"/>
      <c r="L36" s="9"/>
    </row>
    <row r="37" spans="1:12">
      <c r="A37" s="6" t="str">
        <f t="shared" si="0"/>
        <v/>
      </c>
      <c r="B37" s="7"/>
      <c r="C37" s="8"/>
      <c r="D37" s="9"/>
      <c r="E37" s="8"/>
      <c r="F37" s="8"/>
      <c r="G37" s="8"/>
      <c r="H37" s="8"/>
      <c r="I37" s="8"/>
      <c r="J37" s="8"/>
      <c r="K37" s="8"/>
      <c r="L37" s="9"/>
    </row>
    <row r="38" spans="1:12">
      <c r="A38" s="6" t="str">
        <f t="shared" si="0"/>
        <v/>
      </c>
      <c r="B38" s="7"/>
      <c r="C38" s="8"/>
      <c r="D38" s="9"/>
      <c r="E38" s="8"/>
      <c r="F38" s="8"/>
      <c r="G38" s="8"/>
      <c r="H38" s="8"/>
      <c r="I38" s="8"/>
      <c r="J38" s="8"/>
      <c r="K38" s="8"/>
      <c r="L38" s="9"/>
    </row>
    <row r="39" spans="1:12">
      <c r="A39" s="6" t="str">
        <f t="shared" si="0"/>
        <v/>
      </c>
      <c r="B39" s="7"/>
      <c r="C39" s="8"/>
      <c r="D39" s="9"/>
      <c r="E39" s="8"/>
      <c r="F39" s="8"/>
      <c r="G39" s="8"/>
      <c r="H39" s="8"/>
      <c r="I39" s="8"/>
      <c r="J39" s="8"/>
      <c r="K39" s="8"/>
      <c r="L39" s="9"/>
    </row>
    <row r="40" spans="1:12">
      <c r="A40" s="6" t="str">
        <f t="shared" si="0"/>
        <v/>
      </c>
      <c r="B40" s="7"/>
      <c r="C40" s="8"/>
      <c r="D40" s="9"/>
      <c r="E40" s="8"/>
      <c r="F40" s="8"/>
      <c r="G40" s="8"/>
      <c r="H40" s="8"/>
      <c r="I40" s="8"/>
      <c r="J40" s="8"/>
      <c r="K40" s="8"/>
      <c r="L40" s="9"/>
    </row>
    <row r="41" spans="1:12">
      <c r="A41" s="6" t="str">
        <f t="shared" si="0"/>
        <v/>
      </c>
      <c r="B41" s="7"/>
      <c r="C41" s="8"/>
      <c r="D41" s="9"/>
      <c r="E41" s="8"/>
      <c r="F41" s="8"/>
      <c r="G41" s="8"/>
      <c r="H41" s="8"/>
      <c r="I41" s="8"/>
      <c r="J41" s="8"/>
      <c r="K41" s="8"/>
      <c r="L41" s="9"/>
    </row>
    <row r="42" spans="1:12">
      <c r="A42" s="6" t="str">
        <f t="shared" si="0"/>
        <v/>
      </c>
      <c r="B42" s="7"/>
      <c r="C42" s="8"/>
      <c r="D42" s="9"/>
      <c r="E42" s="8"/>
      <c r="F42" s="8"/>
      <c r="G42" s="8"/>
      <c r="H42" s="8"/>
      <c r="I42" s="8"/>
      <c r="J42" s="8"/>
      <c r="K42" s="8"/>
      <c r="L42" s="9"/>
    </row>
    <row r="43" spans="1:12">
      <c r="A43" s="6" t="str">
        <f t="shared" si="0"/>
        <v/>
      </c>
      <c r="B43" s="7"/>
      <c r="C43" s="8"/>
      <c r="D43" s="9"/>
      <c r="E43" s="8"/>
      <c r="F43" s="8"/>
      <c r="G43" s="8"/>
      <c r="H43" s="8"/>
      <c r="I43" s="8"/>
      <c r="J43" s="8"/>
      <c r="K43" s="8"/>
      <c r="L43" s="9"/>
    </row>
    <row r="44" spans="1:12">
      <c r="A44" s="6" t="str">
        <f t="shared" si="0"/>
        <v/>
      </c>
      <c r="B44" s="7"/>
      <c r="C44" s="8"/>
      <c r="D44" s="9"/>
      <c r="E44" s="8"/>
      <c r="F44" s="8"/>
      <c r="G44" s="8"/>
      <c r="H44" s="8"/>
      <c r="I44" s="8"/>
      <c r="J44" s="8"/>
      <c r="K44" s="8"/>
      <c r="L44" s="9"/>
    </row>
    <row r="45" spans="1:12">
      <c r="A45" s="6" t="str">
        <f t="shared" si="0"/>
        <v/>
      </c>
      <c r="B45" s="7"/>
      <c r="C45" s="8"/>
      <c r="D45" s="9"/>
      <c r="E45" s="8"/>
      <c r="F45" s="8"/>
      <c r="G45" s="8"/>
      <c r="H45" s="8"/>
      <c r="I45" s="8"/>
      <c r="J45" s="8"/>
      <c r="K45" s="8"/>
      <c r="L45" s="9"/>
    </row>
    <row r="46" spans="1:12">
      <c r="A46" s="6" t="str">
        <f t="shared" si="0"/>
        <v/>
      </c>
      <c r="B46" s="7"/>
      <c r="C46" s="8"/>
      <c r="D46" s="9"/>
      <c r="E46" s="8"/>
      <c r="F46" s="8"/>
      <c r="G46" s="8"/>
      <c r="H46" s="8"/>
      <c r="I46" s="8"/>
      <c r="J46" s="8"/>
      <c r="K46" s="8"/>
      <c r="L46" s="9"/>
    </row>
    <row r="47" spans="1:12">
      <c r="A47" s="6" t="str">
        <f t="shared" si="0"/>
        <v/>
      </c>
      <c r="B47" s="7"/>
      <c r="C47" s="8"/>
      <c r="D47" s="9"/>
      <c r="E47" s="8"/>
      <c r="F47" s="8"/>
      <c r="G47" s="8"/>
      <c r="H47" s="8"/>
      <c r="I47" s="8"/>
      <c r="J47" s="8"/>
      <c r="K47" s="8"/>
      <c r="L47" s="9"/>
    </row>
    <row r="48" spans="1:12">
      <c r="A48" s="6" t="str">
        <f t="shared" si="0"/>
        <v/>
      </c>
      <c r="B48" s="7"/>
      <c r="C48" s="8"/>
      <c r="D48" s="9"/>
      <c r="E48" s="8"/>
      <c r="F48" s="8"/>
      <c r="G48" s="8"/>
      <c r="H48" s="8"/>
      <c r="I48" s="8"/>
      <c r="J48" s="8"/>
      <c r="K48" s="8"/>
      <c r="L48" s="9"/>
    </row>
    <row r="49" spans="1:12">
      <c r="A49" s="6" t="str">
        <f t="shared" si="0"/>
        <v/>
      </c>
      <c r="B49" s="7"/>
      <c r="C49" s="8"/>
      <c r="D49" s="9"/>
      <c r="E49" s="8"/>
      <c r="F49" s="8"/>
      <c r="G49" s="8"/>
      <c r="H49" s="8"/>
      <c r="I49" s="8"/>
      <c r="J49" s="8"/>
      <c r="K49" s="8"/>
      <c r="L49" s="9"/>
    </row>
    <row r="50" spans="1:12">
      <c r="A50" s="6" t="str">
        <f t="shared" si="0"/>
        <v/>
      </c>
      <c r="B50" s="7"/>
      <c r="C50" s="8"/>
      <c r="D50" s="9"/>
      <c r="E50" s="8"/>
      <c r="F50" s="8"/>
      <c r="G50" s="8"/>
      <c r="H50" s="8"/>
      <c r="I50" s="8"/>
      <c r="J50" s="8"/>
      <c r="K50" s="8"/>
      <c r="L50" s="9"/>
    </row>
    <row r="51" spans="1:12">
      <c r="A51" s="6" t="str">
        <f t="shared" si="0"/>
        <v/>
      </c>
      <c r="B51" s="7"/>
      <c r="C51" s="8"/>
      <c r="D51" s="9"/>
      <c r="E51" s="8"/>
      <c r="F51" s="8"/>
      <c r="G51" s="8"/>
      <c r="H51" s="8"/>
      <c r="I51" s="8"/>
      <c r="J51" s="8"/>
      <c r="K51" s="8"/>
      <c r="L51" s="9"/>
    </row>
    <row r="52" spans="1:12">
      <c r="A52" s="6" t="str">
        <f t="shared" si="0"/>
        <v/>
      </c>
      <c r="B52" s="7"/>
      <c r="C52" s="8"/>
      <c r="D52" s="9"/>
      <c r="E52" s="8"/>
      <c r="F52" s="8"/>
      <c r="G52" s="8"/>
      <c r="H52" s="8"/>
      <c r="I52" s="8"/>
      <c r="J52" s="8"/>
      <c r="K52" s="8"/>
      <c r="L52" s="9"/>
    </row>
    <row r="53" spans="1:12">
      <c r="A53" s="6" t="str">
        <f t="shared" si="0"/>
        <v/>
      </c>
      <c r="B53" s="7"/>
      <c r="C53" s="8"/>
      <c r="D53" s="9"/>
      <c r="E53" s="8"/>
      <c r="F53" s="8"/>
      <c r="G53" s="8"/>
      <c r="H53" s="8"/>
      <c r="I53" s="8"/>
      <c r="J53" s="8"/>
      <c r="K53" s="8"/>
      <c r="L53" s="9"/>
    </row>
    <row r="54" spans="1:12">
      <c r="A54" s="6" t="str">
        <f t="shared" si="0"/>
        <v/>
      </c>
      <c r="B54" s="7"/>
      <c r="C54" s="8"/>
      <c r="D54" s="9"/>
      <c r="E54" s="8"/>
      <c r="F54" s="8"/>
      <c r="G54" s="8"/>
      <c r="H54" s="8"/>
      <c r="I54" s="8"/>
      <c r="J54" s="8"/>
      <c r="K54" s="8"/>
      <c r="L54" s="9"/>
    </row>
    <row r="55" spans="1:12">
      <c r="A55" s="6" t="str">
        <f t="shared" si="0"/>
        <v/>
      </c>
      <c r="B55" s="7"/>
      <c r="C55" s="8"/>
      <c r="D55" s="9"/>
      <c r="E55" s="8"/>
      <c r="F55" s="8"/>
      <c r="G55" s="8"/>
      <c r="H55" s="8"/>
      <c r="I55" s="8"/>
      <c r="J55" s="8"/>
      <c r="K55" s="8"/>
      <c r="L55" s="9"/>
    </row>
    <row r="56" spans="1:12">
      <c r="A56" s="6" t="str">
        <f t="shared" si="0"/>
        <v/>
      </c>
      <c r="B56" s="7"/>
      <c r="C56" s="8"/>
      <c r="D56" s="9"/>
      <c r="E56" s="8"/>
      <c r="F56" s="8"/>
      <c r="G56" s="8"/>
      <c r="H56" s="8"/>
      <c r="I56" s="8"/>
      <c r="J56" s="8"/>
      <c r="K56" s="8"/>
      <c r="L56" s="9"/>
    </row>
    <row r="57" spans="1:12">
      <c r="A57" s="6" t="str">
        <f t="shared" si="0"/>
        <v/>
      </c>
      <c r="B57" s="7"/>
      <c r="C57" s="8"/>
      <c r="D57" s="9"/>
      <c r="E57" s="8"/>
      <c r="F57" s="8"/>
      <c r="G57" s="8"/>
      <c r="H57" s="8"/>
      <c r="I57" s="8"/>
      <c r="J57" s="8"/>
      <c r="K57" s="8"/>
      <c r="L57" s="9"/>
    </row>
    <row r="58" spans="1:12">
      <c r="A58" s="6" t="str">
        <f t="shared" si="0"/>
        <v/>
      </c>
      <c r="B58" s="7"/>
      <c r="C58" s="8"/>
      <c r="D58" s="9"/>
      <c r="E58" s="8"/>
      <c r="F58" s="8"/>
      <c r="G58" s="8"/>
      <c r="H58" s="8"/>
      <c r="I58" s="8"/>
      <c r="J58" s="8"/>
      <c r="K58" s="8"/>
      <c r="L58" s="9"/>
    </row>
    <row r="59" spans="1:12">
      <c r="A59" s="6" t="str">
        <f t="shared" si="0"/>
        <v/>
      </c>
      <c r="B59" s="7"/>
      <c r="C59" s="8"/>
      <c r="D59" s="9"/>
      <c r="E59" s="8"/>
      <c r="F59" s="8"/>
      <c r="G59" s="8"/>
      <c r="H59" s="8"/>
      <c r="I59" s="8"/>
      <c r="J59" s="8"/>
      <c r="K59" s="8"/>
      <c r="L59" s="9"/>
    </row>
    <row r="60" spans="1:12">
      <c r="A60" s="6" t="str">
        <f t="shared" si="0"/>
        <v/>
      </c>
      <c r="B60" s="7"/>
      <c r="C60" s="8"/>
      <c r="D60" s="9"/>
      <c r="E60" s="8"/>
      <c r="F60" s="8"/>
      <c r="G60" s="8"/>
      <c r="H60" s="8"/>
      <c r="I60" s="8"/>
      <c r="J60" s="8"/>
      <c r="K60" s="8"/>
      <c r="L60" s="9"/>
    </row>
    <row r="61" spans="1:12">
      <c r="A61" s="6" t="str">
        <f t="shared" si="0"/>
        <v/>
      </c>
      <c r="B61" s="7"/>
      <c r="C61" s="8"/>
      <c r="D61" s="9"/>
      <c r="E61" s="8"/>
      <c r="F61" s="8"/>
      <c r="G61" s="8"/>
      <c r="H61" s="8"/>
      <c r="I61" s="8"/>
      <c r="J61" s="8"/>
      <c r="K61" s="8"/>
      <c r="L61" s="9"/>
    </row>
    <row r="62" spans="1:12">
      <c r="A62" s="6" t="str">
        <f t="shared" si="0"/>
        <v/>
      </c>
      <c r="B62" s="7"/>
      <c r="C62" s="8"/>
      <c r="D62" s="9"/>
      <c r="E62" s="8"/>
      <c r="F62" s="8"/>
      <c r="G62" s="8"/>
      <c r="H62" s="8"/>
      <c r="I62" s="8"/>
      <c r="J62" s="8"/>
      <c r="K62" s="8"/>
      <c r="L62" s="9"/>
    </row>
    <row r="63" spans="1:12">
      <c r="A63" s="6" t="str">
        <f t="shared" si="0"/>
        <v/>
      </c>
      <c r="B63" s="7"/>
      <c r="C63" s="8"/>
      <c r="D63" s="9"/>
      <c r="E63" s="8"/>
      <c r="F63" s="8"/>
      <c r="G63" s="8"/>
      <c r="H63" s="8"/>
      <c r="I63" s="8"/>
      <c r="J63" s="8"/>
      <c r="K63" s="8"/>
      <c r="L63" s="9"/>
    </row>
    <row r="64" spans="1:12">
      <c r="A64" s="6" t="str">
        <f t="shared" si="0"/>
        <v/>
      </c>
      <c r="B64" s="7"/>
      <c r="C64" s="8"/>
      <c r="D64" s="9"/>
      <c r="E64" s="8"/>
      <c r="F64" s="8"/>
      <c r="G64" s="8"/>
      <c r="H64" s="8"/>
      <c r="I64" s="8"/>
      <c r="J64" s="8"/>
      <c r="K64" s="8"/>
      <c r="L64" s="9"/>
    </row>
    <row r="65" spans="1:12">
      <c r="A65" s="6" t="str">
        <f t="shared" si="0"/>
        <v/>
      </c>
      <c r="B65" s="7"/>
      <c r="C65" s="8"/>
      <c r="D65" s="9"/>
      <c r="E65" s="8"/>
      <c r="F65" s="8"/>
      <c r="G65" s="8"/>
      <c r="H65" s="8"/>
      <c r="I65" s="8"/>
      <c r="J65" s="8"/>
      <c r="K65" s="8"/>
      <c r="L65" s="9"/>
    </row>
    <row r="66" spans="1:12">
      <c r="A66" s="6" t="str">
        <f t="shared" si="0"/>
        <v/>
      </c>
      <c r="B66" s="7"/>
      <c r="C66" s="8"/>
      <c r="D66" s="9"/>
      <c r="E66" s="8"/>
      <c r="F66" s="8"/>
      <c r="G66" s="8"/>
      <c r="H66" s="8"/>
      <c r="I66" s="8"/>
      <c r="J66" s="8"/>
      <c r="K66" s="8"/>
      <c r="L66" s="9"/>
    </row>
    <row r="67" spans="1:12">
      <c r="A67" s="6" t="str">
        <f t="shared" si="0"/>
        <v/>
      </c>
      <c r="B67" s="7"/>
      <c r="C67" s="8"/>
      <c r="D67" s="9"/>
      <c r="E67" s="8"/>
      <c r="F67" s="8"/>
      <c r="G67" s="8"/>
      <c r="H67" s="8"/>
      <c r="I67" s="8"/>
      <c r="J67" s="8"/>
      <c r="K67" s="8"/>
      <c r="L67" s="9"/>
    </row>
    <row r="68" spans="1:12">
      <c r="A68" s="6" t="str">
        <f t="shared" si="0"/>
        <v/>
      </c>
      <c r="B68" s="7"/>
      <c r="C68" s="8"/>
      <c r="D68" s="9"/>
      <c r="E68" s="8"/>
      <c r="F68" s="8"/>
      <c r="G68" s="8"/>
      <c r="H68" s="8"/>
      <c r="I68" s="8"/>
      <c r="J68" s="8"/>
      <c r="K68" s="8"/>
      <c r="L68" s="9"/>
    </row>
    <row r="69" spans="1:12">
      <c r="A69" s="6" t="str">
        <f t="shared" ref="A69:A104" si="1">IF(B69="","","AI-"&amp;TEXT(ROW()-4,"0000"))</f>
        <v/>
      </c>
      <c r="B69" s="7"/>
      <c r="C69" s="8"/>
      <c r="D69" s="9"/>
      <c r="E69" s="8"/>
      <c r="F69" s="8"/>
      <c r="G69" s="8"/>
      <c r="H69" s="8"/>
      <c r="I69" s="8"/>
      <c r="J69" s="8"/>
      <c r="K69" s="8"/>
      <c r="L69" s="9"/>
    </row>
    <row r="70" spans="1:12">
      <c r="A70" s="6" t="str">
        <f t="shared" si="1"/>
        <v/>
      </c>
      <c r="B70" s="7"/>
      <c r="C70" s="8"/>
      <c r="D70" s="9"/>
      <c r="E70" s="8"/>
      <c r="F70" s="8"/>
      <c r="G70" s="8"/>
      <c r="H70" s="8"/>
      <c r="I70" s="8"/>
      <c r="J70" s="8"/>
      <c r="K70" s="8"/>
      <c r="L70" s="9"/>
    </row>
    <row r="71" spans="1:12">
      <c r="A71" s="6" t="str">
        <f t="shared" si="1"/>
        <v/>
      </c>
      <c r="B71" s="7"/>
      <c r="C71" s="8"/>
      <c r="D71" s="9"/>
      <c r="E71" s="8"/>
      <c r="F71" s="8"/>
      <c r="G71" s="8"/>
      <c r="H71" s="8"/>
      <c r="I71" s="8"/>
      <c r="J71" s="8"/>
      <c r="K71" s="8"/>
      <c r="L71" s="9"/>
    </row>
    <row r="72" spans="1:12">
      <c r="A72" s="6" t="str">
        <f t="shared" si="1"/>
        <v/>
      </c>
      <c r="B72" s="7"/>
      <c r="C72" s="8"/>
      <c r="D72" s="9"/>
      <c r="E72" s="8"/>
      <c r="F72" s="8"/>
      <c r="G72" s="8"/>
      <c r="H72" s="8"/>
      <c r="I72" s="8"/>
      <c r="J72" s="8"/>
      <c r="K72" s="8"/>
      <c r="L72" s="9"/>
    </row>
    <row r="73" spans="1:12">
      <c r="A73" s="6" t="str">
        <f t="shared" si="1"/>
        <v/>
      </c>
      <c r="B73" s="7"/>
      <c r="C73" s="8"/>
      <c r="D73" s="9"/>
      <c r="E73" s="8"/>
      <c r="F73" s="8"/>
      <c r="G73" s="8"/>
      <c r="H73" s="8"/>
      <c r="I73" s="8"/>
      <c r="J73" s="8"/>
      <c r="K73" s="8"/>
      <c r="L73" s="9"/>
    </row>
    <row r="74" spans="1:12">
      <c r="A74" s="6" t="str">
        <f t="shared" si="1"/>
        <v/>
      </c>
      <c r="B74" s="7"/>
      <c r="C74" s="8"/>
      <c r="D74" s="9"/>
      <c r="E74" s="8"/>
      <c r="F74" s="8"/>
      <c r="G74" s="8"/>
      <c r="H74" s="8"/>
      <c r="I74" s="8"/>
      <c r="J74" s="8"/>
      <c r="K74" s="8"/>
      <c r="L74" s="9"/>
    </row>
    <row r="75" spans="1:12">
      <c r="A75" s="6" t="str">
        <f t="shared" si="1"/>
        <v/>
      </c>
      <c r="B75" s="7"/>
      <c r="C75" s="8"/>
      <c r="D75" s="9"/>
      <c r="E75" s="8"/>
      <c r="F75" s="8"/>
      <c r="G75" s="8"/>
      <c r="H75" s="8"/>
      <c r="I75" s="8"/>
      <c r="J75" s="8"/>
      <c r="K75" s="8"/>
      <c r="L75" s="9"/>
    </row>
    <row r="76" spans="1:12">
      <c r="A76" s="6" t="str">
        <f t="shared" si="1"/>
        <v/>
      </c>
      <c r="B76" s="7"/>
      <c r="C76" s="8"/>
      <c r="D76" s="9"/>
      <c r="E76" s="8"/>
      <c r="F76" s="8"/>
      <c r="G76" s="8"/>
      <c r="H76" s="8"/>
      <c r="I76" s="8"/>
      <c r="J76" s="8"/>
      <c r="K76" s="8"/>
      <c r="L76" s="9"/>
    </row>
    <row r="77" spans="1:12">
      <c r="A77" s="6" t="str">
        <f t="shared" si="1"/>
        <v/>
      </c>
      <c r="B77" s="7"/>
      <c r="C77" s="8"/>
      <c r="D77" s="9"/>
      <c r="E77" s="8"/>
      <c r="F77" s="8"/>
      <c r="G77" s="8"/>
      <c r="H77" s="8"/>
      <c r="I77" s="8"/>
      <c r="J77" s="8"/>
      <c r="K77" s="8"/>
      <c r="L77" s="9"/>
    </row>
    <row r="78" spans="1:12">
      <c r="A78" s="6" t="str">
        <f t="shared" si="1"/>
        <v/>
      </c>
      <c r="B78" s="7"/>
      <c r="C78" s="8"/>
      <c r="D78" s="9"/>
      <c r="E78" s="8"/>
      <c r="F78" s="8"/>
      <c r="G78" s="8"/>
      <c r="H78" s="8"/>
      <c r="I78" s="8"/>
      <c r="J78" s="8"/>
      <c r="K78" s="8"/>
      <c r="L78" s="9"/>
    </row>
    <row r="79" spans="1:12">
      <c r="A79" s="6" t="str">
        <f t="shared" si="1"/>
        <v/>
      </c>
      <c r="B79" s="7"/>
      <c r="C79" s="8"/>
      <c r="D79" s="9"/>
      <c r="E79" s="8"/>
      <c r="F79" s="8"/>
      <c r="G79" s="8"/>
      <c r="H79" s="8"/>
      <c r="I79" s="8"/>
      <c r="J79" s="8"/>
      <c r="K79" s="8"/>
      <c r="L79" s="9"/>
    </row>
    <row r="80" spans="1:12">
      <c r="A80" s="6" t="str">
        <f t="shared" si="1"/>
        <v/>
      </c>
      <c r="B80" s="7"/>
      <c r="C80" s="8"/>
      <c r="D80" s="9"/>
      <c r="E80" s="8"/>
      <c r="F80" s="8"/>
      <c r="G80" s="8"/>
      <c r="H80" s="8"/>
      <c r="I80" s="8"/>
      <c r="J80" s="8"/>
      <c r="K80" s="8"/>
      <c r="L80" s="9"/>
    </row>
    <row r="81" spans="1:12">
      <c r="A81" s="6" t="str">
        <f t="shared" si="1"/>
        <v/>
      </c>
      <c r="B81" s="7"/>
      <c r="C81" s="8"/>
      <c r="D81" s="9"/>
      <c r="E81" s="8"/>
      <c r="F81" s="8"/>
      <c r="G81" s="8"/>
      <c r="H81" s="8"/>
      <c r="I81" s="8"/>
      <c r="J81" s="8"/>
      <c r="K81" s="8"/>
      <c r="L81" s="9"/>
    </row>
    <row r="82" spans="1:12">
      <c r="A82" s="6" t="str">
        <f t="shared" si="1"/>
        <v/>
      </c>
      <c r="B82" s="7"/>
      <c r="C82" s="8"/>
      <c r="D82" s="9"/>
      <c r="E82" s="8"/>
      <c r="F82" s="8"/>
      <c r="G82" s="8"/>
      <c r="H82" s="8"/>
      <c r="I82" s="8"/>
      <c r="J82" s="8"/>
      <c r="K82" s="8"/>
      <c r="L82" s="9"/>
    </row>
    <row r="83" spans="1:12">
      <c r="A83" s="6" t="str">
        <f t="shared" si="1"/>
        <v/>
      </c>
      <c r="B83" s="7"/>
      <c r="C83" s="8"/>
      <c r="D83" s="9"/>
      <c r="E83" s="8"/>
      <c r="F83" s="8"/>
      <c r="G83" s="8"/>
      <c r="H83" s="8"/>
      <c r="I83" s="8"/>
      <c r="J83" s="8"/>
      <c r="K83" s="8"/>
      <c r="L83" s="9"/>
    </row>
    <row r="84" spans="1:12">
      <c r="A84" s="6" t="str">
        <f t="shared" si="1"/>
        <v/>
      </c>
      <c r="B84" s="7"/>
      <c r="C84" s="8"/>
      <c r="D84" s="9"/>
      <c r="E84" s="8"/>
      <c r="F84" s="8"/>
      <c r="G84" s="8"/>
      <c r="H84" s="8"/>
      <c r="I84" s="8"/>
      <c r="J84" s="8"/>
      <c r="K84" s="8"/>
      <c r="L84" s="9"/>
    </row>
    <row r="85" spans="1:12">
      <c r="A85" s="6" t="str">
        <f t="shared" si="1"/>
        <v/>
      </c>
      <c r="B85" s="7"/>
      <c r="C85" s="8"/>
      <c r="D85" s="9"/>
      <c r="E85" s="8"/>
      <c r="F85" s="8"/>
      <c r="G85" s="8"/>
      <c r="H85" s="8"/>
      <c r="I85" s="8"/>
      <c r="J85" s="8"/>
      <c r="K85" s="8"/>
      <c r="L85" s="9"/>
    </row>
    <row r="86" spans="1:12">
      <c r="A86" s="6" t="str">
        <f t="shared" si="1"/>
        <v/>
      </c>
      <c r="B86" s="7"/>
      <c r="C86" s="8"/>
      <c r="D86" s="9"/>
      <c r="E86" s="8"/>
      <c r="F86" s="8"/>
      <c r="G86" s="8"/>
      <c r="H86" s="8"/>
      <c r="I86" s="8"/>
      <c r="J86" s="8"/>
      <c r="K86" s="8"/>
      <c r="L86" s="9"/>
    </row>
    <row r="87" spans="1:12">
      <c r="A87" s="6" t="str">
        <f t="shared" si="1"/>
        <v/>
      </c>
      <c r="B87" s="7"/>
      <c r="C87" s="8"/>
      <c r="D87" s="9"/>
      <c r="E87" s="8"/>
      <c r="F87" s="8"/>
      <c r="G87" s="8"/>
      <c r="H87" s="8"/>
      <c r="I87" s="8"/>
      <c r="J87" s="8"/>
      <c r="K87" s="8"/>
      <c r="L87" s="9"/>
    </row>
    <row r="88" spans="1:12">
      <c r="A88" s="6" t="str">
        <f t="shared" si="1"/>
        <v/>
      </c>
      <c r="B88" s="7"/>
      <c r="C88" s="8"/>
      <c r="D88" s="9"/>
      <c r="E88" s="8"/>
      <c r="F88" s="8"/>
      <c r="G88" s="8"/>
      <c r="H88" s="8"/>
      <c r="I88" s="8"/>
      <c r="J88" s="8"/>
      <c r="K88" s="8"/>
      <c r="L88" s="9"/>
    </row>
    <row r="89" spans="1:12">
      <c r="A89" s="6" t="str">
        <f t="shared" si="1"/>
        <v/>
      </c>
      <c r="B89" s="7"/>
      <c r="C89" s="8"/>
      <c r="D89" s="9"/>
      <c r="E89" s="8"/>
      <c r="F89" s="8"/>
      <c r="G89" s="8"/>
      <c r="H89" s="8"/>
      <c r="I89" s="8"/>
      <c r="J89" s="8"/>
      <c r="K89" s="8"/>
      <c r="L89" s="9"/>
    </row>
    <row r="90" spans="1:12">
      <c r="A90" s="6" t="str">
        <f t="shared" si="1"/>
        <v/>
      </c>
      <c r="B90" s="7"/>
      <c r="C90" s="8"/>
      <c r="D90" s="9"/>
      <c r="E90" s="8"/>
      <c r="F90" s="8"/>
      <c r="G90" s="8"/>
      <c r="H90" s="8"/>
      <c r="I90" s="8"/>
      <c r="J90" s="8"/>
      <c r="K90" s="8"/>
      <c r="L90" s="9"/>
    </row>
    <row r="91" spans="1:12">
      <c r="A91" s="6" t="str">
        <f t="shared" si="1"/>
        <v/>
      </c>
      <c r="B91" s="7"/>
      <c r="C91" s="8"/>
      <c r="D91" s="9"/>
      <c r="E91" s="8"/>
      <c r="F91" s="8"/>
      <c r="G91" s="8"/>
      <c r="H91" s="8"/>
      <c r="I91" s="8"/>
      <c r="J91" s="8"/>
      <c r="K91" s="8"/>
      <c r="L91" s="9"/>
    </row>
    <row r="92" spans="1:12">
      <c r="A92" s="6" t="str">
        <f t="shared" si="1"/>
        <v/>
      </c>
      <c r="B92" s="7"/>
      <c r="C92" s="8"/>
      <c r="D92" s="9"/>
      <c r="E92" s="8"/>
      <c r="F92" s="8"/>
      <c r="G92" s="8"/>
      <c r="H92" s="8"/>
      <c r="I92" s="8"/>
      <c r="J92" s="8"/>
      <c r="K92" s="8"/>
      <c r="L92" s="9"/>
    </row>
    <row r="93" spans="1:12">
      <c r="A93" s="6" t="str">
        <f t="shared" si="1"/>
        <v/>
      </c>
      <c r="B93" s="7"/>
      <c r="C93" s="8"/>
      <c r="D93" s="9"/>
      <c r="E93" s="8"/>
      <c r="F93" s="8"/>
      <c r="G93" s="8"/>
      <c r="H93" s="8"/>
      <c r="I93" s="8"/>
      <c r="J93" s="8"/>
      <c r="K93" s="8"/>
      <c r="L93" s="9"/>
    </row>
    <row r="94" spans="1:12">
      <c r="A94" s="6" t="str">
        <f t="shared" si="1"/>
        <v/>
      </c>
      <c r="B94" s="7"/>
      <c r="C94" s="8"/>
      <c r="D94" s="9"/>
      <c r="E94" s="8"/>
      <c r="F94" s="8"/>
      <c r="G94" s="8"/>
      <c r="H94" s="8"/>
      <c r="I94" s="8"/>
      <c r="J94" s="8"/>
      <c r="K94" s="8"/>
      <c r="L94" s="9"/>
    </row>
    <row r="95" spans="1:12">
      <c r="A95" s="6" t="str">
        <f t="shared" si="1"/>
        <v/>
      </c>
      <c r="B95" s="7"/>
      <c r="C95" s="8"/>
      <c r="D95" s="9"/>
      <c r="E95" s="8"/>
      <c r="F95" s="8"/>
      <c r="G95" s="8"/>
      <c r="H95" s="8"/>
      <c r="I95" s="8"/>
      <c r="J95" s="8"/>
      <c r="K95" s="8"/>
      <c r="L95" s="9"/>
    </row>
    <row r="96" spans="1:12">
      <c r="A96" s="6" t="str">
        <f t="shared" si="1"/>
        <v/>
      </c>
      <c r="B96" s="7"/>
      <c r="C96" s="8"/>
      <c r="D96" s="9"/>
      <c r="E96" s="8"/>
      <c r="F96" s="8"/>
      <c r="G96" s="8"/>
      <c r="H96" s="8"/>
      <c r="I96" s="8"/>
      <c r="J96" s="8"/>
      <c r="K96" s="8"/>
      <c r="L96" s="9"/>
    </row>
    <row r="97" spans="1:12">
      <c r="A97" s="6" t="str">
        <f t="shared" si="1"/>
        <v/>
      </c>
      <c r="B97" s="7"/>
      <c r="C97" s="8"/>
      <c r="D97" s="9"/>
      <c r="E97" s="8"/>
      <c r="F97" s="8"/>
      <c r="G97" s="8"/>
      <c r="H97" s="8"/>
      <c r="I97" s="8"/>
      <c r="J97" s="8"/>
      <c r="K97" s="8"/>
      <c r="L97" s="9"/>
    </row>
    <row r="98" spans="1:12">
      <c r="A98" s="6" t="str">
        <f t="shared" si="1"/>
        <v/>
      </c>
      <c r="B98" s="7"/>
      <c r="C98" s="8"/>
      <c r="D98" s="9"/>
      <c r="E98" s="8"/>
      <c r="F98" s="8"/>
      <c r="G98" s="8"/>
      <c r="H98" s="8"/>
      <c r="I98" s="8"/>
      <c r="J98" s="8"/>
      <c r="K98" s="8"/>
      <c r="L98" s="9"/>
    </row>
    <row r="99" spans="1:12">
      <c r="A99" s="6" t="str">
        <f t="shared" si="1"/>
        <v/>
      </c>
      <c r="B99" s="7"/>
      <c r="C99" s="8"/>
      <c r="D99" s="9"/>
      <c r="E99" s="8"/>
      <c r="F99" s="8"/>
      <c r="G99" s="8"/>
      <c r="H99" s="8"/>
      <c r="I99" s="8"/>
      <c r="J99" s="8"/>
      <c r="K99" s="8"/>
      <c r="L99" s="9"/>
    </row>
    <row r="100" spans="1:12">
      <c r="A100" s="6" t="str">
        <f t="shared" si="1"/>
        <v/>
      </c>
      <c r="B100" s="7"/>
      <c r="C100" s="8"/>
      <c r="D100" s="9"/>
      <c r="E100" s="8"/>
      <c r="F100" s="8"/>
      <c r="G100" s="8"/>
      <c r="H100" s="8"/>
      <c r="I100" s="8"/>
      <c r="J100" s="8"/>
      <c r="K100" s="8"/>
      <c r="L100" s="9"/>
    </row>
    <row r="101" spans="1:12">
      <c r="A101" s="6" t="str">
        <f t="shared" si="1"/>
        <v/>
      </c>
      <c r="B101" s="7"/>
      <c r="C101" s="8"/>
      <c r="D101" s="9"/>
      <c r="E101" s="8"/>
      <c r="F101" s="8"/>
      <c r="G101" s="8"/>
      <c r="H101" s="8"/>
      <c r="I101" s="8"/>
      <c r="J101" s="8"/>
      <c r="K101" s="8"/>
      <c r="L101" s="9"/>
    </row>
    <row r="102" spans="1:12">
      <c r="A102" s="6" t="str">
        <f t="shared" si="1"/>
        <v/>
      </c>
      <c r="B102" s="7"/>
      <c r="C102" s="8"/>
      <c r="D102" s="9"/>
      <c r="E102" s="8"/>
      <c r="F102" s="8"/>
      <c r="G102" s="8"/>
      <c r="H102" s="8"/>
      <c r="I102" s="8"/>
      <c r="J102" s="8"/>
      <c r="K102" s="8"/>
      <c r="L102" s="9"/>
    </row>
    <row r="103" spans="1:12">
      <c r="A103" s="6" t="str">
        <f t="shared" si="1"/>
        <v/>
      </c>
      <c r="B103" s="7"/>
      <c r="C103" s="8"/>
      <c r="D103" s="9"/>
      <c r="E103" s="8"/>
      <c r="F103" s="8"/>
      <c r="G103" s="8"/>
      <c r="H103" s="8"/>
      <c r="I103" s="8"/>
      <c r="J103" s="8"/>
      <c r="K103" s="8"/>
      <c r="L103" s="9"/>
    </row>
    <row r="104" spans="1:12">
      <c r="A104" s="6" t="str">
        <f t="shared" si="1"/>
        <v/>
      </c>
      <c r="B104" s="7"/>
      <c r="C104" s="8"/>
      <c r="D104" s="9"/>
      <c r="E104" s="8"/>
      <c r="F104" s="8"/>
      <c r="G104" s="8"/>
      <c r="H104" s="8"/>
      <c r="I104" s="8"/>
      <c r="J104" s="8"/>
      <c r="K104" s="8"/>
      <c r="L104" s="9"/>
    </row>
  </sheetData>
  <autoFilter xmlns:etc="http://www.wps.cn/officeDocument/2017/etCustomData" ref="A4:L104" etc:filterBottomFollowUsedRange="0">
    <extLst/>
  </autoFilter>
  <mergeCells count="2">
    <mergeCell ref="A1:L1"/>
    <mergeCell ref="A2:L2"/>
  </mergeCells>
  <dataValidations count="3">
    <dataValidation type="list" allowBlank="1" sqref="C5:C104">
      <formula1>"健康扫描,周报生成,风险分析,变更分析,会议提取,专项诊断"</formula1>
    </dataValidation>
    <dataValidation type="list" allowBlank="1" sqref="G5:G104">
      <formula1>"低,中,高"</formula1>
    </dataValidation>
    <dataValidation type="list" allowBlank="1" sqref="K5:K104">
      <formula1>"待确认,已采纳,部分采纳,不采纳,已完成"</formula1>
    </dataValidation>
  </dataValidations>
  <pageMargins left="0.75" right="0.75" top="1" bottom="1" header="0.5" footer="0.5"/>
  <pageSetup paperSize="1"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17</vt:i4>
      </vt:variant>
    </vt:vector>
  </HeadingPairs>
  <TitlesOfParts>
    <vt:vector size="17" baseType="lpstr">
      <vt:lpstr>项目驾驶舱</vt:lpstr>
      <vt:lpstr>项目总控台账</vt:lpstr>
      <vt:lpstr>资源计划</vt:lpstr>
      <vt:lpstr>里程碑计划</vt:lpstr>
      <vt:lpstr>周迭代计划</vt:lpstr>
      <vt:lpstr>集成管理</vt:lpstr>
      <vt:lpstr>风险问题台账</vt:lpstr>
      <vt:lpstr>变更台账</vt:lpstr>
      <vt:lpstr>交付物台账</vt:lpstr>
      <vt:lpstr>会议行动项</vt:lpstr>
      <vt:lpstr>使用说明</vt:lpstr>
      <vt:lpstr>AI项目诊断</vt:lpstr>
      <vt:lpstr>数据质量检查</vt:lpstr>
      <vt:lpstr>待决策事项</vt:lpstr>
      <vt:lpstr>两周督办</vt:lpstr>
      <vt:lpstr>PMO周报</vt:lpstr>
      <vt:lpstr>AI运行日志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zlyyh</cp:lastModifiedBy>
  <dcterms:created xsi:type="dcterms:W3CDTF">2026-09-10T06:21:00Z</dcterms:created>
  <dcterms:modified xsi:type="dcterms:W3CDTF">2026-09-09T16:12:00Z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A0F8346B1D50975F3CFAA06A6D3F1619_42</vt:lpwstr>
  </property>
  <property fmtid="{D5CDD505-2E9C-101B-9397-08002B2CF9AE}" pid="3" name="KSOProductBuildVer">
    <vt:lpwstr>2052-12.1.25869.25869</vt:lpwstr>
  </property>
  <property fmtid="{D5CDD505-2E9C-101B-9397-08002B2CF9AE}" pid="4" name="CalculationRule">
    <vt:i4>0</vt:i4>
  </property>
</Properties>
</file>